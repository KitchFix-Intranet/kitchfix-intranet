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ed Numbers - A. Meuser N" sheetId="1" r:id="rId5"/>
    <sheet state="visible" name="Spring Training Take-home Meals" sheetId="2" r:id="rId6"/>
    <sheet state="visible" name="ABJ HW - Projected Numbers - 20" sheetId="3" r:id="rId7"/>
    <sheet state="visible" name="Actuals - Billing - 2024" sheetId="4" r:id="rId8"/>
    <sheet state="visible" name="Comparison Billing to Actuals" sheetId="5" r:id="rId9"/>
    <sheet state="visible" name="Clicker Counts - 2024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3">
      <text>
        <t xml:space="preserve">Numbers May go up from projects
</t>
      </text>
    </comment>
    <comment authorId="0" ref="Y2">
      <text>
        <t xml:space="preserve">May not happen again</t>
      </text>
    </comment>
    <comment authorId="0" ref="B59">
      <text>
        <t xml:space="preserve">12% labor avg start
</t>
      </text>
    </comment>
  </commentList>
</comments>
</file>

<file path=xl/sharedStrings.xml><?xml version="1.0" encoding="utf-8"?>
<sst xmlns="http://schemas.openxmlformats.org/spreadsheetml/2006/main" count="4868" uniqueCount="153">
  <si>
    <t>Cincinnati Reds @ Goodyear, AZ - Take Home Meals for MLB ST, 2024</t>
  </si>
  <si>
    <t>Day</t>
  </si>
  <si>
    <t>Date</t>
  </si>
  <si>
    <t>Period</t>
  </si>
  <si>
    <t>Week</t>
  </si>
  <si>
    <t>Camp Name</t>
  </si>
  <si>
    <t xml:space="preserve">Reheatable Entree </t>
  </si>
  <si>
    <t>Salad Entree</t>
  </si>
  <si>
    <t>Player #1 Name</t>
  </si>
  <si>
    <t>Player #2 Name</t>
  </si>
  <si>
    <t>Player #3 Name</t>
  </si>
  <si>
    <t>Mon</t>
  </si>
  <si>
    <t>Week 3</t>
  </si>
  <si>
    <t>MLB ST</t>
  </si>
  <si>
    <t>No Meal Offered</t>
  </si>
  <si>
    <t>x</t>
  </si>
  <si>
    <t>Tue</t>
  </si>
  <si>
    <t>Wed</t>
  </si>
  <si>
    <r>
      <rPr>
        <rFont val="Arial"/>
        <b/>
        <color rgb="FF000000"/>
      </rPr>
      <t>Coconut Curry Salmon</t>
    </r>
    <r>
      <rPr>
        <rFont val="Arial"/>
        <b/>
        <color rgb="FF000000"/>
      </rPr>
      <t xml:space="preserve">
Basamati Rice, Green Bean Stir Fry </t>
    </r>
  </si>
  <si>
    <r>
      <rPr>
        <rFont val="Arial"/>
        <b/>
        <color rgb="FF000000"/>
      </rPr>
      <t>Thai Steak Salad</t>
    </r>
    <r>
      <rPr>
        <rFont val="Arial"/>
        <b/>
        <color rgb="FF000000"/>
      </rPr>
      <t xml:space="preserve">
 Kale, Edamame, Shredded Carrots, Red Bell Peppers, Mango, Green Onion, Hard Boiled Egg, Spicy Tahini Dressing and Sesame Chili Lime Cashews </t>
    </r>
  </si>
  <si>
    <t>Choice of Entree: Reheatable or Salad</t>
  </si>
  <si>
    <t>Thurs</t>
  </si>
  <si>
    <r>
      <rPr>
        <rFont val="Arial"/>
        <b/>
        <color rgb="FF000000"/>
      </rPr>
      <t xml:space="preserve">Mojo Surf and Turf Skewers </t>
    </r>
    <r>
      <rPr>
        <rFont val="Arial"/>
        <b/>
        <color rgb="FF000000"/>
      </rPr>
      <t xml:space="preserve">
Mojo Marinated Steak and Shrimp Skewers, Arroz Amarillo, Black Beans, Pineapple Avocado Salad </t>
    </r>
  </si>
  <si>
    <r>
      <rPr>
        <rFont val="Arial"/>
        <b/>
        <color rgb="FF000000"/>
      </rPr>
      <t xml:space="preserve">Fajita Salad </t>
    </r>
    <r>
      <rPr>
        <rFont val="Arial"/>
        <b/>
        <color rgb="FF000000"/>
      </rPr>
      <t xml:space="preserve">
Chipotle Lime Chicken, Sauteed Peppers and Onions, Black Beans, Shredded Cheddar, Avocado, Taco Ranch Dressing </t>
    </r>
  </si>
  <si>
    <t>Fri</t>
  </si>
  <si>
    <r>
      <rPr>
        <rFont val="Arial"/>
        <b/>
        <color rgb="FF000000"/>
      </rPr>
      <t xml:space="preserve">Steak Au Poivre 
</t>
    </r>
    <r>
      <rPr>
        <rFont val="Arial"/>
        <b/>
        <color rgb="FF000000"/>
      </rPr>
      <t>Bacon Wrapped Green Bean, Whipped Mashed Potatoes</t>
    </r>
  </si>
  <si>
    <r>
      <rPr>
        <rFont val="Arial"/>
        <b/>
        <color rgb="FF000000"/>
      </rPr>
      <t>Herbed Salmon Salad</t>
    </r>
    <r>
      <rPr>
        <rFont val="Arial"/>
        <b/>
        <color rgb="FF000000"/>
      </rPr>
      <t xml:space="preserve">
Grilled Salmon, Romaine, Mixed Greens, Roasted Corn Salsa, Cherry Tomatoes, Tajin Pepitas, Cilantro Vinegarette  </t>
    </r>
  </si>
  <si>
    <t>Sat</t>
  </si>
  <si>
    <r>
      <rPr>
        <rFont val="Arial"/>
        <b/>
        <color rgb="FF000000"/>
      </rPr>
      <t xml:space="preserve">Traditional Moussaka
</t>
    </r>
    <r>
      <rPr>
        <rFont val="Arial"/>
        <b/>
        <color rgb="FF000000"/>
      </rPr>
      <t xml:space="preserve">Beef and Eggplant Lasagna with layers of Tomato Sauce and Bechmel, Garlic Spinach </t>
    </r>
  </si>
  <si>
    <r>
      <rPr>
        <rFont val="Arial"/>
        <b/>
        <color rgb="FF000000"/>
      </rPr>
      <t xml:space="preserve">Greek Chicken Salad </t>
    </r>
    <r>
      <rPr>
        <rFont val="Arial"/>
        <b/>
        <color rgb="FF000000"/>
      </rPr>
      <t xml:space="preserve">
Chopped Romaine, Herbs, Red Onions, Cucumber, Marinated Feta, Chickpeas, Cooked Orzo, Tzatziki Vinegarette </t>
    </r>
  </si>
  <si>
    <t>Sun</t>
  </si>
  <si>
    <r>
      <rPr>
        <rFont val="Arial"/>
        <b/>
        <color rgb="FF000000"/>
      </rPr>
      <t>Baked Gnocci with Italian Sausage and Kale</t>
    </r>
    <r>
      <rPr>
        <rFont val="Arial"/>
        <b/>
        <color rgb="FF000000"/>
      </rPr>
      <t xml:space="preserve">
Rustic Marinara, Italian Sausage, Kale, Sauteed Peppers and Onions, Mozzarella and Parmessan, Garlic Toast </t>
    </r>
  </si>
  <si>
    <r>
      <rPr>
        <rFont val="Arial"/>
        <b/>
        <color rgb="FF000000"/>
      </rPr>
      <t xml:space="preserve">Pesto Chicken Salad </t>
    </r>
    <r>
      <rPr>
        <rFont val="Arial"/>
        <b/>
        <color rgb="FF000000"/>
      </rPr>
      <t xml:space="preserve">
Chopped Romaine, Cous Cous, Grilled Corn, Gannelimi Beans, Avocado, Sundried Tomatoes, Pesto Vinegarette </t>
    </r>
  </si>
  <si>
    <t>Week 4</t>
  </si>
  <si>
    <r>
      <rPr>
        <rFont val="Arial"/>
        <b/>
        <color rgb="FF000000"/>
      </rPr>
      <t xml:space="preserve">Grilled Lemon Chicken 
</t>
    </r>
    <r>
      <rPr>
        <rFont val="Arial"/>
        <b/>
        <color rgb="FF000000"/>
      </rPr>
      <t xml:space="preserve">Risotto with Parsley Puree and Garlic Confit, Seared Squash Medey </t>
    </r>
  </si>
  <si>
    <r>
      <rPr>
        <rFont val="Arial"/>
        <b/>
        <color rgb="FF000000"/>
      </rPr>
      <t xml:space="preserve">Balsamic Steak and Gorgonzola Salad </t>
    </r>
    <r>
      <rPr>
        <rFont val="Arial"/>
        <b/>
        <color rgb="FF000000"/>
      </rPr>
      <t xml:space="preserve">
Spring Mix, Cherry Tomatoes, Red Onion, Gorgonzola Cheese, Grilled Corn , Gremolata, Balsamic Vinegarette </t>
    </r>
  </si>
  <si>
    <r>
      <rPr>
        <rFont val="Arial"/>
        <b/>
        <color rgb="FF000000"/>
      </rPr>
      <t>Sage Chicken Meatballs</t>
    </r>
    <r>
      <rPr>
        <rFont val="Arial"/>
        <b/>
        <color rgb="FF000000"/>
      </rPr>
      <t xml:space="preserve">
Parmesan Orzo, Garlic Roasted Broccolini </t>
    </r>
  </si>
  <si>
    <r>
      <rPr>
        <rFont val="Arial"/>
        <b/>
        <color rgb="FF000000"/>
      </rPr>
      <t xml:space="preserve">Italian Sub Salad </t>
    </r>
    <r>
      <rPr>
        <rFont val="Arial"/>
        <b/>
        <color rgb="FF000000"/>
      </rPr>
      <t xml:space="preserve">
Chopped Romaine, Pepperoni, Salami, Peperonchini, White Onion, Provalone, Red Bell Peppers, Cucumber, Tomato, Giardinera Dijon Vinegarete </t>
    </r>
  </si>
  <si>
    <r>
      <rPr>
        <rFont val="Arial"/>
        <b/>
        <color rgb="FF000000"/>
      </rPr>
      <t xml:space="preserve">Grilled Skirt Steak with Poblano Crema
</t>
    </r>
    <r>
      <rPr>
        <rFont val="Arial"/>
        <b/>
        <color rgb="FF000000"/>
      </rPr>
      <t>Chili Rellano Casserole, Sauteed Squash and Peppers</t>
    </r>
  </si>
  <si>
    <r>
      <rPr>
        <rFont val="Arial"/>
        <b/>
        <color rgb="FF000000"/>
      </rPr>
      <t xml:space="preserve">Street Corn Chopped Salad </t>
    </r>
    <r>
      <rPr>
        <rFont val="Arial"/>
        <b/>
        <color rgb="FF000000"/>
      </rPr>
      <t xml:space="preserve">
Grilled Chicken, Chopped Romane, Cabbage, Kale, Grilled Corn, Cotija Cheese, Avocado, Tajin Ranch Dressing </t>
    </r>
  </si>
  <si>
    <r>
      <rPr>
        <rFont val="Arial"/>
        <b/>
        <color rgb="FF000000"/>
      </rPr>
      <t xml:space="preserve">Spaghetti Bolognaise
</t>
    </r>
    <r>
      <rPr>
        <rFont val="Arial"/>
        <b/>
        <color rgb="FF000000"/>
      </rPr>
      <t xml:space="preserve">Cheesy Garlic Bread, Garlic Roasted Green Beans </t>
    </r>
  </si>
  <si>
    <r>
      <rPr>
        <rFont val="Arial"/>
        <b/>
        <color rgb="FF000000"/>
      </rPr>
      <t xml:space="preserve">Kale Ceasar Salad </t>
    </r>
    <r>
      <rPr>
        <rFont val="Arial"/>
        <b/>
        <color rgb="FF000000"/>
      </rPr>
      <t xml:space="preserve">
Griled Lemon Chicken, Chopped Kale and Romaine, Sundried Tomatoes, Cucumbers, Crispy Chickpeas, Shaved Parmesan, Creamy Caesar Dressing </t>
    </r>
  </si>
  <si>
    <r>
      <rPr>
        <rFont val="Arial"/>
        <b/>
        <color rgb="FF000000"/>
      </rPr>
      <t xml:space="preserve">Spinach and Artichoke Stuffed Pork Loin
</t>
    </r>
    <r>
      <rPr>
        <rFont val="Arial"/>
        <b/>
        <color rgb="FF000000"/>
      </rPr>
      <t xml:space="preserve">Lemon Orzo and Sauteed Asparagus </t>
    </r>
  </si>
  <si>
    <r>
      <rPr>
        <rFont val="Arial"/>
        <b/>
        <color rgb="FF000000"/>
      </rPr>
      <t xml:space="preserve">Mediterean Salmon Salad </t>
    </r>
    <r>
      <rPr>
        <rFont val="Arial"/>
        <b/>
        <color rgb="FF000000"/>
      </rPr>
      <t xml:space="preserve">
Chopped Romaine, Kalamata Olives, Sun Dried Tomatoes, Feta Cheese, Artichoke Hearts, Cucumber, Greek Vinegarette </t>
    </r>
  </si>
  <si>
    <r>
      <rPr>
        <rFont val="Arial"/>
        <b/>
        <color rgb="FF000000"/>
      </rPr>
      <t xml:space="preserve">Grilled Skirt Steak with Herb Butter
</t>
    </r>
    <r>
      <rPr>
        <rFont val="Arial"/>
        <b/>
        <color rgb="FF000000"/>
      </rPr>
      <t xml:space="preserve">Carmelized Onion Mashed Potatoes, Steamed Carrots  </t>
    </r>
  </si>
  <si>
    <r>
      <rPr>
        <rFont val="Arial"/>
        <b/>
        <color rgb="FF000000"/>
      </rPr>
      <t xml:space="preserve">Salmon Nicoise Salad </t>
    </r>
    <r>
      <rPr>
        <rFont val="Arial"/>
        <b/>
        <color rgb="FF000000"/>
      </rPr>
      <t xml:space="preserve">
Poached Salmon, Butter Lettuce, Green Beans, Olives, New Potatoes, Egg, Tomato, Red Onion, Herb Vinegarette  </t>
    </r>
  </si>
  <si>
    <r>
      <rPr>
        <rFont val="Arial"/>
        <b/>
        <color rgb="FF000000"/>
      </rPr>
      <t xml:space="preserve">Beef Bulgolgi </t>
    </r>
    <r>
      <rPr>
        <rFont val="Arial"/>
        <b/>
        <color rgb="FF000000"/>
      </rPr>
      <t xml:space="preserve">
Steamed Sticky Rice, Pickled Carrots, Kimchi, Lettuce Wraps </t>
    </r>
  </si>
  <si>
    <r>
      <rPr>
        <rFont val="Arial"/>
        <b/>
        <color rgb="FF000000"/>
      </rPr>
      <t xml:space="preserve">Sesame Chop Chicken Salad </t>
    </r>
    <r>
      <rPr>
        <rFont val="Arial"/>
        <b/>
        <color rgb="FF000000"/>
      </rPr>
      <t xml:space="preserve">
Sesame Marinaded Chicken, Chopped Cabbage, ROmaine, Carrots, Green Onions, Mandarine Oranges, Almonds, Wontons, Sesame Orange Vinegarette </t>
    </r>
  </si>
  <si>
    <t>Week 1</t>
  </si>
  <si>
    <r>
      <rPr>
        <rFont val="Arial"/>
        <b/>
        <color rgb="FF000000"/>
      </rPr>
      <t xml:space="preserve">Grilled Chicken and Pineapple Skewers </t>
    </r>
    <r>
      <rPr>
        <rFont val="Arial"/>
        <b/>
        <color rgb="FF000000"/>
      </rPr>
      <t xml:space="preserve">
Blackbeans and Coconut Rice, Roasted Vegetables, Avocado Dipping Sauce </t>
    </r>
  </si>
  <si>
    <r>
      <rPr>
        <rFont val="Arial"/>
        <b/>
        <color rgb="FF000000"/>
      </rPr>
      <t xml:space="preserve">Jerk Shrimp Cobb Salad </t>
    </r>
    <r>
      <rPr>
        <rFont val="Arial"/>
        <b/>
        <color rgb="FF000000"/>
      </rPr>
      <t xml:space="preserve">
Spring Mix, Avocado, Goat Cheese, Bacon, Tomato, Red Onions,  Mango Ginger Dressing </t>
    </r>
  </si>
  <si>
    <r>
      <rPr>
        <rFont val="Arial"/>
        <b/>
        <color rgb="FF000000"/>
      </rPr>
      <t xml:space="preserve">Broccoli and Cheese Stuffed Chicken </t>
    </r>
    <r>
      <rPr>
        <rFont val="Arial"/>
        <b/>
        <color rgb="FF000000"/>
      </rPr>
      <t xml:space="preserve">
Sweet Potato Gratin, Charred Cauliflower </t>
    </r>
  </si>
  <si>
    <r>
      <rPr>
        <rFont val="Arial"/>
        <b/>
        <color rgb="FF000000"/>
      </rPr>
      <t xml:space="preserve">Honey Mustard Chicken Salad </t>
    </r>
    <r>
      <rPr>
        <rFont val="Arial"/>
        <b/>
        <color rgb="FF000000"/>
      </rPr>
      <t xml:space="preserve">
Spring Mix, Seared Salmon, Avocado, Pickled Red Onionm Bacon, Tomatoes, Honey Mustard Dressing </t>
    </r>
  </si>
  <si>
    <r>
      <rPr>
        <rFont val="Arial"/>
        <b/>
        <color rgb="FF000000"/>
      </rPr>
      <t xml:space="preserve">Chesapeake Chicken </t>
    </r>
    <r>
      <rPr>
        <rFont val="Arial"/>
        <b/>
        <color rgb="FF000000"/>
      </rPr>
      <t xml:space="preserve">
Baked Potatoes and Steamed Vegetable Medley</t>
    </r>
  </si>
  <si>
    <r>
      <rPr>
        <rFont val="Arial"/>
        <b/>
        <color rgb="FF000000"/>
      </rPr>
      <t>Old Bay Wedge Salad</t>
    </r>
    <r>
      <rPr>
        <rFont val="Arial"/>
        <b/>
        <color rgb="FF000000"/>
      </rPr>
      <t xml:space="preserve">
Seasoned Shrimp, Capers, Tomatoes, Old Bay Breadcrumbs, Hot Sauce Dressing </t>
    </r>
  </si>
  <si>
    <r>
      <rPr>
        <rFont val="Arial"/>
        <b/>
        <color rgb="FF000000"/>
      </rPr>
      <t xml:space="preserve">Lobster Ravioli </t>
    </r>
    <r>
      <rPr>
        <rFont val="Arial"/>
        <b/>
        <color rgb="FF000000"/>
      </rPr>
      <t xml:space="preserve">
Vodka Sauce, Shrimp, Garlic Roasted Broccoli </t>
    </r>
  </si>
  <si>
    <r>
      <rPr>
        <rFont val="Arial"/>
        <b/>
        <color rgb="FF000000"/>
      </rPr>
      <t>Balsamic Chicken Avocado Caprese Salad</t>
    </r>
    <r>
      <rPr>
        <rFont val="Arial"/>
        <b/>
        <color rgb="FF000000"/>
      </rPr>
      <t xml:space="preserve">
Chopped Romaine, Cherry Tomatoes, Mozzarella Cheese, Avocado, Basil, Balsamic Vinegarette </t>
    </r>
  </si>
  <si>
    <r>
      <rPr>
        <rFont val="Arial"/>
        <b/>
        <color rgb="FF000000"/>
      </rPr>
      <t xml:space="preserve">BBQ Brisket </t>
    </r>
    <r>
      <rPr>
        <rFont val="Arial"/>
        <b/>
        <color rgb="FF000000"/>
      </rPr>
      <t xml:space="preserve">
Baked Mac and Cheese, Grilled Vegetables, Cornbread, Smokey BBQ Sauce </t>
    </r>
  </si>
  <si>
    <r>
      <rPr>
        <rFont val="Arial"/>
        <b/>
        <color rgb="FF000000"/>
      </rPr>
      <t xml:space="preserve">BBQ Chicken Salad </t>
    </r>
    <r>
      <rPr>
        <rFont val="Arial"/>
        <b/>
        <color rgb="FF000000"/>
      </rPr>
      <t xml:space="preserve">
Grilled BBQ Chicken, Mixed Greens, Cheddar Cheese, Cowboy Caviar, Avocado, Cornbread Croutons, BBQ Ranch  </t>
    </r>
  </si>
  <si>
    <t>Week 2</t>
  </si>
  <si>
    <r>
      <rPr>
        <rFont val="Arial"/>
        <b/>
        <color rgb="FF000000"/>
      </rPr>
      <t xml:space="preserve">Green Goddess Chicken </t>
    </r>
    <r>
      <rPr>
        <rFont val="Arial"/>
        <b/>
        <color rgb="FF000000"/>
      </rPr>
      <t xml:space="preserve">
Roasted Shaved Brussel Sprouts, Angel Hair Pasta with Light Alfredo </t>
    </r>
  </si>
  <si>
    <r>
      <rPr>
        <rFont val="Arial"/>
        <b/>
        <color rgb="FF000000"/>
      </rPr>
      <t xml:space="preserve">Everything Bagel Salmon Salad </t>
    </r>
    <r>
      <rPr>
        <rFont val="Arial"/>
        <b/>
        <color rgb="FF000000"/>
      </rPr>
      <t xml:space="preserve">
Spring Mix, Arugula, Dill, Hard Boiled Eggs, Tomato, Cucumber, Red Onion, Capers, Bagel Chips, Chive Ranch </t>
    </r>
  </si>
  <si>
    <r>
      <rPr>
        <rFont val="Arial"/>
        <b/>
        <color rgb="FF000000"/>
      </rPr>
      <t xml:space="preserve">Smoked Paprika Chicken 
</t>
    </r>
    <r>
      <rPr>
        <rFont val="Arial"/>
        <b/>
        <color rgb="FF000000"/>
      </rPr>
      <t xml:space="preserve">Creamed Spinach, Herb Roasted Red Potatoes </t>
    </r>
  </si>
  <si>
    <r>
      <rPr>
        <rFont val="Arial"/>
        <b/>
        <color rgb="FF000000"/>
      </rPr>
      <t xml:space="preserve">Grilled Steak Romesco Salad </t>
    </r>
    <r>
      <rPr>
        <rFont val="Arial"/>
        <b/>
        <color rgb="FF000000"/>
      </rPr>
      <t xml:space="preserve">
Spinach, Farro, Roasted Cauliflower, Tomatoes, Breadcrumbs, Romesco Vinegarette</t>
    </r>
  </si>
  <si>
    <r>
      <rPr>
        <rFont val="Arial"/>
        <b/>
        <color rgb="FF000000"/>
      </rPr>
      <t xml:space="preserve">Pork Egg Roll In A Bowl </t>
    </r>
    <r>
      <rPr>
        <rFont val="Arial"/>
        <b/>
        <color rgb="FF000000"/>
      </rPr>
      <t xml:space="preserve">
Stir Fried Ground Pork, Shredded Cabbage, Carrots, Scallions, Wonton Strips, Steamed Rice,  Bang Bang Sauce</t>
    </r>
  </si>
  <si>
    <r>
      <rPr>
        <rFont val="Arial"/>
        <b/>
        <color rgb="FF000000"/>
      </rPr>
      <t xml:space="preserve">Chicken Spinach Salad </t>
    </r>
    <r>
      <rPr>
        <rFont val="Arial"/>
        <b/>
        <color rgb="FF000000"/>
      </rPr>
      <t xml:space="preserve">
Spinach, Grilled Chicken, Goat Cheese, Mandarin Oranges, Bluebberies, Strawberries, Toasted Almonds, Balsamic Dressing </t>
    </r>
  </si>
  <si>
    <t xml:space="preserve">Coconut Curry Salmon
Basamati Rice, Green Bean Stir Fry </t>
  </si>
  <si>
    <r>
      <rPr>
        <rFont val="Arial"/>
        <b/>
        <color rgb="FF000000"/>
      </rPr>
      <t>Thai Steak Salad</t>
    </r>
    <r>
      <rPr>
        <rFont val="Arial"/>
        <b/>
        <color rgb="FF000000"/>
      </rPr>
      <t xml:space="preserve">
 Kale, Edamame, Shredded Carrots, Red Bell Peppers, Mango, Green Onion, Hard Boiled Egg, Spicy Tahini Dressing and Sesame Chili Lime Cashews </t>
    </r>
  </si>
  <si>
    <t>s</t>
  </si>
  <si>
    <r>
      <rPr>
        <rFont val="Arial"/>
        <b/>
        <color rgb="FF000000"/>
      </rPr>
      <t xml:space="preserve">Steak Au Poivre 
</t>
    </r>
    <r>
      <rPr>
        <rFont val="Arial"/>
        <b/>
        <color rgb="FF000000"/>
      </rPr>
      <t>Bacon Wrapped Green Bean, Whipped Mashed Potatoes</t>
    </r>
  </si>
  <si>
    <r>
      <rPr>
        <rFont val="Arial"/>
        <b/>
        <color rgb="FF000000"/>
      </rPr>
      <t>Herbed Salmon Salad</t>
    </r>
    <r>
      <rPr>
        <rFont val="Arial"/>
        <b/>
        <color rgb="FF000000"/>
      </rPr>
      <t xml:space="preserve">
Grilled Salmon, Romaine, Mixed Greens, Roasted Corn Salsa, Cherry Tomatoes, Tajin Pepitas, Cilantro Vinegarette  </t>
    </r>
  </si>
  <si>
    <r>
      <rPr>
        <rFont val="Arial"/>
        <b/>
        <color rgb="FF000000"/>
      </rPr>
      <t xml:space="preserve">Traditional Moussaka
</t>
    </r>
    <r>
      <rPr>
        <rFont val="Arial"/>
        <b/>
        <color rgb="FF000000"/>
      </rPr>
      <t xml:space="preserve">Beef and Eggplant Lasagna with layers of Tomato Sauce and Bechmel, Garlic Spinach </t>
    </r>
  </si>
  <si>
    <r>
      <rPr>
        <rFont val="Arial"/>
        <b/>
        <color rgb="FF000000"/>
      </rPr>
      <t xml:space="preserve">Greek Chicken Salad </t>
    </r>
    <r>
      <rPr>
        <rFont val="Arial"/>
        <b/>
        <color rgb="FF000000"/>
      </rPr>
      <t xml:space="preserve">
Chopped Romaine, Herbs, Red Onions, Cucumber, Marinated Feta, Chickpeas, Cooked Orzo, Tzatziki Vinegarette </t>
    </r>
  </si>
  <si>
    <r>
      <rPr>
        <rFont val="Arial"/>
        <b/>
        <color rgb="FF000000"/>
      </rPr>
      <t>Baked Gnocci with Italian Sausage and Kale</t>
    </r>
    <r>
      <rPr>
        <rFont val="Arial"/>
        <b/>
        <color rgb="FF000000"/>
      </rPr>
      <t xml:space="preserve">
Rustic Marinara, Italian Sausage, Kale, Sauteed Peppers and Onions, Mozzarella and Parmessan, Garlic Toast </t>
    </r>
  </si>
  <si>
    <r>
      <rPr>
        <rFont val="Arial"/>
        <b/>
        <color rgb="FF000000"/>
      </rPr>
      <t xml:space="preserve">Pesto Chicken Salad </t>
    </r>
    <r>
      <rPr>
        <rFont val="Arial"/>
        <b/>
        <color rgb="FF000000"/>
      </rPr>
      <t xml:space="preserve">
Chopped Romaine, Cous Cous, Grilled Corn, Gannelimi Beans, Avocado, Sundried Tomatoes, Pesto Vinegarette </t>
    </r>
  </si>
  <si>
    <r>
      <rPr>
        <rFont val="Arial"/>
        <b/>
        <color rgb="FF000000"/>
      </rPr>
      <t xml:space="preserve">Grilled Lemon Chicken 
</t>
    </r>
    <r>
      <rPr>
        <rFont val="Arial"/>
        <b/>
        <color rgb="FF000000"/>
      </rPr>
      <t xml:space="preserve">Risotto with Parsley Puree and Garlic Confit, Seared Squash Medey </t>
    </r>
  </si>
  <si>
    <r>
      <rPr>
        <rFont val="Arial"/>
        <b/>
        <color rgb="FF000000"/>
      </rPr>
      <t xml:space="preserve">Balsamic Steak and Gorgonzola Salad </t>
    </r>
    <r>
      <rPr>
        <rFont val="Arial"/>
        <b/>
        <color rgb="FF000000"/>
      </rPr>
      <t xml:space="preserve">
Spring Mix, Cherry Tomatoes, Red Onion, Gorgonzola Cheese, Grilled Corn , Gremolata, Balsamic Vinegarette </t>
    </r>
  </si>
  <si>
    <r>
      <rPr>
        <rFont val="Arial"/>
        <b/>
        <color rgb="FF000000"/>
      </rPr>
      <t>Sage Chicken Meatballs</t>
    </r>
    <r>
      <rPr>
        <rFont val="Arial"/>
        <b/>
        <color rgb="FF000000"/>
      </rPr>
      <t xml:space="preserve">
Parmesan Orzo, Garlic Roasted Broccolini </t>
    </r>
  </si>
  <si>
    <r>
      <rPr>
        <rFont val="Arial"/>
        <b/>
        <color rgb="FF000000"/>
      </rPr>
      <t xml:space="preserve">Italian Sub Salad </t>
    </r>
    <r>
      <rPr>
        <rFont val="Arial"/>
        <b/>
        <color rgb="FF000000"/>
      </rPr>
      <t xml:space="preserve">
Chopped Romaine, Pepperoni, Salami, Peperonchini, White Onion, Provalone, Red Bell Peppers, Cucumber, Tomato, Giardinera Dijon Vinegarete </t>
    </r>
  </si>
  <si>
    <r>
      <rPr>
        <rFont val="Arial"/>
        <b/>
        <color rgb="FF000000"/>
      </rPr>
      <t xml:space="preserve">Grilled Skirt Steak with Poblano Crema
</t>
    </r>
    <r>
      <rPr>
        <rFont val="Arial"/>
        <b/>
        <color rgb="FF000000"/>
      </rPr>
      <t>Chili Rellano Casserole, Sauteed Squash and Peppers</t>
    </r>
  </si>
  <si>
    <r>
      <rPr>
        <rFont val="Arial"/>
        <b/>
        <color rgb="FF000000"/>
      </rPr>
      <t xml:space="preserve">Street Corn Chopped Salad </t>
    </r>
    <r>
      <rPr>
        <rFont val="Arial"/>
        <b/>
        <color rgb="FF000000"/>
      </rPr>
      <t xml:space="preserve">
Grilled Chicken, Chopped Romane, Cabbage, Kale, Grilled Corn, Cotija Cheese, Avocado, Tajin Ranch Dressing </t>
    </r>
  </si>
  <si>
    <r>
      <rPr>
        <rFont val="Arial"/>
        <b/>
        <color rgb="FF000000"/>
      </rPr>
      <t xml:space="preserve">Spaghetti Bolognaise
</t>
    </r>
    <r>
      <rPr>
        <rFont val="Arial"/>
        <b/>
        <color rgb="FF000000"/>
      </rPr>
      <t xml:space="preserve">Cheesy Garlic Bread, Garlic Roasted Green Beans </t>
    </r>
  </si>
  <si>
    <r>
      <rPr>
        <rFont val="Arial"/>
        <b/>
        <color rgb="FF000000"/>
      </rPr>
      <t xml:space="preserve">Kale Ceasar Salad </t>
    </r>
    <r>
      <rPr>
        <rFont val="Arial"/>
        <b/>
        <color rgb="FF000000"/>
      </rPr>
      <t xml:space="preserve">
Griled Lemon Chicken, Chopped Kale and Romaine, Sundried Tomatoes, Cucumbers, Crispy Chickpeas, Shaved Parmesan, Creamy Caesar Dressing </t>
    </r>
  </si>
  <si>
    <t>Ashley Email</t>
  </si>
  <si>
    <t>ACTUALS</t>
  </si>
  <si>
    <t>Price</t>
  </si>
  <si>
    <t>Projected numbers</t>
  </si>
  <si>
    <t>MLB: 8885</t>
  </si>
  <si>
    <t>MLB Meals: 8698</t>
  </si>
  <si>
    <t>MiLB Meals: 52443</t>
  </si>
  <si>
    <t>MiLB Meals: 52272</t>
  </si>
  <si>
    <t>MiLB Snack: 3720</t>
  </si>
  <si>
    <t>MiLB Snack: 3900</t>
  </si>
  <si>
    <t>MiLB Continental: 2369</t>
  </si>
  <si>
    <t>MiLB Continental: 1170</t>
  </si>
  <si>
    <t>Rehab Meals: 10855</t>
  </si>
  <si>
    <t>Rehab Meals: 14170</t>
  </si>
  <si>
    <t>Total: 78272</t>
  </si>
  <si>
    <t>Total: 80208</t>
  </si>
  <si>
    <t>Difference</t>
  </si>
  <si>
    <t>30% of Difference</t>
  </si>
  <si>
    <t>KF Documentation</t>
  </si>
  <si>
    <t>MLB</t>
  </si>
  <si>
    <t>MiLB Meals</t>
  </si>
  <si>
    <t>MiLB Snack</t>
  </si>
  <si>
    <t>MiLB Continental</t>
  </si>
  <si>
    <t>Rehab Meals</t>
  </si>
  <si>
    <t>Total</t>
  </si>
  <si>
    <t>Cincinnati Reds @ Goodyear, AZ</t>
  </si>
  <si>
    <t xml:space="preserve">Major League </t>
  </si>
  <si>
    <t>Minor League</t>
  </si>
  <si>
    <t>Rehab</t>
  </si>
  <si>
    <t>TOTALS</t>
  </si>
  <si>
    <t>Breakfast</t>
  </si>
  <si>
    <t>Lunch</t>
  </si>
  <si>
    <t>Dinner</t>
  </si>
  <si>
    <t>Pre-Game Snack</t>
  </si>
  <si>
    <t>Coffee Service (tax-free)</t>
  </si>
  <si>
    <t>Fountain Bev (tax-free)</t>
  </si>
  <si>
    <t>Continental Plus</t>
  </si>
  <si>
    <t>Total Revenue</t>
  </si>
  <si>
    <t>Total Meals</t>
  </si>
  <si>
    <t>Total Bev Services</t>
  </si>
  <si>
    <t>Total Charged Items</t>
  </si>
  <si>
    <t>Average $/Item</t>
  </si>
  <si>
    <t>OFF</t>
  </si>
  <si>
    <t xml:space="preserve"> </t>
  </si>
  <si>
    <t>Early Camp</t>
  </si>
  <si>
    <t>Blank</t>
  </si>
  <si>
    <t>Extended</t>
  </si>
  <si>
    <t>ACL</t>
  </si>
  <si>
    <t>Instructs/Camps</t>
  </si>
  <si>
    <t>2024 Increase:</t>
  </si>
  <si>
    <t>Meals, buffet</t>
  </si>
  <si>
    <t>Sum</t>
  </si>
  <si>
    <t>MiLB</t>
  </si>
  <si>
    <t>Snacks</t>
  </si>
  <si>
    <t>Continental +</t>
  </si>
  <si>
    <t>Coffee</t>
  </si>
  <si>
    <t>Fountain</t>
  </si>
  <si>
    <t>Grand Total</t>
  </si>
  <si>
    <t>Meals (to which the service fee is applied)</t>
  </si>
  <si>
    <t>Total est. sum of meals</t>
  </si>
  <si>
    <t>Service fee (30%) allocation based on est. meals served</t>
  </si>
  <si>
    <t>Coffee and Fountain investment</t>
  </si>
  <si>
    <t>Total Estimated yearly investment in 2024</t>
  </si>
  <si>
    <t>Post Service-fee Per Head Pricing</t>
  </si>
  <si>
    <t>Breakfast/lunch/dinner</t>
  </si>
  <si>
    <t>Plus tax</t>
  </si>
  <si>
    <t>Snack</t>
  </si>
  <si>
    <t>Beverage (per week)</t>
  </si>
  <si>
    <t>No tax</t>
  </si>
  <si>
    <t>Total Estimated yearly inbestment in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</si>
</sst>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_);[Red]\(&quot;$&quot;#,##0\)"/>
    <numFmt numFmtId="165" formatCode="&quot;$&quot;#,##0.00"/>
    <numFmt numFmtId="166" formatCode="&quot;$&quot;#,##0.00_);[Red]\(&quot;$&quot;#,##0.00\)"/>
  </numFmts>
  <fonts count="22">
    <font>
      <sz val="10.0"/>
      <color rgb="FF000000"/>
      <name val="Arial"/>
      <scheme val="minor"/>
    </font>
    <font>
      <b/>
      <sz val="18.0"/>
      <color rgb="FF000000"/>
      <name val="Arial"/>
    </font>
    <font/>
    <font>
      <b/>
      <sz val="12.0"/>
      <color rgb="FF000000"/>
      <name val="Arial"/>
    </font>
    <font>
      <b/>
      <sz val="15.0"/>
      <color rgb="FF000000"/>
      <name val="Arial"/>
    </font>
    <font>
      <b/>
      <sz val="16.0"/>
      <color rgb="FF000000"/>
      <name val="Arial"/>
    </font>
    <font>
      <sz val="10.0"/>
      <color rgb="FF000000"/>
      <name val="Arial"/>
    </font>
    <font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212121"/>
      <name val="Arial"/>
    </font>
    <font>
      <sz val="11.0"/>
      <color rgb="FF212121"/>
      <name val="Arial"/>
    </font>
    <font>
      <b/>
      <sz val="12.0"/>
      <color theme="1"/>
      <name val="Arial"/>
    </font>
    <font>
      <b/>
      <sz val="16.0"/>
      <color theme="0"/>
      <name val="Arial"/>
    </font>
    <font>
      <b/>
      <sz val="16.0"/>
      <color rgb="FFFFFFFF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  <font>
      <i/>
      <sz val="6.0"/>
      <color theme="1"/>
      <name val="Arial"/>
    </font>
    <font>
      <b/>
      <color theme="1"/>
      <name val="Arial"/>
    </font>
    <font>
      <b/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/>
    </xf>
    <xf borderId="4" fillId="3" fontId="4" numFmtId="0" xfId="0" applyAlignment="1" applyBorder="1" applyFill="1" applyFont="1">
      <alignment horizontal="left" shrinkToFit="0" vertical="bottom" wrapText="1"/>
    </xf>
    <xf borderId="4" fillId="4" fontId="5" numFmtId="0" xfId="0" applyAlignment="1" applyBorder="1" applyFill="1" applyFont="1">
      <alignment horizontal="left" readingOrder="0" shrinkToFit="0" textRotation="0" wrapText="1"/>
    </xf>
    <xf borderId="4" fillId="4" fontId="6" numFmtId="0" xfId="0" applyAlignment="1" applyBorder="1" applyFill="1" applyFont="1">
      <alignment horizontal="left" readingOrder="0"/>
    </xf>
    <xf borderId="4" fillId="4" fontId="6" numFmtId="14" xfId="0" applyAlignment="1" applyBorder="1" applyFill="1" applyFont="1" applyNumberFormat="1">
      <alignment horizontal="left" readingOrder="0"/>
    </xf>
    <xf borderId="4" fillId="4" fontId="6" numFmtId="0" xfId="0" applyAlignment="1" applyBorder="1" applyFill="1" applyFont="1">
      <alignment horizontal="left"/>
    </xf>
    <xf borderId="4" fillId="0" fontId="7" numFmtId="0" xfId="0" applyAlignment="1" applyBorder="1" applyFont="1">
      <alignment horizontal="left" readingOrder="0"/>
    </xf>
    <xf borderId="4" fillId="4" fontId="6" numFmtId="164" xfId="0" applyAlignment="1" applyBorder="1" applyFill="1" applyFont="1" applyNumberFormat="1">
      <alignment horizontal="left" readingOrder="0"/>
    </xf>
    <xf borderId="4" fillId="4" fontId="6" numFmtId="14" xfId="0" applyAlignment="1" applyBorder="1" applyFill="1" applyFont="1" applyNumberFormat="1">
      <alignment horizontal="left"/>
    </xf>
    <xf borderId="4" fillId="3" fontId="6" numFmtId="0" xfId="0" applyAlignment="1" applyBorder="1" applyFill="1" applyFont="1">
      <alignment horizontal="left" readingOrder="0"/>
    </xf>
    <xf borderId="4" fillId="3" fontId="6" numFmtId="14" xfId="0" applyAlignment="1" applyBorder="1" applyFill="1" applyFont="1" applyNumberFormat="1">
      <alignment horizontal="left"/>
    </xf>
    <xf borderId="4" fillId="3" fontId="6" numFmtId="0" xfId="0" applyAlignment="1" applyBorder="1" applyFill="1" applyFont="1">
      <alignment horizontal="left"/>
    </xf>
    <xf borderId="4" fillId="3" fontId="8" numFmtId="164" xfId="0" applyAlignment="1" applyBorder="1" applyFill="1" applyFont="1" applyNumberFormat="1">
      <alignment horizontal="left" shrinkToFit="0" vertical="bottom" wrapText="1"/>
    </xf>
    <xf borderId="4" fillId="3" fontId="8" numFmtId="0" xfId="0" applyAlignment="1" applyBorder="1" applyFill="1" applyFont="1">
      <alignment horizontal="left" shrinkToFit="0" vertical="bottom" wrapText="1"/>
    </xf>
    <xf borderId="4" fillId="4" fontId="6" numFmtId="0" xfId="0" applyAlignment="1" applyBorder="1" applyFill="1" applyFont="1">
      <alignment horizontal="left" readingOrder="0" shrinkToFit="0" wrapText="1"/>
    </xf>
    <xf borderId="4" fillId="0" fontId="6" numFmtId="0" xfId="0" applyAlignment="1" applyBorder="1" applyFont="1">
      <alignment horizontal="left" readingOrder="0"/>
    </xf>
    <xf borderId="4" fillId="0" fontId="6" numFmtId="14" xfId="0" applyAlignment="1" applyBorder="1" applyFont="1" applyNumberFormat="1">
      <alignment horizontal="left"/>
    </xf>
    <xf borderId="4" fillId="0" fontId="6" numFmtId="0" xfId="0" applyAlignment="1" applyBorder="1" applyFont="1">
      <alignment horizontal="left"/>
    </xf>
    <xf borderId="4" fillId="3" fontId="8" numFmtId="164" xfId="0" applyAlignment="1" applyBorder="1" applyFill="1" applyFont="1" applyNumberFormat="1">
      <alignment horizontal="left" readingOrder="0" shrinkToFit="0" vertical="bottom" wrapText="1"/>
    </xf>
    <xf borderId="4" fillId="4" fontId="7" numFmtId="0" xfId="0" applyAlignment="1" applyBorder="1" applyFill="1" applyFont="1">
      <alignment horizontal="left" readingOrder="0"/>
    </xf>
    <xf borderId="5" fillId="0" fontId="9" numFmtId="0" xfId="0" applyAlignment="1" applyBorder="1" applyFont="1">
      <alignment readingOrder="0"/>
    </xf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0" fillId="4" fontId="11" numFmtId="0" xfId="0" applyAlignment="1" applyFill="1" applyFont="1">
      <alignment readingOrder="0"/>
    </xf>
    <xf borderId="9" fillId="0" fontId="10" numFmtId="0" xfId="0" applyBorder="1" applyFont="1"/>
    <xf borderId="8" fillId="0" fontId="9" numFmtId="0" xfId="0" applyAlignment="1" applyBorder="1" applyFont="1">
      <alignment readingOrder="0"/>
    </xf>
    <xf borderId="8" fillId="4" fontId="12" numFmtId="0" xfId="0" applyAlignment="1" applyBorder="1" applyFill="1" applyFont="1">
      <alignment readingOrder="0"/>
    </xf>
    <xf borderId="0" fillId="4" fontId="12" numFmtId="0" xfId="0" applyAlignment="1" applyFill="1" applyFont="1">
      <alignment horizontal="left" readingOrder="0"/>
    </xf>
    <xf borderId="0" fillId="4" fontId="12" numFmtId="165" xfId="0" applyAlignment="1" applyFill="1" applyFont="1" applyNumberFormat="1">
      <alignment horizontal="left" readingOrder="0"/>
    </xf>
    <xf borderId="0" fillId="4" fontId="12" numFmtId="0" xfId="0" applyAlignment="1" applyFill="1" applyFont="1">
      <alignment readingOrder="0"/>
    </xf>
    <xf borderId="9" fillId="0" fontId="10" numFmtId="0" xfId="0" applyAlignment="1" applyBorder="1" applyFont="1">
      <alignment horizontal="left" readingOrder="0"/>
    </xf>
    <xf borderId="10" fillId="4" fontId="12" numFmtId="0" xfId="0" applyAlignment="1" applyBorder="1" applyFill="1" applyFont="1">
      <alignment readingOrder="0"/>
    </xf>
    <xf borderId="11" fillId="4" fontId="11" numFmtId="0" xfId="0" applyAlignment="1" applyBorder="1" applyFill="1" applyFont="1">
      <alignment readingOrder="0"/>
    </xf>
    <xf borderId="11" fillId="4" fontId="12" numFmtId="0" xfId="0" applyAlignment="1" applyBorder="1" applyFill="1" applyFont="1">
      <alignment horizontal="left" readingOrder="0"/>
    </xf>
    <xf borderId="11" fillId="4" fontId="12" numFmtId="0" xfId="0" applyAlignment="1" applyBorder="1" applyFill="1" applyFont="1">
      <alignment readingOrder="0"/>
    </xf>
    <xf borderId="12" fillId="0" fontId="9" numFmtId="0" xfId="0" applyBorder="1" applyFont="1"/>
    <xf borderId="0" fillId="0" fontId="9" numFmtId="0" xfId="0" applyAlignment="1" applyFont="1">
      <alignment readingOrder="0"/>
    </xf>
    <xf borderId="0" fillId="4" fontId="11" numFmtId="165" xfId="0" applyAlignment="1" applyFill="1" applyFont="1" applyNumberFormat="1">
      <alignment readingOrder="0"/>
    </xf>
    <xf borderId="0" fillId="0" fontId="9" numFmtId="165" xfId="0" applyFont="1" applyNumberFormat="1"/>
    <xf borderId="0" fillId="0" fontId="10" numFmtId="165" xfId="0" applyFont="1" applyNumberFormat="1"/>
    <xf borderId="0" fillId="0" fontId="9" numFmtId="0" xfId="0" applyFont="1"/>
    <xf borderId="0" fillId="0" fontId="10" numFmtId="0" xfId="0" applyAlignment="1" applyFont="1">
      <alignment horizontal="left" readingOrder="0"/>
    </xf>
    <xf borderId="10" fillId="4" fontId="11" numFmtId="0" xfId="0" applyAlignment="1" applyBorder="1" applyFill="1" applyFont="1">
      <alignment readingOrder="0"/>
    </xf>
    <xf borderId="11" fillId="0" fontId="9" numFmtId="0" xfId="0" applyBorder="1" applyFont="1"/>
    <xf borderId="1" fillId="5" fontId="13" numFmtId="0" xfId="0" applyAlignment="1" applyBorder="1" applyFill="1" applyFont="1">
      <alignment horizontal="center" readingOrder="0" vertical="center"/>
    </xf>
    <xf borderId="1" fillId="6" fontId="14" numFmtId="0" xfId="0" applyAlignment="1" applyBorder="1" applyFill="1" applyFont="1">
      <alignment horizontal="center"/>
    </xf>
    <xf borderId="1" fillId="7" fontId="14" numFmtId="0" xfId="0" applyAlignment="1" applyBorder="1" applyFill="1" applyFont="1">
      <alignment horizontal="center"/>
    </xf>
    <xf borderId="1" fillId="5" fontId="15" numFmtId="0" xfId="0" applyAlignment="1" applyBorder="1" applyFill="1" applyFont="1">
      <alignment horizontal="center" readingOrder="0"/>
    </xf>
    <xf borderId="13" fillId="0" fontId="14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4" fillId="0" fontId="13" numFmtId="0" xfId="0" applyAlignment="1" applyBorder="1" applyFont="1">
      <alignment horizontal="right" readingOrder="0"/>
    </xf>
    <xf borderId="4" fillId="0" fontId="13" numFmtId="0" xfId="0" applyBorder="1" applyFont="1"/>
    <xf borderId="4" fillId="0" fontId="13" numFmtId="0" xfId="0" applyAlignment="1" applyBorder="1" applyFont="1">
      <alignment textRotation="90"/>
    </xf>
    <xf borderId="4" fillId="0" fontId="16" numFmtId="166" xfId="0" applyAlignment="1" applyBorder="1" applyFont="1" applyNumberFormat="1">
      <alignment readingOrder="0" textRotation="90"/>
    </xf>
    <xf borderId="4" fillId="0" fontId="13" numFmtId="166" xfId="0" applyAlignment="1" applyBorder="1" applyFont="1" applyNumberFormat="1">
      <alignment textRotation="90"/>
    </xf>
    <xf borderId="4" fillId="0" fontId="13" numFmtId="166" xfId="0" applyAlignment="1" applyBorder="1" applyFont="1" applyNumberFormat="1">
      <alignment readingOrder="0" textRotation="90"/>
    </xf>
    <xf borderId="4" fillId="8" fontId="14" numFmtId="0" xfId="0" applyAlignment="1" applyBorder="1" applyFill="1" applyFont="1">
      <alignment shrinkToFit="0" textRotation="90" wrapText="1"/>
    </xf>
    <xf borderId="4" fillId="8" fontId="15" numFmtId="0" xfId="0" applyAlignment="1" applyBorder="1" applyFill="1" applyFont="1">
      <alignment readingOrder="0" shrinkToFit="0" textRotation="90" wrapText="1"/>
    </xf>
    <xf borderId="16" fillId="0" fontId="17" numFmtId="0" xfId="0" applyAlignment="1" applyBorder="1" applyFont="1">
      <alignment horizontal="right" readingOrder="0"/>
    </xf>
    <xf borderId="16" fillId="0" fontId="17" numFmtId="14" xfId="0" applyAlignment="1" applyBorder="1" applyFont="1" applyNumberFormat="1">
      <alignment readingOrder="0"/>
    </xf>
    <xf borderId="16" fillId="0" fontId="17" numFmtId="0" xfId="0" applyBorder="1" applyFont="1"/>
    <xf borderId="16" fillId="0" fontId="17" numFmtId="0" xfId="0" applyAlignment="1" applyBorder="1" applyFont="1">
      <alignment readingOrder="0"/>
    </xf>
    <xf borderId="7" fillId="0" fontId="17" numFmtId="0" xfId="0" applyAlignment="1" applyBorder="1" applyFont="1">
      <alignment readingOrder="0"/>
    </xf>
    <xf borderId="8" fillId="9" fontId="17" numFmtId="0" xfId="0" applyAlignment="1" applyBorder="1" applyFill="1" applyFont="1">
      <alignment readingOrder="0"/>
    </xf>
    <xf borderId="0" fillId="9" fontId="17" numFmtId="0" xfId="0" applyAlignment="1" applyFill="1" applyFont="1">
      <alignment readingOrder="0"/>
    </xf>
    <xf borderId="9" fillId="0" fontId="2" numFmtId="0" xfId="0" applyBorder="1" applyFont="1"/>
    <xf borderId="5" fillId="0" fontId="17" numFmtId="164" xfId="0" applyBorder="1" applyFont="1" applyNumberFormat="1"/>
    <xf borderId="7" fillId="0" fontId="17" numFmtId="164" xfId="0" applyBorder="1" applyFont="1" applyNumberFormat="1"/>
    <xf borderId="17" fillId="0" fontId="17" numFmtId="0" xfId="0" applyAlignment="1" applyBorder="1" applyFont="1">
      <alignment horizontal="right" readingOrder="0"/>
    </xf>
    <xf borderId="17" fillId="0" fontId="17" numFmtId="14" xfId="0" applyBorder="1" applyFont="1" applyNumberFormat="1"/>
    <xf borderId="17" fillId="0" fontId="17" numFmtId="0" xfId="0" applyBorder="1" applyFont="1"/>
    <xf borderId="17" fillId="0" fontId="17" numFmtId="0" xfId="0" applyAlignment="1" applyBorder="1" applyFont="1">
      <alignment readingOrder="0"/>
    </xf>
    <xf borderId="9" fillId="0" fontId="17" numFmtId="0" xfId="0" applyAlignment="1" applyBorder="1" applyFont="1">
      <alignment readingOrder="0"/>
    </xf>
    <xf borderId="8" fillId="0" fontId="17" numFmtId="164" xfId="0" applyBorder="1" applyFont="1" applyNumberFormat="1"/>
    <xf borderId="9" fillId="0" fontId="17" numFmtId="164" xfId="0" applyBorder="1" applyFont="1" applyNumberFormat="1"/>
    <xf borderId="18" fillId="0" fontId="17" numFmtId="0" xfId="0" applyAlignment="1" applyBorder="1" applyFont="1">
      <alignment horizontal="right" readingOrder="0"/>
    </xf>
    <xf borderId="18" fillId="0" fontId="17" numFmtId="14" xfId="0" applyBorder="1" applyFont="1" applyNumberFormat="1"/>
    <xf borderId="18" fillId="0" fontId="17" numFmtId="0" xfId="0" applyBorder="1" applyFont="1"/>
    <xf borderId="18" fillId="0" fontId="17" numFmtId="0" xfId="0" applyAlignment="1" applyBorder="1" applyFont="1">
      <alignment readingOrder="0"/>
    </xf>
    <xf borderId="12" fillId="0" fontId="17" numFmtId="0" xfId="0" applyAlignment="1" applyBorder="1" applyFont="1">
      <alignment readingOrder="0"/>
    </xf>
    <xf borderId="10" fillId="9" fontId="17" numFmtId="0" xfId="0" applyAlignment="1" applyBorder="1" applyFill="1" applyFont="1">
      <alignment readingOrder="0"/>
    </xf>
    <xf borderId="11" fillId="0" fontId="2" numFmtId="0" xfId="0" applyBorder="1" applyFont="1"/>
    <xf borderId="11" fillId="9" fontId="17" numFmtId="0" xfId="0" applyAlignment="1" applyBorder="1" applyFill="1" applyFont="1">
      <alignment readingOrder="0"/>
    </xf>
    <xf borderId="12" fillId="0" fontId="2" numFmtId="0" xfId="0" applyBorder="1" applyFont="1"/>
    <xf borderId="10" fillId="0" fontId="17" numFmtId="164" xfId="0" applyBorder="1" applyFont="1" applyNumberFormat="1"/>
    <xf borderId="12" fillId="0" fontId="17" numFmtId="164" xfId="0" applyBorder="1" applyFont="1" applyNumberFormat="1"/>
    <xf borderId="16" fillId="0" fontId="17" numFmtId="14" xfId="0" applyBorder="1" applyFont="1" applyNumberFormat="1"/>
    <xf borderId="4" fillId="10" fontId="13" numFmtId="0" xfId="0" applyAlignment="1" applyBorder="1" applyFill="1" applyFont="1">
      <alignment textRotation="90"/>
    </xf>
    <xf borderId="4" fillId="10" fontId="16" numFmtId="166" xfId="0" applyAlignment="1" applyBorder="1" applyFill="1" applyFont="1" applyNumberFormat="1">
      <alignment readingOrder="0" textRotation="90"/>
    </xf>
    <xf borderId="4" fillId="10" fontId="13" numFmtId="166" xfId="0" applyAlignment="1" applyBorder="1" applyFill="1" applyFont="1" applyNumberFormat="1">
      <alignment textRotation="90"/>
    </xf>
    <xf borderId="4" fillId="10" fontId="13" numFmtId="166" xfId="0" applyAlignment="1" applyBorder="1" applyFill="1" applyFont="1" applyNumberFormat="1">
      <alignment readingOrder="0" textRotation="90"/>
    </xf>
    <xf borderId="4" fillId="10" fontId="14" numFmtId="0" xfId="0" applyAlignment="1" applyBorder="1" applyFill="1" applyFont="1">
      <alignment shrinkToFit="0" textRotation="90" wrapText="1"/>
    </xf>
    <xf borderId="8" fillId="10" fontId="17" numFmtId="0" xfId="0" applyAlignment="1" applyBorder="1" applyFill="1" applyFont="1">
      <alignment readingOrder="0"/>
    </xf>
    <xf borderId="0" fillId="10" fontId="17" numFmtId="0" xfId="0" applyAlignment="1" applyFill="1" applyFont="1">
      <alignment readingOrder="0"/>
    </xf>
    <xf borderId="8" fillId="4" fontId="17" numFmtId="0" xfId="0" applyAlignment="1" applyBorder="1" applyFill="1" applyFont="1">
      <alignment readingOrder="0"/>
    </xf>
    <xf borderId="0" fillId="4" fontId="17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8" fillId="0" fontId="17" numFmtId="0" xfId="0" applyAlignment="1" applyBorder="1" applyFont="1">
      <alignment readingOrder="0"/>
    </xf>
    <xf borderId="5" fillId="10" fontId="17" numFmtId="164" xfId="0" applyBorder="1" applyFill="1" applyFont="1" applyNumberFormat="1"/>
    <xf borderId="4" fillId="0" fontId="16" numFmtId="166" xfId="0" applyAlignment="1" applyBorder="1" applyFont="1" applyNumberFormat="1">
      <alignment textRotation="90"/>
    </xf>
    <xf borderId="8" fillId="10" fontId="17" numFmtId="164" xfId="0" applyBorder="1" applyFill="1" applyFont="1" applyNumberFormat="1"/>
    <xf borderId="10" fillId="4" fontId="17" numFmtId="0" xfId="0" applyAlignment="1" applyBorder="1" applyFill="1" applyFont="1">
      <alignment readingOrder="0"/>
    </xf>
    <xf borderId="11" fillId="4" fontId="17" numFmtId="0" xfId="0" applyAlignment="1" applyBorder="1" applyFill="1" applyFont="1">
      <alignment readingOrder="0"/>
    </xf>
    <xf borderId="11" fillId="0" fontId="17" numFmtId="0" xfId="0" applyAlignment="1" applyBorder="1" applyFont="1">
      <alignment readingOrder="0"/>
    </xf>
    <xf borderId="10" fillId="0" fontId="17" numFmtId="0" xfId="0" applyAlignment="1" applyBorder="1" applyFont="1">
      <alignment readingOrder="0"/>
    </xf>
    <xf borderId="0" fillId="0" fontId="17" numFmtId="0" xfId="0" applyFont="1"/>
    <xf borderId="10" fillId="10" fontId="17" numFmtId="0" xfId="0" applyAlignment="1" applyBorder="1" applyFill="1" applyFont="1">
      <alignment readingOrder="0"/>
    </xf>
    <xf borderId="11" fillId="10" fontId="17" numFmtId="0" xfId="0" applyAlignment="1" applyBorder="1" applyFill="1" applyFont="1">
      <alignment readingOrder="0"/>
    </xf>
    <xf borderId="10" fillId="10" fontId="17" numFmtId="164" xfId="0" applyBorder="1" applyFill="1" applyFont="1" applyNumberFormat="1"/>
    <xf borderId="11" fillId="0" fontId="17" numFmtId="0" xfId="0" applyBorder="1" applyFont="1"/>
    <xf borderId="16" fillId="4" fontId="17" numFmtId="0" xfId="0" applyAlignment="1" applyBorder="1" applyFill="1" applyFont="1">
      <alignment horizontal="right" readingOrder="0"/>
    </xf>
    <xf borderId="16" fillId="4" fontId="17" numFmtId="14" xfId="0" applyBorder="1" applyFill="1" applyFont="1" applyNumberFormat="1"/>
    <xf borderId="16" fillId="4" fontId="17" numFmtId="0" xfId="0" applyBorder="1" applyFill="1" applyFont="1"/>
    <xf borderId="7" fillId="4" fontId="17" numFmtId="0" xfId="0" applyAlignment="1" applyBorder="1" applyFill="1" applyFont="1">
      <alignment readingOrder="0"/>
    </xf>
    <xf borderId="5" fillId="4" fontId="17" numFmtId="164" xfId="0" applyBorder="1" applyFill="1" applyFont="1" applyNumberFormat="1"/>
    <xf borderId="7" fillId="4" fontId="17" numFmtId="164" xfId="0" applyBorder="1" applyFill="1" applyFont="1" applyNumberFormat="1"/>
    <xf borderId="17" fillId="4" fontId="17" numFmtId="0" xfId="0" applyAlignment="1" applyBorder="1" applyFill="1" applyFont="1">
      <alignment horizontal="right" readingOrder="0"/>
    </xf>
    <xf borderId="17" fillId="4" fontId="17" numFmtId="14" xfId="0" applyBorder="1" applyFill="1" applyFont="1" applyNumberFormat="1"/>
    <xf borderId="17" fillId="4" fontId="17" numFmtId="0" xfId="0" applyBorder="1" applyFill="1" applyFont="1"/>
    <xf borderId="9" fillId="4" fontId="17" numFmtId="0" xfId="0" applyAlignment="1" applyBorder="1" applyFill="1" applyFont="1">
      <alignment readingOrder="0"/>
    </xf>
    <xf borderId="8" fillId="4" fontId="17" numFmtId="164" xfId="0" applyBorder="1" applyFill="1" applyFont="1" applyNumberFormat="1"/>
    <xf borderId="9" fillId="4" fontId="17" numFmtId="164" xfId="0" applyBorder="1" applyFill="1" applyFont="1" applyNumberFormat="1"/>
    <xf borderId="17" fillId="3" fontId="17" numFmtId="0" xfId="0" applyAlignment="1" applyBorder="1" applyFill="1" applyFont="1">
      <alignment horizontal="right" readingOrder="0"/>
    </xf>
    <xf borderId="17" fillId="3" fontId="17" numFmtId="14" xfId="0" applyBorder="1" applyFill="1" applyFont="1" applyNumberFormat="1"/>
    <xf borderId="17" fillId="3" fontId="17" numFmtId="0" xfId="0" applyBorder="1" applyFill="1" applyFont="1"/>
    <xf borderId="9" fillId="3" fontId="17" numFmtId="0" xfId="0" applyAlignment="1" applyBorder="1" applyFill="1" applyFont="1">
      <alignment readingOrder="0"/>
    </xf>
    <xf borderId="8" fillId="3" fontId="17" numFmtId="0" xfId="0" applyAlignment="1" applyBorder="1" applyFill="1" applyFont="1">
      <alignment readingOrder="0"/>
    </xf>
    <xf borderId="0" fillId="3" fontId="17" numFmtId="0" xfId="0" applyAlignment="1" applyFill="1" applyFont="1">
      <alignment readingOrder="0"/>
    </xf>
    <xf borderId="8" fillId="3" fontId="17" numFmtId="164" xfId="0" applyBorder="1" applyFill="1" applyFont="1" applyNumberFormat="1"/>
    <xf borderId="9" fillId="3" fontId="17" numFmtId="164" xfId="0" applyBorder="1" applyFill="1" applyFont="1" applyNumberFormat="1"/>
    <xf borderId="18" fillId="3" fontId="17" numFmtId="0" xfId="0" applyAlignment="1" applyBorder="1" applyFill="1" applyFont="1">
      <alignment horizontal="right" readingOrder="0"/>
    </xf>
    <xf borderId="18" fillId="3" fontId="17" numFmtId="14" xfId="0" applyBorder="1" applyFill="1" applyFont="1" applyNumberFormat="1"/>
    <xf borderId="18" fillId="3" fontId="17" numFmtId="0" xfId="0" applyBorder="1" applyFill="1" applyFont="1"/>
    <xf borderId="12" fillId="3" fontId="17" numFmtId="0" xfId="0" applyAlignment="1" applyBorder="1" applyFill="1" applyFont="1">
      <alignment readingOrder="0"/>
    </xf>
    <xf borderId="10" fillId="3" fontId="17" numFmtId="0" xfId="0" applyAlignment="1" applyBorder="1" applyFill="1" applyFont="1">
      <alignment readingOrder="0"/>
    </xf>
    <xf borderId="11" fillId="3" fontId="17" numFmtId="0" xfId="0" applyAlignment="1" applyBorder="1" applyFill="1" applyFont="1">
      <alignment readingOrder="0"/>
    </xf>
    <xf borderId="10" fillId="3" fontId="17" numFmtId="164" xfId="0" applyBorder="1" applyFill="1" applyFont="1" applyNumberFormat="1"/>
    <xf borderId="12" fillId="3" fontId="17" numFmtId="164" xfId="0" applyBorder="1" applyFill="1" applyFont="1" applyNumberFormat="1"/>
    <xf borderId="16" fillId="3" fontId="17" numFmtId="0" xfId="0" applyAlignment="1" applyBorder="1" applyFill="1" applyFont="1">
      <alignment horizontal="right" readingOrder="0"/>
    </xf>
    <xf borderId="16" fillId="3" fontId="17" numFmtId="14" xfId="0" applyBorder="1" applyFill="1" applyFont="1" applyNumberFormat="1"/>
    <xf borderId="16" fillId="3" fontId="17" numFmtId="0" xfId="0" applyBorder="1" applyFill="1" applyFont="1"/>
    <xf borderId="7" fillId="3" fontId="17" numFmtId="0" xfId="0" applyAlignment="1" applyBorder="1" applyFill="1" applyFont="1">
      <alignment readingOrder="0"/>
    </xf>
    <xf borderId="5" fillId="3" fontId="17" numFmtId="164" xfId="0" applyBorder="1" applyFill="1" applyFont="1" applyNumberFormat="1"/>
    <xf borderId="7" fillId="3" fontId="17" numFmtId="164" xfId="0" applyBorder="1" applyFill="1" applyFont="1" applyNumberFormat="1"/>
    <xf borderId="16" fillId="10" fontId="17" numFmtId="0" xfId="0" applyBorder="1" applyFill="1" applyFont="1"/>
    <xf borderId="17" fillId="10" fontId="17" numFmtId="0" xfId="0" applyBorder="1" applyFill="1" applyFont="1"/>
    <xf borderId="18" fillId="10" fontId="17" numFmtId="0" xfId="0" applyBorder="1" applyFill="1" applyFont="1"/>
    <xf borderId="8" fillId="11" fontId="17" numFmtId="0" xfId="0" applyAlignment="1" applyBorder="1" applyFill="1" applyFont="1">
      <alignment readingOrder="0"/>
    </xf>
    <xf borderId="0" fillId="11" fontId="17" numFmtId="0" xfId="0" applyAlignment="1" applyFill="1" applyFont="1">
      <alignment readingOrder="0"/>
    </xf>
    <xf borderId="10" fillId="11" fontId="17" numFmtId="0" xfId="0" applyAlignment="1" applyBorder="1" applyFill="1" applyFont="1">
      <alignment readingOrder="0"/>
    </xf>
    <xf borderId="11" fillId="11" fontId="17" numFmtId="0" xfId="0" applyAlignment="1" applyBorder="1" applyFill="1" applyFont="1">
      <alignment readingOrder="0"/>
    </xf>
    <xf borderId="8" fillId="12" fontId="17" numFmtId="0" xfId="0" applyAlignment="1" applyBorder="1" applyFill="1" applyFont="1">
      <alignment readingOrder="0"/>
    </xf>
    <xf borderId="0" fillId="12" fontId="17" numFmtId="0" xfId="0" applyAlignment="1" applyFill="1" applyFont="1">
      <alignment readingOrder="0"/>
    </xf>
    <xf borderId="5" fillId="12" fontId="17" numFmtId="164" xfId="0" applyBorder="1" applyFill="1" applyFont="1" applyNumberFormat="1"/>
    <xf borderId="16" fillId="12" fontId="17" numFmtId="0" xfId="0" applyBorder="1" applyFill="1" applyFont="1"/>
    <xf borderId="8" fillId="12" fontId="17" numFmtId="164" xfId="0" applyBorder="1" applyFill="1" applyFont="1" applyNumberFormat="1"/>
    <xf borderId="17" fillId="12" fontId="17" numFmtId="0" xfId="0" applyBorder="1" applyFill="1" applyFont="1"/>
    <xf borderId="10" fillId="12" fontId="17" numFmtId="0" xfId="0" applyAlignment="1" applyBorder="1" applyFill="1" applyFont="1">
      <alignment readingOrder="0"/>
    </xf>
    <xf borderId="11" fillId="12" fontId="17" numFmtId="0" xfId="0" applyAlignment="1" applyBorder="1" applyFill="1" applyFont="1">
      <alignment readingOrder="0"/>
    </xf>
    <xf borderId="10" fillId="12" fontId="17" numFmtId="164" xfId="0" applyBorder="1" applyFill="1" applyFont="1" applyNumberFormat="1"/>
    <xf borderId="18" fillId="12" fontId="17" numFmtId="0" xfId="0" applyBorder="1" applyFill="1" applyFont="1"/>
    <xf borderId="9" fillId="0" fontId="17" numFmtId="0" xfId="0" applyAlignment="1" applyBorder="1" applyFont="1">
      <alignment readingOrder="0"/>
    </xf>
    <xf borderId="12" fillId="0" fontId="17" numFmtId="0" xfId="0" applyAlignment="1" applyBorder="1" applyFont="1">
      <alignment readingOrder="0"/>
    </xf>
    <xf borderId="7" fillId="0" fontId="17" numFmtId="0" xfId="0" applyAlignment="1" applyBorder="1" applyFont="1">
      <alignment readingOrder="0"/>
    </xf>
    <xf borderId="10" fillId="0" fontId="17" numFmtId="0" xfId="0" applyBorder="1" applyFont="1"/>
    <xf borderId="8" fillId="13" fontId="17" numFmtId="0" xfId="0" applyAlignment="1" applyBorder="1" applyFill="1" applyFont="1">
      <alignment readingOrder="0"/>
    </xf>
    <xf borderId="0" fillId="13" fontId="17" numFmtId="0" xfId="0" applyAlignment="1" applyFill="1" applyFont="1">
      <alignment readingOrder="0"/>
    </xf>
    <xf borderId="5" fillId="13" fontId="17" numFmtId="164" xfId="0" applyBorder="1" applyFill="1" applyFont="1" applyNumberFormat="1"/>
    <xf borderId="16" fillId="13" fontId="17" numFmtId="0" xfId="0" applyBorder="1" applyFill="1" applyFont="1"/>
    <xf borderId="8" fillId="13" fontId="17" numFmtId="164" xfId="0" applyBorder="1" applyFill="1" applyFont="1" applyNumberFormat="1"/>
    <xf borderId="17" fillId="13" fontId="17" numFmtId="0" xfId="0" applyBorder="1" applyFill="1" applyFont="1"/>
    <xf borderId="10" fillId="13" fontId="17" numFmtId="0" xfId="0" applyAlignment="1" applyBorder="1" applyFill="1" applyFont="1">
      <alignment readingOrder="0"/>
    </xf>
    <xf borderId="11" fillId="13" fontId="17" numFmtId="0" xfId="0" applyAlignment="1" applyBorder="1" applyFill="1" applyFont="1">
      <alignment readingOrder="0"/>
    </xf>
    <xf borderId="10" fillId="13" fontId="17" numFmtId="164" xfId="0" applyBorder="1" applyFill="1" applyFont="1" applyNumberFormat="1"/>
    <xf borderId="18" fillId="13" fontId="17" numFmtId="0" xfId="0" applyBorder="1" applyFill="1" applyFont="1"/>
    <xf borderId="8" fillId="12" fontId="6" numFmtId="0" xfId="0" applyAlignment="1" applyBorder="1" applyFill="1" applyFont="1">
      <alignment readingOrder="0"/>
    </xf>
    <xf borderId="0" fillId="12" fontId="6" numFmtId="0" xfId="0" applyAlignment="1" applyFill="1" applyFont="1">
      <alignment readingOrder="0"/>
    </xf>
    <xf borderId="10" fillId="12" fontId="6" numFmtId="0" xfId="0" applyAlignment="1" applyBorder="1" applyFill="1" applyFont="1">
      <alignment readingOrder="0"/>
    </xf>
    <xf borderId="11" fillId="12" fontId="6" numFmtId="0" xfId="0" applyAlignment="1" applyBorder="1" applyFill="1" applyFont="1">
      <alignment readingOrder="0"/>
    </xf>
    <xf borderId="7" fillId="12" fontId="17" numFmtId="164" xfId="0" applyBorder="1" applyFill="1" applyFont="1" applyNumberFormat="1"/>
    <xf borderId="9" fillId="12" fontId="17" numFmtId="164" xfId="0" applyBorder="1" applyFill="1" applyFont="1" applyNumberFormat="1"/>
    <xf borderId="12" fillId="12" fontId="17" numFmtId="164" xfId="0" applyBorder="1" applyFill="1" applyFont="1" applyNumberFormat="1"/>
    <xf borderId="5" fillId="12" fontId="6" numFmtId="164" xfId="0" applyBorder="1" applyFill="1" applyFont="1" applyNumberFormat="1"/>
    <xf borderId="8" fillId="12" fontId="6" numFmtId="164" xfId="0" applyBorder="1" applyFill="1" applyFont="1" applyNumberFormat="1"/>
    <xf borderId="10" fillId="12" fontId="6" numFmtId="164" xfId="0" applyBorder="1" applyFill="1" applyFont="1" applyNumberFormat="1"/>
    <xf borderId="0" fillId="0" fontId="16" numFmtId="165" xfId="0" applyAlignment="1" applyFont="1" applyNumberFormat="1">
      <alignment horizontal="right"/>
    </xf>
    <xf borderId="0" fillId="0" fontId="16" numFmtId="165" xfId="0" applyFont="1" applyNumberFormat="1"/>
    <xf borderId="0" fillId="0" fontId="18" numFmtId="165" xfId="0" applyFont="1" applyNumberFormat="1"/>
    <xf borderId="0" fillId="0" fontId="19" numFmtId="165" xfId="0" applyFont="1" applyNumberFormat="1"/>
    <xf borderId="0" fillId="0" fontId="16" numFmtId="3" xfId="0" applyFont="1" applyNumberFormat="1"/>
    <xf borderId="0" fillId="0" fontId="16" numFmtId="14" xfId="0" applyAlignment="1" applyFont="1" applyNumberFormat="1">
      <alignment horizontal="right"/>
    </xf>
    <xf borderId="0" fillId="0" fontId="16" numFmtId="14" xfId="0" applyFont="1" applyNumberFormat="1"/>
    <xf borderId="0" fillId="0" fontId="18" numFmtId="0" xfId="0" applyFont="1"/>
    <xf borderId="0" fillId="4" fontId="20" numFmtId="0" xfId="0" applyAlignment="1" applyFill="1" applyFont="1">
      <alignment readingOrder="0"/>
    </xf>
    <xf borderId="0" fillId="4" fontId="20" numFmtId="10" xfId="0" applyAlignment="1" applyFill="1" applyFont="1" applyNumberFormat="1">
      <alignment readingOrder="0"/>
    </xf>
    <xf borderId="5" fillId="0" fontId="13" numFmtId="165" xfId="0" applyAlignment="1" applyBorder="1" applyFont="1" applyNumberFormat="1">
      <alignment readingOrder="0"/>
    </xf>
    <xf borderId="7" fillId="0" fontId="16" numFmtId="3" xfId="0" applyBorder="1" applyFont="1" applyNumberFormat="1"/>
    <xf borderId="1" fillId="4" fontId="20" numFmtId="0" xfId="0" applyAlignment="1" applyBorder="1" applyFill="1" applyFont="1">
      <alignment readingOrder="0"/>
    </xf>
    <xf borderId="3" fillId="4" fontId="20" numFmtId="10" xfId="0" applyAlignment="1" applyBorder="1" applyFill="1" applyFont="1" applyNumberFormat="1">
      <alignment readingOrder="0"/>
    </xf>
    <xf borderId="9" fillId="0" fontId="10" numFmtId="0" xfId="0" applyAlignment="1" applyBorder="1" applyFont="1">
      <alignment readingOrder="0"/>
    </xf>
    <xf borderId="8" fillId="0" fontId="18" numFmtId="165" xfId="0" applyBorder="1" applyFont="1" applyNumberFormat="1"/>
    <xf borderId="9" fillId="0" fontId="18" numFmtId="165" xfId="0" applyAlignment="1" applyBorder="1" applyFont="1" applyNumberFormat="1">
      <alignment readingOrder="0"/>
    </xf>
    <xf borderId="0" fillId="4" fontId="18" numFmtId="0" xfId="0" applyFill="1" applyFont="1"/>
    <xf borderId="0" fillId="4" fontId="17" numFmtId="0" xfId="0" applyFill="1" applyFont="1"/>
    <xf borderId="0" fillId="4" fontId="17" numFmtId="0" xfId="0" applyAlignment="1" applyFill="1" applyFont="1">
      <alignment horizontal="right"/>
    </xf>
    <xf borderId="8" fillId="4" fontId="17" numFmtId="0" xfId="0" applyBorder="1" applyFill="1" applyFont="1"/>
    <xf borderId="0" fillId="0" fontId="13" numFmtId="165" xfId="0" applyAlignment="1" applyFont="1" applyNumberFormat="1">
      <alignment readingOrder="0"/>
    </xf>
    <xf borderId="8" fillId="4" fontId="21" numFmtId="0" xfId="0" applyAlignment="1" applyBorder="1" applyFill="1" applyFont="1">
      <alignment readingOrder="0"/>
    </xf>
    <xf borderId="0" fillId="0" fontId="18" numFmtId="0" xfId="0" applyAlignment="1" applyFont="1">
      <alignment horizontal="right"/>
    </xf>
    <xf borderId="0" fillId="0" fontId="10" numFmtId="0" xfId="0" applyAlignment="1" applyFont="1">
      <alignment readingOrder="0"/>
    </xf>
    <xf borderId="0" fillId="0" fontId="18" numFmtId="165" xfId="0" applyAlignment="1" applyFont="1" applyNumberFormat="1">
      <alignment readingOrder="0"/>
    </xf>
    <xf borderId="8" fillId="0" fontId="18" numFmtId="0" xfId="0" applyBorder="1" applyFont="1"/>
    <xf borderId="9" fillId="0" fontId="18" numFmtId="0" xfId="0" applyAlignment="1" applyBorder="1" applyFont="1">
      <alignment readingOrder="0"/>
    </xf>
    <xf borderId="0" fillId="4" fontId="21" numFmtId="0" xfId="0" applyAlignment="1" applyFill="1" applyFont="1">
      <alignment readingOrder="0"/>
    </xf>
    <xf borderId="0" fillId="0" fontId="18" numFmtId="0" xfId="0" applyAlignment="1" applyFont="1">
      <alignment readingOrder="0"/>
    </xf>
    <xf borderId="9" fillId="0" fontId="18" numFmtId="0" xfId="0" applyBorder="1" applyFont="1"/>
    <xf borderId="0" fillId="0" fontId="21" numFmtId="0" xfId="0" applyAlignment="1" applyFont="1">
      <alignment readingOrder="0"/>
    </xf>
    <xf borderId="0" fillId="0" fontId="20" numFmtId="0" xfId="0" applyAlignment="1" applyFont="1">
      <alignment readingOrder="0"/>
    </xf>
    <xf borderId="8" fillId="0" fontId="21" numFmtId="0" xfId="0" applyAlignment="1" applyBorder="1" applyFont="1">
      <alignment readingOrder="0"/>
    </xf>
    <xf borderId="10" fillId="0" fontId="18" numFmtId="165" xfId="0" applyBorder="1" applyFont="1" applyNumberFormat="1"/>
    <xf borderId="12" fillId="0" fontId="1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3" width="7.25"/>
    <col customWidth="1" min="4" max="4" width="11.88"/>
    <col customWidth="1" min="5" max="5" width="13.25"/>
    <col customWidth="1" min="6" max="11" width="4.13"/>
    <col customWidth="1" min="12" max="12" width="7.38"/>
    <col customWidth="1" min="13" max="13" width="5.63"/>
    <col customWidth="1" min="14" max="24" width="4.13"/>
    <col customWidth="1" min="25" max="25" width="3.38"/>
    <col customWidth="1" min="26" max="31" width="4.13"/>
    <col customWidth="1" min="32" max="32" width="13.5"/>
    <col customWidth="1" min="33" max="33" width="11.75"/>
    <col customWidth="1" min="34" max="34" width="13.0"/>
    <col customWidth="1" min="35" max="35" width="12.88"/>
    <col customWidth="1" min="36" max="36" width="9.0"/>
  </cols>
  <sheetData>
    <row r="1">
      <c r="A1" s="51" t="s">
        <v>108</v>
      </c>
      <c r="B1" s="2"/>
      <c r="C1" s="2"/>
      <c r="D1" s="2"/>
      <c r="E1" s="3"/>
      <c r="F1" s="52" t="s">
        <v>109</v>
      </c>
      <c r="G1" s="2"/>
      <c r="H1" s="2"/>
      <c r="I1" s="2"/>
      <c r="J1" s="2"/>
      <c r="K1" s="3"/>
      <c r="L1" s="53" t="s">
        <v>110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54" t="s">
        <v>111</v>
      </c>
      <c r="AA1" s="2"/>
      <c r="AB1" s="2"/>
      <c r="AC1" s="2"/>
      <c r="AD1" s="2"/>
      <c r="AE1" s="3"/>
      <c r="AF1" s="55" t="s">
        <v>112</v>
      </c>
      <c r="AG1" s="56"/>
      <c r="AH1" s="56"/>
      <c r="AI1" s="56"/>
      <c r="AJ1" s="57"/>
    </row>
    <row r="2" ht="159.0" customHeight="1">
      <c r="A2" s="58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F2" s="60" t="s">
        <v>113</v>
      </c>
      <c r="G2" s="61">
        <f>25.54 * (1+$E$363)</f>
        <v>26.817</v>
      </c>
      <c r="H2" s="62" t="s">
        <v>114</v>
      </c>
      <c r="I2" s="61">
        <f>25.54 * (1+$E$363)</f>
        <v>26.817</v>
      </c>
      <c r="J2" s="62" t="s">
        <v>115</v>
      </c>
      <c r="K2" s="61">
        <f>25.54 * (1+$E$363)</f>
        <v>26.817</v>
      </c>
      <c r="L2" s="62" t="s">
        <v>113</v>
      </c>
      <c r="M2" s="61">
        <f>16.22*(1+$E$363)</f>
        <v>17.031</v>
      </c>
      <c r="N2" s="62" t="s">
        <v>114</v>
      </c>
      <c r="O2" s="61">
        <f>16.22*(1+$E$363)</f>
        <v>17.031</v>
      </c>
      <c r="P2" s="62" t="s">
        <v>115</v>
      </c>
      <c r="Q2" s="61">
        <f>16.22*(1+$E$363)</f>
        <v>17.031</v>
      </c>
      <c r="R2" s="63" t="s">
        <v>116</v>
      </c>
      <c r="S2" s="61">
        <f>6.44*(1+$E$363)</f>
        <v>6.762</v>
      </c>
      <c r="T2" s="62" t="s">
        <v>117</v>
      </c>
      <c r="U2" s="61">
        <f>450*(1+$E$363)</f>
        <v>472.5</v>
      </c>
      <c r="V2" s="62" t="s">
        <v>118</v>
      </c>
      <c r="W2" s="61">
        <f>250*(1+$E$363)</f>
        <v>262.5</v>
      </c>
      <c r="X2" s="62" t="s">
        <v>119</v>
      </c>
      <c r="Y2" s="61">
        <f>8*(1+$E$363)</f>
        <v>8.4</v>
      </c>
      <c r="Z2" s="62" t="s">
        <v>113</v>
      </c>
      <c r="AA2" s="61">
        <f>16.22*(1+$E$363)</f>
        <v>17.031</v>
      </c>
      <c r="AB2" s="62" t="s">
        <v>114</v>
      </c>
      <c r="AC2" s="61">
        <f>16.22*(1+$E$363)</f>
        <v>17.031</v>
      </c>
      <c r="AD2" s="62" t="s">
        <v>115</v>
      </c>
      <c r="AE2" s="61">
        <f>16.22*(1+$E$363)</f>
        <v>17.031</v>
      </c>
      <c r="AF2" s="64" t="s">
        <v>120</v>
      </c>
      <c r="AG2" s="64" t="s">
        <v>121</v>
      </c>
      <c r="AH2" s="65" t="s">
        <v>122</v>
      </c>
      <c r="AI2" s="64" t="s">
        <v>123</v>
      </c>
      <c r="AJ2" s="64" t="s">
        <v>124</v>
      </c>
    </row>
    <row r="3">
      <c r="A3" s="66" t="s">
        <v>11</v>
      </c>
      <c r="B3" s="67">
        <v>44562.0</v>
      </c>
      <c r="C3" s="68">
        <v>1.0</v>
      </c>
      <c r="D3" s="69" t="s">
        <v>48</v>
      </c>
      <c r="E3" s="70" t="s">
        <v>125</v>
      </c>
      <c r="F3" s="71">
        <v>0.0</v>
      </c>
      <c r="H3" s="72">
        <v>0.0</v>
      </c>
      <c r="J3" s="72">
        <v>0.0</v>
      </c>
      <c r="L3" s="71">
        <v>0.0</v>
      </c>
      <c r="N3" s="72">
        <v>0.0</v>
      </c>
      <c r="P3" s="72">
        <v>0.0</v>
      </c>
      <c r="R3" s="72">
        <v>0.0</v>
      </c>
      <c r="T3" s="72">
        <v>0.0</v>
      </c>
      <c r="V3" s="72">
        <v>0.0</v>
      </c>
      <c r="X3" s="72">
        <v>0.0</v>
      </c>
      <c r="Y3" s="73"/>
      <c r="Z3" s="71">
        <v>0.0</v>
      </c>
      <c r="AB3" s="72">
        <v>0.0</v>
      </c>
      <c r="AD3" s="72">
        <v>0.0</v>
      </c>
      <c r="AF3" s="74">
        <f t="shared" ref="AF3:AF359" si="1">(F3*G$2)+(H3*I$2)+(J3*K$2)+(L3*M$2)+(N3*O$2)+(P3*Q$2)+(R3*S$2)+(T3*U$2)+(X3*Y$2)+(Z3*AA$2)+(AB3*AC$2)+(AD3*AE$2)+(V3*$W$2)</f>
        <v>0</v>
      </c>
      <c r="AG3" s="68">
        <f t="shared" ref="AG3:AG359" si="2">F3+H3+J3+L3+N3+P3+R3+X3+Z3+AB3+AD3</f>
        <v>0</v>
      </c>
      <c r="AH3" s="68">
        <f t="shared" ref="AH3:AH359" si="3">T3+V3</f>
        <v>0</v>
      </c>
      <c r="AI3" s="68">
        <f t="shared" ref="AI3:AI359" si="4">sum(F3:AE3)</f>
        <v>0</v>
      </c>
      <c r="AJ3" s="75" t="str">
        <f t="shared" ref="AJ3:AJ359" si="5">iferror(AF3/AI3,"")</f>
        <v/>
      </c>
    </row>
    <row r="4">
      <c r="A4" s="76" t="s">
        <v>16</v>
      </c>
      <c r="B4" s="77">
        <f t="shared" ref="B4:B359" si="6">B3+1</f>
        <v>44563</v>
      </c>
      <c r="C4" s="78">
        <v>1.0</v>
      </c>
      <c r="D4" s="79" t="s">
        <v>48</v>
      </c>
      <c r="E4" s="80" t="s">
        <v>125</v>
      </c>
      <c r="F4" s="71">
        <v>0.0</v>
      </c>
      <c r="H4" s="72">
        <v>0.0</v>
      </c>
      <c r="J4" s="72">
        <v>0.0</v>
      </c>
      <c r="L4" s="71">
        <v>0.0</v>
      </c>
      <c r="N4" s="72">
        <v>0.0</v>
      </c>
      <c r="P4" s="72">
        <v>0.0</v>
      </c>
      <c r="R4" s="72">
        <v>0.0</v>
      </c>
      <c r="T4" s="72">
        <v>0.0</v>
      </c>
      <c r="V4" s="72">
        <v>0.0</v>
      </c>
      <c r="X4" s="72">
        <v>0.0</v>
      </c>
      <c r="Y4" s="73"/>
      <c r="Z4" s="71">
        <v>0.0</v>
      </c>
      <c r="AB4" s="72">
        <v>0.0</v>
      </c>
      <c r="AD4" s="72">
        <v>0.0</v>
      </c>
      <c r="AF4" s="81">
        <f t="shared" si="1"/>
        <v>0</v>
      </c>
      <c r="AG4" s="78">
        <f t="shared" si="2"/>
        <v>0</v>
      </c>
      <c r="AH4" s="78">
        <f t="shared" si="3"/>
        <v>0</v>
      </c>
      <c r="AI4" s="78">
        <f t="shared" si="4"/>
        <v>0</v>
      </c>
      <c r="AJ4" s="82" t="str">
        <f t="shared" si="5"/>
        <v/>
      </c>
    </row>
    <row r="5">
      <c r="A5" s="76" t="s">
        <v>17</v>
      </c>
      <c r="B5" s="77">
        <f t="shared" si="6"/>
        <v>44564</v>
      </c>
      <c r="C5" s="78">
        <v>1.0</v>
      </c>
      <c r="D5" s="79" t="s">
        <v>48</v>
      </c>
      <c r="E5" s="80" t="s">
        <v>125</v>
      </c>
      <c r="F5" s="71">
        <v>0.0</v>
      </c>
      <c r="H5" s="72">
        <v>0.0</v>
      </c>
      <c r="J5" s="72">
        <v>0.0</v>
      </c>
      <c r="L5" s="71">
        <v>0.0</v>
      </c>
      <c r="N5" s="72">
        <v>0.0</v>
      </c>
      <c r="P5" s="72">
        <v>0.0</v>
      </c>
      <c r="R5" s="72">
        <v>0.0</v>
      </c>
      <c r="T5" s="72">
        <v>0.0</v>
      </c>
      <c r="V5" s="72">
        <v>0.0</v>
      </c>
      <c r="X5" s="72">
        <v>0.0</v>
      </c>
      <c r="Y5" s="73"/>
      <c r="Z5" s="71">
        <v>0.0</v>
      </c>
      <c r="AB5" s="72">
        <v>0.0</v>
      </c>
      <c r="AD5" s="72">
        <v>0.0</v>
      </c>
      <c r="AF5" s="81">
        <f t="shared" si="1"/>
        <v>0</v>
      </c>
      <c r="AG5" s="78">
        <f t="shared" si="2"/>
        <v>0</v>
      </c>
      <c r="AH5" s="78">
        <f t="shared" si="3"/>
        <v>0</v>
      </c>
      <c r="AI5" s="78">
        <f t="shared" si="4"/>
        <v>0</v>
      </c>
      <c r="AJ5" s="82" t="str">
        <f t="shared" si="5"/>
        <v/>
      </c>
    </row>
    <row r="6">
      <c r="A6" s="76" t="s">
        <v>21</v>
      </c>
      <c r="B6" s="77">
        <f t="shared" si="6"/>
        <v>44565</v>
      </c>
      <c r="C6" s="78">
        <v>1.0</v>
      </c>
      <c r="D6" s="79" t="s">
        <v>48</v>
      </c>
      <c r="E6" s="80" t="s">
        <v>125</v>
      </c>
      <c r="F6" s="71">
        <v>0.0</v>
      </c>
      <c r="H6" s="72">
        <v>0.0</v>
      </c>
      <c r="J6" s="72">
        <v>0.0</v>
      </c>
      <c r="L6" s="71">
        <v>0.0</v>
      </c>
      <c r="N6" s="72">
        <v>0.0</v>
      </c>
      <c r="P6" s="72">
        <v>0.0</v>
      </c>
      <c r="R6" s="72">
        <v>0.0</v>
      </c>
      <c r="T6" s="72">
        <v>0.0</v>
      </c>
      <c r="V6" s="72">
        <v>0.0</v>
      </c>
      <c r="X6" s="72">
        <v>0.0</v>
      </c>
      <c r="Y6" s="73"/>
      <c r="Z6" s="71">
        <v>0.0</v>
      </c>
      <c r="AB6" s="72">
        <v>0.0</v>
      </c>
      <c r="AD6" s="72">
        <v>0.0</v>
      </c>
      <c r="AF6" s="81">
        <f t="shared" si="1"/>
        <v>0</v>
      </c>
      <c r="AG6" s="78">
        <f t="shared" si="2"/>
        <v>0</v>
      </c>
      <c r="AH6" s="78">
        <f t="shared" si="3"/>
        <v>0</v>
      </c>
      <c r="AI6" s="78">
        <f t="shared" si="4"/>
        <v>0</v>
      </c>
      <c r="AJ6" s="82" t="str">
        <f t="shared" si="5"/>
        <v/>
      </c>
    </row>
    <row r="7">
      <c r="A7" s="76" t="s">
        <v>24</v>
      </c>
      <c r="B7" s="77">
        <f t="shared" si="6"/>
        <v>44566</v>
      </c>
      <c r="C7" s="78">
        <v>1.0</v>
      </c>
      <c r="D7" s="79" t="s">
        <v>48</v>
      </c>
      <c r="E7" s="80" t="s">
        <v>125</v>
      </c>
      <c r="F7" s="71">
        <v>0.0</v>
      </c>
      <c r="H7" s="72">
        <v>0.0</v>
      </c>
      <c r="J7" s="72">
        <v>0.0</v>
      </c>
      <c r="L7" s="71">
        <v>0.0</v>
      </c>
      <c r="N7" s="72">
        <v>0.0</v>
      </c>
      <c r="P7" s="72">
        <v>0.0</v>
      </c>
      <c r="R7" s="72">
        <v>0.0</v>
      </c>
      <c r="T7" s="72">
        <v>0.0</v>
      </c>
      <c r="V7" s="72">
        <v>0.0</v>
      </c>
      <c r="X7" s="72">
        <v>0.0</v>
      </c>
      <c r="Y7" s="73"/>
      <c r="Z7" s="71">
        <v>0.0</v>
      </c>
      <c r="AB7" s="72">
        <v>0.0</v>
      </c>
      <c r="AD7" s="72">
        <v>0.0</v>
      </c>
      <c r="AF7" s="81">
        <f t="shared" si="1"/>
        <v>0</v>
      </c>
      <c r="AG7" s="78">
        <f t="shared" si="2"/>
        <v>0</v>
      </c>
      <c r="AH7" s="78">
        <f t="shared" si="3"/>
        <v>0</v>
      </c>
      <c r="AI7" s="78">
        <f t="shared" si="4"/>
        <v>0</v>
      </c>
      <c r="AJ7" s="82" t="str">
        <f t="shared" si="5"/>
        <v/>
      </c>
    </row>
    <row r="8">
      <c r="A8" s="76" t="s">
        <v>27</v>
      </c>
      <c r="B8" s="77">
        <f t="shared" si="6"/>
        <v>44567</v>
      </c>
      <c r="C8" s="78">
        <v>1.0</v>
      </c>
      <c r="D8" s="79" t="s">
        <v>48</v>
      </c>
      <c r="E8" s="80" t="s">
        <v>125</v>
      </c>
      <c r="F8" s="71">
        <v>0.0</v>
      </c>
      <c r="H8" s="72">
        <v>0.0</v>
      </c>
      <c r="J8" s="72">
        <v>0.0</v>
      </c>
      <c r="L8" s="71">
        <v>0.0</v>
      </c>
      <c r="N8" s="72">
        <v>0.0</v>
      </c>
      <c r="P8" s="72">
        <v>0.0</v>
      </c>
      <c r="R8" s="72">
        <v>0.0</v>
      </c>
      <c r="T8" s="72">
        <v>0.0</v>
      </c>
      <c r="V8" s="72">
        <v>0.0</v>
      </c>
      <c r="X8" s="72">
        <v>0.0</v>
      </c>
      <c r="Y8" s="73"/>
      <c r="Z8" s="71">
        <v>0.0</v>
      </c>
      <c r="AB8" s="72">
        <v>0.0</v>
      </c>
      <c r="AD8" s="72">
        <v>0.0</v>
      </c>
      <c r="AF8" s="81">
        <f t="shared" si="1"/>
        <v>0</v>
      </c>
      <c r="AG8" s="78">
        <f t="shared" si="2"/>
        <v>0</v>
      </c>
      <c r="AH8" s="78">
        <f t="shared" si="3"/>
        <v>0</v>
      </c>
      <c r="AI8" s="78">
        <f t="shared" si="4"/>
        <v>0</v>
      </c>
      <c r="AJ8" s="82" t="str">
        <f t="shared" si="5"/>
        <v/>
      </c>
    </row>
    <row r="9">
      <c r="A9" s="83" t="s">
        <v>30</v>
      </c>
      <c r="B9" s="84">
        <f t="shared" si="6"/>
        <v>44568</v>
      </c>
      <c r="C9" s="85">
        <v>1.0</v>
      </c>
      <c r="D9" s="86" t="s">
        <v>48</v>
      </c>
      <c r="E9" s="87" t="s">
        <v>125</v>
      </c>
      <c r="F9" s="88">
        <v>0.0</v>
      </c>
      <c r="G9" s="89"/>
      <c r="H9" s="90">
        <v>0.0</v>
      </c>
      <c r="I9" s="89"/>
      <c r="J9" s="90">
        <v>0.0</v>
      </c>
      <c r="K9" s="89"/>
      <c r="L9" s="88">
        <v>0.0</v>
      </c>
      <c r="M9" s="89"/>
      <c r="N9" s="90">
        <v>0.0</v>
      </c>
      <c r="O9" s="89"/>
      <c r="P9" s="90">
        <v>0.0</v>
      </c>
      <c r="Q9" s="89"/>
      <c r="R9" s="90">
        <v>0.0</v>
      </c>
      <c r="S9" s="89"/>
      <c r="T9" s="90">
        <v>0.0</v>
      </c>
      <c r="U9" s="89"/>
      <c r="V9" s="90">
        <v>0.0</v>
      </c>
      <c r="W9" s="89"/>
      <c r="X9" s="90">
        <v>0.0</v>
      </c>
      <c r="Y9" s="91"/>
      <c r="Z9" s="88">
        <v>0.0</v>
      </c>
      <c r="AA9" s="89"/>
      <c r="AB9" s="90">
        <v>0.0</v>
      </c>
      <c r="AC9" s="89"/>
      <c r="AD9" s="90">
        <v>0.0</v>
      </c>
      <c r="AE9" s="89"/>
      <c r="AF9" s="92">
        <f t="shared" si="1"/>
        <v>0</v>
      </c>
      <c r="AG9" s="85">
        <f t="shared" si="2"/>
        <v>0</v>
      </c>
      <c r="AH9" s="85">
        <f t="shared" si="3"/>
        <v>0</v>
      </c>
      <c r="AI9" s="85">
        <f t="shared" si="4"/>
        <v>0</v>
      </c>
      <c r="AJ9" s="93" t="str">
        <f t="shared" si="5"/>
        <v/>
      </c>
    </row>
    <row r="10">
      <c r="A10" s="66" t="s">
        <v>11</v>
      </c>
      <c r="B10" s="94">
        <f t="shared" si="6"/>
        <v>44569</v>
      </c>
      <c r="C10" s="68">
        <v>1.0</v>
      </c>
      <c r="D10" s="68" t="s">
        <v>59</v>
      </c>
      <c r="E10" s="70" t="s">
        <v>125</v>
      </c>
      <c r="F10" s="71">
        <v>0.0</v>
      </c>
      <c r="H10" s="72">
        <v>0.0</v>
      </c>
      <c r="J10" s="72">
        <v>0.0</v>
      </c>
      <c r="L10" s="71">
        <v>0.0</v>
      </c>
      <c r="N10" s="72">
        <v>0.0</v>
      </c>
      <c r="P10" s="72">
        <v>0.0</v>
      </c>
      <c r="R10" s="72">
        <v>0.0</v>
      </c>
      <c r="T10" s="72">
        <v>0.0</v>
      </c>
      <c r="V10" s="72">
        <v>0.0</v>
      </c>
      <c r="X10" s="72">
        <v>0.0</v>
      </c>
      <c r="Y10" s="73"/>
      <c r="Z10" s="71">
        <v>0.0</v>
      </c>
      <c r="AB10" s="72">
        <v>0.0</v>
      </c>
      <c r="AD10" s="72">
        <v>0.0</v>
      </c>
      <c r="AF10" s="74">
        <f t="shared" si="1"/>
        <v>0</v>
      </c>
      <c r="AG10" s="68">
        <f t="shared" si="2"/>
        <v>0</v>
      </c>
      <c r="AH10" s="68">
        <f t="shared" si="3"/>
        <v>0</v>
      </c>
      <c r="AI10" s="68">
        <f t="shared" si="4"/>
        <v>0</v>
      </c>
      <c r="AJ10" s="75" t="str">
        <f t="shared" si="5"/>
        <v/>
      </c>
    </row>
    <row r="11">
      <c r="A11" s="76" t="s">
        <v>16</v>
      </c>
      <c r="B11" s="77">
        <f t="shared" si="6"/>
        <v>44570</v>
      </c>
      <c r="C11" s="78">
        <v>1.0</v>
      </c>
      <c r="D11" s="78" t="s">
        <v>59</v>
      </c>
      <c r="E11" s="80" t="s">
        <v>125</v>
      </c>
      <c r="F11" s="71">
        <v>0.0</v>
      </c>
      <c r="H11" s="72">
        <v>0.0</v>
      </c>
      <c r="J11" s="72">
        <v>0.0</v>
      </c>
      <c r="L11" s="71">
        <v>0.0</v>
      </c>
      <c r="N11" s="72">
        <v>0.0</v>
      </c>
      <c r="P11" s="72">
        <v>0.0</v>
      </c>
      <c r="R11" s="72">
        <v>0.0</v>
      </c>
      <c r="T11" s="72">
        <v>0.0</v>
      </c>
      <c r="V11" s="72">
        <v>0.0</v>
      </c>
      <c r="X11" s="72">
        <v>0.0</v>
      </c>
      <c r="Y11" s="73"/>
      <c r="Z11" s="71">
        <v>0.0</v>
      </c>
      <c r="AB11" s="72">
        <v>0.0</v>
      </c>
      <c r="AD11" s="72">
        <v>0.0</v>
      </c>
      <c r="AF11" s="81">
        <f t="shared" si="1"/>
        <v>0</v>
      </c>
      <c r="AG11" s="78">
        <f t="shared" si="2"/>
        <v>0</v>
      </c>
      <c r="AH11" s="78">
        <f t="shared" si="3"/>
        <v>0</v>
      </c>
      <c r="AI11" s="78">
        <f t="shared" si="4"/>
        <v>0</v>
      </c>
      <c r="AJ11" s="82" t="str">
        <f t="shared" si="5"/>
        <v/>
      </c>
    </row>
    <row r="12">
      <c r="A12" s="76" t="s">
        <v>17</v>
      </c>
      <c r="B12" s="77">
        <f t="shared" si="6"/>
        <v>44571</v>
      </c>
      <c r="C12" s="78">
        <v>1.0</v>
      </c>
      <c r="D12" s="78" t="s">
        <v>59</v>
      </c>
      <c r="E12" s="80" t="s">
        <v>125</v>
      </c>
      <c r="F12" s="71">
        <v>0.0</v>
      </c>
      <c r="H12" s="72">
        <v>0.0</v>
      </c>
      <c r="J12" s="72">
        <v>0.0</v>
      </c>
      <c r="L12" s="71">
        <v>0.0</v>
      </c>
      <c r="N12" s="72">
        <v>0.0</v>
      </c>
      <c r="P12" s="72">
        <v>0.0</v>
      </c>
      <c r="R12" s="72">
        <v>0.0</v>
      </c>
      <c r="T12" s="72">
        <v>0.0</v>
      </c>
      <c r="V12" s="72">
        <v>0.0</v>
      </c>
      <c r="X12" s="72">
        <v>0.0</v>
      </c>
      <c r="Y12" s="73"/>
      <c r="Z12" s="71">
        <v>0.0</v>
      </c>
      <c r="AB12" s="72">
        <v>0.0</v>
      </c>
      <c r="AD12" s="72">
        <v>0.0</v>
      </c>
      <c r="AF12" s="81">
        <f t="shared" si="1"/>
        <v>0</v>
      </c>
      <c r="AG12" s="78">
        <f t="shared" si="2"/>
        <v>0</v>
      </c>
      <c r="AH12" s="78">
        <f t="shared" si="3"/>
        <v>0</v>
      </c>
      <c r="AI12" s="78">
        <f t="shared" si="4"/>
        <v>0</v>
      </c>
      <c r="AJ12" s="82" t="str">
        <f t="shared" si="5"/>
        <v/>
      </c>
    </row>
    <row r="13">
      <c r="A13" s="76" t="s">
        <v>21</v>
      </c>
      <c r="B13" s="77">
        <f t="shared" si="6"/>
        <v>44572</v>
      </c>
      <c r="C13" s="78">
        <v>1.0</v>
      </c>
      <c r="D13" s="78" t="s">
        <v>59</v>
      </c>
      <c r="E13" s="80" t="s">
        <v>125</v>
      </c>
      <c r="F13" s="71">
        <v>0.0</v>
      </c>
      <c r="H13" s="72">
        <v>0.0</v>
      </c>
      <c r="J13" s="72">
        <v>0.0</v>
      </c>
      <c r="L13" s="71">
        <v>0.0</v>
      </c>
      <c r="N13" s="72">
        <v>0.0</v>
      </c>
      <c r="P13" s="72">
        <v>0.0</v>
      </c>
      <c r="R13" s="72">
        <v>0.0</v>
      </c>
      <c r="T13" s="72">
        <v>0.0</v>
      </c>
      <c r="V13" s="72">
        <v>0.0</v>
      </c>
      <c r="X13" s="72">
        <v>0.0</v>
      </c>
      <c r="Y13" s="73"/>
      <c r="Z13" s="71">
        <v>0.0</v>
      </c>
      <c r="AB13" s="72">
        <v>0.0</v>
      </c>
      <c r="AD13" s="72">
        <v>0.0</v>
      </c>
      <c r="AF13" s="81">
        <f t="shared" si="1"/>
        <v>0</v>
      </c>
      <c r="AG13" s="78">
        <f t="shared" si="2"/>
        <v>0</v>
      </c>
      <c r="AH13" s="78">
        <f t="shared" si="3"/>
        <v>0</v>
      </c>
      <c r="AI13" s="78">
        <f t="shared" si="4"/>
        <v>0</v>
      </c>
      <c r="AJ13" s="82" t="str">
        <f t="shared" si="5"/>
        <v/>
      </c>
    </row>
    <row r="14">
      <c r="A14" s="76" t="s">
        <v>24</v>
      </c>
      <c r="B14" s="77">
        <f t="shared" si="6"/>
        <v>44573</v>
      </c>
      <c r="C14" s="78">
        <v>1.0</v>
      </c>
      <c r="D14" s="78" t="s">
        <v>59</v>
      </c>
      <c r="E14" s="80" t="s">
        <v>125</v>
      </c>
      <c r="F14" s="71">
        <v>0.0</v>
      </c>
      <c r="H14" s="72">
        <v>0.0</v>
      </c>
      <c r="J14" s="72">
        <v>0.0</v>
      </c>
      <c r="L14" s="71">
        <v>0.0</v>
      </c>
      <c r="N14" s="72">
        <v>0.0</v>
      </c>
      <c r="P14" s="72">
        <v>0.0</v>
      </c>
      <c r="R14" s="72">
        <v>0.0</v>
      </c>
      <c r="T14" s="72">
        <v>0.0</v>
      </c>
      <c r="V14" s="72">
        <v>0.0</v>
      </c>
      <c r="X14" s="72">
        <v>0.0</v>
      </c>
      <c r="Y14" s="73"/>
      <c r="Z14" s="71">
        <v>0.0</v>
      </c>
      <c r="AB14" s="72">
        <v>0.0</v>
      </c>
      <c r="AD14" s="72">
        <v>0.0</v>
      </c>
      <c r="AF14" s="81">
        <f t="shared" si="1"/>
        <v>0</v>
      </c>
      <c r="AG14" s="78">
        <f t="shared" si="2"/>
        <v>0</v>
      </c>
      <c r="AH14" s="78">
        <f t="shared" si="3"/>
        <v>0</v>
      </c>
      <c r="AI14" s="78">
        <f t="shared" si="4"/>
        <v>0</v>
      </c>
      <c r="AJ14" s="82" t="str">
        <f t="shared" si="5"/>
        <v/>
      </c>
    </row>
    <row r="15">
      <c r="A15" s="76" t="s">
        <v>27</v>
      </c>
      <c r="B15" s="77">
        <f t="shared" si="6"/>
        <v>44574</v>
      </c>
      <c r="C15" s="78">
        <v>1.0</v>
      </c>
      <c r="D15" s="78" t="s">
        <v>59</v>
      </c>
      <c r="E15" s="80" t="s">
        <v>125</v>
      </c>
      <c r="F15" s="71">
        <v>0.0</v>
      </c>
      <c r="H15" s="72">
        <v>0.0</v>
      </c>
      <c r="J15" s="72">
        <v>0.0</v>
      </c>
      <c r="L15" s="71">
        <v>0.0</v>
      </c>
      <c r="N15" s="72">
        <v>0.0</v>
      </c>
      <c r="P15" s="72">
        <v>0.0</v>
      </c>
      <c r="R15" s="72">
        <v>0.0</v>
      </c>
      <c r="T15" s="72">
        <v>0.0</v>
      </c>
      <c r="V15" s="72">
        <v>0.0</v>
      </c>
      <c r="X15" s="72">
        <v>0.0</v>
      </c>
      <c r="Y15" s="73"/>
      <c r="Z15" s="71">
        <v>0.0</v>
      </c>
      <c r="AB15" s="72">
        <v>0.0</v>
      </c>
      <c r="AD15" s="72">
        <v>0.0</v>
      </c>
      <c r="AF15" s="81">
        <f t="shared" si="1"/>
        <v>0</v>
      </c>
      <c r="AG15" s="78">
        <f t="shared" si="2"/>
        <v>0</v>
      </c>
      <c r="AH15" s="78">
        <f t="shared" si="3"/>
        <v>0</v>
      </c>
      <c r="AI15" s="78">
        <f t="shared" si="4"/>
        <v>0</v>
      </c>
      <c r="AJ15" s="82" t="str">
        <f t="shared" si="5"/>
        <v/>
      </c>
    </row>
    <row r="16">
      <c r="A16" s="83" t="s">
        <v>30</v>
      </c>
      <c r="B16" s="84">
        <f t="shared" si="6"/>
        <v>44575</v>
      </c>
      <c r="C16" s="85">
        <v>1.0</v>
      </c>
      <c r="D16" s="85" t="s">
        <v>59</v>
      </c>
      <c r="E16" s="87" t="s">
        <v>125</v>
      </c>
      <c r="F16" s="88">
        <v>0.0</v>
      </c>
      <c r="G16" s="89"/>
      <c r="H16" s="90">
        <v>0.0</v>
      </c>
      <c r="I16" s="89"/>
      <c r="J16" s="90">
        <v>0.0</v>
      </c>
      <c r="K16" s="89"/>
      <c r="L16" s="88">
        <v>0.0</v>
      </c>
      <c r="M16" s="89"/>
      <c r="N16" s="90">
        <v>0.0</v>
      </c>
      <c r="O16" s="89"/>
      <c r="P16" s="90">
        <v>0.0</v>
      </c>
      <c r="Q16" s="89"/>
      <c r="R16" s="90">
        <v>0.0</v>
      </c>
      <c r="S16" s="89"/>
      <c r="T16" s="90">
        <v>0.0</v>
      </c>
      <c r="U16" s="89"/>
      <c r="V16" s="90">
        <v>0.0</v>
      </c>
      <c r="W16" s="89"/>
      <c r="X16" s="90">
        <v>0.0</v>
      </c>
      <c r="Y16" s="91"/>
      <c r="Z16" s="88">
        <v>0.0</v>
      </c>
      <c r="AA16" s="89"/>
      <c r="AB16" s="90">
        <v>0.0</v>
      </c>
      <c r="AC16" s="89"/>
      <c r="AD16" s="90">
        <v>0.0</v>
      </c>
      <c r="AE16" s="89"/>
      <c r="AF16" s="92">
        <f t="shared" si="1"/>
        <v>0</v>
      </c>
      <c r="AG16" s="85">
        <f t="shared" si="2"/>
        <v>0</v>
      </c>
      <c r="AH16" s="85">
        <f t="shared" si="3"/>
        <v>0</v>
      </c>
      <c r="AI16" s="85">
        <f t="shared" si="4"/>
        <v>0</v>
      </c>
      <c r="AJ16" s="93" t="str">
        <f t="shared" si="5"/>
        <v/>
      </c>
    </row>
    <row r="17">
      <c r="A17" s="66" t="s">
        <v>11</v>
      </c>
      <c r="B17" s="94">
        <f t="shared" si="6"/>
        <v>44576</v>
      </c>
      <c r="C17" s="68">
        <v>1.0</v>
      </c>
      <c r="D17" s="68" t="s">
        <v>12</v>
      </c>
      <c r="E17" s="70" t="s">
        <v>127</v>
      </c>
      <c r="F17" s="71">
        <v>0.0</v>
      </c>
      <c r="H17" s="72">
        <v>0.0</v>
      </c>
      <c r="J17" s="72">
        <v>0.0</v>
      </c>
      <c r="L17" s="102">
        <v>13.0</v>
      </c>
      <c r="N17" s="103">
        <v>13.0</v>
      </c>
      <c r="P17" s="104">
        <v>0.0</v>
      </c>
      <c r="R17" s="104">
        <v>0.0</v>
      </c>
      <c r="T17" s="104">
        <v>1.0</v>
      </c>
      <c r="V17" s="104">
        <v>1.0</v>
      </c>
      <c r="X17" s="104">
        <v>0.0</v>
      </c>
      <c r="Y17" s="73"/>
      <c r="Z17" s="105">
        <v>25.0</v>
      </c>
      <c r="AB17" s="104">
        <v>25.0</v>
      </c>
      <c r="AD17" s="104">
        <v>0.0</v>
      </c>
      <c r="AF17" s="74">
        <f t="shared" si="1"/>
        <v>2029.356</v>
      </c>
      <c r="AG17" s="68">
        <f t="shared" si="2"/>
        <v>76</v>
      </c>
      <c r="AH17" s="68">
        <f t="shared" si="3"/>
        <v>2</v>
      </c>
      <c r="AI17" s="68">
        <f t="shared" si="4"/>
        <v>78</v>
      </c>
      <c r="AJ17" s="75">
        <f t="shared" si="5"/>
        <v>26.01738462</v>
      </c>
    </row>
    <row r="18">
      <c r="A18" s="76" t="s">
        <v>16</v>
      </c>
      <c r="B18" s="77">
        <f t="shared" si="6"/>
        <v>44577</v>
      </c>
      <c r="C18" s="78">
        <v>1.0</v>
      </c>
      <c r="D18" s="78" t="s">
        <v>12</v>
      </c>
      <c r="E18" s="80" t="s">
        <v>127</v>
      </c>
      <c r="F18" s="71">
        <v>0.0</v>
      </c>
      <c r="H18" s="72">
        <v>0.0</v>
      </c>
      <c r="J18" s="72">
        <v>0.0</v>
      </c>
      <c r="L18" s="102">
        <v>13.0</v>
      </c>
      <c r="N18" s="103">
        <v>13.0</v>
      </c>
      <c r="P18" s="104">
        <v>0.0</v>
      </c>
      <c r="R18" s="104">
        <v>0.0</v>
      </c>
      <c r="T18" s="104">
        <v>0.0</v>
      </c>
      <c r="V18" s="104">
        <v>0.0</v>
      </c>
      <c r="X18" s="104">
        <v>0.0</v>
      </c>
      <c r="Y18" s="73"/>
      <c r="Z18" s="105">
        <v>25.0</v>
      </c>
      <c r="AB18" s="104">
        <v>25.0</v>
      </c>
      <c r="AD18" s="104">
        <v>0.0</v>
      </c>
      <c r="AF18" s="81">
        <f t="shared" si="1"/>
        <v>1294.356</v>
      </c>
      <c r="AG18" s="78">
        <f t="shared" si="2"/>
        <v>76</v>
      </c>
      <c r="AH18" s="78">
        <f t="shared" si="3"/>
        <v>0</v>
      </c>
      <c r="AI18" s="78">
        <f t="shared" si="4"/>
        <v>76</v>
      </c>
      <c r="AJ18" s="82">
        <f t="shared" si="5"/>
        <v>17.031</v>
      </c>
    </row>
    <row r="19">
      <c r="A19" s="76" t="s">
        <v>17</v>
      </c>
      <c r="B19" s="77">
        <f t="shared" si="6"/>
        <v>44578</v>
      </c>
      <c r="C19" s="78">
        <v>1.0</v>
      </c>
      <c r="D19" s="78" t="s">
        <v>12</v>
      </c>
      <c r="E19" s="80" t="s">
        <v>127</v>
      </c>
      <c r="F19" s="71">
        <v>0.0</v>
      </c>
      <c r="H19" s="72">
        <v>0.0</v>
      </c>
      <c r="J19" s="72">
        <v>0.0</v>
      </c>
      <c r="L19" s="102">
        <v>13.0</v>
      </c>
      <c r="N19" s="103">
        <v>13.0</v>
      </c>
      <c r="P19" s="104">
        <v>0.0</v>
      </c>
      <c r="R19" s="104">
        <v>0.0</v>
      </c>
      <c r="T19" s="104">
        <v>0.0</v>
      </c>
      <c r="V19" s="104">
        <v>0.0</v>
      </c>
      <c r="X19" s="104">
        <v>0.0</v>
      </c>
      <c r="Y19" s="73"/>
      <c r="Z19" s="105">
        <v>25.0</v>
      </c>
      <c r="AB19" s="104">
        <v>25.0</v>
      </c>
      <c r="AD19" s="104">
        <v>0.0</v>
      </c>
      <c r="AF19" s="81">
        <f t="shared" si="1"/>
        <v>1294.356</v>
      </c>
      <c r="AG19" s="78">
        <f t="shared" si="2"/>
        <v>76</v>
      </c>
      <c r="AH19" s="78">
        <f t="shared" si="3"/>
        <v>0</v>
      </c>
      <c r="AI19" s="78">
        <f t="shared" si="4"/>
        <v>76</v>
      </c>
      <c r="AJ19" s="82">
        <f t="shared" si="5"/>
        <v>17.031</v>
      </c>
    </row>
    <row r="20">
      <c r="A20" s="76" t="s">
        <v>21</v>
      </c>
      <c r="B20" s="77">
        <f t="shared" si="6"/>
        <v>44579</v>
      </c>
      <c r="C20" s="78">
        <v>1.0</v>
      </c>
      <c r="D20" s="78" t="s">
        <v>12</v>
      </c>
      <c r="E20" s="80" t="s">
        <v>127</v>
      </c>
      <c r="F20" s="71">
        <v>0.0</v>
      </c>
      <c r="H20" s="72">
        <v>0.0</v>
      </c>
      <c r="J20" s="72">
        <v>0.0</v>
      </c>
      <c r="L20" s="102">
        <v>13.0</v>
      </c>
      <c r="N20" s="103">
        <v>13.0</v>
      </c>
      <c r="P20" s="104">
        <v>0.0</v>
      </c>
      <c r="R20" s="104">
        <v>0.0</v>
      </c>
      <c r="T20" s="104">
        <v>0.0</v>
      </c>
      <c r="V20" s="104">
        <v>0.0</v>
      </c>
      <c r="X20" s="104">
        <v>0.0</v>
      </c>
      <c r="Y20" s="73"/>
      <c r="Z20" s="105">
        <v>25.0</v>
      </c>
      <c r="AB20" s="104">
        <v>25.0</v>
      </c>
      <c r="AD20" s="104">
        <v>0.0</v>
      </c>
      <c r="AF20" s="81">
        <f t="shared" si="1"/>
        <v>1294.356</v>
      </c>
      <c r="AG20" s="78">
        <f t="shared" si="2"/>
        <v>76</v>
      </c>
      <c r="AH20" s="78">
        <f t="shared" si="3"/>
        <v>0</v>
      </c>
      <c r="AI20" s="78">
        <f t="shared" si="4"/>
        <v>76</v>
      </c>
      <c r="AJ20" s="82">
        <f t="shared" si="5"/>
        <v>17.031</v>
      </c>
    </row>
    <row r="21">
      <c r="A21" s="76" t="s">
        <v>24</v>
      </c>
      <c r="B21" s="77">
        <f t="shared" si="6"/>
        <v>44580</v>
      </c>
      <c r="C21" s="78">
        <v>1.0</v>
      </c>
      <c r="D21" s="78" t="s">
        <v>12</v>
      </c>
      <c r="E21" s="80" t="s">
        <v>127</v>
      </c>
      <c r="F21" s="71">
        <v>0.0</v>
      </c>
      <c r="H21" s="72">
        <v>0.0</v>
      </c>
      <c r="J21" s="72">
        <v>0.0</v>
      </c>
      <c r="L21" s="102">
        <v>13.0</v>
      </c>
      <c r="N21" s="103">
        <v>13.0</v>
      </c>
      <c r="P21" s="104">
        <v>0.0</v>
      </c>
      <c r="R21" s="104">
        <v>0.0</v>
      </c>
      <c r="T21" s="104">
        <v>0.0</v>
      </c>
      <c r="V21" s="104">
        <v>0.0</v>
      </c>
      <c r="X21" s="104">
        <v>0.0</v>
      </c>
      <c r="Y21" s="73"/>
      <c r="Z21" s="105">
        <v>25.0</v>
      </c>
      <c r="AB21" s="104">
        <v>25.0</v>
      </c>
      <c r="AD21" s="104">
        <v>0.0</v>
      </c>
      <c r="AF21" s="81">
        <f t="shared" si="1"/>
        <v>1294.356</v>
      </c>
      <c r="AG21" s="78">
        <f t="shared" si="2"/>
        <v>76</v>
      </c>
      <c r="AH21" s="78">
        <f t="shared" si="3"/>
        <v>0</v>
      </c>
      <c r="AI21" s="78">
        <f t="shared" si="4"/>
        <v>76</v>
      </c>
      <c r="AJ21" s="82">
        <f t="shared" si="5"/>
        <v>17.031</v>
      </c>
    </row>
    <row r="22">
      <c r="A22" s="76" t="s">
        <v>27</v>
      </c>
      <c r="B22" s="77">
        <f t="shared" si="6"/>
        <v>44581</v>
      </c>
      <c r="C22" s="78">
        <v>1.0</v>
      </c>
      <c r="D22" s="78" t="s">
        <v>12</v>
      </c>
      <c r="E22" s="80" t="s">
        <v>127</v>
      </c>
      <c r="F22" s="71">
        <v>0.0</v>
      </c>
      <c r="H22" s="72">
        <v>0.0</v>
      </c>
      <c r="J22" s="72">
        <v>0.0</v>
      </c>
      <c r="L22" s="102">
        <v>0.0</v>
      </c>
      <c r="N22" s="103">
        <v>0.0</v>
      </c>
      <c r="P22" s="104">
        <v>0.0</v>
      </c>
      <c r="R22" s="104">
        <v>0.0</v>
      </c>
      <c r="T22" s="104">
        <v>0.0</v>
      </c>
      <c r="V22" s="104">
        <v>0.0</v>
      </c>
      <c r="X22" s="104">
        <v>0.0</v>
      </c>
      <c r="Y22" s="73"/>
      <c r="Z22" s="105">
        <v>0.0</v>
      </c>
      <c r="AB22" s="104">
        <v>0.0</v>
      </c>
      <c r="AD22" s="104">
        <v>0.0</v>
      </c>
      <c r="AF22" s="81">
        <f t="shared" si="1"/>
        <v>0</v>
      </c>
      <c r="AG22" s="78">
        <f t="shared" si="2"/>
        <v>0</v>
      </c>
      <c r="AH22" s="78">
        <f t="shared" si="3"/>
        <v>0</v>
      </c>
      <c r="AI22" s="78">
        <f t="shared" si="4"/>
        <v>0</v>
      </c>
      <c r="AJ22" s="82" t="str">
        <f t="shared" si="5"/>
        <v/>
      </c>
    </row>
    <row r="23">
      <c r="A23" s="83" t="s">
        <v>30</v>
      </c>
      <c r="B23" s="84">
        <f t="shared" si="6"/>
        <v>44582</v>
      </c>
      <c r="C23" s="85">
        <v>1.0</v>
      </c>
      <c r="D23" s="85" t="s">
        <v>12</v>
      </c>
      <c r="E23" s="87" t="s">
        <v>127</v>
      </c>
      <c r="F23" s="88">
        <v>0.0</v>
      </c>
      <c r="G23" s="89"/>
      <c r="H23" s="90">
        <v>0.0</v>
      </c>
      <c r="I23" s="89"/>
      <c r="J23" s="90">
        <v>0.0</v>
      </c>
      <c r="K23" s="89"/>
      <c r="L23" s="109">
        <v>0.0</v>
      </c>
      <c r="M23" s="89"/>
      <c r="N23" s="110">
        <v>0.0</v>
      </c>
      <c r="O23" s="89"/>
      <c r="P23" s="111">
        <v>0.0</v>
      </c>
      <c r="Q23" s="89"/>
      <c r="R23" s="111">
        <v>0.0</v>
      </c>
      <c r="S23" s="89"/>
      <c r="T23" s="111">
        <v>0.0</v>
      </c>
      <c r="U23" s="89"/>
      <c r="V23" s="111">
        <v>0.0</v>
      </c>
      <c r="W23" s="89"/>
      <c r="X23" s="111">
        <v>0.0</v>
      </c>
      <c r="Y23" s="91"/>
      <c r="Z23" s="112">
        <v>0.0</v>
      </c>
      <c r="AA23" s="89"/>
      <c r="AB23" s="111">
        <v>0.0</v>
      </c>
      <c r="AC23" s="89"/>
      <c r="AD23" s="111">
        <v>0.0</v>
      </c>
      <c r="AE23" s="89"/>
      <c r="AF23" s="92">
        <f t="shared" si="1"/>
        <v>0</v>
      </c>
      <c r="AG23" s="85">
        <f t="shared" si="2"/>
        <v>0</v>
      </c>
      <c r="AH23" s="85">
        <f t="shared" si="3"/>
        <v>0</v>
      </c>
      <c r="AI23" s="85">
        <f t="shared" si="4"/>
        <v>0</v>
      </c>
      <c r="AJ23" s="93" t="str">
        <f t="shared" si="5"/>
        <v/>
      </c>
    </row>
    <row r="24">
      <c r="A24" s="66" t="s">
        <v>11</v>
      </c>
      <c r="B24" s="94">
        <f t="shared" si="6"/>
        <v>44583</v>
      </c>
      <c r="C24" s="68">
        <v>1.0</v>
      </c>
      <c r="D24" s="68" t="s">
        <v>33</v>
      </c>
      <c r="E24" s="70" t="s">
        <v>127</v>
      </c>
      <c r="F24" s="71">
        <v>0.0</v>
      </c>
      <c r="H24" s="72">
        <v>0.0</v>
      </c>
      <c r="J24" s="72">
        <v>0.0</v>
      </c>
      <c r="L24" s="105">
        <v>50.0</v>
      </c>
      <c r="N24" s="104">
        <v>50.0</v>
      </c>
      <c r="P24" s="104">
        <v>0.0</v>
      </c>
      <c r="R24" s="104">
        <v>0.0</v>
      </c>
      <c r="T24" s="104">
        <v>1.0</v>
      </c>
      <c r="V24" s="104">
        <v>1.0</v>
      </c>
      <c r="X24" s="104">
        <v>0.0</v>
      </c>
      <c r="Y24" s="73"/>
      <c r="Z24" s="105">
        <v>25.0</v>
      </c>
      <c r="AB24" s="104">
        <v>25.0</v>
      </c>
      <c r="AD24" s="104">
        <v>0.0</v>
      </c>
      <c r="AF24" s="74">
        <f t="shared" si="1"/>
        <v>3289.65</v>
      </c>
      <c r="AG24" s="68">
        <f t="shared" si="2"/>
        <v>150</v>
      </c>
      <c r="AH24" s="68">
        <f t="shared" si="3"/>
        <v>2</v>
      </c>
      <c r="AI24" s="68">
        <f t="shared" si="4"/>
        <v>152</v>
      </c>
      <c r="AJ24" s="75">
        <f t="shared" si="5"/>
        <v>21.64243421</v>
      </c>
    </row>
    <row r="25">
      <c r="A25" s="76" t="s">
        <v>16</v>
      </c>
      <c r="B25" s="77">
        <f t="shared" si="6"/>
        <v>44584</v>
      </c>
      <c r="C25" s="78">
        <v>1.0</v>
      </c>
      <c r="D25" s="78" t="s">
        <v>33</v>
      </c>
      <c r="E25" s="80" t="s">
        <v>127</v>
      </c>
      <c r="F25" s="71">
        <v>0.0</v>
      </c>
      <c r="H25" s="72">
        <v>0.0</v>
      </c>
      <c r="J25" s="72">
        <v>0.0</v>
      </c>
      <c r="L25" s="105">
        <v>50.0</v>
      </c>
      <c r="N25" s="104">
        <v>50.0</v>
      </c>
      <c r="P25" s="104">
        <v>0.0</v>
      </c>
      <c r="R25" s="104">
        <v>0.0</v>
      </c>
      <c r="T25" s="104">
        <v>0.0</v>
      </c>
      <c r="V25" s="104">
        <v>0.0</v>
      </c>
      <c r="X25" s="104">
        <v>0.0</v>
      </c>
      <c r="Y25" s="73"/>
      <c r="Z25" s="105">
        <v>25.0</v>
      </c>
      <c r="AB25" s="104">
        <v>25.0</v>
      </c>
      <c r="AD25" s="104">
        <v>0.0</v>
      </c>
      <c r="AF25" s="81">
        <f t="shared" si="1"/>
        <v>2554.65</v>
      </c>
      <c r="AG25" s="78">
        <f t="shared" si="2"/>
        <v>150</v>
      </c>
      <c r="AH25" s="78">
        <f t="shared" si="3"/>
        <v>0</v>
      </c>
      <c r="AI25" s="78">
        <f t="shared" si="4"/>
        <v>150</v>
      </c>
      <c r="AJ25" s="82">
        <f t="shared" si="5"/>
        <v>17.031</v>
      </c>
    </row>
    <row r="26">
      <c r="A26" s="76" t="s">
        <v>17</v>
      </c>
      <c r="B26" s="77">
        <f t="shared" si="6"/>
        <v>44585</v>
      </c>
      <c r="C26" s="78">
        <v>1.0</v>
      </c>
      <c r="D26" s="78" t="s">
        <v>33</v>
      </c>
      <c r="E26" s="80" t="s">
        <v>127</v>
      </c>
      <c r="F26" s="71">
        <v>0.0</v>
      </c>
      <c r="H26" s="72">
        <v>0.0</v>
      </c>
      <c r="J26" s="72">
        <v>0.0</v>
      </c>
      <c r="L26" s="105">
        <v>50.0</v>
      </c>
      <c r="N26" s="104">
        <v>50.0</v>
      </c>
      <c r="P26" s="104">
        <v>0.0</v>
      </c>
      <c r="R26" s="104">
        <v>0.0</v>
      </c>
      <c r="T26" s="104">
        <v>0.0</v>
      </c>
      <c r="V26" s="104">
        <v>0.0</v>
      </c>
      <c r="X26" s="104">
        <v>0.0</v>
      </c>
      <c r="Y26" s="73"/>
      <c r="Z26" s="105">
        <v>25.0</v>
      </c>
      <c r="AB26" s="104">
        <v>25.0</v>
      </c>
      <c r="AD26" s="104">
        <v>0.0</v>
      </c>
      <c r="AF26" s="81">
        <f t="shared" si="1"/>
        <v>2554.65</v>
      </c>
      <c r="AG26" s="78">
        <f t="shared" si="2"/>
        <v>150</v>
      </c>
      <c r="AH26" s="78">
        <f t="shared" si="3"/>
        <v>0</v>
      </c>
      <c r="AI26" s="78">
        <f t="shared" si="4"/>
        <v>150</v>
      </c>
      <c r="AJ26" s="82">
        <f t="shared" si="5"/>
        <v>17.031</v>
      </c>
    </row>
    <row r="27">
      <c r="A27" s="76" t="s">
        <v>21</v>
      </c>
      <c r="B27" s="77">
        <f t="shared" si="6"/>
        <v>44586</v>
      </c>
      <c r="C27" s="78">
        <v>1.0</v>
      </c>
      <c r="D27" s="78" t="s">
        <v>33</v>
      </c>
      <c r="E27" s="80" t="s">
        <v>127</v>
      </c>
      <c r="F27" s="71">
        <v>0.0</v>
      </c>
      <c r="H27" s="72">
        <v>0.0</v>
      </c>
      <c r="J27" s="72">
        <v>0.0</v>
      </c>
      <c r="L27" s="105">
        <v>50.0</v>
      </c>
      <c r="N27" s="104">
        <v>50.0</v>
      </c>
      <c r="P27" s="104">
        <v>0.0</v>
      </c>
      <c r="R27" s="104">
        <v>0.0</v>
      </c>
      <c r="T27" s="104">
        <v>0.0</v>
      </c>
      <c r="V27" s="104">
        <v>0.0</v>
      </c>
      <c r="X27" s="104">
        <v>0.0</v>
      </c>
      <c r="Y27" s="73"/>
      <c r="Z27" s="105">
        <v>25.0</v>
      </c>
      <c r="AB27" s="104">
        <v>25.0</v>
      </c>
      <c r="AD27" s="104">
        <v>0.0</v>
      </c>
      <c r="AF27" s="81">
        <f t="shared" si="1"/>
        <v>2554.65</v>
      </c>
      <c r="AG27" s="78">
        <f t="shared" si="2"/>
        <v>150</v>
      </c>
      <c r="AH27" s="78">
        <f t="shared" si="3"/>
        <v>0</v>
      </c>
      <c r="AI27" s="78">
        <f t="shared" si="4"/>
        <v>150</v>
      </c>
      <c r="AJ27" s="82">
        <f t="shared" si="5"/>
        <v>17.031</v>
      </c>
    </row>
    <row r="28">
      <c r="A28" s="76" t="s">
        <v>24</v>
      </c>
      <c r="B28" s="77">
        <f t="shared" si="6"/>
        <v>44587</v>
      </c>
      <c r="C28" s="78">
        <v>1.0</v>
      </c>
      <c r="D28" s="78" t="s">
        <v>33</v>
      </c>
      <c r="E28" s="80" t="s">
        <v>127</v>
      </c>
      <c r="F28" s="71">
        <v>0.0</v>
      </c>
      <c r="H28" s="72">
        <v>0.0</v>
      </c>
      <c r="J28" s="72">
        <v>0.0</v>
      </c>
      <c r="L28" s="105">
        <v>50.0</v>
      </c>
      <c r="N28" s="104">
        <v>50.0</v>
      </c>
      <c r="P28" s="104">
        <v>0.0</v>
      </c>
      <c r="R28" s="104">
        <v>0.0</v>
      </c>
      <c r="T28" s="104">
        <v>0.0</v>
      </c>
      <c r="V28" s="104">
        <v>0.0</v>
      </c>
      <c r="X28" s="104">
        <v>0.0</v>
      </c>
      <c r="Y28" s="73"/>
      <c r="Z28" s="105">
        <v>25.0</v>
      </c>
      <c r="AB28" s="104">
        <v>25.0</v>
      </c>
      <c r="AD28" s="104">
        <v>0.0</v>
      </c>
      <c r="AF28" s="81">
        <f t="shared" si="1"/>
        <v>2554.65</v>
      </c>
      <c r="AG28" s="78">
        <f t="shared" si="2"/>
        <v>150</v>
      </c>
      <c r="AH28" s="78">
        <f t="shared" si="3"/>
        <v>0</v>
      </c>
      <c r="AI28" s="78">
        <f t="shared" si="4"/>
        <v>150</v>
      </c>
      <c r="AJ28" s="82">
        <f t="shared" si="5"/>
        <v>17.031</v>
      </c>
    </row>
    <row r="29">
      <c r="A29" s="76" t="s">
        <v>27</v>
      </c>
      <c r="B29" s="77">
        <f t="shared" si="6"/>
        <v>44588</v>
      </c>
      <c r="C29" s="78">
        <v>1.0</v>
      </c>
      <c r="D29" s="78" t="s">
        <v>33</v>
      </c>
      <c r="E29" s="80" t="s">
        <v>127</v>
      </c>
      <c r="F29" s="71">
        <v>0.0</v>
      </c>
      <c r="H29" s="72">
        <v>0.0</v>
      </c>
      <c r="J29" s="72">
        <v>0.0</v>
      </c>
      <c r="L29" s="105">
        <v>0.0</v>
      </c>
      <c r="N29" s="104">
        <v>0.0</v>
      </c>
      <c r="P29" s="104">
        <v>0.0</v>
      </c>
      <c r="R29" s="104">
        <v>0.0</v>
      </c>
      <c r="T29" s="104">
        <v>0.0</v>
      </c>
      <c r="V29" s="104">
        <v>0.0</v>
      </c>
      <c r="X29" s="104">
        <v>0.0</v>
      </c>
      <c r="Y29" s="73"/>
      <c r="Z29" s="105">
        <v>0.0</v>
      </c>
      <c r="AB29" s="104">
        <v>0.0</v>
      </c>
      <c r="AD29" s="104">
        <v>0.0</v>
      </c>
      <c r="AF29" s="81">
        <f t="shared" si="1"/>
        <v>0</v>
      </c>
      <c r="AG29" s="78">
        <f t="shared" si="2"/>
        <v>0</v>
      </c>
      <c r="AH29" s="78">
        <f t="shared" si="3"/>
        <v>0</v>
      </c>
      <c r="AI29" s="78">
        <f t="shared" si="4"/>
        <v>0</v>
      </c>
      <c r="AJ29" s="82" t="str">
        <f t="shared" si="5"/>
        <v/>
      </c>
    </row>
    <row r="30">
      <c r="A30" s="83" t="s">
        <v>30</v>
      </c>
      <c r="B30" s="84">
        <f t="shared" si="6"/>
        <v>44589</v>
      </c>
      <c r="C30" s="85">
        <v>1.0</v>
      </c>
      <c r="D30" s="85" t="s">
        <v>33</v>
      </c>
      <c r="E30" s="87" t="s">
        <v>127</v>
      </c>
      <c r="F30" s="88">
        <v>0.0</v>
      </c>
      <c r="G30" s="89"/>
      <c r="H30" s="90">
        <v>0.0</v>
      </c>
      <c r="I30" s="89"/>
      <c r="J30" s="90">
        <v>0.0</v>
      </c>
      <c r="K30" s="89"/>
      <c r="L30" s="112">
        <v>0.0</v>
      </c>
      <c r="M30" s="89"/>
      <c r="N30" s="111">
        <v>0.0</v>
      </c>
      <c r="O30" s="89"/>
      <c r="P30" s="111">
        <v>0.0</v>
      </c>
      <c r="Q30" s="89"/>
      <c r="R30" s="111">
        <v>0.0</v>
      </c>
      <c r="S30" s="89"/>
      <c r="T30" s="111">
        <v>0.0</v>
      </c>
      <c r="U30" s="89"/>
      <c r="V30" s="111">
        <v>0.0</v>
      </c>
      <c r="W30" s="89"/>
      <c r="X30" s="111">
        <v>0.0</v>
      </c>
      <c r="Y30" s="91"/>
      <c r="Z30" s="112">
        <v>0.0</v>
      </c>
      <c r="AA30" s="89"/>
      <c r="AB30" s="111">
        <v>0.0</v>
      </c>
      <c r="AC30" s="89"/>
      <c r="AD30" s="111">
        <v>0.0</v>
      </c>
      <c r="AE30" s="89"/>
      <c r="AF30" s="92">
        <f t="shared" si="1"/>
        <v>0</v>
      </c>
      <c r="AG30" s="85">
        <f t="shared" si="2"/>
        <v>0</v>
      </c>
      <c r="AH30" s="85">
        <f t="shared" si="3"/>
        <v>0</v>
      </c>
      <c r="AI30" s="85">
        <f t="shared" si="4"/>
        <v>0</v>
      </c>
      <c r="AJ30" s="93" t="str">
        <f t="shared" si="5"/>
        <v/>
      </c>
    </row>
    <row r="31">
      <c r="A31" s="66" t="s">
        <v>11</v>
      </c>
      <c r="B31" s="94">
        <f t="shared" si="6"/>
        <v>44590</v>
      </c>
      <c r="C31" s="68">
        <v>2.0</v>
      </c>
      <c r="D31" s="68" t="s">
        <v>48</v>
      </c>
      <c r="E31" s="70" t="s">
        <v>127</v>
      </c>
      <c r="F31" s="71">
        <v>0.0</v>
      </c>
      <c r="H31" s="72">
        <v>0.0</v>
      </c>
      <c r="J31" s="72">
        <v>0.0</v>
      </c>
      <c r="L31" s="105">
        <v>50.0</v>
      </c>
      <c r="N31" s="104">
        <v>50.0</v>
      </c>
      <c r="P31" s="104">
        <v>0.0</v>
      </c>
      <c r="R31" s="104">
        <v>0.0</v>
      </c>
      <c r="T31" s="104">
        <v>1.0</v>
      </c>
      <c r="V31" s="104">
        <v>1.0</v>
      </c>
      <c r="X31" s="104">
        <v>0.0</v>
      </c>
      <c r="Y31" s="73"/>
      <c r="Z31" s="105">
        <v>25.0</v>
      </c>
      <c r="AB31" s="104">
        <v>25.0</v>
      </c>
      <c r="AD31" s="104">
        <v>0.0</v>
      </c>
      <c r="AF31" s="74">
        <f t="shared" si="1"/>
        <v>3289.65</v>
      </c>
      <c r="AG31" s="68">
        <f t="shared" si="2"/>
        <v>150</v>
      </c>
      <c r="AH31" s="68">
        <f t="shared" si="3"/>
        <v>2</v>
      </c>
      <c r="AI31" s="68">
        <f t="shared" si="4"/>
        <v>152</v>
      </c>
      <c r="AJ31" s="75">
        <f t="shared" si="5"/>
        <v>21.64243421</v>
      </c>
    </row>
    <row r="32">
      <c r="A32" s="76" t="s">
        <v>16</v>
      </c>
      <c r="B32" s="77">
        <f t="shared" si="6"/>
        <v>44591</v>
      </c>
      <c r="C32" s="78">
        <v>2.0</v>
      </c>
      <c r="D32" s="78" t="s">
        <v>48</v>
      </c>
      <c r="E32" s="80" t="s">
        <v>127</v>
      </c>
      <c r="F32" s="71">
        <v>0.0</v>
      </c>
      <c r="H32" s="72">
        <v>0.0</v>
      </c>
      <c r="J32" s="72">
        <v>0.0</v>
      </c>
      <c r="L32" s="105">
        <v>50.0</v>
      </c>
      <c r="N32" s="104">
        <v>50.0</v>
      </c>
      <c r="P32" s="104">
        <v>0.0</v>
      </c>
      <c r="R32" s="104">
        <v>0.0</v>
      </c>
      <c r="T32" s="104">
        <v>0.0</v>
      </c>
      <c r="V32" s="104">
        <v>0.0</v>
      </c>
      <c r="X32" s="104">
        <v>0.0</v>
      </c>
      <c r="Y32" s="73"/>
      <c r="Z32" s="105">
        <v>25.0</v>
      </c>
      <c r="AB32" s="104">
        <v>25.0</v>
      </c>
      <c r="AD32" s="104">
        <v>0.0</v>
      </c>
      <c r="AF32" s="81">
        <f t="shared" si="1"/>
        <v>2554.65</v>
      </c>
      <c r="AG32" s="78">
        <f t="shared" si="2"/>
        <v>150</v>
      </c>
      <c r="AH32" s="78">
        <f t="shared" si="3"/>
        <v>0</v>
      </c>
      <c r="AI32" s="78">
        <f t="shared" si="4"/>
        <v>150</v>
      </c>
      <c r="AJ32" s="82">
        <f t="shared" si="5"/>
        <v>17.031</v>
      </c>
    </row>
    <row r="33">
      <c r="A33" s="76" t="s">
        <v>17</v>
      </c>
      <c r="B33" s="77">
        <f t="shared" si="6"/>
        <v>44592</v>
      </c>
      <c r="C33" s="78">
        <v>2.0</v>
      </c>
      <c r="D33" s="78" t="s">
        <v>48</v>
      </c>
      <c r="E33" s="80" t="s">
        <v>127</v>
      </c>
      <c r="F33" s="71">
        <v>0.0</v>
      </c>
      <c r="H33" s="72">
        <v>0.0</v>
      </c>
      <c r="J33" s="72">
        <v>0.0</v>
      </c>
      <c r="L33" s="105">
        <v>50.0</v>
      </c>
      <c r="N33" s="104">
        <v>50.0</v>
      </c>
      <c r="P33" s="104">
        <v>0.0</v>
      </c>
      <c r="R33" s="104">
        <v>0.0</v>
      </c>
      <c r="T33" s="104">
        <v>0.0</v>
      </c>
      <c r="V33" s="104">
        <v>0.0</v>
      </c>
      <c r="X33" s="104">
        <v>0.0</v>
      </c>
      <c r="Y33" s="73"/>
      <c r="Z33" s="105">
        <v>25.0</v>
      </c>
      <c r="AB33" s="104">
        <v>25.0</v>
      </c>
      <c r="AD33" s="104">
        <v>0.0</v>
      </c>
      <c r="AF33" s="81">
        <f t="shared" si="1"/>
        <v>2554.65</v>
      </c>
      <c r="AG33" s="78">
        <f t="shared" si="2"/>
        <v>150</v>
      </c>
      <c r="AH33" s="78">
        <f t="shared" si="3"/>
        <v>0</v>
      </c>
      <c r="AI33" s="78">
        <f t="shared" si="4"/>
        <v>150</v>
      </c>
      <c r="AJ33" s="82">
        <f t="shared" si="5"/>
        <v>17.031</v>
      </c>
    </row>
    <row r="34">
      <c r="A34" s="76" t="s">
        <v>21</v>
      </c>
      <c r="B34" s="77">
        <f t="shared" si="6"/>
        <v>44593</v>
      </c>
      <c r="C34" s="78">
        <v>2.0</v>
      </c>
      <c r="D34" s="78" t="s">
        <v>48</v>
      </c>
      <c r="E34" s="80" t="s">
        <v>127</v>
      </c>
      <c r="F34" s="71">
        <v>0.0</v>
      </c>
      <c r="H34" s="72">
        <v>0.0</v>
      </c>
      <c r="J34" s="72">
        <v>0.0</v>
      </c>
      <c r="L34" s="105">
        <v>50.0</v>
      </c>
      <c r="N34" s="104">
        <v>50.0</v>
      </c>
      <c r="P34" s="104">
        <v>0.0</v>
      </c>
      <c r="R34" s="104">
        <v>0.0</v>
      </c>
      <c r="T34" s="104">
        <v>0.0</v>
      </c>
      <c r="V34" s="104">
        <v>0.0</v>
      </c>
      <c r="X34" s="104">
        <v>0.0</v>
      </c>
      <c r="Y34" s="73"/>
      <c r="Z34" s="105">
        <v>25.0</v>
      </c>
      <c r="AB34" s="104">
        <v>25.0</v>
      </c>
      <c r="AD34" s="104">
        <v>0.0</v>
      </c>
      <c r="AF34" s="81">
        <f t="shared" si="1"/>
        <v>2554.65</v>
      </c>
      <c r="AG34" s="78">
        <f t="shared" si="2"/>
        <v>150</v>
      </c>
      <c r="AH34" s="78">
        <f t="shared" si="3"/>
        <v>0</v>
      </c>
      <c r="AI34" s="78">
        <f t="shared" si="4"/>
        <v>150</v>
      </c>
      <c r="AJ34" s="82">
        <f t="shared" si="5"/>
        <v>17.031</v>
      </c>
    </row>
    <row r="35">
      <c r="A35" s="76" t="s">
        <v>24</v>
      </c>
      <c r="B35" s="77">
        <f t="shared" si="6"/>
        <v>44594</v>
      </c>
      <c r="C35" s="78">
        <v>2.0</v>
      </c>
      <c r="D35" s="78" t="s">
        <v>48</v>
      </c>
      <c r="E35" s="80" t="s">
        <v>127</v>
      </c>
      <c r="F35" s="71">
        <v>0.0</v>
      </c>
      <c r="H35" s="72">
        <v>0.0</v>
      </c>
      <c r="J35" s="72">
        <v>0.0</v>
      </c>
      <c r="L35" s="105">
        <v>50.0</v>
      </c>
      <c r="N35" s="104">
        <v>50.0</v>
      </c>
      <c r="P35" s="104">
        <v>0.0</v>
      </c>
      <c r="R35" s="104">
        <v>0.0</v>
      </c>
      <c r="T35" s="104">
        <v>0.0</v>
      </c>
      <c r="V35" s="104">
        <v>0.0</v>
      </c>
      <c r="X35" s="104">
        <v>0.0</v>
      </c>
      <c r="Y35" s="73"/>
      <c r="Z35" s="105">
        <v>25.0</v>
      </c>
      <c r="AB35" s="104">
        <v>25.0</v>
      </c>
      <c r="AD35" s="104">
        <v>0.0</v>
      </c>
      <c r="AF35" s="81">
        <f t="shared" si="1"/>
        <v>2554.65</v>
      </c>
      <c r="AG35" s="78">
        <f t="shared" si="2"/>
        <v>150</v>
      </c>
      <c r="AH35" s="78">
        <f t="shared" si="3"/>
        <v>0</v>
      </c>
      <c r="AI35" s="78">
        <f t="shared" si="4"/>
        <v>150</v>
      </c>
      <c r="AJ35" s="82">
        <f t="shared" si="5"/>
        <v>17.031</v>
      </c>
    </row>
    <row r="36">
      <c r="A36" s="76" t="s">
        <v>27</v>
      </c>
      <c r="B36" s="77">
        <f t="shared" si="6"/>
        <v>44595</v>
      </c>
      <c r="C36" s="78">
        <v>2.0</v>
      </c>
      <c r="D36" s="78" t="s">
        <v>48</v>
      </c>
      <c r="E36" s="80" t="s">
        <v>127</v>
      </c>
      <c r="F36" s="71">
        <v>0.0</v>
      </c>
      <c r="H36" s="72">
        <v>0.0</v>
      </c>
      <c r="J36" s="72">
        <v>0.0</v>
      </c>
      <c r="L36" s="105">
        <v>0.0</v>
      </c>
      <c r="N36" s="104">
        <v>0.0</v>
      </c>
      <c r="P36" s="104">
        <v>0.0</v>
      </c>
      <c r="R36" s="104">
        <v>0.0</v>
      </c>
      <c r="T36" s="104">
        <v>0.0</v>
      </c>
      <c r="V36" s="104">
        <v>0.0</v>
      </c>
      <c r="X36" s="104">
        <v>0.0</v>
      </c>
      <c r="Y36" s="73"/>
      <c r="Z36" s="105">
        <v>0.0</v>
      </c>
      <c r="AB36" s="104">
        <v>0.0</v>
      </c>
      <c r="AD36" s="104">
        <v>0.0</v>
      </c>
      <c r="AF36" s="81">
        <f t="shared" si="1"/>
        <v>0</v>
      </c>
      <c r="AG36" s="78">
        <f t="shared" si="2"/>
        <v>0</v>
      </c>
      <c r="AH36" s="78">
        <f t="shared" si="3"/>
        <v>0</v>
      </c>
      <c r="AI36" s="78">
        <f t="shared" si="4"/>
        <v>0</v>
      </c>
      <c r="AJ36" s="82" t="str">
        <f t="shared" si="5"/>
        <v/>
      </c>
    </row>
    <row r="37">
      <c r="A37" s="83" t="s">
        <v>30</v>
      </c>
      <c r="B37" s="84">
        <f t="shared" si="6"/>
        <v>44596</v>
      </c>
      <c r="C37" s="85">
        <v>2.0</v>
      </c>
      <c r="D37" s="85" t="s">
        <v>48</v>
      </c>
      <c r="E37" s="87" t="s">
        <v>127</v>
      </c>
      <c r="F37" s="88">
        <v>0.0</v>
      </c>
      <c r="G37" s="89"/>
      <c r="H37" s="90">
        <v>0.0</v>
      </c>
      <c r="I37" s="89"/>
      <c r="J37" s="90">
        <v>0.0</v>
      </c>
      <c r="K37" s="89"/>
      <c r="L37" s="112">
        <v>0.0</v>
      </c>
      <c r="M37" s="89"/>
      <c r="N37" s="111">
        <v>0.0</v>
      </c>
      <c r="O37" s="89"/>
      <c r="P37" s="111">
        <v>0.0</v>
      </c>
      <c r="Q37" s="89"/>
      <c r="R37" s="111">
        <v>0.0</v>
      </c>
      <c r="S37" s="89"/>
      <c r="T37" s="111">
        <v>0.0</v>
      </c>
      <c r="U37" s="89"/>
      <c r="V37" s="111">
        <v>0.0</v>
      </c>
      <c r="W37" s="89"/>
      <c r="X37" s="111">
        <v>0.0</v>
      </c>
      <c r="Y37" s="91"/>
      <c r="Z37" s="112">
        <v>0.0</v>
      </c>
      <c r="AA37" s="89"/>
      <c r="AB37" s="111">
        <v>0.0</v>
      </c>
      <c r="AC37" s="89"/>
      <c r="AD37" s="111">
        <v>0.0</v>
      </c>
      <c r="AE37" s="89"/>
      <c r="AF37" s="92">
        <f t="shared" si="1"/>
        <v>0</v>
      </c>
      <c r="AG37" s="85">
        <f t="shared" si="2"/>
        <v>0</v>
      </c>
      <c r="AH37" s="85">
        <f t="shared" si="3"/>
        <v>0</v>
      </c>
      <c r="AI37" s="85">
        <f t="shared" si="4"/>
        <v>0</v>
      </c>
      <c r="AJ37" s="93" t="str">
        <f t="shared" si="5"/>
        <v/>
      </c>
    </row>
    <row r="38">
      <c r="A38" s="66" t="s">
        <v>11</v>
      </c>
      <c r="B38" s="94">
        <f t="shared" si="6"/>
        <v>44597</v>
      </c>
      <c r="C38" s="68">
        <v>2.0</v>
      </c>
      <c r="D38" s="68" t="s">
        <v>59</v>
      </c>
      <c r="E38" s="70" t="s">
        <v>127</v>
      </c>
      <c r="F38" s="71">
        <v>0.0</v>
      </c>
      <c r="H38" s="72">
        <v>0.0</v>
      </c>
      <c r="J38" s="72">
        <v>0.0</v>
      </c>
      <c r="L38" s="105">
        <v>50.0</v>
      </c>
      <c r="N38" s="104">
        <v>50.0</v>
      </c>
      <c r="P38" s="104">
        <v>0.0</v>
      </c>
      <c r="R38" s="104">
        <v>0.0</v>
      </c>
      <c r="T38" s="104">
        <v>1.0</v>
      </c>
      <c r="V38" s="104">
        <v>1.0</v>
      </c>
      <c r="X38" s="104">
        <v>0.0</v>
      </c>
      <c r="Y38" s="73"/>
      <c r="Z38" s="105">
        <v>25.0</v>
      </c>
      <c r="AB38" s="104">
        <v>25.0</v>
      </c>
      <c r="AD38" s="104">
        <v>0.0</v>
      </c>
      <c r="AF38" s="74">
        <f t="shared" si="1"/>
        <v>3289.65</v>
      </c>
      <c r="AG38" s="68">
        <f t="shared" si="2"/>
        <v>150</v>
      </c>
      <c r="AH38" s="68">
        <f t="shared" si="3"/>
        <v>2</v>
      </c>
      <c r="AI38" s="68">
        <f t="shared" si="4"/>
        <v>152</v>
      </c>
      <c r="AJ38" s="75">
        <f t="shared" si="5"/>
        <v>21.64243421</v>
      </c>
    </row>
    <row r="39">
      <c r="A39" s="76" t="s">
        <v>16</v>
      </c>
      <c r="B39" s="77">
        <f t="shared" si="6"/>
        <v>44598</v>
      </c>
      <c r="C39" s="78">
        <v>2.0</v>
      </c>
      <c r="D39" s="78" t="s">
        <v>59</v>
      </c>
      <c r="E39" s="80" t="s">
        <v>127</v>
      </c>
      <c r="F39" s="71">
        <v>0.0</v>
      </c>
      <c r="H39" s="72">
        <v>0.0</v>
      </c>
      <c r="J39" s="72">
        <v>0.0</v>
      </c>
      <c r="L39" s="105">
        <v>50.0</v>
      </c>
      <c r="N39" s="104">
        <v>50.0</v>
      </c>
      <c r="P39" s="104">
        <v>0.0</v>
      </c>
      <c r="R39" s="104">
        <v>0.0</v>
      </c>
      <c r="T39" s="104">
        <v>0.0</v>
      </c>
      <c r="V39" s="104">
        <v>0.0</v>
      </c>
      <c r="X39" s="104">
        <v>0.0</v>
      </c>
      <c r="Y39" s="73"/>
      <c r="Z39" s="105">
        <v>25.0</v>
      </c>
      <c r="AB39" s="104">
        <v>25.0</v>
      </c>
      <c r="AD39" s="104">
        <v>0.0</v>
      </c>
      <c r="AF39" s="81">
        <f t="shared" si="1"/>
        <v>2554.65</v>
      </c>
      <c r="AG39" s="78">
        <f t="shared" si="2"/>
        <v>150</v>
      </c>
      <c r="AH39" s="78">
        <f t="shared" si="3"/>
        <v>0</v>
      </c>
      <c r="AI39" s="78">
        <f t="shared" si="4"/>
        <v>150</v>
      </c>
      <c r="AJ39" s="82">
        <f t="shared" si="5"/>
        <v>17.031</v>
      </c>
    </row>
    <row r="40">
      <c r="A40" s="76" t="s">
        <v>17</v>
      </c>
      <c r="B40" s="77">
        <f t="shared" si="6"/>
        <v>44599</v>
      </c>
      <c r="C40" s="78">
        <v>2.0</v>
      </c>
      <c r="D40" s="78" t="s">
        <v>59</v>
      </c>
      <c r="E40" s="80" t="s">
        <v>127</v>
      </c>
      <c r="F40" s="71">
        <v>0.0</v>
      </c>
      <c r="H40" s="72">
        <v>0.0</v>
      </c>
      <c r="J40" s="72">
        <v>0.0</v>
      </c>
      <c r="L40" s="105">
        <v>50.0</v>
      </c>
      <c r="N40" s="104">
        <v>50.0</v>
      </c>
      <c r="P40" s="104">
        <v>0.0</v>
      </c>
      <c r="R40" s="104">
        <v>0.0</v>
      </c>
      <c r="T40" s="104">
        <v>0.0</v>
      </c>
      <c r="V40" s="104">
        <v>0.0</v>
      </c>
      <c r="X40" s="104">
        <v>0.0</v>
      </c>
      <c r="Y40" s="73"/>
      <c r="Z40" s="105">
        <v>25.0</v>
      </c>
      <c r="AB40" s="104">
        <v>25.0</v>
      </c>
      <c r="AD40" s="104">
        <v>0.0</v>
      </c>
      <c r="AF40" s="81">
        <f t="shared" si="1"/>
        <v>2554.65</v>
      </c>
      <c r="AG40" s="78">
        <f t="shared" si="2"/>
        <v>150</v>
      </c>
      <c r="AH40" s="78">
        <f t="shared" si="3"/>
        <v>0</v>
      </c>
      <c r="AI40" s="78">
        <f t="shared" si="4"/>
        <v>150</v>
      </c>
      <c r="AJ40" s="82">
        <f t="shared" si="5"/>
        <v>17.031</v>
      </c>
    </row>
    <row r="41">
      <c r="A41" s="76" t="s">
        <v>21</v>
      </c>
      <c r="B41" s="77">
        <f t="shared" si="6"/>
        <v>44600</v>
      </c>
      <c r="C41" s="78">
        <v>2.0</v>
      </c>
      <c r="D41" s="78" t="s">
        <v>59</v>
      </c>
      <c r="E41" s="80" t="s">
        <v>127</v>
      </c>
      <c r="F41" s="71">
        <v>0.0</v>
      </c>
      <c r="H41" s="72">
        <v>0.0</v>
      </c>
      <c r="J41" s="72">
        <v>0.0</v>
      </c>
      <c r="L41" s="105">
        <v>50.0</v>
      </c>
      <c r="N41" s="104">
        <v>50.0</v>
      </c>
      <c r="P41" s="104">
        <v>0.0</v>
      </c>
      <c r="R41" s="104">
        <v>0.0</v>
      </c>
      <c r="T41" s="104">
        <v>0.0</v>
      </c>
      <c r="V41" s="104">
        <v>0.0</v>
      </c>
      <c r="X41" s="104">
        <v>0.0</v>
      </c>
      <c r="Y41" s="73"/>
      <c r="Z41" s="105">
        <v>25.0</v>
      </c>
      <c r="AB41" s="104">
        <v>25.0</v>
      </c>
      <c r="AD41" s="104">
        <v>0.0</v>
      </c>
      <c r="AF41" s="81">
        <f t="shared" si="1"/>
        <v>2554.65</v>
      </c>
      <c r="AG41" s="78">
        <f t="shared" si="2"/>
        <v>150</v>
      </c>
      <c r="AH41" s="78">
        <f t="shared" si="3"/>
        <v>0</v>
      </c>
      <c r="AI41" s="78">
        <f t="shared" si="4"/>
        <v>150</v>
      </c>
      <c r="AJ41" s="82">
        <f t="shared" si="5"/>
        <v>17.031</v>
      </c>
    </row>
    <row r="42">
      <c r="A42" s="76" t="s">
        <v>24</v>
      </c>
      <c r="B42" s="77">
        <f t="shared" si="6"/>
        <v>44601</v>
      </c>
      <c r="C42" s="78">
        <v>2.0</v>
      </c>
      <c r="D42" s="78" t="s">
        <v>59</v>
      </c>
      <c r="E42" s="80" t="s">
        <v>127</v>
      </c>
      <c r="F42" s="71">
        <v>0.0</v>
      </c>
      <c r="H42" s="72">
        <v>0.0</v>
      </c>
      <c r="J42" s="72">
        <v>0.0</v>
      </c>
      <c r="L42" s="105">
        <v>50.0</v>
      </c>
      <c r="N42" s="104">
        <v>50.0</v>
      </c>
      <c r="P42" s="104">
        <v>0.0</v>
      </c>
      <c r="R42" s="104">
        <v>0.0</v>
      </c>
      <c r="T42" s="104">
        <v>0.0</v>
      </c>
      <c r="V42" s="104">
        <v>0.0</v>
      </c>
      <c r="X42" s="104">
        <v>0.0</v>
      </c>
      <c r="Y42" s="73"/>
      <c r="Z42" s="105">
        <v>25.0</v>
      </c>
      <c r="AB42" s="104">
        <v>25.0</v>
      </c>
      <c r="AD42" s="104">
        <v>0.0</v>
      </c>
      <c r="AF42" s="81">
        <f t="shared" si="1"/>
        <v>2554.65</v>
      </c>
      <c r="AG42" s="78">
        <f t="shared" si="2"/>
        <v>150</v>
      </c>
      <c r="AH42" s="78">
        <f t="shared" si="3"/>
        <v>0</v>
      </c>
      <c r="AI42" s="78">
        <f t="shared" si="4"/>
        <v>150</v>
      </c>
      <c r="AJ42" s="82">
        <f t="shared" si="5"/>
        <v>17.031</v>
      </c>
    </row>
    <row r="43">
      <c r="A43" s="76" t="s">
        <v>27</v>
      </c>
      <c r="B43" s="77">
        <f t="shared" si="6"/>
        <v>44602</v>
      </c>
      <c r="C43" s="78">
        <v>2.0</v>
      </c>
      <c r="D43" s="78" t="s">
        <v>59</v>
      </c>
      <c r="E43" s="80" t="s">
        <v>127</v>
      </c>
      <c r="F43" s="71">
        <v>0.0</v>
      </c>
      <c r="H43" s="72">
        <v>0.0</v>
      </c>
      <c r="J43" s="72">
        <v>0.0</v>
      </c>
      <c r="L43" s="105">
        <v>0.0</v>
      </c>
      <c r="N43" s="104">
        <v>0.0</v>
      </c>
      <c r="P43" s="104">
        <v>0.0</v>
      </c>
      <c r="R43" s="104">
        <v>0.0</v>
      </c>
      <c r="T43" s="104">
        <v>0.0</v>
      </c>
      <c r="V43" s="104">
        <v>0.0</v>
      </c>
      <c r="X43" s="104">
        <v>0.0</v>
      </c>
      <c r="Y43" s="73"/>
      <c r="Z43" s="105">
        <v>0.0</v>
      </c>
      <c r="AB43" s="104">
        <v>0.0</v>
      </c>
      <c r="AD43" s="104">
        <v>0.0</v>
      </c>
      <c r="AF43" s="81">
        <f t="shared" si="1"/>
        <v>0</v>
      </c>
      <c r="AG43" s="78">
        <f t="shared" si="2"/>
        <v>0</v>
      </c>
      <c r="AH43" s="78">
        <f t="shared" si="3"/>
        <v>0</v>
      </c>
      <c r="AI43" s="78">
        <f t="shared" si="4"/>
        <v>0</v>
      </c>
      <c r="AJ43" s="82" t="str">
        <f t="shared" si="5"/>
        <v/>
      </c>
    </row>
    <row r="44">
      <c r="A44" s="83" t="s">
        <v>30</v>
      </c>
      <c r="B44" s="84">
        <f t="shared" si="6"/>
        <v>44603</v>
      </c>
      <c r="C44" s="85">
        <v>2.0</v>
      </c>
      <c r="D44" s="85" t="s">
        <v>59</v>
      </c>
      <c r="E44" s="87" t="s">
        <v>127</v>
      </c>
      <c r="F44" s="88">
        <v>0.0</v>
      </c>
      <c r="G44" s="89"/>
      <c r="H44" s="90">
        <v>0.0</v>
      </c>
      <c r="I44" s="89"/>
      <c r="J44" s="90">
        <v>0.0</v>
      </c>
      <c r="K44" s="89"/>
      <c r="L44" s="112">
        <v>0.0</v>
      </c>
      <c r="M44" s="89"/>
      <c r="N44" s="111">
        <v>0.0</v>
      </c>
      <c r="O44" s="89"/>
      <c r="P44" s="111">
        <v>0.0</v>
      </c>
      <c r="Q44" s="89"/>
      <c r="R44" s="111">
        <v>0.0</v>
      </c>
      <c r="S44" s="89"/>
      <c r="T44" s="111">
        <v>0.0</v>
      </c>
      <c r="U44" s="89"/>
      <c r="V44" s="111">
        <v>0.0</v>
      </c>
      <c r="W44" s="89"/>
      <c r="X44" s="111">
        <v>0.0</v>
      </c>
      <c r="Y44" s="91"/>
      <c r="Z44" s="112">
        <v>0.0</v>
      </c>
      <c r="AA44" s="89"/>
      <c r="AB44" s="111">
        <v>0.0</v>
      </c>
      <c r="AC44" s="89"/>
      <c r="AD44" s="111">
        <v>0.0</v>
      </c>
      <c r="AE44" s="89"/>
      <c r="AF44" s="92">
        <f t="shared" si="1"/>
        <v>0</v>
      </c>
      <c r="AG44" s="85">
        <f t="shared" si="2"/>
        <v>0</v>
      </c>
      <c r="AH44" s="85">
        <f t="shared" si="3"/>
        <v>0</v>
      </c>
      <c r="AI44" s="85">
        <f t="shared" si="4"/>
        <v>0</v>
      </c>
      <c r="AJ44" s="93" t="str">
        <f t="shared" si="5"/>
        <v/>
      </c>
    </row>
    <row r="45">
      <c r="A45" s="118" t="s">
        <v>11</v>
      </c>
      <c r="B45" s="119">
        <f t="shared" si="6"/>
        <v>44604</v>
      </c>
      <c r="C45" s="120">
        <v>2.0</v>
      </c>
      <c r="D45" s="120" t="s">
        <v>12</v>
      </c>
      <c r="E45" s="121" t="s">
        <v>13</v>
      </c>
      <c r="F45" s="102">
        <v>0.0</v>
      </c>
      <c r="H45" s="103">
        <v>40.0</v>
      </c>
      <c r="J45" s="103">
        <v>0.0</v>
      </c>
      <c r="L45" s="102">
        <v>100.0</v>
      </c>
      <c r="N45" s="103">
        <v>100.0</v>
      </c>
      <c r="P45" s="103">
        <v>0.0</v>
      </c>
      <c r="R45" s="103">
        <v>0.0</v>
      </c>
      <c r="T45" s="103">
        <v>1.0</v>
      </c>
      <c r="V45" s="103">
        <v>1.0</v>
      </c>
      <c r="X45" s="103">
        <v>0.0</v>
      </c>
      <c r="Y45" s="73"/>
      <c r="Z45" s="102">
        <v>30.0</v>
      </c>
      <c r="AB45" s="103">
        <v>30.0</v>
      </c>
      <c r="AD45" s="103">
        <v>0.0</v>
      </c>
      <c r="AF45" s="122">
        <f t="shared" si="1"/>
        <v>6235.74</v>
      </c>
      <c r="AG45" s="120">
        <f t="shared" si="2"/>
        <v>300</v>
      </c>
      <c r="AH45" s="120">
        <f t="shared" si="3"/>
        <v>2</v>
      </c>
      <c r="AI45" s="120">
        <f t="shared" si="4"/>
        <v>302</v>
      </c>
      <c r="AJ45" s="123">
        <f t="shared" si="5"/>
        <v>20.6481457</v>
      </c>
    </row>
    <row r="46">
      <c r="A46" s="124" t="s">
        <v>16</v>
      </c>
      <c r="B46" s="125">
        <f t="shared" si="6"/>
        <v>44605</v>
      </c>
      <c r="C46" s="126">
        <v>2.0</v>
      </c>
      <c r="D46" s="126" t="s">
        <v>12</v>
      </c>
      <c r="E46" s="127" t="s">
        <v>13</v>
      </c>
      <c r="F46" s="102">
        <v>102.0</v>
      </c>
      <c r="H46" s="103">
        <v>102.0</v>
      </c>
      <c r="J46" s="103">
        <v>0.0</v>
      </c>
      <c r="L46" s="102">
        <v>100.0</v>
      </c>
      <c r="N46" s="103">
        <v>100.0</v>
      </c>
      <c r="P46" s="103">
        <v>0.0</v>
      </c>
      <c r="R46" s="103">
        <v>0.0</v>
      </c>
      <c r="T46" s="103">
        <v>0.0</v>
      </c>
      <c r="V46" s="103">
        <v>0.0</v>
      </c>
      <c r="X46" s="103">
        <v>0.0</v>
      </c>
      <c r="Y46" s="73"/>
      <c r="Z46" s="102">
        <v>30.0</v>
      </c>
      <c r="AB46" s="103">
        <v>30.0</v>
      </c>
      <c r="AD46" s="103">
        <v>0.0</v>
      </c>
      <c r="AF46" s="128">
        <f t="shared" si="1"/>
        <v>9898.728</v>
      </c>
      <c r="AG46" s="126">
        <f t="shared" si="2"/>
        <v>464</v>
      </c>
      <c r="AH46" s="126">
        <f t="shared" si="3"/>
        <v>0</v>
      </c>
      <c r="AI46" s="126">
        <f t="shared" si="4"/>
        <v>464</v>
      </c>
      <c r="AJ46" s="129">
        <f t="shared" si="5"/>
        <v>21.33346552</v>
      </c>
    </row>
    <row r="47">
      <c r="A47" s="130" t="s">
        <v>17</v>
      </c>
      <c r="B47" s="131">
        <f t="shared" si="6"/>
        <v>44606</v>
      </c>
      <c r="C47" s="132">
        <v>2.0</v>
      </c>
      <c r="D47" s="132" t="s">
        <v>12</v>
      </c>
      <c r="E47" s="133" t="s">
        <v>13</v>
      </c>
      <c r="F47" s="134">
        <v>102.0</v>
      </c>
      <c r="H47" s="135">
        <v>102.0</v>
      </c>
      <c r="J47" s="135">
        <v>0.0</v>
      </c>
      <c r="L47" s="134">
        <v>100.0</v>
      </c>
      <c r="N47" s="135">
        <v>100.0</v>
      </c>
      <c r="P47" s="135">
        <v>0.0</v>
      </c>
      <c r="R47" s="135">
        <v>0.0</v>
      </c>
      <c r="T47" s="135">
        <v>0.0</v>
      </c>
      <c r="V47" s="135">
        <v>0.0</v>
      </c>
      <c r="X47" s="135">
        <v>0.0</v>
      </c>
      <c r="Y47" s="73"/>
      <c r="Z47" s="134">
        <v>30.0</v>
      </c>
      <c r="AB47" s="135">
        <v>30.0</v>
      </c>
      <c r="AD47" s="135">
        <v>0.0</v>
      </c>
      <c r="AF47" s="136">
        <f t="shared" si="1"/>
        <v>9898.728</v>
      </c>
      <c r="AG47" s="132">
        <f t="shared" si="2"/>
        <v>464</v>
      </c>
      <c r="AH47" s="132">
        <f t="shared" si="3"/>
        <v>0</v>
      </c>
      <c r="AI47" s="132">
        <f t="shared" si="4"/>
        <v>464</v>
      </c>
      <c r="AJ47" s="137">
        <f t="shared" si="5"/>
        <v>21.33346552</v>
      </c>
    </row>
    <row r="48">
      <c r="A48" s="130" t="s">
        <v>21</v>
      </c>
      <c r="B48" s="131">
        <f t="shared" si="6"/>
        <v>44607</v>
      </c>
      <c r="C48" s="132">
        <v>2.0</v>
      </c>
      <c r="D48" s="132" t="s">
        <v>12</v>
      </c>
      <c r="E48" s="133" t="s">
        <v>13</v>
      </c>
      <c r="F48" s="134">
        <v>102.0</v>
      </c>
      <c r="H48" s="135">
        <v>102.0</v>
      </c>
      <c r="J48" s="135">
        <v>0.0</v>
      </c>
      <c r="L48" s="134">
        <v>100.0</v>
      </c>
      <c r="N48" s="135">
        <v>100.0</v>
      </c>
      <c r="P48" s="135">
        <v>0.0</v>
      </c>
      <c r="R48" s="135">
        <v>0.0</v>
      </c>
      <c r="T48" s="135">
        <v>0.0</v>
      </c>
      <c r="V48" s="135">
        <v>0.0</v>
      </c>
      <c r="X48" s="135">
        <v>0.0</v>
      </c>
      <c r="Y48" s="73"/>
      <c r="Z48" s="134">
        <v>30.0</v>
      </c>
      <c r="AB48" s="135">
        <v>30.0</v>
      </c>
      <c r="AD48" s="135">
        <v>0.0</v>
      </c>
      <c r="AF48" s="136">
        <f t="shared" si="1"/>
        <v>9898.728</v>
      </c>
      <c r="AG48" s="132">
        <f t="shared" si="2"/>
        <v>464</v>
      </c>
      <c r="AH48" s="132">
        <f t="shared" si="3"/>
        <v>0</v>
      </c>
      <c r="AI48" s="132">
        <f t="shared" si="4"/>
        <v>464</v>
      </c>
      <c r="AJ48" s="137">
        <f t="shared" si="5"/>
        <v>21.33346552</v>
      </c>
    </row>
    <row r="49">
      <c r="A49" s="130" t="s">
        <v>24</v>
      </c>
      <c r="B49" s="131">
        <f t="shared" si="6"/>
        <v>44608</v>
      </c>
      <c r="C49" s="132">
        <v>2.0</v>
      </c>
      <c r="D49" s="132" t="s">
        <v>12</v>
      </c>
      <c r="E49" s="133" t="s">
        <v>13</v>
      </c>
      <c r="F49" s="134">
        <v>102.0</v>
      </c>
      <c r="H49" s="135">
        <v>102.0</v>
      </c>
      <c r="J49" s="135">
        <v>0.0</v>
      </c>
      <c r="L49" s="134">
        <v>100.0</v>
      </c>
      <c r="N49" s="135">
        <v>100.0</v>
      </c>
      <c r="P49" s="135">
        <v>0.0</v>
      </c>
      <c r="R49" s="135">
        <v>0.0</v>
      </c>
      <c r="T49" s="135">
        <v>0.0</v>
      </c>
      <c r="V49" s="135">
        <v>0.0</v>
      </c>
      <c r="X49" s="135">
        <v>0.0</v>
      </c>
      <c r="Y49" s="73"/>
      <c r="Z49" s="134">
        <v>30.0</v>
      </c>
      <c r="AB49" s="135">
        <v>30.0</v>
      </c>
      <c r="AD49" s="135">
        <v>0.0</v>
      </c>
      <c r="AF49" s="136">
        <f t="shared" si="1"/>
        <v>9898.728</v>
      </c>
      <c r="AG49" s="132">
        <f t="shared" si="2"/>
        <v>464</v>
      </c>
      <c r="AH49" s="132">
        <f t="shared" si="3"/>
        <v>0</v>
      </c>
      <c r="AI49" s="132">
        <f t="shared" si="4"/>
        <v>464</v>
      </c>
      <c r="AJ49" s="137">
        <f t="shared" si="5"/>
        <v>21.33346552</v>
      </c>
    </row>
    <row r="50">
      <c r="A50" s="130" t="s">
        <v>27</v>
      </c>
      <c r="B50" s="131">
        <f t="shared" si="6"/>
        <v>44609</v>
      </c>
      <c r="C50" s="132">
        <v>2.0</v>
      </c>
      <c r="D50" s="132" t="s">
        <v>12</v>
      </c>
      <c r="E50" s="133" t="s">
        <v>13</v>
      </c>
      <c r="F50" s="134">
        <v>102.0</v>
      </c>
      <c r="H50" s="135">
        <v>102.0</v>
      </c>
      <c r="J50" s="135">
        <v>0.0</v>
      </c>
      <c r="L50" s="134">
        <v>100.0</v>
      </c>
      <c r="N50" s="135">
        <v>100.0</v>
      </c>
      <c r="P50" s="135">
        <v>0.0</v>
      </c>
      <c r="R50" s="135">
        <v>0.0</v>
      </c>
      <c r="T50" s="135">
        <v>0.0</v>
      </c>
      <c r="V50" s="135">
        <v>0.0</v>
      </c>
      <c r="X50" s="135">
        <v>0.0</v>
      </c>
      <c r="Y50" s="73"/>
      <c r="Z50" s="134">
        <v>30.0</v>
      </c>
      <c r="AB50" s="135">
        <v>30.0</v>
      </c>
      <c r="AD50" s="135">
        <v>0.0</v>
      </c>
      <c r="AF50" s="136">
        <f t="shared" si="1"/>
        <v>9898.728</v>
      </c>
      <c r="AG50" s="132">
        <f t="shared" si="2"/>
        <v>464</v>
      </c>
      <c r="AH50" s="132">
        <f t="shared" si="3"/>
        <v>0</v>
      </c>
      <c r="AI50" s="132">
        <f t="shared" si="4"/>
        <v>464</v>
      </c>
      <c r="AJ50" s="137">
        <f t="shared" si="5"/>
        <v>21.33346552</v>
      </c>
    </row>
    <row r="51">
      <c r="A51" s="138" t="s">
        <v>30</v>
      </c>
      <c r="B51" s="139">
        <f t="shared" si="6"/>
        <v>44610</v>
      </c>
      <c r="C51" s="140">
        <v>2.0</v>
      </c>
      <c r="D51" s="140" t="s">
        <v>12</v>
      </c>
      <c r="E51" s="141" t="s">
        <v>13</v>
      </c>
      <c r="F51" s="142">
        <v>80.0</v>
      </c>
      <c r="G51" s="89"/>
      <c r="H51" s="143">
        <v>120.0</v>
      </c>
      <c r="I51" s="89"/>
      <c r="J51" s="143">
        <v>100.0</v>
      </c>
      <c r="K51" s="89"/>
      <c r="L51" s="142">
        <v>100.0</v>
      </c>
      <c r="M51" s="89"/>
      <c r="N51" s="143">
        <v>100.0</v>
      </c>
      <c r="O51" s="89"/>
      <c r="P51" s="143">
        <v>0.0</v>
      </c>
      <c r="Q51" s="89"/>
      <c r="R51" s="143">
        <v>0.0</v>
      </c>
      <c r="S51" s="89"/>
      <c r="T51" s="143">
        <v>0.0</v>
      </c>
      <c r="U51" s="89"/>
      <c r="V51" s="143">
        <v>0.0</v>
      </c>
      <c r="W51" s="89"/>
      <c r="X51" s="143">
        <v>0.0</v>
      </c>
      <c r="Y51" s="91"/>
      <c r="Z51" s="142">
        <v>0.0</v>
      </c>
      <c r="AA51" s="89"/>
      <c r="AB51" s="143">
        <v>0.0</v>
      </c>
      <c r="AC51" s="89"/>
      <c r="AD51" s="143">
        <v>0.0</v>
      </c>
      <c r="AE51" s="89"/>
      <c r="AF51" s="144">
        <f t="shared" si="1"/>
        <v>11451.3</v>
      </c>
      <c r="AG51" s="140">
        <f t="shared" si="2"/>
        <v>500</v>
      </c>
      <c r="AH51" s="140">
        <f t="shared" si="3"/>
        <v>0</v>
      </c>
      <c r="AI51" s="140">
        <f t="shared" si="4"/>
        <v>500</v>
      </c>
      <c r="AJ51" s="145">
        <f t="shared" si="5"/>
        <v>22.9026</v>
      </c>
    </row>
    <row r="52">
      <c r="A52" s="146" t="s">
        <v>11</v>
      </c>
      <c r="B52" s="147">
        <f t="shared" si="6"/>
        <v>44611</v>
      </c>
      <c r="C52" s="148">
        <v>2.0</v>
      </c>
      <c r="D52" s="148" t="s">
        <v>33</v>
      </c>
      <c r="E52" s="149" t="s">
        <v>13</v>
      </c>
      <c r="F52" s="134">
        <v>123.0</v>
      </c>
      <c r="H52" s="135">
        <v>123.0</v>
      </c>
      <c r="J52" s="135">
        <v>0.0</v>
      </c>
      <c r="L52" s="134">
        <v>100.0</v>
      </c>
      <c r="N52" s="135">
        <v>100.0</v>
      </c>
      <c r="P52" s="135">
        <v>0.0</v>
      </c>
      <c r="R52" s="135">
        <v>0.0</v>
      </c>
      <c r="T52" s="135">
        <v>1.0</v>
      </c>
      <c r="V52" s="135">
        <v>1.0</v>
      </c>
      <c r="X52" s="135">
        <v>0.0</v>
      </c>
      <c r="Y52" s="73"/>
      <c r="Z52" s="134">
        <v>30.0</v>
      </c>
      <c r="AB52" s="135">
        <v>30.0</v>
      </c>
      <c r="AD52" s="135">
        <v>0.0</v>
      </c>
      <c r="AF52" s="150">
        <f t="shared" si="1"/>
        <v>11760.042</v>
      </c>
      <c r="AG52" s="148">
        <f t="shared" si="2"/>
        <v>506</v>
      </c>
      <c r="AH52" s="148">
        <f t="shared" si="3"/>
        <v>2</v>
      </c>
      <c r="AI52" s="148">
        <f t="shared" si="4"/>
        <v>508</v>
      </c>
      <c r="AJ52" s="151">
        <f t="shared" si="5"/>
        <v>23.14968898</v>
      </c>
    </row>
    <row r="53">
      <c r="A53" s="130" t="s">
        <v>16</v>
      </c>
      <c r="B53" s="131">
        <f t="shared" si="6"/>
        <v>44612</v>
      </c>
      <c r="C53" s="132">
        <v>2.0</v>
      </c>
      <c r="D53" s="132" t="s">
        <v>33</v>
      </c>
      <c r="E53" s="133" t="s">
        <v>13</v>
      </c>
      <c r="F53" s="134">
        <v>124.0</v>
      </c>
      <c r="H53" s="135">
        <v>124.0</v>
      </c>
      <c r="J53" s="135">
        <v>0.0</v>
      </c>
      <c r="L53" s="134">
        <v>100.0</v>
      </c>
      <c r="N53" s="135">
        <v>100.0</v>
      </c>
      <c r="P53" s="135">
        <v>0.0</v>
      </c>
      <c r="R53" s="135">
        <v>0.0</v>
      </c>
      <c r="T53" s="135">
        <v>0.0</v>
      </c>
      <c r="V53" s="135">
        <v>0.0</v>
      </c>
      <c r="X53" s="135">
        <v>0.0</v>
      </c>
      <c r="Y53" s="73"/>
      <c r="Z53" s="134">
        <v>30.0</v>
      </c>
      <c r="AB53" s="135">
        <v>30.0</v>
      </c>
      <c r="AD53" s="135">
        <v>0.0</v>
      </c>
      <c r="AF53" s="136">
        <f t="shared" si="1"/>
        <v>11078.676</v>
      </c>
      <c r="AG53" s="132">
        <f t="shared" si="2"/>
        <v>508</v>
      </c>
      <c r="AH53" s="132">
        <f t="shared" si="3"/>
        <v>0</v>
      </c>
      <c r="AI53" s="132">
        <f t="shared" si="4"/>
        <v>508</v>
      </c>
      <c r="AJ53" s="137">
        <f t="shared" si="5"/>
        <v>21.80841732</v>
      </c>
    </row>
    <row r="54">
      <c r="A54" s="130" t="s">
        <v>17</v>
      </c>
      <c r="B54" s="131">
        <f t="shared" si="6"/>
        <v>44613</v>
      </c>
      <c r="C54" s="132">
        <v>2.0</v>
      </c>
      <c r="D54" s="132" t="s">
        <v>33</v>
      </c>
      <c r="E54" s="133" t="s">
        <v>13</v>
      </c>
      <c r="F54" s="134">
        <v>125.0</v>
      </c>
      <c r="H54" s="135">
        <v>125.0</v>
      </c>
      <c r="J54" s="135">
        <v>0.0</v>
      </c>
      <c r="L54" s="134">
        <v>100.0</v>
      </c>
      <c r="N54" s="135">
        <v>100.0</v>
      </c>
      <c r="P54" s="135">
        <v>0.0</v>
      </c>
      <c r="R54" s="135">
        <v>0.0</v>
      </c>
      <c r="T54" s="135">
        <v>0.0</v>
      </c>
      <c r="V54" s="135">
        <v>0.0</v>
      </c>
      <c r="X54" s="135">
        <v>0.0</v>
      </c>
      <c r="Y54" s="73"/>
      <c r="Z54" s="134">
        <v>30.0</v>
      </c>
      <c r="AB54" s="135">
        <v>30.0</v>
      </c>
      <c r="AD54" s="135">
        <v>0.0</v>
      </c>
      <c r="AF54" s="136">
        <f t="shared" si="1"/>
        <v>11132.31</v>
      </c>
      <c r="AG54" s="132">
        <f t="shared" si="2"/>
        <v>510</v>
      </c>
      <c r="AH54" s="132">
        <f t="shared" si="3"/>
        <v>0</v>
      </c>
      <c r="AI54" s="132">
        <f t="shared" si="4"/>
        <v>510</v>
      </c>
      <c r="AJ54" s="137">
        <f t="shared" si="5"/>
        <v>21.82805882</v>
      </c>
    </row>
    <row r="55">
      <c r="A55" s="130" t="s">
        <v>21</v>
      </c>
      <c r="B55" s="131">
        <f t="shared" si="6"/>
        <v>44614</v>
      </c>
      <c r="C55" s="132">
        <v>2.0</v>
      </c>
      <c r="D55" s="132" t="s">
        <v>33</v>
      </c>
      <c r="E55" s="133" t="s">
        <v>13</v>
      </c>
      <c r="F55" s="134">
        <v>125.0</v>
      </c>
      <c r="H55" s="135">
        <v>125.0</v>
      </c>
      <c r="J55" s="135">
        <v>0.0</v>
      </c>
      <c r="L55" s="134">
        <v>100.0</v>
      </c>
      <c r="N55" s="135">
        <v>100.0</v>
      </c>
      <c r="P55" s="135">
        <v>0.0</v>
      </c>
      <c r="R55" s="135">
        <v>0.0</v>
      </c>
      <c r="T55" s="135">
        <v>0.0</v>
      </c>
      <c r="V55" s="135">
        <v>0.0</v>
      </c>
      <c r="X55" s="135">
        <v>0.0</v>
      </c>
      <c r="Y55" s="73"/>
      <c r="Z55" s="134">
        <v>30.0</v>
      </c>
      <c r="AB55" s="135">
        <v>30.0</v>
      </c>
      <c r="AD55" s="135">
        <v>0.0</v>
      </c>
      <c r="AF55" s="136">
        <f t="shared" si="1"/>
        <v>11132.31</v>
      </c>
      <c r="AG55" s="132">
        <f t="shared" si="2"/>
        <v>510</v>
      </c>
      <c r="AH55" s="132">
        <f t="shared" si="3"/>
        <v>0</v>
      </c>
      <c r="AI55" s="132">
        <f t="shared" si="4"/>
        <v>510</v>
      </c>
      <c r="AJ55" s="137">
        <f t="shared" si="5"/>
        <v>21.82805882</v>
      </c>
    </row>
    <row r="56">
      <c r="A56" s="130" t="s">
        <v>24</v>
      </c>
      <c r="B56" s="131">
        <f t="shared" si="6"/>
        <v>44615</v>
      </c>
      <c r="C56" s="132">
        <v>2.0</v>
      </c>
      <c r="D56" s="132" t="s">
        <v>33</v>
      </c>
      <c r="E56" s="133" t="s">
        <v>13</v>
      </c>
      <c r="F56" s="134">
        <v>127.0</v>
      </c>
      <c r="H56" s="135">
        <v>127.0</v>
      </c>
      <c r="J56" s="135">
        <v>0.0</v>
      </c>
      <c r="L56" s="134">
        <v>100.0</v>
      </c>
      <c r="N56" s="135">
        <v>100.0</v>
      </c>
      <c r="P56" s="135">
        <v>0.0</v>
      </c>
      <c r="R56" s="135">
        <v>0.0</v>
      </c>
      <c r="T56" s="135">
        <v>0.0</v>
      </c>
      <c r="V56" s="135">
        <v>0.0</v>
      </c>
      <c r="X56" s="135">
        <v>0.0</v>
      </c>
      <c r="Y56" s="73"/>
      <c r="Z56" s="134">
        <v>30.0</v>
      </c>
      <c r="AB56" s="135">
        <v>30.0</v>
      </c>
      <c r="AD56" s="135">
        <v>0.0</v>
      </c>
      <c r="AF56" s="136">
        <f t="shared" si="1"/>
        <v>11239.578</v>
      </c>
      <c r="AG56" s="132">
        <f t="shared" si="2"/>
        <v>514</v>
      </c>
      <c r="AH56" s="132">
        <f t="shared" si="3"/>
        <v>0</v>
      </c>
      <c r="AI56" s="132">
        <f t="shared" si="4"/>
        <v>514</v>
      </c>
      <c r="AJ56" s="137">
        <f t="shared" si="5"/>
        <v>21.86688327</v>
      </c>
    </row>
    <row r="57">
      <c r="A57" s="130" t="s">
        <v>27</v>
      </c>
      <c r="B57" s="131">
        <f t="shared" si="6"/>
        <v>44616</v>
      </c>
      <c r="C57" s="132">
        <v>2.0</v>
      </c>
      <c r="D57" s="132" t="s">
        <v>33</v>
      </c>
      <c r="E57" s="133" t="s">
        <v>13</v>
      </c>
      <c r="F57" s="134">
        <v>127.0</v>
      </c>
      <c r="H57" s="135">
        <v>127.0</v>
      </c>
      <c r="J57" s="135">
        <v>0.0</v>
      </c>
      <c r="L57" s="134">
        <v>100.0</v>
      </c>
      <c r="N57" s="135">
        <v>100.0</v>
      </c>
      <c r="P57" s="135">
        <v>0.0</v>
      </c>
      <c r="R57" s="135">
        <v>0.0</v>
      </c>
      <c r="T57" s="135">
        <v>0.0</v>
      </c>
      <c r="V57" s="135">
        <v>0.0</v>
      </c>
      <c r="X57" s="135">
        <v>0.0</v>
      </c>
      <c r="Y57" s="73"/>
      <c r="Z57" s="134">
        <v>30.0</v>
      </c>
      <c r="AB57" s="135">
        <v>30.0</v>
      </c>
      <c r="AD57" s="135">
        <v>0.0</v>
      </c>
      <c r="AF57" s="136">
        <f t="shared" si="1"/>
        <v>11239.578</v>
      </c>
      <c r="AG57" s="132">
        <f t="shared" si="2"/>
        <v>514</v>
      </c>
      <c r="AH57" s="132">
        <f t="shared" si="3"/>
        <v>0</v>
      </c>
      <c r="AI57" s="132">
        <f t="shared" si="4"/>
        <v>514</v>
      </c>
      <c r="AJ57" s="137">
        <f t="shared" si="5"/>
        <v>21.86688327</v>
      </c>
    </row>
    <row r="58">
      <c r="A58" s="138" t="s">
        <v>30</v>
      </c>
      <c r="B58" s="139">
        <f t="shared" si="6"/>
        <v>44617</v>
      </c>
      <c r="C58" s="140">
        <v>2.0</v>
      </c>
      <c r="D58" s="140" t="s">
        <v>33</v>
      </c>
      <c r="E58" s="141" t="s">
        <v>13</v>
      </c>
      <c r="F58" s="142">
        <v>127.0</v>
      </c>
      <c r="G58" s="89"/>
      <c r="H58" s="143">
        <v>127.0</v>
      </c>
      <c r="I58" s="89"/>
      <c r="J58" s="143">
        <v>0.0</v>
      </c>
      <c r="K58" s="89"/>
      <c r="L58" s="142">
        <v>100.0</v>
      </c>
      <c r="M58" s="89"/>
      <c r="N58" s="143">
        <v>100.0</v>
      </c>
      <c r="O58" s="89"/>
      <c r="P58" s="143">
        <v>0.0</v>
      </c>
      <c r="Q58" s="89"/>
      <c r="R58" s="143">
        <v>0.0</v>
      </c>
      <c r="S58" s="89"/>
      <c r="T58" s="143">
        <v>0.0</v>
      </c>
      <c r="U58" s="89"/>
      <c r="V58" s="143">
        <v>0.0</v>
      </c>
      <c r="W58" s="89"/>
      <c r="X58" s="143">
        <v>0.0</v>
      </c>
      <c r="Y58" s="91"/>
      <c r="Z58" s="142">
        <v>30.0</v>
      </c>
      <c r="AA58" s="89"/>
      <c r="AB58" s="143">
        <v>30.0</v>
      </c>
      <c r="AC58" s="89"/>
      <c r="AD58" s="143">
        <v>0.0</v>
      </c>
      <c r="AE58" s="89"/>
      <c r="AF58" s="144">
        <f t="shared" si="1"/>
        <v>11239.578</v>
      </c>
      <c r="AG58" s="140">
        <f t="shared" si="2"/>
        <v>514</v>
      </c>
      <c r="AH58" s="140">
        <f t="shared" si="3"/>
        <v>0</v>
      </c>
      <c r="AI58" s="140">
        <f t="shared" si="4"/>
        <v>514</v>
      </c>
      <c r="AJ58" s="145">
        <f t="shared" si="5"/>
        <v>21.86688327</v>
      </c>
    </row>
    <row r="59">
      <c r="A59" s="146" t="s">
        <v>11</v>
      </c>
      <c r="B59" s="147">
        <f t="shared" si="6"/>
        <v>44618</v>
      </c>
      <c r="C59" s="148">
        <v>3.0</v>
      </c>
      <c r="D59" s="148" t="s">
        <v>48</v>
      </c>
      <c r="E59" s="149" t="s">
        <v>13</v>
      </c>
      <c r="F59" s="134">
        <v>127.0</v>
      </c>
      <c r="H59" s="135">
        <v>127.0</v>
      </c>
      <c r="J59" s="135">
        <v>0.0</v>
      </c>
      <c r="L59" s="134">
        <v>265.0</v>
      </c>
      <c r="N59" s="135">
        <v>265.0</v>
      </c>
      <c r="P59" s="135">
        <v>0.0</v>
      </c>
      <c r="R59" s="135">
        <v>0.0</v>
      </c>
      <c r="T59" s="135">
        <v>1.0</v>
      </c>
      <c r="V59" s="135">
        <v>1.0</v>
      </c>
      <c r="X59" s="135">
        <v>0.0</v>
      </c>
      <c r="Y59" s="73"/>
      <c r="Z59" s="134">
        <v>30.0</v>
      </c>
      <c r="AB59" s="135">
        <v>30.0</v>
      </c>
      <c r="AD59" s="135">
        <v>0.0</v>
      </c>
      <c r="AF59" s="150">
        <f t="shared" si="1"/>
        <v>17594.808</v>
      </c>
      <c r="AG59" s="148">
        <f t="shared" si="2"/>
        <v>844</v>
      </c>
      <c r="AH59" s="148">
        <f t="shared" si="3"/>
        <v>2</v>
      </c>
      <c r="AI59" s="148">
        <f t="shared" si="4"/>
        <v>846</v>
      </c>
      <c r="AJ59" s="151">
        <f t="shared" si="5"/>
        <v>20.79764539</v>
      </c>
    </row>
    <row r="60">
      <c r="A60" s="130" t="s">
        <v>16</v>
      </c>
      <c r="B60" s="131">
        <f t="shared" si="6"/>
        <v>44619</v>
      </c>
      <c r="C60" s="132">
        <v>3.0</v>
      </c>
      <c r="D60" s="132" t="s">
        <v>48</v>
      </c>
      <c r="E60" s="133" t="s">
        <v>13</v>
      </c>
      <c r="F60" s="134">
        <v>127.0</v>
      </c>
      <c r="H60" s="135">
        <v>127.0</v>
      </c>
      <c r="J60" s="135">
        <v>0.0</v>
      </c>
      <c r="L60" s="134">
        <v>265.0</v>
      </c>
      <c r="N60" s="135">
        <v>265.0</v>
      </c>
      <c r="P60" s="135">
        <v>0.0</v>
      </c>
      <c r="R60" s="135">
        <v>0.0</v>
      </c>
      <c r="T60" s="135">
        <v>0.0</v>
      </c>
      <c r="V60" s="135">
        <v>0.0</v>
      </c>
      <c r="X60" s="135">
        <v>0.0</v>
      </c>
      <c r="Y60" s="73"/>
      <c r="Z60" s="134">
        <v>30.0</v>
      </c>
      <c r="AB60" s="135">
        <v>30.0</v>
      </c>
      <c r="AD60" s="135">
        <v>0.0</v>
      </c>
      <c r="AF60" s="136">
        <f t="shared" si="1"/>
        <v>16859.808</v>
      </c>
      <c r="AG60" s="132">
        <f t="shared" si="2"/>
        <v>844</v>
      </c>
      <c r="AH60" s="132">
        <f t="shared" si="3"/>
        <v>0</v>
      </c>
      <c r="AI60" s="132">
        <f t="shared" si="4"/>
        <v>844</v>
      </c>
      <c r="AJ60" s="137">
        <f t="shared" si="5"/>
        <v>19.97607583</v>
      </c>
    </row>
    <row r="61">
      <c r="A61" s="76" t="s">
        <v>17</v>
      </c>
      <c r="B61" s="77">
        <f t="shared" si="6"/>
        <v>44620</v>
      </c>
      <c r="C61" s="78">
        <v>3.0</v>
      </c>
      <c r="D61" s="78" t="s">
        <v>48</v>
      </c>
      <c r="E61" s="80" t="s">
        <v>13</v>
      </c>
      <c r="F61" s="105">
        <v>127.0</v>
      </c>
      <c r="H61" s="104">
        <v>127.0</v>
      </c>
      <c r="J61" s="104">
        <v>0.0</v>
      </c>
      <c r="L61" s="105">
        <v>265.0</v>
      </c>
      <c r="N61" s="104">
        <v>265.0</v>
      </c>
      <c r="P61" s="104">
        <v>0.0</v>
      </c>
      <c r="R61" s="104">
        <v>0.0</v>
      </c>
      <c r="T61" s="104">
        <v>0.0</v>
      </c>
      <c r="V61" s="104">
        <v>0.0</v>
      </c>
      <c r="X61" s="104">
        <v>0.0</v>
      </c>
      <c r="Y61" s="73"/>
      <c r="Z61" s="105">
        <v>30.0</v>
      </c>
      <c r="AB61" s="104">
        <v>30.0</v>
      </c>
      <c r="AD61" s="104">
        <v>0.0</v>
      </c>
      <c r="AF61" s="81">
        <f t="shared" si="1"/>
        <v>16859.808</v>
      </c>
      <c r="AG61" s="78">
        <f t="shared" si="2"/>
        <v>844</v>
      </c>
      <c r="AH61" s="78">
        <f t="shared" si="3"/>
        <v>0</v>
      </c>
      <c r="AI61" s="78">
        <f t="shared" si="4"/>
        <v>844</v>
      </c>
      <c r="AJ61" s="82">
        <f t="shared" si="5"/>
        <v>19.97607583</v>
      </c>
    </row>
    <row r="62">
      <c r="A62" s="76" t="s">
        <v>21</v>
      </c>
      <c r="B62" s="77">
        <f t="shared" si="6"/>
        <v>44621</v>
      </c>
      <c r="C62" s="78">
        <v>3.0</v>
      </c>
      <c r="D62" s="78" t="s">
        <v>48</v>
      </c>
      <c r="E62" s="80" t="s">
        <v>13</v>
      </c>
      <c r="F62" s="105">
        <v>0.0</v>
      </c>
      <c r="H62" s="104">
        <v>0.0</v>
      </c>
      <c r="J62" s="104">
        <v>0.0</v>
      </c>
      <c r="L62" s="105">
        <v>265.0</v>
      </c>
      <c r="N62" s="104">
        <v>265.0</v>
      </c>
      <c r="P62" s="104">
        <v>0.0</v>
      </c>
      <c r="R62" s="104">
        <v>0.0</v>
      </c>
      <c r="T62" s="104">
        <v>0.0</v>
      </c>
      <c r="V62" s="104">
        <v>0.0</v>
      </c>
      <c r="X62" s="104">
        <v>0.0</v>
      </c>
      <c r="Y62" s="73"/>
      <c r="Z62" s="105">
        <v>30.0</v>
      </c>
      <c r="AB62" s="104">
        <v>30.0</v>
      </c>
      <c r="AD62" s="104">
        <v>0.0</v>
      </c>
      <c r="AF62" s="81">
        <f t="shared" si="1"/>
        <v>10048.29</v>
      </c>
      <c r="AG62" s="78">
        <f t="shared" si="2"/>
        <v>590</v>
      </c>
      <c r="AH62" s="78">
        <f t="shared" si="3"/>
        <v>0</v>
      </c>
      <c r="AI62" s="78">
        <f t="shared" si="4"/>
        <v>590</v>
      </c>
      <c r="AJ62" s="82">
        <f t="shared" si="5"/>
        <v>17.031</v>
      </c>
    </row>
    <row r="63">
      <c r="A63" s="130" t="s">
        <v>24</v>
      </c>
      <c r="B63" s="131">
        <f t="shared" si="6"/>
        <v>44622</v>
      </c>
      <c r="C63" s="132">
        <v>3.0</v>
      </c>
      <c r="D63" s="132" t="s">
        <v>48</v>
      </c>
      <c r="E63" s="133" t="s">
        <v>13</v>
      </c>
      <c r="F63" s="134">
        <v>127.0</v>
      </c>
      <c r="H63" s="135">
        <v>127.0</v>
      </c>
      <c r="J63" s="135">
        <v>0.0</v>
      </c>
      <c r="L63" s="134">
        <v>265.0</v>
      </c>
      <c r="N63" s="135">
        <v>265.0</v>
      </c>
      <c r="P63" s="135">
        <v>0.0</v>
      </c>
      <c r="R63" s="135">
        <v>0.0</v>
      </c>
      <c r="T63" s="135">
        <v>0.0</v>
      </c>
      <c r="V63" s="135">
        <v>0.0</v>
      </c>
      <c r="X63" s="135">
        <v>0.0</v>
      </c>
      <c r="Y63" s="73"/>
      <c r="Z63" s="134">
        <v>30.0</v>
      </c>
      <c r="AB63" s="135">
        <v>30.0</v>
      </c>
      <c r="AD63" s="135">
        <v>0.0</v>
      </c>
      <c r="AF63" s="136">
        <f t="shared" si="1"/>
        <v>16859.808</v>
      </c>
      <c r="AG63" s="132">
        <f t="shared" si="2"/>
        <v>844</v>
      </c>
      <c r="AH63" s="132">
        <f t="shared" si="3"/>
        <v>0</v>
      </c>
      <c r="AI63" s="132">
        <f t="shared" si="4"/>
        <v>844</v>
      </c>
      <c r="AJ63" s="137">
        <f t="shared" si="5"/>
        <v>19.97607583</v>
      </c>
    </row>
    <row r="64">
      <c r="A64" s="130" t="s">
        <v>27</v>
      </c>
      <c r="B64" s="131">
        <f t="shared" si="6"/>
        <v>44623</v>
      </c>
      <c r="C64" s="132">
        <v>3.0</v>
      </c>
      <c r="D64" s="132" t="s">
        <v>48</v>
      </c>
      <c r="E64" s="133" t="s">
        <v>13</v>
      </c>
      <c r="F64" s="134">
        <v>95.0</v>
      </c>
      <c r="H64" s="135">
        <v>95.0</v>
      </c>
      <c r="J64" s="135">
        <v>0.0</v>
      </c>
      <c r="L64" s="134">
        <v>265.0</v>
      </c>
      <c r="N64" s="135">
        <v>265.0</v>
      </c>
      <c r="P64" s="135">
        <v>0.0</v>
      </c>
      <c r="R64" s="135">
        <v>0.0</v>
      </c>
      <c r="T64" s="135">
        <v>0.0</v>
      </c>
      <c r="V64" s="135">
        <v>0.0</v>
      </c>
      <c r="X64" s="135">
        <v>0.0</v>
      </c>
      <c r="Y64" s="73"/>
      <c r="Z64" s="134">
        <v>30.0</v>
      </c>
      <c r="AB64" s="135">
        <v>30.0</v>
      </c>
      <c r="AD64" s="135">
        <v>0.0</v>
      </c>
      <c r="AF64" s="136">
        <f t="shared" si="1"/>
        <v>15143.52</v>
      </c>
      <c r="AG64" s="132">
        <f t="shared" si="2"/>
        <v>780</v>
      </c>
      <c r="AH64" s="132">
        <f t="shared" si="3"/>
        <v>0</v>
      </c>
      <c r="AI64" s="132">
        <f t="shared" si="4"/>
        <v>780</v>
      </c>
      <c r="AJ64" s="137">
        <f t="shared" si="5"/>
        <v>19.41476923</v>
      </c>
    </row>
    <row r="65">
      <c r="A65" s="138" t="s">
        <v>30</v>
      </c>
      <c r="B65" s="139">
        <f t="shared" si="6"/>
        <v>44624</v>
      </c>
      <c r="C65" s="140">
        <v>3.0</v>
      </c>
      <c r="D65" s="140" t="s">
        <v>48</v>
      </c>
      <c r="E65" s="141" t="s">
        <v>13</v>
      </c>
      <c r="F65" s="142">
        <v>95.0</v>
      </c>
      <c r="G65" s="89"/>
      <c r="H65" s="143">
        <v>95.0</v>
      </c>
      <c r="I65" s="89"/>
      <c r="J65" s="143">
        <v>0.0</v>
      </c>
      <c r="K65" s="89"/>
      <c r="L65" s="142">
        <v>265.0</v>
      </c>
      <c r="M65" s="89"/>
      <c r="N65" s="143">
        <v>265.0</v>
      </c>
      <c r="O65" s="89"/>
      <c r="P65" s="143">
        <v>0.0</v>
      </c>
      <c r="Q65" s="89"/>
      <c r="R65" s="143">
        <v>0.0</v>
      </c>
      <c r="S65" s="89"/>
      <c r="T65" s="143">
        <v>0.0</v>
      </c>
      <c r="U65" s="89"/>
      <c r="V65" s="143">
        <v>0.0</v>
      </c>
      <c r="W65" s="89"/>
      <c r="X65" s="143">
        <v>0.0</v>
      </c>
      <c r="Y65" s="91"/>
      <c r="Z65" s="142">
        <v>30.0</v>
      </c>
      <c r="AA65" s="89"/>
      <c r="AB65" s="143">
        <v>30.0</v>
      </c>
      <c r="AC65" s="89"/>
      <c r="AD65" s="143">
        <v>0.0</v>
      </c>
      <c r="AE65" s="89"/>
      <c r="AF65" s="144">
        <f t="shared" si="1"/>
        <v>15143.52</v>
      </c>
      <c r="AG65" s="140">
        <f t="shared" si="2"/>
        <v>780</v>
      </c>
      <c r="AH65" s="140">
        <f t="shared" si="3"/>
        <v>0</v>
      </c>
      <c r="AI65" s="140">
        <f t="shared" si="4"/>
        <v>780</v>
      </c>
      <c r="AJ65" s="145">
        <f t="shared" si="5"/>
        <v>19.41476923</v>
      </c>
    </row>
    <row r="66">
      <c r="A66" s="66" t="s">
        <v>11</v>
      </c>
      <c r="B66" s="94">
        <f t="shared" si="6"/>
        <v>44625</v>
      </c>
      <c r="C66" s="68">
        <v>3.0</v>
      </c>
      <c r="D66" s="68" t="s">
        <v>59</v>
      </c>
      <c r="E66" s="70" t="s">
        <v>13</v>
      </c>
      <c r="F66" s="105">
        <v>0.0</v>
      </c>
      <c r="H66" s="104">
        <v>118.0</v>
      </c>
      <c r="J66" s="104">
        <v>118.0</v>
      </c>
      <c r="L66" s="105">
        <v>265.0</v>
      </c>
      <c r="N66" s="104">
        <v>265.0</v>
      </c>
      <c r="P66" s="104">
        <v>0.0</v>
      </c>
      <c r="R66" s="104">
        <v>0.0</v>
      </c>
      <c r="T66" s="104">
        <v>1.0</v>
      </c>
      <c r="V66" s="104">
        <v>1.0</v>
      </c>
      <c r="X66" s="104">
        <v>0.0</v>
      </c>
      <c r="Y66" s="73"/>
      <c r="Z66" s="105">
        <v>30.0</v>
      </c>
      <c r="AB66" s="104">
        <v>30.0</v>
      </c>
      <c r="AD66" s="104">
        <v>0.0</v>
      </c>
      <c r="AF66" s="74">
        <f t="shared" si="1"/>
        <v>17112.102</v>
      </c>
      <c r="AG66" s="68">
        <f t="shared" si="2"/>
        <v>826</v>
      </c>
      <c r="AH66" s="68">
        <f t="shared" si="3"/>
        <v>2</v>
      </c>
      <c r="AI66" s="68">
        <f t="shared" si="4"/>
        <v>828</v>
      </c>
      <c r="AJ66" s="75">
        <f t="shared" si="5"/>
        <v>20.66678986</v>
      </c>
    </row>
    <row r="67">
      <c r="A67" s="130" t="s">
        <v>16</v>
      </c>
      <c r="B67" s="131">
        <f t="shared" si="6"/>
        <v>44626</v>
      </c>
      <c r="C67" s="132">
        <v>3.0</v>
      </c>
      <c r="D67" s="132" t="s">
        <v>59</v>
      </c>
      <c r="E67" s="133" t="s">
        <v>13</v>
      </c>
      <c r="F67" s="134">
        <v>112.0</v>
      </c>
      <c r="H67" s="135">
        <v>112.0</v>
      </c>
      <c r="J67" s="135">
        <v>0.0</v>
      </c>
      <c r="L67" s="134">
        <v>265.0</v>
      </c>
      <c r="N67" s="135">
        <v>265.0</v>
      </c>
      <c r="P67" s="135">
        <v>0.0</v>
      </c>
      <c r="R67" s="135">
        <v>0.0</v>
      </c>
      <c r="T67" s="135">
        <v>0.0</v>
      </c>
      <c r="V67" s="135">
        <v>0.0</v>
      </c>
      <c r="X67" s="135">
        <v>0.0</v>
      </c>
      <c r="Y67" s="73"/>
      <c r="Z67" s="134">
        <v>30.0</v>
      </c>
      <c r="AB67" s="135">
        <v>30.0</v>
      </c>
      <c r="AD67" s="135">
        <v>0.0</v>
      </c>
      <c r="AF67" s="136">
        <f t="shared" si="1"/>
        <v>16055.298</v>
      </c>
      <c r="AG67" s="132">
        <f t="shared" si="2"/>
        <v>814</v>
      </c>
      <c r="AH67" s="132">
        <f t="shared" si="3"/>
        <v>0</v>
      </c>
      <c r="AI67" s="132">
        <f t="shared" si="4"/>
        <v>814</v>
      </c>
      <c r="AJ67" s="137">
        <f t="shared" si="5"/>
        <v>19.72395332</v>
      </c>
    </row>
    <row r="68">
      <c r="A68" s="76" t="s">
        <v>17</v>
      </c>
      <c r="B68" s="77">
        <f t="shared" si="6"/>
        <v>44627</v>
      </c>
      <c r="C68" s="78">
        <v>3.0</v>
      </c>
      <c r="D68" s="78" t="s">
        <v>59</v>
      </c>
      <c r="E68" s="80" t="s">
        <v>13</v>
      </c>
      <c r="F68" s="105">
        <v>112.0</v>
      </c>
      <c r="H68" s="104">
        <v>112.0</v>
      </c>
      <c r="J68" s="104">
        <v>0.0</v>
      </c>
      <c r="L68" s="105">
        <v>265.0</v>
      </c>
      <c r="N68" s="104">
        <v>265.0</v>
      </c>
      <c r="P68" s="104">
        <v>0.0</v>
      </c>
      <c r="R68" s="104">
        <v>0.0</v>
      </c>
      <c r="T68" s="104">
        <v>0.0</v>
      </c>
      <c r="V68" s="104">
        <v>0.0</v>
      </c>
      <c r="X68" s="104">
        <v>0.0</v>
      </c>
      <c r="Y68" s="73"/>
      <c r="Z68" s="105">
        <v>30.0</v>
      </c>
      <c r="AB68" s="104">
        <v>30.0</v>
      </c>
      <c r="AD68" s="104">
        <v>0.0</v>
      </c>
      <c r="AF68" s="81">
        <f t="shared" si="1"/>
        <v>16055.298</v>
      </c>
      <c r="AG68" s="78">
        <f t="shared" si="2"/>
        <v>814</v>
      </c>
      <c r="AH68" s="78">
        <f t="shared" si="3"/>
        <v>0</v>
      </c>
      <c r="AI68" s="78">
        <f t="shared" si="4"/>
        <v>814</v>
      </c>
      <c r="AJ68" s="82">
        <f t="shared" si="5"/>
        <v>19.72395332</v>
      </c>
    </row>
    <row r="69">
      <c r="A69" s="76" t="s">
        <v>21</v>
      </c>
      <c r="B69" s="77">
        <f t="shared" si="6"/>
        <v>44628</v>
      </c>
      <c r="C69" s="78">
        <v>3.0</v>
      </c>
      <c r="D69" s="78" t="s">
        <v>59</v>
      </c>
      <c r="E69" s="80" t="s">
        <v>13</v>
      </c>
      <c r="F69" s="105">
        <v>112.0</v>
      </c>
      <c r="H69" s="104">
        <v>112.0</v>
      </c>
      <c r="J69" s="104">
        <v>0.0</v>
      </c>
      <c r="L69" s="105">
        <v>265.0</v>
      </c>
      <c r="N69" s="104">
        <v>265.0</v>
      </c>
      <c r="P69" s="104">
        <v>0.0</v>
      </c>
      <c r="R69" s="104">
        <v>0.0</v>
      </c>
      <c r="T69" s="104">
        <v>0.0</v>
      </c>
      <c r="V69" s="104">
        <v>0.0</v>
      </c>
      <c r="X69" s="104">
        <v>0.0</v>
      </c>
      <c r="Y69" s="73"/>
      <c r="Z69" s="105">
        <v>30.0</v>
      </c>
      <c r="AB69" s="104">
        <v>30.0</v>
      </c>
      <c r="AD69" s="104">
        <v>0.0</v>
      </c>
      <c r="AF69" s="81">
        <f t="shared" si="1"/>
        <v>16055.298</v>
      </c>
      <c r="AG69" s="78">
        <f t="shared" si="2"/>
        <v>814</v>
      </c>
      <c r="AH69" s="78">
        <f t="shared" si="3"/>
        <v>0</v>
      </c>
      <c r="AI69" s="78">
        <f t="shared" si="4"/>
        <v>814</v>
      </c>
      <c r="AJ69" s="82">
        <f t="shared" si="5"/>
        <v>19.72395332</v>
      </c>
    </row>
    <row r="70">
      <c r="A70" s="130" t="s">
        <v>24</v>
      </c>
      <c r="B70" s="131">
        <f t="shared" si="6"/>
        <v>44629</v>
      </c>
      <c r="C70" s="132">
        <v>3.0</v>
      </c>
      <c r="D70" s="132" t="s">
        <v>59</v>
      </c>
      <c r="E70" s="133" t="s">
        <v>13</v>
      </c>
      <c r="F70" s="134">
        <v>112.0</v>
      </c>
      <c r="H70" s="135">
        <v>112.0</v>
      </c>
      <c r="J70" s="135">
        <v>112.0</v>
      </c>
      <c r="L70" s="134">
        <v>265.0</v>
      </c>
      <c r="N70" s="135">
        <v>265.0</v>
      </c>
      <c r="P70" s="135">
        <v>0.0</v>
      </c>
      <c r="R70" s="135">
        <v>0.0</v>
      </c>
      <c r="T70" s="135">
        <v>0.0</v>
      </c>
      <c r="V70" s="135">
        <v>0.0</v>
      </c>
      <c r="X70" s="135">
        <v>0.0</v>
      </c>
      <c r="Y70" s="73"/>
      <c r="Z70" s="134">
        <v>30.0</v>
      </c>
      <c r="AB70" s="135">
        <v>30.0</v>
      </c>
      <c r="AD70" s="135">
        <v>0.0</v>
      </c>
      <c r="AF70" s="136">
        <f t="shared" si="1"/>
        <v>19058.802</v>
      </c>
      <c r="AG70" s="132">
        <f t="shared" si="2"/>
        <v>926</v>
      </c>
      <c r="AH70" s="132">
        <f t="shared" si="3"/>
        <v>0</v>
      </c>
      <c r="AI70" s="132">
        <f t="shared" si="4"/>
        <v>926</v>
      </c>
      <c r="AJ70" s="137">
        <f t="shared" si="5"/>
        <v>20.58185961</v>
      </c>
    </row>
    <row r="71">
      <c r="A71" s="130" t="s">
        <v>27</v>
      </c>
      <c r="B71" s="131">
        <f t="shared" si="6"/>
        <v>44630</v>
      </c>
      <c r="C71" s="132">
        <v>3.0</v>
      </c>
      <c r="D71" s="132" t="s">
        <v>59</v>
      </c>
      <c r="E71" s="133" t="s">
        <v>13</v>
      </c>
      <c r="F71" s="134">
        <v>112.0</v>
      </c>
      <c r="H71" s="135">
        <v>112.0</v>
      </c>
      <c r="J71" s="135">
        <v>0.0</v>
      </c>
      <c r="L71" s="134">
        <v>265.0</v>
      </c>
      <c r="N71" s="135">
        <v>265.0</v>
      </c>
      <c r="P71" s="135">
        <v>0.0</v>
      </c>
      <c r="R71" s="135">
        <v>0.0</v>
      </c>
      <c r="T71" s="135">
        <v>0.0</v>
      </c>
      <c r="V71" s="135">
        <v>0.0</v>
      </c>
      <c r="X71" s="135">
        <v>0.0</v>
      </c>
      <c r="Y71" s="73"/>
      <c r="Z71" s="134">
        <v>30.0</v>
      </c>
      <c r="AB71" s="135">
        <v>30.0</v>
      </c>
      <c r="AD71" s="135">
        <v>0.0</v>
      </c>
      <c r="AF71" s="136">
        <f t="shared" si="1"/>
        <v>16055.298</v>
      </c>
      <c r="AG71" s="132">
        <f t="shared" si="2"/>
        <v>814</v>
      </c>
      <c r="AH71" s="132">
        <f t="shared" si="3"/>
        <v>0</v>
      </c>
      <c r="AI71" s="132">
        <f t="shared" si="4"/>
        <v>814</v>
      </c>
      <c r="AJ71" s="137">
        <f t="shared" si="5"/>
        <v>19.72395332</v>
      </c>
    </row>
    <row r="72">
      <c r="A72" s="83" t="s">
        <v>30</v>
      </c>
      <c r="B72" s="84">
        <f t="shared" si="6"/>
        <v>44631</v>
      </c>
      <c r="C72" s="85">
        <v>3.0</v>
      </c>
      <c r="D72" s="85" t="s">
        <v>59</v>
      </c>
      <c r="E72" s="87" t="s">
        <v>13</v>
      </c>
      <c r="F72" s="112">
        <v>112.0</v>
      </c>
      <c r="G72" s="89"/>
      <c r="H72" s="111">
        <v>112.0</v>
      </c>
      <c r="I72" s="89"/>
      <c r="J72" s="111">
        <v>0.0</v>
      </c>
      <c r="K72" s="89"/>
      <c r="L72" s="112">
        <v>265.0</v>
      </c>
      <c r="M72" s="89"/>
      <c r="N72" s="111">
        <v>265.0</v>
      </c>
      <c r="O72" s="89"/>
      <c r="P72" s="111">
        <v>0.0</v>
      </c>
      <c r="Q72" s="89"/>
      <c r="R72" s="111">
        <v>0.0</v>
      </c>
      <c r="S72" s="89"/>
      <c r="T72" s="111">
        <v>0.0</v>
      </c>
      <c r="U72" s="89"/>
      <c r="V72" s="111">
        <v>0.0</v>
      </c>
      <c r="W72" s="89"/>
      <c r="X72" s="111">
        <v>0.0</v>
      </c>
      <c r="Y72" s="91"/>
      <c r="Z72" s="112">
        <v>30.0</v>
      </c>
      <c r="AA72" s="89"/>
      <c r="AB72" s="111">
        <v>30.0</v>
      </c>
      <c r="AC72" s="89"/>
      <c r="AD72" s="111">
        <v>0.0</v>
      </c>
      <c r="AE72" s="89"/>
      <c r="AF72" s="92">
        <f t="shared" si="1"/>
        <v>16055.298</v>
      </c>
      <c r="AG72" s="85">
        <f t="shared" si="2"/>
        <v>814</v>
      </c>
      <c r="AH72" s="85">
        <f t="shared" si="3"/>
        <v>0</v>
      </c>
      <c r="AI72" s="85">
        <f t="shared" si="4"/>
        <v>814</v>
      </c>
      <c r="AJ72" s="93">
        <f t="shared" si="5"/>
        <v>19.72395332</v>
      </c>
    </row>
    <row r="73">
      <c r="A73" s="66" t="s">
        <v>11</v>
      </c>
      <c r="B73" s="94">
        <f t="shared" si="6"/>
        <v>44632</v>
      </c>
      <c r="C73" s="68">
        <v>3.0</v>
      </c>
      <c r="D73" s="68" t="s">
        <v>12</v>
      </c>
      <c r="E73" s="70" t="s">
        <v>13</v>
      </c>
      <c r="F73" s="105">
        <v>105.0</v>
      </c>
      <c r="H73" s="104">
        <v>105.0</v>
      </c>
      <c r="J73" s="104">
        <v>0.0</v>
      </c>
      <c r="L73" s="105">
        <v>265.0</v>
      </c>
      <c r="N73" s="104">
        <v>265.0</v>
      </c>
      <c r="P73" s="104">
        <v>0.0</v>
      </c>
      <c r="R73" s="104">
        <v>0.0</v>
      </c>
      <c r="T73" s="104">
        <v>1.0</v>
      </c>
      <c r="V73" s="104">
        <v>1.0</v>
      </c>
      <c r="X73" s="104">
        <v>0.0</v>
      </c>
      <c r="Y73" s="73"/>
      <c r="Z73" s="105">
        <v>30.0</v>
      </c>
      <c r="AB73" s="104">
        <v>30.0</v>
      </c>
      <c r="AD73" s="104">
        <v>0.0</v>
      </c>
      <c r="AF73" s="74">
        <f t="shared" si="1"/>
        <v>16414.86</v>
      </c>
      <c r="AG73" s="68">
        <f t="shared" si="2"/>
        <v>800</v>
      </c>
      <c r="AH73" s="68">
        <f t="shared" si="3"/>
        <v>2</v>
      </c>
      <c r="AI73" s="68">
        <f t="shared" si="4"/>
        <v>802</v>
      </c>
      <c r="AJ73" s="75">
        <f t="shared" si="5"/>
        <v>20.46740648</v>
      </c>
    </row>
    <row r="74">
      <c r="A74" s="130" t="s">
        <v>16</v>
      </c>
      <c r="B74" s="131">
        <f t="shared" si="6"/>
        <v>44633</v>
      </c>
      <c r="C74" s="132">
        <v>3.0</v>
      </c>
      <c r="D74" s="132" t="s">
        <v>12</v>
      </c>
      <c r="E74" s="133" t="s">
        <v>13</v>
      </c>
      <c r="F74" s="134">
        <v>0.0</v>
      </c>
      <c r="H74" s="135">
        <v>105.0</v>
      </c>
      <c r="J74" s="135">
        <v>105.0</v>
      </c>
      <c r="L74" s="134">
        <v>265.0</v>
      </c>
      <c r="N74" s="135">
        <v>265.0</v>
      </c>
      <c r="P74" s="135">
        <v>0.0</v>
      </c>
      <c r="R74" s="135">
        <v>0.0</v>
      </c>
      <c r="T74" s="135">
        <v>0.0</v>
      </c>
      <c r="V74" s="135">
        <v>0.0</v>
      </c>
      <c r="X74" s="135">
        <v>0.0</v>
      </c>
      <c r="Y74" s="73"/>
      <c r="Z74" s="134">
        <v>30.0</v>
      </c>
      <c r="AB74" s="135">
        <v>30.0</v>
      </c>
      <c r="AD74" s="135">
        <v>0.0</v>
      </c>
      <c r="AF74" s="136">
        <f t="shared" si="1"/>
        <v>15679.86</v>
      </c>
      <c r="AG74" s="132">
        <f t="shared" si="2"/>
        <v>800</v>
      </c>
      <c r="AH74" s="132">
        <f t="shared" si="3"/>
        <v>0</v>
      </c>
      <c r="AI74" s="132">
        <f t="shared" si="4"/>
        <v>800</v>
      </c>
      <c r="AJ74" s="137">
        <f t="shared" si="5"/>
        <v>19.599825</v>
      </c>
    </row>
    <row r="75">
      <c r="A75" s="76" t="s">
        <v>17</v>
      </c>
      <c r="B75" s="77">
        <f t="shared" si="6"/>
        <v>44634</v>
      </c>
      <c r="C75" s="78">
        <v>3.0</v>
      </c>
      <c r="D75" s="78" t="s">
        <v>12</v>
      </c>
      <c r="E75" s="80" t="s">
        <v>13</v>
      </c>
      <c r="F75" s="105">
        <v>0.0</v>
      </c>
      <c r="H75" s="104">
        <v>105.0</v>
      </c>
      <c r="J75" s="104">
        <v>112.0</v>
      </c>
      <c r="L75" s="105">
        <v>265.0</v>
      </c>
      <c r="N75" s="104">
        <v>265.0</v>
      </c>
      <c r="P75" s="104">
        <v>0.0</v>
      </c>
      <c r="R75" s="104">
        <v>0.0</v>
      </c>
      <c r="T75" s="104">
        <v>0.0</v>
      </c>
      <c r="V75" s="104">
        <v>0.0</v>
      </c>
      <c r="X75" s="104">
        <v>0.0</v>
      </c>
      <c r="Y75" s="73"/>
      <c r="Z75" s="105">
        <v>30.0</v>
      </c>
      <c r="AB75" s="104">
        <v>30.0</v>
      </c>
      <c r="AD75" s="104">
        <v>0.0</v>
      </c>
      <c r="AF75" s="81">
        <f t="shared" si="1"/>
        <v>15867.579</v>
      </c>
      <c r="AG75" s="78">
        <f t="shared" si="2"/>
        <v>807</v>
      </c>
      <c r="AH75" s="78">
        <f t="shared" si="3"/>
        <v>0</v>
      </c>
      <c r="AI75" s="78">
        <f t="shared" si="4"/>
        <v>807</v>
      </c>
      <c r="AJ75" s="82">
        <f t="shared" si="5"/>
        <v>19.66242751</v>
      </c>
    </row>
    <row r="76">
      <c r="A76" s="130" t="s">
        <v>21</v>
      </c>
      <c r="B76" s="131">
        <f t="shared" si="6"/>
        <v>44635</v>
      </c>
      <c r="C76" s="132">
        <v>3.0</v>
      </c>
      <c r="D76" s="132" t="s">
        <v>12</v>
      </c>
      <c r="E76" s="133" t="s">
        <v>13</v>
      </c>
      <c r="F76" s="134">
        <v>0.0</v>
      </c>
      <c r="H76" s="135">
        <v>0.0</v>
      </c>
      <c r="J76" s="135">
        <v>0.0</v>
      </c>
      <c r="L76" s="134">
        <v>265.0</v>
      </c>
      <c r="N76" s="135">
        <v>265.0</v>
      </c>
      <c r="P76" s="135">
        <v>0.0</v>
      </c>
      <c r="R76" s="135">
        <v>0.0</v>
      </c>
      <c r="T76" s="135">
        <v>0.0</v>
      </c>
      <c r="V76" s="135">
        <v>0.0</v>
      </c>
      <c r="X76" s="135">
        <v>0.0</v>
      </c>
      <c r="Y76" s="73"/>
      <c r="Z76" s="134">
        <v>30.0</v>
      </c>
      <c r="AB76" s="135">
        <v>30.0</v>
      </c>
      <c r="AD76" s="135">
        <v>0.0</v>
      </c>
      <c r="AF76" s="136">
        <f t="shared" si="1"/>
        <v>10048.29</v>
      </c>
      <c r="AG76" s="132">
        <f t="shared" si="2"/>
        <v>590</v>
      </c>
      <c r="AH76" s="132">
        <f t="shared" si="3"/>
        <v>0</v>
      </c>
      <c r="AI76" s="132">
        <f t="shared" si="4"/>
        <v>590</v>
      </c>
      <c r="AJ76" s="137">
        <f t="shared" si="5"/>
        <v>17.031</v>
      </c>
    </row>
    <row r="77">
      <c r="A77" s="130" t="s">
        <v>24</v>
      </c>
      <c r="B77" s="131">
        <f t="shared" si="6"/>
        <v>44636</v>
      </c>
      <c r="C77" s="132">
        <v>3.0</v>
      </c>
      <c r="D77" s="132" t="s">
        <v>12</v>
      </c>
      <c r="E77" s="133" t="s">
        <v>13</v>
      </c>
      <c r="F77" s="134">
        <v>105.0</v>
      </c>
      <c r="H77" s="135">
        <v>105.0</v>
      </c>
      <c r="J77" s="135">
        <v>0.0</v>
      </c>
      <c r="L77" s="134">
        <v>265.0</v>
      </c>
      <c r="N77" s="135">
        <v>265.0</v>
      </c>
      <c r="P77" s="135">
        <v>0.0</v>
      </c>
      <c r="R77" s="135">
        <v>0.0</v>
      </c>
      <c r="T77" s="135">
        <v>0.0</v>
      </c>
      <c r="V77" s="135">
        <v>0.0</v>
      </c>
      <c r="X77" s="135">
        <v>0.0</v>
      </c>
      <c r="Y77" s="73"/>
      <c r="Z77" s="134">
        <v>30.0</v>
      </c>
      <c r="AB77" s="135">
        <v>30.0</v>
      </c>
      <c r="AD77" s="135">
        <v>0.0</v>
      </c>
      <c r="AF77" s="136">
        <f t="shared" si="1"/>
        <v>15679.86</v>
      </c>
      <c r="AG77" s="132">
        <f t="shared" si="2"/>
        <v>800</v>
      </c>
      <c r="AH77" s="132">
        <f t="shared" si="3"/>
        <v>0</v>
      </c>
      <c r="AI77" s="132">
        <f t="shared" si="4"/>
        <v>800</v>
      </c>
      <c r="AJ77" s="137">
        <f t="shared" si="5"/>
        <v>19.599825</v>
      </c>
    </row>
    <row r="78">
      <c r="A78" s="130" t="s">
        <v>27</v>
      </c>
      <c r="B78" s="131">
        <f t="shared" si="6"/>
        <v>44637</v>
      </c>
      <c r="C78" s="132">
        <v>3.0</v>
      </c>
      <c r="D78" s="132" t="s">
        <v>12</v>
      </c>
      <c r="E78" s="133" t="s">
        <v>13</v>
      </c>
      <c r="F78" s="134">
        <v>105.0</v>
      </c>
      <c r="H78" s="135">
        <v>105.0</v>
      </c>
      <c r="J78" s="135">
        <v>0.0</v>
      </c>
      <c r="L78" s="134">
        <v>265.0</v>
      </c>
      <c r="N78" s="135">
        <v>265.0</v>
      </c>
      <c r="P78" s="135">
        <v>0.0</v>
      </c>
      <c r="R78" s="135">
        <v>0.0</v>
      </c>
      <c r="T78" s="135">
        <v>0.0</v>
      </c>
      <c r="V78" s="135">
        <v>0.0</v>
      </c>
      <c r="X78" s="135">
        <v>0.0</v>
      </c>
      <c r="Y78" s="73"/>
      <c r="Z78" s="134">
        <v>30.0</v>
      </c>
      <c r="AB78" s="135">
        <v>30.0</v>
      </c>
      <c r="AD78" s="135">
        <v>0.0</v>
      </c>
      <c r="AF78" s="136">
        <f t="shared" si="1"/>
        <v>15679.86</v>
      </c>
      <c r="AG78" s="132">
        <f t="shared" si="2"/>
        <v>800</v>
      </c>
      <c r="AH78" s="132">
        <f t="shared" si="3"/>
        <v>0</v>
      </c>
      <c r="AI78" s="132">
        <f t="shared" si="4"/>
        <v>800</v>
      </c>
      <c r="AJ78" s="137">
        <f t="shared" si="5"/>
        <v>19.599825</v>
      </c>
    </row>
    <row r="79">
      <c r="A79" s="83" t="s">
        <v>30</v>
      </c>
      <c r="B79" s="84">
        <f t="shared" si="6"/>
        <v>44638</v>
      </c>
      <c r="C79" s="85">
        <v>3.0</v>
      </c>
      <c r="D79" s="85" t="s">
        <v>12</v>
      </c>
      <c r="E79" s="87" t="s">
        <v>13</v>
      </c>
      <c r="F79" s="112">
        <v>105.0</v>
      </c>
      <c r="G79" s="89"/>
      <c r="H79" s="111">
        <v>105.0</v>
      </c>
      <c r="I79" s="89"/>
      <c r="J79" s="111">
        <v>0.0</v>
      </c>
      <c r="K79" s="89"/>
      <c r="L79" s="112">
        <v>265.0</v>
      </c>
      <c r="M79" s="89"/>
      <c r="N79" s="111">
        <v>265.0</v>
      </c>
      <c r="O79" s="89"/>
      <c r="P79" s="111">
        <v>0.0</v>
      </c>
      <c r="Q79" s="89"/>
      <c r="R79" s="111">
        <v>0.0</v>
      </c>
      <c r="S79" s="89"/>
      <c r="T79" s="111">
        <v>0.0</v>
      </c>
      <c r="U79" s="89"/>
      <c r="V79" s="111">
        <v>0.0</v>
      </c>
      <c r="W79" s="89"/>
      <c r="X79" s="111">
        <v>0.0</v>
      </c>
      <c r="Y79" s="91"/>
      <c r="Z79" s="112">
        <v>30.0</v>
      </c>
      <c r="AA79" s="89"/>
      <c r="AB79" s="111">
        <v>30.0</v>
      </c>
      <c r="AC79" s="89"/>
      <c r="AD79" s="111">
        <v>0.0</v>
      </c>
      <c r="AE79" s="89"/>
      <c r="AF79" s="92">
        <f t="shared" si="1"/>
        <v>15679.86</v>
      </c>
      <c r="AG79" s="85">
        <f t="shared" si="2"/>
        <v>800</v>
      </c>
      <c r="AH79" s="85">
        <f t="shared" si="3"/>
        <v>0</v>
      </c>
      <c r="AI79" s="85">
        <f t="shared" si="4"/>
        <v>800</v>
      </c>
      <c r="AJ79" s="93">
        <f t="shared" si="5"/>
        <v>19.599825</v>
      </c>
    </row>
    <row r="80">
      <c r="A80" s="146" t="s">
        <v>11</v>
      </c>
      <c r="B80" s="147">
        <f t="shared" si="6"/>
        <v>44639</v>
      </c>
      <c r="C80" s="148">
        <v>3.0</v>
      </c>
      <c r="D80" s="148" t="s">
        <v>33</v>
      </c>
      <c r="E80" s="149" t="s">
        <v>13</v>
      </c>
      <c r="F80" s="134">
        <v>105.0</v>
      </c>
      <c r="H80" s="135">
        <v>105.0</v>
      </c>
      <c r="J80" s="135">
        <v>0.0</v>
      </c>
      <c r="L80" s="134">
        <v>265.0</v>
      </c>
      <c r="N80" s="135">
        <v>265.0</v>
      </c>
      <c r="P80" s="135">
        <v>0.0</v>
      </c>
      <c r="R80" s="135">
        <v>0.0</v>
      </c>
      <c r="T80" s="135">
        <v>1.0</v>
      </c>
      <c r="V80" s="135">
        <v>1.0</v>
      </c>
      <c r="X80" s="135">
        <v>0.0</v>
      </c>
      <c r="Y80" s="73"/>
      <c r="Z80" s="134">
        <v>30.0</v>
      </c>
      <c r="AB80" s="135">
        <v>30.0</v>
      </c>
      <c r="AD80" s="135">
        <v>0.0</v>
      </c>
      <c r="AF80" s="150">
        <f t="shared" si="1"/>
        <v>16414.86</v>
      </c>
      <c r="AG80" s="148">
        <f t="shared" si="2"/>
        <v>800</v>
      </c>
      <c r="AH80" s="148">
        <f t="shared" si="3"/>
        <v>2</v>
      </c>
      <c r="AI80" s="148">
        <f t="shared" si="4"/>
        <v>802</v>
      </c>
      <c r="AJ80" s="151">
        <f t="shared" si="5"/>
        <v>20.46740648</v>
      </c>
    </row>
    <row r="81">
      <c r="A81" s="130" t="s">
        <v>16</v>
      </c>
      <c r="B81" s="131">
        <f t="shared" si="6"/>
        <v>44640</v>
      </c>
      <c r="C81" s="132">
        <v>3.0</v>
      </c>
      <c r="D81" s="132" t="s">
        <v>33</v>
      </c>
      <c r="E81" s="133" t="s">
        <v>13</v>
      </c>
      <c r="F81" s="134">
        <v>0.0</v>
      </c>
      <c r="H81" s="135">
        <v>0.0</v>
      </c>
      <c r="J81" s="135">
        <v>0.0</v>
      </c>
      <c r="L81" s="134">
        <v>265.0</v>
      </c>
      <c r="N81" s="135">
        <v>265.0</v>
      </c>
      <c r="P81" s="135">
        <v>0.0</v>
      </c>
      <c r="R81" s="135">
        <v>0.0</v>
      </c>
      <c r="T81" s="135">
        <v>0.0</v>
      </c>
      <c r="V81" s="135">
        <v>0.0</v>
      </c>
      <c r="X81" s="135">
        <v>0.0</v>
      </c>
      <c r="Y81" s="73"/>
      <c r="Z81" s="134">
        <v>30.0</v>
      </c>
      <c r="AB81" s="135">
        <v>30.0</v>
      </c>
      <c r="AD81" s="135">
        <v>0.0</v>
      </c>
      <c r="AF81" s="136">
        <f t="shared" si="1"/>
        <v>10048.29</v>
      </c>
      <c r="AG81" s="132">
        <f t="shared" si="2"/>
        <v>590</v>
      </c>
      <c r="AH81" s="132">
        <f t="shared" si="3"/>
        <v>0</v>
      </c>
      <c r="AI81" s="132">
        <f t="shared" si="4"/>
        <v>590</v>
      </c>
      <c r="AJ81" s="137">
        <f t="shared" si="5"/>
        <v>17.031</v>
      </c>
    </row>
    <row r="82">
      <c r="A82" s="76" t="s">
        <v>17</v>
      </c>
      <c r="B82" s="77">
        <f t="shared" si="6"/>
        <v>44641</v>
      </c>
      <c r="C82" s="78">
        <v>3.0</v>
      </c>
      <c r="D82" s="78" t="s">
        <v>33</v>
      </c>
      <c r="E82" s="80" t="s">
        <v>13</v>
      </c>
      <c r="F82" s="105">
        <v>0.0</v>
      </c>
      <c r="H82" s="104">
        <v>95.0</v>
      </c>
      <c r="J82" s="104">
        <v>95.0</v>
      </c>
      <c r="L82" s="105">
        <v>265.0</v>
      </c>
      <c r="N82" s="104">
        <v>265.0</v>
      </c>
      <c r="P82" s="104">
        <v>0.0</v>
      </c>
      <c r="R82" s="104">
        <v>0.0</v>
      </c>
      <c r="T82" s="104">
        <v>0.0</v>
      </c>
      <c r="V82" s="104">
        <v>0.0</v>
      </c>
      <c r="X82" s="104">
        <v>0.0</v>
      </c>
      <c r="Y82" s="73"/>
      <c r="Z82" s="105">
        <v>30.0</v>
      </c>
      <c r="AB82" s="104">
        <v>30.0</v>
      </c>
      <c r="AD82" s="104">
        <v>0.0</v>
      </c>
      <c r="AF82" s="81">
        <f t="shared" si="1"/>
        <v>15143.52</v>
      </c>
      <c r="AG82" s="78">
        <f t="shared" si="2"/>
        <v>780</v>
      </c>
      <c r="AH82" s="78">
        <f t="shared" si="3"/>
        <v>0</v>
      </c>
      <c r="AI82" s="78">
        <f t="shared" si="4"/>
        <v>780</v>
      </c>
      <c r="AJ82" s="82">
        <f t="shared" si="5"/>
        <v>19.41476923</v>
      </c>
    </row>
    <row r="83">
      <c r="A83" s="130" t="s">
        <v>21</v>
      </c>
      <c r="B83" s="131">
        <f t="shared" si="6"/>
        <v>44642</v>
      </c>
      <c r="C83" s="132">
        <v>3.0</v>
      </c>
      <c r="D83" s="132" t="s">
        <v>33</v>
      </c>
      <c r="E83" s="133" t="s">
        <v>13</v>
      </c>
      <c r="F83" s="134">
        <v>0.0</v>
      </c>
      <c r="H83" s="135">
        <v>95.0</v>
      </c>
      <c r="J83" s="135">
        <v>95.0</v>
      </c>
      <c r="L83" s="134">
        <v>265.0</v>
      </c>
      <c r="N83" s="135">
        <v>265.0</v>
      </c>
      <c r="P83" s="135">
        <v>0.0</v>
      </c>
      <c r="R83" s="135">
        <v>0.0</v>
      </c>
      <c r="T83" s="135">
        <v>0.0</v>
      </c>
      <c r="V83" s="135">
        <v>0.0</v>
      </c>
      <c r="X83" s="135">
        <v>0.0</v>
      </c>
      <c r="Y83" s="73"/>
      <c r="Z83" s="134">
        <v>30.0</v>
      </c>
      <c r="AB83" s="135">
        <v>30.0</v>
      </c>
      <c r="AD83" s="135">
        <v>0.0</v>
      </c>
      <c r="AF83" s="136">
        <f t="shared" si="1"/>
        <v>15143.52</v>
      </c>
      <c r="AG83" s="132">
        <f t="shared" si="2"/>
        <v>780</v>
      </c>
      <c r="AH83" s="132">
        <f t="shared" si="3"/>
        <v>0</v>
      </c>
      <c r="AI83" s="132">
        <f t="shared" si="4"/>
        <v>780</v>
      </c>
      <c r="AJ83" s="137">
        <f t="shared" si="5"/>
        <v>19.41476923</v>
      </c>
    </row>
    <row r="84">
      <c r="A84" s="130" t="s">
        <v>24</v>
      </c>
      <c r="B84" s="131">
        <f t="shared" si="6"/>
        <v>44643</v>
      </c>
      <c r="C84" s="132">
        <v>3.0</v>
      </c>
      <c r="D84" s="132" t="s">
        <v>33</v>
      </c>
      <c r="E84" s="133" t="s">
        <v>13</v>
      </c>
      <c r="F84" s="134">
        <v>95.0</v>
      </c>
      <c r="H84" s="135">
        <v>95.0</v>
      </c>
      <c r="J84" s="135">
        <v>0.0</v>
      </c>
      <c r="L84" s="134">
        <v>265.0</v>
      </c>
      <c r="N84" s="135">
        <v>265.0</v>
      </c>
      <c r="P84" s="135">
        <v>0.0</v>
      </c>
      <c r="R84" s="135">
        <v>0.0</v>
      </c>
      <c r="T84" s="135">
        <v>0.0</v>
      </c>
      <c r="V84" s="135">
        <v>0.0</v>
      </c>
      <c r="X84" s="135">
        <v>0.0</v>
      </c>
      <c r="Y84" s="73"/>
      <c r="Z84" s="134">
        <v>30.0</v>
      </c>
      <c r="AB84" s="135">
        <v>30.0</v>
      </c>
      <c r="AD84" s="135">
        <v>0.0</v>
      </c>
      <c r="AF84" s="136">
        <f t="shared" si="1"/>
        <v>15143.52</v>
      </c>
      <c r="AG84" s="132">
        <f t="shared" si="2"/>
        <v>780</v>
      </c>
      <c r="AH84" s="132">
        <f t="shared" si="3"/>
        <v>0</v>
      </c>
      <c r="AI84" s="132">
        <f t="shared" si="4"/>
        <v>780</v>
      </c>
      <c r="AJ84" s="137">
        <f t="shared" si="5"/>
        <v>19.41476923</v>
      </c>
    </row>
    <row r="85">
      <c r="A85" s="124" t="s">
        <v>27</v>
      </c>
      <c r="B85" s="125">
        <f t="shared" si="6"/>
        <v>44644</v>
      </c>
      <c r="C85" s="126">
        <v>3.0</v>
      </c>
      <c r="D85" s="126" t="s">
        <v>33</v>
      </c>
      <c r="E85" s="127" t="s">
        <v>13</v>
      </c>
      <c r="F85" s="102">
        <v>0.0</v>
      </c>
      <c r="H85" s="103">
        <v>95.0</v>
      </c>
      <c r="J85" s="103">
        <v>95.0</v>
      </c>
      <c r="L85" s="102">
        <v>265.0</v>
      </c>
      <c r="N85" s="103">
        <v>265.0</v>
      </c>
      <c r="P85" s="103">
        <v>0.0</v>
      </c>
      <c r="R85" s="103">
        <v>0.0</v>
      </c>
      <c r="T85" s="103">
        <v>0.0</v>
      </c>
      <c r="V85" s="103">
        <v>0.0</v>
      </c>
      <c r="X85" s="103">
        <v>0.0</v>
      </c>
      <c r="Y85" s="73"/>
      <c r="Z85" s="102">
        <v>30.0</v>
      </c>
      <c r="AB85" s="103">
        <v>30.0</v>
      </c>
      <c r="AD85" s="103">
        <v>0.0</v>
      </c>
      <c r="AF85" s="128">
        <f t="shared" si="1"/>
        <v>15143.52</v>
      </c>
      <c r="AG85" s="126">
        <f t="shared" si="2"/>
        <v>780</v>
      </c>
      <c r="AH85" s="126">
        <f t="shared" si="3"/>
        <v>0</v>
      </c>
      <c r="AI85" s="126">
        <f t="shared" si="4"/>
        <v>780</v>
      </c>
      <c r="AJ85" s="129">
        <f t="shared" si="5"/>
        <v>19.41476923</v>
      </c>
    </row>
    <row r="86">
      <c r="A86" s="83" t="s">
        <v>30</v>
      </c>
      <c r="B86" s="84">
        <f t="shared" si="6"/>
        <v>44645</v>
      </c>
      <c r="C86" s="85">
        <v>3.0</v>
      </c>
      <c r="D86" s="85" t="s">
        <v>33</v>
      </c>
      <c r="E86" s="87" t="s">
        <v>13</v>
      </c>
      <c r="F86" s="112">
        <v>95.0</v>
      </c>
      <c r="G86" s="89"/>
      <c r="H86" s="111">
        <v>65.0</v>
      </c>
      <c r="I86" s="89"/>
      <c r="J86" s="111">
        <v>95.0</v>
      </c>
      <c r="K86" s="89"/>
      <c r="L86" s="112">
        <v>265.0</v>
      </c>
      <c r="M86" s="89"/>
      <c r="N86" s="111">
        <v>265.0</v>
      </c>
      <c r="O86" s="89"/>
      <c r="P86" s="111">
        <v>0.0</v>
      </c>
      <c r="Q86" s="89"/>
      <c r="R86" s="111">
        <v>0.0</v>
      </c>
      <c r="S86" s="89"/>
      <c r="T86" s="111">
        <v>0.0</v>
      </c>
      <c r="U86" s="89"/>
      <c r="V86" s="111">
        <v>0.0</v>
      </c>
      <c r="W86" s="89"/>
      <c r="X86" s="111">
        <v>0.0</v>
      </c>
      <c r="Y86" s="91"/>
      <c r="Z86" s="112">
        <v>30.0</v>
      </c>
      <c r="AA86" s="89"/>
      <c r="AB86" s="111">
        <v>30.0</v>
      </c>
      <c r="AC86" s="89"/>
      <c r="AD86" s="111">
        <v>0.0</v>
      </c>
      <c r="AE86" s="89"/>
      <c r="AF86" s="92">
        <f t="shared" si="1"/>
        <v>16886.625</v>
      </c>
      <c r="AG86" s="85">
        <f t="shared" si="2"/>
        <v>845</v>
      </c>
      <c r="AH86" s="85">
        <f t="shared" si="3"/>
        <v>0</v>
      </c>
      <c r="AI86" s="85">
        <f t="shared" si="4"/>
        <v>845</v>
      </c>
      <c r="AJ86" s="93">
        <f t="shared" si="5"/>
        <v>19.9841716</v>
      </c>
    </row>
    <row r="87">
      <c r="A87" s="66" t="s">
        <v>11</v>
      </c>
      <c r="B87" s="94">
        <f t="shared" si="6"/>
        <v>44646</v>
      </c>
      <c r="C87" s="68">
        <v>4.0</v>
      </c>
      <c r="D87" s="68" t="s">
        <v>48</v>
      </c>
      <c r="E87" s="70" t="s">
        <v>129</v>
      </c>
      <c r="F87" s="71">
        <v>0.0</v>
      </c>
      <c r="H87" s="72">
        <v>0.0</v>
      </c>
      <c r="J87" s="72">
        <v>0.0</v>
      </c>
      <c r="L87" s="105">
        <v>290.0</v>
      </c>
      <c r="N87" s="104">
        <v>290.0</v>
      </c>
      <c r="P87" s="104">
        <v>0.0</v>
      </c>
      <c r="R87" s="104">
        <v>0.0</v>
      </c>
      <c r="T87" s="104">
        <v>1.0</v>
      </c>
      <c r="V87" s="104">
        <v>1.0</v>
      </c>
      <c r="X87" s="104">
        <v>0.0</v>
      </c>
      <c r="Y87" s="73"/>
      <c r="Z87" s="105">
        <v>30.0</v>
      </c>
      <c r="AB87" s="104">
        <v>30.0</v>
      </c>
      <c r="AD87" s="104">
        <v>0.0</v>
      </c>
      <c r="AF87" s="74">
        <f t="shared" si="1"/>
        <v>11634.84</v>
      </c>
      <c r="AG87" s="68">
        <f t="shared" si="2"/>
        <v>640</v>
      </c>
      <c r="AH87" s="68">
        <f t="shared" si="3"/>
        <v>2</v>
      </c>
      <c r="AI87" s="68">
        <f t="shared" si="4"/>
        <v>642</v>
      </c>
      <c r="AJ87" s="75">
        <f t="shared" si="5"/>
        <v>18.12280374</v>
      </c>
    </row>
    <row r="88">
      <c r="A88" s="76" t="s">
        <v>16</v>
      </c>
      <c r="B88" s="77">
        <f t="shared" si="6"/>
        <v>44647</v>
      </c>
      <c r="C88" s="78">
        <v>4.0</v>
      </c>
      <c r="D88" s="78" t="s">
        <v>48</v>
      </c>
      <c r="E88" s="80" t="s">
        <v>129</v>
      </c>
      <c r="F88" s="71">
        <v>0.0</v>
      </c>
      <c r="H88" s="72">
        <v>0.0</v>
      </c>
      <c r="J88" s="72">
        <v>0.0</v>
      </c>
      <c r="L88" s="105">
        <v>240.0</v>
      </c>
      <c r="N88" s="104">
        <v>240.0</v>
      </c>
      <c r="P88" s="104">
        <v>0.0</v>
      </c>
      <c r="R88" s="104">
        <v>0.0</v>
      </c>
      <c r="T88" s="104">
        <v>0.0</v>
      </c>
      <c r="V88" s="104">
        <v>0.0</v>
      </c>
      <c r="X88" s="104">
        <v>0.0</v>
      </c>
      <c r="Y88" s="73"/>
      <c r="Z88" s="105">
        <v>30.0</v>
      </c>
      <c r="AB88" s="104">
        <v>30.0</v>
      </c>
      <c r="AD88" s="104">
        <v>0.0</v>
      </c>
      <c r="AF88" s="81">
        <f t="shared" si="1"/>
        <v>9196.74</v>
      </c>
      <c r="AG88" s="78">
        <f t="shared" si="2"/>
        <v>540</v>
      </c>
      <c r="AH88" s="78">
        <f t="shared" si="3"/>
        <v>0</v>
      </c>
      <c r="AI88" s="78">
        <f t="shared" si="4"/>
        <v>540</v>
      </c>
      <c r="AJ88" s="82">
        <f t="shared" si="5"/>
        <v>17.031</v>
      </c>
    </row>
    <row r="89">
      <c r="A89" s="76" t="s">
        <v>17</v>
      </c>
      <c r="B89" s="77">
        <f t="shared" si="6"/>
        <v>44648</v>
      </c>
      <c r="C89" s="78">
        <v>4.0</v>
      </c>
      <c r="D89" s="78" t="s">
        <v>48</v>
      </c>
      <c r="E89" s="80" t="s">
        <v>129</v>
      </c>
      <c r="F89" s="71">
        <v>0.0</v>
      </c>
      <c r="H89" s="72">
        <v>0.0</v>
      </c>
      <c r="J89" s="72">
        <v>0.0</v>
      </c>
      <c r="L89" s="105">
        <v>240.0</v>
      </c>
      <c r="N89" s="104">
        <v>240.0</v>
      </c>
      <c r="P89" s="104">
        <v>0.0</v>
      </c>
      <c r="R89" s="104">
        <v>0.0</v>
      </c>
      <c r="T89" s="104">
        <v>0.0</v>
      </c>
      <c r="V89" s="104">
        <v>0.0</v>
      </c>
      <c r="X89" s="104">
        <v>0.0</v>
      </c>
      <c r="Y89" s="73"/>
      <c r="Z89" s="105">
        <v>30.0</v>
      </c>
      <c r="AB89" s="104">
        <v>30.0</v>
      </c>
      <c r="AD89" s="104">
        <v>0.0</v>
      </c>
      <c r="AF89" s="81">
        <f t="shared" si="1"/>
        <v>9196.74</v>
      </c>
      <c r="AG89" s="78">
        <f t="shared" si="2"/>
        <v>540</v>
      </c>
      <c r="AH89" s="78">
        <f t="shared" si="3"/>
        <v>0</v>
      </c>
      <c r="AI89" s="78">
        <f t="shared" si="4"/>
        <v>540</v>
      </c>
      <c r="AJ89" s="82">
        <f t="shared" si="5"/>
        <v>17.031</v>
      </c>
    </row>
    <row r="90">
      <c r="A90" s="76" t="s">
        <v>21</v>
      </c>
      <c r="B90" s="77">
        <f t="shared" si="6"/>
        <v>44649</v>
      </c>
      <c r="C90" s="78">
        <v>4.0</v>
      </c>
      <c r="D90" s="78" t="s">
        <v>48</v>
      </c>
      <c r="E90" s="80" t="s">
        <v>129</v>
      </c>
      <c r="F90" s="71">
        <v>0.0</v>
      </c>
      <c r="H90" s="72">
        <v>0.0</v>
      </c>
      <c r="J90" s="72">
        <v>0.0</v>
      </c>
      <c r="L90" s="105">
        <v>240.0</v>
      </c>
      <c r="N90" s="104">
        <v>240.0</v>
      </c>
      <c r="P90" s="104">
        <v>0.0</v>
      </c>
      <c r="R90" s="104">
        <v>0.0</v>
      </c>
      <c r="T90" s="104">
        <v>0.0</v>
      </c>
      <c r="V90" s="104">
        <v>0.0</v>
      </c>
      <c r="X90" s="104">
        <v>0.0</v>
      </c>
      <c r="Y90" s="73"/>
      <c r="Z90" s="105">
        <v>30.0</v>
      </c>
      <c r="AB90" s="104">
        <v>30.0</v>
      </c>
      <c r="AD90" s="104">
        <v>0.0</v>
      </c>
      <c r="AF90" s="81">
        <f t="shared" si="1"/>
        <v>9196.74</v>
      </c>
      <c r="AG90" s="78">
        <f t="shared" si="2"/>
        <v>540</v>
      </c>
      <c r="AH90" s="78">
        <f t="shared" si="3"/>
        <v>0</v>
      </c>
      <c r="AI90" s="78">
        <f t="shared" si="4"/>
        <v>540</v>
      </c>
      <c r="AJ90" s="82">
        <f t="shared" si="5"/>
        <v>17.031</v>
      </c>
    </row>
    <row r="91">
      <c r="A91" s="76" t="s">
        <v>24</v>
      </c>
      <c r="B91" s="77">
        <f t="shared" si="6"/>
        <v>44650</v>
      </c>
      <c r="C91" s="78">
        <v>4.0</v>
      </c>
      <c r="D91" s="78" t="s">
        <v>48</v>
      </c>
      <c r="E91" s="80" t="s">
        <v>129</v>
      </c>
      <c r="F91" s="71">
        <v>0.0</v>
      </c>
      <c r="H91" s="72">
        <v>0.0</v>
      </c>
      <c r="J91" s="72">
        <v>0.0</v>
      </c>
      <c r="L91" s="105">
        <v>240.0</v>
      </c>
      <c r="N91" s="104">
        <v>240.0</v>
      </c>
      <c r="P91" s="104">
        <v>0.0</v>
      </c>
      <c r="R91" s="104">
        <v>0.0</v>
      </c>
      <c r="T91" s="104">
        <v>0.0</v>
      </c>
      <c r="V91" s="104">
        <v>0.0</v>
      </c>
      <c r="X91" s="104">
        <v>0.0</v>
      </c>
      <c r="Y91" s="73"/>
      <c r="Z91" s="105">
        <v>30.0</v>
      </c>
      <c r="AB91" s="104">
        <v>30.0</v>
      </c>
      <c r="AD91" s="104">
        <v>0.0</v>
      </c>
      <c r="AF91" s="81">
        <f t="shared" si="1"/>
        <v>9196.74</v>
      </c>
      <c r="AG91" s="78">
        <f t="shared" si="2"/>
        <v>540</v>
      </c>
      <c r="AH91" s="78">
        <f t="shared" si="3"/>
        <v>0</v>
      </c>
      <c r="AI91" s="78">
        <f t="shared" si="4"/>
        <v>540</v>
      </c>
      <c r="AJ91" s="82">
        <f t="shared" si="5"/>
        <v>17.031</v>
      </c>
    </row>
    <row r="92">
      <c r="A92" s="76" t="s">
        <v>27</v>
      </c>
      <c r="B92" s="77">
        <f t="shared" si="6"/>
        <v>44651</v>
      </c>
      <c r="C92" s="78">
        <v>4.0</v>
      </c>
      <c r="D92" s="78" t="s">
        <v>48</v>
      </c>
      <c r="E92" s="80" t="s">
        <v>129</v>
      </c>
      <c r="F92" s="71">
        <v>0.0</v>
      </c>
      <c r="H92" s="72">
        <v>0.0</v>
      </c>
      <c r="J92" s="72">
        <v>0.0</v>
      </c>
      <c r="L92" s="105">
        <v>240.0</v>
      </c>
      <c r="N92" s="104">
        <v>240.0</v>
      </c>
      <c r="P92" s="104">
        <v>0.0</v>
      </c>
      <c r="R92" s="104">
        <v>0.0</v>
      </c>
      <c r="T92" s="104">
        <v>0.0</v>
      </c>
      <c r="V92" s="104">
        <v>0.0</v>
      </c>
      <c r="X92" s="104">
        <v>0.0</v>
      </c>
      <c r="Y92" s="73"/>
      <c r="Z92" s="105">
        <v>30.0</v>
      </c>
      <c r="AB92" s="104">
        <v>30.0</v>
      </c>
      <c r="AD92" s="104">
        <v>0.0</v>
      </c>
      <c r="AF92" s="81">
        <f t="shared" si="1"/>
        <v>9196.74</v>
      </c>
      <c r="AG92" s="78">
        <f t="shared" si="2"/>
        <v>540</v>
      </c>
      <c r="AH92" s="78">
        <f t="shared" si="3"/>
        <v>0</v>
      </c>
      <c r="AI92" s="78">
        <f t="shared" si="4"/>
        <v>540</v>
      </c>
      <c r="AJ92" s="82">
        <f t="shared" si="5"/>
        <v>17.031</v>
      </c>
    </row>
    <row r="93">
      <c r="A93" s="83" t="s">
        <v>30</v>
      </c>
      <c r="B93" s="84">
        <f t="shared" si="6"/>
        <v>44652</v>
      </c>
      <c r="C93" s="85">
        <v>4.0</v>
      </c>
      <c r="D93" s="85" t="s">
        <v>48</v>
      </c>
      <c r="E93" s="87" t="s">
        <v>129</v>
      </c>
      <c r="F93" s="88">
        <v>0.0</v>
      </c>
      <c r="G93" s="89"/>
      <c r="H93" s="90">
        <v>0.0</v>
      </c>
      <c r="I93" s="89"/>
      <c r="J93" s="90">
        <v>0.0</v>
      </c>
      <c r="K93" s="89"/>
      <c r="L93" s="112">
        <v>240.0</v>
      </c>
      <c r="M93" s="89"/>
      <c r="N93" s="111">
        <v>240.0</v>
      </c>
      <c r="O93" s="89"/>
      <c r="P93" s="111">
        <v>0.0</v>
      </c>
      <c r="Q93" s="89"/>
      <c r="R93" s="111">
        <v>0.0</v>
      </c>
      <c r="S93" s="89"/>
      <c r="T93" s="111">
        <v>0.0</v>
      </c>
      <c r="U93" s="89"/>
      <c r="V93" s="111">
        <v>0.0</v>
      </c>
      <c r="W93" s="89"/>
      <c r="X93" s="111">
        <v>0.0</v>
      </c>
      <c r="Y93" s="91"/>
      <c r="Z93" s="112">
        <v>0.0</v>
      </c>
      <c r="AA93" s="89"/>
      <c r="AB93" s="111">
        <v>0.0</v>
      </c>
      <c r="AC93" s="89"/>
      <c r="AD93" s="111">
        <v>0.0</v>
      </c>
      <c r="AE93" s="89"/>
      <c r="AF93" s="92">
        <f t="shared" si="1"/>
        <v>8174.88</v>
      </c>
      <c r="AG93" s="85">
        <f t="shared" si="2"/>
        <v>480</v>
      </c>
      <c r="AH93" s="85">
        <f t="shared" si="3"/>
        <v>0</v>
      </c>
      <c r="AI93" s="85">
        <f t="shared" si="4"/>
        <v>480</v>
      </c>
      <c r="AJ93" s="93">
        <f t="shared" si="5"/>
        <v>17.031</v>
      </c>
    </row>
    <row r="94">
      <c r="A94" s="66" t="s">
        <v>11</v>
      </c>
      <c r="B94" s="94">
        <f t="shared" si="6"/>
        <v>44653</v>
      </c>
      <c r="C94" s="68">
        <v>4.0</v>
      </c>
      <c r="D94" s="68" t="s">
        <v>59</v>
      </c>
      <c r="E94" s="70" t="s">
        <v>129</v>
      </c>
      <c r="F94" s="71">
        <v>0.0</v>
      </c>
      <c r="H94" s="72">
        <v>0.0</v>
      </c>
      <c r="J94" s="72">
        <v>0.0</v>
      </c>
      <c r="L94" s="105">
        <v>240.0</v>
      </c>
      <c r="N94" s="104">
        <v>240.0</v>
      </c>
      <c r="P94" s="104">
        <v>0.0</v>
      </c>
      <c r="R94" s="104">
        <v>0.0</v>
      </c>
      <c r="T94" s="104">
        <v>1.0</v>
      </c>
      <c r="V94" s="104">
        <v>1.0</v>
      </c>
      <c r="X94" s="104">
        <v>0.0</v>
      </c>
      <c r="Y94" s="73"/>
      <c r="Z94" s="105">
        <v>30.0</v>
      </c>
      <c r="AB94" s="104">
        <v>30.0</v>
      </c>
      <c r="AD94" s="104">
        <v>0.0</v>
      </c>
      <c r="AF94" s="74">
        <f t="shared" si="1"/>
        <v>9931.74</v>
      </c>
      <c r="AG94" s="68">
        <f t="shared" si="2"/>
        <v>540</v>
      </c>
      <c r="AH94" s="68">
        <f t="shared" si="3"/>
        <v>2</v>
      </c>
      <c r="AI94" s="68">
        <f t="shared" si="4"/>
        <v>542</v>
      </c>
      <c r="AJ94" s="75">
        <f t="shared" si="5"/>
        <v>18.32424354</v>
      </c>
    </row>
    <row r="95">
      <c r="A95" s="76" t="s">
        <v>16</v>
      </c>
      <c r="B95" s="77">
        <f t="shared" si="6"/>
        <v>44654</v>
      </c>
      <c r="C95" s="78">
        <v>4.0</v>
      </c>
      <c r="D95" s="78" t="s">
        <v>59</v>
      </c>
      <c r="E95" s="80" t="s">
        <v>129</v>
      </c>
      <c r="F95" s="71">
        <v>0.0</v>
      </c>
      <c r="H95" s="72">
        <v>0.0</v>
      </c>
      <c r="J95" s="72">
        <v>0.0</v>
      </c>
      <c r="L95" s="105">
        <v>220.0</v>
      </c>
      <c r="N95" s="104">
        <v>220.0</v>
      </c>
      <c r="P95" s="104">
        <v>0.0</v>
      </c>
      <c r="R95" s="104">
        <v>0.0</v>
      </c>
      <c r="T95" s="104">
        <v>0.0</v>
      </c>
      <c r="V95" s="104">
        <v>0.0</v>
      </c>
      <c r="X95" s="104">
        <v>0.0</v>
      </c>
      <c r="Y95" s="73"/>
      <c r="Z95" s="105">
        <v>30.0</v>
      </c>
      <c r="AB95" s="104">
        <v>30.0</v>
      </c>
      <c r="AD95" s="104">
        <v>0.0</v>
      </c>
      <c r="AF95" s="81">
        <f t="shared" si="1"/>
        <v>8515.5</v>
      </c>
      <c r="AG95" s="78">
        <f t="shared" si="2"/>
        <v>500</v>
      </c>
      <c r="AH95" s="78">
        <f t="shared" si="3"/>
        <v>0</v>
      </c>
      <c r="AI95" s="78">
        <f t="shared" si="4"/>
        <v>500</v>
      </c>
      <c r="AJ95" s="82">
        <f t="shared" si="5"/>
        <v>17.031</v>
      </c>
    </row>
    <row r="96">
      <c r="A96" s="76" t="s">
        <v>17</v>
      </c>
      <c r="B96" s="77">
        <f t="shared" si="6"/>
        <v>44655</v>
      </c>
      <c r="C96" s="78">
        <v>4.0</v>
      </c>
      <c r="D96" s="78" t="s">
        <v>59</v>
      </c>
      <c r="E96" s="80" t="s">
        <v>129</v>
      </c>
      <c r="F96" s="71">
        <v>0.0</v>
      </c>
      <c r="H96" s="72">
        <v>0.0</v>
      </c>
      <c r="J96" s="72">
        <v>0.0</v>
      </c>
      <c r="L96" s="105">
        <v>0.0</v>
      </c>
      <c r="N96" s="104">
        <v>0.0</v>
      </c>
      <c r="P96" s="104">
        <v>0.0</v>
      </c>
      <c r="R96" s="104">
        <v>0.0</v>
      </c>
      <c r="T96" s="104">
        <v>0.0</v>
      </c>
      <c r="V96" s="104">
        <v>0.0</v>
      </c>
      <c r="X96" s="104">
        <v>0.0</v>
      </c>
      <c r="Y96" s="73"/>
      <c r="Z96" s="105">
        <v>30.0</v>
      </c>
      <c r="AB96" s="104">
        <v>30.0</v>
      </c>
      <c r="AD96" s="104">
        <v>0.0</v>
      </c>
      <c r="AF96" s="81">
        <f t="shared" si="1"/>
        <v>1021.86</v>
      </c>
      <c r="AG96" s="78">
        <f t="shared" si="2"/>
        <v>60</v>
      </c>
      <c r="AH96" s="78">
        <f t="shared" si="3"/>
        <v>0</v>
      </c>
      <c r="AI96" s="78">
        <f t="shared" si="4"/>
        <v>60</v>
      </c>
      <c r="AJ96" s="82">
        <f t="shared" si="5"/>
        <v>17.031</v>
      </c>
    </row>
    <row r="97">
      <c r="A97" s="76" t="s">
        <v>21</v>
      </c>
      <c r="B97" s="77">
        <f t="shared" si="6"/>
        <v>44656</v>
      </c>
      <c r="C97" s="78">
        <v>4.0</v>
      </c>
      <c r="D97" s="78" t="s">
        <v>59</v>
      </c>
      <c r="E97" s="80" t="s">
        <v>129</v>
      </c>
      <c r="F97" s="71">
        <v>0.0</v>
      </c>
      <c r="H97" s="72">
        <v>0.0</v>
      </c>
      <c r="J97" s="72">
        <v>0.0</v>
      </c>
      <c r="L97" s="105">
        <v>70.0</v>
      </c>
      <c r="N97" s="104">
        <v>70.0</v>
      </c>
      <c r="P97" s="104">
        <v>0.0</v>
      </c>
      <c r="R97" s="104">
        <v>0.0</v>
      </c>
      <c r="T97" s="104">
        <v>0.0</v>
      </c>
      <c r="V97" s="104">
        <v>0.0</v>
      </c>
      <c r="X97" s="104">
        <v>0.0</v>
      </c>
      <c r="Y97" s="73"/>
      <c r="Z97" s="105">
        <v>30.0</v>
      </c>
      <c r="AB97" s="104">
        <v>30.0</v>
      </c>
      <c r="AD97" s="104">
        <v>0.0</v>
      </c>
      <c r="AF97" s="81">
        <f t="shared" si="1"/>
        <v>3406.2</v>
      </c>
      <c r="AG97" s="78">
        <f t="shared" si="2"/>
        <v>200</v>
      </c>
      <c r="AH97" s="78">
        <f t="shared" si="3"/>
        <v>0</v>
      </c>
      <c r="AI97" s="78">
        <f t="shared" si="4"/>
        <v>200</v>
      </c>
      <c r="AJ97" s="82">
        <f t="shared" si="5"/>
        <v>17.031</v>
      </c>
    </row>
    <row r="98">
      <c r="A98" s="76" t="s">
        <v>24</v>
      </c>
      <c r="B98" s="77">
        <f t="shared" si="6"/>
        <v>44657</v>
      </c>
      <c r="C98" s="78">
        <v>4.0</v>
      </c>
      <c r="D98" s="78" t="s">
        <v>59</v>
      </c>
      <c r="E98" s="80" t="s">
        <v>129</v>
      </c>
      <c r="F98" s="71">
        <v>0.0</v>
      </c>
      <c r="H98" s="72">
        <v>0.0</v>
      </c>
      <c r="J98" s="72">
        <v>0.0</v>
      </c>
      <c r="L98" s="105">
        <v>70.0</v>
      </c>
      <c r="N98" s="104">
        <v>70.0</v>
      </c>
      <c r="P98" s="104">
        <v>0.0</v>
      </c>
      <c r="R98" s="104">
        <v>0.0</v>
      </c>
      <c r="T98" s="104">
        <v>0.0</v>
      </c>
      <c r="V98" s="104">
        <v>0.0</v>
      </c>
      <c r="X98" s="104">
        <v>0.0</v>
      </c>
      <c r="Y98" s="73"/>
      <c r="Z98" s="105">
        <v>30.0</v>
      </c>
      <c r="AB98" s="104">
        <v>30.0</v>
      </c>
      <c r="AD98" s="104">
        <v>0.0</v>
      </c>
      <c r="AF98" s="81">
        <f t="shared" si="1"/>
        <v>3406.2</v>
      </c>
      <c r="AG98" s="78">
        <f t="shared" si="2"/>
        <v>200</v>
      </c>
      <c r="AH98" s="78">
        <f t="shared" si="3"/>
        <v>0</v>
      </c>
      <c r="AI98" s="78">
        <f t="shared" si="4"/>
        <v>200</v>
      </c>
      <c r="AJ98" s="82">
        <f t="shared" si="5"/>
        <v>17.031</v>
      </c>
    </row>
    <row r="99">
      <c r="A99" s="76" t="s">
        <v>27</v>
      </c>
      <c r="B99" s="77">
        <f t="shared" si="6"/>
        <v>44658</v>
      </c>
      <c r="C99" s="78">
        <v>4.0</v>
      </c>
      <c r="D99" s="78" t="s">
        <v>59</v>
      </c>
      <c r="E99" s="80" t="s">
        <v>129</v>
      </c>
      <c r="F99" s="71">
        <v>0.0</v>
      </c>
      <c r="H99" s="72">
        <v>0.0</v>
      </c>
      <c r="J99" s="72">
        <v>0.0</v>
      </c>
      <c r="L99" s="105">
        <v>77.0</v>
      </c>
      <c r="N99" s="104">
        <v>77.0</v>
      </c>
      <c r="P99" s="104">
        <v>0.0</v>
      </c>
      <c r="R99" s="104">
        <v>0.0</v>
      </c>
      <c r="T99" s="104">
        <v>0.0</v>
      </c>
      <c r="V99" s="104">
        <v>0.0</v>
      </c>
      <c r="X99" s="104">
        <v>0.0</v>
      </c>
      <c r="Y99" s="73"/>
      <c r="Z99" s="105">
        <v>30.0</v>
      </c>
      <c r="AB99" s="104">
        <v>30.0</v>
      </c>
      <c r="AD99" s="104">
        <v>0.0</v>
      </c>
      <c r="AF99" s="81">
        <f t="shared" si="1"/>
        <v>3644.634</v>
      </c>
      <c r="AG99" s="78">
        <f t="shared" si="2"/>
        <v>214</v>
      </c>
      <c r="AH99" s="78">
        <f t="shared" si="3"/>
        <v>0</v>
      </c>
      <c r="AI99" s="78">
        <f t="shared" si="4"/>
        <v>214</v>
      </c>
      <c r="AJ99" s="82">
        <f t="shared" si="5"/>
        <v>17.031</v>
      </c>
    </row>
    <row r="100">
      <c r="A100" s="83" t="s">
        <v>30</v>
      </c>
      <c r="B100" s="84">
        <f t="shared" si="6"/>
        <v>44659</v>
      </c>
      <c r="C100" s="85">
        <v>4.0</v>
      </c>
      <c r="D100" s="85" t="s">
        <v>59</v>
      </c>
      <c r="E100" s="87" t="s">
        <v>129</v>
      </c>
      <c r="F100" s="88">
        <v>0.0</v>
      </c>
      <c r="G100" s="89"/>
      <c r="H100" s="90">
        <v>0.0</v>
      </c>
      <c r="I100" s="89"/>
      <c r="J100" s="90">
        <v>0.0</v>
      </c>
      <c r="K100" s="89"/>
      <c r="L100" s="112">
        <v>0.0</v>
      </c>
      <c r="M100" s="89"/>
      <c r="N100" s="111">
        <v>0.0</v>
      </c>
      <c r="O100" s="89"/>
      <c r="P100" s="111">
        <v>0.0</v>
      </c>
      <c r="Q100" s="89"/>
      <c r="R100" s="111">
        <v>0.0</v>
      </c>
      <c r="S100" s="89"/>
      <c r="T100" s="111">
        <v>0.0</v>
      </c>
      <c r="U100" s="89"/>
      <c r="V100" s="111">
        <v>0.0</v>
      </c>
      <c r="W100" s="89"/>
      <c r="X100" s="111">
        <v>0.0</v>
      </c>
      <c r="Y100" s="91"/>
      <c r="Z100" s="112">
        <v>0.0</v>
      </c>
      <c r="AA100" s="89"/>
      <c r="AB100" s="111">
        <v>0.0</v>
      </c>
      <c r="AC100" s="89"/>
      <c r="AD100" s="111">
        <v>0.0</v>
      </c>
      <c r="AE100" s="89"/>
      <c r="AF100" s="92">
        <f t="shared" si="1"/>
        <v>0</v>
      </c>
      <c r="AG100" s="85">
        <f t="shared" si="2"/>
        <v>0</v>
      </c>
      <c r="AH100" s="85">
        <f t="shared" si="3"/>
        <v>0</v>
      </c>
      <c r="AI100" s="85">
        <f t="shared" si="4"/>
        <v>0</v>
      </c>
      <c r="AJ100" s="93" t="str">
        <f t="shared" si="5"/>
        <v/>
      </c>
    </row>
    <row r="101">
      <c r="A101" s="66" t="s">
        <v>11</v>
      </c>
      <c r="B101" s="94">
        <f t="shared" si="6"/>
        <v>44660</v>
      </c>
      <c r="C101" s="68">
        <v>4.0</v>
      </c>
      <c r="D101" s="68" t="s">
        <v>12</v>
      </c>
      <c r="E101" s="70" t="s">
        <v>129</v>
      </c>
      <c r="F101" s="71">
        <v>0.0</v>
      </c>
      <c r="H101" s="72">
        <v>0.0</v>
      </c>
      <c r="J101" s="72">
        <v>0.0</v>
      </c>
      <c r="L101" s="105">
        <v>77.0</v>
      </c>
      <c r="N101" s="104">
        <v>77.0</v>
      </c>
      <c r="P101" s="104">
        <v>0.0</v>
      </c>
      <c r="R101" s="104">
        <v>0.0</v>
      </c>
      <c r="T101" s="104">
        <v>1.0</v>
      </c>
      <c r="V101" s="104">
        <v>1.0</v>
      </c>
      <c r="X101" s="104">
        <v>0.0</v>
      </c>
      <c r="Y101" s="73"/>
      <c r="Z101" s="105">
        <v>30.0</v>
      </c>
      <c r="AB101" s="104">
        <v>30.0</v>
      </c>
      <c r="AD101" s="104">
        <v>0.0</v>
      </c>
      <c r="AF101" s="74">
        <f t="shared" si="1"/>
        <v>4379.634</v>
      </c>
      <c r="AG101" s="68">
        <f t="shared" si="2"/>
        <v>214</v>
      </c>
      <c r="AH101" s="68">
        <f t="shared" si="3"/>
        <v>2</v>
      </c>
      <c r="AI101" s="68">
        <f t="shared" si="4"/>
        <v>216</v>
      </c>
      <c r="AJ101" s="75">
        <f t="shared" si="5"/>
        <v>20.27608333</v>
      </c>
    </row>
    <row r="102">
      <c r="A102" s="76" t="s">
        <v>16</v>
      </c>
      <c r="B102" s="77">
        <f t="shared" si="6"/>
        <v>44661</v>
      </c>
      <c r="C102" s="78">
        <v>4.0</v>
      </c>
      <c r="D102" s="78" t="s">
        <v>12</v>
      </c>
      <c r="E102" s="80" t="s">
        <v>129</v>
      </c>
      <c r="F102" s="71">
        <v>0.0</v>
      </c>
      <c r="H102" s="72">
        <v>0.0</v>
      </c>
      <c r="J102" s="72">
        <v>0.0</v>
      </c>
      <c r="L102" s="105">
        <v>77.0</v>
      </c>
      <c r="N102" s="104">
        <v>77.0</v>
      </c>
      <c r="P102" s="104">
        <v>0.0</v>
      </c>
      <c r="R102" s="104">
        <v>0.0</v>
      </c>
      <c r="T102" s="104">
        <v>0.0</v>
      </c>
      <c r="V102" s="104">
        <v>0.0</v>
      </c>
      <c r="X102" s="104">
        <v>0.0</v>
      </c>
      <c r="Y102" s="73"/>
      <c r="Z102" s="105">
        <v>30.0</v>
      </c>
      <c r="AB102" s="104">
        <v>30.0</v>
      </c>
      <c r="AD102" s="104">
        <v>0.0</v>
      </c>
      <c r="AF102" s="81">
        <f t="shared" si="1"/>
        <v>3644.634</v>
      </c>
      <c r="AG102" s="78">
        <f t="shared" si="2"/>
        <v>214</v>
      </c>
      <c r="AH102" s="78">
        <f t="shared" si="3"/>
        <v>0</v>
      </c>
      <c r="AI102" s="78">
        <f t="shared" si="4"/>
        <v>214</v>
      </c>
      <c r="AJ102" s="82">
        <f t="shared" si="5"/>
        <v>17.031</v>
      </c>
    </row>
    <row r="103">
      <c r="A103" s="76" t="s">
        <v>17</v>
      </c>
      <c r="B103" s="77">
        <f t="shared" si="6"/>
        <v>44662</v>
      </c>
      <c r="C103" s="78">
        <v>4.0</v>
      </c>
      <c r="D103" s="78" t="s">
        <v>12</v>
      </c>
      <c r="E103" s="80" t="s">
        <v>129</v>
      </c>
      <c r="F103" s="71">
        <v>0.0</v>
      </c>
      <c r="H103" s="72">
        <v>0.0</v>
      </c>
      <c r="J103" s="72">
        <v>0.0</v>
      </c>
      <c r="L103" s="105">
        <v>77.0</v>
      </c>
      <c r="N103" s="104">
        <v>77.0</v>
      </c>
      <c r="P103" s="104">
        <v>0.0</v>
      </c>
      <c r="R103" s="104">
        <v>0.0</v>
      </c>
      <c r="T103" s="104">
        <v>0.0</v>
      </c>
      <c r="V103" s="104">
        <v>0.0</v>
      </c>
      <c r="X103" s="104">
        <v>0.0</v>
      </c>
      <c r="Y103" s="73"/>
      <c r="Z103" s="105">
        <v>30.0</v>
      </c>
      <c r="AB103" s="104">
        <v>30.0</v>
      </c>
      <c r="AD103" s="104">
        <v>0.0</v>
      </c>
      <c r="AF103" s="81">
        <f t="shared" si="1"/>
        <v>3644.634</v>
      </c>
      <c r="AG103" s="78">
        <f t="shared" si="2"/>
        <v>214</v>
      </c>
      <c r="AH103" s="78">
        <f t="shared" si="3"/>
        <v>0</v>
      </c>
      <c r="AI103" s="78">
        <f t="shared" si="4"/>
        <v>214</v>
      </c>
      <c r="AJ103" s="82">
        <f t="shared" si="5"/>
        <v>17.031</v>
      </c>
    </row>
    <row r="104">
      <c r="A104" s="76" t="s">
        <v>21</v>
      </c>
      <c r="B104" s="77">
        <f t="shared" si="6"/>
        <v>44663</v>
      </c>
      <c r="C104" s="78">
        <v>4.0</v>
      </c>
      <c r="D104" s="78" t="s">
        <v>12</v>
      </c>
      <c r="E104" s="80" t="s">
        <v>129</v>
      </c>
      <c r="F104" s="71">
        <v>0.0</v>
      </c>
      <c r="H104" s="72">
        <v>0.0</v>
      </c>
      <c r="J104" s="72">
        <v>0.0</v>
      </c>
      <c r="L104" s="105">
        <v>77.0</v>
      </c>
      <c r="N104" s="104">
        <v>77.0</v>
      </c>
      <c r="P104" s="104">
        <v>0.0</v>
      </c>
      <c r="R104" s="104">
        <v>0.0</v>
      </c>
      <c r="T104" s="104">
        <v>0.0</v>
      </c>
      <c r="V104" s="104">
        <v>0.0</v>
      </c>
      <c r="X104" s="104">
        <v>0.0</v>
      </c>
      <c r="Y104" s="73"/>
      <c r="Z104" s="105">
        <v>30.0</v>
      </c>
      <c r="AB104" s="104">
        <v>30.0</v>
      </c>
      <c r="AD104" s="104">
        <v>0.0</v>
      </c>
      <c r="AF104" s="81">
        <f t="shared" si="1"/>
        <v>3644.634</v>
      </c>
      <c r="AG104" s="78">
        <f t="shared" si="2"/>
        <v>214</v>
      </c>
      <c r="AH104" s="78">
        <f t="shared" si="3"/>
        <v>0</v>
      </c>
      <c r="AI104" s="78">
        <f t="shared" si="4"/>
        <v>214</v>
      </c>
      <c r="AJ104" s="82">
        <f t="shared" si="5"/>
        <v>17.031</v>
      </c>
    </row>
    <row r="105">
      <c r="A105" s="76" t="s">
        <v>24</v>
      </c>
      <c r="B105" s="77">
        <f t="shared" si="6"/>
        <v>44664</v>
      </c>
      <c r="C105" s="78">
        <v>4.0</v>
      </c>
      <c r="D105" s="78" t="s">
        <v>12</v>
      </c>
      <c r="E105" s="80" t="s">
        <v>129</v>
      </c>
      <c r="F105" s="71">
        <v>0.0</v>
      </c>
      <c r="H105" s="72">
        <v>0.0</v>
      </c>
      <c r="J105" s="72">
        <v>0.0</v>
      </c>
      <c r="L105" s="105">
        <v>77.0</v>
      </c>
      <c r="N105" s="104">
        <v>77.0</v>
      </c>
      <c r="P105" s="104">
        <v>0.0</v>
      </c>
      <c r="R105" s="104">
        <v>0.0</v>
      </c>
      <c r="T105" s="104">
        <v>0.0</v>
      </c>
      <c r="V105" s="104">
        <v>0.0</v>
      </c>
      <c r="X105" s="104">
        <v>0.0</v>
      </c>
      <c r="Y105" s="73"/>
      <c r="Z105" s="105">
        <v>30.0</v>
      </c>
      <c r="AB105" s="104">
        <v>30.0</v>
      </c>
      <c r="AD105" s="104">
        <v>0.0</v>
      </c>
      <c r="AF105" s="81">
        <f t="shared" si="1"/>
        <v>3644.634</v>
      </c>
      <c r="AG105" s="78">
        <f t="shared" si="2"/>
        <v>214</v>
      </c>
      <c r="AH105" s="78">
        <f t="shared" si="3"/>
        <v>0</v>
      </c>
      <c r="AI105" s="78">
        <f t="shared" si="4"/>
        <v>214</v>
      </c>
      <c r="AJ105" s="82">
        <f t="shared" si="5"/>
        <v>17.031</v>
      </c>
    </row>
    <row r="106">
      <c r="A106" s="76" t="s">
        <v>27</v>
      </c>
      <c r="B106" s="77">
        <f t="shared" si="6"/>
        <v>44665</v>
      </c>
      <c r="C106" s="78">
        <v>4.0</v>
      </c>
      <c r="D106" s="78" t="s">
        <v>12</v>
      </c>
      <c r="E106" s="80" t="s">
        <v>129</v>
      </c>
      <c r="F106" s="71">
        <v>0.0</v>
      </c>
      <c r="H106" s="72">
        <v>0.0</v>
      </c>
      <c r="J106" s="72">
        <v>0.0</v>
      </c>
      <c r="L106" s="105">
        <v>77.0</v>
      </c>
      <c r="N106" s="104">
        <v>77.0</v>
      </c>
      <c r="P106" s="104">
        <v>0.0</v>
      </c>
      <c r="R106" s="104">
        <v>0.0</v>
      </c>
      <c r="T106" s="104">
        <v>0.0</v>
      </c>
      <c r="V106" s="104">
        <v>0.0</v>
      </c>
      <c r="X106" s="104">
        <v>0.0</v>
      </c>
      <c r="Y106" s="73"/>
      <c r="Z106" s="105">
        <v>30.0</v>
      </c>
      <c r="AB106" s="104">
        <v>30.0</v>
      </c>
      <c r="AD106" s="104">
        <v>0.0</v>
      </c>
      <c r="AF106" s="81">
        <f t="shared" si="1"/>
        <v>3644.634</v>
      </c>
      <c r="AG106" s="78">
        <f t="shared" si="2"/>
        <v>214</v>
      </c>
      <c r="AH106" s="78">
        <f t="shared" si="3"/>
        <v>0</v>
      </c>
      <c r="AI106" s="78">
        <f t="shared" si="4"/>
        <v>214</v>
      </c>
      <c r="AJ106" s="82">
        <f t="shared" si="5"/>
        <v>17.031</v>
      </c>
    </row>
    <row r="107">
      <c r="A107" s="83" t="s">
        <v>30</v>
      </c>
      <c r="B107" s="84">
        <f t="shared" si="6"/>
        <v>44666</v>
      </c>
      <c r="C107" s="85">
        <v>4.0</v>
      </c>
      <c r="D107" s="85" t="s">
        <v>12</v>
      </c>
      <c r="E107" s="87" t="s">
        <v>129</v>
      </c>
      <c r="F107" s="88">
        <v>0.0</v>
      </c>
      <c r="G107" s="89"/>
      <c r="H107" s="90">
        <v>0.0</v>
      </c>
      <c r="I107" s="89"/>
      <c r="J107" s="90">
        <v>0.0</v>
      </c>
      <c r="K107" s="89"/>
      <c r="L107" s="112">
        <v>0.0</v>
      </c>
      <c r="M107" s="89"/>
      <c r="N107" s="111">
        <v>0.0</v>
      </c>
      <c r="O107" s="89"/>
      <c r="P107" s="111">
        <v>0.0</v>
      </c>
      <c r="Q107" s="89"/>
      <c r="R107" s="111">
        <v>0.0</v>
      </c>
      <c r="S107" s="89"/>
      <c r="T107" s="111">
        <v>0.0</v>
      </c>
      <c r="U107" s="89"/>
      <c r="V107" s="111">
        <v>0.0</v>
      </c>
      <c r="W107" s="89"/>
      <c r="X107" s="111">
        <v>0.0</v>
      </c>
      <c r="Y107" s="91"/>
      <c r="Z107" s="112">
        <v>0.0</v>
      </c>
      <c r="AA107" s="89"/>
      <c r="AB107" s="111">
        <v>0.0</v>
      </c>
      <c r="AC107" s="89"/>
      <c r="AD107" s="111">
        <v>0.0</v>
      </c>
      <c r="AE107" s="89"/>
      <c r="AF107" s="92">
        <f t="shared" si="1"/>
        <v>0</v>
      </c>
      <c r="AG107" s="85">
        <f t="shared" si="2"/>
        <v>0</v>
      </c>
      <c r="AH107" s="85">
        <f t="shared" si="3"/>
        <v>0</v>
      </c>
      <c r="AI107" s="85">
        <f t="shared" si="4"/>
        <v>0</v>
      </c>
      <c r="AJ107" s="93" t="str">
        <f t="shared" si="5"/>
        <v/>
      </c>
    </row>
    <row r="108">
      <c r="A108" s="66" t="s">
        <v>11</v>
      </c>
      <c r="B108" s="94">
        <f t="shared" si="6"/>
        <v>44667</v>
      </c>
      <c r="C108" s="68">
        <v>4.0</v>
      </c>
      <c r="D108" s="68" t="s">
        <v>33</v>
      </c>
      <c r="E108" s="70" t="s">
        <v>129</v>
      </c>
      <c r="F108" s="71">
        <v>0.0</v>
      </c>
      <c r="H108" s="72">
        <v>0.0</v>
      </c>
      <c r="J108" s="72">
        <v>0.0</v>
      </c>
      <c r="L108" s="105">
        <v>77.0</v>
      </c>
      <c r="N108" s="104">
        <v>77.0</v>
      </c>
      <c r="P108" s="104">
        <v>0.0</v>
      </c>
      <c r="R108" s="104">
        <v>0.0</v>
      </c>
      <c r="T108" s="104">
        <v>1.0</v>
      </c>
      <c r="V108" s="104">
        <v>1.0</v>
      </c>
      <c r="X108" s="104">
        <v>0.0</v>
      </c>
      <c r="Y108" s="73"/>
      <c r="Z108" s="105">
        <v>30.0</v>
      </c>
      <c r="AB108" s="104">
        <v>30.0</v>
      </c>
      <c r="AD108" s="104">
        <v>0.0</v>
      </c>
      <c r="AF108" s="74">
        <f t="shared" si="1"/>
        <v>4379.634</v>
      </c>
      <c r="AG108" s="68">
        <f t="shared" si="2"/>
        <v>214</v>
      </c>
      <c r="AH108" s="68">
        <f t="shared" si="3"/>
        <v>2</v>
      </c>
      <c r="AI108" s="68">
        <f t="shared" si="4"/>
        <v>216</v>
      </c>
      <c r="AJ108" s="75">
        <f t="shared" si="5"/>
        <v>20.27608333</v>
      </c>
    </row>
    <row r="109">
      <c r="A109" s="76" t="s">
        <v>16</v>
      </c>
      <c r="B109" s="77">
        <f t="shared" si="6"/>
        <v>44668</v>
      </c>
      <c r="C109" s="78">
        <v>4.0</v>
      </c>
      <c r="D109" s="78" t="s">
        <v>33</v>
      </c>
      <c r="E109" s="80" t="s">
        <v>129</v>
      </c>
      <c r="F109" s="71">
        <v>0.0</v>
      </c>
      <c r="H109" s="72">
        <v>0.0</v>
      </c>
      <c r="J109" s="72">
        <v>0.0</v>
      </c>
      <c r="L109" s="105">
        <v>77.0</v>
      </c>
      <c r="N109" s="104">
        <v>77.0</v>
      </c>
      <c r="P109" s="104">
        <v>0.0</v>
      </c>
      <c r="R109" s="104">
        <v>0.0</v>
      </c>
      <c r="T109" s="104">
        <v>0.0</v>
      </c>
      <c r="V109" s="104">
        <v>0.0</v>
      </c>
      <c r="X109" s="104">
        <v>0.0</v>
      </c>
      <c r="Y109" s="73"/>
      <c r="Z109" s="105">
        <v>30.0</v>
      </c>
      <c r="AB109" s="104">
        <v>30.0</v>
      </c>
      <c r="AD109" s="104">
        <v>0.0</v>
      </c>
      <c r="AF109" s="81">
        <f t="shared" si="1"/>
        <v>3644.634</v>
      </c>
      <c r="AG109" s="78">
        <f t="shared" si="2"/>
        <v>214</v>
      </c>
      <c r="AH109" s="78">
        <f t="shared" si="3"/>
        <v>0</v>
      </c>
      <c r="AI109" s="78">
        <f t="shared" si="4"/>
        <v>214</v>
      </c>
      <c r="AJ109" s="82">
        <f t="shared" si="5"/>
        <v>17.031</v>
      </c>
    </row>
    <row r="110">
      <c r="A110" s="76" t="s">
        <v>17</v>
      </c>
      <c r="B110" s="77">
        <f t="shared" si="6"/>
        <v>44669</v>
      </c>
      <c r="C110" s="78">
        <v>4.0</v>
      </c>
      <c r="D110" s="78" t="s">
        <v>33</v>
      </c>
      <c r="E110" s="80" t="s">
        <v>129</v>
      </c>
      <c r="F110" s="71">
        <v>0.0</v>
      </c>
      <c r="H110" s="72">
        <v>0.0</v>
      </c>
      <c r="J110" s="72">
        <v>0.0</v>
      </c>
      <c r="L110" s="105">
        <v>77.0</v>
      </c>
      <c r="N110" s="104">
        <v>77.0</v>
      </c>
      <c r="P110" s="104">
        <v>0.0</v>
      </c>
      <c r="R110" s="104">
        <v>0.0</v>
      </c>
      <c r="T110" s="104">
        <v>0.0</v>
      </c>
      <c r="V110" s="104">
        <v>0.0</v>
      </c>
      <c r="X110" s="104">
        <v>0.0</v>
      </c>
      <c r="Y110" s="73"/>
      <c r="Z110" s="105">
        <v>30.0</v>
      </c>
      <c r="AB110" s="104">
        <v>30.0</v>
      </c>
      <c r="AD110" s="104">
        <v>0.0</v>
      </c>
      <c r="AF110" s="81">
        <f t="shared" si="1"/>
        <v>3644.634</v>
      </c>
      <c r="AG110" s="78">
        <f t="shared" si="2"/>
        <v>214</v>
      </c>
      <c r="AH110" s="78">
        <f t="shared" si="3"/>
        <v>0</v>
      </c>
      <c r="AI110" s="78">
        <f t="shared" si="4"/>
        <v>214</v>
      </c>
      <c r="AJ110" s="82">
        <f t="shared" si="5"/>
        <v>17.031</v>
      </c>
    </row>
    <row r="111">
      <c r="A111" s="76" t="s">
        <v>21</v>
      </c>
      <c r="B111" s="77">
        <f t="shared" si="6"/>
        <v>44670</v>
      </c>
      <c r="C111" s="78">
        <v>4.0</v>
      </c>
      <c r="D111" s="78" t="s">
        <v>33</v>
      </c>
      <c r="E111" s="80" t="s">
        <v>129</v>
      </c>
      <c r="F111" s="71">
        <v>0.0</v>
      </c>
      <c r="H111" s="72">
        <v>0.0</v>
      </c>
      <c r="J111" s="72">
        <v>0.0</v>
      </c>
      <c r="L111" s="105">
        <v>77.0</v>
      </c>
      <c r="N111" s="104">
        <v>77.0</v>
      </c>
      <c r="P111" s="104">
        <v>0.0</v>
      </c>
      <c r="R111" s="104">
        <v>0.0</v>
      </c>
      <c r="T111" s="104">
        <v>0.0</v>
      </c>
      <c r="V111" s="104">
        <v>0.0</v>
      </c>
      <c r="X111" s="104">
        <v>0.0</v>
      </c>
      <c r="Y111" s="73"/>
      <c r="Z111" s="105">
        <v>30.0</v>
      </c>
      <c r="AB111" s="104">
        <v>30.0</v>
      </c>
      <c r="AD111" s="104">
        <v>0.0</v>
      </c>
      <c r="AF111" s="81">
        <f t="shared" si="1"/>
        <v>3644.634</v>
      </c>
      <c r="AG111" s="78">
        <f t="shared" si="2"/>
        <v>214</v>
      </c>
      <c r="AH111" s="78">
        <f t="shared" si="3"/>
        <v>0</v>
      </c>
      <c r="AI111" s="78">
        <f t="shared" si="4"/>
        <v>214</v>
      </c>
      <c r="AJ111" s="82">
        <f t="shared" si="5"/>
        <v>17.031</v>
      </c>
    </row>
    <row r="112">
      <c r="A112" s="76" t="s">
        <v>24</v>
      </c>
      <c r="B112" s="77">
        <f t="shared" si="6"/>
        <v>44671</v>
      </c>
      <c r="C112" s="78">
        <v>4.0</v>
      </c>
      <c r="D112" s="78" t="s">
        <v>33</v>
      </c>
      <c r="E112" s="80" t="s">
        <v>129</v>
      </c>
      <c r="F112" s="71">
        <v>0.0</v>
      </c>
      <c r="H112" s="72">
        <v>0.0</v>
      </c>
      <c r="J112" s="72">
        <v>0.0</v>
      </c>
      <c r="L112" s="105">
        <v>77.0</v>
      </c>
      <c r="N112" s="104">
        <v>77.0</v>
      </c>
      <c r="P112" s="104">
        <v>0.0</v>
      </c>
      <c r="R112" s="104">
        <v>0.0</v>
      </c>
      <c r="T112" s="104">
        <v>0.0</v>
      </c>
      <c r="V112" s="104">
        <v>0.0</v>
      </c>
      <c r="X112" s="104">
        <v>0.0</v>
      </c>
      <c r="Y112" s="73"/>
      <c r="Z112" s="105">
        <v>30.0</v>
      </c>
      <c r="AB112" s="104">
        <v>30.0</v>
      </c>
      <c r="AD112" s="104">
        <v>0.0</v>
      </c>
      <c r="AF112" s="81">
        <f t="shared" si="1"/>
        <v>3644.634</v>
      </c>
      <c r="AG112" s="78">
        <f t="shared" si="2"/>
        <v>214</v>
      </c>
      <c r="AH112" s="78">
        <f t="shared" si="3"/>
        <v>0</v>
      </c>
      <c r="AI112" s="78">
        <f t="shared" si="4"/>
        <v>214</v>
      </c>
      <c r="AJ112" s="82">
        <f t="shared" si="5"/>
        <v>17.031</v>
      </c>
    </row>
    <row r="113">
      <c r="A113" s="76" t="s">
        <v>27</v>
      </c>
      <c r="B113" s="77">
        <f t="shared" si="6"/>
        <v>44672</v>
      </c>
      <c r="C113" s="78">
        <v>4.0</v>
      </c>
      <c r="D113" s="78" t="s">
        <v>33</v>
      </c>
      <c r="E113" s="80" t="s">
        <v>129</v>
      </c>
      <c r="F113" s="71">
        <v>0.0</v>
      </c>
      <c r="H113" s="72">
        <v>0.0</v>
      </c>
      <c r="J113" s="72">
        <v>0.0</v>
      </c>
      <c r="L113" s="105">
        <v>77.0</v>
      </c>
      <c r="N113" s="104">
        <v>77.0</v>
      </c>
      <c r="P113" s="104">
        <v>0.0</v>
      </c>
      <c r="R113" s="104">
        <v>0.0</v>
      </c>
      <c r="T113" s="104">
        <v>0.0</v>
      </c>
      <c r="V113" s="104">
        <v>0.0</v>
      </c>
      <c r="X113" s="104">
        <v>0.0</v>
      </c>
      <c r="Y113" s="73"/>
      <c r="Z113" s="105">
        <v>30.0</v>
      </c>
      <c r="AB113" s="104">
        <v>30.0</v>
      </c>
      <c r="AD113" s="104">
        <v>0.0</v>
      </c>
      <c r="AF113" s="81">
        <f t="shared" si="1"/>
        <v>3644.634</v>
      </c>
      <c r="AG113" s="78">
        <f t="shared" si="2"/>
        <v>214</v>
      </c>
      <c r="AH113" s="78">
        <f t="shared" si="3"/>
        <v>0</v>
      </c>
      <c r="AI113" s="78">
        <f t="shared" si="4"/>
        <v>214</v>
      </c>
      <c r="AJ113" s="82">
        <f t="shared" si="5"/>
        <v>17.031</v>
      </c>
    </row>
    <row r="114">
      <c r="A114" s="83" t="s">
        <v>30</v>
      </c>
      <c r="B114" s="84">
        <f t="shared" si="6"/>
        <v>44673</v>
      </c>
      <c r="C114" s="85">
        <v>4.0</v>
      </c>
      <c r="D114" s="85" t="s">
        <v>33</v>
      </c>
      <c r="E114" s="87" t="s">
        <v>129</v>
      </c>
      <c r="F114" s="88">
        <v>0.0</v>
      </c>
      <c r="G114" s="89"/>
      <c r="H114" s="90">
        <v>0.0</v>
      </c>
      <c r="I114" s="89"/>
      <c r="J114" s="90">
        <v>0.0</v>
      </c>
      <c r="K114" s="89"/>
      <c r="L114" s="112">
        <v>0.0</v>
      </c>
      <c r="M114" s="89"/>
      <c r="N114" s="111">
        <v>0.0</v>
      </c>
      <c r="O114" s="89"/>
      <c r="P114" s="111">
        <v>0.0</v>
      </c>
      <c r="Q114" s="89"/>
      <c r="R114" s="111">
        <v>0.0</v>
      </c>
      <c r="S114" s="89"/>
      <c r="T114" s="111">
        <v>0.0</v>
      </c>
      <c r="U114" s="89"/>
      <c r="V114" s="111">
        <v>0.0</v>
      </c>
      <c r="W114" s="89"/>
      <c r="X114" s="111">
        <v>0.0</v>
      </c>
      <c r="Y114" s="91"/>
      <c r="Z114" s="112">
        <v>0.0</v>
      </c>
      <c r="AA114" s="89"/>
      <c r="AB114" s="111">
        <v>0.0</v>
      </c>
      <c r="AC114" s="89"/>
      <c r="AD114" s="111">
        <v>0.0</v>
      </c>
      <c r="AE114" s="89"/>
      <c r="AF114" s="92">
        <f t="shared" si="1"/>
        <v>0</v>
      </c>
      <c r="AG114" s="85">
        <f t="shared" si="2"/>
        <v>0</v>
      </c>
      <c r="AH114" s="85">
        <f t="shared" si="3"/>
        <v>0</v>
      </c>
      <c r="AI114" s="85">
        <f t="shared" si="4"/>
        <v>0</v>
      </c>
      <c r="AJ114" s="93" t="str">
        <f t="shared" si="5"/>
        <v/>
      </c>
    </row>
    <row r="115">
      <c r="A115" s="66" t="s">
        <v>11</v>
      </c>
      <c r="B115" s="94">
        <f t="shared" si="6"/>
        <v>44674</v>
      </c>
      <c r="C115" s="68">
        <v>5.0</v>
      </c>
      <c r="D115" s="68" t="s">
        <v>48</v>
      </c>
      <c r="E115" s="70" t="s">
        <v>129</v>
      </c>
      <c r="F115" s="71">
        <v>0.0</v>
      </c>
      <c r="H115" s="72">
        <v>0.0</v>
      </c>
      <c r="J115" s="72">
        <v>0.0</v>
      </c>
      <c r="L115" s="105">
        <v>77.0</v>
      </c>
      <c r="N115" s="104">
        <v>77.0</v>
      </c>
      <c r="P115" s="104">
        <v>0.0</v>
      </c>
      <c r="R115" s="104">
        <v>0.0</v>
      </c>
      <c r="T115" s="104">
        <v>1.0</v>
      </c>
      <c r="V115" s="104">
        <v>1.0</v>
      </c>
      <c r="X115" s="104">
        <v>0.0</v>
      </c>
      <c r="Y115" s="73"/>
      <c r="Z115" s="105">
        <v>30.0</v>
      </c>
      <c r="AB115" s="104">
        <v>30.0</v>
      </c>
      <c r="AD115" s="104">
        <v>0.0</v>
      </c>
      <c r="AF115" s="74">
        <f t="shared" si="1"/>
        <v>4379.634</v>
      </c>
      <c r="AG115" s="68">
        <f t="shared" si="2"/>
        <v>214</v>
      </c>
      <c r="AH115" s="68">
        <f t="shared" si="3"/>
        <v>2</v>
      </c>
      <c r="AI115" s="68">
        <f t="shared" si="4"/>
        <v>216</v>
      </c>
      <c r="AJ115" s="75">
        <f t="shared" si="5"/>
        <v>20.27608333</v>
      </c>
    </row>
    <row r="116">
      <c r="A116" s="76" t="s">
        <v>16</v>
      </c>
      <c r="B116" s="77">
        <f t="shared" si="6"/>
        <v>44675</v>
      </c>
      <c r="C116" s="78">
        <v>5.0</v>
      </c>
      <c r="D116" s="78" t="s">
        <v>48</v>
      </c>
      <c r="E116" s="80" t="s">
        <v>129</v>
      </c>
      <c r="F116" s="71">
        <v>0.0</v>
      </c>
      <c r="H116" s="72">
        <v>0.0</v>
      </c>
      <c r="J116" s="72">
        <v>0.0</v>
      </c>
      <c r="L116" s="105">
        <v>77.0</v>
      </c>
      <c r="N116" s="104">
        <v>77.0</v>
      </c>
      <c r="P116" s="104">
        <v>0.0</v>
      </c>
      <c r="R116" s="104">
        <v>0.0</v>
      </c>
      <c r="T116" s="104">
        <v>0.0</v>
      </c>
      <c r="V116" s="104">
        <v>0.0</v>
      </c>
      <c r="X116" s="104">
        <v>0.0</v>
      </c>
      <c r="Y116" s="73"/>
      <c r="Z116" s="105">
        <v>30.0</v>
      </c>
      <c r="AB116" s="104">
        <v>30.0</v>
      </c>
      <c r="AD116" s="104">
        <v>0.0</v>
      </c>
      <c r="AF116" s="81">
        <f t="shared" si="1"/>
        <v>3644.634</v>
      </c>
      <c r="AG116" s="78">
        <f t="shared" si="2"/>
        <v>214</v>
      </c>
      <c r="AH116" s="78">
        <f t="shared" si="3"/>
        <v>0</v>
      </c>
      <c r="AI116" s="78">
        <f t="shared" si="4"/>
        <v>214</v>
      </c>
      <c r="AJ116" s="82">
        <f t="shared" si="5"/>
        <v>17.031</v>
      </c>
    </row>
    <row r="117">
      <c r="A117" s="76" t="s">
        <v>17</v>
      </c>
      <c r="B117" s="77">
        <f t="shared" si="6"/>
        <v>44676</v>
      </c>
      <c r="C117" s="78">
        <v>5.0</v>
      </c>
      <c r="D117" s="78" t="s">
        <v>48</v>
      </c>
      <c r="E117" s="80" t="s">
        <v>129</v>
      </c>
      <c r="F117" s="71">
        <v>0.0</v>
      </c>
      <c r="H117" s="72">
        <v>0.0</v>
      </c>
      <c r="J117" s="72">
        <v>0.0</v>
      </c>
      <c r="L117" s="105">
        <v>77.0</v>
      </c>
      <c r="N117" s="104">
        <v>77.0</v>
      </c>
      <c r="P117" s="104">
        <v>0.0</v>
      </c>
      <c r="R117" s="104">
        <v>0.0</v>
      </c>
      <c r="T117" s="104">
        <v>0.0</v>
      </c>
      <c r="V117" s="104">
        <v>0.0</v>
      </c>
      <c r="X117" s="104">
        <v>0.0</v>
      </c>
      <c r="Y117" s="73"/>
      <c r="Z117" s="105">
        <v>30.0</v>
      </c>
      <c r="AB117" s="104">
        <v>30.0</v>
      </c>
      <c r="AD117" s="104">
        <v>0.0</v>
      </c>
      <c r="AF117" s="81">
        <f t="shared" si="1"/>
        <v>3644.634</v>
      </c>
      <c r="AG117" s="78">
        <f t="shared" si="2"/>
        <v>214</v>
      </c>
      <c r="AH117" s="78">
        <f t="shared" si="3"/>
        <v>0</v>
      </c>
      <c r="AI117" s="78">
        <f t="shared" si="4"/>
        <v>214</v>
      </c>
      <c r="AJ117" s="82">
        <f t="shared" si="5"/>
        <v>17.031</v>
      </c>
    </row>
    <row r="118">
      <c r="A118" s="76" t="s">
        <v>21</v>
      </c>
      <c r="B118" s="77">
        <f t="shared" si="6"/>
        <v>44677</v>
      </c>
      <c r="C118" s="78">
        <v>5.0</v>
      </c>
      <c r="D118" s="78" t="s">
        <v>48</v>
      </c>
      <c r="E118" s="80" t="s">
        <v>129</v>
      </c>
      <c r="F118" s="71">
        <v>0.0</v>
      </c>
      <c r="H118" s="72">
        <v>0.0</v>
      </c>
      <c r="J118" s="72">
        <v>0.0</v>
      </c>
      <c r="L118" s="105">
        <v>77.0</v>
      </c>
      <c r="N118" s="104">
        <v>77.0</v>
      </c>
      <c r="P118" s="104">
        <v>0.0</v>
      </c>
      <c r="R118" s="104">
        <v>0.0</v>
      </c>
      <c r="T118" s="104">
        <v>0.0</v>
      </c>
      <c r="V118" s="104">
        <v>0.0</v>
      </c>
      <c r="X118" s="104">
        <v>0.0</v>
      </c>
      <c r="Y118" s="73"/>
      <c r="Z118" s="105">
        <v>30.0</v>
      </c>
      <c r="AB118" s="104">
        <v>30.0</v>
      </c>
      <c r="AD118" s="104">
        <v>0.0</v>
      </c>
      <c r="AF118" s="81">
        <f t="shared" si="1"/>
        <v>3644.634</v>
      </c>
      <c r="AG118" s="78">
        <f t="shared" si="2"/>
        <v>214</v>
      </c>
      <c r="AH118" s="78">
        <f t="shared" si="3"/>
        <v>0</v>
      </c>
      <c r="AI118" s="78">
        <f t="shared" si="4"/>
        <v>214</v>
      </c>
      <c r="AJ118" s="82">
        <f t="shared" si="5"/>
        <v>17.031</v>
      </c>
    </row>
    <row r="119">
      <c r="A119" s="76" t="s">
        <v>24</v>
      </c>
      <c r="B119" s="77">
        <f t="shared" si="6"/>
        <v>44678</v>
      </c>
      <c r="C119" s="78">
        <v>5.0</v>
      </c>
      <c r="D119" s="78" t="s">
        <v>48</v>
      </c>
      <c r="E119" s="80" t="s">
        <v>129</v>
      </c>
      <c r="F119" s="71">
        <v>0.0</v>
      </c>
      <c r="H119" s="72">
        <v>0.0</v>
      </c>
      <c r="J119" s="72">
        <v>0.0</v>
      </c>
      <c r="L119" s="105">
        <v>77.0</v>
      </c>
      <c r="N119" s="104">
        <v>77.0</v>
      </c>
      <c r="P119" s="104">
        <v>0.0</v>
      </c>
      <c r="R119" s="104">
        <v>0.0</v>
      </c>
      <c r="T119" s="104">
        <v>0.0</v>
      </c>
      <c r="V119" s="104">
        <v>0.0</v>
      </c>
      <c r="X119" s="104">
        <v>0.0</v>
      </c>
      <c r="Y119" s="73"/>
      <c r="Z119" s="105">
        <v>30.0</v>
      </c>
      <c r="AB119" s="104">
        <v>30.0</v>
      </c>
      <c r="AD119" s="104">
        <v>0.0</v>
      </c>
      <c r="AF119" s="81">
        <f t="shared" si="1"/>
        <v>3644.634</v>
      </c>
      <c r="AG119" s="78">
        <f t="shared" si="2"/>
        <v>214</v>
      </c>
      <c r="AH119" s="78">
        <f t="shared" si="3"/>
        <v>0</v>
      </c>
      <c r="AI119" s="78">
        <f t="shared" si="4"/>
        <v>214</v>
      </c>
      <c r="AJ119" s="82">
        <f t="shared" si="5"/>
        <v>17.031</v>
      </c>
    </row>
    <row r="120">
      <c r="A120" s="76" t="s">
        <v>27</v>
      </c>
      <c r="B120" s="77">
        <f t="shared" si="6"/>
        <v>44679</v>
      </c>
      <c r="C120" s="78">
        <v>5.0</v>
      </c>
      <c r="D120" s="78" t="s">
        <v>48</v>
      </c>
      <c r="E120" s="80" t="s">
        <v>129</v>
      </c>
      <c r="F120" s="71">
        <v>0.0</v>
      </c>
      <c r="H120" s="72">
        <v>0.0</v>
      </c>
      <c r="J120" s="72">
        <v>0.0</v>
      </c>
      <c r="L120" s="105">
        <v>77.0</v>
      </c>
      <c r="N120" s="104">
        <v>77.0</v>
      </c>
      <c r="P120" s="104">
        <v>0.0</v>
      </c>
      <c r="R120" s="104">
        <v>0.0</v>
      </c>
      <c r="T120" s="104">
        <v>0.0</v>
      </c>
      <c r="V120" s="104">
        <v>0.0</v>
      </c>
      <c r="X120" s="104">
        <v>0.0</v>
      </c>
      <c r="Y120" s="73"/>
      <c r="Z120" s="105">
        <v>30.0</v>
      </c>
      <c r="AB120" s="104">
        <v>30.0</v>
      </c>
      <c r="AD120" s="104">
        <v>0.0</v>
      </c>
      <c r="AF120" s="81">
        <f t="shared" si="1"/>
        <v>3644.634</v>
      </c>
      <c r="AG120" s="78">
        <f t="shared" si="2"/>
        <v>214</v>
      </c>
      <c r="AH120" s="78">
        <f t="shared" si="3"/>
        <v>0</v>
      </c>
      <c r="AI120" s="78">
        <f t="shared" si="4"/>
        <v>214</v>
      </c>
      <c r="AJ120" s="82">
        <f t="shared" si="5"/>
        <v>17.031</v>
      </c>
    </row>
    <row r="121">
      <c r="A121" s="83" t="s">
        <v>30</v>
      </c>
      <c r="B121" s="84">
        <f t="shared" si="6"/>
        <v>44680</v>
      </c>
      <c r="C121" s="85">
        <v>5.0</v>
      </c>
      <c r="D121" s="85" t="s">
        <v>48</v>
      </c>
      <c r="E121" s="87" t="s">
        <v>129</v>
      </c>
      <c r="F121" s="88">
        <v>0.0</v>
      </c>
      <c r="G121" s="89"/>
      <c r="H121" s="90">
        <v>0.0</v>
      </c>
      <c r="I121" s="89"/>
      <c r="J121" s="90">
        <v>0.0</v>
      </c>
      <c r="K121" s="89"/>
      <c r="L121" s="112">
        <v>0.0</v>
      </c>
      <c r="M121" s="89"/>
      <c r="N121" s="111">
        <v>0.0</v>
      </c>
      <c r="O121" s="89"/>
      <c r="P121" s="111">
        <v>0.0</v>
      </c>
      <c r="Q121" s="89"/>
      <c r="R121" s="111">
        <v>0.0</v>
      </c>
      <c r="S121" s="89"/>
      <c r="T121" s="111">
        <v>0.0</v>
      </c>
      <c r="U121" s="89"/>
      <c r="V121" s="111">
        <v>0.0</v>
      </c>
      <c r="W121" s="89"/>
      <c r="X121" s="111">
        <v>0.0</v>
      </c>
      <c r="Y121" s="91"/>
      <c r="Z121" s="112">
        <v>0.0</v>
      </c>
      <c r="AA121" s="89"/>
      <c r="AB121" s="111">
        <v>0.0</v>
      </c>
      <c r="AC121" s="89"/>
      <c r="AD121" s="111">
        <v>0.0</v>
      </c>
      <c r="AE121" s="89"/>
      <c r="AF121" s="92">
        <f t="shared" si="1"/>
        <v>0</v>
      </c>
      <c r="AG121" s="85">
        <f t="shared" si="2"/>
        <v>0</v>
      </c>
      <c r="AH121" s="85">
        <f t="shared" si="3"/>
        <v>0</v>
      </c>
      <c r="AI121" s="85">
        <f t="shared" si="4"/>
        <v>0</v>
      </c>
      <c r="AJ121" s="93" t="str">
        <f t="shared" si="5"/>
        <v/>
      </c>
    </row>
    <row r="122">
      <c r="A122" s="66" t="s">
        <v>11</v>
      </c>
      <c r="B122" s="94">
        <f t="shared" si="6"/>
        <v>44681</v>
      </c>
      <c r="C122" s="68">
        <v>5.0</v>
      </c>
      <c r="D122" s="68" t="s">
        <v>59</v>
      </c>
      <c r="E122" s="70" t="s">
        <v>129</v>
      </c>
      <c r="F122" s="71">
        <v>0.0</v>
      </c>
      <c r="H122" s="72">
        <v>0.0</v>
      </c>
      <c r="J122" s="72">
        <v>0.0</v>
      </c>
      <c r="L122" s="105">
        <v>77.0</v>
      </c>
      <c r="N122" s="104">
        <v>77.0</v>
      </c>
      <c r="P122" s="104">
        <v>0.0</v>
      </c>
      <c r="R122" s="104">
        <v>0.0</v>
      </c>
      <c r="T122" s="104">
        <v>1.0</v>
      </c>
      <c r="V122" s="104">
        <v>1.0</v>
      </c>
      <c r="X122" s="104">
        <v>0.0</v>
      </c>
      <c r="Y122" s="73"/>
      <c r="Z122" s="105">
        <v>30.0</v>
      </c>
      <c r="AB122" s="104">
        <v>30.0</v>
      </c>
      <c r="AD122" s="104">
        <v>0.0</v>
      </c>
      <c r="AF122" s="74">
        <f t="shared" si="1"/>
        <v>4379.634</v>
      </c>
      <c r="AG122" s="68">
        <f t="shared" si="2"/>
        <v>214</v>
      </c>
      <c r="AH122" s="68">
        <f t="shared" si="3"/>
        <v>2</v>
      </c>
      <c r="AI122" s="68">
        <f t="shared" si="4"/>
        <v>216</v>
      </c>
      <c r="AJ122" s="75">
        <f t="shared" si="5"/>
        <v>20.27608333</v>
      </c>
    </row>
    <row r="123">
      <c r="A123" s="76" t="s">
        <v>16</v>
      </c>
      <c r="B123" s="77">
        <f t="shared" si="6"/>
        <v>44682</v>
      </c>
      <c r="C123" s="78">
        <v>5.0</v>
      </c>
      <c r="D123" s="78" t="s">
        <v>59</v>
      </c>
      <c r="E123" s="80" t="s">
        <v>129</v>
      </c>
      <c r="F123" s="71">
        <v>0.0</v>
      </c>
      <c r="H123" s="72">
        <v>0.0</v>
      </c>
      <c r="J123" s="72">
        <v>0.0</v>
      </c>
      <c r="L123" s="105">
        <v>77.0</v>
      </c>
      <c r="N123" s="104">
        <v>77.0</v>
      </c>
      <c r="P123" s="104">
        <v>0.0</v>
      </c>
      <c r="R123" s="104">
        <v>0.0</v>
      </c>
      <c r="T123" s="104">
        <v>0.0</v>
      </c>
      <c r="V123" s="104">
        <v>0.0</v>
      </c>
      <c r="X123" s="104">
        <v>0.0</v>
      </c>
      <c r="Y123" s="73"/>
      <c r="Z123" s="105">
        <v>30.0</v>
      </c>
      <c r="AB123" s="104">
        <v>30.0</v>
      </c>
      <c r="AD123" s="104">
        <v>0.0</v>
      </c>
      <c r="AF123" s="81">
        <f t="shared" si="1"/>
        <v>3644.634</v>
      </c>
      <c r="AG123" s="78">
        <f t="shared" si="2"/>
        <v>214</v>
      </c>
      <c r="AH123" s="78">
        <f t="shared" si="3"/>
        <v>0</v>
      </c>
      <c r="AI123" s="78">
        <f t="shared" si="4"/>
        <v>214</v>
      </c>
      <c r="AJ123" s="82">
        <f t="shared" si="5"/>
        <v>17.031</v>
      </c>
    </row>
    <row r="124">
      <c r="A124" s="76" t="s">
        <v>17</v>
      </c>
      <c r="B124" s="77">
        <f t="shared" si="6"/>
        <v>44683</v>
      </c>
      <c r="C124" s="78">
        <v>5.0</v>
      </c>
      <c r="D124" s="78" t="s">
        <v>59</v>
      </c>
      <c r="E124" s="80" t="s">
        <v>129</v>
      </c>
      <c r="F124" s="71">
        <v>0.0</v>
      </c>
      <c r="H124" s="72">
        <v>0.0</v>
      </c>
      <c r="J124" s="72">
        <v>0.0</v>
      </c>
      <c r="L124" s="105">
        <v>77.0</v>
      </c>
      <c r="N124" s="104">
        <v>77.0</v>
      </c>
      <c r="P124" s="104">
        <v>0.0</v>
      </c>
      <c r="R124" s="104">
        <v>0.0</v>
      </c>
      <c r="T124" s="104">
        <v>0.0</v>
      </c>
      <c r="V124" s="104">
        <v>0.0</v>
      </c>
      <c r="X124" s="104">
        <v>0.0</v>
      </c>
      <c r="Y124" s="73"/>
      <c r="Z124" s="105">
        <v>30.0</v>
      </c>
      <c r="AB124" s="104">
        <v>30.0</v>
      </c>
      <c r="AD124" s="104">
        <v>0.0</v>
      </c>
      <c r="AF124" s="81">
        <f t="shared" si="1"/>
        <v>3644.634</v>
      </c>
      <c r="AG124" s="78">
        <f t="shared" si="2"/>
        <v>214</v>
      </c>
      <c r="AH124" s="78">
        <f t="shared" si="3"/>
        <v>0</v>
      </c>
      <c r="AI124" s="78">
        <f t="shared" si="4"/>
        <v>214</v>
      </c>
      <c r="AJ124" s="82">
        <f t="shared" si="5"/>
        <v>17.031</v>
      </c>
    </row>
    <row r="125">
      <c r="A125" s="76" t="s">
        <v>21</v>
      </c>
      <c r="B125" s="77">
        <f t="shared" si="6"/>
        <v>44684</v>
      </c>
      <c r="C125" s="78">
        <v>5.0</v>
      </c>
      <c r="D125" s="78" t="s">
        <v>59</v>
      </c>
      <c r="E125" s="80" t="s">
        <v>129</v>
      </c>
      <c r="F125" s="71">
        <v>0.0</v>
      </c>
      <c r="H125" s="72">
        <v>0.0</v>
      </c>
      <c r="J125" s="72">
        <v>0.0</v>
      </c>
      <c r="L125" s="105">
        <v>77.0</v>
      </c>
      <c r="N125" s="104">
        <v>77.0</v>
      </c>
      <c r="P125" s="104">
        <v>0.0</v>
      </c>
      <c r="R125" s="104">
        <v>0.0</v>
      </c>
      <c r="T125" s="104">
        <v>0.0</v>
      </c>
      <c r="V125" s="104">
        <v>0.0</v>
      </c>
      <c r="X125" s="104">
        <v>0.0</v>
      </c>
      <c r="Y125" s="73"/>
      <c r="Z125" s="105">
        <v>30.0</v>
      </c>
      <c r="AB125" s="104">
        <v>30.0</v>
      </c>
      <c r="AD125" s="104">
        <v>0.0</v>
      </c>
      <c r="AF125" s="81">
        <f t="shared" si="1"/>
        <v>3644.634</v>
      </c>
      <c r="AG125" s="78">
        <f t="shared" si="2"/>
        <v>214</v>
      </c>
      <c r="AH125" s="78">
        <f t="shared" si="3"/>
        <v>0</v>
      </c>
      <c r="AI125" s="78">
        <f t="shared" si="4"/>
        <v>214</v>
      </c>
      <c r="AJ125" s="82">
        <f t="shared" si="5"/>
        <v>17.031</v>
      </c>
    </row>
    <row r="126">
      <c r="A126" s="76" t="s">
        <v>24</v>
      </c>
      <c r="B126" s="77">
        <f t="shared" si="6"/>
        <v>44685</v>
      </c>
      <c r="C126" s="78">
        <v>5.0</v>
      </c>
      <c r="D126" s="78" t="s">
        <v>59</v>
      </c>
      <c r="E126" s="80" t="s">
        <v>129</v>
      </c>
      <c r="F126" s="71">
        <v>0.0</v>
      </c>
      <c r="H126" s="72">
        <v>0.0</v>
      </c>
      <c r="J126" s="72">
        <v>0.0</v>
      </c>
      <c r="L126" s="105">
        <v>77.0</v>
      </c>
      <c r="N126" s="104">
        <v>77.0</v>
      </c>
      <c r="P126" s="104">
        <v>0.0</v>
      </c>
      <c r="R126" s="104">
        <v>0.0</v>
      </c>
      <c r="T126" s="104">
        <v>0.0</v>
      </c>
      <c r="V126" s="104">
        <v>0.0</v>
      </c>
      <c r="X126" s="104">
        <v>0.0</v>
      </c>
      <c r="Y126" s="73"/>
      <c r="Z126" s="105">
        <v>30.0</v>
      </c>
      <c r="AB126" s="104">
        <v>30.0</v>
      </c>
      <c r="AD126" s="104">
        <v>0.0</v>
      </c>
      <c r="AF126" s="81">
        <f t="shared" si="1"/>
        <v>3644.634</v>
      </c>
      <c r="AG126" s="78">
        <f t="shared" si="2"/>
        <v>214</v>
      </c>
      <c r="AH126" s="78">
        <f t="shared" si="3"/>
        <v>0</v>
      </c>
      <c r="AI126" s="78">
        <f t="shared" si="4"/>
        <v>214</v>
      </c>
      <c r="AJ126" s="82">
        <f t="shared" si="5"/>
        <v>17.031</v>
      </c>
    </row>
    <row r="127">
      <c r="A127" s="76" t="s">
        <v>27</v>
      </c>
      <c r="B127" s="77">
        <f t="shared" si="6"/>
        <v>44686</v>
      </c>
      <c r="C127" s="78">
        <v>5.0</v>
      </c>
      <c r="D127" s="78" t="s">
        <v>59</v>
      </c>
      <c r="E127" s="80" t="s">
        <v>129</v>
      </c>
      <c r="F127" s="71">
        <v>0.0</v>
      </c>
      <c r="H127" s="72">
        <v>0.0</v>
      </c>
      <c r="J127" s="72">
        <v>0.0</v>
      </c>
      <c r="L127" s="105">
        <v>77.0</v>
      </c>
      <c r="N127" s="104">
        <v>77.0</v>
      </c>
      <c r="P127" s="104">
        <v>0.0</v>
      </c>
      <c r="R127" s="104">
        <v>0.0</v>
      </c>
      <c r="T127" s="104">
        <v>0.0</v>
      </c>
      <c r="V127" s="104">
        <v>0.0</v>
      </c>
      <c r="X127" s="104">
        <v>0.0</v>
      </c>
      <c r="Y127" s="73"/>
      <c r="Z127" s="105">
        <v>30.0</v>
      </c>
      <c r="AB127" s="104">
        <v>30.0</v>
      </c>
      <c r="AD127" s="104">
        <v>0.0</v>
      </c>
      <c r="AF127" s="81">
        <f t="shared" si="1"/>
        <v>3644.634</v>
      </c>
      <c r="AG127" s="78">
        <f t="shared" si="2"/>
        <v>214</v>
      </c>
      <c r="AH127" s="78">
        <f t="shared" si="3"/>
        <v>0</v>
      </c>
      <c r="AI127" s="78">
        <f t="shared" si="4"/>
        <v>214</v>
      </c>
      <c r="AJ127" s="82">
        <f t="shared" si="5"/>
        <v>17.031</v>
      </c>
    </row>
    <row r="128">
      <c r="A128" s="83" t="s">
        <v>30</v>
      </c>
      <c r="B128" s="84">
        <f t="shared" si="6"/>
        <v>44687</v>
      </c>
      <c r="C128" s="85">
        <v>5.0</v>
      </c>
      <c r="D128" s="85" t="s">
        <v>59</v>
      </c>
      <c r="E128" s="87" t="s">
        <v>129</v>
      </c>
      <c r="F128" s="88">
        <v>0.0</v>
      </c>
      <c r="G128" s="89"/>
      <c r="H128" s="90">
        <v>0.0</v>
      </c>
      <c r="I128" s="89"/>
      <c r="J128" s="90">
        <v>0.0</v>
      </c>
      <c r="K128" s="89"/>
      <c r="L128" s="112">
        <v>0.0</v>
      </c>
      <c r="M128" s="89"/>
      <c r="N128" s="111">
        <v>0.0</v>
      </c>
      <c r="O128" s="89"/>
      <c r="P128" s="111">
        <v>0.0</v>
      </c>
      <c r="Q128" s="89"/>
      <c r="R128" s="111">
        <v>0.0</v>
      </c>
      <c r="S128" s="89"/>
      <c r="T128" s="111">
        <v>0.0</v>
      </c>
      <c r="U128" s="89"/>
      <c r="V128" s="111">
        <v>0.0</v>
      </c>
      <c r="W128" s="89"/>
      <c r="X128" s="111">
        <v>0.0</v>
      </c>
      <c r="Y128" s="91"/>
      <c r="Z128" s="112">
        <v>0.0</v>
      </c>
      <c r="AA128" s="89"/>
      <c r="AB128" s="111">
        <v>0.0</v>
      </c>
      <c r="AC128" s="89"/>
      <c r="AD128" s="111">
        <v>0.0</v>
      </c>
      <c r="AE128" s="89"/>
      <c r="AF128" s="92">
        <f t="shared" si="1"/>
        <v>0</v>
      </c>
      <c r="AG128" s="85">
        <f t="shared" si="2"/>
        <v>0</v>
      </c>
      <c r="AH128" s="85">
        <f t="shared" si="3"/>
        <v>0</v>
      </c>
      <c r="AI128" s="85">
        <f t="shared" si="4"/>
        <v>0</v>
      </c>
      <c r="AJ128" s="93" t="str">
        <f t="shared" si="5"/>
        <v/>
      </c>
    </row>
    <row r="129">
      <c r="A129" s="66" t="s">
        <v>11</v>
      </c>
      <c r="B129" s="94">
        <f t="shared" si="6"/>
        <v>44688</v>
      </c>
      <c r="C129" s="68">
        <v>5.0</v>
      </c>
      <c r="D129" s="68" t="s">
        <v>12</v>
      </c>
      <c r="E129" s="70" t="s">
        <v>129</v>
      </c>
      <c r="F129" s="71">
        <v>0.0</v>
      </c>
      <c r="H129" s="72">
        <v>0.0</v>
      </c>
      <c r="J129" s="72">
        <v>0.0</v>
      </c>
      <c r="L129" s="105">
        <v>77.0</v>
      </c>
      <c r="N129" s="104">
        <v>77.0</v>
      </c>
      <c r="P129" s="104">
        <v>0.0</v>
      </c>
      <c r="R129" s="104">
        <v>0.0</v>
      </c>
      <c r="T129" s="104">
        <v>1.0</v>
      </c>
      <c r="V129" s="104">
        <v>1.0</v>
      </c>
      <c r="X129" s="104">
        <v>0.0</v>
      </c>
      <c r="Y129" s="73"/>
      <c r="Z129" s="105">
        <v>30.0</v>
      </c>
      <c r="AB129" s="104">
        <v>30.0</v>
      </c>
      <c r="AD129" s="104">
        <v>0.0</v>
      </c>
      <c r="AF129" s="74">
        <f t="shared" si="1"/>
        <v>4379.634</v>
      </c>
      <c r="AG129" s="68">
        <f t="shared" si="2"/>
        <v>214</v>
      </c>
      <c r="AH129" s="68">
        <f t="shared" si="3"/>
        <v>2</v>
      </c>
      <c r="AI129" s="68">
        <f t="shared" si="4"/>
        <v>216</v>
      </c>
      <c r="AJ129" s="75">
        <f t="shared" si="5"/>
        <v>20.27608333</v>
      </c>
    </row>
    <row r="130">
      <c r="A130" s="76" t="s">
        <v>16</v>
      </c>
      <c r="B130" s="77">
        <f t="shared" si="6"/>
        <v>44689</v>
      </c>
      <c r="C130" s="78">
        <v>5.0</v>
      </c>
      <c r="D130" s="78" t="s">
        <v>12</v>
      </c>
      <c r="E130" s="80" t="s">
        <v>129</v>
      </c>
      <c r="F130" s="71">
        <v>0.0</v>
      </c>
      <c r="H130" s="72">
        <v>0.0</v>
      </c>
      <c r="J130" s="72">
        <v>0.0</v>
      </c>
      <c r="L130" s="105">
        <v>77.0</v>
      </c>
      <c r="N130" s="104">
        <v>77.0</v>
      </c>
      <c r="P130" s="104">
        <v>0.0</v>
      </c>
      <c r="R130" s="104">
        <v>0.0</v>
      </c>
      <c r="T130" s="104">
        <v>0.0</v>
      </c>
      <c r="V130" s="104">
        <v>0.0</v>
      </c>
      <c r="X130" s="104">
        <v>0.0</v>
      </c>
      <c r="Y130" s="73"/>
      <c r="Z130" s="105">
        <v>30.0</v>
      </c>
      <c r="AB130" s="104">
        <v>30.0</v>
      </c>
      <c r="AD130" s="104">
        <v>0.0</v>
      </c>
      <c r="AF130" s="81">
        <f t="shared" si="1"/>
        <v>3644.634</v>
      </c>
      <c r="AG130" s="78">
        <f t="shared" si="2"/>
        <v>214</v>
      </c>
      <c r="AH130" s="78">
        <f t="shared" si="3"/>
        <v>0</v>
      </c>
      <c r="AI130" s="78">
        <f t="shared" si="4"/>
        <v>214</v>
      </c>
      <c r="AJ130" s="82">
        <f t="shared" si="5"/>
        <v>17.031</v>
      </c>
    </row>
    <row r="131">
      <c r="A131" s="76" t="s">
        <v>17</v>
      </c>
      <c r="B131" s="77">
        <f t="shared" si="6"/>
        <v>44690</v>
      </c>
      <c r="C131" s="78">
        <v>5.0</v>
      </c>
      <c r="D131" s="78" t="s">
        <v>12</v>
      </c>
      <c r="E131" s="80" t="s">
        <v>129</v>
      </c>
      <c r="F131" s="71">
        <v>0.0</v>
      </c>
      <c r="H131" s="72">
        <v>0.0</v>
      </c>
      <c r="J131" s="72">
        <v>0.0</v>
      </c>
      <c r="L131" s="105">
        <v>77.0</v>
      </c>
      <c r="N131" s="104">
        <v>77.0</v>
      </c>
      <c r="P131" s="104">
        <v>0.0</v>
      </c>
      <c r="R131" s="104">
        <v>0.0</v>
      </c>
      <c r="T131" s="104">
        <v>0.0</v>
      </c>
      <c r="V131" s="104">
        <v>0.0</v>
      </c>
      <c r="X131" s="104">
        <v>0.0</v>
      </c>
      <c r="Y131" s="73"/>
      <c r="Z131" s="105">
        <v>30.0</v>
      </c>
      <c r="AB131" s="104">
        <v>30.0</v>
      </c>
      <c r="AD131" s="104">
        <v>0.0</v>
      </c>
      <c r="AF131" s="81">
        <f t="shared" si="1"/>
        <v>3644.634</v>
      </c>
      <c r="AG131" s="78">
        <f t="shared" si="2"/>
        <v>214</v>
      </c>
      <c r="AH131" s="78">
        <f t="shared" si="3"/>
        <v>0</v>
      </c>
      <c r="AI131" s="78">
        <f t="shared" si="4"/>
        <v>214</v>
      </c>
      <c r="AJ131" s="82">
        <f t="shared" si="5"/>
        <v>17.031</v>
      </c>
    </row>
    <row r="132">
      <c r="A132" s="76" t="s">
        <v>21</v>
      </c>
      <c r="B132" s="77">
        <f t="shared" si="6"/>
        <v>44691</v>
      </c>
      <c r="C132" s="78">
        <v>5.0</v>
      </c>
      <c r="D132" s="78" t="s">
        <v>12</v>
      </c>
      <c r="E132" s="80" t="s">
        <v>129</v>
      </c>
      <c r="F132" s="71">
        <v>0.0</v>
      </c>
      <c r="H132" s="72">
        <v>0.0</v>
      </c>
      <c r="J132" s="72">
        <v>0.0</v>
      </c>
      <c r="L132" s="105">
        <v>77.0</v>
      </c>
      <c r="N132" s="104">
        <v>77.0</v>
      </c>
      <c r="P132" s="104">
        <v>0.0</v>
      </c>
      <c r="R132" s="104">
        <v>0.0</v>
      </c>
      <c r="T132" s="104">
        <v>0.0</v>
      </c>
      <c r="V132" s="104">
        <v>0.0</v>
      </c>
      <c r="X132" s="104">
        <v>0.0</v>
      </c>
      <c r="Y132" s="73"/>
      <c r="Z132" s="105">
        <v>30.0</v>
      </c>
      <c r="AB132" s="104">
        <v>30.0</v>
      </c>
      <c r="AD132" s="104">
        <v>0.0</v>
      </c>
      <c r="AF132" s="81">
        <f t="shared" si="1"/>
        <v>3644.634</v>
      </c>
      <c r="AG132" s="78">
        <f t="shared" si="2"/>
        <v>214</v>
      </c>
      <c r="AH132" s="78">
        <f t="shared" si="3"/>
        <v>0</v>
      </c>
      <c r="AI132" s="78">
        <f t="shared" si="4"/>
        <v>214</v>
      </c>
      <c r="AJ132" s="82">
        <f t="shared" si="5"/>
        <v>17.031</v>
      </c>
    </row>
    <row r="133">
      <c r="A133" s="76" t="s">
        <v>24</v>
      </c>
      <c r="B133" s="77">
        <f t="shared" si="6"/>
        <v>44692</v>
      </c>
      <c r="C133" s="78">
        <v>5.0</v>
      </c>
      <c r="D133" s="78" t="s">
        <v>12</v>
      </c>
      <c r="E133" s="80" t="s">
        <v>129</v>
      </c>
      <c r="F133" s="71">
        <v>0.0</v>
      </c>
      <c r="H133" s="72">
        <v>0.0</v>
      </c>
      <c r="J133" s="72">
        <v>0.0</v>
      </c>
      <c r="L133" s="105">
        <v>77.0</v>
      </c>
      <c r="N133" s="104">
        <v>77.0</v>
      </c>
      <c r="P133" s="104">
        <v>0.0</v>
      </c>
      <c r="R133" s="104">
        <v>0.0</v>
      </c>
      <c r="T133" s="104">
        <v>0.0</v>
      </c>
      <c r="V133" s="104">
        <v>0.0</v>
      </c>
      <c r="X133" s="104">
        <v>0.0</v>
      </c>
      <c r="Y133" s="73"/>
      <c r="Z133" s="105">
        <v>30.0</v>
      </c>
      <c r="AB133" s="104">
        <v>30.0</v>
      </c>
      <c r="AD133" s="104">
        <v>0.0</v>
      </c>
      <c r="AF133" s="81">
        <f t="shared" si="1"/>
        <v>3644.634</v>
      </c>
      <c r="AG133" s="78">
        <f t="shared" si="2"/>
        <v>214</v>
      </c>
      <c r="AH133" s="78">
        <f t="shared" si="3"/>
        <v>0</v>
      </c>
      <c r="AI133" s="78">
        <f t="shared" si="4"/>
        <v>214</v>
      </c>
      <c r="AJ133" s="82">
        <f t="shared" si="5"/>
        <v>17.031</v>
      </c>
    </row>
    <row r="134">
      <c r="A134" s="76" t="s">
        <v>27</v>
      </c>
      <c r="B134" s="77">
        <f t="shared" si="6"/>
        <v>44693</v>
      </c>
      <c r="C134" s="78">
        <v>5.0</v>
      </c>
      <c r="D134" s="78" t="s">
        <v>12</v>
      </c>
      <c r="E134" s="80" t="s">
        <v>129</v>
      </c>
      <c r="F134" s="71">
        <v>0.0</v>
      </c>
      <c r="H134" s="72">
        <v>0.0</v>
      </c>
      <c r="J134" s="72">
        <v>0.0</v>
      </c>
      <c r="L134" s="105">
        <v>77.0</v>
      </c>
      <c r="N134" s="104">
        <v>77.0</v>
      </c>
      <c r="P134" s="104">
        <v>0.0</v>
      </c>
      <c r="R134" s="104">
        <v>0.0</v>
      </c>
      <c r="T134" s="104">
        <v>0.0</v>
      </c>
      <c r="V134" s="104">
        <v>0.0</v>
      </c>
      <c r="X134" s="104">
        <v>0.0</v>
      </c>
      <c r="Y134" s="73"/>
      <c r="Z134" s="105">
        <v>30.0</v>
      </c>
      <c r="AB134" s="104">
        <v>30.0</v>
      </c>
      <c r="AD134" s="104">
        <v>0.0</v>
      </c>
      <c r="AF134" s="81">
        <f t="shared" si="1"/>
        <v>3644.634</v>
      </c>
      <c r="AG134" s="78">
        <f t="shared" si="2"/>
        <v>214</v>
      </c>
      <c r="AH134" s="78">
        <f t="shared" si="3"/>
        <v>0</v>
      </c>
      <c r="AI134" s="78">
        <f t="shared" si="4"/>
        <v>214</v>
      </c>
      <c r="AJ134" s="82">
        <f t="shared" si="5"/>
        <v>17.031</v>
      </c>
    </row>
    <row r="135">
      <c r="A135" s="83" t="s">
        <v>30</v>
      </c>
      <c r="B135" s="84">
        <f t="shared" si="6"/>
        <v>44694</v>
      </c>
      <c r="C135" s="85">
        <v>5.0</v>
      </c>
      <c r="D135" s="85" t="s">
        <v>12</v>
      </c>
      <c r="E135" s="87" t="s">
        <v>129</v>
      </c>
      <c r="F135" s="88">
        <v>0.0</v>
      </c>
      <c r="G135" s="89"/>
      <c r="H135" s="90">
        <v>0.0</v>
      </c>
      <c r="I135" s="89"/>
      <c r="J135" s="90">
        <v>0.0</v>
      </c>
      <c r="K135" s="89"/>
      <c r="L135" s="112">
        <v>0.0</v>
      </c>
      <c r="M135" s="89"/>
      <c r="N135" s="111">
        <v>0.0</v>
      </c>
      <c r="O135" s="89"/>
      <c r="P135" s="111">
        <v>0.0</v>
      </c>
      <c r="Q135" s="89"/>
      <c r="R135" s="111">
        <v>0.0</v>
      </c>
      <c r="S135" s="89"/>
      <c r="T135" s="111">
        <v>0.0</v>
      </c>
      <c r="U135" s="89"/>
      <c r="V135" s="111">
        <v>0.0</v>
      </c>
      <c r="W135" s="89"/>
      <c r="X135" s="111">
        <v>0.0</v>
      </c>
      <c r="Y135" s="91"/>
      <c r="Z135" s="112">
        <v>0.0</v>
      </c>
      <c r="AA135" s="89"/>
      <c r="AB135" s="111">
        <v>0.0</v>
      </c>
      <c r="AC135" s="89"/>
      <c r="AD135" s="111">
        <v>0.0</v>
      </c>
      <c r="AE135" s="89"/>
      <c r="AF135" s="92">
        <f t="shared" si="1"/>
        <v>0</v>
      </c>
      <c r="AG135" s="85">
        <f t="shared" si="2"/>
        <v>0</v>
      </c>
      <c r="AH135" s="85">
        <f t="shared" si="3"/>
        <v>0</v>
      </c>
      <c r="AI135" s="85">
        <f t="shared" si="4"/>
        <v>0</v>
      </c>
      <c r="AJ135" s="93" t="str">
        <f t="shared" si="5"/>
        <v/>
      </c>
    </row>
    <row r="136">
      <c r="A136" s="66" t="s">
        <v>11</v>
      </c>
      <c r="B136" s="94">
        <f t="shared" si="6"/>
        <v>44695</v>
      </c>
      <c r="C136" s="68">
        <v>5.0</v>
      </c>
      <c r="D136" s="68" t="s">
        <v>33</v>
      </c>
      <c r="E136" s="70" t="s">
        <v>129</v>
      </c>
      <c r="F136" s="71">
        <v>0.0</v>
      </c>
      <c r="H136" s="72">
        <v>0.0</v>
      </c>
      <c r="J136" s="72">
        <v>0.0</v>
      </c>
      <c r="L136" s="105">
        <v>77.0</v>
      </c>
      <c r="N136" s="104">
        <v>77.0</v>
      </c>
      <c r="P136" s="104">
        <v>0.0</v>
      </c>
      <c r="R136" s="104">
        <v>0.0</v>
      </c>
      <c r="T136" s="104">
        <v>1.0</v>
      </c>
      <c r="V136" s="104">
        <v>1.0</v>
      </c>
      <c r="X136" s="104">
        <v>0.0</v>
      </c>
      <c r="Y136" s="73"/>
      <c r="Z136" s="105">
        <v>30.0</v>
      </c>
      <c r="AB136" s="104">
        <v>30.0</v>
      </c>
      <c r="AD136" s="104">
        <v>0.0</v>
      </c>
      <c r="AF136" s="74">
        <f t="shared" si="1"/>
        <v>4379.634</v>
      </c>
      <c r="AG136" s="68">
        <f t="shared" si="2"/>
        <v>214</v>
      </c>
      <c r="AH136" s="68">
        <f t="shared" si="3"/>
        <v>2</v>
      </c>
      <c r="AI136" s="68">
        <f t="shared" si="4"/>
        <v>216</v>
      </c>
      <c r="AJ136" s="75">
        <f t="shared" si="5"/>
        <v>20.27608333</v>
      </c>
    </row>
    <row r="137">
      <c r="A137" s="76" t="s">
        <v>16</v>
      </c>
      <c r="B137" s="77">
        <f t="shared" si="6"/>
        <v>44696</v>
      </c>
      <c r="C137" s="78">
        <v>5.0</v>
      </c>
      <c r="D137" s="78" t="s">
        <v>33</v>
      </c>
      <c r="E137" s="80" t="s">
        <v>129</v>
      </c>
      <c r="F137" s="71">
        <v>0.0</v>
      </c>
      <c r="H137" s="72">
        <v>0.0</v>
      </c>
      <c r="J137" s="72">
        <v>0.0</v>
      </c>
      <c r="L137" s="105">
        <v>77.0</v>
      </c>
      <c r="N137" s="104">
        <v>77.0</v>
      </c>
      <c r="P137" s="104">
        <v>0.0</v>
      </c>
      <c r="R137" s="104">
        <v>0.0</v>
      </c>
      <c r="T137" s="104">
        <v>0.0</v>
      </c>
      <c r="V137" s="104">
        <v>0.0</v>
      </c>
      <c r="X137" s="104">
        <v>0.0</v>
      </c>
      <c r="Y137" s="73"/>
      <c r="Z137" s="105">
        <v>30.0</v>
      </c>
      <c r="AB137" s="104">
        <v>30.0</v>
      </c>
      <c r="AD137" s="104">
        <v>0.0</v>
      </c>
      <c r="AF137" s="81">
        <f t="shared" si="1"/>
        <v>3644.634</v>
      </c>
      <c r="AG137" s="78">
        <f t="shared" si="2"/>
        <v>214</v>
      </c>
      <c r="AH137" s="78">
        <f t="shared" si="3"/>
        <v>0</v>
      </c>
      <c r="AI137" s="78">
        <f t="shared" si="4"/>
        <v>214</v>
      </c>
      <c r="AJ137" s="82">
        <f t="shared" si="5"/>
        <v>17.031</v>
      </c>
    </row>
    <row r="138">
      <c r="A138" s="76" t="s">
        <v>17</v>
      </c>
      <c r="B138" s="77">
        <f t="shared" si="6"/>
        <v>44697</v>
      </c>
      <c r="C138" s="78">
        <v>5.0</v>
      </c>
      <c r="D138" s="78" t="s">
        <v>33</v>
      </c>
      <c r="E138" s="80" t="s">
        <v>129</v>
      </c>
      <c r="F138" s="71">
        <v>0.0</v>
      </c>
      <c r="H138" s="72">
        <v>0.0</v>
      </c>
      <c r="J138" s="72">
        <v>0.0</v>
      </c>
      <c r="L138" s="105">
        <v>77.0</v>
      </c>
      <c r="N138" s="104">
        <v>77.0</v>
      </c>
      <c r="P138" s="104">
        <v>0.0</v>
      </c>
      <c r="R138" s="104">
        <v>0.0</v>
      </c>
      <c r="T138" s="104">
        <v>0.0</v>
      </c>
      <c r="V138" s="104">
        <v>0.0</v>
      </c>
      <c r="X138" s="104">
        <v>0.0</v>
      </c>
      <c r="Y138" s="73"/>
      <c r="Z138" s="105">
        <v>30.0</v>
      </c>
      <c r="AB138" s="104">
        <v>30.0</v>
      </c>
      <c r="AD138" s="104">
        <v>0.0</v>
      </c>
      <c r="AF138" s="81">
        <f t="shared" si="1"/>
        <v>3644.634</v>
      </c>
      <c r="AG138" s="78">
        <f t="shared" si="2"/>
        <v>214</v>
      </c>
      <c r="AH138" s="78">
        <f t="shared" si="3"/>
        <v>0</v>
      </c>
      <c r="AI138" s="78">
        <f t="shared" si="4"/>
        <v>214</v>
      </c>
      <c r="AJ138" s="82">
        <f t="shared" si="5"/>
        <v>17.031</v>
      </c>
    </row>
    <row r="139">
      <c r="A139" s="76" t="s">
        <v>21</v>
      </c>
      <c r="B139" s="77">
        <f t="shared" si="6"/>
        <v>44698</v>
      </c>
      <c r="C139" s="78">
        <v>5.0</v>
      </c>
      <c r="D139" s="78" t="s">
        <v>33</v>
      </c>
      <c r="E139" s="80" t="s">
        <v>129</v>
      </c>
      <c r="F139" s="71">
        <v>0.0</v>
      </c>
      <c r="H139" s="72">
        <v>0.0</v>
      </c>
      <c r="J139" s="72">
        <v>0.0</v>
      </c>
      <c r="L139" s="105">
        <v>77.0</v>
      </c>
      <c r="N139" s="104">
        <v>77.0</v>
      </c>
      <c r="P139" s="104">
        <v>0.0</v>
      </c>
      <c r="R139" s="104">
        <v>0.0</v>
      </c>
      <c r="T139" s="104">
        <v>0.0</v>
      </c>
      <c r="V139" s="104">
        <v>0.0</v>
      </c>
      <c r="X139" s="104">
        <v>0.0</v>
      </c>
      <c r="Y139" s="73"/>
      <c r="Z139" s="105">
        <v>30.0</v>
      </c>
      <c r="AB139" s="104">
        <v>30.0</v>
      </c>
      <c r="AD139" s="104">
        <v>0.0</v>
      </c>
      <c r="AF139" s="81">
        <f t="shared" si="1"/>
        <v>3644.634</v>
      </c>
      <c r="AG139" s="78">
        <f t="shared" si="2"/>
        <v>214</v>
      </c>
      <c r="AH139" s="78">
        <f t="shared" si="3"/>
        <v>0</v>
      </c>
      <c r="AI139" s="78">
        <f t="shared" si="4"/>
        <v>214</v>
      </c>
      <c r="AJ139" s="82">
        <f t="shared" si="5"/>
        <v>17.031</v>
      </c>
    </row>
    <row r="140">
      <c r="A140" s="76" t="s">
        <v>24</v>
      </c>
      <c r="B140" s="77">
        <f t="shared" si="6"/>
        <v>44699</v>
      </c>
      <c r="C140" s="78">
        <v>5.0</v>
      </c>
      <c r="D140" s="78" t="s">
        <v>33</v>
      </c>
      <c r="E140" s="80" t="s">
        <v>129</v>
      </c>
      <c r="F140" s="71">
        <v>0.0</v>
      </c>
      <c r="H140" s="72">
        <v>0.0</v>
      </c>
      <c r="J140" s="72">
        <v>0.0</v>
      </c>
      <c r="L140" s="105">
        <v>77.0</v>
      </c>
      <c r="N140" s="104">
        <v>77.0</v>
      </c>
      <c r="P140" s="104">
        <v>0.0</v>
      </c>
      <c r="R140" s="104">
        <v>0.0</v>
      </c>
      <c r="T140" s="104">
        <v>0.0</v>
      </c>
      <c r="V140" s="104">
        <v>0.0</v>
      </c>
      <c r="X140" s="104">
        <v>0.0</v>
      </c>
      <c r="Y140" s="73"/>
      <c r="Z140" s="105">
        <v>30.0</v>
      </c>
      <c r="AB140" s="104">
        <v>30.0</v>
      </c>
      <c r="AD140" s="104">
        <v>0.0</v>
      </c>
      <c r="AF140" s="81">
        <f t="shared" si="1"/>
        <v>3644.634</v>
      </c>
      <c r="AG140" s="78">
        <f t="shared" si="2"/>
        <v>214</v>
      </c>
      <c r="AH140" s="78">
        <f t="shared" si="3"/>
        <v>0</v>
      </c>
      <c r="AI140" s="78">
        <f t="shared" si="4"/>
        <v>214</v>
      </c>
      <c r="AJ140" s="82">
        <f t="shared" si="5"/>
        <v>17.031</v>
      </c>
    </row>
    <row r="141">
      <c r="A141" s="76" t="s">
        <v>27</v>
      </c>
      <c r="B141" s="77">
        <f t="shared" si="6"/>
        <v>44700</v>
      </c>
      <c r="C141" s="78">
        <v>5.0</v>
      </c>
      <c r="D141" s="78" t="s">
        <v>33</v>
      </c>
      <c r="E141" s="80" t="s">
        <v>129</v>
      </c>
      <c r="F141" s="71">
        <v>0.0</v>
      </c>
      <c r="H141" s="72">
        <v>0.0</v>
      </c>
      <c r="J141" s="72">
        <v>0.0</v>
      </c>
      <c r="L141" s="105">
        <v>77.0</v>
      </c>
      <c r="N141" s="104">
        <v>77.0</v>
      </c>
      <c r="P141" s="104">
        <v>0.0</v>
      </c>
      <c r="R141" s="104">
        <v>0.0</v>
      </c>
      <c r="T141" s="104">
        <v>0.0</v>
      </c>
      <c r="V141" s="104">
        <v>0.0</v>
      </c>
      <c r="X141" s="104">
        <v>0.0</v>
      </c>
      <c r="Y141" s="73"/>
      <c r="Z141" s="105">
        <v>30.0</v>
      </c>
      <c r="AB141" s="104">
        <v>30.0</v>
      </c>
      <c r="AD141" s="104">
        <v>0.0</v>
      </c>
      <c r="AF141" s="81">
        <f t="shared" si="1"/>
        <v>3644.634</v>
      </c>
      <c r="AG141" s="78">
        <f t="shared" si="2"/>
        <v>214</v>
      </c>
      <c r="AH141" s="78">
        <f t="shared" si="3"/>
        <v>0</v>
      </c>
      <c r="AI141" s="78">
        <f t="shared" si="4"/>
        <v>214</v>
      </c>
      <c r="AJ141" s="82">
        <f t="shared" si="5"/>
        <v>17.031</v>
      </c>
    </row>
    <row r="142">
      <c r="A142" s="83" t="s">
        <v>30</v>
      </c>
      <c r="B142" s="84">
        <f t="shared" si="6"/>
        <v>44701</v>
      </c>
      <c r="C142" s="85">
        <v>5.0</v>
      </c>
      <c r="D142" s="85" t="s">
        <v>33</v>
      </c>
      <c r="E142" s="87" t="s">
        <v>129</v>
      </c>
      <c r="F142" s="88">
        <v>0.0</v>
      </c>
      <c r="G142" s="89"/>
      <c r="H142" s="90">
        <v>0.0</v>
      </c>
      <c r="I142" s="89"/>
      <c r="J142" s="90">
        <v>0.0</v>
      </c>
      <c r="K142" s="89"/>
      <c r="L142" s="112">
        <v>0.0</v>
      </c>
      <c r="M142" s="89"/>
      <c r="N142" s="111">
        <v>0.0</v>
      </c>
      <c r="O142" s="89"/>
      <c r="P142" s="111">
        <v>0.0</v>
      </c>
      <c r="Q142" s="89"/>
      <c r="R142" s="111">
        <v>0.0</v>
      </c>
      <c r="S142" s="89"/>
      <c r="T142" s="111">
        <v>0.0</v>
      </c>
      <c r="U142" s="89"/>
      <c r="V142" s="111">
        <v>0.0</v>
      </c>
      <c r="W142" s="89"/>
      <c r="X142" s="111">
        <v>0.0</v>
      </c>
      <c r="Y142" s="91"/>
      <c r="Z142" s="112">
        <v>0.0</v>
      </c>
      <c r="AA142" s="89"/>
      <c r="AB142" s="111">
        <v>0.0</v>
      </c>
      <c r="AC142" s="89"/>
      <c r="AD142" s="111">
        <v>0.0</v>
      </c>
      <c r="AE142" s="89"/>
      <c r="AF142" s="92">
        <f t="shared" si="1"/>
        <v>0</v>
      </c>
      <c r="AG142" s="85">
        <f t="shared" si="2"/>
        <v>0</v>
      </c>
      <c r="AH142" s="85">
        <f t="shared" si="3"/>
        <v>0</v>
      </c>
      <c r="AI142" s="85">
        <f t="shared" si="4"/>
        <v>0</v>
      </c>
      <c r="AJ142" s="93" t="str">
        <f t="shared" si="5"/>
        <v/>
      </c>
    </row>
    <row r="143">
      <c r="A143" s="66" t="s">
        <v>11</v>
      </c>
      <c r="B143" s="94">
        <f t="shared" si="6"/>
        <v>44702</v>
      </c>
      <c r="C143" s="68">
        <v>6.0</v>
      </c>
      <c r="D143" s="68" t="s">
        <v>48</v>
      </c>
      <c r="E143" s="70" t="s">
        <v>129</v>
      </c>
      <c r="F143" s="71">
        <v>0.0</v>
      </c>
      <c r="H143" s="72">
        <v>0.0</v>
      </c>
      <c r="J143" s="72">
        <v>0.0</v>
      </c>
      <c r="L143" s="105">
        <v>77.0</v>
      </c>
      <c r="N143" s="104">
        <v>77.0</v>
      </c>
      <c r="P143" s="104">
        <v>0.0</v>
      </c>
      <c r="R143" s="104">
        <v>0.0</v>
      </c>
      <c r="T143" s="104">
        <v>1.0</v>
      </c>
      <c r="V143" s="104">
        <v>1.0</v>
      </c>
      <c r="X143" s="104">
        <v>0.0</v>
      </c>
      <c r="Y143" s="73"/>
      <c r="Z143" s="105">
        <v>30.0</v>
      </c>
      <c r="AB143" s="104">
        <v>30.0</v>
      </c>
      <c r="AD143" s="104">
        <v>0.0</v>
      </c>
      <c r="AF143" s="74">
        <f t="shared" si="1"/>
        <v>4379.634</v>
      </c>
      <c r="AG143" s="68">
        <f t="shared" si="2"/>
        <v>214</v>
      </c>
      <c r="AH143" s="68">
        <f t="shared" si="3"/>
        <v>2</v>
      </c>
      <c r="AI143" s="68">
        <f t="shared" si="4"/>
        <v>216</v>
      </c>
      <c r="AJ143" s="75">
        <f t="shared" si="5"/>
        <v>20.27608333</v>
      </c>
    </row>
    <row r="144">
      <c r="A144" s="76" t="s">
        <v>16</v>
      </c>
      <c r="B144" s="77">
        <f t="shared" si="6"/>
        <v>44703</v>
      </c>
      <c r="C144" s="78">
        <v>6.0</v>
      </c>
      <c r="D144" s="78" t="s">
        <v>48</v>
      </c>
      <c r="E144" s="80" t="s">
        <v>129</v>
      </c>
      <c r="F144" s="71">
        <v>0.0</v>
      </c>
      <c r="H144" s="72">
        <v>0.0</v>
      </c>
      <c r="J144" s="72">
        <v>0.0</v>
      </c>
      <c r="L144" s="105">
        <v>77.0</v>
      </c>
      <c r="N144" s="104">
        <v>77.0</v>
      </c>
      <c r="P144" s="104">
        <v>0.0</v>
      </c>
      <c r="R144" s="104">
        <v>0.0</v>
      </c>
      <c r="T144" s="104">
        <v>0.0</v>
      </c>
      <c r="V144" s="104">
        <v>0.0</v>
      </c>
      <c r="X144" s="104">
        <v>0.0</v>
      </c>
      <c r="Y144" s="73"/>
      <c r="Z144" s="105">
        <v>30.0</v>
      </c>
      <c r="AB144" s="104">
        <v>30.0</v>
      </c>
      <c r="AD144" s="104">
        <v>0.0</v>
      </c>
      <c r="AF144" s="81">
        <f t="shared" si="1"/>
        <v>3644.634</v>
      </c>
      <c r="AG144" s="78">
        <f t="shared" si="2"/>
        <v>214</v>
      </c>
      <c r="AH144" s="78">
        <f t="shared" si="3"/>
        <v>0</v>
      </c>
      <c r="AI144" s="78">
        <f t="shared" si="4"/>
        <v>214</v>
      </c>
      <c r="AJ144" s="82">
        <f t="shared" si="5"/>
        <v>17.031</v>
      </c>
    </row>
    <row r="145">
      <c r="A145" s="76" t="s">
        <v>17</v>
      </c>
      <c r="B145" s="77">
        <f t="shared" si="6"/>
        <v>44704</v>
      </c>
      <c r="C145" s="78">
        <v>6.0</v>
      </c>
      <c r="D145" s="78" t="s">
        <v>48</v>
      </c>
      <c r="E145" s="80" t="s">
        <v>129</v>
      </c>
      <c r="F145" s="71">
        <v>0.0</v>
      </c>
      <c r="H145" s="72">
        <v>0.0</v>
      </c>
      <c r="J145" s="72">
        <v>0.0</v>
      </c>
      <c r="L145" s="105">
        <v>77.0</v>
      </c>
      <c r="N145" s="104">
        <v>77.0</v>
      </c>
      <c r="P145" s="104">
        <v>0.0</v>
      </c>
      <c r="R145" s="104">
        <v>0.0</v>
      </c>
      <c r="T145" s="104">
        <v>0.0</v>
      </c>
      <c r="V145" s="104">
        <v>0.0</v>
      </c>
      <c r="X145" s="104">
        <v>0.0</v>
      </c>
      <c r="Y145" s="73"/>
      <c r="Z145" s="105">
        <v>30.0</v>
      </c>
      <c r="AB145" s="104">
        <v>30.0</v>
      </c>
      <c r="AD145" s="104">
        <v>0.0</v>
      </c>
      <c r="AF145" s="81">
        <f t="shared" si="1"/>
        <v>3644.634</v>
      </c>
      <c r="AG145" s="78">
        <f t="shared" si="2"/>
        <v>214</v>
      </c>
      <c r="AH145" s="78">
        <f t="shared" si="3"/>
        <v>0</v>
      </c>
      <c r="AI145" s="78">
        <f t="shared" si="4"/>
        <v>214</v>
      </c>
      <c r="AJ145" s="82">
        <f t="shared" si="5"/>
        <v>17.031</v>
      </c>
    </row>
    <row r="146">
      <c r="A146" s="76" t="s">
        <v>21</v>
      </c>
      <c r="B146" s="77">
        <f t="shared" si="6"/>
        <v>44705</v>
      </c>
      <c r="C146" s="78">
        <v>6.0</v>
      </c>
      <c r="D146" s="78" t="s">
        <v>48</v>
      </c>
      <c r="E146" s="80" t="s">
        <v>129</v>
      </c>
      <c r="F146" s="71">
        <v>0.0</v>
      </c>
      <c r="H146" s="72">
        <v>0.0</v>
      </c>
      <c r="J146" s="72">
        <v>0.0</v>
      </c>
      <c r="L146" s="105">
        <v>77.0</v>
      </c>
      <c r="N146" s="104">
        <v>77.0</v>
      </c>
      <c r="P146" s="104">
        <v>0.0</v>
      </c>
      <c r="R146" s="104">
        <v>0.0</v>
      </c>
      <c r="T146" s="104">
        <v>0.0</v>
      </c>
      <c r="V146" s="104">
        <v>0.0</v>
      </c>
      <c r="X146" s="104">
        <v>0.0</v>
      </c>
      <c r="Y146" s="73"/>
      <c r="Z146" s="105">
        <v>30.0</v>
      </c>
      <c r="AB146" s="104">
        <v>30.0</v>
      </c>
      <c r="AD146" s="104">
        <v>0.0</v>
      </c>
      <c r="AF146" s="81">
        <f t="shared" si="1"/>
        <v>3644.634</v>
      </c>
      <c r="AG146" s="78">
        <f t="shared" si="2"/>
        <v>214</v>
      </c>
      <c r="AH146" s="78">
        <f t="shared" si="3"/>
        <v>0</v>
      </c>
      <c r="AI146" s="78">
        <f t="shared" si="4"/>
        <v>214</v>
      </c>
      <c r="AJ146" s="82">
        <f t="shared" si="5"/>
        <v>17.031</v>
      </c>
    </row>
    <row r="147">
      <c r="A147" s="76" t="s">
        <v>24</v>
      </c>
      <c r="B147" s="77">
        <f t="shared" si="6"/>
        <v>44706</v>
      </c>
      <c r="C147" s="78">
        <v>6.0</v>
      </c>
      <c r="D147" s="78" t="s">
        <v>48</v>
      </c>
      <c r="E147" s="80" t="s">
        <v>129</v>
      </c>
      <c r="F147" s="71">
        <v>0.0</v>
      </c>
      <c r="H147" s="72">
        <v>0.0</v>
      </c>
      <c r="J147" s="72">
        <v>0.0</v>
      </c>
      <c r="L147" s="105">
        <v>77.0</v>
      </c>
      <c r="N147" s="104">
        <v>77.0</v>
      </c>
      <c r="P147" s="104">
        <v>0.0</v>
      </c>
      <c r="R147" s="104">
        <v>0.0</v>
      </c>
      <c r="T147" s="104">
        <v>0.0</v>
      </c>
      <c r="V147" s="104">
        <v>0.0</v>
      </c>
      <c r="X147" s="104">
        <v>0.0</v>
      </c>
      <c r="Y147" s="73"/>
      <c r="Z147" s="105">
        <v>30.0</v>
      </c>
      <c r="AB147" s="104">
        <v>30.0</v>
      </c>
      <c r="AD147" s="104">
        <v>0.0</v>
      </c>
      <c r="AF147" s="81">
        <f t="shared" si="1"/>
        <v>3644.634</v>
      </c>
      <c r="AG147" s="78">
        <f t="shared" si="2"/>
        <v>214</v>
      </c>
      <c r="AH147" s="78">
        <f t="shared" si="3"/>
        <v>0</v>
      </c>
      <c r="AI147" s="78">
        <f t="shared" si="4"/>
        <v>214</v>
      </c>
      <c r="AJ147" s="82">
        <f t="shared" si="5"/>
        <v>17.031</v>
      </c>
    </row>
    <row r="148">
      <c r="A148" s="76" t="s">
        <v>27</v>
      </c>
      <c r="B148" s="77">
        <f t="shared" si="6"/>
        <v>44707</v>
      </c>
      <c r="C148" s="78">
        <v>6.0</v>
      </c>
      <c r="D148" s="78" t="s">
        <v>48</v>
      </c>
      <c r="E148" s="80" t="s">
        <v>129</v>
      </c>
      <c r="F148" s="71">
        <v>0.0</v>
      </c>
      <c r="H148" s="72">
        <v>0.0</v>
      </c>
      <c r="J148" s="72">
        <v>0.0</v>
      </c>
      <c r="L148" s="105">
        <v>77.0</v>
      </c>
      <c r="N148" s="104">
        <v>77.0</v>
      </c>
      <c r="P148" s="104">
        <v>0.0</v>
      </c>
      <c r="R148" s="104">
        <v>0.0</v>
      </c>
      <c r="T148" s="104">
        <v>0.0</v>
      </c>
      <c r="V148" s="104">
        <v>0.0</v>
      </c>
      <c r="X148" s="104">
        <v>0.0</v>
      </c>
      <c r="Y148" s="73"/>
      <c r="Z148" s="105">
        <v>30.0</v>
      </c>
      <c r="AB148" s="104">
        <v>30.0</v>
      </c>
      <c r="AD148" s="104">
        <v>0.0</v>
      </c>
      <c r="AF148" s="81">
        <f t="shared" si="1"/>
        <v>3644.634</v>
      </c>
      <c r="AG148" s="78">
        <f t="shared" si="2"/>
        <v>214</v>
      </c>
      <c r="AH148" s="78">
        <f t="shared" si="3"/>
        <v>0</v>
      </c>
      <c r="AI148" s="78">
        <f t="shared" si="4"/>
        <v>214</v>
      </c>
      <c r="AJ148" s="82">
        <f t="shared" si="5"/>
        <v>17.031</v>
      </c>
    </row>
    <row r="149">
      <c r="A149" s="83" t="s">
        <v>30</v>
      </c>
      <c r="B149" s="84">
        <f t="shared" si="6"/>
        <v>44708</v>
      </c>
      <c r="C149" s="85">
        <v>6.0</v>
      </c>
      <c r="D149" s="85" t="s">
        <v>48</v>
      </c>
      <c r="E149" s="87" t="s">
        <v>129</v>
      </c>
      <c r="F149" s="88">
        <v>0.0</v>
      </c>
      <c r="G149" s="89"/>
      <c r="H149" s="90">
        <v>0.0</v>
      </c>
      <c r="I149" s="89"/>
      <c r="J149" s="90">
        <v>0.0</v>
      </c>
      <c r="K149" s="89"/>
      <c r="L149" s="112">
        <v>0.0</v>
      </c>
      <c r="M149" s="89"/>
      <c r="N149" s="111">
        <v>0.0</v>
      </c>
      <c r="O149" s="89"/>
      <c r="P149" s="111">
        <v>0.0</v>
      </c>
      <c r="Q149" s="89"/>
      <c r="R149" s="111">
        <v>0.0</v>
      </c>
      <c r="S149" s="89"/>
      <c r="T149" s="111">
        <v>0.0</v>
      </c>
      <c r="U149" s="89"/>
      <c r="V149" s="111">
        <v>0.0</v>
      </c>
      <c r="W149" s="89"/>
      <c r="X149" s="111">
        <v>0.0</v>
      </c>
      <c r="Y149" s="91"/>
      <c r="Z149" s="112">
        <v>0.0</v>
      </c>
      <c r="AA149" s="89"/>
      <c r="AB149" s="111">
        <v>0.0</v>
      </c>
      <c r="AC149" s="89"/>
      <c r="AD149" s="111">
        <v>0.0</v>
      </c>
      <c r="AE149" s="89"/>
      <c r="AF149" s="92">
        <f t="shared" si="1"/>
        <v>0</v>
      </c>
      <c r="AG149" s="85">
        <f t="shared" si="2"/>
        <v>0</v>
      </c>
      <c r="AH149" s="85">
        <f t="shared" si="3"/>
        <v>0</v>
      </c>
      <c r="AI149" s="85">
        <f t="shared" si="4"/>
        <v>0</v>
      </c>
      <c r="AJ149" s="93" t="str">
        <f t="shared" si="5"/>
        <v/>
      </c>
    </row>
    <row r="150">
      <c r="A150" s="66" t="s">
        <v>11</v>
      </c>
      <c r="B150" s="94">
        <f t="shared" si="6"/>
        <v>44709</v>
      </c>
      <c r="C150" s="68">
        <v>6.0</v>
      </c>
      <c r="D150" s="68" t="s">
        <v>59</v>
      </c>
      <c r="E150" s="70" t="s">
        <v>130</v>
      </c>
      <c r="F150" s="71">
        <v>0.0</v>
      </c>
      <c r="H150" s="72">
        <v>0.0</v>
      </c>
      <c r="J150" s="72">
        <v>0.0</v>
      </c>
      <c r="L150" s="105">
        <v>69.0</v>
      </c>
      <c r="N150" s="104">
        <v>69.0</v>
      </c>
      <c r="P150" s="104">
        <v>0.0</v>
      </c>
      <c r="R150" s="104">
        <v>50.0</v>
      </c>
      <c r="T150" s="104">
        <v>1.0</v>
      </c>
      <c r="V150" s="104">
        <v>1.0</v>
      </c>
      <c r="X150" s="104">
        <v>30.0</v>
      </c>
      <c r="Y150" s="73"/>
      <c r="Z150" s="105">
        <v>0.0</v>
      </c>
      <c r="AB150" s="104">
        <v>30.0</v>
      </c>
      <c r="AD150" s="104">
        <v>0.0</v>
      </c>
      <c r="AF150" s="74">
        <f t="shared" si="1"/>
        <v>4186.308</v>
      </c>
      <c r="AG150" s="68">
        <f t="shared" si="2"/>
        <v>248</v>
      </c>
      <c r="AH150" s="68">
        <f t="shared" si="3"/>
        <v>2</v>
      </c>
      <c r="AI150" s="68">
        <f t="shared" si="4"/>
        <v>250</v>
      </c>
      <c r="AJ150" s="75">
        <f t="shared" si="5"/>
        <v>16.745232</v>
      </c>
    </row>
    <row r="151">
      <c r="A151" s="76" t="s">
        <v>16</v>
      </c>
      <c r="B151" s="77">
        <f t="shared" si="6"/>
        <v>44710</v>
      </c>
      <c r="C151" s="78">
        <v>6.0</v>
      </c>
      <c r="D151" s="78" t="s">
        <v>59</v>
      </c>
      <c r="E151" s="169" t="s">
        <v>130</v>
      </c>
      <c r="F151" s="71">
        <v>0.0</v>
      </c>
      <c r="H151" s="72">
        <v>0.0</v>
      </c>
      <c r="J151" s="72">
        <v>0.0</v>
      </c>
      <c r="L151" s="105">
        <v>69.0</v>
      </c>
      <c r="N151" s="104">
        <v>69.0</v>
      </c>
      <c r="P151" s="104">
        <v>0.0</v>
      </c>
      <c r="R151" s="104">
        <v>50.0</v>
      </c>
      <c r="T151" s="104">
        <v>0.0</v>
      </c>
      <c r="V151" s="104">
        <v>0.0</v>
      </c>
      <c r="X151" s="104">
        <v>0.0</v>
      </c>
      <c r="Y151" s="73"/>
      <c r="Z151" s="105">
        <v>30.0</v>
      </c>
      <c r="AB151" s="104">
        <v>30.0</v>
      </c>
      <c r="AD151" s="104">
        <v>0.0</v>
      </c>
      <c r="AF151" s="81">
        <f t="shared" si="1"/>
        <v>3710.238</v>
      </c>
      <c r="AG151" s="78">
        <f t="shared" si="2"/>
        <v>248</v>
      </c>
      <c r="AH151" s="78">
        <f t="shared" si="3"/>
        <v>0</v>
      </c>
      <c r="AI151" s="78">
        <f t="shared" si="4"/>
        <v>248</v>
      </c>
      <c r="AJ151" s="82">
        <f t="shared" si="5"/>
        <v>14.9606371</v>
      </c>
    </row>
    <row r="152">
      <c r="A152" s="76" t="s">
        <v>17</v>
      </c>
      <c r="B152" s="77">
        <f t="shared" si="6"/>
        <v>44711</v>
      </c>
      <c r="C152" s="78">
        <v>6.0</v>
      </c>
      <c r="D152" s="78" t="s">
        <v>59</v>
      </c>
      <c r="E152" s="169" t="s">
        <v>130</v>
      </c>
      <c r="F152" s="71">
        <v>0.0</v>
      </c>
      <c r="H152" s="72">
        <v>0.0</v>
      </c>
      <c r="J152" s="72">
        <v>0.0</v>
      </c>
      <c r="L152" s="105">
        <v>69.0</v>
      </c>
      <c r="N152" s="104">
        <v>69.0</v>
      </c>
      <c r="P152" s="104">
        <v>0.0</v>
      </c>
      <c r="R152" s="104">
        <v>50.0</v>
      </c>
      <c r="T152" s="104">
        <v>0.0</v>
      </c>
      <c r="V152" s="104">
        <v>0.0</v>
      </c>
      <c r="X152" s="104">
        <v>30.0</v>
      </c>
      <c r="Y152" s="73"/>
      <c r="Z152" s="105">
        <v>0.0</v>
      </c>
      <c r="AB152" s="104">
        <v>30.0</v>
      </c>
      <c r="AD152" s="104">
        <v>0.0</v>
      </c>
      <c r="AF152" s="81">
        <f t="shared" si="1"/>
        <v>3451.308</v>
      </c>
      <c r="AG152" s="78">
        <f t="shared" si="2"/>
        <v>248</v>
      </c>
      <c r="AH152" s="78">
        <f t="shared" si="3"/>
        <v>0</v>
      </c>
      <c r="AI152" s="78">
        <f t="shared" si="4"/>
        <v>248</v>
      </c>
      <c r="AJ152" s="82">
        <f t="shared" si="5"/>
        <v>13.91656452</v>
      </c>
    </row>
    <row r="153">
      <c r="A153" s="76" t="s">
        <v>21</v>
      </c>
      <c r="B153" s="77">
        <f t="shared" si="6"/>
        <v>44712</v>
      </c>
      <c r="C153" s="78">
        <v>6.0</v>
      </c>
      <c r="D153" s="78" t="s">
        <v>59</v>
      </c>
      <c r="E153" s="169" t="s">
        <v>130</v>
      </c>
      <c r="F153" s="71">
        <v>0.0</v>
      </c>
      <c r="H153" s="72">
        <v>0.0</v>
      </c>
      <c r="J153" s="72">
        <v>0.0</v>
      </c>
      <c r="L153" s="105">
        <v>69.0</v>
      </c>
      <c r="N153" s="104">
        <v>69.0</v>
      </c>
      <c r="P153" s="104">
        <v>0.0</v>
      </c>
      <c r="R153" s="104">
        <v>50.0</v>
      </c>
      <c r="T153" s="104">
        <v>0.0</v>
      </c>
      <c r="V153" s="104">
        <v>0.0</v>
      </c>
      <c r="X153" s="104">
        <v>0.0</v>
      </c>
      <c r="Y153" s="73"/>
      <c r="Z153" s="105">
        <v>30.0</v>
      </c>
      <c r="AB153" s="104">
        <v>30.0</v>
      </c>
      <c r="AD153" s="104">
        <v>0.0</v>
      </c>
      <c r="AF153" s="81">
        <f t="shared" si="1"/>
        <v>3710.238</v>
      </c>
      <c r="AG153" s="78">
        <f t="shared" si="2"/>
        <v>248</v>
      </c>
      <c r="AH153" s="78">
        <f t="shared" si="3"/>
        <v>0</v>
      </c>
      <c r="AI153" s="78">
        <f t="shared" si="4"/>
        <v>248</v>
      </c>
      <c r="AJ153" s="82">
        <f t="shared" si="5"/>
        <v>14.9606371</v>
      </c>
    </row>
    <row r="154">
      <c r="A154" s="76" t="s">
        <v>24</v>
      </c>
      <c r="B154" s="77">
        <f t="shared" si="6"/>
        <v>44713</v>
      </c>
      <c r="C154" s="78">
        <v>6.0</v>
      </c>
      <c r="D154" s="78" t="s">
        <v>59</v>
      </c>
      <c r="E154" s="169" t="s">
        <v>130</v>
      </c>
      <c r="F154" s="71">
        <v>0.0</v>
      </c>
      <c r="H154" s="72">
        <v>0.0</v>
      </c>
      <c r="J154" s="72">
        <v>0.0</v>
      </c>
      <c r="L154" s="105">
        <v>69.0</v>
      </c>
      <c r="N154" s="104">
        <v>69.0</v>
      </c>
      <c r="P154" s="104">
        <v>0.0</v>
      </c>
      <c r="R154" s="104">
        <v>50.0</v>
      </c>
      <c r="T154" s="104">
        <v>0.0</v>
      </c>
      <c r="V154" s="104">
        <v>0.0</v>
      </c>
      <c r="X154" s="104">
        <v>30.0</v>
      </c>
      <c r="Y154" s="73"/>
      <c r="Z154" s="105">
        <v>0.0</v>
      </c>
      <c r="AB154" s="104">
        <v>30.0</v>
      </c>
      <c r="AD154" s="104">
        <v>0.0</v>
      </c>
      <c r="AF154" s="81">
        <f t="shared" si="1"/>
        <v>3451.308</v>
      </c>
      <c r="AG154" s="78">
        <f t="shared" si="2"/>
        <v>248</v>
      </c>
      <c r="AH154" s="78">
        <f t="shared" si="3"/>
        <v>0</v>
      </c>
      <c r="AI154" s="78">
        <f t="shared" si="4"/>
        <v>248</v>
      </c>
      <c r="AJ154" s="82">
        <f t="shared" si="5"/>
        <v>13.91656452</v>
      </c>
    </row>
    <row r="155">
      <c r="A155" s="76" t="s">
        <v>27</v>
      </c>
      <c r="B155" s="77">
        <f t="shared" si="6"/>
        <v>44714</v>
      </c>
      <c r="C155" s="78">
        <v>6.0</v>
      </c>
      <c r="D155" s="78" t="s">
        <v>59</v>
      </c>
      <c r="E155" s="169" t="s">
        <v>130</v>
      </c>
      <c r="F155" s="71">
        <v>0.0</v>
      </c>
      <c r="H155" s="72">
        <v>0.0</v>
      </c>
      <c r="J155" s="72">
        <v>0.0</v>
      </c>
      <c r="L155" s="105">
        <v>69.0</v>
      </c>
      <c r="N155" s="104">
        <v>69.0</v>
      </c>
      <c r="P155" s="104">
        <v>0.0</v>
      </c>
      <c r="R155" s="104">
        <v>50.0</v>
      </c>
      <c r="T155" s="104">
        <v>0.0</v>
      </c>
      <c r="V155" s="104">
        <v>0.0</v>
      </c>
      <c r="X155" s="104">
        <v>0.0</v>
      </c>
      <c r="Y155" s="73"/>
      <c r="Z155" s="105">
        <v>30.0</v>
      </c>
      <c r="AB155" s="104">
        <v>30.0</v>
      </c>
      <c r="AD155" s="104">
        <v>0.0</v>
      </c>
      <c r="AF155" s="81">
        <f t="shared" si="1"/>
        <v>3710.238</v>
      </c>
      <c r="AG155" s="78">
        <f t="shared" si="2"/>
        <v>248</v>
      </c>
      <c r="AH155" s="78">
        <f t="shared" si="3"/>
        <v>0</v>
      </c>
      <c r="AI155" s="78">
        <f t="shared" si="4"/>
        <v>248</v>
      </c>
      <c r="AJ155" s="82">
        <f t="shared" si="5"/>
        <v>14.9606371</v>
      </c>
    </row>
    <row r="156">
      <c r="A156" s="83" t="s">
        <v>30</v>
      </c>
      <c r="B156" s="84">
        <f t="shared" si="6"/>
        <v>44715</v>
      </c>
      <c r="C156" s="85">
        <v>6.0</v>
      </c>
      <c r="D156" s="85" t="s">
        <v>59</v>
      </c>
      <c r="E156" s="170" t="s">
        <v>130</v>
      </c>
      <c r="F156" s="88">
        <v>0.0</v>
      </c>
      <c r="G156" s="89"/>
      <c r="H156" s="90">
        <v>0.0</v>
      </c>
      <c r="I156" s="89"/>
      <c r="J156" s="90">
        <v>0.0</v>
      </c>
      <c r="K156" s="89"/>
      <c r="L156" s="112">
        <v>0.0</v>
      </c>
      <c r="M156" s="89"/>
      <c r="N156" s="111">
        <v>0.0</v>
      </c>
      <c r="O156" s="89"/>
      <c r="P156" s="111">
        <v>0.0</v>
      </c>
      <c r="Q156" s="89"/>
      <c r="R156" s="111">
        <v>0.0</v>
      </c>
      <c r="S156" s="89"/>
      <c r="T156" s="111">
        <v>0.0</v>
      </c>
      <c r="U156" s="89"/>
      <c r="V156" s="111">
        <v>0.0</v>
      </c>
      <c r="W156" s="89"/>
      <c r="X156" s="111">
        <v>0.0</v>
      </c>
      <c r="Y156" s="91"/>
      <c r="Z156" s="112">
        <v>0.0</v>
      </c>
      <c r="AA156" s="89"/>
      <c r="AB156" s="111">
        <v>0.0</v>
      </c>
      <c r="AC156" s="89"/>
      <c r="AD156" s="111">
        <v>0.0</v>
      </c>
      <c r="AE156" s="89"/>
      <c r="AF156" s="92">
        <f t="shared" si="1"/>
        <v>0</v>
      </c>
      <c r="AG156" s="85">
        <f t="shared" si="2"/>
        <v>0</v>
      </c>
      <c r="AH156" s="85">
        <f t="shared" si="3"/>
        <v>0</v>
      </c>
      <c r="AI156" s="85">
        <f t="shared" si="4"/>
        <v>0</v>
      </c>
      <c r="AJ156" s="93" t="str">
        <f t="shared" si="5"/>
        <v/>
      </c>
    </row>
    <row r="157">
      <c r="A157" s="66" t="s">
        <v>11</v>
      </c>
      <c r="B157" s="94">
        <f t="shared" si="6"/>
        <v>44716</v>
      </c>
      <c r="C157" s="68">
        <v>6.0</v>
      </c>
      <c r="D157" s="68" t="s">
        <v>12</v>
      </c>
      <c r="E157" s="70" t="s">
        <v>130</v>
      </c>
      <c r="F157" s="71">
        <v>0.0</v>
      </c>
      <c r="H157" s="72">
        <v>0.0</v>
      </c>
      <c r="J157" s="72">
        <v>0.0</v>
      </c>
      <c r="L157" s="105">
        <v>69.0</v>
      </c>
      <c r="N157" s="104">
        <v>69.0</v>
      </c>
      <c r="P157" s="104">
        <v>0.0</v>
      </c>
      <c r="R157" s="104">
        <v>50.0</v>
      </c>
      <c r="T157" s="104">
        <v>1.0</v>
      </c>
      <c r="V157" s="104">
        <v>1.0</v>
      </c>
      <c r="X157" s="104">
        <v>30.0</v>
      </c>
      <c r="Y157" s="73"/>
      <c r="Z157" s="105">
        <v>0.0</v>
      </c>
      <c r="AB157" s="104">
        <v>30.0</v>
      </c>
      <c r="AD157" s="104">
        <v>0.0</v>
      </c>
      <c r="AF157" s="74">
        <f t="shared" si="1"/>
        <v>4186.308</v>
      </c>
      <c r="AG157" s="68">
        <f t="shared" si="2"/>
        <v>248</v>
      </c>
      <c r="AH157" s="68">
        <f t="shared" si="3"/>
        <v>2</v>
      </c>
      <c r="AI157" s="68">
        <f t="shared" si="4"/>
        <v>250</v>
      </c>
      <c r="AJ157" s="75">
        <f t="shared" si="5"/>
        <v>16.745232</v>
      </c>
    </row>
    <row r="158">
      <c r="A158" s="76" t="s">
        <v>16</v>
      </c>
      <c r="B158" s="77">
        <f t="shared" si="6"/>
        <v>44717</v>
      </c>
      <c r="C158" s="78">
        <v>6.0</v>
      </c>
      <c r="D158" s="78" t="s">
        <v>12</v>
      </c>
      <c r="E158" s="169" t="s">
        <v>130</v>
      </c>
      <c r="F158" s="71">
        <v>0.0</v>
      </c>
      <c r="H158" s="72">
        <v>0.0</v>
      </c>
      <c r="J158" s="72">
        <v>0.0</v>
      </c>
      <c r="L158" s="105">
        <v>69.0</v>
      </c>
      <c r="N158" s="104">
        <v>69.0</v>
      </c>
      <c r="P158" s="104">
        <v>0.0</v>
      </c>
      <c r="R158" s="104">
        <v>50.0</v>
      </c>
      <c r="T158" s="104">
        <v>0.0</v>
      </c>
      <c r="V158" s="104">
        <v>0.0</v>
      </c>
      <c r="X158" s="104">
        <v>0.0</v>
      </c>
      <c r="Y158" s="73"/>
      <c r="Z158" s="105">
        <v>30.0</v>
      </c>
      <c r="AB158" s="104">
        <v>30.0</v>
      </c>
      <c r="AD158" s="104">
        <v>0.0</v>
      </c>
      <c r="AF158" s="81">
        <f t="shared" si="1"/>
        <v>3710.238</v>
      </c>
      <c r="AG158" s="78">
        <f t="shared" si="2"/>
        <v>248</v>
      </c>
      <c r="AH158" s="78">
        <f t="shared" si="3"/>
        <v>0</v>
      </c>
      <c r="AI158" s="78">
        <f t="shared" si="4"/>
        <v>248</v>
      </c>
      <c r="AJ158" s="82">
        <f t="shared" si="5"/>
        <v>14.9606371</v>
      </c>
    </row>
    <row r="159">
      <c r="A159" s="76" t="s">
        <v>17</v>
      </c>
      <c r="B159" s="77">
        <f t="shared" si="6"/>
        <v>44718</v>
      </c>
      <c r="C159" s="78">
        <v>6.0</v>
      </c>
      <c r="D159" s="78" t="s">
        <v>12</v>
      </c>
      <c r="E159" s="169" t="s">
        <v>130</v>
      </c>
      <c r="F159" s="71">
        <v>0.0</v>
      </c>
      <c r="H159" s="72">
        <v>0.0</v>
      </c>
      <c r="J159" s="72">
        <v>0.0</v>
      </c>
      <c r="L159" s="105">
        <v>69.0</v>
      </c>
      <c r="N159" s="104">
        <v>69.0</v>
      </c>
      <c r="P159" s="104">
        <v>0.0</v>
      </c>
      <c r="R159" s="104">
        <v>50.0</v>
      </c>
      <c r="T159" s="104">
        <v>0.0</v>
      </c>
      <c r="V159" s="104">
        <v>0.0</v>
      </c>
      <c r="X159" s="104">
        <v>30.0</v>
      </c>
      <c r="Y159" s="73"/>
      <c r="Z159" s="105">
        <v>0.0</v>
      </c>
      <c r="AB159" s="104">
        <v>30.0</v>
      </c>
      <c r="AD159" s="104">
        <v>0.0</v>
      </c>
      <c r="AF159" s="81">
        <f t="shared" si="1"/>
        <v>3451.308</v>
      </c>
      <c r="AG159" s="78">
        <f t="shared" si="2"/>
        <v>248</v>
      </c>
      <c r="AH159" s="78">
        <f t="shared" si="3"/>
        <v>0</v>
      </c>
      <c r="AI159" s="78">
        <f t="shared" si="4"/>
        <v>248</v>
      </c>
      <c r="AJ159" s="82">
        <f t="shared" si="5"/>
        <v>13.91656452</v>
      </c>
    </row>
    <row r="160">
      <c r="A160" s="76" t="s">
        <v>21</v>
      </c>
      <c r="B160" s="77">
        <f t="shared" si="6"/>
        <v>44719</v>
      </c>
      <c r="C160" s="78">
        <v>6.0</v>
      </c>
      <c r="D160" s="78" t="s">
        <v>12</v>
      </c>
      <c r="E160" s="169" t="s">
        <v>130</v>
      </c>
      <c r="F160" s="71">
        <v>0.0</v>
      </c>
      <c r="H160" s="72">
        <v>0.0</v>
      </c>
      <c r="J160" s="72">
        <v>0.0</v>
      </c>
      <c r="L160" s="105">
        <v>69.0</v>
      </c>
      <c r="N160" s="104">
        <v>69.0</v>
      </c>
      <c r="P160" s="104">
        <v>0.0</v>
      </c>
      <c r="R160" s="104">
        <v>50.0</v>
      </c>
      <c r="T160" s="104">
        <v>0.0</v>
      </c>
      <c r="V160" s="104">
        <v>0.0</v>
      </c>
      <c r="X160" s="104">
        <v>0.0</v>
      </c>
      <c r="Y160" s="73"/>
      <c r="Z160" s="105">
        <v>30.0</v>
      </c>
      <c r="AB160" s="104">
        <v>30.0</v>
      </c>
      <c r="AD160" s="104">
        <v>0.0</v>
      </c>
      <c r="AF160" s="81">
        <f t="shared" si="1"/>
        <v>3710.238</v>
      </c>
      <c r="AG160" s="78">
        <f t="shared" si="2"/>
        <v>248</v>
      </c>
      <c r="AH160" s="78">
        <f t="shared" si="3"/>
        <v>0</v>
      </c>
      <c r="AI160" s="78">
        <f t="shared" si="4"/>
        <v>248</v>
      </c>
      <c r="AJ160" s="82">
        <f t="shared" si="5"/>
        <v>14.9606371</v>
      </c>
    </row>
    <row r="161">
      <c r="A161" s="76" t="s">
        <v>24</v>
      </c>
      <c r="B161" s="77">
        <f t="shared" si="6"/>
        <v>44720</v>
      </c>
      <c r="C161" s="78">
        <v>6.0</v>
      </c>
      <c r="D161" s="78" t="s">
        <v>12</v>
      </c>
      <c r="E161" s="169" t="s">
        <v>130</v>
      </c>
      <c r="F161" s="71">
        <v>0.0</v>
      </c>
      <c r="H161" s="72">
        <v>0.0</v>
      </c>
      <c r="J161" s="72">
        <v>0.0</v>
      </c>
      <c r="L161" s="105">
        <v>69.0</v>
      </c>
      <c r="N161" s="104">
        <v>69.0</v>
      </c>
      <c r="P161" s="104">
        <v>0.0</v>
      </c>
      <c r="R161" s="104">
        <v>50.0</v>
      </c>
      <c r="T161" s="104">
        <v>0.0</v>
      </c>
      <c r="V161" s="104">
        <v>0.0</v>
      </c>
      <c r="X161" s="104">
        <v>30.0</v>
      </c>
      <c r="Y161" s="73"/>
      <c r="Z161" s="105">
        <v>0.0</v>
      </c>
      <c r="AB161" s="104">
        <v>30.0</v>
      </c>
      <c r="AD161" s="104">
        <v>0.0</v>
      </c>
      <c r="AF161" s="81">
        <f t="shared" si="1"/>
        <v>3451.308</v>
      </c>
      <c r="AG161" s="78">
        <f t="shared" si="2"/>
        <v>248</v>
      </c>
      <c r="AH161" s="78">
        <f t="shared" si="3"/>
        <v>0</v>
      </c>
      <c r="AI161" s="78">
        <f t="shared" si="4"/>
        <v>248</v>
      </c>
      <c r="AJ161" s="82">
        <f t="shared" si="5"/>
        <v>13.91656452</v>
      </c>
    </row>
    <row r="162">
      <c r="A162" s="76" t="s">
        <v>27</v>
      </c>
      <c r="B162" s="77">
        <f t="shared" si="6"/>
        <v>44721</v>
      </c>
      <c r="C162" s="78">
        <v>6.0</v>
      </c>
      <c r="D162" s="78" t="s">
        <v>12</v>
      </c>
      <c r="E162" s="169" t="s">
        <v>130</v>
      </c>
      <c r="F162" s="71">
        <v>0.0</v>
      </c>
      <c r="H162" s="72">
        <v>0.0</v>
      </c>
      <c r="J162" s="72">
        <v>0.0</v>
      </c>
      <c r="L162" s="105">
        <v>69.0</v>
      </c>
      <c r="N162" s="104">
        <v>69.0</v>
      </c>
      <c r="P162" s="104">
        <v>0.0</v>
      </c>
      <c r="R162" s="104">
        <v>50.0</v>
      </c>
      <c r="T162" s="104">
        <v>0.0</v>
      </c>
      <c r="V162" s="104">
        <v>0.0</v>
      </c>
      <c r="X162" s="104">
        <v>0.0</v>
      </c>
      <c r="Y162" s="73"/>
      <c r="Z162" s="105">
        <v>30.0</v>
      </c>
      <c r="AB162" s="104">
        <v>30.0</v>
      </c>
      <c r="AD162" s="104">
        <v>0.0</v>
      </c>
      <c r="AF162" s="81">
        <f t="shared" si="1"/>
        <v>3710.238</v>
      </c>
      <c r="AG162" s="78">
        <f t="shared" si="2"/>
        <v>248</v>
      </c>
      <c r="AH162" s="78">
        <f t="shared" si="3"/>
        <v>0</v>
      </c>
      <c r="AI162" s="78">
        <f t="shared" si="4"/>
        <v>248</v>
      </c>
      <c r="AJ162" s="82">
        <f t="shared" si="5"/>
        <v>14.9606371</v>
      </c>
    </row>
    <row r="163">
      <c r="A163" s="83" t="s">
        <v>30</v>
      </c>
      <c r="B163" s="84">
        <f t="shared" si="6"/>
        <v>44722</v>
      </c>
      <c r="C163" s="85">
        <v>6.0</v>
      </c>
      <c r="D163" s="85" t="s">
        <v>12</v>
      </c>
      <c r="E163" s="170" t="s">
        <v>130</v>
      </c>
      <c r="F163" s="88">
        <v>0.0</v>
      </c>
      <c r="G163" s="89"/>
      <c r="H163" s="90">
        <v>0.0</v>
      </c>
      <c r="I163" s="89"/>
      <c r="J163" s="90">
        <v>0.0</v>
      </c>
      <c r="K163" s="89"/>
      <c r="L163" s="112">
        <v>0.0</v>
      </c>
      <c r="M163" s="89"/>
      <c r="N163" s="111">
        <v>0.0</v>
      </c>
      <c r="O163" s="89"/>
      <c r="P163" s="111">
        <v>0.0</v>
      </c>
      <c r="Q163" s="89"/>
      <c r="R163" s="111">
        <v>0.0</v>
      </c>
      <c r="S163" s="89"/>
      <c r="T163" s="111">
        <v>0.0</v>
      </c>
      <c r="U163" s="89"/>
      <c r="V163" s="111">
        <v>0.0</v>
      </c>
      <c r="W163" s="89"/>
      <c r="X163" s="111">
        <v>0.0</v>
      </c>
      <c r="Y163" s="91"/>
      <c r="Z163" s="112">
        <v>0.0</v>
      </c>
      <c r="AA163" s="89"/>
      <c r="AB163" s="111">
        <v>0.0</v>
      </c>
      <c r="AC163" s="89"/>
      <c r="AD163" s="111">
        <v>0.0</v>
      </c>
      <c r="AE163" s="89"/>
      <c r="AF163" s="92">
        <f t="shared" si="1"/>
        <v>0</v>
      </c>
      <c r="AG163" s="85">
        <f t="shared" si="2"/>
        <v>0</v>
      </c>
      <c r="AH163" s="85">
        <f t="shared" si="3"/>
        <v>0</v>
      </c>
      <c r="AI163" s="85">
        <f t="shared" si="4"/>
        <v>0</v>
      </c>
      <c r="AJ163" s="93" t="str">
        <f t="shared" si="5"/>
        <v/>
      </c>
    </row>
    <row r="164">
      <c r="A164" s="66" t="s">
        <v>11</v>
      </c>
      <c r="B164" s="94">
        <f t="shared" si="6"/>
        <v>44723</v>
      </c>
      <c r="C164" s="68">
        <v>6.0</v>
      </c>
      <c r="D164" s="68" t="s">
        <v>33</v>
      </c>
      <c r="E164" s="171" t="s">
        <v>130</v>
      </c>
      <c r="F164" s="71">
        <v>0.0</v>
      </c>
      <c r="H164" s="72">
        <v>0.0</v>
      </c>
      <c r="J164" s="72">
        <v>0.0</v>
      </c>
      <c r="L164" s="105">
        <v>69.0</v>
      </c>
      <c r="N164" s="104">
        <v>69.0</v>
      </c>
      <c r="P164" s="104">
        <v>0.0</v>
      </c>
      <c r="R164" s="104">
        <v>50.0</v>
      </c>
      <c r="T164" s="104">
        <v>1.0</v>
      </c>
      <c r="V164" s="104">
        <v>1.0</v>
      </c>
      <c r="X164" s="104">
        <v>30.0</v>
      </c>
      <c r="Y164" s="73"/>
      <c r="Z164" s="105">
        <v>0.0</v>
      </c>
      <c r="AB164" s="104">
        <v>30.0</v>
      </c>
      <c r="AD164" s="104">
        <v>0.0</v>
      </c>
      <c r="AF164" s="74">
        <f t="shared" si="1"/>
        <v>4186.308</v>
      </c>
      <c r="AG164" s="68">
        <f t="shared" si="2"/>
        <v>248</v>
      </c>
      <c r="AH164" s="68">
        <f t="shared" si="3"/>
        <v>2</v>
      </c>
      <c r="AI164" s="68">
        <f t="shared" si="4"/>
        <v>250</v>
      </c>
      <c r="AJ164" s="75">
        <f t="shared" si="5"/>
        <v>16.745232</v>
      </c>
    </row>
    <row r="165">
      <c r="A165" s="76" t="s">
        <v>16</v>
      </c>
      <c r="B165" s="77">
        <f t="shared" si="6"/>
        <v>44724</v>
      </c>
      <c r="C165" s="78">
        <v>6.0</v>
      </c>
      <c r="D165" s="78" t="s">
        <v>33</v>
      </c>
      <c r="E165" s="169" t="s">
        <v>130</v>
      </c>
      <c r="F165" s="71">
        <v>0.0</v>
      </c>
      <c r="H165" s="72">
        <v>0.0</v>
      </c>
      <c r="J165" s="72">
        <v>0.0</v>
      </c>
      <c r="L165" s="105">
        <v>69.0</v>
      </c>
      <c r="N165" s="104">
        <v>69.0</v>
      </c>
      <c r="P165" s="104">
        <v>0.0</v>
      </c>
      <c r="R165" s="104">
        <v>50.0</v>
      </c>
      <c r="T165" s="104">
        <v>0.0</v>
      </c>
      <c r="V165" s="104">
        <v>0.0</v>
      </c>
      <c r="X165" s="104">
        <v>0.0</v>
      </c>
      <c r="Y165" s="73"/>
      <c r="Z165" s="105">
        <v>30.0</v>
      </c>
      <c r="AB165" s="104">
        <v>30.0</v>
      </c>
      <c r="AD165" s="104">
        <v>0.0</v>
      </c>
      <c r="AF165" s="81">
        <f t="shared" si="1"/>
        <v>3710.238</v>
      </c>
      <c r="AG165" s="78">
        <f t="shared" si="2"/>
        <v>248</v>
      </c>
      <c r="AH165" s="78">
        <f t="shared" si="3"/>
        <v>0</v>
      </c>
      <c r="AI165" s="78">
        <f t="shared" si="4"/>
        <v>248</v>
      </c>
      <c r="AJ165" s="82">
        <f t="shared" si="5"/>
        <v>14.9606371</v>
      </c>
    </row>
    <row r="166">
      <c r="A166" s="76" t="s">
        <v>17</v>
      </c>
      <c r="B166" s="77">
        <f t="shared" si="6"/>
        <v>44725</v>
      </c>
      <c r="C166" s="78">
        <v>6.0</v>
      </c>
      <c r="D166" s="78" t="s">
        <v>33</v>
      </c>
      <c r="E166" s="169" t="s">
        <v>130</v>
      </c>
      <c r="F166" s="71">
        <v>0.0</v>
      </c>
      <c r="H166" s="72">
        <v>0.0</v>
      </c>
      <c r="J166" s="72">
        <v>0.0</v>
      </c>
      <c r="L166" s="105">
        <v>69.0</v>
      </c>
      <c r="N166" s="104">
        <v>69.0</v>
      </c>
      <c r="P166" s="104">
        <v>0.0</v>
      </c>
      <c r="R166" s="104">
        <v>50.0</v>
      </c>
      <c r="T166" s="104">
        <v>0.0</v>
      </c>
      <c r="V166" s="104">
        <v>0.0</v>
      </c>
      <c r="X166" s="104">
        <v>30.0</v>
      </c>
      <c r="Y166" s="73"/>
      <c r="Z166" s="105">
        <v>0.0</v>
      </c>
      <c r="AB166" s="104">
        <v>30.0</v>
      </c>
      <c r="AD166" s="104">
        <v>0.0</v>
      </c>
      <c r="AF166" s="81">
        <f t="shared" si="1"/>
        <v>3451.308</v>
      </c>
      <c r="AG166" s="78">
        <f t="shared" si="2"/>
        <v>248</v>
      </c>
      <c r="AH166" s="78">
        <f t="shared" si="3"/>
        <v>0</v>
      </c>
      <c r="AI166" s="78">
        <f t="shared" si="4"/>
        <v>248</v>
      </c>
      <c r="AJ166" s="82">
        <f t="shared" si="5"/>
        <v>13.91656452</v>
      </c>
    </row>
    <row r="167">
      <c r="A167" s="76" t="s">
        <v>21</v>
      </c>
      <c r="B167" s="77">
        <f t="shared" si="6"/>
        <v>44726</v>
      </c>
      <c r="C167" s="78">
        <v>6.0</v>
      </c>
      <c r="D167" s="78" t="s">
        <v>33</v>
      </c>
      <c r="E167" s="169" t="s">
        <v>130</v>
      </c>
      <c r="F167" s="71">
        <v>0.0</v>
      </c>
      <c r="H167" s="72">
        <v>0.0</v>
      </c>
      <c r="J167" s="72">
        <v>0.0</v>
      </c>
      <c r="L167" s="105">
        <v>69.0</v>
      </c>
      <c r="N167" s="104">
        <v>69.0</v>
      </c>
      <c r="P167" s="104">
        <v>0.0</v>
      </c>
      <c r="R167" s="104">
        <v>50.0</v>
      </c>
      <c r="T167" s="104">
        <v>0.0</v>
      </c>
      <c r="V167" s="104">
        <v>0.0</v>
      </c>
      <c r="X167" s="104">
        <v>0.0</v>
      </c>
      <c r="Y167" s="73"/>
      <c r="Z167" s="105">
        <v>30.0</v>
      </c>
      <c r="AB167" s="104">
        <v>30.0</v>
      </c>
      <c r="AD167" s="104">
        <v>0.0</v>
      </c>
      <c r="AF167" s="81">
        <f t="shared" si="1"/>
        <v>3710.238</v>
      </c>
      <c r="AG167" s="78">
        <f t="shared" si="2"/>
        <v>248</v>
      </c>
      <c r="AH167" s="78">
        <f t="shared" si="3"/>
        <v>0</v>
      </c>
      <c r="AI167" s="78">
        <f t="shared" si="4"/>
        <v>248</v>
      </c>
      <c r="AJ167" s="82">
        <f t="shared" si="5"/>
        <v>14.9606371</v>
      </c>
    </row>
    <row r="168">
      <c r="A168" s="76" t="s">
        <v>24</v>
      </c>
      <c r="B168" s="77">
        <f t="shared" si="6"/>
        <v>44727</v>
      </c>
      <c r="C168" s="78">
        <v>6.0</v>
      </c>
      <c r="D168" s="78" t="s">
        <v>33</v>
      </c>
      <c r="E168" s="169" t="s">
        <v>130</v>
      </c>
      <c r="F168" s="71">
        <v>0.0</v>
      </c>
      <c r="H168" s="72">
        <v>0.0</v>
      </c>
      <c r="J168" s="72">
        <v>0.0</v>
      </c>
      <c r="L168" s="105">
        <v>69.0</v>
      </c>
      <c r="N168" s="104">
        <v>69.0</v>
      </c>
      <c r="P168" s="104">
        <v>0.0</v>
      </c>
      <c r="R168" s="104">
        <v>50.0</v>
      </c>
      <c r="T168" s="104">
        <v>0.0</v>
      </c>
      <c r="V168" s="104">
        <v>0.0</v>
      </c>
      <c r="X168" s="104">
        <v>30.0</v>
      </c>
      <c r="Y168" s="73"/>
      <c r="Z168" s="105">
        <v>0.0</v>
      </c>
      <c r="AB168" s="104">
        <v>30.0</v>
      </c>
      <c r="AD168" s="104">
        <v>0.0</v>
      </c>
      <c r="AF168" s="81">
        <f t="shared" si="1"/>
        <v>3451.308</v>
      </c>
      <c r="AG168" s="78">
        <f t="shared" si="2"/>
        <v>248</v>
      </c>
      <c r="AH168" s="78">
        <f t="shared" si="3"/>
        <v>0</v>
      </c>
      <c r="AI168" s="78">
        <f t="shared" si="4"/>
        <v>248</v>
      </c>
      <c r="AJ168" s="82">
        <f t="shared" si="5"/>
        <v>13.91656452</v>
      </c>
    </row>
    <row r="169">
      <c r="A169" s="76" t="s">
        <v>27</v>
      </c>
      <c r="B169" s="77">
        <f t="shared" si="6"/>
        <v>44728</v>
      </c>
      <c r="C169" s="78">
        <v>6.0</v>
      </c>
      <c r="D169" s="78" t="s">
        <v>33</v>
      </c>
      <c r="E169" s="169" t="s">
        <v>130</v>
      </c>
      <c r="F169" s="71">
        <v>0.0</v>
      </c>
      <c r="H169" s="72">
        <v>0.0</v>
      </c>
      <c r="J169" s="72">
        <v>0.0</v>
      </c>
      <c r="L169" s="105">
        <v>69.0</v>
      </c>
      <c r="N169" s="104">
        <v>69.0</v>
      </c>
      <c r="P169" s="104">
        <v>0.0</v>
      </c>
      <c r="R169" s="104">
        <v>50.0</v>
      </c>
      <c r="T169" s="104">
        <v>0.0</v>
      </c>
      <c r="V169" s="104">
        <v>0.0</v>
      </c>
      <c r="X169" s="104">
        <v>0.0</v>
      </c>
      <c r="Y169" s="73"/>
      <c r="Z169" s="105">
        <v>30.0</v>
      </c>
      <c r="AB169" s="104">
        <v>30.0</v>
      </c>
      <c r="AD169" s="104">
        <v>0.0</v>
      </c>
      <c r="AF169" s="81">
        <f t="shared" si="1"/>
        <v>3710.238</v>
      </c>
      <c r="AG169" s="78">
        <f t="shared" si="2"/>
        <v>248</v>
      </c>
      <c r="AH169" s="78">
        <f t="shared" si="3"/>
        <v>0</v>
      </c>
      <c r="AI169" s="78">
        <f t="shared" si="4"/>
        <v>248</v>
      </c>
      <c r="AJ169" s="82">
        <f t="shared" si="5"/>
        <v>14.9606371</v>
      </c>
    </row>
    <row r="170">
      <c r="A170" s="83" t="s">
        <v>30</v>
      </c>
      <c r="B170" s="84">
        <f t="shared" si="6"/>
        <v>44729</v>
      </c>
      <c r="C170" s="85">
        <v>6.0</v>
      </c>
      <c r="D170" s="85" t="s">
        <v>33</v>
      </c>
      <c r="E170" s="170" t="s">
        <v>130</v>
      </c>
      <c r="F170" s="88">
        <v>0.0</v>
      </c>
      <c r="G170" s="89"/>
      <c r="H170" s="90">
        <v>0.0</v>
      </c>
      <c r="I170" s="89"/>
      <c r="J170" s="90">
        <v>0.0</v>
      </c>
      <c r="K170" s="89"/>
      <c r="L170" s="112">
        <v>0.0</v>
      </c>
      <c r="M170" s="89"/>
      <c r="N170" s="111">
        <v>0.0</v>
      </c>
      <c r="O170" s="89"/>
      <c r="P170" s="111">
        <v>0.0</v>
      </c>
      <c r="Q170" s="89"/>
      <c r="R170" s="111">
        <v>0.0</v>
      </c>
      <c r="S170" s="89"/>
      <c r="T170" s="111">
        <v>0.0</v>
      </c>
      <c r="U170" s="89"/>
      <c r="V170" s="111">
        <v>0.0</v>
      </c>
      <c r="W170" s="89"/>
      <c r="X170" s="111">
        <v>0.0</v>
      </c>
      <c r="Y170" s="91"/>
      <c r="Z170" s="112">
        <v>0.0</v>
      </c>
      <c r="AA170" s="89"/>
      <c r="AB170" s="111">
        <v>0.0</v>
      </c>
      <c r="AC170" s="89"/>
      <c r="AD170" s="111">
        <v>0.0</v>
      </c>
      <c r="AE170" s="89"/>
      <c r="AF170" s="92">
        <f t="shared" si="1"/>
        <v>0</v>
      </c>
      <c r="AG170" s="85">
        <f t="shared" si="2"/>
        <v>0</v>
      </c>
      <c r="AH170" s="85">
        <f t="shared" si="3"/>
        <v>0</v>
      </c>
      <c r="AI170" s="85">
        <f t="shared" si="4"/>
        <v>0</v>
      </c>
      <c r="AJ170" s="93" t="str">
        <f t="shared" si="5"/>
        <v/>
      </c>
    </row>
    <row r="171">
      <c r="A171" s="66" t="s">
        <v>11</v>
      </c>
      <c r="B171" s="94">
        <f t="shared" si="6"/>
        <v>44730</v>
      </c>
      <c r="C171" s="68">
        <v>7.0</v>
      </c>
      <c r="D171" s="68" t="s">
        <v>48</v>
      </c>
      <c r="E171" s="171" t="s">
        <v>130</v>
      </c>
      <c r="F171" s="71">
        <v>0.0</v>
      </c>
      <c r="H171" s="72">
        <v>0.0</v>
      </c>
      <c r="J171" s="72">
        <v>0.0</v>
      </c>
      <c r="L171" s="105">
        <v>69.0</v>
      </c>
      <c r="N171" s="104">
        <v>69.0</v>
      </c>
      <c r="P171" s="104">
        <v>0.0</v>
      </c>
      <c r="R171" s="104">
        <v>50.0</v>
      </c>
      <c r="T171" s="104">
        <v>1.0</v>
      </c>
      <c r="V171" s="104">
        <v>1.0</v>
      </c>
      <c r="X171" s="104">
        <v>30.0</v>
      </c>
      <c r="Y171" s="73"/>
      <c r="Z171" s="105">
        <v>0.0</v>
      </c>
      <c r="AB171" s="104">
        <v>30.0</v>
      </c>
      <c r="AD171" s="104">
        <v>0.0</v>
      </c>
      <c r="AF171" s="74">
        <f t="shared" si="1"/>
        <v>4186.308</v>
      </c>
      <c r="AG171" s="68">
        <f t="shared" si="2"/>
        <v>248</v>
      </c>
      <c r="AH171" s="68">
        <f t="shared" si="3"/>
        <v>2</v>
      </c>
      <c r="AI171" s="68">
        <f t="shared" si="4"/>
        <v>250</v>
      </c>
      <c r="AJ171" s="75">
        <f t="shared" si="5"/>
        <v>16.745232</v>
      </c>
    </row>
    <row r="172">
      <c r="A172" s="76" t="s">
        <v>16</v>
      </c>
      <c r="B172" s="77">
        <f t="shared" si="6"/>
        <v>44731</v>
      </c>
      <c r="C172" s="78">
        <v>7.0</v>
      </c>
      <c r="D172" s="78" t="s">
        <v>48</v>
      </c>
      <c r="E172" s="169" t="s">
        <v>130</v>
      </c>
      <c r="F172" s="71">
        <v>0.0</v>
      </c>
      <c r="H172" s="72">
        <v>0.0</v>
      </c>
      <c r="J172" s="72">
        <v>0.0</v>
      </c>
      <c r="L172" s="105">
        <v>69.0</v>
      </c>
      <c r="N172" s="104">
        <v>69.0</v>
      </c>
      <c r="P172" s="104">
        <v>0.0</v>
      </c>
      <c r="R172" s="104">
        <v>50.0</v>
      </c>
      <c r="T172" s="104">
        <v>0.0</v>
      </c>
      <c r="V172" s="104">
        <v>0.0</v>
      </c>
      <c r="X172" s="104">
        <v>0.0</v>
      </c>
      <c r="Y172" s="73"/>
      <c r="Z172" s="105">
        <v>30.0</v>
      </c>
      <c r="AB172" s="104">
        <v>30.0</v>
      </c>
      <c r="AD172" s="104">
        <v>0.0</v>
      </c>
      <c r="AF172" s="81">
        <f t="shared" si="1"/>
        <v>3710.238</v>
      </c>
      <c r="AG172" s="78">
        <f t="shared" si="2"/>
        <v>248</v>
      </c>
      <c r="AH172" s="78">
        <f t="shared" si="3"/>
        <v>0</v>
      </c>
      <c r="AI172" s="78">
        <f t="shared" si="4"/>
        <v>248</v>
      </c>
      <c r="AJ172" s="82">
        <f t="shared" si="5"/>
        <v>14.9606371</v>
      </c>
    </row>
    <row r="173">
      <c r="A173" s="76" t="s">
        <v>17</v>
      </c>
      <c r="B173" s="77">
        <f t="shared" si="6"/>
        <v>44732</v>
      </c>
      <c r="C173" s="78">
        <v>7.0</v>
      </c>
      <c r="D173" s="78" t="s">
        <v>48</v>
      </c>
      <c r="E173" s="169" t="s">
        <v>130</v>
      </c>
      <c r="F173" s="71">
        <v>0.0</v>
      </c>
      <c r="H173" s="72">
        <v>0.0</v>
      </c>
      <c r="J173" s="72">
        <v>0.0</v>
      </c>
      <c r="L173" s="105">
        <v>69.0</v>
      </c>
      <c r="N173" s="104">
        <v>69.0</v>
      </c>
      <c r="P173" s="104">
        <v>0.0</v>
      </c>
      <c r="R173" s="104">
        <v>50.0</v>
      </c>
      <c r="T173" s="104">
        <v>0.0</v>
      </c>
      <c r="V173" s="104">
        <v>0.0</v>
      </c>
      <c r="X173" s="104">
        <v>30.0</v>
      </c>
      <c r="Y173" s="73"/>
      <c r="Z173" s="105">
        <v>0.0</v>
      </c>
      <c r="AB173" s="104">
        <v>30.0</v>
      </c>
      <c r="AD173" s="104">
        <v>0.0</v>
      </c>
      <c r="AF173" s="81">
        <f t="shared" si="1"/>
        <v>3451.308</v>
      </c>
      <c r="AG173" s="78">
        <f t="shared" si="2"/>
        <v>248</v>
      </c>
      <c r="AH173" s="78">
        <f t="shared" si="3"/>
        <v>0</v>
      </c>
      <c r="AI173" s="78">
        <f t="shared" si="4"/>
        <v>248</v>
      </c>
      <c r="AJ173" s="82">
        <f t="shared" si="5"/>
        <v>13.91656452</v>
      </c>
    </row>
    <row r="174">
      <c r="A174" s="76" t="s">
        <v>21</v>
      </c>
      <c r="B174" s="77">
        <f t="shared" si="6"/>
        <v>44733</v>
      </c>
      <c r="C174" s="78">
        <v>7.0</v>
      </c>
      <c r="D174" s="78" t="s">
        <v>48</v>
      </c>
      <c r="E174" s="169" t="s">
        <v>130</v>
      </c>
      <c r="F174" s="71">
        <v>0.0</v>
      </c>
      <c r="H174" s="72">
        <v>0.0</v>
      </c>
      <c r="J174" s="72">
        <v>0.0</v>
      </c>
      <c r="L174" s="105">
        <v>69.0</v>
      </c>
      <c r="N174" s="104">
        <v>69.0</v>
      </c>
      <c r="P174" s="104">
        <v>0.0</v>
      </c>
      <c r="R174" s="104">
        <v>50.0</v>
      </c>
      <c r="T174" s="104">
        <v>0.0</v>
      </c>
      <c r="V174" s="104">
        <v>0.0</v>
      </c>
      <c r="X174" s="104">
        <v>0.0</v>
      </c>
      <c r="Y174" s="73"/>
      <c r="Z174" s="105">
        <v>30.0</v>
      </c>
      <c r="AB174" s="104">
        <v>30.0</v>
      </c>
      <c r="AD174" s="104">
        <v>0.0</v>
      </c>
      <c r="AF174" s="81">
        <f t="shared" si="1"/>
        <v>3710.238</v>
      </c>
      <c r="AG174" s="78">
        <f t="shared" si="2"/>
        <v>248</v>
      </c>
      <c r="AH174" s="78">
        <f t="shared" si="3"/>
        <v>0</v>
      </c>
      <c r="AI174" s="78">
        <f t="shared" si="4"/>
        <v>248</v>
      </c>
      <c r="AJ174" s="82">
        <f t="shared" si="5"/>
        <v>14.9606371</v>
      </c>
    </row>
    <row r="175">
      <c r="A175" s="76" t="s">
        <v>24</v>
      </c>
      <c r="B175" s="77">
        <f t="shared" si="6"/>
        <v>44734</v>
      </c>
      <c r="C175" s="78">
        <v>7.0</v>
      </c>
      <c r="D175" s="78" t="s">
        <v>48</v>
      </c>
      <c r="E175" s="169" t="s">
        <v>130</v>
      </c>
      <c r="F175" s="71">
        <v>0.0</v>
      </c>
      <c r="H175" s="72">
        <v>0.0</v>
      </c>
      <c r="J175" s="72">
        <v>0.0</v>
      </c>
      <c r="L175" s="105">
        <v>69.0</v>
      </c>
      <c r="N175" s="104">
        <v>69.0</v>
      </c>
      <c r="P175" s="104">
        <v>0.0</v>
      </c>
      <c r="R175" s="104">
        <v>50.0</v>
      </c>
      <c r="T175" s="104">
        <v>0.0</v>
      </c>
      <c r="V175" s="104">
        <v>0.0</v>
      </c>
      <c r="X175" s="104">
        <v>30.0</v>
      </c>
      <c r="Y175" s="73"/>
      <c r="Z175" s="105">
        <v>0.0</v>
      </c>
      <c r="AB175" s="104">
        <v>30.0</v>
      </c>
      <c r="AD175" s="104">
        <v>0.0</v>
      </c>
      <c r="AF175" s="81">
        <f t="shared" si="1"/>
        <v>3451.308</v>
      </c>
      <c r="AG175" s="78">
        <f t="shared" si="2"/>
        <v>248</v>
      </c>
      <c r="AH175" s="78">
        <f t="shared" si="3"/>
        <v>0</v>
      </c>
      <c r="AI175" s="78">
        <f t="shared" si="4"/>
        <v>248</v>
      </c>
      <c r="AJ175" s="82">
        <f t="shared" si="5"/>
        <v>13.91656452</v>
      </c>
    </row>
    <row r="176">
      <c r="A176" s="76" t="s">
        <v>27</v>
      </c>
      <c r="B176" s="77">
        <f t="shared" si="6"/>
        <v>44735</v>
      </c>
      <c r="C176" s="78">
        <v>7.0</v>
      </c>
      <c r="D176" s="78" t="s">
        <v>48</v>
      </c>
      <c r="E176" s="169" t="s">
        <v>130</v>
      </c>
      <c r="F176" s="71">
        <v>0.0</v>
      </c>
      <c r="H176" s="72">
        <v>0.0</v>
      </c>
      <c r="J176" s="72">
        <v>0.0</v>
      </c>
      <c r="L176" s="105">
        <v>69.0</v>
      </c>
      <c r="N176" s="104">
        <v>69.0</v>
      </c>
      <c r="P176" s="104">
        <v>0.0</v>
      </c>
      <c r="R176" s="104">
        <v>50.0</v>
      </c>
      <c r="T176" s="104">
        <v>0.0</v>
      </c>
      <c r="V176" s="104">
        <v>0.0</v>
      </c>
      <c r="X176" s="104">
        <v>0.0</v>
      </c>
      <c r="Y176" s="73"/>
      <c r="Z176" s="105">
        <v>30.0</v>
      </c>
      <c r="AB176" s="104">
        <v>30.0</v>
      </c>
      <c r="AD176" s="104">
        <v>0.0</v>
      </c>
      <c r="AF176" s="81">
        <f t="shared" si="1"/>
        <v>3710.238</v>
      </c>
      <c r="AG176" s="78">
        <f t="shared" si="2"/>
        <v>248</v>
      </c>
      <c r="AH176" s="78">
        <f t="shared" si="3"/>
        <v>0</v>
      </c>
      <c r="AI176" s="78">
        <f t="shared" si="4"/>
        <v>248</v>
      </c>
      <c r="AJ176" s="82">
        <f t="shared" si="5"/>
        <v>14.9606371</v>
      </c>
    </row>
    <row r="177">
      <c r="A177" s="83" t="s">
        <v>30</v>
      </c>
      <c r="B177" s="84">
        <f t="shared" si="6"/>
        <v>44736</v>
      </c>
      <c r="C177" s="85">
        <v>7.0</v>
      </c>
      <c r="D177" s="85" t="s">
        <v>48</v>
      </c>
      <c r="E177" s="170" t="s">
        <v>130</v>
      </c>
      <c r="F177" s="88">
        <v>0.0</v>
      </c>
      <c r="G177" s="89"/>
      <c r="H177" s="90">
        <v>0.0</v>
      </c>
      <c r="I177" s="89"/>
      <c r="J177" s="90">
        <v>0.0</v>
      </c>
      <c r="K177" s="89"/>
      <c r="L177" s="112">
        <v>0.0</v>
      </c>
      <c r="M177" s="89"/>
      <c r="N177" s="111">
        <v>0.0</v>
      </c>
      <c r="O177" s="89"/>
      <c r="P177" s="111">
        <v>0.0</v>
      </c>
      <c r="Q177" s="89"/>
      <c r="R177" s="111">
        <v>0.0</v>
      </c>
      <c r="S177" s="89"/>
      <c r="T177" s="111">
        <v>0.0</v>
      </c>
      <c r="U177" s="89"/>
      <c r="V177" s="111">
        <v>0.0</v>
      </c>
      <c r="W177" s="89"/>
      <c r="X177" s="111">
        <v>0.0</v>
      </c>
      <c r="Y177" s="91"/>
      <c r="Z177" s="112">
        <v>0.0</v>
      </c>
      <c r="AA177" s="89"/>
      <c r="AB177" s="111">
        <v>0.0</v>
      </c>
      <c r="AC177" s="89"/>
      <c r="AD177" s="111">
        <v>0.0</v>
      </c>
      <c r="AE177" s="89"/>
      <c r="AF177" s="92">
        <f t="shared" si="1"/>
        <v>0</v>
      </c>
      <c r="AG177" s="85">
        <f t="shared" si="2"/>
        <v>0</v>
      </c>
      <c r="AH177" s="85">
        <f t="shared" si="3"/>
        <v>0</v>
      </c>
      <c r="AI177" s="85">
        <f t="shared" si="4"/>
        <v>0</v>
      </c>
      <c r="AJ177" s="93" t="str">
        <f t="shared" si="5"/>
        <v/>
      </c>
    </row>
    <row r="178">
      <c r="A178" s="66" t="s">
        <v>11</v>
      </c>
      <c r="B178" s="94">
        <f t="shared" si="6"/>
        <v>44737</v>
      </c>
      <c r="C178" s="68">
        <v>7.0</v>
      </c>
      <c r="D178" s="68" t="s">
        <v>59</v>
      </c>
      <c r="E178" s="171" t="s">
        <v>130</v>
      </c>
      <c r="F178" s="71">
        <v>0.0</v>
      </c>
      <c r="H178" s="72">
        <v>0.0</v>
      </c>
      <c r="J178" s="72">
        <v>0.0</v>
      </c>
      <c r="L178" s="105">
        <v>69.0</v>
      </c>
      <c r="N178" s="104">
        <v>69.0</v>
      </c>
      <c r="P178" s="104">
        <v>0.0</v>
      </c>
      <c r="R178" s="104">
        <v>50.0</v>
      </c>
      <c r="T178" s="104">
        <v>1.0</v>
      </c>
      <c r="V178" s="104">
        <v>1.0</v>
      </c>
      <c r="X178" s="104">
        <v>30.0</v>
      </c>
      <c r="Y178" s="73"/>
      <c r="Z178" s="105">
        <v>0.0</v>
      </c>
      <c r="AB178" s="104">
        <v>30.0</v>
      </c>
      <c r="AD178" s="104">
        <v>0.0</v>
      </c>
      <c r="AF178" s="74">
        <f t="shared" si="1"/>
        <v>4186.308</v>
      </c>
      <c r="AG178" s="68">
        <f t="shared" si="2"/>
        <v>248</v>
      </c>
      <c r="AH178" s="68">
        <f t="shared" si="3"/>
        <v>2</v>
      </c>
      <c r="AI178" s="68">
        <f t="shared" si="4"/>
        <v>250</v>
      </c>
      <c r="AJ178" s="75">
        <f t="shared" si="5"/>
        <v>16.745232</v>
      </c>
    </row>
    <row r="179">
      <c r="A179" s="76" t="s">
        <v>16</v>
      </c>
      <c r="B179" s="77">
        <f t="shared" si="6"/>
        <v>44738</v>
      </c>
      <c r="C179" s="78">
        <v>7.0</v>
      </c>
      <c r="D179" s="78" t="s">
        <v>59</v>
      </c>
      <c r="E179" s="169" t="s">
        <v>130</v>
      </c>
      <c r="F179" s="71">
        <v>0.0</v>
      </c>
      <c r="H179" s="72">
        <v>0.0</v>
      </c>
      <c r="J179" s="72">
        <v>0.0</v>
      </c>
      <c r="L179" s="105">
        <v>69.0</v>
      </c>
      <c r="N179" s="104">
        <v>69.0</v>
      </c>
      <c r="P179" s="104">
        <v>0.0</v>
      </c>
      <c r="R179" s="104">
        <v>50.0</v>
      </c>
      <c r="T179" s="104">
        <v>0.0</v>
      </c>
      <c r="V179" s="104">
        <v>0.0</v>
      </c>
      <c r="X179" s="104">
        <v>0.0</v>
      </c>
      <c r="Y179" s="73"/>
      <c r="Z179" s="105">
        <v>30.0</v>
      </c>
      <c r="AB179" s="104">
        <v>30.0</v>
      </c>
      <c r="AD179" s="104">
        <v>0.0</v>
      </c>
      <c r="AF179" s="81">
        <f t="shared" si="1"/>
        <v>3710.238</v>
      </c>
      <c r="AG179" s="78">
        <f t="shared" si="2"/>
        <v>248</v>
      </c>
      <c r="AH179" s="78">
        <f t="shared" si="3"/>
        <v>0</v>
      </c>
      <c r="AI179" s="78">
        <f t="shared" si="4"/>
        <v>248</v>
      </c>
      <c r="AJ179" s="82">
        <f t="shared" si="5"/>
        <v>14.9606371</v>
      </c>
    </row>
    <row r="180">
      <c r="A180" s="76" t="s">
        <v>17</v>
      </c>
      <c r="B180" s="77">
        <f t="shared" si="6"/>
        <v>44739</v>
      </c>
      <c r="C180" s="78">
        <v>7.0</v>
      </c>
      <c r="D180" s="78" t="s">
        <v>59</v>
      </c>
      <c r="E180" s="169" t="s">
        <v>130</v>
      </c>
      <c r="F180" s="71">
        <v>0.0</v>
      </c>
      <c r="H180" s="72">
        <v>0.0</v>
      </c>
      <c r="J180" s="72">
        <v>0.0</v>
      </c>
      <c r="L180" s="105">
        <v>69.0</v>
      </c>
      <c r="N180" s="104">
        <v>69.0</v>
      </c>
      <c r="P180" s="104">
        <v>0.0</v>
      </c>
      <c r="R180" s="104">
        <v>50.0</v>
      </c>
      <c r="T180" s="104">
        <v>0.0</v>
      </c>
      <c r="V180" s="104">
        <v>0.0</v>
      </c>
      <c r="X180" s="104">
        <v>30.0</v>
      </c>
      <c r="Y180" s="73"/>
      <c r="Z180" s="105">
        <v>0.0</v>
      </c>
      <c r="AB180" s="104">
        <v>30.0</v>
      </c>
      <c r="AD180" s="104">
        <v>0.0</v>
      </c>
      <c r="AF180" s="81">
        <f t="shared" si="1"/>
        <v>3451.308</v>
      </c>
      <c r="AG180" s="78">
        <f t="shared" si="2"/>
        <v>248</v>
      </c>
      <c r="AH180" s="78">
        <f t="shared" si="3"/>
        <v>0</v>
      </c>
      <c r="AI180" s="78">
        <f t="shared" si="4"/>
        <v>248</v>
      </c>
      <c r="AJ180" s="82">
        <f t="shared" si="5"/>
        <v>13.91656452</v>
      </c>
    </row>
    <row r="181">
      <c r="A181" s="76" t="s">
        <v>21</v>
      </c>
      <c r="B181" s="77">
        <f t="shared" si="6"/>
        <v>44740</v>
      </c>
      <c r="C181" s="78">
        <v>7.0</v>
      </c>
      <c r="D181" s="78" t="s">
        <v>59</v>
      </c>
      <c r="E181" s="169" t="s">
        <v>130</v>
      </c>
      <c r="F181" s="71">
        <v>0.0</v>
      </c>
      <c r="H181" s="72">
        <v>0.0</v>
      </c>
      <c r="J181" s="72">
        <v>0.0</v>
      </c>
      <c r="L181" s="105">
        <v>69.0</v>
      </c>
      <c r="N181" s="104">
        <v>69.0</v>
      </c>
      <c r="P181" s="104">
        <v>0.0</v>
      </c>
      <c r="R181" s="104">
        <v>50.0</v>
      </c>
      <c r="T181" s="104">
        <v>0.0</v>
      </c>
      <c r="V181" s="104">
        <v>0.0</v>
      </c>
      <c r="X181" s="104">
        <v>0.0</v>
      </c>
      <c r="Y181" s="73"/>
      <c r="Z181" s="105">
        <v>30.0</v>
      </c>
      <c r="AB181" s="104">
        <v>30.0</v>
      </c>
      <c r="AD181" s="104">
        <v>0.0</v>
      </c>
      <c r="AF181" s="81">
        <f t="shared" si="1"/>
        <v>3710.238</v>
      </c>
      <c r="AG181" s="78">
        <f t="shared" si="2"/>
        <v>248</v>
      </c>
      <c r="AH181" s="78">
        <f t="shared" si="3"/>
        <v>0</v>
      </c>
      <c r="AI181" s="78">
        <f t="shared" si="4"/>
        <v>248</v>
      </c>
      <c r="AJ181" s="82">
        <f t="shared" si="5"/>
        <v>14.9606371</v>
      </c>
    </row>
    <row r="182">
      <c r="A182" s="76" t="s">
        <v>24</v>
      </c>
      <c r="B182" s="77">
        <f t="shared" si="6"/>
        <v>44741</v>
      </c>
      <c r="C182" s="78">
        <v>7.0</v>
      </c>
      <c r="D182" s="78" t="s">
        <v>59</v>
      </c>
      <c r="E182" s="169" t="s">
        <v>130</v>
      </c>
      <c r="F182" s="71">
        <v>0.0</v>
      </c>
      <c r="H182" s="72">
        <v>0.0</v>
      </c>
      <c r="J182" s="72">
        <v>0.0</v>
      </c>
      <c r="L182" s="105">
        <v>69.0</v>
      </c>
      <c r="N182" s="104">
        <v>69.0</v>
      </c>
      <c r="P182" s="104">
        <v>0.0</v>
      </c>
      <c r="R182" s="104">
        <v>50.0</v>
      </c>
      <c r="T182" s="104">
        <v>0.0</v>
      </c>
      <c r="V182" s="104">
        <v>0.0</v>
      </c>
      <c r="X182" s="104">
        <v>30.0</v>
      </c>
      <c r="Y182" s="73"/>
      <c r="Z182" s="105">
        <v>0.0</v>
      </c>
      <c r="AB182" s="104">
        <v>30.0</v>
      </c>
      <c r="AD182" s="104">
        <v>0.0</v>
      </c>
      <c r="AF182" s="81">
        <f t="shared" si="1"/>
        <v>3451.308</v>
      </c>
      <c r="AG182" s="78">
        <f t="shared" si="2"/>
        <v>248</v>
      </c>
      <c r="AH182" s="78">
        <f t="shared" si="3"/>
        <v>0</v>
      </c>
      <c r="AI182" s="78">
        <f t="shared" si="4"/>
        <v>248</v>
      </c>
      <c r="AJ182" s="82">
        <f t="shared" si="5"/>
        <v>13.91656452</v>
      </c>
    </row>
    <row r="183">
      <c r="A183" s="76" t="s">
        <v>27</v>
      </c>
      <c r="B183" s="77">
        <f t="shared" si="6"/>
        <v>44742</v>
      </c>
      <c r="C183" s="78">
        <v>7.0</v>
      </c>
      <c r="D183" s="78" t="s">
        <v>59</v>
      </c>
      <c r="E183" s="169" t="s">
        <v>130</v>
      </c>
      <c r="F183" s="71">
        <v>0.0</v>
      </c>
      <c r="H183" s="72">
        <v>0.0</v>
      </c>
      <c r="J183" s="72">
        <v>0.0</v>
      </c>
      <c r="L183" s="105">
        <v>69.0</v>
      </c>
      <c r="N183" s="104">
        <v>69.0</v>
      </c>
      <c r="P183" s="104">
        <v>0.0</v>
      </c>
      <c r="R183" s="104">
        <v>50.0</v>
      </c>
      <c r="T183" s="104">
        <v>0.0</v>
      </c>
      <c r="V183" s="104">
        <v>0.0</v>
      </c>
      <c r="X183" s="104">
        <v>0.0</v>
      </c>
      <c r="Y183" s="73"/>
      <c r="Z183" s="105">
        <v>30.0</v>
      </c>
      <c r="AB183" s="104">
        <v>30.0</v>
      </c>
      <c r="AD183" s="104">
        <v>0.0</v>
      </c>
      <c r="AF183" s="81">
        <f t="shared" si="1"/>
        <v>3710.238</v>
      </c>
      <c r="AG183" s="78">
        <f t="shared" si="2"/>
        <v>248</v>
      </c>
      <c r="AH183" s="78">
        <f t="shared" si="3"/>
        <v>0</v>
      </c>
      <c r="AI183" s="78">
        <f t="shared" si="4"/>
        <v>248</v>
      </c>
      <c r="AJ183" s="82">
        <f t="shared" si="5"/>
        <v>14.9606371</v>
      </c>
    </row>
    <row r="184">
      <c r="A184" s="83" t="s">
        <v>30</v>
      </c>
      <c r="B184" s="84">
        <f t="shared" si="6"/>
        <v>44743</v>
      </c>
      <c r="C184" s="85">
        <v>7.0</v>
      </c>
      <c r="D184" s="85" t="s">
        <v>59</v>
      </c>
      <c r="E184" s="170" t="s">
        <v>130</v>
      </c>
      <c r="F184" s="88">
        <v>0.0</v>
      </c>
      <c r="G184" s="89"/>
      <c r="H184" s="90">
        <v>0.0</v>
      </c>
      <c r="I184" s="89"/>
      <c r="J184" s="90">
        <v>0.0</v>
      </c>
      <c r="K184" s="89"/>
      <c r="L184" s="112">
        <v>0.0</v>
      </c>
      <c r="M184" s="89"/>
      <c r="N184" s="111">
        <v>0.0</v>
      </c>
      <c r="O184" s="89"/>
      <c r="P184" s="111">
        <v>0.0</v>
      </c>
      <c r="Q184" s="89"/>
      <c r="R184" s="111">
        <v>0.0</v>
      </c>
      <c r="S184" s="89"/>
      <c r="T184" s="111">
        <v>0.0</v>
      </c>
      <c r="U184" s="89"/>
      <c r="V184" s="111">
        <v>0.0</v>
      </c>
      <c r="W184" s="89"/>
      <c r="X184" s="111">
        <v>0.0</v>
      </c>
      <c r="Y184" s="91"/>
      <c r="Z184" s="112">
        <v>0.0</v>
      </c>
      <c r="AA184" s="89"/>
      <c r="AB184" s="111">
        <v>0.0</v>
      </c>
      <c r="AC184" s="89"/>
      <c r="AD184" s="111">
        <v>0.0</v>
      </c>
      <c r="AE184" s="89"/>
      <c r="AF184" s="92">
        <f t="shared" si="1"/>
        <v>0</v>
      </c>
      <c r="AG184" s="85">
        <f t="shared" si="2"/>
        <v>0</v>
      </c>
      <c r="AH184" s="85">
        <f t="shared" si="3"/>
        <v>0</v>
      </c>
      <c r="AI184" s="85">
        <f t="shared" si="4"/>
        <v>0</v>
      </c>
      <c r="AJ184" s="93" t="str">
        <f t="shared" si="5"/>
        <v/>
      </c>
    </row>
    <row r="185">
      <c r="A185" s="66" t="s">
        <v>11</v>
      </c>
      <c r="B185" s="94">
        <f t="shared" si="6"/>
        <v>44744</v>
      </c>
      <c r="C185" s="68">
        <v>7.0</v>
      </c>
      <c r="D185" s="68" t="s">
        <v>12</v>
      </c>
      <c r="E185" s="171" t="s">
        <v>130</v>
      </c>
      <c r="F185" s="71">
        <v>0.0</v>
      </c>
      <c r="H185" s="72">
        <v>0.0</v>
      </c>
      <c r="J185" s="72">
        <v>0.0</v>
      </c>
      <c r="L185" s="105">
        <v>69.0</v>
      </c>
      <c r="N185" s="104">
        <v>69.0</v>
      </c>
      <c r="P185" s="104">
        <v>0.0</v>
      </c>
      <c r="R185" s="104">
        <v>50.0</v>
      </c>
      <c r="T185" s="104">
        <v>1.0</v>
      </c>
      <c r="V185" s="104">
        <v>1.0</v>
      </c>
      <c r="X185" s="104">
        <v>30.0</v>
      </c>
      <c r="Y185" s="73"/>
      <c r="Z185" s="105">
        <v>0.0</v>
      </c>
      <c r="AB185" s="104">
        <v>30.0</v>
      </c>
      <c r="AD185" s="104">
        <v>0.0</v>
      </c>
      <c r="AF185" s="74">
        <f t="shared" si="1"/>
        <v>4186.308</v>
      </c>
      <c r="AG185" s="68">
        <f t="shared" si="2"/>
        <v>248</v>
      </c>
      <c r="AH185" s="68">
        <f t="shared" si="3"/>
        <v>2</v>
      </c>
      <c r="AI185" s="68">
        <f t="shared" si="4"/>
        <v>250</v>
      </c>
      <c r="AJ185" s="75">
        <f t="shared" si="5"/>
        <v>16.745232</v>
      </c>
    </row>
    <row r="186">
      <c r="A186" s="76" t="s">
        <v>16</v>
      </c>
      <c r="B186" s="77">
        <f t="shared" si="6"/>
        <v>44745</v>
      </c>
      <c r="C186" s="78">
        <v>7.0</v>
      </c>
      <c r="D186" s="78" t="s">
        <v>12</v>
      </c>
      <c r="E186" s="169" t="s">
        <v>130</v>
      </c>
      <c r="F186" s="71">
        <v>0.0</v>
      </c>
      <c r="H186" s="72">
        <v>0.0</v>
      </c>
      <c r="J186" s="72">
        <v>0.0</v>
      </c>
      <c r="L186" s="105">
        <v>69.0</v>
      </c>
      <c r="N186" s="104">
        <v>69.0</v>
      </c>
      <c r="P186" s="104">
        <v>0.0</v>
      </c>
      <c r="R186" s="104">
        <v>50.0</v>
      </c>
      <c r="T186" s="104">
        <v>0.0</v>
      </c>
      <c r="V186" s="104">
        <v>0.0</v>
      </c>
      <c r="X186" s="104">
        <v>0.0</v>
      </c>
      <c r="Y186" s="73"/>
      <c r="Z186" s="105">
        <v>30.0</v>
      </c>
      <c r="AB186" s="104">
        <v>30.0</v>
      </c>
      <c r="AD186" s="104">
        <v>0.0</v>
      </c>
      <c r="AF186" s="81">
        <f t="shared" si="1"/>
        <v>3710.238</v>
      </c>
      <c r="AG186" s="78">
        <f t="shared" si="2"/>
        <v>248</v>
      </c>
      <c r="AH186" s="78">
        <f t="shared" si="3"/>
        <v>0</v>
      </c>
      <c r="AI186" s="78">
        <f t="shared" si="4"/>
        <v>248</v>
      </c>
      <c r="AJ186" s="82">
        <f t="shared" si="5"/>
        <v>14.9606371</v>
      </c>
    </row>
    <row r="187">
      <c r="A187" s="76" t="s">
        <v>17</v>
      </c>
      <c r="B187" s="77">
        <f t="shared" si="6"/>
        <v>44746</v>
      </c>
      <c r="C187" s="78">
        <v>7.0</v>
      </c>
      <c r="D187" s="78" t="s">
        <v>12</v>
      </c>
      <c r="E187" s="169" t="s">
        <v>130</v>
      </c>
      <c r="F187" s="71">
        <v>0.0</v>
      </c>
      <c r="H187" s="72">
        <v>0.0</v>
      </c>
      <c r="J187" s="72">
        <v>0.0</v>
      </c>
      <c r="L187" s="105">
        <v>69.0</v>
      </c>
      <c r="N187" s="104">
        <v>69.0</v>
      </c>
      <c r="P187" s="104">
        <v>0.0</v>
      </c>
      <c r="R187" s="104">
        <v>50.0</v>
      </c>
      <c r="T187" s="104">
        <v>0.0</v>
      </c>
      <c r="V187" s="104">
        <v>0.0</v>
      </c>
      <c r="X187" s="104">
        <v>30.0</v>
      </c>
      <c r="Y187" s="73"/>
      <c r="Z187" s="105">
        <v>0.0</v>
      </c>
      <c r="AB187" s="104">
        <v>30.0</v>
      </c>
      <c r="AD187" s="104">
        <v>0.0</v>
      </c>
      <c r="AF187" s="81">
        <f t="shared" si="1"/>
        <v>3451.308</v>
      </c>
      <c r="AG187" s="78">
        <f t="shared" si="2"/>
        <v>248</v>
      </c>
      <c r="AH187" s="78">
        <f t="shared" si="3"/>
        <v>0</v>
      </c>
      <c r="AI187" s="78">
        <f t="shared" si="4"/>
        <v>248</v>
      </c>
      <c r="AJ187" s="82">
        <f t="shared" si="5"/>
        <v>13.91656452</v>
      </c>
    </row>
    <row r="188">
      <c r="A188" s="76" t="s">
        <v>21</v>
      </c>
      <c r="B188" s="77">
        <f t="shared" si="6"/>
        <v>44747</v>
      </c>
      <c r="C188" s="78">
        <v>7.0</v>
      </c>
      <c r="D188" s="78" t="s">
        <v>12</v>
      </c>
      <c r="E188" s="169" t="s">
        <v>130</v>
      </c>
      <c r="F188" s="71">
        <v>0.0</v>
      </c>
      <c r="H188" s="72">
        <v>0.0</v>
      </c>
      <c r="J188" s="72">
        <v>0.0</v>
      </c>
      <c r="L188" s="105">
        <v>69.0</v>
      </c>
      <c r="N188" s="104">
        <v>69.0</v>
      </c>
      <c r="P188" s="104">
        <v>0.0</v>
      </c>
      <c r="R188" s="104">
        <v>50.0</v>
      </c>
      <c r="T188" s="104">
        <v>0.0</v>
      </c>
      <c r="V188" s="104">
        <v>0.0</v>
      </c>
      <c r="X188" s="104">
        <v>0.0</v>
      </c>
      <c r="Y188" s="73"/>
      <c r="Z188" s="105">
        <v>30.0</v>
      </c>
      <c r="AB188" s="104">
        <v>30.0</v>
      </c>
      <c r="AD188" s="104">
        <v>0.0</v>
      </c>
      <c r="AF188" s="81">
        <f t="shared" si="1"/>
        <v>3710.238</v>
      </c>
      <c r="AG188" s="78">
        <f t="shared" si="2"/>
        <v>248</v>
      </c>
      <c r="AH188" s="78">
        <f t="shared" si="3"/>
        <v>0</v>
      </c>
      <c r="AI188" s="78">
        <f t="shared" si="4"/>
        <v>248</v>
      </c>
      <c r="AJ188" s="82">
        <f t="shared" si="5"/>
        <v>14.9606371</v>
      </c>
    </row>
    <row r="189">
      <c r="A189" s="76" t="s">
        <v>24</v>
      </c>
      <c r="B189" s="77">
        <f t="shared" si="6"/>
        <v>44748</v>
      </c>
      <c r="C189" s="78">
        <v>7.0</v>
      </c>
      <c r="D189" s="78" t="s">
        <v>12</v>
      </c>
      <c r="E189" s="169" t="s">
        <v>130</v>
      </c>
      <c r="F189" s="71">
        <v>0.0</v>
      </c>
      <c r="H189" s="72">
        <v>0.0</v>
      </c>
      <c r="J189" s="72">
        <v>0.0</v>
      </c>
      <c r="L189" s="105">
        <v>69.0</v>
      </c>
      <c r="N189" s="104">
        <v>69.0</v>
      </c>
      <c r="P189" s="104">
        <v>0.0</v>
      </c>
      <c r="R189" s="104">
        <v>50.0</v>
      </c>
      <c r="T189" s="104">
        <v>0.0</v>
      </c>
      <c r="V189" s="104">
        <v>0.0</v>
      </c>
      <c r="X189" s="104">
        <v>30.0</v>
      </c>
      <c r="Y189" s="73"/>
      <c r="Z189" s="105">
        <v>0.0</v>
      </c>
      <c r="AB189" s="104">
        <v>30.0</v>
      </c>
      <c r="AD189" s="104">
        <v>0.0</v>
      </c>
      <c r="AF189" s="81">
        <f t="shared" si="1"/>
        <v>3451.308</v>
      </c>
      <c r="AG189" s="78">
        <f t="shared" si="2"/>
        <v>248</v>
      </c>
      <c r="AH189" s="78">
        <f t="shared" si="3"/>
        <v>0</v>
      </c>
      <c r="AI189" s="78">
        <f t="shared" si="4"/>
        <v>248</v>
      </c>
      <c r="AJ189" s="82">
        <f t="shared" si="5"/>
        <v>13.91656452</v>
      </c>
    </row>
    <row r="190">
      <c r="A190" s="76" t="s">
        <v>27</v>
      </c>
      <c r="B190" s="77">
        <f t="shared" si="6"/>
        <v>44749</v>
      </c>
      <c r="C190" s="78">
        <v>7.0</v>
      </c>
      <c r="D190" s="78" t="s">
        <v>12</v>
      </c>
      <c r="E190" s="169" t="s">
        <v>130</v>
      </c>
      <c r="F190" s="71">
        <v>0.0</v>
      </c>
      <c r="H190" s="72">
        <v>0.0</v>
      </c>
      <c r="J190" s="72">
        <v>0.0</v>
      </c>
      <c r="L190" s="105">
        <v>69.0</v>
      </c>
      <c r="N190" s="104">
        <v>69.0</v>
      </c>
      <c r="P190" s="104">
        <v>0.0</v>
      </c>
      <c r="R190" s="104">
        <v>50.0</v>
      </c>
      <c r="T190" s="104">
        <v>0.0</v>
      </c>
      <c r="V190" s="104">
        <v>0.0</v>
      </c>
      <c r="X190" s="104">
        <v>0.0</v>
      </c>
      <c r="Y190" s="73"/>
      <c r="Z190" s="105">
        <v>30.0</v>
      </c>
      <c r="AB190" s="104">
        <v>30.0</v>
      </c>
      <c r="AD190" s="104">
        <v>0.0</v>
      </c>
      <c r="AF190" s="81">
        <f t="shared" si="1"/>
        <v>3710.238</v>
      </c>
      <c r="AG190" s="78">
        <f t="shared" si="2"/>
        <v>248</v>
      </c>
      <c r="AH190" s="78">
        <f t="shared" si="3"/>
        <v>0</v>
      </c>
      <c r="AI190" s="78">
        <f t="shared" si="4"/>
        <v>248</v>
      </c>
      <c r="AJ190" s="82">
        <f t="shared" si="5"/>
        <v>14.9606371</v>
      </c>
    </row>
    <row r="191">
      <c r="A191" s="83" t="s">
        <v>30</v>
      </c>
      <c r="B191" s="84">
        <f t="shared" si="6"/>
        <v>44750</v>
      </c>
      <c r="C191" s="85">
        <v>7.0</v>
      </c>
      <c r="D191" s="85" t="s">
        <v>12</v>
      </c>
      <c r="E191" s="170" t="s">
        <v>130</v>
      </c>
      <c r="F191" s="88">
        <v>0.0</v>
      </c>
      <c r="G191" s="89"/>
      <c r="H191" s="90">
        <v>0.0</v>
      </c>
      <c r="I191" s="89"/>
      <c r="J191" s="90">
        <v>0.0</v>
      </c>
      <c r="K191" s="89"/>
      <c r="L191" s="112">
        <v>0.0</v>
      </c>
      <c r="M191" s="89"/>
      <c r="N191" s="111">
        <v>0.0</v>
      </c>
      <c r="O191" s="89"/>
      <c r="P191" s="111">
        <v>0.0</v>
      </c>
      <c r="Q191" s="89"/>
      <c r="R191" s="111">
        <v>0.0</v>
      </c>
      <c r="S191" s="89"/>
      <c r="T191" s="111">
        <v>0.0</v>
      </c>
      <c r="U191" s="89"/>
      <c r="V191" s="111">
        <v>0.0</v>
      </c>
      <c r="W191" s="89"/>
      <c r="X191" s="111">
        <v>0.0</v>
      </c>
      <c r="Y191" s="91"/>
      <c r="Z191" s="112">
        <v>0.0</v>
      </c>
      <c r="AA191" s="89"/>
      <c r="AB191" s="111">
        <v>0.0</v>
      </c>
      <c r="AC191" s="89"/>
      <c r="AD191" s="111">
        <v>0.0</v>
      </c>
      <c r="AE191" s="89"/>
      <c r="AF191" s="92">
        <f t="shared" si="1"/>
        <v>0</v>
      </c>
      <c r="AG191" s="85">
        <f t="shared" si="2"/>
        <v>0</v>
      </c>
      <c r="AH191" s="85">
        <f t="shared" si="3"/>
        <v>0</v>
      </c>
      <c r="AI191" s="85">
        <f t="shared" si="4"/>
        <v>0</v>
      </c>
      <c r="AJ191" s="93" t="str">
        <f t="shared" si="5"/>
        <v/>
      </c>
    </row>
    <row r="192">
      <c r="A192" s="66" t="s">
        <v>11</v>
      </c>
      <c r="B192" s="94">
        <f t="shared" si="6"/>
        <v>44751</v>
      </c>
      <c r="C192" s="68">
        <v>7.0</v>
      </c>
      <c r="D192" s="68" t="s">
        <v>33</v>
      </c>
      <c r="E192" s="171" t="s">
        <v>130</v>
      </c>
      <c r="F192" s="71">
        <v>0.0</v>
      </c>
      <c r="H192" s="72">
        <v>0.0</v>
      </c>
      <c r="J192" s="72">
        <v>0.0</v>
      </c>
      <c r="L192" s="105">
        <v>69.0</v>
      </c>
      <c r="N192" s="104">
        <v>69.0</v>
      </c>
      <c r="P192" s="104">
        <v>0.0</v>
      </c>
      <c r="R192" s="104">
        <v>50.0</v>
      </c>
      <c r="T192" s="104">
        <v>1.0</v>
      </c>
      <c r="V192" s="104">
        <v>1.0</v>
      </c>
      <c r="X192" s="104">
        <v>30.0</v>
      </c>
      <c r="Y192" s="73"/>
      <c r="Z192" s="105">
        <v>0.0</v>
      </c>
      <c r="AB192" s="104">
        <v>30.0</v>
      </c>
      <c r="AD192" s="104">
        <v>0.0</v>
      </c>
      <c r="AF192" s="74">
        <f t="shared" si="1"/>
        <v>4186.308</v>
      </c>
      <c r="AG192" s="68">
        <f t="shared" si="2"/>
        <v>248</v>
      </c>
      <c r="AH192" s="68">
        <f t="shared" si="3"/>
        <v>2</v>
      </c>
      <c r="AI192" s="68">
        <f t="shared" si="4"/>
        <v>250</v>
      </c>
      <c r="AJ192" s="75">
        <f t="shared" si="5"/>
        <v>16.745232</v>
      </c>
    </row>
    <row r="193">
      <c r="A193" s="76" t="s">
        <v>16</v>
      </c>
      <c r="B193" s="77">
        <f t="shared" si="6"/>
        <v>44752</v>
      </c>
      <c r="C193" s="78">
        <v>7.0</v>
      </c>
      <c r="D193" s="78" t="s">
        <v>33</v>
      </c>
      <c r="E193" s="169" t="s">
        <v>130</v>
      </c>
      <c r="F193" s="71">
        <v>0.0</v>
      </c>
      <c r="H193" s="72">
        <v>0.0</v>
      </c>
      <c r="J193" s="72">
        <v>0.0</v>
      </c>
      <c r="L193" s="105">
        <v>69.0</v>
      </c>
      <c r="N193" s="104">
        <v>69.0</v>
      </c>
      <c r="P193" s="104">
        <v>0.0</v>
      </c>
      <c r="R193" s="104">
        <v>50.0</v>
      </c>
      <c r="T193" s="104">
        <v>0.0</v>
      </c>
      <c r="V193" s="104">
        <v>0.0</v>
      </c>
      <c r="X193" s="104">
        <v>0.0</v>
      </c>
      <c r="Y193" s="73"/>
      <c r="Z193" s="105">
        <v>30.0</v>
      </c>
      <c r="AB193" s="104">
        <v>30.0</v>
      </c>
      <c r="AD193" s="104">
        <v>0.0</v>
      </c>
      <c r="AF193" s="81">
        <f t="shared" si="1"/>
        <v>3710.238</v>
      </c>
      <c r="AG193" s="78">
        <f t="shared" si="2"/>
        <v>248</v>
      </c>
      <c r="AH193" s="78">
        <f t="shared" si="3"/>
        <v>0</v>
      </c>
      <c r="AI193" s="78">
        <f t="shared" si="4"/>
        <v>248</v>
      </c>
      <c r="AJ193" s="82">
        <f t="shared" si="5"/>
        <v>14.9606371</v>
      </c>
    </row>
    <row r="194">
      <c r="A194" s="76" t="s">
        <v>17</v>
      </c>
      <c r="B194" s="77">
        <f t="shared" si="6"/>
        <v>44753</v>
      </c>
      <c r="C194" s="78">
        <v>7.0</v>
      </c>
      <c r="D194" s="78" t="s">
        <v>33</v>
      </c>
      <c r="E194" s="169" t="s">
        <v>130</v>
      </c>
      <c r="F194" s="71">
        <v>0.0</v>
      </c>
      <c r="H194" s="72">
        <v>0.0</v>
      </c>
      <c r="J194" s="72">
        <v>0.0</v>
      </c>
      <c r="L194" s="105">
        <v>69.0</v>
      </c>
      <c r="N194" s="104">
        <v>69.0</v>
      </c>
      <c r="P194" s="104">
        <v>0.0</v>
      </c>
      <c r="R194" s="104">
        <v>50.0</v>
      </c>
      <c r="T194" s="104">
        <v>0.0</v>
      </c>
      <c r="V194" s="104">
        <v>0.0</v>
      </c>
      <c r="X194" s="104">
        <v>30.0</v>
      </c>
      <c r="Y194" s="73"/>
      <c r="Z194" s="105">
        <v>0.0</v>
      </c>
      <c r="AB194" s="104">
        <v>30.0</v>
      </c>
      <c r="AD194" s="104">
        <v>0.0</v>
      </c>
      <c r="AF194" s="81">
        <f t="shared" si="1"/>
        <v>3451.308</v>
      </c>
      <c r="AG194" s="78">
        <f t="shared" si="2"/>
        <v>248</v>
      </c>
      <c r="AH194" s="78">
        <f t="shared" si="3"/>
        <v>0</v>
      </c>
      <c r="AI194" s="78">
        <f t="shared" si="4"/>
        <v>248</v>
      </c>
      <c r="AJ194" s="82">
        <f t="shared" si="5"/>
        <v>13.91656452</v>
      </c>
    </row>
    <row r="195">
      <c r="A195" s="76" t="s">
        <v>21</v>
      </c>
      <c r="B195" s="77">
        <f t="shared" si="6"/>
        <v>44754</v>
      </c>
      <c r="C195" s="78">
        <v>7.0</v>
      </c>
      <c r="D195" s="78" t="s">
        <v>33</v>
      </c>
      <c r="E195" s="169" t="s">
        <v>130</v>
      </c>
      <c r="F195" s="71">
        <v>0.0</v>
      </c>
      <c r="H195" s="72">
        <v>0.0</v>
      </c>
      <c r="J195" s="72">
        <v>0.0</v>
      </c>
      <c r="L195" s="105">
        <v>69.0</v>
      </c>
      <c r="N195" s="104">
        <v>69.0</v>
      </c>
      <c r="P195" s="104">
        <v>0.0</v>
      </c>
      <c r="R195" s="104">
        <v>50.0</v>
      </c>
      <c r="T195" s="104">
        <v>0.0</v>
      </c>
      <c r="V195" s="104">
        <v>0.0</v>
      </c>
      <c r="X195" s="104">
        <v>0.0</v>
      </c>
      <c r="Y195" s="73"/>
      <c r="Z195" s="105">
        <v>30.0</v>
      </c>
      <c r="AB195" s="104">
        <v>30.0</v>
      </c>
      <c r="AD195" s="104">
        <v>0.0</v>
      </c>
      <c r="AF195" s="81">
        <f t="shared" si="1"/>
        <v>3710.238</v>
      </c>
      <c r="AG195" s="78">
        <f t="shared" si="2"/>
        <v>248</v>
      </c>
      <c r="AH195" s="78">
        <f t="shared" si="3"/>
        <v>0</v>
      </c>
      <c r="AI195" s="78">
        <f t="shared" si="4"/>
        <v>248</v>
      </c>
      <c r="AJ195" s="82">
        <f t="shared" si="5"/>
        <v>14.9606371</v>
      </c>
    </row>
    <row r="196">
      <c r="A196" s="76" t="s">
        <v>24</v>
      </c>
      <c r="B196" s="77">
        <f t="shared" si="6"/>
        <v>44755</v>
      </c>
      <c r="C196" s="78">
        <v>7.0</v>
      </c>
      <c r="D196" s="78" t="s">
        <v>33</v>
      </c>
      <c r="E196" s="169" t="s">
        <v>130</v>
      </c>
      <c r="F196" s="71">
        <v>0.0</v>
      </c>
      <c r="H196" s="72">
        <v>0.0</v>
      </c>
      <c r="J196" s="72">
        <v>0.0</v>
      </c>
      <c r="L196" s="105">
        <v>69.0</v>
      </c>
      <c r="N196" s="104">
        <v>69.0</v>
      </c>
      <c r="P196" s="104">
        <v>0.0</v>
      </c>
      <c r="R196" s="104">
        <v>50.0</v>
      </c>
      <c r="T196" s="104">
        <v>0.0</v>
      </c>
      <c r="V196" s="104">
        <v>0.0</v>
      </c>
      <c r="X196" s="104">
        <v>30.0</v>
      </c>
      <c r="Y196" s="73"/>
      <c r="Z196" s="105">
        <v>0.0</v>
      </c>
      <c r="AB196" s="104">
        <v>30.0</v>
      </c>
      <c r="AD196" s="104">
        <v>0.0</v>
      </c>
      <c r="AF196" s="81">
        <f t="shared" si="1"/>
        <v>3451.308</v>
      </c>
      <c r="AG196" s="78">
        <f t="shared" si="2"/>
        <v>248</v>
      </c>
      <c r="AH196" s="78">
        <f t="shared" si="3"/>
        <v>0</v>
      </c>
      <c r="AI196" s="78">
        <f t="shared" si="4"/>
        <v>248</v>
      </c>
      <c r="AJ196" s="82">
        <f t="shared" si="5"/>
        <v>13.91656452</v>
      </c>
    </row>
    <row r="197">
      <c r="A197" s="76" t="s">
        <v>27</v>
      </c>
      <c r="B197" s="77">
        <f t="shared" si="6"/>
        <v>44756</v>
      </c>
      <c r="C197" s="78">
        <v>7.0</v>
      </c>
      <c r="D197" s="78" t="s">
        <v>33</v>
      </c>
      <c r="E197" s="169" t="s">
        <v>130</v>
      </c>
      <c r="F197" s="71">
        <v>0.0</v>
      </c>
      <c r="H197" s="72">
        <v>0.0</v>
      </c>
      <c r="J197" s="72">
        <v>0.0</v>
      </c>
      <c r="L197" s="105">
        <v>69.0</v>
      </c>
      <c r="N197" s="104">
        <v>69.0</v>
      </c>
      <c r="P197" s="104">
        <v>0.0</v>
      </c>
      <c r="R197" s="104">
        <v>50.0</v>
      </c>
      <c r="T197" s="104">
        <v>0.0</v>
      </c>
      <c r="V197" s="104">
        <v>0.0</v>
      </c>
      <c r="X197" s="104">
        <v>0.0</v>
      </c>
      <c r="Y197" s="73"/>
      <c r="Z197" s="105">
        <v>30.0</v>
      </c>
      <c r="AB197" s="104">
        <v>30.0</v>
      </c>
      <c r="AD197" s="104">
        <v>0.0</v>
      </c>
      <c r="AF197" s="81">
        <f t="shared" si="1"/>
        <v>3710.238</v>
      </c>
      <c r="AG197" s="78">
        <f t="shared" si="2"/>
        <v>248</v>
      </c>
      <c r="AH197" s="78">
        <f t="shared" si="3"/>
        <v>0</v>
      </c>
      <c r="AI197" s="78">
        <f t="shared" si="4"/>
        <v>248</v>
      </c>
      <c r="AJ197" s="82">
        <f t="shared" si="5"/>
        <v>14.9606371</v>
      </c>
    </row>
    <row r="198">
      <c r="A198" s="83" t="s">
        <v>30</v>
      </c>
      <c r="B198" s="84">
        <f t="shared" si="6"/>
        <v>44757</v>
      </c>
      <c r="C198" s="85">
        <v>7.0</v>
      </c>
      <c r="D198" s="85" t="s">
        <v>33</v>
      </c>
      <c r="E198" s="170" t="s">
        <v>130</v>
      </c>
      <c r="F198" s="88">
        <v>0.0</v>
      </c>
      <c r="G198" s="89"/>
      <c r="H198" s="90">
        <v>0.0</v>
      </c>
      <c r="I198" s="89"/>
      <c r="J198" s="90">
        <v>0.0</v>
      </c>
      <c r="K198" s="89"/>
      <c r="L198" s="112">
        <v>0.0</v>
      </c>
      <c r="M198" s="89"/>
      <c r="N198" s="111">
        <v>0.0</v>
      </c>
      <c r="O198" s="89"/>
      <c r="P198" s="111">
        <v>0.0</v>
      </c>
      <c r="Q198" s="89"/>
      <c r="R198" s="111">
        <v>0.0</v>
      </c>
      <c r="S198" s="89"/>
      <c r="T198" s="111">
        <v>0.0</v>
      </c>
      <c r="U198" s="89"/>
      <c r="V198" s="111">
        <v>0.0</v>
      </c>
      <c r="W198" s="89"/>
      <c r="X198" s="111">
        <v>0.0</v>
      </c>
      <c r="Y198" s="91"/>
      <c r="Z198" s="112">
        <v>0.0</v>
      </c>
      <c r="AA198" s="89"/>
      <c r="AB198" s="111">
        <v>0.0</v>
      </c>
      <c r="AC198" s="89"/>
      <c r="AD198" s="111">
        <v>0.0</v>
      </c>
      <c r="AE198" s="89"/>
      <c r="AF198" s="92">
        <f t="shared" si="1"/>
        <v>0</v>
      </c>
      <c r="AG198" s="85">
        <f t="shared" si="2"/>
        <v>0</v>
      </c>
      <c r="AH198" s="85">
        <f t="shared" si="3"/>
        <v>0</v>
      </c>
      <c r="AI198" s="85">
        <f t="shared" si="4"/>
        <v>0</v>
      </c>
      <c r="AJ198" s="93" t="str">
        <f t="shared" si="5"/>
        <v/>
      </c>
    </row>
    <row r="199">
      <c r="A199" s="66" t="s">
        <v>11</v>
      </c>
      <c r="B199" s="94">
        <f t="shared" si="6"/>
        <v>44758</v>
      </c>
      <c r="C199" s="68">
        <v>8.0</v>
      </c>
      <c r="D199" s="68" t="s">
        <v>48</v>
      </c>
      <c r="E199" s="171" t="s">
        <v>130</v>
      </c>
      <c r="F199" s="71">
        <v>0.0</v>
      </c>
      <c r="H199" s="72">
        <v>0.0</v>
      </c>
      <c r="J199" s="72">
        <v>0.0</v>
      </c>
      <c r="L199" s="105">
        <v>69.0</v>
      </c>
      <c r="N199" s="104">
        <v>69.0</v>
      </c>
      <c r="P199" s="104">
        <v>0.0</v>
      </c>
      <c r="R199" s="104">
        <v>50.0</v>
      </c>
      <c r="T199" s="104">
        <v>1.0</v>
      </c>
      <c r="V199" s="104">
        <v>1.0</v>
      </c>
      <c r="X199" s="104">
        <v>30.0</v>
      </c>
      <c r="Y199" s="73"/>
      <c r="Z199" s="105">
        <v>0.0</v>
      </c>
      <c r="AB199" s="104">
        <v>30.0</v>
      </c>
      <c r="AD199" s="104">
        <v>0.0</v>
      </c>
      <c r="AF199" s="74">
        <f t="shared" si="1"/>
        <v>4186.308</v>
      </c>
      <c r="AG199" s="68">
        <f t="shared" si="2"/>
        <v>248</v>
      </c>
      <c r="AH199" s="68">
        <f t="shared" si="3"/>
        <v>2</v>
      </c>
      <c r="AI199" s="68">
        <f t="shared" si="4"/>
        <v>250</v>
      </c>
      <c r="AJ199" s="75">
        <f t="shared" si="5"/>
        <v>16.745232</v>
      </c>
    </row>
    <row r="200">
      <c r="A200" s="76" t="s">
        <v>16</v>
      </c>
      <c r="B200" s="77">
        <f t="shared" si="6"/>
        <v>44759</v>
      </c>
      <c r="C200" s="78">
        <v>8.0</v>
      </c>
      <c r="D200" s="78" t="s">
        <v>48</v>
      </c>
      <c r="E200" s="169" t="s">
        <v>130</v>
      </c>
      <c r="F200" s="71">
        <v>0.0</v>
      </c>
      <c r="H200" s="72">
        <v>0.0</v>
      </c>
      <c r="J200" s="72">
        <v>0.0</v>
      </c>
      <c r="L200" s="105">
        <v>69.0</v>
      </c>
      <c r="N200" s="104">
        <v>69.0</v>
      </c>
      <c r="P200" s="104">
        <v>0.0</v>
      </c>
      <c r="R200" s="104">
        <v>50.0</v>
      </c>
      <c r="T200" s="104">
        <v>0.0</v>
      </c>
      <c r="V200" s="104">
        <v>0.0</v>
      </c>
      <c r="X200" s="104">
        <v>0.0</v>
      </c>
      <c r="Y200" s="73"/>
      <c r="Z200" s="105">
        <v>30.0</v>
      </c>
      <c r="AB200" s="104">
        <v>30.0</v>
      </c>
      <c r="AD200" s="104">
        <v>0.0</v>
      </c>
      <c r="AF200" s="81">
        <f t="shared" si="1"/>
        <v>3710.238</v>
      </c>
      <c r="AG200" s="78">
        <f t="shared" si="2"/>
        <v>248</v>
      </c>
      <c r="AH200" s="78">
        <f t="shared" si="3"/>
        <v>0</v>
      </c>
      <c r="AI200" s="78">
        <f t="shared" si="4"/>
        <v>248</v>
      </c>
      <c r="AJ200" s="82">
        <f t="shared" si="5"/>
        <v>14.9606371</v>
      </c>
    </row>
    <row r="201">
      <c r="A201" s="76" t="s">
        <v>17</v>
      </c>
      <c r="B201" s="77">
        <f t="shared" si="6"/>
        <v>44760</v>
      </c>
      <c r="C201" s="78">
        <v>8.0</v>
      </c>
      <c r="D201" s="78" t="s">
        <v>48</v>
      </c>
      <c r="E201" s="169" t="s">
        <v>130</v>
      </c>
      <c r="F201" s="71">
        <v>0.0</v>
      </c>
      <c r="H201" s="72">
        <v>0.0</v>
      </c>
      <c r="J201" s="72">
        <v>0.0</v>
      </c>
      <c r="L201" s="105">
        <v>69.0</v>
      </c>
      <c r="N201" s="104">
        <v>69.0</v>
      </c>
      <c r="P201" s="104">
        <v>0.0</v>
      </c>
      <c r="R201" s="104">
        <v>50.0</v>
      </c>
      <c r="T201" s="104">
        <v>0.0</v>
      </c>
      <c r="V201" s="104">
        <v>0.0</v>
      </c>
      <c r="X201" s="104">
        <v>30.0</v>
      </c>
      <c r="Y201" s="73"/>
      <c r="Z201" s="105">
        <v>0.0</v>
      </c>
      <c r="AB201" s="104">
        <v>30.0</v>
      </c>
      <c r="AD201" s="104">
        <v>0.0</v>
      </c>
      <c r="AF201" s="81">
        <f t="shared" si="1"/>
        <v>3451.308</v>
      </c>
      <c r="AG201" s="78">
        <f t="shared" si="2"/>
        <v>248</v>
      </c>
      <c r="AH201" s="78">
        <f t="shared" si="3"/>
        <v>0</v>
      </c>
      <c r="AI201" s="78">
        <f t="shared" si="4"/>
        <v>248</v>
      </c>
      <c r="AJ201" s="82">
        <f t="shared" si="5"/>
        <v>13.91656452</v>
      </c>
    </row>
    <row r="202">
      <c r="A202" s="76" t="s">
        <v>21</v>
      </c>
      <c r="B202" s="77">
        <f t="shared" si="6"/>
        <v>44761</v>
      </c>
      <c r="C202" s="78">
        <v>8.0</v>
      </c>
      <c r="D202" s="78" t="s">
        <v>48</v>
      </c>
      <c r="E202" s="169" t="s">
        <v>130</v>
      </c>
      <c r="F202" s="71">
        <v>0.0</v>
      </c>
      <c r="H202" s="72">
        <v>0.0</v>
      </c>
      <c r="J202" s="72">
        <v>0.0</v>
      </c>
      <c r="L202" s="105">
        <v>69.0</v>
      </c>
      <c r="N202" s="104">
        <v>69.0</v>
      </c>
      <c r="P202" s="104">
        <v>0.0</v>
      </c>
      <c r="R202" s="104">
        <v>50.0</v>
      </c>
      <c r="T202" s="104">
        <v>0.0</v>
      </c>
      <c r="V202" s="104">
        <v>0.0</v>
      </c>
      <c r="X202" s="104">
        <v>0.0</v>
      </c>
      <c r="Y202" s="73"/>
      <c r="Z202" s="105">
        <v>30.0</v>
      </c>
      <c r="AB202" s="104">
        <v>30.0</v>
      </c>
      <c r="AD202" s="104">
        <v>0.0</v>
      </c>
      <c r="AF202" s="81">
        <f t="shared" si="1"/>
        <v>3710.238</v>
      </c>
      <c r="AG202" s="78">
        <f t="shared" si="2"/>
        <v>248</v>
      </c>
      <c r="AH202" s="78">
        <f t="shared" si="3"/>
        <v>0</v>
      </c>
      <c r="AI202" s="78">
        <f t="shared" si="4"/>
        <v>248</v>
      </c>
      <c r="AJ202" s="82">
        <f t="shared" si="5"/>
        <v>14.9606371</v>
      </c>
    </row>
    <row r="203">
      <c r="A203" s="76" t="s">
        <v>24</v>
      </c>
      <c r="B203" s="77">
        <f t="shared" si="6"/>
        <v>44762</v>
      </c>
      <c r="C203" s="78">
        <v>8.0</v>
      </c>
      <c r="D203" s="78" t="s">
        <v>48</v>
      </c>
      <c r="E203" s="169" t="s">
        <v>130</v>
      </c>
      <c r="F203" s="71">
        <v>0.0</v>
      </c>
      <c r="H203" s="72">
        <v>0.0</v>
      </c>
      <c r="J203" s="72">
        <v>0.0</v>
      </c>
      <c r="L203" s="105">
        <v>69.0</v>
      </c>
      <c r="N203" s="104">
        <v>69.0</v>
      </c>
      <c r="P203" s="104">
        <v>0.0</v>
      </c>
      <c r="R203" s="104">
        <v>50.0</v>
      </c>
      <c r="T203" s="104">
        <v>0.0</v>
      </c>
      <c r="V203" s="104">
        <v>0.0</v>
      </c>
      <c r="X203" s="104">
        <v>30.0</v>
      </c>
      <c r="Y203" s="73"/>
      <c r="Z203" s="105">
        <v>0.0</v>
      </c>
      <c r="AB203" s="104">
        <v>30.0</v>
      </c>
      <c r="AD203" s="104">
        <v>0.0</v>
      </c>
      <c r="AF203" s="81">
        <f t="shared" si="1"/>
        <v>3451.308</v>
      </c>
      <c r="AG203" s="78">
        <f t="shared" si="2"/>
        <v>248</v>
      </c>
      <c r="AH203" s="78">
        <f t="shared" si="3"/>
        <v>0</v>
      </c>
      <c r="AI203" s="78">
        <f t="shared" si="4"/>
        <v>248</v>
      </c>
      <c r="AJ203" s="82">
        <f t="shared" si="5"/>
        <v>13.91656452</v>
      </c>
    </row>
    <row r="204">
      <c r="A204" s="76" t="s">
        <v>27</v>
      </c>
      <c r="B204" s="77">
        <f t="shared" si="6"/>
        <v>44763</v>
      </c>
      <c r="C204" s="78">
        <v>8.0</v>
      </c>
      <c r="D204" s="78" t="s">
        <v>48</v>
      </c>
      <c r="E204" s="169" t="s">
        <v>130</v>
      </c>
      <c r="F204" s="71">
        <v>0.0</v>
      </c>
      <c r="H204" s="72">
        <v>0.0</v>
      </c>
      <c r="J204" s="72">
        <v>0.0</v>
      </c>
      <c r="L204" s="105">
        <v>69.0</v>
      </c>
      <c r="N204" s="104">
        <v>69.0</v>
      </c>
      <c r="P204" s="104">
        <v>0.0</v>
      </c>
      <c r="R204" s="104">
        <v>50.0</v>
      </c>
      <c r="T204" s="104">
        <v>0.0</v>
      </c>
      <c r="V204" s="104">
        <v>0.0</v>
      </c>
      <c r="X204" s="104">
        <v>0.0</v>
      </c>
      <c r="Y204" s="73"/>
      <c r="Z204" s="105">
        <v>30.0</v>
      </c>
      <c r="AB204" s="104">
        <v>30.0</v>
      </c>
      <c r="AD204" s="104">
        <v>0.0</v>
      </c>
      <c r="AF204" s="81">
        <f t="shared" si="1"/>
        <v>3710.238</v>
      </c>
      <c r="AG204" s="78">
        <f t="shared" si="2"/>
        <v>248</v>
      </c>
      <c r="AH204" s="78">
        <f t="shared" si="3"/>
        <v>0</v>
      </c>
      <c r="AI204" s="78">
        <f t="shared" si="4"/>
        <v>248</v>
      </c>
      <c r="AJ204" s="82">
        <f t="shared" si="5"/>
        <v>14.9606371</v>
      </c>
    </row>
    <row r="205">
      <c r="A205" s="83" t="s">
        <v>30</v>
      </c>
      <c r="B205" s="84">
        <f t="shared" si="6"/>
        <v>44764</v>
      </c>
      <c r="C205" s="85">
        <v>8.0</v>
      </c>
      <c r="D205" s="85" t="s">
        <v>48</v>
      </c>
      <c r="E205" s="170" t="s">
        <v>130</v>
      </c>
      <c r="F205" s="88">
        <v>0.0</v>
      </c>
      <c r="G205" s="89"/>
      <c r="H205" s="90">
        <v>0.0</v>
      </c>
      <c r="I205" s="89"/>
      <c r="J205" s="90">
        <v>0.0</v>
      </c>
      <c r="K205" s="89"/>
      <c r="L205" s="112">
        <v>0.0</v>
      </c>
      <c r="M205" s="89"/>
      <c r="N205" s="111">
        <v>0.0</v>
      </c>
      <c r="O205" s="89"/>
      <c r="P205" s="111">
        <v>0.0</v>
      </c>
      <c r="Q205" s="89"/>
      <c r="R205" s="111">
        <v>0.0</v>
      </c>
      <c r="S205" s="89"/>
      <c r="T205" s="111">
        <v>0.0</v>
      </c>
      <c r="U205" s="89"/>
      <c r="V205" s="111">
        <v>0.0</v>
      </c>
      <c r="W205" s="89"/>
      <c r="X205" s="111">
        <v>0.0</v>
      </c>
      <c r="Y205" s="91"/>
      <c r="Z205" s="112">
        <v>0.0</v>
      </c>
      <c r="AA205" s="89"/>
      <c r="AB205" s="111">
        <v>0.0</v>
      </c>
      <c r="AC205" s="89"/>
      <c r="AD205" s="111">
        <v>0.0</v>
      </c>
      <c r="AE205" s="89"/>
      <c r="AF205" s="92">
        <f t="shared" si="1"/>
        <v>0</v>
      </c>
      <c r="AG205" s="85">
        <f t="shared" si="2"/>
        <v>0</v>
      </c>
      <c r="AH205" s="85">
        <f t="shared" si="3"/>
        <v>0</v>
      </c>
      <c r="AI205" s="85">
        <f t="shared" si="4"/>
        <v>0</v>
      </c>
      <c r="AJ205" s="93" t="str">
        <f t="shared" si="5"/>
        <v/>
      </c>
    </row>
    <row r="206">
      <c r="A206" s="66" t="s">
        <v>11</v>
      </c>
      <c r="B206" s="94">
        <f t="shared" si="6"/>
        <v>44765</v>
      </c>
      <c r="C206" s="68">
        <v>8.0</v>
      </c>
      <c r="D206" s="68" t="s">
        <v>59</v>
      </c>
      <c r="E206" s="171" t="s">
        <v>130</v>
      </c>
      <c r="F206" s="71">
        <v>0.0</v>
      </c>
      <c r="H206" s="72">
        <v>0.0</v>
      </c>
      <c r="J206" s="72">
        <v>0.0</v>
      </c>
      <c r="L206" s="105">
        <v>69.0</v>
      </c>
      <c r="N206" s="104">
        <v>69.0</v>
      </c>
      <c r="P206" s="104">
        <v>0.0</v>
      </c>
      <c r="R206" s="104">
        <v>50.0</v>
      </c>
      <c r="T206" s="104">
        <v>1.0</v>
      </c>
      <c r="V206" s="104">
        <v>1.0</v>
      </c>
      <c r="X206" s="104">
        <v>30.0</v>
      </c>
      <c r="Y206" s="73"/>
      <c r="Z206" s="105">
        <v>0.0</v>
      </c>
      <c r="AB206" s="104">
        <v>30.0</v>
      </c>
      <c r="AD206" s="104">
        <v>0.0</v>
      </c>
      <c r="AF206" s="74">
        <f t="shared" si="1"/>
        <v>4186.308</v>
      </c>
      <c r="AG206" s="68">
        <f t="shared" si="2"/>
        <v>248</v>
      </c>
      <c r="AH206" s="68">
        <f t="shared" si="3"/>
        <v>2</v>
      </c>
      <c r="AI206" s="68">
        <f t="shared" si="4"/>
        <v>250</v>
      </c>
      <c r="AJ206" s="75">
        <f t="shared" si="5"/>
        <v>16.745232</v>
      </c>
    </row>
    <row r="207">
      <c r="A207" s="76" t="s">
        <v>16</v>
      </c>
      <c r="B207" s="77">
        <f t="shared" si="6"/>
        <v>44766</v>
      </c>
      <c r="C207" s="78">
        <v>8.0</v>
      </c>
      <c r="D207" s="78" t="s">
        <v>59</v>
      </c>
      <c r="E207" s="169" t="s">
        <v>130</v>
      </c>
      <c r="F207" s="71">
        <v>0.0</v>
      </c>
      <c r="H207" s="72">
        <v>0.0</v>
      </c>
      <c r="J207" s="72">
        <v>0.0</v>
      </c>
      <c r="L207" s="105">
        <v>69.0</v>
      </c>
      <c r="N207" s="104">
        <v>69.0</v>
      </c>
      <c r="P207" s="104">
        <v>0.0</v>
      </c>
      <c r="R207" s="104">
        <v>50.0</v>
      </c>
      <c r="T207" s="104">
        <v>0.0</v>
      </c>
      <c r="V207" s="104">
        <v>0.0</v>
      </c>
      <c r="X207" s="104">
        <v>0.0</v>
      </c>
      <c r="Y207" s="73"/>
      <c r="Z207" s="105">
        <v>30.0</v>
      </c>
      <c r="AB207" s="104">
        <v>30.0</v>
      </c>
      <c r="AD207" s="104">
        <v>0.0</v>
      </c>
      <c r="AF207" s="81">
        <f t="shared" si="1"/>
        <v>3710.238</v>
      </c>
      <c r="AG207" s="78">
        <f t="shared" si="2"/>
        <v>248</v>
      </c>
      <c r="AH207" s="78">
        <f t="shared" si="3"/>
        <v>0</v>
      </c>
      <c r="AI207" s="78">
        <f t="shared" si="4"/>
        <v>248</v>
      </c>
      <c r="AJ207" s="82">
        <f t="shared" si="5"/>
        <v>14.9606371</v>
      </c>
    </row>
    <row r="208">
      <c r="A208" s="76" t="s">
        <v>17</v>
      </c>
      <c r="B208" s="77">
        <f t="shared" si="6"/>
        <v>44767</v>
      </c>
      <c r="C208" s="78">
        <v>8.0</v>
      </c>
      <c r="D208" s="78" t="s">
        <v>59</v>
      </c>
      <c r="E208" s="169" t="s">
        <v>130</v>
      </c>
      <c r="F208" s="71">
        <v>0.0</v>
      </c>
      <c r="H208" s="72">
        <v>0.0</v>
      </c>
      <c r="J208" s="72">
        <v>0.0</v>
      </c>
      <c r="L208" s="105">
        <v>69.0</v>
      </c>
      <c r="N208" s="104">
        <v>69.0</v>
      </c>
      <c r="P208" s="104">
        <v>0.0</v>
      </c>
      <c r="R208" s="104">
        <v>50.0</v>
      </c>
      <c r="T208" s="104">
        <v>0.0</v>
      </c>
      <c r="V208" s="104">
        <v>0.0</v>
      </c>
      <c r="X208" s="104">
        <v>30.0</v>
      </c>
      <c r="Y208" s="73"/>
      <c r="Z208" s="105">
        <v>0.0</v>
      </c>
      <c r="AB208" s="104">
        <v>30.0</v>
      </c>
      <c r="AD208" s="104">
        <v>0.0</v>
      </c>
      <c r="AF208" s="81">
        <f t="shared" si="1"/>
        <v>3451.308</v>
      </c>
      <c r="AG208" s="78">
        <f t="shared" si="2"/>
        <v>248</v>
      </c>
      <c r="AH208" s="78">
        <f t="shared" si="3"/>
        <v>0</v>
      </c>
      <c r="AI208" s="78">
        <f t="shared" si="4"/>
        <v>248</v>
      </c>
      <c r="AJ208" s="82">
        <f t="shared" si="5"/>
        <v>13.91656452</v>
      </c>
    </row>
    <row r="209">
      <c r="A209" s="76" t="s">
        <v>21</v>
      </c>
      <c r="B209" s="77">
        <f t="shared" si="6"/>
        <v>44768</v>
      </c>
      <c r="C209" s="78">
        <v>8.0</v>
      </c>
      <c r="D209" s="78" t="s">
        <v>59</v>
      </c>
      <c r="E209" s="169" t="s">
        <v>130</v>
      </c>
      <c r="F209" s="71">
        <v>0.0</v>
      </c>
      <c r="H209" s="72">
        <v>0.0</v>
      </c>
      <c r="J209" s="72">
        <v>0.0</v>
      </c>
      <c r="L209" s="105">
        <v>69.0</v>
      </c>
      <c r="N209" s="104">
        <v>69.0</v>
      </c>
      <c r="P209" s="104">
        <v>0.0</v>
      </c>
      <c r="R209" s="104">
        <v>50.0</v>
      </c>
      <c r="T209" s="104">
        <v>0.0</v>
      </c>
      <c r="V209" s="104">
        <v>0.0</v>
      </c>
      <c r="X209" s="104">
        <v>0.0</v>
      </c>
      <c r="Y209" s="73"/>
      <c r="Z209" s="105">
        <v>30.0</v>
      </c>
      <c r="AB209" s="104">
        <v>30.0</v>
      </c>
      <c r="AD209" s="104">
        <v>0.0</v>
      </c>
      <c r="AF209" s="81">
        <f t="shared" si="1"/>
        <v>3710.238</v>
      </c>
      <c r="AG209" s="78">
        <f t="shared" si="2"/>
        <v>248</v>
      </c>
      <c r="AH209" s="78">
        <f t="shared" si="3"/>
        <v>0</v>
      </c>
      <c r="AI209" s="78">
        <f t="shared" si="4"/>
        <v>248</v>
      </c>
      <c r="AJ209" s="82">
        <f t="shared" si="5"/>
        <v>14.9606371</v>
      </c>
    </row>
    <row r="210">
      <c r="A210" s="76" t="s">
        <v>24</v>
      </c>
      <c r="B210" s="77">
        <f t="shared" si="6"/>
        <v>44769</v>
      </c>
      <c r="C210" s="78">
        <v>8.0</v>
      </c>
      <c r="D210" s="78" t="s">
        <v>59</v>
      </c>
      <c r="E210" s="169" t="s">
        <v>130</v>
      </c>
      <c r="F210" s="71">
        <v>0.0</v>
      </c>
      <c r="H210" s="72">
        <v>0.0</v>
      </c>
      <c r="J210" s="72">
        <v>0.0</v>
      </c>
      <c r="L210" s="105">
        <v>69.0</v>
      </c>
      <c r="N210" s="104">
        <v>69.0</v>
      </c>
      <c r="P210" s="104">
        <v>0.0</v>
      </c>
      <c r="R210" s="104">
        <v>50.0</v>
      </c>
      <c r="T210" s="104">
        <v>0.0</v>
      </c>
      <c r="V210" s="104">
        <v>0.0</v>
      </c>
      <c r="X210" s="104">
        <v>30.0</v>
      </c>
      <c r="Y210" s="73"/>
      <c r="Z210" s="105">
        <v>0.0</v>
      </c>
      <c r="AB210" s="104">
        <v>30.0</v>
      </c>
      <c r="AD210" s="104">
        <v>0.0</v>
      </c>
      <c r="AF210" s="81">
        <f t="shared" si="1"/>
        <v>3451.308</v>
      </c>
      <c r="AG210" s="78">
        <f t="shared" si="2"/>
        <v>248</v>
      </c>
      <c r="AH210" s="78">
        <f t="shared" si="3"/>
        <v>0</v>
      </c>
      <c r="AI210" s="78">
        <f t="shared" si="4"/>
        <v>248</v>
      </c>
      <c r="AJ210" s="82">
        <f t="shared" si="5"/>
        <v>13.91656452</v>
      </c>
    </row>
    <row r="211">
      <c r="A211" s="76" t="s">
        <v>27</v>
      </c>
      <c r="B211" s="77">
        <f t="shared" si="6"/>
        <v>44770</v>
      </c>
      <c r="C211" s="78">
        <v>8.0</v>
      </c>
      <c r="D211" s="78" t="s">
        <v>59</v>
      </c>
      <c r="E211" s="169" t="s">
        <v>130</v>
      </c>
      <c r="F211" s="71">
        <v>0.0</v>
      </c>
      <c r="H211" s="72">
        <v>0.0</v>
      </c>
      <c r="J211" s="72">
        <v>0.0</v>
      </c>
      <c r="L211" s="105">
        <v>69.0</v>
      </c>
      <c r="N211" s="104">
        <v>69.0</v>
      </c>
      <c r="P211" s="104">
        <v>0.0</v>
      </c>
      <c r="R211" s="104">
        <v>50.0</v>
      </c>
      <c r="T211" s="104">
        <v>0.0</v>
      </c>
      <c r="V211" s="104">
        <v>0.0</v>
      </c>
      <c r="X211" s="104">
        <v>0.0</v>
      </c>
      <c r="Y211" s="73"/>
      <c r="Z211" s="105">
        <v>30.0</v>
      </c>
      <c r="AB211" s="104">
        <v>30.0</v>
      </c>
      <c r="AD211" s="104">
        <v>0.0</v>
      </c>
      <c r="AF211" s="81">
        <f t="shared" si="1"/>
        <v>3710.238</v>
      </c>
      <c r="AG211" s="78">
        <f t="shared" si="2"/>
        <v>248</v>
      </c>
      <c r="AH211" s="78">
        <f t="shared" si="3"/>
        <v>0</v>
      </c>
      <c r="AI211" s="78">
        <f t="shared" si="4"/>
        <v>248</v>
      </c>
      <c r="AJ211" s="82">
        <f t="shared" si="5"/>
        <v>14.9606371</v>
      </c>
    </row>
    <row r="212">
      <c r="A212" s="83" t="s">
        <v>30</v>
      </c>
      <c r="B212" s="84">
        <f t="shared" si="6"/>
        <v>44771</v>
      </c>
      <c r="C212" s="85">
        <v>8.0</v>
      </c>
      <c r="D212" s="85" t="s">
        <v>59</v>
      </c>
      <c r="E212" s="170" t="s">
        <v>130</v>
      </c>
      <c r="F212" s="88">
        <v>0.0</v>
      </c>
      <c r="G212" s="89"/>
      <c r="H212" s="90">
        <v>0.0</v>
      </c>
      <c r="I212" s="89"/>
      <c r="J212" s="90">
        <v>0.0</v>
      </c>
      <c r="K212" s="89"/>
      <c r="L212" s="112">
        <v>0.0</v>
      </c>
      <c r="M212" s="89"/>
      <c r="N212" s="111">
        <v>0.0</v>
      </c>
      <c r="O212" s="89"/>
      <c r="P212" s="111">
        <v>0.0</v>
      </c>
      <c r="Q212" s="89"/>
      <c r="R212" s="111">
        <v>0.0</v>
      </c>
      <c r="S212" s="89"/>
      <c r="T212" s="111">
        <v>0.0</v>
      </c>
      <c r="U212" s="89"/>
      <c r="V212" s="111">
        <v>0.0</v>
      </c>
      <c r="W212" s="89"/>
      <c r="X212" s="111">
        <v>0.0</v>
      </c>
      <c r="Y212" s="91"/>
      <c r="Z212" s="112">
        <v>0.0</v>
      </c>
      <c r="AA212" s="89"/>
      <c r="AB212" s="111">
        <v>0.0</v>
      </c>
      <c r="AC212" s="89"/>
      <c r="AD212" s="111">
        <v>0.0</v>
      </c>
      <c r="AE212" s="89"/>
      <c r="AF212" s="92">
        <f t="shared" si="1"/>
        <v>0</v>
      </c>
      <c r="AG212" s="85">
        <f t="shared" si="2"/>
        <v>0</v>
      </c>
      <c r="AH212" s="85">
        <f t="shared" si="3"/>
        <v>0</v>
      </c>
      <c r="AI212" s="85">
        <f t="shared" si="4"/>
        <v>0</v>
      </c>
      <c r="AJ212" s="93" t="str">
        <f t="shared" si="5"/>
        <v/>
      </c>
    </row>
    <row r="213">
      <c r="A213" s="66" t="s">
        <v>11</v>
      </c>
      <c r="B213" s="94">
        <f t="shared" si="6"/>
        <v>44772</v>
      </c>
      <c r="C213" s="68">
        <v>8.0</v>
      </c>
      <c r="D213" s="68" t="s">
        <v>12</v>
      </c>
      <c r="E213" s="171" t="s">
        <v>130</v>
      </c>
      <c r="F213" s="71">
        <v>0.0</v>
      </c>
      <c r="H213" s="72">
        <v>0.0</v>
      </c>
      <c r="J213" s="72">
        <v>0.0</v>
      </c>
      <c r="L213" s="105">
        <v>69.0</v>
      </c>
      <c r="N213" s="104">
        <v>69.0</v>
      </c>
      <c r="P213" s="104">
        <v>0.0</v>
      </c>
      <c r="R213" s="104">
        <v>50.0</v>
      </c>
      <c r="T213" s="104">
        <v>1.0</v>
      </c>
      <c r="V213" s="104">
        <v>1.0</v>
      </c>
      <c r="X213" s="104">
        <v>30.0</v>
      </c>
      <c r="Y213" s="73"/>
      <c r="Z213" s="105">
        <v>0.0</v>
      </c>
      <c r="AB213" s="104">
        <v>30.0</v>
      </c>
      <c r="AD213" s="104">
        <v>0.0</v>
      </c>
      <c r="AF213" s="74">
        <f t="shared" si="1"/>
        <v>4186.308</v>
      </c>
      <c r="AG213" s="68">
        <f t="shared" si="2"/>
        <v>248</v>
      </c>
      <c r="AH213" s="68">
        <f t="shared" si="3"/>
        <v>2</v>
      </c>
      <c r="AI213" s="68">
        <f t="shared" si="4"/>
        <v>250</v>
      </c>
      <c r="AJ213" s="75">
        <f t="shared" si="5"/>
        <v>16.745232</v>
      </c>
    </row>
    <row r="214">
      <c r="A214" s="76" t="s">
        <v>16</v>
      </c>
      <c r="B214" s="77">
        <f t="shared" si="6"/>
        <v>44773</v>
      </c>
      <c r="C214" s="78">
        <v>8.0</v>
      </c>
      <c r="D214" s="78" t="s">
        <v>12</v>
      </c>
      <c r="E214" s="169" t="s">
        <v>130</v>
      </c>
      <c r="F214" s="71">
        <v>0.0</v>
      </c>
      <c r="H214" s="72">
        <v>0.0</v>
      </c>
      <c r="J214" s="72">
        <v>0.0</v>
      </c>
      <c r="L214" s="105">
        <v>69.0</v>
      </c>
      <c r="N214" s="104">
        <v>69.0</v>
      </c>
      <c r="P214" s="104">
        <v>0.0</v>
      </c>
      <c r="R214" s="104">
        <v>50.0</v>
      </c>
      <c r="T214" s="104">
        <v>0.0</v>
      </c>
      <c r="V214" s="104">
        <v>0.0</v>
      </c>
      <c r="X214" s="104">
        <v>0.0</v>
      </c>
      <c r="Y214" s="73"/>
      <c r="Z214" s="105">
        <v>30.0</v>
      </c>
      <c r="AB214" s="104">
        <v>30.0</v>
      </c>
      <c r="AD214" s="104">
        <v>0.0</v>
      </c>
      <c r="AF214" s="81">
        <f t="shared" si="1"/>
        <v>3710.238</v>
      </c>
      <c r="AG214" s="78">
        <f t="shared" si="2"/>
        <v>248</v>
      </c>
      <c r="AH214" s="78">
        <f t="shared" si="3"/>
        <v>0</v>
      </c>
      <c r="AI214" s="78">
        <f t="shared" si="4"/>
        <v>248</v>
      </c>
      <c r="AJ214" s="82">
        <f t="shared" si="5"/>
        <v>14.9606371</v>
      </c>
    </row>
    <row r="215">
      <c r="A215" s="76" t="s">
        <v>17</v>
      </c>
      <c r="B215" s="77">
        <f t="shared" si="6"/>
        <v>44774</v>
      </c>
      <c r="C215" s="78">
        <v>8.0</v>
      </c>
      <c r="D215" s="78" t="s">
        <v>12</v>
      </c>
      <c r="E215" s="169" t="s">
        <v>130</v>
      </c>
      <c r="F215" s="71">
        <v>0.0</v>
      </c>
      <c r="H215" s="72">
        <v>0.0</v>
      </c>
      <c r="J215" s="72">
        <v>0.0</v>
      </c>
      <c r="L215" s="105">
        <v>69.0</v>
      </c>
      <c r="N215" s="104">
        <v>69.0</v>
      </c>
      <c r="P215" s="104">
        <v>0.0</v>
      </c>
      <c r="R215" s="104">
        <v>50.0</v>
      </c>
      <c r="T215" s="104">
        <v>0.0</v>
      </c>
      <c r="V215" s="104">
        <v>0.0</v>
      </c>
      <c r="X215" s="104">
        <v>30.0</v>
      </c>
      <c r="Y215" s="73"/>
      <c r="Z215" s="105">
        <v>0.0</v>
      </c>
      <c r="AB215" s="104">
        <v>30.0</v>
      </c>
      <c r="AD215" s="104">
        <v>0.0</v>
      </c>
      <c r="AF215" s="81">
        <f t="shared" si="1"/>
        <v>3451.308</v>
      </c>
      <c r="AG215" s="78">
        <f t="shared" si="2"/>
        <v>248</v>
      </c>
      <c r="AH215" s="78">
        <f t="shared" si="3"/>
        <v>0</v>
      </c>
      <c r="AI215" s="78">
        <f t="shared" si="4"/>
        <v>248</v>
      </c>
      <c r="AJ215" s="82">
        <f t="shared" si="5"/>
        <v>13.91656452</v>
      </c>
    </row>
    <row r="216">
      <c r="A216" s="76" t="s">
        <v>21</v>
      </c>
      <c r="B216" s="77">
        <f t="shared" si="6"/>
        <v>44775</v>
      </c>
      <c r="C216" s="78">
        <v>8.0</v>
      </c>
      <c r="D216" s="78" t="s">
        <v>12</v>
      </c>
      <c r="E216" s="169" t="s">
        <v>130</v>
      </c>
      <c r="F216" s="71">
        <v>0.0</v>
      </c>
      <c r="H216" s="72">
        <v>0.0</v>
      </c>
      <c r="J216" s="72">
        <v>0.0</v>
      </c>
      <c r="L216" s="105">
        <v>69.0</v>
      </c>
      <c r="N216" s="104">
        <v>69.0</v>
      </c>
      <c r="P216" s="104">
        <v>0.0</v>
      </c>
      <c r="R216" s="104">
        <v>50.0</v>
      </c>
      <c r="T216" s="104">
        <v>0.0</v>
      </c>
      <c r="V216" s="104">
        <v>0.0</v>
      </c>
      <c r="X216" s="104">
        <v>0.0</v>
      </c>
      <c r="Y216" s="73"/>
      <c r="Z216" s="105">
        <v>30.0</v>
      </c>
      <c r="AB216" s="104">
        <v>30.0</v>
      </c>
      <c r="AD216" s="104">
        <v>0.0</v>
      </c>
      <c r="AF216" s="81">
        <f t="shared" si="1"/>
        <v>3710.238</v>
      </c>
      <c r="AG216" s="78">
        <f t="shared" si="2"/>
        <v>248</v>
      </c>
      <c r="AH216" s="78">
        <f t="shared" si="3"/>
        <v>0</v>
      </c>
      <c r="AI216" s="78">
        <f t="shared" si="4"/>
        <v>248</v>
      </c>
      <c r="AJ216" s="82">
        <f t="shared" si="5"/>
        <v>14.9606371</v>
      </c>
    </row>
    <row r="217">
      <c r="A217" s="76" t="s">
        <v>24</v>
      </c>
      <c r="B217" s="77">
        <f t="shared" si="6"/>
        <v>44776</v>
      </c>
      <c r="C217" s="78">
        <v>8.0</v>
      </c>
      <c r="D217" s="78" t="s">
        <v>12</v>
      </c>
      <c r="E217" s="169" t="s">
        <v>130</v>
      </c>
      <c r="F217" s="71">
        <v>0.0</v>
      </c>
      <c r="H217" s="72">
        <v>0.0</v>
      </c>
      <c r="J217" s="72">
        <v>0.0</v>
      </c>
      <c r="L217" s="105">
        <v>69.0</v>
      </c>
      <c r="N217" s="104">
        <v>69.0</v>
      </c>
      <c r="P217" s="104">
        <v>0.0</v>
      </c>
      <c r="R217" s="104">
        <v>50.0</v>
      </c>
      <c r="T217" s="104">
        <v>0.0</v>
      </c>
      <c r="V217" s="104">
        <v>0.0</v>
      </c>
      <c r="X217" s="104">
        <v>30.0</v>
      </c>
      <c r="Y217" s="73"/>
      <c r="Z217" s="105">
        <v>0.0</v>
      </c>
      <c r="AB217" s="104">
        <v>30.0</v>
      </c>
      <c r="AD217" s="104">
        <v>0.0</v>
      </c>
      <c r="AF217" s="81">
        <f t="shared" si="1"/>
        <v>3451.308</v>
      </c>
      <c r="AG217" s="78">
        <f t="shared" si="2"/>
        <v>248</v>
      </c>
      <c r="AH217" s="78">
        <f t="shared" si="3"/>
        <v>0</v>
      </c>
      <c r="AI217" s="78">
        <f t="shared" si="4"/>
        <v>248</v>
      </c>
      <c r="AJ217" s="82">
        <f t="shared" si="5"/>
        <v>13.91656452</v>
      </c>
    </row>
    <row r="218">
      <c r="A218" s="76" t="s">
        <v>27</v>
      </c>
      <c r="B218" s="77">
        <f t="shared" si="6"/>
        <v>44777</v>
      </c>
      <c r="C218" s="78">
        <v>8.0</v>
      </c>
      <c r="D218" s="78" t="s">
        <v>12</v>
      </c>
      <c r="E218" s="169" t="s">
        <v>130</v>
      </c>
      <c r="F218" s="71">
        <v>0.0</v>
      </c>
      <c r="H218" s="72">
        <v>0.0</v>
      </c>
      <c r="J218" s="72">
        <v>0.0</v>
      </c>
      <c r="L218" s="105">
        <v>69.0</v>
      </c>
      <c r="N218" s="104">
        <v>69.0</v>
      </c>
      <c r="P218" s="104">
        <v>0.0</v>
      </c>
      <c r="R218" s="104">
        <v>50.0</v>
      </c>
      <c r="T218" s="104">
        <v>0.0</v>
      </c>
      <c r="V218" s="104">
        <v>0.0</v>
      </c>
      <c r="X218" s="104">
        <v>0.0</v>
      </c>
      <c r="Y218" s="73"/>
      <c r="Z218" s="105">
        <v>30.0</v>
      </c>
      <c r="AB218" s="104">
        <v>30.0</v>
      </c>
      <c r="AD218" s="104">
        <v>0.0</v>
      </c>
      <c r="AF218" s="81">
        <f t="shared" si="1"/>
        <v>3710.238</v>
      </c>
      <c r="AG218" s="78">
        <f t="shared" si="2"/>
        <v>248</v>
      </c>
      <c r="AH218" s="78">
        <f t="shared" si="3"/>
        <v>0</v>
      </c>
      <c r="AI218" s="78">
        <f t="shared" si="4"/>
        <v>248</v>
      </c>
      <c r="AJ218" s="82">
        <f t="shared" si="5"/>
        <v>14.9606371</v>
      </c>
    </row>
    <row r="219">
      <c r="A219" s="83" t="s">
        <v>30</v>
      </c>
      <c r="B219" s="84">
        <f t="shared" si="6"/>
        <v>44778</v>
      </c>
      <c r="C219" s="85">
        <v>8.0</v>
      </c>
      <c r="D219" s="85" t="s">
        <v>12</v>
      </c>
      <c r="E219" s="170" t="s">
        <v>130</v>
      </c>
      <c r="F219" s="88">
        <v>0.0</v>
      </c>
      <c r="G219" s="89"/>
      <c r="H219" s="90">
        <v>0.0</v>
      </c>
      <c r="I219" s="89"/>
      <c r="J219" s="90">
        <v>0.0</v>
      </c>
      <c r="K219" s="89"/>
      <c r="L219" s="112">
        <v>0.0</v>
      </c>
      <c r="M219" s="89"/>
      <c r="N219" s="111">
        <v>0.0</v>
      </c>
      <c r="O219" s="89"/>
      <c r="P219" s="111">
        <v>0.0</v>
      </c>
      <c r="Q219" s="89"/>
      <c r="R219" s="111">
        <v>0.0</v>
      </c>
      <c r="S219" s="89"/>
      <c r="T219" s="111">
        <v>0.0</v>
      </c>
      <c r="U219" s="89"/>
      <c r="V219" s="111">
        <v>0.0</v>
      </c>
      <c r="W219" s="89"/>
      <c r="X219" s="111">
        <v>0.0</v>
      </c>
      <c r="Y219" s="91"/>
      <c r="Z219" s="112">
        <v>0.0</v>
      </c>
      <c r="AA219" s="89"/>
      <c r="AB219" s="111">
        <v>0.0</v>
      </c>
      <c r="AC219" s="89"/>
      <c r="AD219" s="111">
        <v>0.0</v>
      </c>
      <c r="AE219" s="89"/>
      <c r="AF219" s="92">
        <f t="shared" si="1"/>
        <v>0</v>
      </c>
      <c r="AG219" s="85">
        <f t="shared" si="2"/>
        <v>0</v>
      </c>
      <c r="AH219" s="85">
        <f t="shared" si="3"/>
        <v>0</v>
      </c>
      <c r="AI219" s="85">
        <f t="shared" si="4"/>
        <v>0</v>
      </c>
      <c r="AJ219" s="93" t="str">
        <f t="shared" si="5"/>
        <v/>
      </c>
    </row>
    <row r="220">
      <c r="A220" s="66" t="s">
        <v>11</v>
      </c>
      <c r="B220" s="94">
        <f t="shared" si="6"/>
        <v>44779</v>
      </c>
      <c r="C220" s="68">
        <v>8.0</v>
      </c>
      <c r="D220" s="68" t="s">
        <v>33</v>
      </c>
      <c r="E220" s="171" t="s">
        <v>130</v>
      </c>
      <c r="F220" s="71">
        <v>0.0</v>
      </c>
      <c r="H220" s="72">
        <v>0.0</v>
      </c>
      <c r="J220" s="72">
        <v>0.0</v>
      </c>
      <c r="L220" s="105">
        <v>69.0</v>
      </c>
      <c r="N220" s="104">
        <v>69.0</v>
      </c>
      <c r="P220" s="104">
        <v>0.0</v>
      </c>
      <c r="R220" s="104">
        <v>50.0</v>
      </c>
      <c r="T220" s="104">
        <v>1.0</v>
      </c>
      <c r="V220" s="104">
        <v>1.0</v>
      </c>
      <c r="X220" s="104">
        <v>30.0</v>
      </c>
      <c r="Y220" s="73"/>
      <c r="Z220" s="105">
        <v>0.0</v>
      </c>
      <c r="AB220" s="104">
        <v>30.0</v>
      </c>
      <c r="AD220" s="104">
        <v>0.0</v>
      </c>
      <c r="AF220" s="74">
        <f t="shared" si="1"/>
        <v>4186.308</v>
      </c>
      <c r="AG220" s="68">
        <f t="shared" si="2"/>
        <v>248</v>
      </c>
      <c r="AH220" s="68">
        <f t="shared" si="3"/>
        <v>2</v>
      </c>
      <c r="AI220" s="68">
        <f t="shared" si="4"/>
        <v>250</v>
      </c>
      <c r="AJ220" s="75">
        <f t="shared" si="5"/>
        <v>16.745232</v>
      </c>
    </row>
    <row r="221">
      <c r="A221" s="76" t="s">
        <v>16</v>
      </c>
      <c r="B221" s="77">
        <f t="shared" si="6"/>
        <v>44780</v>
      </c>
      <c r="C221" s="78">
        <v>8.0</v>
      </c>
      <c r="D221" s="78" t="s">
        <v>33</v>
      </c>
      <c r="E221" s="169" t="s">
        <v>130</v>
      </c>
      <c r="F221" s="71">
        <v>0.0</v>
      </c>
      <c r="H221" s="72">
        <v>0.0</v>
      </c>
      <c r="J221" s="72">
        <v>0.0</v>
      </c>
      <c r="L221" s="105">
        <v>69.0</v>
      </c>
      <c r="N221" s="104">
        <v>69.0</v>
      </c>
      <c r="P221" s="104">
        <v>0.0</v>
      </c>
      <c r="R221" s="104">
        <v>50.0</v>
      </c>
      <c r="T221" s="104">
        <v>0.0</v>
      </c>
      <c r="V221" s="104">
        <v>0.0</v>
      </c>
      <c r="X221" s="104">
        <v>0.0</v>
      </c>
      <c r="Y221" s="73"/>
      <c r="Z221" s="105">
        <v>30.0</v>
      </c>
      <c r="AB221" s="104">
        <v>30.0</v>
      </c>
      <c r="AD221" s="104">
        <v>0.0</v>
      </c>
      <c r="AF221" s="81">
        <f t="shared" si="1"/>
        <v>3710.238</v>
      </c>
      <c r="AG221" s="78">
        <f t="shared" si="2"/>
        <v>248</v>
      </c>
      <c r="AH221" s="78">
        <f t="shared" si="3"/>
        <v>0</v>
      </c>
      <c r="AI221" s="78">
        <f t="shared" si="4"/>
        <v>248</v>
      </c>
      <c r="AJ221" s="82">
        <f t="shared" si="5"/>
        <v>14.9606371</v>
      </c>
    </row>
    <row r="222">
      <c r="A222" s="76" t="s">
        <v>17</v>
      </c>
      <c r="B222" s="77">
        <f t="shared" si="6"/>
        <v>44781</v>
      </c>
      <c r="C222" s="78">
        <v>8.0</v>
      </c>
      <c r="D222" s="78" t="s">
        <v>33</v>
      </c>
      <c r="E222" s="169" t="s">
        <v>130</v>
      </c>
      <c r="F222" s="71">
        <v>0.0</v>
      </c>
      <c r="H222" s="72">
        <v>0.0</v>
      </c>
      <c r="J222" s="72">
        <v>0.0</v>
      </c>
      <c r="L222" s="105">
        <v>69.0</v>
      </c>
      <c r="N222" s="104">
        <v>69.0</v>
      </c>
      <c r="P222" s="104">
        <v>0.0</v>
      </c>
      <c r="R222" s="104">
        <v>50.0</v>
      </c>
      <c r="T222" s="104">
        <v>0.0</v>
      </c>
      <c r="V222" s="104">
        <v>0.0</v>
      </c>
      <c r="X222" s="104">
        <v>30.0</v>
      </c>
      <c r="Y222" s="73"/>
      <c r="Z222" s="105">
        <v>0.0</v>
      </c>
      <c r="AB222" s="104">
        <v>30.0</v>
      </c>
      <c r="AD222" s="104">
        <v>0.0</v>
      </c>
      <c r="AF222" s="81">
        <f t="shared" si="1"/>
        <v>3451.308</v>
      </c>
      <c r="AG222" s="78">
        <f t="shared" si="2"/>
        <v>248</v>
      </c>
      <c r="AH222" s="78">
        <f t="shared" si="3"/>
        <v>0</v>
      </c>
      <c r="AI222" s="78">
        <f t="shared" si="4"/>
        <v>248</v>
      </c>
      <c r="AJ222" s="82">
        <f t="shared" si="5"/>
        <v>13.91656452</v>
      </c>
    </row>
    <row r="223">
      <c r="A223" s="76" t="s">
        <v>21</v>
      </c>
      <c r="B223" s="77">
        <f t="shared" si="6"/>
        <v>44782</v>
      </c>
      <c r="C223" s="78">
        <v>8.0</v>
      </c>
      <c r="D223" s="78" t="s">
        <v>33</v>
      </c>
      <c r="E223" s="169" t="s">
        <v>130</v>
      </c>
      <c r="F223" s="71">
        <v>0.0</v>
      </c>
      <c r="H223" s="72">
        <v>0.0</v>
      </c>
      <c r="J223" s="72">
        <v>0.0</v>
      </c>
      <c r="L223" s="105">
        <v>69.0</v>
      </c>
      <c r="N223" s="104">
        <v>69.0</v>
      </c>
      <c r="P223" s="104">
        <v>0.0</v>
      </c>
      <c r="R223" s="104">
        <v>50.0</v>
      </c>
      <c r="T223" s="104">
        <v>0.0</v>
      </c>
      <c r="V223" s="104">
        <v>0.0</v>
      </c>
      <c r="X223" s="104">
        <v>0.0</v>
      </c>
      <c r="Y223" s="73"/>
      <c r="Z223" s="105">
        <v>30.0</v>
      </c>
      <c r="AB223" s="104">
        <v>30.0</v>
      </c>
      <c r="AD223" s="104">
        <v>0.0</v>
      </c>
      <c r="AF223" s="81">
        <f t="shared" si="1"/>
        <v>3710.238</v>
      </c>
      <c r="AG223" s="78">
        <f t="shared" si="2"/>
        <v>248</v>
      </c>
      <c r="AH223" s="78">
        <f t="shared" si="3"/>
        <v>0</v>
      </c>
      <c r="AI223" s="78">
        <f t="shared" si="4"/>
        <v>248</v>
      </c>
      <c r="AJ223" s="82">
        <f t="shared" si="5"/>
        <v>14.9606371</v>
      </c>
    </row>
    <row r="224">
      <c r="A224" s="76" t="s">
        <v>24</v>
      </c>
      <c r="B224" s="77">
        <f t="shared" si="6"/>
        <v>44783</v>
      </c>
      <c r="C224" s="78">
        <v>8.0</v>
      </c>
      <c r="D224" s="78" t="s">
        <v>33</v>
      </c>
      <c r="E224" s="169" t="s">
        <v>130</v>
      </c>
      <c r="F224" s="71">
        <v>0.0</v>
      </c>
      <c r="H224" s="72">
        <v>0.0</v>
      </c>
      <c r="J224" s="72">
        <v>0.0</v>
      </c>
      <c r="L224" s="105">
        <v>69.0</v>
      </c>
      <c r="N224" s="104">
        <v>69.0</v>
      </c>
      <c r="P224" s="104">
        <v>0.0</v>
      </c>
      <c r="R224" s="104">
        <v>50.0</v>
      </c>
      <c r="T224" s="104">
        <v>0.0</v>
      </c>
      <c r="V224" s="104">
        <v>0.0</v>
      </c>
      <c r="X224" s="104">
        <v>30.0</v>
      </c>
      <c r="Y224" s="73"/>
      <c r="Z224" s="105">
        <v>0.0</v>
      </c>
      <c r="AB224" s="104">
        <v>30.0</v>
      </c>
      <c r="AD224" s="104">
        <v>0.0</v>
      </c>
      <c r="AF224" s="81">
        <f t="shared" si="1"/>
        <v>3451.308</v>
      </c>
      <c r="AG224" s="78">
        <f t="shared" si="2"/>
        <v>248</v>
      </c>
      <c r="AH224" s="78">
        <f t="shared" si="3"/>
        <v>0</v>
      </c>
      <c r="AI224" s="78">
        <f t="shared" si="4"/>
        <v>248</v>
      </c>
      <c r="AJ224" s="82">
        <f t="shared" si="5"/>
        <v>13.91656452</v>
      </c>
    </row>
    <row r="225">
      <c r="A225" s="76" t="s">
        <v>27</v>
      </c>
      <c r="B225" s="77">
        <f t="shared" si="6"/>
        <v>44784</v>
      </c>
      <c r="C225" s="78">
        <v>8.0</v>
      </c>
      <c r="D225" s="78" t="s">
        <v>33</v>
      </c>
      <c r="E225" s="169" t="s">
        <v>130</v>
      </c>
      <c r="F225" s="71">
        <v>0.0</v>
      </c>
      <c r="H225" s="72">
        <v>0.0</v>
      </c>
      <c r="J225" s="72">
        <v>0.0</v>
      </c>
      <c r="L225" s="105">
        <v>69.0</v>
      </c>
      <c r="N225" s="104">
        <v>69.0</v>
      </c>
      <c r="P225" s="104">
        <v>0.0</v>
      </c>
      <c r="R225" s="104">
        <v>50.0</v>
      </c>
      <c r="T225" s="104">
        <v>0.0</v>
      </c>
      <c r="V225" s="104">
        <v>0.0</v>
      </c>
      <c r="X225" s="104">
        <v>0.0</v>
      </c>
      <c r="Y225" s="73"/>
      <c r="Z225" s="105">
        <v>30.0</v>
      </c>
      <c r="AB225" s="104">
        <v>30.0</v>
      </c>
      <c r="AD225" s="104">
        <v>0.0</v>
      </c>
      <c r="AF225" s="81">
        <f t="shared" si="1"/>
        <v>3710.238</v>
      </c>
      <c r="AG225" s="78">
        <f t="shared" si="2"/>
        <v>248</v>
      </c>
      <c r="AH225" s="78">
        <f t="shared" si="3"/>
        <v>0</v>
      </c>
      <c r="AI225" s="78">
        <f t="shared" si="4"/>
        <v>248</v>
      </c>
      <c r="AJ225" s="82">
        <f t="shared" si="5"/>
        <v>14.9606371</v>
      </c>
    </row>
    <row r="226">
      <c r="A226" s="83" t="s">
        <v>30</v>
      </c>
      <c r="B226" s="84">
        <f t="shared" si="6"/>
        <v>44785</v>
      </c>
      <c r="C226" s="85">
        <v>8.0</v>
      </c>
      <c r="D226" s="85" t="s">
        <v>33</v>
      </c>
      <c r="E226" s="170" t="s">
        <v>130</v>
      </c>
      <c r="F226" s="88">
        <v>0.0</v>
      </c>
      <c r="G226" s="89"/>
      <c r="H226" s="90">
        <v>0.0</v>
      </c>
      <c r="I226" s="89"/>
      <c r="J226" s="90">
        <v>0.0</v>
      </c>
      <c r="K226" s="89"/>
      <c r="L226" s="112">
        <v>0.0</v>
      </c>
      <c r="M226" s="89"/>
      <c r="N226" s="111">
        <v>0.0</v>
      </c>
      <c r="O226" s="89"/>
      <c r="P226" s="111">
        <v>0.0</v>
      </c>
      <c r="Q226" s="89"/>
      <c r="R226" s="111">
        <v>0.0</v>
      </c>
      <c r="S226" s="89"/>
      <c r="T226" s="111">
        <v>0.0</v>
      </c>
      <c r="U226" s="89"/>
      <c r="V226" s="111">
        <v>0.0</v>
      </c>
      <c r="W226" s="89"/>
      <c r="X226" s="111">
        <v>0.0</v>
      </c>
      <c r="Y226" s="91"/>
      <c r="Z226" s="112">
        <v>0.0</v>
      </c>
      <c r="AA226" s="89"/>
      <c r="AB226" s="111">
        <v>0.0</v>
      </c>
      <c r="AC226" s="89"/>
      <c r="AD226" s="111">
        <v>0.0</v>
      </c>
      <c r="AE226" s="89"/>
      <c r="AF226" s="92">
        <f t="shared" si="1"/>
        <v>0</v>
      </c>
      <c r="AG226" s="85">
        <f t="shared" si="2"/>
        <v>0</v>
      </c>
      <c r="AH226" s="85">
        <f t="shared" si="3"/>
        <v>0</v>
      </c>
      <c r="AI226" s="85">
        <f t="shared" si="4"/>
        <v>0</v>
      </c>
      <c r="AJ226" s="93" t="str">
        <f t="shared" si="5"/>
        <v/>
      </c>
    </row>
    <row r="227">
      <c r="A227" s="66" t="s">
        <v>11</v>
      </c>
      <c r="B227" s="94">
        <f t="shared" si="6"/>
        <v>44786</v>
      </c>
      <c r="C227" s="68">
        <v>9.0</v>
      </c>
      <c r="D227" s="68" t="s">
        <v>48</v>
      </c>
      <c r="E227" s="171" t="s">
        <v>130</v>
      </c>
      <c r="F227" s="71">
        <v>0.0</v>
      </c>
      <c r="H227" s="72">
        <v>0.0</v>
      </c>
      <c r="J227" s="72">
        <v>0.0</v>
      </c>
      <c r="L227" s="105">
        <v>69.0</v>
      </c>
      <c r="N227" s="104">
        <v>69.0</v>
      </c>
      <c r="P227" s="104">
        <v>0.0</v>
      </c>
      <c r="R227" s="104">
        <v>50.0</v>
      </c>
      <c r="T227" s="104">
        <v>1.0</v>
      </c>
      <c r="V227" s="104">
        <v>1.0</v>
      </c>
      <c r="X227" s="104">
        <v>30.0</v>
      </c>
      <c r="Y227" s="73"/>
      <c r="Z227" s="105">
        <v>0.0</v>
      </c>
      <c r="AB227" s="104">
        <v>30.0</v>
      </c>
      <c r="AD227" s="104">
        <v>0.0</v>
      </c>
      <c r="AF227" s="74">
        <f t="shared" si="1"/>
        <v>4186.308</v>
      </c>
      <c r="AG227" s="68">
        <f t="shared" si="2"/>
        <v>248</v>
      </c>
      <c r="AH227" s="68">
        <f t="shared" si="3"/>
        <v>2</v>
      </c>
      <c r="AI227" s="68">
        <f t="shared" si="4"/>
        <v>250</v>
      </c>
      <c r="AJ227" s="75">
        <f t="shared" si="5"/>
        <v>16.745232</v>
      </c>
    </row>
    <row r="228">
      <c r="A228" s="76" t="s">
        <v>16</v>
      </c>
      <c r="B228" s="77">
        <f t="shared" si="6"/>
        <v>44787</v>
      </c>
      <c r="C228" s="78">
        <v>9.0</v>
      </c>
      <c r="D228" s="78" t="s">
        <v>48</v>
      </c>
      <c r="E228" s="169" t="s">
        <v>130</v>
      </c>
      <c r="F228" s="71">
        <v>0.0</v>
      </c>
      <c r="H228" s="72">
        <v>0.0</v>
      </c>
      <c r="J228" s="72">
        <v>0.0</v>
      </c>
      <c r="L228" s="105">
        <v>69.0</v>
      </c>
      <c r="N228" s="104">
        <v>69.0</v>
      </c>
      <c r="P228" s="104">
        <v>0.0</v>
      </c>
      <c r="R228" s="104">
        <v>50.0</v>
      </c>
      <c r="T228" s="104">
        <v>0.0</v>
      </c>
      <c r="V228" s="104">
        <v>0.0</v>
      </c>
      <c r="X228" s="104">
        <v>0.0</v>
      </c>
      <c r="Y228" s="73"/>
      <c r="Z228" s="105">
        <v>30.0</v>
      </c>
      <c r="AB228" s="104">
        <v>30.0</v>
      </c>
      <c r="AD228" s="104">
        <v>0.0</v>
      </c>
      <c r="AF228" s="81">
        <f t="shared" si="1"/>
        <v>3710.238</v>
      </c>
      <c r="AG228" s="78">
        <f t="shared" si="2"/>
        <v>248</v>
      </c>
      <c r="AH228" s="78">
        <f t="shared" si="3"/>
        <v>0</v>
      </c>
      <c r="AI228" s="78">
        <f t="shared" si="4"/>
        <v>248</v>
      </c>
      <c r="AJ228" s="82">
        <f t="shared" si="5"/>
        <v>14.9606371</v>
      </c>
    </row>
    <row r="229">
      <c r="A229" s="76" t="s">
        <v>17</v>
      </c>
      <c r="B229" s="77">
        <f t="shared" si="6"/>
        <v>44788</v>
      </c>
      <c r="C229" s="78">
        <v>9.0</v>
      </c>
      <c r="D229" s="78" t="s">
        <v>48</v>
      </c>
      <c r="E229" s="169" t="s">
        <v>130</v>
      </c>
      <c r="F229" s="71">
        <v>0.0</v>
      </c>
      <c r="H229" s="72">
        <v>0.0</v>
      </c>
      <c r="J229" s="72">
        <v>0.0</v>
      </c>
      <c r="L229" s="105">
        <v>69.0</v>
      </c>
      <c r="N229" s="104">
        <v>69.0</v>
      </c>
      <c r="P229" s="104">
        <v>0.0</v>
      </c>
      <c r="R229" s="104">
        <v>50.0</v>
      </c>
      <c r="T229" s="104">
        <v>0.0</v>
      </c>
      <c r="V229" s="104">
        <v>0.0</v>
      </c>
      <c r="X229" s="104">
        <v>30.0</v>
      </c>
      <c r="Y229" s="73"/>
      <c r="Z229" s="105">
        <v>0.0</v>
      </c>
      <c r="AB229" s="104">
        <v>30.0</v>
      </c>
      <c r="AD229" s="104">
        <v>0.0</v>
      </c>
      <c r="AF229" s="81">
        <f t="shared" si="1"/>
        <v>3451.308</v>
      </c>
      <c r="AG229" s="78">
        <f t="shared" si="2"/>
        <v>248</v>
      </c>
      <c r="AH229" s="78">
        <f t="shared" si="3"/>
        <v>0</v>
      </c>
      <c r="AI229" s="78">
        <f t="shared" si="4"/>
        <v>248</v>
      </c>
      <c r="AJ229" s="82">
        <f t="shared" si="5"/>
        <v>13.91656452</v>
      </c>
    </row>
    <row r="230">
      <c r="A230" s="76" t="s">
        <v>21</v>
      </c>
      <c r="B230" s="77">
        <f t="shared" si="6"/>
        <v>44789</v>
      </c>
      <c r="C230" s="78">
        <v>9.0</v>
      </c>
      <c r="D230" s="78" t="s">
        <v>48</v>
      </c>
      <c r="E230" s="169" t="s">
        <v>130</v>
      </c>
      <c r="F230" s="71">
        <v>0.0</v>
      </c>
      <c r="H230" s="72">
        <v>0.0</v>
      </c>
      <c r="J230" s="72">
        <v>0.0</v>
      </c>
      <c r="L230" s="105">
        <v>69.0</v>
      </c>
      <c r="N230" s="104">
        <v>69.0</v>
      </c>
      <c r="P230" s="104">
        <v>0.0</v>
      </c>
      <c r="R230" s="104">
        <v>50.0</v>
      </c>
      <c r="T230" s="104">
        <v>0.0</v>
      </c>
      <c r="V230" s="104">
        <v>0.0</v>
      </c>
      <c r="X230" s="104">
        <v>0.0</v>
      </c>
      <c r="Y230" s="73"/>
      <c r="Z230" s="105">
        <v>30.0</v>
      </c>
      <c r="AB230" s="104">
        <v>30.0</v>
      </c>
      <c r="AD230" s="104">
        <v>0.0</v>
      </c>
      <c r="AF230" s="81">
        <f t="shared" si="1"/>
        <v>3710.238</v>
      </c>
      <c r="AG230" s="78">
        <f t="shared" si="2"/>
        <v>248</v>
      </c>
      <c r="AH230" s="78">
        <f t="shared" si="3"/>
        <v>0</v>
      </c>
      <c r="AI230" s="78">
        <f t="shared" si="4"/>
        <v>248</v>
      </c>
      <c r="AJ230" s="82">
        <f t="shared" si="5"/>
        <v>14.9606371</v>
      </c>
    </row>
    <row r="231">
      <c r="A231" s="76" t="s">
        <v>24</v>
      </c>
      <c r="B231" s="77">
        <f t="shared" si="6"/>
        <v>44790</v>
      </c>
      <c r="C231" s="78">
        <v>9.0</v>
      </c>
      <c r="D231" s="78" t="s">
        <v>48</v>
      </c>
      <c r="E231" s="169" t="s">
        <v>130</v>
      </c>
      <c r="F231" s="71">
        <v>0.0</v>
      </c>
      <c r="H231" s="72">
        <v>0.0</v>
      </c>
      <c r="J231" s="72">
        <v>0.0</v>
      </c>
      <c r="L231" s="105">
        <v>69.0</v>
      </c>
      <c r="N231" s="104">
        <v>69.0</v>
      </c>
      <c r="P231" s="104">
        <v>0.0</v>
      </c>
      <c r="R231" s="104">
        <v>50.0</v>
      </c>
      <c r="T231" s="104">
        <v>0.0</v>
      </c>
      <c r="V231" s="104">
        <v>0.0</v>
      </c>
      <c r="X231" s="104">
        <v>30.0</v>
      </c>
      <c r="Y231" s="73"/>
      <c r="Z231" s="105">
        <v>0.0</v>
      </c>
      <c r="AB231" s="104">
        <v>30.0</v>
      </c>
      <c r="AD231" s="104">
        <v>0.0</v>
      </c>
      <c r="AF231" s="81">
        <f t="shared" si="1"/>
        <v>3451.308</v>
      </c>
      <c r="AG231" s="78">
        <f t="shared" si="2"/>
        <v>248</v>
      </c>
      <c r="AH231" s="78">
        <f t="shared" si="3"/>
        <v>0</v>
      </c>
      <c r="AI231" s="78">
        <f t="shared" si="4"/>
        <v>248</v>
      </c>
      <c r="AJ231" s="82">
        <f t="shared" si="5"/>
        <v>13.91656452</v>
      </c>
    </row>
    <row r="232">
      <c r="A232" s="76" t="s">
        <v>27</v>
      </c>
      <c r="B232" s="77">
        <f t="shared" si="6"/>
        <v>44791</v>
      </c>
      <c r="C232" s="78">
        <v>9.0</v>
      </c>
      <c r="D232" s="78" t="s">
        <v>48</v>
      </c>
      <c r="E232" s="169" t="s">
        <v>130</v>
      </c>
      <c r="F232" s="71">
        <v>0.0</v>
      </c>
      <c r="H232" s="72">
        <v>0.0</v>
      </c>
      <c r="J232" s="72">
        <v>0.0</v>
      </c>
      <c r="L232" s="105">
        <v>69.0</v>
      </c>
      <c r="N232" s="104">
        <v>69.0</v>
      </c>
      <c r="P232" s="104">
        <v>0.0</v>
      </c>
      <c r="R232" s="104">
        <v>50.0</v>
      </c>
      <c r="T232" s="104">
        <v>0.0</v>
      </c>
      <c r="V232" s="104">
        <v>0.0</v>
      </c>
      <c r="X232" s="104">
        <v>0.0</v>
      </c>
      <c r="Y232" s="73"/>
      <c r="Z232" s="105">
        <v>30.0</v>
      </c>
      <c r="AB232" s="104">
        <v>30.0</v>
      </c>
      <c r="AD232" s="104">
        <v>0.0</v>
      </c>
      <c r="AF232" s="81">
        <f t="shared" si="1"/>
        <v>3710.238</v>
      </c>
      <c r="AG232" s="78">
        <f t="shared" si="2"/>
        <v>248</v>
      </c>
      <c r="AH232" s="78">
        <f t="shared" si="3"/>
        <v>0</v>
      </c>
      <c r="AI232" s="78">
        <f t="shared" si="4"/>
        <v>248</v>
      </c>
      <c r="AJ232" s="82">
        <f t="shared" si="5"/>
        <v>14.9606371</v>
      </c>
    </row>
    <row r="233">
      <c r="A233" s="83" t="s">
        <v>30</v>
      </c>
      <c r="B233" s="84">
        <f t="shared" si="6"/>
        <v>44792</v>
      </c>
      <c r="C233" s="85">
        <v>9.0</v>
      </c>
      <c r="D233" s="85" t="s">
        <v>48</v>
      </c>
      <c r="E233" s="170" t="s">
        <v>130</v>
      </c>
      <c r="F233" s="88">
        <v>0.0</v>
      </c>
      <c r="G233" s="89"/>
      <c r="H233" s="90">
        <v>0.0</v>
      </c>
      <c r="I233" s="89"/>
      <c r="J233" s="90">
        <v>0.0</v>
      </c>
      <c r="K233" s="89"/>
      <c r="L233" s="112">
        <v>0.0</v>
      </c>
      <c r="M233" s="89"/>
      <c r="N233" s="111">
        <v>0.0</v>
      </c>
      <c r="O233" s="89"/>
      <c r="P233" s="111">
        <v>0.0</v>
      </c>
      <c r="Q233" s="89"/>
      <c r="R233" s="111">
        <v>0.0</v>
      </c>
      <c r="S233" s="89"/>
      <c r="T233" s="111">
        <v>0.0</v>
      </c>
      <c r="U233" s="89"/>
      <c r="V233" s="111">
        <v>0.0</v>
      </c>
      <c r="W233" s="89"/>
      <c r="X233" s="111">
        <v>0.0</v>
      </c>
      <c r="Y233" s="91"/>
      <c r="Z233" s="112">
        <v>0.0</v>
      </c>
      <c r="AA233" s="89"/>
      <c r="AB233" s="111">
        <v>0.0</v>
      </c>
      <c r="AC233" s="89"/>
      <c r="AD233" s="111">
        <v>0.0</v>
      </c>
      <c r="AE233" s="89"/>
      <c r="AF233" s="92">
        <f t="shared" si="1"/>
        <v>0</v>
      </c>
      <c r="AG233" s="85">
        <f t="shared" si="2"/>
        <v>0</v>
      </c>
      <c r="AH233" s="85">
        <f t="shared" si="3"/>
        <v>0</v>
      </c>
      <c r="AI233" s="85">
        <f t="shared" si="4"/>
        <v>0</v>
      </c>
      <c r="AJ233" s="93" t="str">
        <f t="shared" si="5"/>
        <v/>
      </c>
    </row>
    <row r="234">
      <c r="A234" s="66" t="s">
        <v>11</v>
      </c>
      <c r="B234" s="94">
        <f t="shared" si="6"/>
        <v>44793</v>
      </c>
      <c r="C234" s="68">
        <v>9.0</v>
      </c>
      <c r="D234" s="68" t="s">
        <v>59</v>
      </c>
      <c r="E234" s="171" t="s">
        <v>130</v>
      </c>
      <c r="F234" s="71">
        <v>0.0</v>
      </c>
      <c r="H234" s="72">
        <v>0.0</v>
      </c>
      <c r="J234" s="72">
        <v>0.0</v>
      </c>
      <c r="L234" s="105">
        <v>69.0</v>
      </c>
      <c r="N234" s="104">
        <v>69.0</v>
      </c>
      <c r="P234" s="104">
        <v>0.0</v>
      </c>
      <c r="R234" s="104">
        <v>50.0</v>
      </c>
      <c r="T234" s="104">
        <v>1.0</v>
      </c>
      <c r="V234" s="104">
        <v>1.0</v>
      </c>
      <c r="X234" s="104">
        <v>30.0</v>
      </c>
      <c r="Y234" s="73"/>
      <c r="Z234" s="105">
        <v>0.0</v>
      </c>
      <c r="AB234" s="104">
        <v>30.0</v>
      </c>
      <c r="AD234" s="104">
        <v>0.0</v>
      </c>
      <c r="AF234" s="74">
        <f t="shared" si="1"/>
        <v>4186.308</v>
      </c>
      <c r="AG234" s="68">
        <f t="shared" si="2"/>
        <v>248</v>
      </c>
      <c r="AH234" s="68">
        <f t="shared" si="3"/>
        <v>2</v>
      </c>
      <c r="AI234" s="68">
        <f t="shared" si="4"/>
        <v>250</v>
      </c>
      <c r="AJ234" s="75">
        <f t="shared" si="5"/>
        <v>16.745232</v>
      </c>
    </row>
    <row r="235">
      <c r="A235" s="76" t="s">
        <v>16</v>
      </c>
      <c r="B235" s="77">
        <f t="shared" si="6"/>
        <v>44794</v>
      </c>
      <c r="C235" s="78">
        <v>9.0</v>
      </c>
      <c r="D235" s="78" t="s">
        <v>59</v>
      </c>
      <c r="E235" s="169" t="s">
        <v>130</v>
      </c>
      <c r="F235" s="71">
        <v>0.0</v>
      </c>
      <c r="H235" s="72">
        <v>0.0</v>
      </c>
      <c r="J235" s="72">
        <v>0.0</v>
      </c>
      <c r="L235" s="105">
        <v>69.0</v>
      </c>
      <c r="N235" s="104">
        <v>69.0</v>
      </c>
      <c r="P235" s="104">
        <v>0.0</v>
      </c>
      <c r="R235" s="104">
        <v>50.0</v>
      </c>
      <c r="T235" s="104">
        <v>0.0</v>
      </c>
      <c r="V235" s="104">
        <v>0.0</v>
      </c>
      <c r="X235" s="104">
        <v>0.0</v>
      </c>
      <c r="Y235" s="73"/>
      <c r="Z235" s="105">
        <v>30.0</v>
      </c>
      <c r="AB235" s="104">
        <v>30.0</v>
      </c>
      <c r="AD235" s="104">
        <v>0.0</v>
      </c>
      <c r="AF235" s="81">
        <f t="shared" si="1"/>
        <v>3710.238</v>
      </c>
      <c r="AG235" s="78">
        <f t="shared" si="2"/>
        <v>248</v>
      </c>
      <c r="AH235" s="78">
        <f t="shared" si="3"/>
        <v>0</v>
      </c>
      <c r="AI235" s="78">
        <f t="shared" si="4"/>
        <v>248</v>
      </c>
      <c r="AJ235" s="82">
        <f t="shared" si="5"/>
        <v>14.9606371</v>
      </c>
    </row>
    <row r="236">
      <c r="A236" s="76" t="s">
        <v>17</v>
      </c>
      <c r="B236" s="77">
        <f t="shared" si="6"/>
        <v>44795</v>
      </c>
      <c r="C236" s="78">
        <v>9.0</v>
      </c>
      <c r="D236" s="78" t="s">
        <v>59</v>
      </c>
      <c r="E236" s="169" t="s">
        <v>130</v>
      </c>
      <c r="F236" s="71">
        <v>0.0</v>
      </c>
      <c r="H236" s="72">
        <v>0.0</v>
      </c>
      <c r="J236" s="72">
        <v>0.0</v>
      </c>
      <c r="L236" s="105">
        <v>69.0</v>
      </c>
      <c r="N236" s="104">
        <v>69.0</v>
      </c>
      <c r="P236" s="104">
        <v>0.0</v>
      </c>
      <c r="R236" s="104">
        <v>50.0</v>
      </c>
      <c r="T236" s="104">
        <v>0.0</v>
      </c>
      <c r="V236" s="104">
        <v>0.0</v>
      </c>
      <c r="X236" s="104">
        <v>30.0</v>
      </c>
      <c r="Y236" s="73"/>
      <c r="Z236" s="105">
        <v>0.0</v>
      </c>
      <c r="AB236" s="104">
        <v>30.0</v>
      </c>
      <c r="AD236" s="104">
        <v>0.0</v>
      </c>
      <c r="AF236" s="81">
        <f t="shared" si="1"/>
        <v>3451.308</v>
      </c>
      <c r="AG236" s="78">
        <f t="shared" si="2"/>
        <v>248</v>
      </c>
      <c r="AH236" s="78">
        <f t="shared" si="3"/>
        <v>0</v>
      </c>
      <c r="AI236" s="78">
        <f t="shared" si="4"/>
        <v>248</v>
      </c>
      <c r="AJ236" s="82">
        <f t="shared" si="5"/>
        <v>13.91656452</v>
      </c>
    </row>
    <row r="237">
      <c r="A237" s="76" t="s">
        <v>21</v>
      </c>
      <c r="B237" s="77">
        <f t="shared" si="6"/>
        <v>44796</v>
      </c>
      <c r="C237" s="78">
        <v>9.0</v>
      </c>
      <c r="D237" s="78" t="s">
        <v>59</v>
      </c>
      <c r="E237" s="169" t="s">
        <v>130</v>
      </c>
      <c r="F237" s="71">
        <v>0.0</v>
      </c>
      <c r="H237" s="72">
        <v>0.0</v>
      </c>
      <c r="J237" s="72">
        <v>0.0</v>
      </c>
      <c r="L237" s="105">
        <v>69.0</v>
      </c>
      <c r="N237" s="104">
        <v>69.0</v>
      </c>
      <c r="P237" s="104">
        <v>0.0</v>
      </c>
      <c r="R237" s="104">
        <v>50.0</v>
      </c>
      <c r="T237" s="104">
        <v>0.0</v>
      </c>
      <c r="V237" s="104">
        <v>0.0</v>
      </c>
      <c r="X237" s="104">
        <v>0.0</v>
      </c>
      <c r="Y237" s="73"/>
      <c r="Z237" s="105">
        <v>30.0</v>
      </c>
      <c r="AB237" s="104">
        <v>30.0</v>
      </c>
      <c r="AD237" s="104">
        <v>0.0</v>
      </c>
      <c r="AF237" s="81">
        <f t="shared" si="1"/>
        <v>3710.238</v>
      </c>
      <c r="AG237" s="78">
        <f t="shared" si="2"/>
        <v>248</v>
      </c>
      <c r="AH237" s="78">
        <f t="shared" si="3"/>
        <v>0</v>
      </c>
      <c r="AI237" s="78">
        <f t="shared" si="4"/>
        <v>248</v>
      </c>
      <c r="AJ237" s="82">
        <f t="shared" si="5"/>
        <v>14.9606371</v>
      </c>
    </row>
    <row r="238">
      <c r="A238" s="76" t="s">
        <v>24</v>
      </c>
      <c r="B238" s="77">
        <f t="shared" si="6"/>
        <v>44797</v>
      </c>
      <c r="C238" s="78">
        <v>9.0</v>
      </c>
      <c r="D238" s="78" t="s">
        <v>59</v>
      </c>
      <c r="E238" s="169" t="s">
        <v>130</v>
      </c>
      <c r="F238" s="71">
        <v>0.0</v>
      </c>
      <c r="H238" s="72">
        <v>0.0</v>
      </c>
      <c r="J238" s="72">
        <v>0.0</v>
      </c>
      <c r="L238" s="105">
        <v>69.0</v>
      </c>
      <c r="N238" s="104">
        <v>69.0</v>
      </c>
      <c r="P238" s="104">
        <v>0.0</v>
      </c>
      <c r="R238" s="104">
        <v>50.0</v>
      </c>
      <c r="T238" s="104">
        <v>0.0</v>
      </c>
      <c r="V238" s="104">
        <v>0.0</v>
      </c>
      <c r="X238" s="104">
        <v>30.0</v>
      </c>
      <c r="Y238" s="73"/>
      <c r="Z238" s="105">
        <v>0.0</v>
      </c>
      <c r="AB238" s="104">
        <v>30.0</v>
      </c>
      <c r="AD238" s="104">
        <v>0.0</v>
      </c>
      <c r="AF238" s="81">
        <f t="shared" si="1"/>
        <v>3451.308</v>
      </c>
      <c r="AG238" s="78">
        <f t="shared" si="2"/>
        <v>248</v>
      </c>
      <c r="AH238" s="78">
        <f t="shared" si="3"/>
        <v>0</v>
      </c>
      <c r="AI238" s="78">
        <f t="shared" si="4"/>
        <v>248</v>
      </c>
      <c r="AJ238" s="82">
        <f t="shared" si="5"/>
        <v>13.91656452</v>
      </c>
    </row>
    <row r="239">
      <c r="A239" s="76" t="s">
        <v>27</v>
      </c>
      <c r="B239" s="77">
        <f t="shared" si="6"/>
        <v>44798</v>
      </c>
      <c r="C239" s="78">
        <v>9.0</v>
      </c>
      <c r="D239" s="78" t="s">
        <v>59</v>
      </c>
      <c r="E239" s="169" t="s">
        <v>130</v>
      </c>
      <c r="F239" s="71">
        <v>0.0</v>
      </c>
      <c r="H239" s="72">
        <v>0.0</v>
      </c>
      <c r="J239" s="72">
        <v>0.0</v>
      </c>
      <c r="L239" s="105">
        <v>69.0</v>
      </c>
      <c r="N239" s="104">
        <v>69.0</v>
      </c>
      <c r="P239" s="104">
        <v>0.0</v>
      </c>
      <c r="R239" s="104">
        <v>50.0</v>
      </c>
      <c r="T239" s="104">
        <v>0.0</v>
      </c>
      <c r="V239" s="104">
        <v>0.0</v>
      </c>
      <c r="X239" s="104">
        <v>0.0</v>
      </c>
      <c r="Y239" s="73"/>
      <c r="Z239" s="105">
        <v>30.0</v>
      </c>
      <c r="AB239" s="104">
        <v>30.0</v>
      </c>
      <c r="AD239" s="104">
        <v>0.0</v>
      </c>
      <c r="AF239" s="81">
        <f t="shared" si="1"/>
        <v>3710.238</v>
      </c>
      <c r="AG239" s="78">
        <f t="shared" si="2"/>
        <v>248</v>
      </c>
      <c r="AH239" s="78">
        <f t="shared" si="3"/>
        <v>0</v>
      </c>
      <c r="AI239" s="78">
        <f t="shared" si="4"/>
        <v>248</v>
      </c>
      <c r="AJ239" s="82">
        <f t="shared" si="5"/>
        <v>14.9606371</v>
      </c>
    </row>
    <row r="240">
      <c r="A240" s="83" t="s">
        <v>30</v>
      </c>
      <c r="B240" s="84">
        <f t="shared" si="6"/>
        <v>44799</v>
      </c>
      <c r="C240" s="85">
        <v>9.0</v>
      </c>
      <c r="D240" s="85" t="s">
        <v>59</v>
      </c>
      <c r="E240" s="170" t="s">
        <v>130</v>
      </c>
      <c r="F240" s="88">
        <v>0.0</v>
      </c>
      <c r="G240" s="89"/>
      <c r="H240" s="90">
        <v>0.0</v>
      </c>
      <c r="I240" s="89"/>
      <c r="J240" s="90">
        <v>0.0</v>
      </c>
      <c r="K240" s="89"/>
      <c r="L240" s="112">
        <v>0.0</v>
      </c>
      <c r="M240" s="89"/>
      <c r="N240" s="111">
        <v>0.0</v>
      </c>
      <c r="O240" s="89"/>
      <c r="P240" s="111">
        <v>0.0</v>
      </c>
      <c r="Q240" s="89"/>
      <c r="R240" s="111">
        <v>0.0</v>
      </c>
      <c r="S240" s="89"/>
      <c r="T240" s="111">
        <v>0.0</v>
      </c>
      <c r="U240" s="89"/>
      <c r="V240" s="111">
        <v>0.0</v>
      </c>
      <c r="W240" s="89"/>
      <c r="X240" s="111">
        <v>0.0</v>
      </c>
      <c r="Y240" s="91"/>
      <c r="Z240" s="112">
        <v>0.0</v>
      </c>
      <c r="AA240" s="89"/>
      <c r="AB240" s="111">
        <v>0.0</v>
      </c>
      <c r="AC240" s="89"/>
      <c r="AD240" s="111">
        <v>0.0</v>
      </c>
      <c r="AE240" s="89"/>
      <c r="AF240" s="92">
        <f t="shared" si="1"/>
        <v>0</v>
      </c>
      <c r="AG240" s="85">
        <f t="shared" si="2"/>
        <v>0</v>
      </c>
      <c r="AH240" s="85">
        <f t="shared" si="3"/>
        <v>0</v>
      </c>
      <c r="AI240" s="85">
        <f t="shared" si="4"/>
        <v>0</v>
      </c>
      <c r="AJ240" s="93" t="str">
        <f t="shared" si="5"/>
        <v/>
      </c>
    </row>
    <row r="241">
      <c r="A241" s="66" t="s">
        <v>11</v>
      </c>
      <c r="B241" s="94">
        <f t="shared" si="6"/>
        <v>44800</v>
      </c>
      <c r="C241" s="68">
        <v>9.0</v>
      </c>
      <c r="D241" s="68" t="s">
        <v>12</v>
      </c>
      <c r="E241" s="70" t="s">
        <v>131</v>
      </c>
      <c r="F241" s="71">
        <v>0.0</v>
      </c>
      <c r="H241" s="72">
        <v>0.0</v>
      </c>
      <c r="J241" s="72">
        <v>0.0</v>
      </c>
      <c r="L241" s="105">
        <v>73.0</v>
      </c>
      <c r="N241" s="104">
        <v>73.0</v>
      </c>
      <c r="P241" s="104">
        <v>0.0</v>
      </c>
      <c r="R241" s="104">
        <v>0.0</v>
      </c>
      <c r="T241" s="104">
        <v>1.0</v>
      </c>
      <c r="V241" s="104">
        <v>1.0</v>
      </c>
      <c r="X241" s="104">
        <v>0.0</v>
      </c>
      <c r="Y241" s="73"/>
      <c r="Z241" s="105">
        <v>30.0</v>
      </c>
      <c r="AB241" s="104">
        <v>30.0</v>
      </c>
      <c r="AD241" s="104">
        <v>0.0</v>
      </c>
      <c r="AF241" s="74">
        <f t="shared" si="1"/>
        <v>4243.386</v>
      </c>
      <c r="AG241" s="68">
        <f t="shared" si="2"/>
        <v>206</v>
      </c>
      <c r="AH241" s="68">
        <f t="shared" si="3"/>
        <v>2</v>
      </c>
      <c r="AI241" s="68">
        <f t="shared" si="4"/>
        <v>208</v>
      </c>
      <c r="AJ241" s="75">
        <f t="shared" si="5"/>
        <v>20.40089423</v>
      </c>
    </row>
    <row r="242">
      <c r="A242" s="76" t="s">
        <v>16</v>
      </c>
      <c r="B242" s="77">
        <f t="shared" si="6"/>
        <v>44801</v>
      </c>
      <c r="C242" s="78">
        <v>9.0</v>
      </c>
      <c r="D242" s="78" t="s">
        <v>12</v>
      </c>
      <c r="E242" s="80" t="s">
        <v>131</v>
      </c>
      <c r="F242" s="71">
        <v>0.0</v>
      </c>
      <c r="H242" s="72">
        <v>0.0</v>
      </c>
      <c r="J242" s="72">
        <v>0.0</v>
      </c>
      <c r="L242" s="105">
        <v>73.0</v>
      </c>
      <c r="N242" s="104">
        <v>73.0</v>
      </c>
      <c r="P242" s="104">
        <v>0.0</v>
      </c>
      <c r="R242" s="104">
        <v>0.0</v>
      </c>
      <c r="T242" s="104">
        <v>0.0</v>
      </c>
      <c r="V242" s="104">
        <v>0.0</v>
      </c>
      <c r="X242" s="104">
        <v>0.0</v>
      </c>
      <c r="Y242" s="73"/>
      <c r="Z242" s="105">
        <v>30.0</v>
      </c>
      <c r="AB242" s="104">
        <v>30.0</v>
      </c>
      <c r="AD242" s="104">
        <v>0.0</v>
      </c>
      <c r="AF242" s="81">
        <f t="shared" si="1"/>
        <v>3508.386</v>
      </c>
      <c r="AG242" s="78">
        <f t="shared" si="2"/>
        <v>206</v>
      </c>
      <c r="AH242" s="78">
        <f t="shared" si="3"/>
        <v>0</v>
      </c>
      <c r="AI242" s="78">
        <f t="shared" si="4"/>
        <v>206</v>
      </c>
      <c r="AJ242" s="82">
        <f t="shared" si="5"/>
        <v>17.031</v>
      </c>
    </row>
    <row r="243">
      <c r="A243" s="76" t="s">
        <v>17</v>
      </c>
      <c r="B243" s="77">
        <f t="shared" si="6"/>
        <v>44802</v>
      </c>
      <c r="C243" s="78">
        <v>9.0</v>
      </c>
      <c r="D243" s="78" t="s">
        <v>12</v>
      </c>
      <c r="E243" s="80" t="s">
        <v>131</v>
      </c>
      <c r="F243" s="71">
        <v>0.0</v>
      </c>
      <c r="H243" s="72">
        <v>0.0</v>
      </c>
      <c r="J243" s="72">
        <v>0.0</v>
      </c>
      <c r="L243" s="105">
        <v>73.0</v>
      </c>
      <c r="N243" s="104">
        <v>73.0</v>
      </c>
      <c r="P243" s="104">
        <v>0.0</v>
      </c>
      <c r="R243" s="104">
        <v>0.0</v>
      </c>
      <c r="T243" s="104">
        <v>0.0</v>
      </c>
      <c r="V243" s="104">
        <v>0.0</v>
      </c>
      <c r="X243" s="104">
        <v>0.0</v>
      </c>
      <c r="Y243" s="73"/>
      <c r="Z243" s="105">
        <v>30.0</v>
      </c>
      <c r="AB243" s="104">
        <v>30.0</v>
      </c>
      <c r="AD243" s="104">
        <v>0.0</v>
      </c>
      <c r="AF243" s="81">
        <f t="shared" si="1"/>
        <v>3508.386</v>
      </c>
      <c r="AG243" s="78">
        <f t="shared" si="2"/>
        <v>206</v>
      </c>
      <c r="AH243" s="78">
        <f t="shared" si="3"/>
        <v>0</v>
      </c>
      <c r="AI243" s="78">
        <f t="shared" si="4"/>
        <v>206</v>
      </c>
      <c r="AJ243" s="82">
        <f t="shared" si="5"/>
        <v>17.031</v>
      </c>
    </row>
    <row r="244">
      <c r="A244" s="76" t="s">
        <v>21</v>
      </c>
      <c r="B244" s="77">
        <f t="shared" si="6"/>
        <v>44803</v>
      </c>
      <c r="C244" s="78">
        <v>9.0</v>
      </c>
      <c r="D244" s="78" t="s">
        <v>12</v>
      </c>
      <c r="E244" s="80" t="s">
        <v>131</v>
      </c>
      <c r="F244" s="71">
        <v>0.0</v>
      </c>
      <c r="H244" s="72">
        <v>0.0</v>
      </c>
      <c r="J244" s="72">
        <v>0.0</v>
      </c>
      <c r="L244" s="105">
        <v>73.0</v>
      </c>
      <c r="N244" s="104">
        <v>73.0</v>
      </c>
      <c r="P244" s="104">
        <v>0.0</v>
      </c>
      <c r="R244" s="104">
        <v>0.0</v>
      </c>
      <c r="T244" s="104">
        <v>0.0</v>
      </c>
      <c r="V244" s="104">
        <v>0.0</v>
      </c>
      <c r="X244" s="104">
        <v>0.0</v>
      </c>
      <c r="Y244" s="73"/>
      <c r="Z244" s="105">
        <v>30.0</v>
      </c>
      <c r="AB244" s="104">
        <v>30.0</v>
      </c>
      <c r="AD244" s="104">
        <v>0.0</v>
      </c>
      <c r="AF244" s="81">
        <f t="shared" si="1"/>
        <v>3508.386</v>
      </c>
      <c r="AG244" s="78">
        <f t="shared" si="2"/>
        <v>206</v>
      </c>
      <c r="AH244" s="78">
        <f t="shared" si="3"/>
        <v>0</v>
      </c>
      <c r="AI244" s="78">
        <f t="shared" si="4"/>
        <v>206</v>
      </c>
      <c r="AJ244" s="82">
        <f t="shared" si="5"/>
        <v>17.031</v>
      </c>
    </row>
    <row r="245">
      <c r="A245" s="76" t="s">
        <v>24</v>
      </c>
      <c r="B245" s="77">
        <f t="shared" si="6"/>
        <v>44804</v>
      </c>
      <c r="C245" s="78">
        <v>9.0</v>
      </c>
      <c r="D245" s="78" t="s">
        <v>12</v>
      </c>
      <c r="E245" s="80" t="s">
        <v>131</v>
      </c>
      <c r="F245" s="71">
        <v>0.0</v>
      </c>
      <c r="H245" s="72">
        <v>0.0</v>
      </c>
      <c r="J245" s="72">
        <v>0.0</v>
      </c>
      <c r="L245" s="105">
        <v>73.0</v>
      </c>
      <c r="N245" s="104">
        <v>73.0</v>
      </c>
      <c r="P245" s="104">
        <v>0.0</v>
      </c>
      <c r="R245" s="104">
        <v>0.0</v>
      </c>
      <c r="T245" s="104">
        <v>0.0</v>
      </c>
      <c r="V245" s="104">
        <v>0.0</v>
      </c>
      <c r="X245" s="104">
        <v>0.0</v>
      </c>
      <c r="Y245" s="73"/>
      <c r="Z245" s="105">
        <v>30.0</v>
      </c>
      <c r="AB245" s="104">
        <v>30.0</v>
      </c>
      <c r="AD245" s="104">
        <v>0.0</v>
      </c>
      <c r="AF245" s="81">
        <f t="shared" si="1"/>
        <v>3508.386</v>
      </c>
      <c r="AG245" s="78">
        <f t="shared" si="2"/>
        <v>206</v>
      </c>
      <c r="AH245" s="78">
        <f t="shared" si="3"/>
        <v>0</v>
      </c>
      <c r="AI245" s="78">
        <f t="shared" si="4"/>
        <v>206</v>
      </c>
      <c r="AJ245" s="82">
        <f t="shared" si="5"/>
        <v>17.031</v>
      </c>
    </row>
    <row r="246">
      <c r="A246" s="76" t="s">
        <v>27</v>
      </c>
      <c r="B246" s="77">
        <f t="shared" si="6"/>
        <v>44805</v>
      </c>
      <c r="C246" s="78">
        <v>9.0</v>
      </c>
      <c r="D246" s="78" t="s">
        <v>12</v>
      </c>
      <c r="E246" s="80" t="s">
        <v>131</v>
      </c>
      <c r="F246" s="71">
        <v>0.0</v>
      </c>
      <c r="H246" s="72">
        <v>0.0</v>
      </c>
      <c r="J246" s="72">
        <v>0.0</v>
      </c>
      <c r="L246" s="105">
        <v>73.0</v>
      </c>
      <c r="N246" s="104">
        <v>73.0</v>
      </c>
      <c r="P246" s="104">
        <v>0.0</v>
      </c>
      <c r="R246" s="104">
        <v>0.0</v>
      </c>
      <c r="T246" s="104">
        <v>0.0</v>
      </c>
      <c r="V246" s="104">
        <v>0.0</v>
      </c>
      <c r="X246" s="104">
        <v>0.0</v>
      </c>
      <c r="Y246" s="73"/>
      <c r="Z246" s="105">
        <v>30.0</v>
      </c>
      <c r="AB246" s="104">
        <v>30.0</v>
      </c>
      <c r="AD246" s="104">
        <v>0.0</v>
      </c>
      <c r="AF246" s="81">
        <f t="shared" si="1"/>
        <v>3508.386</v>
      </c>
      <c r="AG246" s="78">
        <f t="shared" si="2"/>
        <v>206</v>
      </c>
      <c r="AH246" s="78">
        <f t="shared" si="3"/>
        <v>0</v>
      </c>
      <c r="AI246" s="78">
        <f t="shared" si="4"/>
        <v>206</v>
      </c>
      <c r="AJ246" s="82">
        <f t="shared" si="5"/>
        <v>17.031</v>
      </c>
    </row>
    <row r="247">
      <c r="A247" s="83" t="s">
        <v>30</v>
      </c>
      <c r="B247" s="84">
        <f t="shared" si="6"/>
        <v>44806</v>
      </c>
      <c r="C247" s="85">
        <v>9.0</v>
      </c>
      <c r="D247" s="85" t="s">
        <v>12</v>
      </c>
      <c r="E247" s="87" t="s">
        <v>131</v>
      </c>
      <c r="F247" s="88">
        <v>0.0</v>
      </c>
      <c r="G247" s="89"/>
      <c r="H247" s="90">
        <v>0.0</v>
      </c>
      <c r="I247" s="89"/>
      <c r="J247" s="90">
        <v>0.0</v>
      </c>
      <c r="K247" s="89"/>
      <c r="L247" s="112">
        <v>0.0</v>
      </c>
      <c r="M247" s="89"/>
      <c r="N247" s="111">
        <v>0.0</v>
      </c>
      <c r="O247" s="89"/>
      <c r="P247" s="111">
        <v>0.0</v>
      </c>
      <c r="Q247" s="89"/>
      <c r="R247" s="111">
        <v>0.0</v>
      </c>
      <c r="S247" s="89"/>
      <c r="T247" s="111">
        <v>0.0</v>
      </c>
      <c r="U247" s="89"/>
      <c r="V247" s="111">
        <v>0.0</v>
      </c>
      <c r="W247" s="89"/>
      <c r="X247" s="111">
        <v>0.0</v>
      </c>
      <c r="Y247" s="91"/>
      <c r="Z247" s="112">
        <v>0.0</v>
      </c>
      <c r="AA247" s="89"/>
      <c r="AB247" s="111">
        <v>0.0</v>
      </c>
      <c r="AC247" s="89"/>
      <c r="AD247" s="111">
        <v>0.0</v>
      </c>
      <c r="AE247" s="89"/>
      <c r="AF247" s="92">
        <f t="shared" si="1"/>
        <v>0</v>
      </c>
      <c r="AG247" s="85">
        <f t="shared" si="2"/>
        <v>0</v>
      </c>
      <c r="AH247" s="85">
        <f t="shared" si="3"/>
        <v>0</v>
      </c>
      <c r="AI247" s="85">
        <f t="shared" si="4"/>
        <v>0</v>
      </c>
      <c r="AJ247" s="93" t="str">
        <f t="shared" si="5"/>
        <v/>
      </c>
    </row>
    <row r="248">
      <c r="A248" s="66" t="s">
        <v>11</v>
      </c>
      <c r="B248" s="94">
        <f t="shared" si="6"/>
        <v>44807</v>
      </c>
      <c r="C248" s="68">
        <v>9.0</v>
      </c>
      <c r="D248" s="68" t="s">
        <v>33</v>
      </c>
      <c r="E248" s="70" t="s">
        <v>131</v>
      </c>
      <c r="F248" s="71">
        <v>0.0</v>
      </c>
      <c r="H248" s="72">
        <v>0.0</v>
      </c>
      <c r="J248" s="72">
        <v>0.0</v>
      </c>
      <c r="L248" s="105">
        <v>73.0</v>
      </c>
      <c r="N248" s="104">
        <v>73.0</v>
      </c>
      <c r="P248" s="104">
        <v>0.0</v>
      </c>
      <c r="R248" s="104">
        <v>0.0</v>
      </c>
      <c r="T248" s="104">
        <v>1.0</v>
      </c>
      <c r="V248" s="104">
        <v>1.0</v>
      </c>
      <c r="X248" s="104">
        <v>0.0</v>
      </c>
      <c r="Y248" s="73"/>
      <c r="Z248" s="105">
        <v>30.0</v>
      </c>
      <c r="AB248" s="104">
        <v>30.0</v>
      </c>
      <c r="AD248" s="104">
        <v>0.0</v>
      </c>
      <c r="AF248" s="74">
        <f t="shared" si="1"/>
        <v>4243.386</v>
      </c>
      <c r="AG248" s="68">
        <f t="shared" si="2"/>
        <v>206</v>
      </c>
      <c r="AH248" s="68">
        <f t="shared" si="3"/>
        <v>2</v>
      </c>
      <c r="AI248" s="68">
        <f t="shared" si="4"/>
        <v>208</v>
      </c>
      <c r="AJ248" s="75">
        <f t="shared" si="5"/>
        <v>20.40089423</v>
      </c>
    </row>
    <row r="249">
      <c r="A249" s="76" t="s">
        <v>16</v>
      </c>
      <c r="B249" s="77">
        <f t="shared" si="6"/>
        <v>44808</v>
      </c>
      <c r="C249" s="78">
        <v>9.0</v>
      </c>
      <c r="D249" s="78" t="s">
        <v>33</v>
      </c>
      <c r="E249" s="80" t="s">
        <v>131</v>
      </c>
      <c r="F249" s="71">
        <v>0.0</v>
      </c>
      <c r="H249" s="72">
        <v>0.0</v>
      </c>
      <c r="J249" s="72">
        <v>0.0</v>
      </c>
      <c r="L249" s="105">
        <v>73.0</v>
      </c>
      <c r="N249" s="104">
        <v>73.0</v>
      </c>
      <c r="P249" s="104">
        <v>0.0</v>
      </c>
      <c r="R249" s="104">
        <v>0.0</v>
      </c>
      <c r="T249" s="104">
        <v>0.0</v>
      </c>
      <c r="V249" s="104">
        <v>0.0</v>
      </c>
      <c r="X249" s="104">
        <v>0.0</v>
      </c>
      <c r="Y249" s="73"/>
      <c r="Z249" s="105">
        <v>30.0</v>
      </c>
      <c r="AB249" s="104">
        <v>30.0</v>
      </c>
      <c r="AD249" s="104">
        <v>0.0</v>
      </c>
      <c r="AF249" s="81">
        <f t="shared" si="1"/>
        <v>3508.386</v>
      </c>
      <c r="AG249" s="78">
        <f t="shared" si="2"/>
        <v>206</v>
      </c>
      <c r="AH249" s="78">
        <f t="shared" si="3"/>
        <v>0</v>
      </c>
      <c r="AI249" s="78">
        <f t="shared" si="4"/>
        <v>206</v>
      </c>
      <c r="AJ249" s="82">
        <f t="shared" si="5"/>
        <v>17.031</v>
      </c>
    </row>
    <row r="250">
      <c r="A250" s="76" t="s">
        <v>17</v>
      </c>
      <c r="B250" s="77">
        <f t="shared" si="6"/>
        <v>44809</v>
      </c>
      <c r="C250" s="78">
        <v>9.0</v>
      </c>
      <c r="D250" s="78" t="s">
        <v>33</v>
      </c>
      <c r="E250" s="80" t="s">
        <v>131</v>
      </c>
      <c r="F250" s="71">
        <v>0.0</v>
      </c>
      <c r="H250" s="72">
        <v>0.0</v>
      </c>
      <c r="J250" s="72">
        <v>0.0</v>
      </c>
      <c r="L250" s="105">
        <v>73.0</v>
      </c>
      <c r="N250" s="104">
        <v>73.0</v>
      </c>
      <c r="P250" s="104">
        <v>0.0</v>
      </c>
      <c r="R250" s="104">
        <v>0.0</v>
      </c>
      <c r="T250" s="104">
        <v>0.0</v>
      </c>
      <c r="V250" s="104">
        <v>0.0</v>
      </c>
      <c r="X250" s="104">
        <v>0.0</v>
      </c>
      <c r="Y250" s="73"/>
      <c r="Z250" s="105">
        <v>30.0</v>
      </c>
      <c r="AB250" s="104">
        <v>30.0</v>
      </c>
      <c r="AD250" s="104">
        <v>0.0</v>
      </c>
      <c r="AF250" s="81">
        <f t="shared" si="1"/>
        <v>3508.386</v>
      </c>
      <c r="AG250" s="78">
        <f t="shared" si="2"/>
        <v>206</v>
      </c>
      <c r="AH250" s="78">
        <f t="shared" si="3"/>
        <v>0</v>
      </c>
      <c r="AI250" s="78">
        <f t="shared" si="4"/>
        <v>206</v>
      </c>
      <c r="AJ250" s="82">
        <f t="shared" si="5"/>
        <v>17.031</v>
      </c>
    </row>
    <row r="251">
      <c r="A251" s="76" t="s">
        <v>21</v>
      </c>
      <c r="B251" s="77">
        <f t="shared" si="6"/>
        <v>44810</v>
      </c>
      <c r="C251" s="78">
        <v>9.0</v>
      </c>
      <c r="D251" s="78" t="s">
        <v>33</v>
      </c>
      <c r="E251" s="80" t="s">
        <v>131</v>
      </c>
      <c r="F251" s="71">
        <v>0.0</v>
      </c>
      <c r="H251" s="72">
        <v>0.0</v>
      </c>
      <c r="J251" s="72">
        <v>0.0</v>
      </c>
      <c r="L251" s="105">
        <v>73.0</v>
      </c>
      <c r="N251" s="104">
        <v>73.0</v>
      </c>
      <c r="P251" s="104">
        <v>0.0</v>
      </c>
      <c r="R251" s="104">
        <v>0.0</v>
      </c>
      <c r="T251" s="104">
        <v>0.0</v>
      </c>
      <c r="V251" s="104">
        <v>0.0</v>
      </c>
      <c r="X251" s="104">
        <v>0.0</v>
      </c>
      <c r="Y251" s="73"/>
      <c r="Z251" s="105">
        <v>30.0</v>
      </c>
      <c r="AB251" s="104">
        <v>30.0</v>
      </c>
      <c r="AD251" s="104">
        <v>0.0</v>
      </c>
      <c r="AF251" s="81">
        <f t="shared" si="1"/>
        <v>3508.386</v>
      </c>
      <c r="AG251" s="78">
        <f t="shared" si="2"/>
        <v>206</v>
      </c>
      <c r="AH251" s="78">
        <f t="shared" si="3"/>
        <v>0</v>
      </c>
      <c r="AI251" s="78">
        <f t="shared" si="4"/>
        <v>206</v>
      </c>
      <c r="AJ251" s="82">
        <f t="shared" si="5"/>
        <v>17.031</v>
      </c>
    </row>
    <row r="252">
      <c r="A252" s="76" t="s">
        <v>24</v>
      </c>
      <c r="B252" s="77">
        <f t="shared" si="6"/>
        <v>44811</v>
      </c>
      <c r="C252" s="78">
        <v>9.0</v>
      </c>
      <c r="D252" s="78" t="s">
        <v>33</v>
      </c>
      <c r="E252" s="80" t="s">
        <v>131</v>
      </c>
      <c r="F252" s="71">
        <v>0.0</v>
      </c>
      <c r="H252" s="72">
        <v>0.0</v>
      </c>
      <c r="J252" s="72">
        <v>0.0</v>
      </c>
      <c r="L252" s="105">
        <v>73.0</v>
      </c>
      <c r="N252" s="104">
        <v>73.0</v>
      </c>
      <c r="P252" s="104">
        <v>0.0</v>
      </c>
      <c r="R252" s="104">
        <v>0.0</v>
      </c>
      <c r="T252" s="104">
        <v>0.0</v>
      </c>
      <c r="V252" s="104">
        <v>0.0</v>
      </c>
      <c r="X252" s="104">
        <v>0.0</v>
      </c>
      <c r="Y252" s="73"/>
      <c r="Z252" s="105">
        <v>30.0</v>
      </c>
      <c r="AB252" s="104">
        <v>30.0</v>
      </c>
      <c r="AD252" s="104">
        <v>0.0</v>
      </c>
      <c r="AF252" s="81">
        <f t="shared" si="1"/>
        <v>3508.386</v>
      </c>
      <c r="AG252" s="78">
        <f t="shared" si="2"/>
        <v>206</v>
      </c>
      <c r="AH252" s="78">
        <f t="shared" si="3"/>
        <v>0</v>
      </c>
      <c r="AI252" s="78">
        <f t="shared" si="4"/>
        <v>206</v>
      </c>
      <c r="AJ252" s="82">
        <f t="shared" si="5"/>
        <v>17.031</v>
      </c>
    </row>
    <row r="253">
      <c r="A253" s="76" t="s">
        <v>27</v>
      </c>
      <c r="B253" s="77">
        <f t="shared" si="6"/>
        <v>44812</v>
      </c>
      <c r="C253" s="78">
        <v>9.0</v>
      </c>
      <c r="D253" s="78" t="s">
        <v>33</v>
      </c>
      <c r="E253" s="80" t="s">
        <v>131</v>
      </c>
      <c r="F253" s="71">
        <v>0.0</v>
      </c>
      <c r="H253" s="72">
        <v>0.0</v>
      </c>
      <c r="J253" s="72">
        <v>0.0</v>
      </c>
      <c r="L253" s="105">
        <v>73.0</v>
      </c>
      <c r="N253" s="104">
        <v>73.0</v>
      </c>
      <c r="P253" s="104">
        <v>0.0</v>
      </c>
      <c r="R253" s="104">
        <v>0.0</v>
      </c>
      <c r="T253" s="104">
        <v>0.0</v>
      </c>
      <c r="V253" s="104">
        <v>0.0</v>
      </c>
      <c r="X253" s="104">
        <v>0.0</v>
      </c>
      <c r="Y253" s="73"/>
      <c r="Z253" s="105">
        <v>30.0</v>
      </c>
      <c r="AB253" s="104">
        <v>30.0</v>
      </c>
      <c r="AD253" s="104">
        <v>0.0</v>
      </c>
      <c r="AF253" s="81">
        <f t="shared" si="1"/>
        <v>3508.386</v>
      </c>
      <c r="AG253" s="78">
        <f t="shared" si="2"/>
        <v>206</v>
      </c>
      <c r="AH253" s="78">
        <f t="shared" si="3"/>
        <v>0</v>
      </c>
      <c r="AI253" s="78">
        <f t="shared" si="4"/>
        <v>206</v>
      </c>
      <c r="AJ253" s="82">
        <f t="shared" si="5"/>
        <v>17.031</v>
      </c>
    </row>
    <row r="254">
      <c r="A254" s="83" t="s">
        <v>30</v>
      </c>
      <c r="B254" s="84">
        <f t="shared" si="6"/>
        <v>44813</v>
      </c>
      <c r="C254" s="85">
        <v>9.0</v>
      </c>
      <c r="D254" s="85" t="s">
        <v>33</v>
      </c>
      <c r="E254" s="87" t="s">
        <v>131</v>
      </c>
      <c r="F254" s="88">
        <v>0.0</v>
      </c>
      <c r="G254" s="89"/>
      <c r="H254" s="90">
        <v>0.0</v>
      </c>
      <c r="I254" s="89"/>
      <c r="J254" s="90">
        <v>0.0</v>
      </c>
      <c r="K254" s="89"/>
      <c r="L254" s="112">
        <v>0.0</v>
      </c>
      <c r="M254" s="89"/>
      <c r="N254" s="111">
        <v>0.0</v>
      </c>
      <c r="O254" s="89"/>
      <c r="P254" s="111">
        <v>0.0</v>
      </c>
      <c r="Q254" s="89"/>
      <c r="R254" s="111">
        <v>0.0</v>
      </c>
      <c r="S254" s="89"/>
      <c r="T254" s="111">
        <v>0.0</v>
      </c>
      <c r="U254" s="89"/>
      <c r="V254" s="111">
        <v>0.0</v>
      </c>
      <c r="W254" s="89"/>
      <c r="X254" s="111">
        <v>0.0</v>
      </c>
      <c r="Y254" s="91"/>
      <c r="Z254" s="112">
        <v>0.0</v>
      </c>
      <c r="AA254" s="89"/>
      <c r="AB254" s="111">
        <v>0.0</v>
      </c>
      <c r="AC254" s="89"/>
      <c r="AD254" s="111">
        <v>0.0</v>
      </c>
      <c r="AE254" s="89"/>
      <c r="AF254" s="92">
        <f t="shared" si="1"/>
        <v>0</v>
      </c>
      <c r="AG254" s="85">
        <f t="shared" si="2"/>
        <v>0</v>
      </c>
      <c r="AH254" s="85">
        <f t="shared" si="3"/>
        <v>0</v>
      </c>
      <c r="AI254" s="85">
        <f t="shared" si="4"/>
        <v>0</v>
      </c>
      <c r="AJ254" s="93" t="str">
        <f t="shared" si="5"/>
        <v/>
      </c>
    </row>
    <row r="255">
      <c r="A255" s="66" t="s">
        <v>11</v>
      </c>
      <c r="B255" s="94">
        <f t="shared" si="6"/>
        <v>44814</v>
      </c>
      <c r="C255" s="68">
        <v>10.0</v>
      </c>
      <c r="D255" s="68" t="s">
        <v>48</v>
      </c>
      <c r="E255" s="70" t="s">
        <v>131</v>
      </c>
      <c r="F255" s="71">
        <v>0.0</v>
      </c>
      <c r="H255" s="72">
        <v>0.0</v>
      </c>
      <c r="J255" s="72">
        <v>0.0</v>
      </c>
      <c r="L255" s="105">
        <v>73.0</v>
      </c>
      <c r="N255" s="104">
        <v>73.0</v>
      </c>
      <c r="P255" s="104">
        <v>0.0</v>
      </c>
      <c r="R255" s="104">
        <v>0.0</v>
      </c>
      <c r="T255" s="104">
        <v>1.0</v>
      </c>
      <c r="V255" s="104">
        <v>1.0</v>
      </c>
      <c r="X255" s="104">
        <v>0.0</v>
      </c>
      <c r="Y255" s="73"/>
      <c r="Z255" s="105">
        <v>30.0</v>
      </c>
      <c r="AB255" s="104">
        <v>30.0</v>
      </c>
      <c r="AD255" s="104">
        <v>0.0</v>
      </c>
      <c r="AF255" s="74">
        <f t="shared" si="1"/>
        <v>4243.386</v>
      </c>
      <c r="AG255" s="68">
        <f t="shared" si="2"/>
        <v>206</v>
      </c>
      <c r="AH255" s="68">
        <f t="shared" si="3"/>
        <v>2</v>
      </c>
      <c r="AI255" s="68">
        <f t="shared" si="4"/>
        <v>208</v>
      </c>
      <c r="AJ255" s="75">
        <f t="shared" si="5"/>
        <v>20.40089423</v>
      </c>
    </row>
    <row r="256">
      <c r="A256" s="76" t="s">
        <v>16</v>
      </c>
      <c r="B256" s="77">
        <f t="shared" si="6"/>
        <v>44815</v>
      </c>
      <c r="C256" s="78">
        <v>10.0</v>
      </c>
      <c r="D256" s="78" t="s">
        <v>48</v>
      </c>
      <c r="E256" s="80" t="s">
        <v>131</v>
      </c>
      <c r="F256" s="71">
        <v>0.0</v>
      </c>
      <c r="H256" s="72">
        <v>0.0</v>
      </c>
      <c r="J256" s="72">
        <v>0.0</v>
      </c>
      <c r="L256" s="105">
        <v>73.0</v>
      </c>
      <c r="N256" s="104">
        <v>73.0</v>
      </c>
      <c r="P256" s="104">
        <v>0.0</v>
      </c>
      <c r="R256" s="104">
        <v>0.0</v>
      </c>
      <c r="T256" s="104">
        <v>0.0</v>
      </c>
      <c r="V256" s="104">
        <v>0.0</v>
      </c>
      <c r="X256" s="104">
        <v>0.0</v>
      </c>
      <c r="Y256" s="73"/>
      <c r="Z256" s="105">
        <v>30.0</v>
      </c>
      <c r="AB256" s="104">
        <v>30.0</v>
      </c>
      <c r="AD256" s="104">
        <v>0.0</v>
      </c>
      <c r="AF256" s="81">
        <f t="shared" si="1"/>
        <v>3508.386</v>
      </c>
      <c r="AG256" s="78">
        <f t="shared" si="2"/>
        <v>206</v>
      </c>
      <c r="AH256" s="78">
        <f t="shared" si="3"/>
        <v>0</v>
      </c>
      <c r="AI256" s="78">
        <f t="shared" si="4"/>
        <v>206</v>
      </c>
      <c r="AJ256" s="82">
        <f t="shared" si="5"/>
        <v>17.031</v>
      </c>
    </row>
    <row r="257">
      <c r="A257" s="76" t="s">
        <v>17</v>
      </c>
      <c r="B257" s="77">
        <f t="shared" si="6"/>
        <v>44816</v>
      </c>
      <c r="C257" s="78">
        <v>10.0</v>
      </c>
      <c r="D257" s="78" t="s">
        <v>48</v>
      </c>
      <c r="E257" s="80" t="s">
        <v>131</v>
      </c>
      <c r="F257" s="71">
        <v>0.0</v>
      </c>
      <c r="H257" s="72">
        <v>0.0</v>
      </c>
      <c r="J257" s="72">
        <v>0.0</v>
      </c>
      <c r="L257" s="105">
        <v>73.0</v>
      </c>
      <c r="N257" s="104">
        <v>73.0</v>
      </c>
      <c r="P257" s="104">
        <v>0.0</v>
      </c>
      <c r="R257" s="104">
        <v>0.0</v>
      </c>
      <c r="T257" s="104">
        <v>0.0</v>
      </c>
      <c r="V257" s="104">
        <v>0.0</v>
      </c>
      <c r="X257" s="104">
        <v>0.0</v>
      </c>
      <c r="Y257" s="73"/>
      <c r="Z257" s="105">
        <v>30.0</v>
      </c>
      <c r="AB257" s="104">
        <v>30.0</v>
      </c>
      <c r="AD257" s="104">
        <v>0.0</v>
      </c>
      <c r="AF257" s="81">
        <f t="shared" si="1"/>
        <v>3508.386</v>
      </c>
      <c r="AG257" s="78">
        <f t="shared" si="2"/>
        <v>206</v>
      </c>
      <c r="AH257" s="78">
        <f t="shared" si="3"/>
        <v>0</v>
      </c>
      <c r="AI257" s="78">
        <f t="shared" si="4"/>
        <v>206</v>
      </c>
      <c r="AJ257" s="82">
        <f t="shared" si="5"/>
        <v>17.031</v>
      </c>
    </row>
    <row r="258">
      <c r="A258" s="76" t="s">
        <v>21</v>
      </c>
      <c r="B258" s="77">
        <f t="shared" si="6"/>
        <v>44817</v>
      </c>
      <c r="C258" s="78">
        <v>10.0</v>
      </c>
      <c r="D258" s="78" t="s">
        <v>48</v>
      </c>
      <c r="E258" s="80" t="s">
        <v>131</v>
      </c>
      <c r="F258" s="71">
        <v>0.0</v>
      </c>
      <c r="H258" s="72">
        <v>0.0</v>
      </c>
      <c r="J258" s="72">
        <v>0.0</v>
      </c>
      <c r="L258" s="105">
        <v>73.0</v>
      </c>
      <c r="N258" s="104">
        <v>73.0</v>
      </c>
      <c r="P258" s="104">
        <v>0.0</v>
      </c>
      <c r="R258" s="104">
        <v>0.0</v>
      </c>
      <c r="T258" s="104">
        <v>0.0</v>
      </c>
      <c r="V258" s="104">
        <v>0.0</v>
      </c>
      <c r="X258" s="104">
        <v>0.0</v>
      </c>
      <c r="Y258" s="73"/>
      <c r="Z258" s="105">
        <v>30.0</v>
      </c>
      <c r="AB258" s="104">
        <v>30.0</v>
      </c>
      <c r="AD258" s="104">
        <v>0.0</v>
      </c>
      <c r="AF258" s="81">
        <f t="shared" si="1"/>
        <v>3508.386</v>
      </c>
      <c r="AG258" s="78">
        <f t="shared" si="2"/>
        <v>206</v>
      </c>
      <c r="AH258" s="78">
        <f t="shared" si="3"/>
        <v>0</v>
      </c>
      <c r="AI258" s="78">
        <f t="shared" si="4"/>
        <v>206</v>
      </c>
      <c r="AJ258" s="82">
        <f t="shared" si="5"/>
        <v>17.031</v>
      </c>
    </row>
    <row r="259">
      <c r="A259" s="76" t="s">
        <v>24</v>
      </c>
      <c r="B259" s="77">
        <f t="shared" si="6"/>
        <v>44818</v>
      </c>
      <c r="C259" s="78">
        <v>10.0</v>
      </c>
      <c r="D259" s="78" t="s">
        <v>48</v>
      </c>
      <c r="E259" s="80" t="s">
        <v>131</v>
      </c>
      <c r="F259" s="71">
        <v>0.0</v>
      </c>
      <c r="H259" s="72">
        <v>0.0</v>
      </c>
      <c r="J259" s="72">
        <v>0.0</v>
      </c>
      <c r="L259" s="105">
        <v>73.0</v>
      </c>
      <c r="N259" s="104">
        <v>73.0</v>
      </c>
      <c r="P259" s="104">
        <v>0.0</v>
      </c>
      <c r="R259" s="104">
        <v>0.0</v>
      </c>
      <c r="T259" s="104">
        <v>0.0</v>
      </c>
      <c r="V259" s="104">
        <v>0.0</v>
      </c>
      <c r="X259" s="104">
        <v>0.0</v>
      </c>
      <c r="Y259" s="73"/>
      <c r="Z259" s="105">
        <v>30.0</v>
      </c>
      <c r="AB259" s="104">
        <v>30.0</v>
      </c>
      <c r="AD259" s="104">
        <v>0.0</v>
      </c>
      <c r="AF259" s="81">
        <f t="shared" si="1"/>
        <v>3508.386</v>
      </c>
      <c r="AG259" s="78">
        <f t="shared" si="2"/>
        <v>206</v>
      </c>
      <c r="AH259" s="78">
        <f t="shared" si="3"/>
        <v>0</v>
      </c>
      <c r="AI259" s="78">
        <f t="shared" si="4"/>
        <v>206</v>
      </c>
      <c r="AJ259" s="82">
        <f t="shared" si="5"/>
        <v>17.031</v>
      </c>
    </row>
    <row r="260">
      <c r="A260" s="76" t="s">
        <v>27</v>
      </c>
      <c r="B260" s="77">
        <f t="shared" si="6"/>
        <v>44819</v>
      </c>
      <c r="C260" s="78">
        <v>10.0</v>
      </c>
      <c r="D260" s="78" t="s">
        <v>48</v>
      </c>
      <c r="E260" s="80" t="s">
        <v>131</v>
      </c>
      <c r="F260" s="71">
        <v>0.0</v>
      </c>
      <c r="H260" s="72">
        <v>0.0</v>
      </c>
      <c r="J260" s="72">
        <v>0.0</v>
      </c>
      <c r="L260" s="105">
        <v>73.0</v>
      </c>
      <c r="N260" s="104">
        <v>73.0</v>
      </c>
      <c r="P260" s="104">
        <v>0.0</v>
      </c>
      <c r="R260" s="104">
        <v>0.0</v>
      </c>
      <c r="T260" s="104">
        <v>0.0</v>
      </c>
      <c r="V260" s="104">
        <v>0.0</v>
      </c>
      <c r="X260" s="104">
        <v>0.0</v>
      </c>
      <c r="Y260" s="73"/>
      <c r="Z260" s="105">
        <v>30.0</v>
      </c>
      <c r="AB260" s="104">
        <v>30.0</v>
      </c>
      <c r="AD260" s="104">
        <v>0.0</v>
      </c>
      <c r="AF260" s="81">
        <f t="shared" si="1"/>
        <v>3508.386</v>
      </c>
      <c r="AG260" s="78">
        <f t="shared" si="2"/>
        <v>206</v>
      </c>
      <c r="AH260" s="78">
        <f t="shared" si="3"/>
        <v>0</v>
      </c>
      <c r="AI260" s="78">
        <f t="shared" si="4"/>
        <v>206</v>
      </c>
      <c r="AJ260" s="82">
        <f t="shared" si="5"/>
        <v>17.031</v>
      </c>
    </row>
    <row r="261">
      <c r="A261" s="83" t="s">
        <v>30</v>
      </c>
      <c r="B261" s="84">
        <f t="shared" si="6"/>
        <v>44820</v>
      </c>
      <c r="C261" s="85">
        <v>10.0</v>
      </c>
      <c r="D261" s="85" t="s">
        <v>48</v>
      </c>
      <c r="E261" s="87" t="s">
        <v>131</v>
      </c>
      <c r="F261" s="88">
        <v>0.0</v>
      </c>
      <c r="G261" s="89"/>
      <c r="H261" s="90">
        <v>0.0</v>
      </c>
      <c r="I261" s="89"/>
      <c r="J261" s="90">
        <v>0.0</v>
      </c>
      <c r="K261" s="89"/>
      <c r="L261" s="112">
        <v>0.0</v>
      </c>
      <c r="M261" s="89"/>
      <c r="N261" s="111">
        <v>0.0</v>
      </c>
      <c r="O261" s="89"/>
      <c r="P261" s="111">
        <v>0.0</v>
      </c>
      <c r="Q261" s="89"/>
      <c r="R261" s="111">
        <v>0.0</v>
      </c>
      <c r="S261" s="89"/>
      <c r="T261" s="111">
        <v>0.0</v>
      </c>
      <c r="U261" s="89"/>
      <c r="V261" s="111">
        <v>0.0</v>
      </c>
      <c r="W261" s="89"/>
      <c r="X261" s="111">
        <v>0.0</v>
      </c>
      <c r="Y261" s="91"/>
      <c r="Z261" s="112">
        <v>0.0</v>
      </c>
      <c r="AA261" s="89"/>
      <c r="AB261" s="111">
        <v>0.0</v>
      </c>
      <c r="AC261" s="89"/>
      <c r="AD261" s="111">
        <v>0.0</v>
      </c>
      <c r="AE261" s="89"/>
      <c r="AF261" s="92">
        <f t="shared" si="1"/>
        <v>0</v>
      </c>
      <c r="AG261" s="85">
        <f t="shared" si="2"/>
        <v>0</v>
      </c>
      <c r="AH261" s="85">
        <f t="shared" si="3"/>
        <v>0</v>
      </c>
      <c r="AI261" s="85">
        <f t="shared" si="4"/>
        <v>0</v>
      </c>
      <c r="AJ261" s="93" t="str">
        <f t="shared" si="5"/>
        <v/>
      </c>
    </row>
    <row r="262">
      <c r="A262" s="66" t="s">
        <v>11</v>
      </c>
      <c r="B262" s="94">
        <f t="shared" si="6"/>
        <v>44821</v>
      </c>
      <c r="C262" s="68">
        <v>10.0</v>
      </c>
      <c r="D262" s="68" t="s">
        <v>59</v>
      </c>
      <c r="E262" s="70" t="s">
        <v>131</v>
      </c>
      <c r="F262" s="71">
        <v>0.0</v>
      </c>
      <c r="H262" s="72">
        <v>0.0</v>
      </c>
      <c r="J262" s="72">
        <v>0.0</v>
      </c>
      <c r="L262" s="105">
        <v>73.0</v>
      </c>
      <c r="N262" s="104">
        <v>73.0</v>
      </c>
      <c r="P262" s="104">
        <v>0.0</v>
      </c>
      <c r="R262" s="104">
        <v>0.0</v>
      </c>
      <c r="T262" s="104">
        <v>1.0</v>
      </c>
      <c r="V262" s="104">
        <v>1.0</v>
      </c>
      <c r="X262" s="104">
        <v>0.0</v>
      </c>
      <c r="Y262" s="73"/>
      <c r="Z262" s="105">
        <v>30.0</v>
      </c>
      <c r="AB262" s="104">
        <v>30.0</v>
      </c>
      <c r="AD262" s="104">
        <v>0.0</v>
      </c>
      <c r="AF262" s="74">
        <f t="shared" si="1"/>
        <v>4243.386</v>
      </c>
      <c r="AG262" s="68">
        <f t="shared" si="2"/>
        <v>206</v>
      </c>
      <c r="AH262" s="68">
        <f t="shared" si="3"/>
        <v>2</v>
      </c>
      <c r="AI262" s="68">
        <f t="shared" si="4"/>
        <v>208</v>
      </c>
      <c r="AJ262" s="75">
        <f t="shared" si="5"/>
        <v>20.40089423</v>
      </c>
    </row>
    <row r="263">
      <c r="A263" s="76" t="s">
        <v>16</v>
      </c>
      <c r="B263" s="77">
        <f t="shared" si="6"/>
        <v>44822</v>
      </c>
      <c r="C263" s="78">
        <v>10.0</v>
      </c>
      <c r="D263" s="78" t="s">
        <v>59</v>
      </c>
      <c r="E263" s="80" t="s">
        <v>131</v>
      </c>
      <c r="F263" s="71">
        <v>0.0</v>
      </c>
      <c r="H263" s="72">
        <v>0.0</v>
      </c>
      <c r="J263" s="72">
        <v>0.0</v>
      </c>
      <c r="L263" s="105">
        <v>73.0</v>
      </c>
      <c r="N263" s="104">
        <v>73.0</v>
      </c>
      <c r="P263" s="104">
        <v>0.0</v>
      </c>
      <c r="R263" s="104">
        <v>0.0</v>
      </c>
      <c r="T263" s="104">
        <v>0.0</v>
      </c>
      <c r="V263" s="104">
        <v>0.0</v>
      </c>
      <c r="X263" s="104">
        <v>0.0</v>
      </c>
      <c r="Y263" s="73"/>
      <c r="Z263" s="105">
        <v>30.0</v>
      </c>
      <c r="AB263" s="104">
        <v>30.0</v>
      </c>
      <c r="AD263" s="104">
        <v>0.0</v>
      </c>
      <c r="AF263" s="81">
        <f t="shared" si="1"/>
        <v>3508.386</v>
      </c>
      <c r="AG263" s="78">
        <f t="shared" si="2"/>
        <v>206</v>
      </c>
      <c r="AH263" s="78">
        <f t="shared" si="3"/>
        <v>0</v>
      </c>
      <c r="AI263" s="78">
        <f t="shared" si="4"/>
        <v>206</v>
      </c>
      <c r="AJ263" s="82">
        <f t="shared" si="5"/>
        <v>17.031</v>
      </c>
    </row>
    <row r="264">
      <c r="A264" s="76" t="s">
        <v>17</v>
      </c>
      <c r="B264" s="77">
        <f t="shared" si="6"/>
        <v>44823</v>
      </c>
      <c r="C264" s="78">
        <v>10.0</v>
      </c>
      <c r="D264" s="78" t="s">
        <v>59</v>
      </c>
      <c r="E264" s="80" t="s">
        <v>131</v>
      </c>
      <c r="F264" s="71">
        <v>0.0</v>
      </c>
      <c r="H264" s="72">
        <v>0.0</v>
      </c>
      <c r="J264" s="72">
        <v>0.0</v>
      </c>
      <c r="L264" s="105">
        <v>73.0</v>
      </c>
      <c r="N264" s="104">
        <v>73.0</v>
      </c>
      <c r="P264" s="104">
        <v>0.0</v>
      </c>
      <c r="R264" s="104">
        <v>0.0</v>
      </c>
      <c r="T264" s="104">
        <v>0.0</v>
      </c>
      <c r="V264" s="104">
        <v>0.0</v>
      </c>
      <c r="X264" s="104">
        <v>0.0</v>
      </c>
      <c r="Y264" s="73"/>
      <c r="Z264" s="105">
        <v>30.0</v>
      </c>
      <c r="AB264" s="104">
        <v>30.0</v>
      </c>
      <c r="AD264" s="104">
        <v>0.0</v>
      </c>
      <c r="AF264" s="81">
        <f t="shared" si="1"/>
        <v>3508.386</v>
      </c>
      <c r="AG264" s="78">
        <f t="shared" si="2"/>
        <v>206</v>
      </c>
      <c r="AH264" s="78">
        <f t="shared" si="3"/>
        <v>0</v>
      </c>
      <c r="AI264" s="78">
        <f t="shared" si="4"/>
        <v>206</v>
      </c>
      <c r="AJ264" s="82">
        <f t="shared" si="5"/>
        <v>17.031</v>
      </c>
    </row>
    <row r="265">
      <c r="A265" s="76" t="s">
        <v>21</v>
      </c>
      <c r="B265" s="77">
        <f t="shared" si="6"/>
        <v>44824</v>
      </c>
      <c r="C265" s="78">
        <v>10.0</v>
      </c>
      <c r="D265" s="78" t="s">
        <v>59</v>
      </c>
      <c r="E265" s="80" t="s">
        <v>131</v>
      </c>
      <c r="F265" s="71">
        <v>0.0</v>
      </c>
      <c r="H265" s="72">
        <v>0.0</v>
      </c>
      <c r="J265" s="72">
        <v>0.0</v>
      </c>
      <c r="L265" s="105">
        <v>73.0</v>
      </c>
      <c r="N265" s="104">
        <v>73.0</v>
      </c>
      <c r="P265" s="104">
        <v>0.0</v>
      </c>
      <c r="R265" s="104">
        <v>0.0</v>
      </c>
      <c r="T265" s="104">
        <v>0.0</v>
      </c>
      <c r="V265" s="104">
        <v>0.0</v>
      </c>
      <c r="X265" s="104">
        <v>0.0</v>
      </c>
      <c r="Y265" s="73"/>
      <c r="Z265" s="105">
        <v>30.0</v>
      </c>
      <c r="AB265" s="104">
        <v>30.0</v>
      </c>
      <c r="AD265" s="104">
        <v>0.0</v>
      </c>
      <c r="AF265" s="81">
        <f t="shared" si="1"/>
        <v>3508.386</v>
      </c>
      <c r="AG265" s="78">
        <f t="shared" si="2"/>
        <v>206</v>
      </c>
      <c r="AH265" s="78">
        <f t="shared" si="3"/>
        <v>0</v>
      </c>
      <c r="AI265" s="78">
        <f t="shared" si="4"/>
        <v>206</v>
      </c>
      <c r="AJ265" s="82">
        <f t="shared" si="5"/>
        <v>17.031</v>
      </c>
    </row>
    <row r="266">
      <c r="A266" s="76" t="s">
        <v>24</v>
      </c>
      <c r="B266" s="77">
        <f t="shared" si="6"/>
        <v>44825</v>
      </c>
      <c r="C266" s="78">
        <v>10.0</v>
      </c>
      <c r="D266" s="78" t="s">
        <v>59</v>
      </c>
      <c r="E266" s="80" t="s">
        <v>131</v>
      </c>
      <c r="F266" s="71">
        <v>0.0</v>
      </c>
      <c r="H266" s="72">
        <v>0.0</v>
      </c>
      <c r="J266" s="72">
        <v>0.0</v>
      </c>
      <c r="L266" s="105">
        <v>73.0</v>
      </c>
      <c r="N266" s="104">
        <v>73.0</v>
      </c>
      <c r="P266" s="104">
        <v>0.0</v>
      </c>
      <c r="R266" s="104">
        <v>0.0</v>
      </c>
      <c r="T266" s="104">
        <v>0.0</v>
      </c>
      <c r="V266" s="104">
        <v>0.0</v>
      </c>
      <c r="X266" s="104">
        <v>0.0</v>
      </c>
      <c r="Y266" s="73"/>
      <c r="Z266" s="105">
        <v>30.0</v>
      </c>
      <c r="AB266" s="104">
        <v>30.0</v>
      </c>
      <c r="AD266" s="104">
        <v>0.0</v>
      </c>
      <c r="AF266" s="81">
        <f t="shared" si="1"/>
        <v>3508.386</v>
      </c>
      <c r="AG266" s="78">
        <f t="shared" si="2"/>
        <v>206</v>
      </c>
      <c r="AH266" s="78">
        <f t="shared" si="3"/>
        <v>0</v>
      </c>
      <c r="AI266" s="78">
        <f t="shared" si="4"/>
        <v>206</v>
      </c>
      <c r="AJ266" s="82">
        <f t="shared" si="5"/>
        <v>17.031</v>
      </c>
    </row>
    <row r="267">
      <c r="A267" s="76" t="s">
        <v>27</v>
      </c>
      <c r="B267" s="77">
        <f t="shared" si="6"/>
        <v>44826</v>
      </c>
      <c r="C267" s="78">
        <v>10.0</v>
      </c>
      <c r="D267" s="78" t="s">
        <v>59</v>
      </c>
      <c r="E267" s="80" t="s">
        <v>131</v>
      </c>
      <c r="F267" s="71">
        <v>0.0</v>
      </c>
      <c r="H267" s="72">
        <v>0.0</v>
      </c>
      <c r="J267" s="72">
        <v>0.0</v>
      </c>
      <c r="L267" s="105">
        <v>73.0</v>
      </c>
      <c r="N267" s="104">
        <v>73.0</v>
      </c>
      <c r="P267" s="104">
        <v>0.0</v>
      </c>
      <c r="R267" s="104">
        <v>0.0</v>
      </c>
      <c r="T267" s="104">
        <v>0.0</v>
      </c>
      <c r="V267" s="104">
        <v>0.0</v>
      </c>
      <c r="X267" s="104">
        <v>0.0</v>
      </c>
      <c r="Y267" s="73"/>
      <c r="Z267" s="105">
        <v>30.0</v>
      </c>
      <c r="AB267" s="104">
        <v>30.0</v>
      </c>
      <c r="AD267" s="104">
        <v>0.0</v>
      </c>
      <c r="AF267" s="81">
        <f t="shared" si="1"/>
        <v>3508.386</v>
      </c>
      <c r="AG267" s="78">
        <f t="shared" si="2"/>
        <v>206</v>
      </c>
      <c r="AH267" s="78">
        <f t="shared" si="3"/>
        <v>0</v>
      </c>
      <c r="AI267" s="78">
        <f t="shared" si="4"/>
        <v>206</v>
      </c>
      <c r="AJ267" s="82">
        <f t="shared" si="5"/>
        <v>17.031</v>
      </c>
    </row>
    <row r="268">
      <c r="A268" s="83" t="s">
        <v>30</v>
      </c>
      <c r="B268" s="84">
        <f t="shared" si="6"/>
        <v>44827</v>
      </c>
      <c r="C268" s="85">
        <v>10.0</v>
      </c>
      <c r="D268" s="85" t="s">
        <v>59</v>
      </c>
      <c r="E268" s="87" t="s">
        <v>131</v>
      </c>
      <c r="F268" s="88">
        <v>0.0</v>
      </c>
      <c r="G268" s="89"/>
      <c r="H268" s="90">
        <v>0.0</v>
      </c>
      <c r="I268" s="89"/>
      <c r="J268" s="90">
        <v>0.0</v>
      </c>
      <c r="K268" s="89"/>
      <c r="L268" s="112">
        <v>0.0</v>
      </c>
      <c r="M268" s="89"/>
      <c r="N268" s="111">
        <v>0.0</v>
      </c>
      <c r="O268" s="89"/>
      <c r="P268" s="111">
        <v>0.0</v>
      </c>
      <c r="Q268" s="89"/>
      <c r="R268" s="111">
        <v>0.0</v>
      </c>
      <c r="S268" s="89"/>
      <c r="T268" s="111">
        <v>0.0</v>
      </c>
      <c r="U268" s="89"/>
      <c r="V268" s="111">
        <v>0.0</v>
      </c>
      <c r="W268" s="89"/>
      <c r="X268" s="111">
        <v>0.0</v>
      </c>
      <c r="Y268" s="91"/>
      <c r="Z268" s="112">
        <v>0.0</v>
      </c>
      <c r="AA268" s="89"/>
      <c r="AB268" s="111">
        <v>0.0</v>
      </c>
      <c r="AC268" s="89"/>
      <c r="AD268" s="111">
        <v>0.0</v>
      </c>
      <c r="AE268" s="89"/>
      <c r="AF268" s="92">
        <f t="shared" si="1"/>
        <v>0</v>
      </c>
      <c r="AG268" s="85">
        <f t="shared" si="2"/>
        <v>0</v>
      </c>
      <c r="AH268" s="85">
        <f t="shared" si="3"/>
        <v>0</v>
      </c>
      <c r="AI268" s="85">
        <f t="shared" si="4"/>
        <v>0</v>
      </c>
      <c r="AJ268" s="93" t="str">
        <f t="shared" si="5"/>
        <v/>
      </c>
    </row>
    <row r="269">
      <c r="A269" s="66" t="s">
        <v>11</v>
      </c>
      <c r="B269" s="94">
        <f t="shared" si="6"/>
        <v>44828</v>
      </c>
      <c r="C269" s="68">
        <v>10.0</v>
      </c>
      <c r="D269" s="68" t="s">
        <v>12</v>
      </c>
      <c r="E269" s="70" t="s">
        <v>131</v>
      </c>
      <c r="F269" s="71">
        <v>0.0</v>
      </c>
      <c r="H269" s="72">
        <v>0.0</v>
      </c>
      <c r="J269" s="72">
        <v>0.0</v>
      </c>
      <c r="L269" s="105">
        <v>73.0</v>
      </c>
      <c r="N269" s="104">
        <v>73.0</v>
      </c>
      <c r="P269" s="104">
        <v>0.0</v>
      </c>
      <c r="R269" s="104">
        <v>0.0</v>
      </c>
      <c r="T269" s="104">
        <v>1.0</v>
      </c>
      <c r="V269" s="104">
        <v>1.0</v>
      </c>
      <c r="X269" s="104">
        <v>0.0</v>
      </c>
      <c r="Y269" s="73"/>
      <c r="Z269" s="105">
        <v>30.0</v>
      </c>
      <c r="AB269" s="104">
        <v>30.0</v>
      </c>
      <c r="AD269" s="104">
        <v>0.0</v>
      </c>
      <c r="AF269" s="74">
        <f t="shared" si="1"/>
        <v>4243.386</v>
      </c>
      <c r="AG269" s="68">
        <f t="shared" si="2"/>
        <v>206</v>
      </c>
      <c r="AH269" s="68">
        <f t="shared" si="3"/>
        <v>2</v>
      </c>
      <c r="AI269" s="68">
        <f t="shared" si="4"/>
        <v>208</v>
      </c>
      <c r="AJ269" s="75">
        <f t="shared" si="5"/>
        <v>20.40089423</v>
      </c>
    </row>
    <row r="270">
      <c r="A270" s="76" t="s">
        <v>16</v>
      </c>
      <c r="B270" s="77">
        <f t="shared" si="6"/>
        <v>44829</v>
      </c>
      <c r="C270" s="78">
        <v>10.0</v>
      </c>
      <c r="D270" s="78" t="s">
        <v>12</v>
      </c>
      <c r="E270" s="80" t="s">
        <v>131</v>
      </c>
      <c r="F270" s="71">
        <v>0.0</v>
      </c>
      <c r="H270" s="72">
        <v>0.0</v>
      </c>
      <c r="J270" s="72">
        <v>0.0</v>
      </c>
      <c r="L270" s="105">
        <v>73.0</v>
      </c>
      <c r="N270" s="104">
        <v>73.0</v>
      </c>
      <c r="P270" s="104">
        <v>0.0</v>
      </c>
      <c r="R270" s="104">
        <v>0.0</v>
      </c>
      <c r="T270" s="104">
        <v>0.0</v>
      </c>
      <c r="V270" s="104">
        <v>0.0</v>
      </c>
      <c r="X270" s="104">
        <v>0.0</v>
      </c>
      <c r="Y270" s="73"/>
      <c r="Z270" s="105">
        <v>30.0</v>
      </c>
      <c r="AB270" s="104">
        <v>30.0</v>
      </c>
      <c r="AD270" s="104">
        <v>0.0</v>
      </c>
      <c r="AF270" s="81">
        <f t="shared" si="1"/>
        <v>3508.386</v>
      </c>
      <c r="AG270" s="78">
        <f t="shared" si="2"/>
        <v>206</v>
      </c>
      <c r="AH270" s="78">
        <f t="shared" si="3"/>
        <v>0</v>
      </c>
      <c r="AI270" s="78">
        <f t="shared" si="4"/>
        <v>206</v>
      </c>
      <c r="AJ270" s="82">
        <f t="shared" si="5"/>
        <v>17.031</v>
      </c>
    </row>
    <row r="271">
      <c r="A271" s="76" t="s">
        <v>17</v>
      </c>
      <c r="B271" s="77">
        <f t="shared" si="6"/>
        <v>44830</v>
      </c>
      <c r="C271" s="78">
        <v>10.0</v>
      </c>
      <c r="D271" s="78" t="s">
        <v>12</v>
      </c>
      <c r="E271" s="80" t="s">
        <v>131</v>
      </c>
      <c r="F271" s="71">
        <v>0.0</v>
      </c>
      <c r="H271" s="72">
        <v>0.0</v>
      </c>
      <c r="J271" s="72">
        <v>0.0</v>
      </c>
      <c r="L271" s="105">
        <v>73.0</v>
      </c>
      <c r="N271" s="104">
        <v>73.0</v>
      </c>
      <c r="P271" s="104">
        <v>0.0</v>
      </c>
      <c r="R271" s="104">
        <v>0.0</v>
      </c>
      <c r="T271" s="104">
        <v>0.0</v>
      </c>
      <c r="V271" s="104">
        <v>0.0</v>
      </c>
      <c r="X271" s="104">
        <v>0.0</v>
      </c>
      <c r="Y271" s="73"/>
      <c r="Z271" s="105">
        <v>30.0</v>
      </c>
      <c r="AB271" s="104">
        <v>30.0</v>
      </c>
      <c r="AD271" s="104">
        <v>0.0</v>
      </c>
      <c r="AF271" s="81">
        <f t="shared" si="1"/>
        <v>3508.386</v>
      </c>
      <c r="AG271" s="78">
        <f t="shared" si="2"/>
        <v>206</v>
      </c>
      <c r="AH271" s="78">
        <f t="shared" si="3"/>
        <v>0</v>
      </c>
      <c r="AI271" s="78">
        <f t="shared" si="4"/>
        <v>206</v>
      </c>
      <c r="AJ271" s="82">
        <f t="shared" si="5"/>
        <v>17.031</v>
      </c>
    </row>
    <row r="272">
      <c r="A272" s="76" t="s">
        <v>21</v>
      </c>
      <c r="B272" s="77">
        <f t="shared" si="6"/>
        <v>44831</v>
      </c>
      <c r="C272" s="78">
        <v>10.0</v>
      </c>
      <c r="D272" s="78" t="s">
        <v>12</v>
      </c>
      <c r="E272" s="80" t="s">
        <v>131</v>
      </c>
      <c r="F272" s="71">
        <v>0.0</v>
      </c>
      <c r="H272" s="72">
        <v>0.0</v>
      </c>
      <c r="J272" s="72">
        <v>0.0</v>
      </c>
      <c r="L272" s="105">
        <v>73.0</v>
      </c>
      <c r="N272" s="104">
        <v>73.0</v>
      </c>
      <c r="P272" s="104">
        <v>0.0</v>
      </c>
      <c r="R272" s="104">
        <v>0.0</v>
      </c>
      <c r="T272" s="104">
        <v>0.0</v>
      </c>
      <c r="V272" s="104">
        <v>0.0</v>
      </c>
      <c r="X272" s="104">
        <v>0.0</v>
      </c>
      <c r="Y272" s="73"/>
      <c r="Z272" s="105">
        <v>30.0</v>
      </c>
      <c r="AB272" s="104">
        <v>30.0</v>
      </c>
      <c r="AD272" s="104">
        <v>0.0</v>
      </c>
      <c r="AF272" s="81">
        <f t="shared" si="1"/>
        <v>3508.386</v>
      </c>
      <c r="AG272" s="78">
        <f t="shared" si="2"/>
        <v>206</v>
      </c>
      <c r="AH272" s="78">
        <f t="shared" si="3"/>
        <v>0</v>
      </c>
      <c r="AI272" s="78">
        <f t="shared" si="4"/>
        <v>206</v>
      </c>
      <c r="AJ272" s="82">
        <f t="shared" si="5"/>
        <v>17.031</v>
      </c>
    </row>
    <row r="273">
      <c r="A273" s="76" t="s">
        <v>24</v>
      </c>
      <c r="B273" s="77">
        <f t="shared" si="6"/>
        <v>44832</v>
      </c>
      <c r="C273" s="78">
        <v>10.0</v>
      </c>
      <c r="D273" s="78" t="s">
        <v>12</v>
      </c>
      <c r="E273" s="80" t="s">
        <v>131</v>
      </c>
      <c r="F273" s="71">
        <v>0.0</v>
      </c>
      <c r="H273" s="72">
        <v>0.0</v>
      </c>
      <c r="J273" s="72">
        <v>0.0</v>
      </c>
      <c r="L273" s="105">
        <v>73.0</v>
      </c>
      <c r="N273" s="104">
        <v>73.0</v>
      </c>
      <c r="P273" s="104">
        <v>0.0</v>
      </c>
      <c r="R273" s="104">
        <v>0.0</v>
      </c>
      <c r="T273" s="104">
        <v>0.0</v>
      </c>
      <c r="V273" s="104">
        <v>0.0</v>
      </c>
      <c r="X273" s="104">
        <v>0.0</v>
      </c>
      <c r="Y273" s="73"/>
      <c r="Z273" s="105">
        <v>30.0</v>
      </c>
      <c r="AB273" s="104">
        <v>30.0</v>
      </c>
      <c r="AD273" s="104">
        <v>0.0</v>
      </c>
      <c r="AF273" s="81">
        <f t="shared" si="1"/>
        <v>3508.386</v>
      </c>
      <c r="AG273" s="78">
        <f t="shared" si="2"/>
        <v>206</v>
      </c>
      <c r="AH273" s="78">
        <f t="shared" si="3"/>
        <v>0</v>
      </c>
      <c r="AI273" s="78">
        <f t="shared" si="4"/>
        <v>206</v>
      </c>
      <c r="AJ273" s="82">
        <f t="shared" si="5"/>
        <v>17.031</v>
      </c>
    </row>
    <row r="274">
      <c r="A274" s="76" t="s">
        <v>27</v>
      </c>
      <c r="B274" s="77">
        <f t="shared" si="6"/>
        <v>44833</v>
      </c>
      <c r="C274" s="78">
        <v>10.0</v>
      </c>
      <c r="D274" s="78" t="s">
        <v>12</v>
      </c>
      <c r="E274" s="80" t="s">
        <v>131</v>
      </c>
      <c r="F274" s="71">
        <v>0.0</v>
      </c>
      <c r="H274" s="72">
        <v>0.0</v>
      </c>
      <c r="J274" s="72">
        <v>0.0</v>
      </c>
      <c r="L274" s="105">
        <v>73.0</v>
      </c>
      <c r="N274" s="104">
        <v>73.0</v>
      </c>
      <c r="P274" s="104">
        <v>0.0</v>
      </c>
      <c r="R274" s="104">
        <v>0.0</v>
      </c>
      <c r="T274" s="104">
        <v>0.0</v>
      </c>
      <c r="V274" s="104">
        <v>0.0</v>
      </c>
      <c r="X274" s="104">
        <v>0.0</v>
      </c>
      <c r="Y274" s="73"/>
      <c r="Z274" s="105">
        <v>30.0</v>
      </c>
      <c r="AB274" s="104">
        <v>30.0</v>
      </c>
      <c r="AD274" s="104">
        <v>0.0</v>
      </c>
      <c r="AF274" s="81">
        <f t="shared" si="1"/>
        <v>3508.386</v>
      </c>
      <c r="AG274" s="78">
        <f t="shared" si="2"/>
        <v>206</v>
      </c>
      <c r="AH274" s="78">
        <f t="shared" si="3"/>
        <v>0</v>
      </c>
      <c r="AI274" s="78">
        <f t="shared" si="4"/>
        <v>206</v>
      </c>
      <c r="AJ274" s="82">
        <f t="shared" si="5"/>
        <v>17.031</v>
      </c>
    </row>
    <row r="275">
      <c r="A275" s="83" t="s">
        <v>30</v>
      </c>
      <c r="B275" s="84">
        <f t="shared" si="6"/>
        <v>44834</v>
      </c>
      <c r="C275" s="85">
        <v>10.0</v>
      </c>
      <c r="D275" s="85" t="s">
        <v>12</v>
      </c>
      <c r="E275" s="87" t="s">
        <v>131</v>
      </c>
      <c r="F275" s="88">
        <v>0.0</v>
      </c>
      <c r="G275" s="89"/>
      <c r="H275" s="90">
        <v>0.0</v>
      </c>
      <c r="I275" s="89"/>
      <c r="J275" s="90">
        <v>0.0</v>
      </c>
      <c r="K275" s="89"/>
      <c r="L275" s="112">
        <v>0.0</v>
      </c>
      <c r="M275" s="89"/>
      <c r="N275" s="111">
        <v>0.0</v>
      </c>
      <c r="O275" s="89"/>
      <c r="P275" s="111">
        <v>0.0</v>
      </c>
      <c r="Q275" s="89"/>
      <c r="R275" s="111">
        <v>0.0</v>
      </c>
      <c r="S275" s="89"/>
      <c r="T275" s="111">
        <v>0.0</v>
      </c>
      <c r="U275" s="89"/>
      <c r="V275" s="111">
        <v>0.0</v>
      </c>
      <c r="W275" s="89"/>
      <c r="X275" s="111">
        <v>0.0</v>
      </c>
      <c r="Y275" s="91"/>
      <c r="Z275" s="112">
        <v>0.0</v>
      </c>
      <c r="AA275" s="89"/>
      <c r="AB275" s="111">
        <v>0.0</v>
      </c>
      <c r="AC275" s="89"/>
      <c r="AD275" s="111">
        <v>0.0</v>
      </c>
      <c r="AE275" s="89"/>
      <c r="AF275" s="92">
        <f t="shared" si="1"/>
        <v>0</v>
      </c>
      <c r="AG275" s="85">
        <f t="shared" si="2"/>
        <v>0</v>
      </c>
      <c r="AH275" s="85">
        <f t="shared" si="3"/>
        <v>0</v>
      </c>
      <c r="AI275" s="85">
        <f t="shared" si="4"/>
        <v>0</v>
      </c>
      <c r="AJ275" s="93" t="str">
        <f t="shared" si="5"/>
        <v/>
      </c>
    </row>
    <row r="276">
      <c r="A276" s="66" t="s">
        <v>11</v>
      </c>
      <c r="B276" s="94">
        <f t="shared" si="6"/>
        <v>44835</v>
      </c>
      <c r="C276" s="68">
        <v>10.0</v>
      </c>
      <c r="D276" s="68" t="s">
        <v>33</v>
      </c>
      <c r="E276" s="70" t="s">
        <v>131</v>
      </c>
      <c r="F276" s="71">
        <v>0.0</v>
      </c>
      <c r="H276" s="72">
        <v>0.0</v>
      </c>
      <c r="J276" s="72">
        <v>0.0</v>
      </c>
      <c r="L276" s="105">
        <v>73.0</v>
      </c>
      <c r="N276" s="104">
        <v>73.0</v>
      </c>
      <c r="P276" s="104">
        <v>0.0</v>
      </c>
      <c r="R276" s="104">
        <v>0.0</v>
      </c>
      <c r="T276" s="104">
        <v>1.0</v>
      </c>
      <c r="V276" s="104">
        <v>1.0</v>
      </c>
      <c r="X276" s="104">
        <v>0.0</v>
      </c>
      <c r="Y276" s="73"/>
      <c r="Z276" s="105">
        <v>30.0</v>
      </c>
      <c r="AB276" s="104">
        <v>30.0</v>
      </c>
      <c r="AD276" s="104">
        <v>0.0</v>
      </c>
      <c r="AF276" s="74">
        <f t="shared" si="1"/>
        <v>4243.386</v>
      </c>
      <c r="AG276" s="68">
        <f t="shared" si="2"/>
        <v>206</v>
      </c>
      <c r="AH276" s="68">
        <f t="shared" si="3"/>
        <v>2</v>
      </c>
      <c r="AI276" s="68">
        <f t="shared" si="4"/>
        <v>208</v>
      </c>
      <c r="AJ276" s="75">
        <f t="shared" si="5"/>
        <v>20.40089423</v>
      </c>
    </row>
    <row r="277">
      <c r="A277" s="76" t="s">
        <v>16</v>
      </c>
      <c r="B277" s="77">
        <f t="shared" si="6"/>
        <v>44836</v>
      </c>
      <c r="C277" s="78">
        <v>10.0</v>
      </c>
      <c r="D277" s="78" t="s">
        <v>33</v>
      </c>
      <c r="E277" s="80" t="s">
        <v>131</v>
      </c>
      <c r="F277" s="71">
        <v>0.0</v>
      </c>
      <c r="H277" s="72">
        <v>0.0</v>
      </c>
      <c r="J277" s="72">
        <v>0.0</v>
      </c>
      <c r="L277" s="105">
        <v>73.0</v>
      </c>
      <c r="N277" s="104">
        <v>73.0</v>
      </c>
      <c r="P277" s="104">
        <v>0.0</v>
      </c>
      <c r="R277" s="104">
        <v>0.0</v>
      </c>
      <c r="T277" s="104">
        <v>0.0</v>
      </c>
      <c r="V277" s="104">
        <v>0.0</v>
      </c>
      <c r="X277" s="104">
        <v>0.0</v>
      </c>
      <c r="Y277" s="73"/>
      <c r="Z277" s="105">
        <v>30.0</v>
      </c>
      <c r="AB277" s="104">
        <v>30.0</v>
      </c>
      <c r="AD277" s="104">
        <v>0.0</v>
      </c>
      <c r="AF277" s="81">
        <f t="shared" si="1"/>
        <v>3508.386</v>
      </c>
      <c r="AG277" s="78">
        <f t="shared" si="2"/>
        <v>206</v>
      </c>
      <c r="AH277" s="78">
        <f t="shared" si="3"/>
        <v>0</v>
      </c>
      <c r="AI277" s="78">
        <f t="shared" si="4"/>
        <v>206</v>
      </c>
      <c r="AJ277" s="82">
        <f t="shared" si="5"/>
        <v>17.031</v>
      </c>
    </row>
    <row r="278">
      <c r="A278" s="76" t="s">
        <v>17</v>
      </c>
      <c r="B278" s="77">
        <f t="shared" si="6"/>
        <v>44837</v>
      </c>
      <c r="C278" s="78">
        <v>10.0</v>
      </c>
      <c r="D278" s="78" t="s">
        <v>33</v>
      </c>
      <c r="E278" s="80" t="s">
        <v>131</v>
      </c>
      <c r="F278" s="71">
        <v>0.0</v>
      </c>
      <c r="H278" s="72">
        <v>0.0</v>
      </c>
      <c r="J278" s="72">
        <v>0.0</v>
      </c>
      <c r="L278" s="105">
        <v>73.0</v>
      </c>
      <c r="N278" s="104">
        <v>73.0</v>
      </c>
      <c r="P278" s="104">
        <v>0.0</v>
      </c>
      <c r="R278" s="104">
        <v>0.0</v>
      </c>
      <c r="T278" s="104">
        <v>0.0</v>
      </c>
      <c r="V278" s="104">
        <v>0.0</v>
      </c>
      <c r="X278" s="104">
        <v>0.0</v>
      </c>
      <c r="Y278" s="73"/>
      <c r="Z278" s="105">
        <v>30.0</v>
      </c>
      <c r="AB278" s="104">
        <v>30.0</v>
      </c>
      <c r="AD278" s="104">
        <v>0.0</v>
      </c>
      <c r="AF278" s="81">
        <f t="shared" si="1"/>
        <v>3508.386</v>
      </c>
      <c r="AG278" s="78">
        <f t="shared" si="2"/>
        <v>206</v>
      </c>
      <c r="AH278" s="78">
        <f t="shared" si="3"/>
        <v>0</v>
      </c>
      <c r="AI278" s="78">
        <f t="shared" si="4"/>
        <v>206</v>
      </c>
      <c r="AJ278" s="82">
        <f t="shared" si="5"/>
        <v>17.031</v>
      </c>
    </row>
    <row r="279">
      <c r="A279" s="76" t="s">
        <v>21</v>
      </c>
      <c r="B279" s="77">
        <f t="shared" si="6"/>
        <v>44838</v>
      </c>
      <c r="C279" s="78">
        <v>10.0</v>
      </c>
      <c r="D279" s="78" t="s">
        <v>33</v>
      </c>
      <c r="E279" s="80" t="s">
        <v>131</v>
      </c>
      <c r="F279" s="71">
        <v>0.0</v>
      </c>
      <c r="H279" s="72">
        <v>0.0</v>
      </c>
      <c r="J279" s="72">
        <v>0.0</v>
      </c>
      <c r="L279" s="105">
        <v>73.0</v>
      </c>
      <c r="N279" s="104">
        <v>73.0</v>
      </c>
      <c r="P279" s="104">
        <v>0.0</v>
      </c>
      <c r="R279" s="104">
        <v>0.0</v>
      </c>
      <c r="T279" s="104">
        <v>0.0</v>
      </c>
      <c r="V279" s="104">
        <v>0.0</v>
      </c>
      <c r="X279" s="104">
        <v>0.0</v>
      </c>
      <c r="Y279" s="73"/>
      <c r="Z279" s="105">
        <v>30.0</v>
      </c>
      <c r="AB279" s="104">
        <v>30.0</v>
      </c>
      <c r="AD279" s="104">
        <v>0.0</v>
      </c>
      <c r="AF279" s="81">
        <f t="shared" si="1"/>
        <v>3508.386</v>
      </c>
      <c r="AG279" s="78">
        <f t="shared" si="2"/>
        <v>206</v>
      </c>
      <c r="AH279" s="78">
        <f t="shared" si="3"/>
        <v>0</v>
      </c>
      <c r="AI279" s="78">
        <f t="shared" si="4"/>
        <v>206</v>
      </c>
      <c r="AJ279" s="82">
        <f t="shared" si="5"/>
        <v>17.031</v>
      </c>
    </row>
    <row r="280">
      <c r="A280" s="76" t="s">
        <v>24</v>
      </c>
      <c r="B280" s="77">
        <f t="shared" si="6"/>
        <v>44839</v>
      </c>
      <c r="C280" s="78">
        <v>10.0</v>
      </c>
      <c r="D280" s="78" t="s">
        <v>33</v>
      </c>
      <c r="E280" s="80" t="s">
        <v>131</v>
      </c>
      <c r="F280" s="71">
        <v>0.0</v>
      </c>
      <c r="H280" s="72">
        <v>0.0</v>
      </c>
      <c r="J280" s="72">
        <v>0.0</v>
      </c>
      <c r="L280" s="105">
        <v>73.0</v>
      </c>
      <c r="N280" s="104">
        <v>73.0</v>
      </c>
      <c r="P280" s="104">
        <v>0.0</v>
      </c>
      <c r="R280" s="104">
        <v>0.0</v>
      </c>
      <c r="T280" s="104">
        <v>0.0</v>
      </c>
      <c r="V280" s="104">
        <v>0.0</v>
      </c>
      <c r="X280" s="104">
        <v>0.0</v>
      </c>
      <c r="Y280" s="73"/>
      <c r="Z280" s="105">
        <v>30.0</v>
      </c>
      <c r="AB280" s="104">
        <v>30.0</v>
      </c>
      <c r="AD280" s="104">
        <v>0.0</v>
      </c>
      <c r="AF280" s="81">
        <f t="shared" si="1"/>
        <v>3508.386</v>
      </c>
      <c r="AG280" s="78">
        <f t="shared" si="2"/>
        <v>206</v>
      </c>
      <c r="AH280" s="78">
        <f t="shared" si="3"/>
        <v>0</v>
      </c>
      <c r="AI280" s="78">
        <f t="shared" si="4"/>
        <v>206</v>
      </c>
      <c r="AJ280" s="82">
        <f t="shared" si="5"/>
        <v>17.031</v>
      </c>
    </row>
    <row r="281">
      <c r="A281" s="76" t="s">
        <v>27</v>
      </c>
      <c r="B281" s="77">
        <f t="shared" si="6"/>
        <v>44840</v>
      </c>
      <c r="C281" s="78">
        <v>10.0</v>
      </c>
      <c r="D281" s="78" t="s">
        <v>33</v>
      </c>
      <c r="E281" s="80" t="s">
        <v>131</v>
      </c>
      <c r="F281" s="71">
        <v>0.0</v>
      </c>
      <c r="H281" s="72">
        <v>0.0</v>
      </c>
      <c r="J281" s="72">
        <v>0.0</v>
      </c>
      <c r="L281" s="105">
        <v>73.0</v>
      </c>
      <c r="N281" s="104">
        <v>73.0</v>
      </c>
      <c r="P281" s="104">
        <v>0.0</v>
      </c>
      <c r="R281" s="104">
        <v>0.0</v>
      </c>
      <c r="T281" s="104">
        <v>0.0</v>
      </c>
      <c r="V281" s="104">
        <v>0.0</v>
      </c>
      <c r="X281" s="104">
        <v>0.0</v>
      </c>
      <c r="Y281" s="73"/>
      <c r="Z281" s="105">
        <v>30.0</v>
      </c>
      <c r="AB281" s="104">
        <v>30.0</v>
      </c>
      <c r="AD281" s="104">
        <v>0.0</v>
      </c>
      <c r="AF281" s="81">
        <f t="shared" si="1"/>
        <v>3508.386</v>
      </c>
      <c r="AG281" s="78">
        <f t="shared" si="2"/>
        <v>206</v>
      </c>
      <c r="AH281" s="78">
        <f t="shared" si="3"/>
        <v>0</v>
      </c>
      <c r="AI281" s="78">
        <f t="shared" si="4"/>
        <v>206</v>
      </c>
      <c r="AJ281" s="82">
        <f t="shared" si="5"/>
        <v>17.031</v>
      </c>
    </row>
    <row r="282">
      <c r="A282" s="83" t="s">
        <v>30</v>
      </c>
      <c r="B282" s="84">
        <f t="shared" si="6"/>
        <v>44841</v>
      </c>
      <c r="C282" s="85">
        <v>10.0</v>
      </c>
      <c r="D282" s="85" t="s">
        <v>33</v>
      </c>
      <c r="E282" s="87" t="s">
        <v>131</v>
      </c>
      <c r="F282" s="88">
        <v>0.0</v>
      </c>
      <c r="G282" s="89"/>
      <c r="H282" s="90">
        <v>0.0</v>
      </c>
      <c r="I282" s="89"/>
      <c r="J282" s="90">
        <v>0.0</v>
      </c>
      <c r="K282" s="89"/>
      <c r="L282" s="112">
        <v>0.0</v>
      </c>
      <c r="M282" s="89"/>
      <c r="N282" s="111">
        <v>0.0</v>
      </c>
      <c r="O282" s="89"/>
      <c r="P282" s="111">
        <v>0.0</v>
      </c>
      <c r="Q282" s="89"/>
      <c r="R282" s="111">
        <v>0.0</v>
      </c>
      <c r="S282" s="89"/>
      <c r="T282" s="111">
        <v>0.0</v>
      </c>
      <c r="U282" s="89"/>
      <c r="V282" s="111">
        <v>0.0</v>
      </c>
      <c r="W282" s="89"/>
      <c r="X282" s="111">
        <v>0.0</v>
      </c>
      <c r="Y282" s="91"/>
      <c r="Z282" s="112">
        <v>0.0</v>
      </c>
      <c r="AA282" s="89"/>
      <c r="AB282" s="111">
        <v>0.0</v>
      </c>
      <c r="AC282" s="89"/>
      <c r="AD282" s="111">
        <v>0.0</v>
      </c>
      <c r="AE282" s="89"/>
      <c r="AF282" s="92">
        <f t="shared" si="1"/>
        <v>0</v>
      </c>
      <c r="AG282" s="85">
        <f t="shared" si="2"/>
        <v>0</v>
      </c>
      <c r="AH282" s="85">
        <f t="shared" si="3"/>
        <v>0</v>
      </c>
      <c r="AI282" s="85">
        <f t="shared" si="4"/>
        <v>0</v>
      </c>
      <c r="AJ282" s="93" t="str">
        <f t="shared" si="5"/>
        <v/>
      </c>
    </row>
    <row r="283">
      <c r="A283" s="66" t="s">
        <v>11</v>
      </c>
      <c r="B283" s="94">
        <f t="shared" si="6"/>
        <v>44842</v>
      </c>
      <c r="C283" s="68">
        <v>11.0</v>
      </c>
      <c r="D283" s="68" t="s">
        <v>48</v>
      </c>
      <c r="E283" s="70" t="s">
        <v>131</v>
      </c>
      <c r="F283" s="71">
        <v>0.0</v>
      </c>
      <c r="H283" s="72">
        <v>0.0</v>
      </c>
      <c r="J283" s="72">
        <v>0.0</v>
      </c>
      <c r="L283" s="105">
        <v>95.0</v>
      </c>
      <c r="N283" s="104">
        <v>95.0</v>
      </c>
      <c r="P283" s="104">
        <v>0.0</v>
      </c>
      <c r="R283" s="104">
        <v>0.0</v>
      </c>
      <c r="T283" s="104">
        <v>1.0</v>
      </c>
      <c r="V283" s="104">
        <v>1.0</v>
      </c>
      <c r="X283" s="104">
        <v>0.0</v>
      </c>
      <c r="Y283" s="73"/>
      <c r="Z283" s="105">
        <v>30.0</v>
      </c>
      <c r="AB283" s="104">
        <v>30.0</v>
      </c>
      <c r="AD283" s="104">
        <v>0.0</v>
      </c>
      <c r="AF283" s="74">
        <f t="shared" si="1"/>
        <v>4992.75</v>
      </c>
      <c r="AG283" s="68">
        <f t="shared" si="2"/>
        <v>250</v>
      </c>
      <c r="AH283" s="68">
        <f t="shared" si="3"/>
        <v>2</v>
      </c>
      <c r="AI283" s="68">
        <f t="shared" si="4"/>
        <v>252</v>
      </c>
      <c r="AJ283" s="75">
        <f t="shared" si="5"/>
        <v>19.8125</v>
      </c>
    </row>
    <row r="284">
      <c r="A284" s="76" t="s">
        <v>16</v>
      </c>
      <c r="B284" s="77">
        <f t="shared" si="6"/>
        <v>44843</v>
      </c>
      <c r="C284" s="78">
        <v>11.0</v>
      </c>
      <c r="D284" s="78" t="s">
        <v>48</v>
      </c>
      <c r="E284" s="80" t="s">
        <v>131</v>
      </c>
      <c r="F284" s="71">
        <v>0.0</v>
      </c>
      <c r="H284" s="72">
        <v>0.0</v>
      </c>
      <c r="J284" s="72">
        <v>0.0</v>
      </c>
      <c r="L284" s="105">
        <v>95.0</v>
      </c>
      <c r="N284" s="104">
        <v>95.0</v>
      </c>
      <c r="P284" s="104">
        <v>0.0</v>
      </c>
      <c r="R284" s="104">
        <v>0.0</v>
      </c>
      <c r="T284" s="104">
        <v>0.0</v>
      </c>
      <c r="V284" s="104">
        <v>0.0</v>
      </c>
      <c r="X284" s="104">
        <v>0.0</v>
      </c>
      <c r="Y284" s="73"/>
      <c r="Z284" s="105">
        <v>30.0</v>
      </c>
      <c r="AB284" s="104">
        <v>30.0</v>
      </c>
      <c r="AD284" s="104">
        <v>0.0</v>
      </c>
      <c r="AF284" s="81">
        <f t="shared" si="1"/>
        <v>4257.75</v>
      </c>
      <c r="AG284" s="78">
        <f t="shared" si="2"/>
        <v>250</v>
      </c>
      <c r="AH284" s="78">
        <f t="shared" si="3"/>
        <v>0</v>
      </c>
      <c r="AI284" s="78">
        <f t="shared" si="4"/>
        <v>250</v>
      </c>
      <c r="AJ284" s="82">
        <f t="shared" si="5"/>
        <v>17.031</v>
      </c>
    </row>
    <row r="285">
      <c r="A285" s="76" t="s">
        <v>17</v>
      </c>
      <c r="B285" s="77">
        <f t="shared" si="6"/>
        <v>44844</v>
      </c>
      <c r="C285" s="78">
        <v>11.0</v>
      </c>
      <c r="D285" s="78" t="s">
        <v>48</v>
      </c>
      <c r="E285" s="80" t="s">
        <v>131</v>
      </c>
      <c r="F285" s="71">
        <v>0.0</v>
      </c>
      <c r="H285" s="72">
        <v>0.0</v>
      </c>
      <c r="J285" s="72">
        <v>0.0</v>
      </c>
      <c r="L285" s="105">
        <v>95.0</v>
      </c>
      <c r="N285" s="104">
        <v>95.0</v>
      </c>
      <c r="P285" s="104">
        <v>0.0</v>
      </c>
      <c r="R285" s="104">
        <v>0.0</v>
      </c>
      <c r="T285" s="104">
        <v>0.0</v>
      </c>
      <c r="V285" s="104">
        <v>0.0</v>
      </c>
      <c r="X285" s="104">
        <v>0.0</v>
      </c>
      <c r="Y285" s="73"/>
      <c r="Z285" s="105">
        <v>30.0</v>
      </c>
      <c r="AB285" s="104">
        <v>30.0</v>
      </c>
      <c r="AD285" s="104">
        <v>0.0</v>
      </c>
      <c r="AF285" s="81">
        <f t="shared" si="1"/>
        <v>4257.75</v>
      </c>
      <c r="AG285" s="78">
        <f t="shared" si="2"/>
        <v>250</v>
      </c>
      <c r="AH285" s="78">
        <f t="shared" si="3"/>
        <v>0</v>
      </c>
      <c r="AI285" s="78">
        <f t="shared" si="4"/>
        <v>250</v>
      </c>
      <c r="AJ285" s="82">
        <f t="shared" si="5"/>
        <v>17.031</v>
      </c>
    </row>
    <row r="286">
      <c r="A286" s="76" t="s">
        <v>21</v>
      </c>
      <c r="B286" s="77">
        <f t="shared" si="6"/>
        <v>44845</v>
      </c>
      <c r="C286" s="78">
        <v>11.0</v>
      </c>
      <c r="D286" s="78" t="s">
        <v>48</v>
      </c>
      <c r="E286" s="80" t="s">
        <v>131</v>
      </c>
      <c r="F286" s="71">
        <v>0.0</v>
      </c>
      <c r="H286" s="72">
        <v>0.0</v>
      </c>
      <c r="J286" s="72">
        <v>0.0</v>
      </c>
      <c r="L286" s="105">
        <v>95.0</v>
      </c>
      <c r="N286" s="104">
        <v>95.0</v>
      </c>
      <c r="P286" s="104">
        <v>0.0</v>
      </c>
      <c r="R286" s="104">
        <v>0.0</v>
      </c>
      <c r="T286" s="104">
        <v>0.0</v>
      </c>
      <c r="V286" s="104">
        <v>0.0</v>
      </c>
      <c r="X286" s="104">
        <v>0.0</v>
      </c>
      <c r="Y286" s="73"/>
      <c r="Z286" s="105">
        <v>30.0</v>
      </c>
      <c r="AB286" s="104">
        <v>30.0</v>
      </c>
      <c r="AD286" s="104">
        <v>0.0</v>
      </c>
      <c r="AF286" s="81">
        <f t="shared" si="1"/>
        <v>4257.75</v>
      </c>
      <c r="AG286" s="78">
        <f t="shared" si="2"/>
        <v>250</v>
      </c>
      <c r="AH286" s="78">
        <f t="shared" si="3"/>
        <v>0</v>
      </c>
      <c r="AI286" s="78">
        <f t="shared" si="4"/>
        <v>250</v>
      </c>
      <c r="AJ286" s="82">
        <f t="shared" si="5"/>
        <v>17.031</v>
      </c>
    </row>
    <row r="287">
      <c r="A287" s="76" t="s">
        <v>24</v>
      </c>
      <c r="B287" s="77">
        <f t="shared" si="6"/>
        <v>44846</v>
      </c>
      <c r="C287" s="78">
        <v>11.0</v>
      </c>
      <c r="D287" s="78" t="s">
        <v>48</v>
      </c>
      <c r="E287" s="80" t="s">
        <v>131</v>
      </c>
      <c r="F287" s="71">
        <v>0.0</v>
      </c>
      <c r="H287" s="72">
        <v>0.0</v>
      </c>
      <c r="J287" s="72">
        <v>0.0</v>
      </c>
      <c r="L287" s="105">
        <v>95.0</v>
      </c>
      <c r="N287" s="104">
        <v>95.0</v>
      </c>
      <c r="P287" s="104">
        <v>0.0</v>
      </c>
      <c r="R287" s="104">
        <v>0.0</v>
      </c>
      <c r="T287" s="104">
        <v>0.0</v>
      </c>
      <c r="V287" s="104">
        <v>0.0</v>
      </c>
      <c r="X287" s="104">
        <v>0.0</v>
      </c>
      <c r="Y287" s="73"/>
      <c r="Z287" s="105">
        <v>30.0</v>
      </c>
      <c r="AB287" s="104">
        <v>30.0</v>
      </c>
      <c r="AD287" s="104">
        <v>0.0</v>
      </c>
      <c r="AF287" s="81">
        <f t="shared" si="1"/>
        <v>4257.75</v>
      </c>
      <c r="AG287" s="78">
        <f t="shared" si="2"/>
        <v>250</v>
      </c>
      <c r="AH287" s="78">
        <f t="shared" si="3"/>
        <v>0</v>
      </c>
      <c r="AI287" s="78">
        <f t="shared" si="4"/>
        <v>250</v>
      </c>
      <c r="AJ287" s="82">
        <f t="shared" si="5"/>
        <v>17.031</v>
      </c>
    </row>
    <row r="288">
      <c r="A288" s="76" t="s">
        <v>27</v>
      </c>
      <c r="B288" s="77">
        <f t="shared" si="6"/>
        <v>44847</v>
      </c>
      <c r="C288" s="78">
        <v>11.0</v>
      </c>
      <c r="D288" s="78" t="s">
        <v>48</v>
      </c>
      <c r="E288" s="80" t="s">
        <v>131</v>
      </c>
      <c r="F288" s="71">
        <v>0.0</v>
      </c>
      <c r="H288" s="72">
        <v>0.0</v>
      </c>
      <c r="J288" s="72">
        <v>0.0</v>
      </c>
      <c r="L288" s="105">
        <v>0.0</v>
      </c>
      <c r="N288" s="104">
        <v>0.0</v>
      </c>
      <c r="P288" s="104">
        <v>0.0</v>
      </c>
      <c r="R288" s="104">
        <v>0.0</v>
      </c>
      <c r="T288" s="104">
        <v>0.0</v>
      </c>
      <c r="V288" s="104">
        <v>0.0</v>
      </c>
      <c r="X288" s="104">
        <v>0.0</v>
      </c>
      <c r="Y288" s="73"/>
      <c r="Z288" s="105">
        <v>0.0</v>
      </c>
      <c r="AB288" s="104">
        <v>0.0</v>
      </c>
      <c r="AD288" s="104">
        <v>0.0</v>
      </c>
      <c r="AF288" s="81">
        <f t="shared" si="1"/>
        <v>0</v>
      </c>
      <c r="AG288" s="78">
        <f t="shared" si="2"/>
        <v>0</v>
      </c>
      <c r="AH288" s="78">
        <f t="shared" si="3"/>
        <v>0</v>
      </c>
      <c r="AI288" s="78">
        <f t="shared" si="4"/>
        <v>0</v>
      </c>
      <c r="AJ288" s="82" t="str">
        <f t="shared" si="5"/>
        <v/>
      </c>
    </row>
    <row r="289">
      <c r="A289" s="83" t="s">
        <v>30</v>
      </c>
      <c r="B289" s="84">
        <f t="shared" si="6"/>
        <v>44848</v>
      </c>
      <c r="C289" s="85">
        <v>11.0</v>
      </c>
      <c r="D289" s="85" t="s">
        <v>48</v>
      </c>
      <c r="E289" s="87" t="s">
        <v>131</v>
      </c>
      <c r="F289" s="88">
        <v>0.0</v>
      </c>
      <c r="G289" s="89"/>
      <c r="H289" s="90">
        <v>0.0</v>
      </c>
      <c r="I289" s="89"/>
      <c r="J289" s="90">
        <v>0.0</v>
      </c>
      <c r="K289" s="89"/>
      <c r="L289" s="112">
        <v>0.0</v>
      </c>
      <c r="M289" s="89"/>
      <c r="N289" s="111">
        <v>0.0</v>
      </c>
      <c r="O289" s="89"/>
      <c r="P289" s="111">
        <v>0.0</v>
      </c>
      <c r="Q289" s="89"/>
      <c r="R289" s="111">
        <v>0.0</v>
      </c>
      <c r="S289" s="89"/>
      <c r="T289" s="111">
        <v>0.0</v>
      </c>
      <c r="U289" s="89"/>
      <c r="V289" s="111">
        <v>0.0</v>
      </c>
      <c r="W289" s="89"/>
      <c r="X289" s="111">
        <v>0.0</v>
      </c>
      <c r="Y289" s="91"/>
      <c r="Z289" s="112">
        <v>0.0</v>
      </c>
      <c r="AA289" s="89"/>
      <c r="AB289" s="111">
        <v>0.0</v>
      </c>
      <c r="AC289" s="89"/>
      <c r="AD289" s="111">
        <v>0.0</v>
      </c>
      <c r="AE289" s="89"/>
      <c r="AF289" s="92">
        <f t="shared" si="1"/>
        <v>0</v>
      </c>
      <c r="AG289" s="85">
        <f t="shared" si="2"/>
        <v>0</v>
      </c>
      <c r="AH289" s="85">
        <f t="shared" si="3"/>
        <v>0</v>
      </c>
      <c r="AI289" s="85">
        <f t="shared" si="4"/>
        <v>0</v>
      </c>
      <c r="AJ289" s="93" t="str">
        <f t="shared" si="5"/>
        <v/>
      </c>
    </row>
    <row r="290">
      <c r="A290" s="66" t="s">
        <v>11</v>
      </c>
      <c r="B290" s="94">
        <f t="shared" si="6"/>
        <v>44849</v>
      </c>
      <c r="C290" s="68">
        <v>11.0</v>
      </c>
      <c r="D290" s="68" t="s">
        <v>59</v>
      </c>
      <c r="E290" s="70" t="s">
        <v>131</v>
      </c>
      <c r="F290" s="71">
        <v>0.0</v>
      </c>
      <c r="H290" s="72">
        <v>0.0</v>
      </c>
      <c r="J290" s="72">
        <v>0.0</v>
      </c>
      <c r="L290" s="105">
        <v>95.0</v>
      </c>
      <c r="N290" s="104">
        <v>95.0</v>
      </c>
      <c r="P290" s="104">
        <v>0.0</v>
      </c>
      <c r="R290" s="104">
        <v>0.0</v>
      </c>
      <c r="T290" s="104">
        <v>1.0</v>
      </c>
      <c r="V290" s="104">
        <v>1.0</v>
      </c>
      <c r="X290" s="104">
        <v>0.0</v>
      </c>
      <c r="Y290" s="73"/>
      <c r="Z290" s="105">
        <v>30.0</v>
      </c>
      <c r="AB290" s="104">
        <v>30.0</v>
      </c>
      <c r="AD290" s="104">
        <v>0.0</v>
      </c>
      <c r="AF290" s="74">
        <f t="shared" si="1"/>
        <v>4992.75</v>
      </c>
      <c r="AG290" s="68">
        <f t="shared" si="2"/>
        <v>250</v>
      </c>
      <c r="AH290" s="68">
        <f t="shared" si="3"/>
        <v>2</v>
      </c>
      <c r="AI290" s="68">
        <f t="shared" si="4"/>
        <v>252</v>
      </c>
      <c r="AJ290" s="75">
        <f t="shared" si="5"/>
        <v>19.8125</v>
      </c>
    </row>
    <row r="291">
      <c r="A291" s="76" t="s">
        <v>16</v>
      </c>
      <c r="B291" s="77">
        <f t="shared" si="6"/>
        <v>44850</v>
      </c>
      <c r="C291" s="78">
        <v>11.0</v>
      </c>
      <c r="D291" s="78" t="s">
        <v>59</v>
      </c>
      <c r="E291" s="80" t="s">
        <v>131</v>
      </c>
      <c r="F291" s="71">
        <v>0.0</v>
      </c>
      <c r="H291" s="72">
        <v>0.0</v>
      </c>
      <c r="J291" s="72">
        <v>0.0</v>
      </c>
      <c r="L291" s="105">
        <v>95.0</v>
      </c>
      <c r="N291" s="104">
        <v>95.0</v>
      </c>
      <c r="P291" s="104">
        <v>0.0</v>
      </c>
      <c r="R291" s="104">
        <v>0.0</v>
      </c>
      <c r="T291" s="104">
        <v>0.0</v>
      </c>
      <c r="V291" s="104">
        <v>0.0</v>
      </c>
      <c r="X291" s="104">
        <v>0.0</v>
      </c>
      <c r="Y291" s="73"/>
      <c r="Z291" s="105">
        <v>30.0</v>
      </c>
      <c r="AB291" s="104">
        <v>30.0</v>
      </c>
      <c r="AD291" s="104">
        <v>0.0</v>
      </c>
      <c r="AF291" s="81">
        <f t="shared" si="1"/>
        <v>4257.75</v>
      </c>
      <c r="AG291" s="78">
        <f t="shared" si="2"/>
        <v>250</v>
      </c>
      <c r="AH291" s="78">
        <f t="shared" si="3"/>
        <v>0</v>
      </c>
      <c r="AI291" s="78">
        <f t="shared" si="4"/>
        <v>250</v>
      </c>
      <c r="AJ291" s="82">
        <f t="shared" si="5"/>
        <v>17.031</v>
      </c>
    </row>
    <row r="292">
      <c r="A292" s="76" t="s">
        <v>17</v>
      </c>
      <c r="B292" s="77">
        <f t="shared" si="6"/>
        <v>44851</v>
      </c>
      <c r="C292" s="78">
        <v>11.0</v>
      </c>
      <c r="D292" s="78" t="s">
        <v>59</v>
      </c>
      <c r="E292" s="80" t="s">
        <v>131</v>
      </c>
      <c r="F292" s="71">
        <v>0.0</v>
      </c>
      <c r="H292" s="72">
        <v>0.0</v>
      </c>
      <c r="J292" s="72">
        <v>0.0</v>
      </c>
      <c r="L292" s="105">
        <v>95.0</v>
      </c>
      <c r="N292" s="104">
        <v>95.0</v>
      </c>
      <c r="P292" s="104">
        <v>0.0</v>
      </c>
      <c r="R292" s="104">
        <v>0.0</v>
      </c>
      <c r="T292" s="104">
        <v>0.0</v>
      </c>
      <c r="V292" s="104">
        <v>0.0</v>
      </c>
      <c r="X292" s="104">
        <v>0.0</v>
      </c>
      <c r="Y292" s="73"/>
      <c r="Z292" s="105">
        <v>30.0</v>
      </c>
      <c r="AB292" s="104">
        <v>30.0</v>
      </c>
      <c r="AD292" s="104">
        <v>0.0</v>
      </c>
      <c r="AF292" s="81">
        <f t="shared" si="1"/>
        <v>4257.75</v>
      </c>
      <c r="AG292" s="78">
        <f t="shared" si="2"/>
        <v>250</v>
      </c>
      <c r="AH292" s="78">
        <f t="shared" si="3"/>
        <v>0</v>
      </c>
      <c r="AI292" s="78">
        <f t="shared" si="4"/>
        <v>250</v>
      </c>
      <c r="AJ292" s="82">
        <f t="shared" si="5"/>
        <v>17.031</v>
      </c>
    </row>
    <row r="293">
      <c r="A293" s="76" t="s">
        <v>21</v>
      </c>
      <c r="B293" s="77">
        <f t="shared" si="6"/>
        <v>44852</v>
      </c>
      <c r="C293" s="78">
        <v>11.0</v>
      </c>
      <c r="D293" s="78" t="s">
        <v>59</v>
      </c>
      <c r="E293" s="80" t="s">
        <v>131</v>
      </c>
      <c r="F293" s="71">
        <v>0.0</v>
      </c>
      <c r="H293" s="72">
        <v>0.0</v>
      </c>
      <c r="J293" s="72">
        <v>0.0</v>
      </c>
      <c r="L293" s="105">
        <v>95.0</v>
      </c>
      <c r="N293" s="104">
        <v>95.0</v>
      </c>
      <c r="P293" s="104">
        <v>0.0</v>
      </c>
      <c r="R293" s="104">
        <v>0.0</v>
      </c>
      <c r="T293" s="104">
        <v>0.0</v>
      </c>
      <c r="V293" s="104">
        <v>0.0</v>
      </c>
      <c r="X293" s="104">
        <v>0.0</v>
      </c>
      <c r="Y293" s="73"/>
      <c r="Z293" s="105">
        <v>30.0</v>
      </c>
      <c r="AB293" s="104">
        <v>30.0</v>
      </c>
      <c r="AD293" s="104">
        <v>0.0</v>
      </c>
      <c r="AF293" s="81">
        <f t="shared" si="1"/>
        <v>4257.75</v>
      </c>
      <c r="AG293" s="78">
        <f t="shared" si="2"/>
        <v>250</v>
      </c>
      <c r="AH293" s="78">
        <f t="shared" si="3"/>
        <v>0</v>
      </c>
      <c r="AI293" s="78">
        <f t="shared" si="4"/>
        <v>250</v>
      </c>
      <c r="AJ293" s="82">
        <f t="shared" si="5"/>
        <v>17.031</v>
      </c>
    </row>
    <row r="294">
      <c r="A294" s="76" t="s">
        <v>24</v>
      </c>
      <c r="B294" s="77">
        <f t="shared" si="6"/>
        <v>44853</v>
      </c>
      <c r="C294" s="78">
        <v>11.0</v>
      </c>
      <c r="D294" s="78" t="s">
        <v>59</v>
      </c>
      <c r="E294" s="80" t="s">
        <v>131</v>
      </c>
      <c r="F294" s="71">
        <v>0.0</v>
      </c>
      <c r="H294" s="72">
        <v>0.0</v>
      </c>
      <c r="J294" s="72">
        <v>0.0</v>
      </c>
      <c r="L294" s="105">
        <v>95.0</v>
      </c>
      <c r="N294" s="104">
        <v>95.0</v>
      </c>
      <c r="P294" s="104">
        <v>0.0</v>
      </c>
      <c r="R294" s="104">
        <v>0.0</v>
      </c>
      <c r="T294" s="104">
        <v>0.0</v>
      </c>
      <c r="V294" s="104">
        <v>0.0</v>
      </c>
      <c r="X294" s="104">
        <v>0.0</v>
      </c>
      <c r="Y294" s="73"/>
      <c r="Z294" s="105">
        <v>30.0</v>
      </c>
      <c r="AB294" s="104">
        <v>30.0</v>
      </c>
      <c r="AD294" s="104">
        <v>0.0</v>
      </c>
      <c r="AF294" s="81">
        <f t="shared" si="1"/>
        <v>4257.75</v>
      </c>
      <c r="AG294" s="78">
        <f t="shared" si="2"/>
        <v>250</v>
      </c>
      <c r="AH294" s="78">
        <f t="shared" si="3"/>
        <v>0</v>
      </c>
      <c r="AI294" s="78">
        <f t="shared" si="4"/>
        <v>250</v>
      </c>
      <c r="AJ294" s="82">
        <f t="shared" si="5"/>
        <v>17.031</v>
      </c>
    </row>
    <row r="295">
      <c r="A295" s="76" t="s">
        <v>27</v>
      </c>
      <c r="B295" s="77">
        <f t="shared" si="6"/>
        <v>44854</v>
      </c>
      <c r="C295" s="78">
        <v>11.0</v>
      </c>
      <c r="D295" s="78" t="s">
        <v>59</v>
      </c>
      <c r="E295" s="80" t="s">
        <v>131</v>
      </c>
      <c r="F295" s="71">
        <v>0.0</v>
      </c>
      <c r="H295" s="72">
        <v>0.0</v>
      </c>
      <c r="J295" s="72">
        <v>0.0</v>
      </c>
      <c r="L295" s="105">
        <v>0.0</v>
      </c>
      <c r="N295" s="104">
        <v>0.0</v>
      </c>
      <c r="P295" s="104">
        <v>0.0</v>
      </c>
      <c r="R295" s="104">
        <v>0.0</v>
      </c>
      <c r="T295" s="104">
        <v>0.0</v>
      </c>
      <c r="V295" s="104">
        <v>0.0</v>
      </c>
      <c r="X295" s="104">
        <v>0.0</v>
      </c>
      <c r="Y295" s="73"/>
      <c r="Z295" s="105">
        <v>0.0</v>
      </c>
      <c r="AB295" s="104">
        <v>0.0</v>
      </c>
      <c r="AD295" s="104">
        <v>0.0</v>
      </c>
      <c r="AF295" s="81">
        <f t="shared" si="1"/>
        <v>0</v>
      </c>
      <c r="AG295" s="78">
        <f t="shared" si="2"/>
        <v>0</v>
      </c>
      <c r="AH295" s="78">
        <f t="shared" si="3"/>
        <v>0</v>
      </c>
      <c r="AI295" s="78">
        <f t="shared" si="4"/>
        <v>0</v>
      </c>
      <c r="AJ295" s="82" t="str">
        <f t="shared" si="5"/>
        <v/>
      </c>
    </row>
    <row r="296">
      <c r="A296" s="83" t="s">
        <v>30</v>
      </c>
      <c r="B296" s="84">
        <f t="shared" si="6"/>
        <v>44855</v>
      </c>
      <c r="C296" s="85">
        <v>11.0</v>
      </c>
      <c r="D296" s="85" t="s">
        <v>59</v>
      </c>
      <c r="E296" s="87" t="s">
        <v>131</v>
      </c>
      <c r="F296" s="88">
        <v>0.0</v>
      </c>
      <c r="G296" s="89"/>
      <c r="H296" s="90">
        <v>0.0</v>
      </c>
      <c r="I296" s="89"/>
      <c r="J296" s="90">
        <v>0.0</v>
      </c>
      <c r="K296" s="89"/>
      <c r="L296" s="112">
        <v>0.0</v>
      </c>
      <c r="M296" s="89"/>
      <c r="N296" s="111">
        <v>0.0</v>
      </c>
      <c r="O296" s="89"/>
      <c r="P296" s="111">
        <v>0.0</v>
      </c>
      <c r="Q296" s="89"/>
      <c r="R296" s="111">
        <v>0.0</v>
      </c>
      <c r="S296" s="89"/>
      <c r="T296" s="111">
        <v>0.0</v>
      </c>
      <c r="U296" s="89"/>
      <c r="V296" s="111">
        <v>0.0</v>
      </c>
      <c r="W296" s="89"/>
      <c r="X296" s="111">
        <v>0.0</v>
      </c>
      <c r="Y296" s="91"/>
      <c r="Z296" s="112">
        <v>0.0</v>
      </c>
      <c r="AA296" s="89"/>
      <c r="AB296" s="111">
        <v>0.0</v>
      </c>
      <c r="AC296" s="89"/>
      <c r="AD296" s="111">
        <v>0.0</v>
      </c>
      <c r="AE296" s="89"/>
      <c r="AF296" s="92">
        <f t="shared" si="1"/>
        <v>0</v>
      </c>
      <c r="AG296" s="85">
        <f t="shared" si="2"/>
        <v>0</v>
      </c>
      <c r="AH296" s="85">
        <f t="shared" si="3"/>
        <v>0</v>
      </c>
      <c r="AI296" s="85">
        <f t="shared" si="4"/>
        <v>0</v>
      </c>
      <c r="AJ296" s="93" t="str">
        <f t="shared" si="5"/>
        <v/>
      </c>
    </row>
    <row r="297">
      <c r="A297" s="66" t="s">
        <v>11</v>
      </c>
      <c r="B297" s="94">
        <f t="shared" si="6"/>
        <v>44856</v>
      </c>
      <c r="C297" s="68">
        <v>11.0</v>
      </c>
      <c r="D297" s="68" t="s">
        <v>12</v>
      </c>
      <c r="E297" s="70" t="s">
        <v>131</v>
      </c>
      <c r="F297" s="71">
        <v>0.0</v>
      </c>
      <c r="H297" s="72">
        <v>0.0</v>
      </c>
      <c r="J297" s="72">
        <v>0.0</v>
      </c>
      <c r="L297" s="105">
        <v>95.0</v>
      </c>
      <c r="N297" s="104">
        <v>95.0</v>
      </c>
      <c r="P297" s="104">
        <v>0.0</v>
      </c>
      <c r="R297" s="104">
        <v>0.0</v>
      </c>
      <c r="T297" s="104">
        <v>1.0</v>
      </c>
      <c r="V297" s="104">
        <v>1.0</v>
      </c>
      <c r="X297" s="104">
        <v>0.0</v>
      </c>
      <c r="Y297" s="73"/>
      <c r="Z297" s="105">
        <v>30.0</v>
      </c>
      <c r="AB297" s="104">
        <v>30.0</v>
      </c>
      <c r="AD297" s="104">
        <v>0.0</v>
      </c>
      <c r="AF297" s="74">
        <f t="shared" si="1"/>
        <v>4992.75</v>
      </c>
      <c r="AG297" s="68">
        <f t="shared" si="2"/>
        <v>250</v>
      </c>
      <c r="AH297" s="68">
        <f t="shared" si="3"/>
        <v>2</v>
      </c>
      <c r="AI297" s="68">
        <f t="shared" si="4"/>
        <v>252</v>
      </c>
      <c r="AJ297" s="75">
        <f t="shared" si="5"/>
        <v>19.8125</v>
      </c>
    </row>
    <row r="298">
      <c r="A298" s="76" t="s">
        <v>16</v>
      </c>
      <c r="B298" s="77">
        <f t="shared" si="6"/>
        <v>44857</v>
      </c>
      <c r="C298" s="78">
        <v>11.0</v>
      </c>
      <c r="D298" s="78" t="s">
        <v>12</v>
      </c>
      <c r="E298" s="80" t="s">
        <v>131</v>
      </c>
      <c r="F298" s="71">
        <v>0.0</v>
      </c>
      <c r="H298" s="72">
        <v>0.0</v>
      </c>
      <c r="J298" s="72">
        <v>0.0</v>
      </c>
      <c r="L298" s="105">
        <v>95.0</v>
      </c>
      <c r="N298" s="104">
        <v>95.0</v>
      </c>
      <c r="P298" s="104">
        <v>0.0</v>
      </c>
      <c r="R298" s="104">
        <v>0.0</v>
      </c>
      <c r="T298" s="104">
        <v>0.0</v>
      </c>
      <c r="V298" s="104">
        <v>0.0</v>
      </c>
      <c r="X298" s="104">
        <v>0.0</v>
      </c>
      <c r="Y298" s="73"/>
      <c r="Z298" s="105">
        <v>30.0</v>
      </c>
      <c r="AB298" s="104">
        <v>30.0</v>
      </c>
      <c r="AD298" s="104">
        <v>0.0</v>
      </c>
      <c r="AF298" s="81">
        <f t="shared" si="1"/>
        <v>4257.75</v>
      </c>
      <c r="AG298" s="78">
        <f t="shared" si="2"/>
        <v>250</v>
      </c>
      <c r="AH298" s="78">
        <f t="shared" si="3"/>
        <v>0</v>
      </c>
      <c r="AI298" s="78">
        <f t="shared" si="4"/>
        <v>250</v>
      </c>
      <c r="AJ298" s="82">
        <f t="shared" si="5"/>
        <v>17.031</v>
      </c>
    </row>
    <row r="299">
      <c r="A299" s="76" t="s">
        <v>17</v>
      </c>
      <c r="B299" s="77">
        <f t="shared" si="6"/>
        <v>44858</v>
      </c>
      <c r="C299" s="78">
        <v>11.0</v>
      </c>
      <c r="D299" s="78" t="s">
        <v>12</v>
      </c>
      <c r="E299" s="80" t="s">
        <v>131</v>
      </c>
      <c r="F299" s="71">
        <v>0.0</v>
      </c>
      <c r="H299" s="72">
        <v>0.0</v>
      </c>
      <c r="J299" s="72">
        <v>0.0</v>
      </c>
      <c r="L299" s="105">
        <v>95.0</v>
      </c>
      <c r="N299" s="104">
        <v>95.0</v>
      </c>
      <c r="P299" s="104">
        <v>0.0</v>
      </c>
      <c r="R299" s="104">
        <v>0.0</v>
      </c>
      <c r="T299" s="104">
        <v>0.0</v>
      </c>
      <c r="V299" s="104">
        <v>0.0</v>
      </c>
      <c r="X299" s="104">
        <v>0.0</v>
      </c>
      <c r="Y299" s="73"/>
      <c r="Z299" s="105">
        <v>30.0</v>
      </c>
      <c r="AB299" s="104">
        <v>30.0</v>
      </c>
      <c r="AD299" s="104">
        <v>0.0</v>
      </c>
      <c r="AF299" s="81">
        <f t="shared" si="1"/>
        <v>4257.75</v>
      </c>
      <c r="AG299" s="78">
        <f t="shared" si="2"/>
        <v>250</v>
      </c>
      <c r="AH299" s="78">
        <f t="shared" si="3"/>
        <v>0</v>
      </c>
      <c r="AI299" s="78">
        <f t="shared" si="4"/>
        <v>250</v>
      </c>
      <c r="AJ299" s="82">
        <f t="shared" si="5"/>
        <v>17.031</v>
      </c>
    </row>
    <row r="300">
      <c r="A300" s="76" t="s">
        <v>21</v>
      </c>
      <c r="B300" s="77">
        <f t="shared" si="6"/>
        <v>44859</v>
      </c>
      <c r="C300" s="78">
        <v>11.0</v>
      </c>
      <c r="D300" s="78" t="s">
        <v>12</v>
      </c>
      <c r="E300" s="80" t="s">
        <v>131</v>
      </c>
      <c r="F300" s="71">
        <v>0.0</v>
      </c>
      <c r="H300" s="72">
        <v>0.0</v>
      </c>
      <c r="J300" s="72">
        <v>0.0</v>
      </c>
      <c r="L300" s="105">
        <v>95.0</v>
      </c>
      <c r="N300" s="104">
        <v>95.0</v>
      </c>
      <c r="P300" s="104">
        <v>0.0</v>
      </c>
      <c r="R300" s="104">
        <v>0.0</v>
      </c>
      <c r="T300" s="104">
        <v>0.0</v>
      </c>
      <c r="V300" s="104">
        <v>0.0</v>
      </c>
      <c r="X300" s="104">
        <v>0.0</v>
      </c>
      <c r="Y300" s="73"/>
      <c r="Z300" s="105">
        <v>30.0</v>
      </c>
      <c r="AB300" s="104">
        <v>30.0</v>
      </c>
      <c r="AD300" s="104">
        <v>0.0</v>
      </c>
      <c r="AF300" s="81">
        <f t="shared" si="1"/>
        <v>4257.75</v>
      </c>
      <c r="AG300" s="78">
        <f t="shared" si="2"/>
        <v>250</v>
      </c>
      <c r="AH300" s="78">
        <f t="shared" si="3"/>
        <v>0</v>
      </c>
      <c r="AI300" s="78">
        <f t="shared" si="4"/>
        <v>250</v>
      </c>
      <c r="AJ300" s="82">
        <f t="shared" si="5"/>
        <v>17.031</v>
      </c>
    </row>
    <row r="301">
      <c r="A301" s="76" t="s">
        <v>24</v>
      </c>
      <c r="B301" s="77">
        <f t="shared" si="6"/>
        <v>44860</v>
      </c>
      <c r="C301" s="78">
        <v>11.0</v>
      </c>
      <c r="D301" s="78" t="s">
        <v>12</v>
      </c>
      <c r="E301" s="80" t="s">
        <v>131</v>
      </c>
      <c r="F301" s="71">
        <v>0.0</v>
      </c>
      <c r="H301" s="72">
        <v>0.0</v>
      </c>
      <c r="J301" s="72">
        <v>0.0</v>
      </c>
      <c r="L301" s="105">
        <v>95.0</v>
      </c>
      <c r="N301" s="104">
        <v>95.0</v>
      </c>
      <c r="P301" s="104">
        <v>0.0</v>
      </c>
      <c r="R301" s="104">
        <v>0.0</v>
      </c>
      <c r="T301" s="104">
        <v>0.0</v>
      </c>
      <c r="V301" s="104">
        <v>0.0</v>
      </c>
      <c r="X301" s="104">
        <v>0.0</v>
      </c>
      <c r="Y301" s="73"/>
      <c r="Z301" s="105">
        <v>30.0</v>
      </c>
      <c r="AB301" s="104">
        <v>30.0</v>
      </c>
      <c r="AD301" s="104">
        <v>0.0</v>
      </c>
      <c r="AF301" s="81">
        <f t="shared" si="1"/>
        <v>4257.75</v>
      </c>
      <c r="AG301" s="78">
        <f t="shared" si="2"/>
        <v>250</v>
      </c>
      <c r="AH301" s="78">
        <f t="shared" si="3"/>
        <v>0</v>
      </c>
      <c r="AI301" s="78">
        <f t="shared" si="4"/>
        <v>250</v>
      </c>
      <c r="AJ301" s="82">
        <f t="shared" si="5"/>
        <v>17.031</v>
      </c>
    </row>
    <row r="302">
      <c r="A302" s="76" t="s">
        <v>27</v>
      </c>
      <c r="B302" s="77">
        <f t="shared" si="6"/>
        <v>44861</v>
      </c>
      <c r="C302" s="78">
        <v>11.0</v>
      </c>
      <c r="D302" s="78" t="s">
        <v>12</v>
      </c>
      <c r="E302" s="80" t="s">
        <v>131</v>
      </c>
      <c r="F302" s="71">
        <v>0.0</v>
      </c>
      <c r="H302" s="72">
        <v>0.0</v>
      </c>
      <c r="J302" s="72">
        <v>0.0</v>
      </c>
      <c r="L302" s="105">
        <v>0.0</v>
      </c>
      <c r="N302" s="104">
        <v>0.0</v>
      </c>
      <c r="P302" s="104">
        <v>0.0</v>
      </c>
      <c r="R302" s="104">
        <v>0.0</v>
      </c>
      <c r="T302" s="104">
        <v>0.0</v>
      </c>
      <c r="V302" s="104">
        <v>0.0</v>
      </c>
      <c r="X302" s="104">
        <v>0.0</v>
      </c>
      <c r="Y302" s="73"/>
      <c r="Z302" s="105">
        <v>0.0</v>
      </c>
      <c r="AB302" s="104">
        <v>0.0</v>
      </c>
      <c r="AD302" s="104">
        <v>0.0</v>
      </c>
      <c r="AF302" s="81">
        <f t="shared" si="1"/>
        <v>0</v>
      </c>
      <c r="AG302" s="78">
        <f t="shared" si="2"/>
        <v>0</v>
      </c>
      <c r="AH302" s="78">
        <f t="shared" si="3"/>
        <v>0</v>
      </c>
      <c r="AI302" s="78">
        <f t="shared" si="4"/>
        <v>0</v>
      </c>
      <c r="AJ302" s="82" t="str">
        <f t="shared" si="5"/>
        <v/>
      </c>
    </row>
    <row r="303">
      <c r="A303" s="83" t="s">
        <v>30</v>
      </c>
      <c r="B303" s="84">
        <f t="shared" si="6"/>
        <v>44862</v>
      </c>
      <c r="C303" s="85">
        <v>11.0</v>
      </c>
      <c r="D303" s="85" t="s">
        <v>12</v>
      </c>
      <c r="E303" s="87" t="s">
        <v>131</v>
      </c>
      <c r="F303" s="88">
        <v>0.0</v>
      </c>
      <c r="G303" s="89"/>
      <c r="H303" s="90">
        <v>0.0</v>
      </c>
      <c r="I303" s="89"/>
      <c r="J303" s="90">
        <v>0.0</v>
      </c>
      <c r="K303" s="89"/>
      <c r="L303" s="112">
        <v>0.0</v>
      </c>
      <c r="M303" s="89"/>
      <c r="N303" s="111">
        <v>0.0</v>
      </c>
      <c r="O303" s="89"/>
      <c r="P303" s="111">
        <v>0.0</v>
      </c>
      <c r="Q303" s="89"/>
      <c r="R303" s="111">
        <v>0.0</v>
      </c>
      <c r="S303" s="89"/>
      <c r="T303" s="111">
        <v>0.0</v>
      </c>
      <c r="U303" s="89"/>
      <c r="V303" s="111">
        <v>0.0</v>
      </c>
      <c r="W303" s="89"/>
      <c r="X303" s="111">
        <v>0.0</v>
      </c>
      <c r="Y303" s="91"/>
      <c r="Z303" s="112">
        <v>0.0</v>
      </c>
      <c r="AA303" s="89"/>
      <c r="AB303" s="111">
        <v>0.0</v>
      </c>
      <c r="AC303" s="89"/>
      <c r="AD303" s="111">
        <v>0.0</v>
      </c>
      <c r="AE303" s="89"/>
      <c r="AF303" s="92">
        <f t="shared" si="1"/>
        <v>0</v>
      </c>
      <c r="AG303" s="85">
        <f t="shared" si="2"/>
        <v>0</v>
      </c>
      <c r="AH303" s="85">
        <f t="shared" si="3"/>
        <v>0</v>
      </c>
      <c r="AI303" s="85">
        <f t="shared" si="4"/>
        <v>0</v>
      </c>
      <c r="AJ303" s="93" t="str">
        <f t="shared" si="5"/>
        <v/>
      </c>
    </row>
    <row r="304">
      <c r="A304" s="66" t="s">
        <v>11</v>
      </c>
      <c r="B304" s="94">
        <f t="shared" si="6"/>
        <v>44863</v>
      </c>
      <c r="C304" s="68">
        <v>11.0</v>
      </c>
      <c r="D304" s="68" t="s">
        <v>33</v>
      </c>
      <c r="E304" s="70" t="s">
        <v>131</v>
      </c>
      <c r="F304" s="71">
        <v>0.0</v>
      </c>
      <c r="H304" s="72">
        <v>0.0</v>
      </c>
      <c r="J304" s="72">
        <v>0.0</v>
      </c>
      <c r="L304" s="105">
        <v>95.0</v>
      </c>
      <c r="N304" s="104">
        <v>95.0</v>
      </c>
      <c r="P304" s="104">
        <v>0.0</v>
      </c>
      <c r="R304" s="104">
        <v>0.0</v>
      </c>
      <c r="T304" s="104">
        <v>1.0</v>
      </c>
      <c r="V304" s="104">
        <v>1.0</v>
      </c>
      <c r="X304" s="104">
        <v>0.0</v>
      </c>
      <c r="Y304" s="73"/>
      <c r="Z304" s="105">
        <v>30.0</v>
      </c>
      <c r="AB304" s="104">
        <v>30.0</v>
      </c>
      <c r="AD304" s="104">
        <v>0.0</v>
      </c>
      <c r="AF304" s="74">
        <f t="shared" si="1"/>
        <v>4992.75</v>
      </c>
      <c r="AG304" s="68">
        <f t="shared" si="2"/>
        <v>250</v>
      </c>
      <c r="AH304" s="68">
        <f t="shared" si="3"/>
        <v>2</v>
      </c>
      <c r="AI304" s="68">
        <f t="shared" si="4"/>
        <v>252</v>
      </c>
      <c r="AJ304" s="75">
        <f t="shared" si="5"/>
        <v>19.8125</v>
      </c>
    </row>
    <row r="305">
      <c r="A305" s="76" t="s">
        <v>16</v>
      </c>
      <c r="B305" s="77">
        <f t="shared" si="6"/>
        <v>44864</v>
      </c>
      <c r="C305" s="78">
        <v>11.0</v>
      </c>
      <c r="D305" s="78" t="s">
        <v>33</v>
      </c>
      <c r="E305" s="80" t="s">
        <v>131</v>
      </c>
      <c r="F305" s="71">
        <v>0.0</v>
      </c>
      <c r="H305" s="72">
        <v>0.0</v>
      </c>
      <c r="J305" s="72">
        <v>0.0</v>
      </c>
      <c r="L305" s="105">
        <v>95.0</v>
      </c>
      <c r="N305" s="104">
        <v>95.0</v>
      </c>
      <c r="P305" s="104">
        <v>0.0</v>
      </c>
      <c r="R305" s="104">
        <v>0.0</v>
      </c>
      <c r="T305" s="104">
        <v>0.0</v>
      </c>
      <c r="V305" s="104">
        <v>0.0</v>
      </c>
      <c r="X305" s="104">
        <v>0.0</v>
      </c>
      <c r="Y305" s="73"/>
      <c r="Z305" s="105">
        <v>30.0</v>
      </c>
      <c r="AB305" s="104">
        <v>30.0</v>
      </c>
      <c r="AD305" s="104">
        <v>0.0</v>
      </c>
      <c r="AF305" s="81">
        <f t="shared" si="1"/>
        <v>4257.75</v>
      </c>
      <c r="AG305" s="78">
        <f t="shared" si="2"/>
        <v>250</v>
      </c>
      <c r="AH305" s="78">
        <f t="shared" si="3"/>
        <v>0</v>
      </c>
      <c r="AI305" s="78">
        <f t="shared" si="4"/>
        <v>250</v>
      </c>
      <c r="AJ305" s="82">
        <f t="shared" si="5"/>
        <v>17.031</v>
      </c>
    </row>
    <row r="306">
      <c r="A306" s="76" t="s">
        <v>17</v>
      </c>
      <c r="B306" s="77">
        <f t="shared" si="6"/>
        <v>44865</v>
      </c>
      <c r="C306" s="78">
        <v>11.0</v>
      </c>
      <c r="D306" s="78" t="s">
        <v>33</v>
      </c>
      <c r="E306" s="80" t="s">
        <v>131</v>
      </c>
      <c r="F306" s="71">
        <v>0.0</v>
      </c>
      <c r="H306" s="72">
        <v>0.0</v>
      </c>
      <c r="J306" s="72">
        <v>0.0</v>
      </c>
      <c r="L306" s="105">
        <v>95.0</v>
      </c>
      <c r="N306" s="104">
        <v>95.0</v>
      </c>
      <c r="P306" s="104">
        <v>0.0</v>
      </c>
      <c r="R306" s="104">
        <v>0.0</v>
      </c>
      <c r="T306" s="104">
        <v>0.0</v>
      </c>
      <c r="V306" s="104">
        <v>0.0</v>
      </c>
      <c r="X306" s="104">
        <v>0.0</v>
      </c>
      <c r="Y306" s="73"/>
      <c r="Z306" s="105">
        <v>30.0</v>
      </c>
      <c r="AB306" s="104">
        <v>30.0</v>
      </c>
      <c r="AD306" s="104">
        <v>0.0</v>
      </c>
      <c r="AF306" s="81">
        <f t="shared" si="1"/>
        <v>4257.75</v>
      </c>
      <c r="AG306" s="78">
        <f t="shared" si="2"/>
        <v>250</v>
      </c>
      <c r="AH306" s="78">
        <f t="shared" si="3"/>
        <v>0</v>
      </c>
      <c r="AI306" s="78">
        <f t="shared" si="4"/>
        <v>250</v>
      </c>
      <c r="AJ306" s="82">
        <f t="shared" si="5"/>
        <v>17.031</v>
      </c>
    </row>
    <row r="307">
      <c r="A307" s="76" t="s">
        <v>21</v>
      </c>
      <c r="B307" s="77">
        <f t="shared" si="6"/>
        <v>44866</v>
      </c>
      <c r="C307" s="78">
        <v>11.0</v>
      </c>
      <c r="D307" s="78" t="s">
        <v>33</v>
      </c>
      <c r="E307" s="80" t="s">
        <v>131</v>
      </c>
      <c r="F307" s="71">
        <v>0.0</v>
      </c>
      <c r="H307" s="72">
        <v>0.0</v>
      </c>
      <c r="J307" s="72">
        <v>0.0</v>
      </c>
      <c r="L307" s="105">
        <v>95.0</v>
      </c>
      <c r="N307" s="104">
        <v>95.0</v>
      </c>
      <c r="P307" s="104">
        <v>0.0</v>
      </c>
      <c r="R307" s="104">
        <v>0.0</v>
      </c>
      <c r="T307" s="104">
        <v>0.0</v>
      </c>
      <c r="V307" s="104">
        <v>0.0</v>
      </c>
      <c r="X307" s="104">
        <v>0.0</v>
      </c>
      <c r="Y307" s="73"/>
      <c r="Z307" s="105">
        <v>30.0</v>
      </c>
      <c r="AB307" s="104">
        <v>30.0</v>
      </c>
      <c r="AD307" s="104">
        <v>0.0</v>
      </c>
      <c r="AF307" s="81">
        <f t="shared" si="1"/>
        <v>4257.75</v>
      </c>
      <c r="AG307" s="78">
        <f t="shared" si="2"/>
        <v>250</v>
      </c>
      <c r="AH307" s="78">
        <f t="shared" si="3"/>
        <v>0</v>
      </c>
      <c r="AI307" s="78">
        <f t="shared" si="4"/>
        <v>250</v>
      </c>
      <c r="AJ307" s="82">
        <f t="shared" si="5"/>
        <v>17.031</v>
      </c>
    </row>
    <row r="308">
      <c r="A308" s="76" t="s">
        <v>24</v>
      </c>
      <c r="B308" s="77">
        <f t="shared" si="6"/>
        <v>44867</v>
      </c>
      <c r="C308" s="78">
        <v>11.0</v>
      </c>
      <c r="D308" s="78" t="s">
        <v>33</v>
      </c>
      <c r="E308" s="80" t="s">
        <v>131</v>
      </c>
      <c r="F308" s="71">
        <v>0.0</v>
      </c>
      <c r="H308" s="72">
        <v>0.0</v>
      </c>
      <c r="J308" s="72">
        <v>0.0</v>
      </c>
      <c r="L308" s="105">
        <v>95.0</v>
      </c>
      <c r="N308" s="104">
        <v>95.0</v>
      </c>
      <c r="P308" s="104">
        <v>0.0</v>
      </c>
      <c r="R308" s="104">
        <v>0.0</v>
      </c>
      <c r="T308" s="104">
        <v>0.0</v>
      </c>
      <c r="V308" s="104">
        <v>0.0</v>
      </c>
      <c r="X308" s="104">
        <v>0.0</v>
      </c>
      <c r="Y308" s="73"/>
      <c r="Z308" s="105">
        <v>30.0</v>
      </c>
      <c r="AB308" s="104">
        <v>30.0</v>
      </c>
      <c r="AD308" s="104">
        <v>0.0</v>
      </c>
      <c r="AF308" s="81">
        <f t="shared" si="1"/>
        <v>4257.75</v>
      </c>
      <c r="AG308" s="78">
        <f t="shared" si="2"/>
        <v>250</v>
      </c>
      <c r="AH308" s="78">
        <f t="shared" si="3"/>
        <v>0</v>
      </c>
      <c r="AI308" s="78">
        <f t="shared" si="4"/>
        <v>250</v>
      </c>
      <c r="AJ308" s="82">
        <f t="shared" si="5"/>
        <v>17.031</v>
      </c>
    </row>
    <row r="309">
      <c r="A309" s="76" t="s">
        <v>27</v>
      </c>
      <c r="B309" s="77">
        <f t="shared" si="6"/>
        <v>44868</v>
      </c>
      <c r="C309" s="78">
        <v>11.0</v>
      </c>
      <c r="D309" s="78" t="s">
        <v>33</v>
      </c>
      <c r="E309" s="80" t="s">
        <v>131</v>
      </c>
      <c r="F309" s="71">
        <v>0.0</v>
      </c>
      <c r="H309" s="72">
        <v>0.0</v>
      </c>
      <c r="J309" s="72">
        <v>0.0</v>
      </c>
      <c r="L309" s="105">
        <v>0.0</v>
      </c>
      <c r="N309" s="104">
        <v>0.0</v>
      </c>
      <c r="P309" s="104">
        <v>0.0</v>
      </c>
      <c r="R309" s="104">
        <v>0.0</v>
      </c>
      <c r="T309" s="104">
        <v>0.0</v>
      </c>
      <c r="V309" s="104">
        <v>0.0</v>
      </c>
      <c r="X309" s="104">
        <v>0.0</v>
      </c>
      <c r="Y309" s="73"/>
      <c r="Z309" s="105">
        <v>0.0</v>
      </c>
      <c r="AB309" s="104">
        <v>0.0</v>
      </c>
      <c r="AD309" s="104">
        <v>0.0</v>
      </c>
      <c r="AF309" s="81">
        <f t="shared" si="1"/>
        <v>0</v>
      </c>
      <c r="AG309" s="78">
        <f t="shared" si="2"/>
        <v>0</v>
      </c>
      <c r="AH309" s="78">
        <f t="shared" si="3"/>
        <v>0</v>
      </c>
      <c r="AI309" s="78">
        <f t="shared" si="4"/>
        <v>0</v>
      </c>
      <c r="AJ309" s="82" t="str">
        <f t="shared" si="5"/>
        <v/>
      </c>
    </row>
    <row r="310">
      <c r="A310" s="83" t="s">
        <v>30</v>
      </c>
      <c r="B310" s="84">
        <f t="shared" si="6"/>
        <v>44869</v>
      </c>
      <c r="C310" s="85">
        <v>11.0</v>
      </c>
      <c r="D310" s="85" t="s">
        <v>33</v>
      </c>
      <c r="E310" s="87" t="s">
        <v>131</v>
      </c>
      <c r="F310" s="88">
        <v>0.0</v>
      </c>
      <c r="G310" s="89"/>
      <c r="H310" s="90">
        <v>0.0</v>
      </c>
      <c r="I310" s="89"/>
      <c r="J310" s="90">
        <v>0.0</v>
      </c>
      <c r="K310" s="89"/>
      <c r="L310" s="112">
        <v>0.0</v>
      </c>
      <c r="M310" s="89"/>
      <c r="N310" s="111">
        <v>0.0</v>
      </c>
      <c r="O310" s="89"/>
      <c r="P310" s="111">
        <v>0.0</v>
      </c>
      <c r="Q310" s="89"/>
      <c r="R310" s="111">
        <v>0.0</v>
      </c>
      <c r="S310" s="89"/>
      <c r="T310" s="111">
        <v>0.0</v>
      </c>
      <c r="U310" s="89"/>
      <c r="V310" s="111">
        <v>0.0</v>
      </c>
      <c r="W310" s="89"/>
      <c r="X310" s="111">
        <v>0.0</v>
      </c>
      <c r="Y310" s="91"/>
      <c r="Z310" s="112">
        <v>0.0</v>
      </c>
      <c r="AA310" s="89"/>
      <c r="AB310" s="111">
        <v>0.0</v>
      </c>
      <c r="AC310" s="89"/>
      <c r="AD310" s="111">
        <v>0.0</v>
      </c>
      <c r="AE310" s="89"/>
      <c r="AF310" s="92">
        <f t="shared" si="1"/>
        <v>0</v>
      </c>
      <c r="AG310" s="85">
        <f t="shared" si="2"/>
        <v>0</v>
      </c>
      <c r="AH310" s="85">
        <f t="shared" si="3"/>
        <v>0</v>
      </c>
      <c r="AI310" s="85">
        <f t="shared" si="4"/>
        <v>0</v>
      </c>
      <c r="AJ310" s="93" t="str">
        <f t="shared" si="5"/>
        <v/>
      </c>
    </row>
    <row r="311">
      <c r="A311" s="66" t="s">
        <v>11</v>
      </c>
      <c r="B311" s="94">
        <f t="shared" si="6"/>
        <v>44870</v>
      </c>
      <c r="C311" s="68">
        <v>12.0</v>
      </c>
      <c r="D311" s="68" t="s">
        <v>48</v>
      </c>
      <c r="E311" s="70" t="s">
        <v>131</v>
      </c>
      <c r="F311" s="71">
        <v>0.0</v>
      </c>
      <c r="H311" s="72">
        <v>0.0</v>
      </c>
      <c r="J311" s="72">
        <v>0.0</v>
      </c>
      <c r="L311" s="105">
        <v>95.0</v>
      </c>
      <c r="N311" s="104">
        <v>95.0</v>
      </c>
      <c r="P311" s="104">
        <v>0.0</v>
      </c>
      <c r="R311" s="104">
        <v>0.0</v>
      </c>
      <c r="T311" s="104">
        <v>1.0</v>
      </c>
      <c r="V311" s="104">
        <v>1.0</v>
      </c>
      <c r="X311" s="104">
        <v>0.0</v>
      </c>
      <c r="Y311" s="73"/>
      <c r="Z311" s="105">
        <v>30.0</v>
      </c>
      <c r="AB311" s="104">
        <v>30.0</v>
      </c>
      <c r="AD311" s="104">
        <v>0.0</v>
      </c>
      <c r="AF311" s="74">
        <f t="shared" si="1"/>
        <v>4992.75</v>
      </c>
      <c r="AG311" s="68">
        <f t="shared" si="2"/>
        <v>250</v>
      </c>
      <c r="AH311" s="68">
        <f t="shared" si="3"/>
        <v>2</v>
      </c>
      <c r="AI311" s="68">
        <f t="shared" si="4"/>
        <v>252</v>
      </c>
      <c r="AJ311" s="75">
        <f t="shared" si="5"/>
        <v>19.8125</v>
      </c>
    </row>
    <row r="312">
      <c r="A312" s="76" t="s">
        <v>16</v>
      </c>
      <c r="B312" s="77">
        <f t="shared" si="6"/>
        <v>44871</v>
      </c>
      <c r="C312" s="78">
        <v>12.0</v>
      </c>
      <c r="D312" s="78" t="s">
        <v>48</v>
      </c>
      <c r="E312" s="80" t="s">
        <v>131</v>
      </c>
      <c r="F312" s="71">
        <v>0.0</v>
      </c>
      <c r="H312" s="72">
        <v>0.0</v>
      </c>
      <c r="J312" s="72">
        <v>0.0</v>
      </c>
      <c r="L312" s="105">
        <v>95.0</v>
      </c>
      <c r="N312" s="104">
        <v>95.0</v>
      </c>
      <c r="P312" s="104">
        <v>0.0</v>
      </c>
      <c r="R312" s="104">
        <v>0.0</v>
      </c>
      <c r="T312" s="104">
        <v>0.0</v>
      </c>
      <c r="V312" s="104">
        <v>0.0</v>
      </c>
      <c r="X312" s="104">
        <v>0.0</v>
      </c>
      <c r="Y312" s="73"/>
      <c r="Z312" s="105">
        <v>30.0</v>
      </c>
      <c r="AB312" s="104">
        <v>30.0</v>
      </c>
      <c r="AD312" s="104">
        <v>0.0</v>
      </c>
      <c r="AF312" s="81">
        <f t="shared" si="1"/>
        <v>4257.75</v>
      </c>
      <c r="AG312" s="78">
        <f t="shared" si="2"/>
        <v>250</v>
      </c>
      <c r="AH312" s="78">
        <f t="shared" si="3"/>
        <v>0</v>
      </c>
      <c r="AI312" s="78">
        <f t="shared" si="4"/>
        <v>250</v>
      </c>
      <c r="AJ312" s="82">
        <f t="shared" si="5"/>
        <v>17.031</v>
      </c>
    </row>
    <row r="313">
      <c r="A313" s="76" t="s">
        <v>17</v>
      </c>
      <c r="B313" s="77">
        <f t="shared" si="6"/>
        <v>44872</v>
      </c>
      <c r="C313" s="78">
        <v>12.0</v>
      </c>
      <c r="D313" s="78" t="s">
        <v>48</v>
      </c>
      <c r="E313" s="80" t="s">
        <v>131</v>
      </c>
      <c r="F313" s="71">
        <v>0.0</v>
      </c>
      <c r="H313" s="72">
        <v>0.0</v>
      </c>
      <c r="J313" s="72">
        <v>0.0</v>
      </c>
      <c r="L313" s="105">
        <v>95.0</v>
      </c>
      <c r="N313" s="104">
        <v>95.0</v>
      </c>
      <c r="P313" s="104">
        <v>0.0</v>
      </c>
      <c r="R313" s="104">
        <v>0.0</v>
      </c>
      <c r="T313" s="104">
        <v>0.0</v>
      </c>
      <c r="V313" s="104">
        <v>0.0</v>
      </c>
      <c r="X313" s="104">
        <v>0.0</v>
      </c>
      <c r="Y313" s="73"/>
      <c r="Z313" s="105">
        <v>30.0</v>
      </c>
      <c r="AB313" s="104">
        <v>30.0</v>
      </c>
      <c r="AD313" s="104">
        <v>0.0</v>
      </c>
      <c r="AF313" s="81">
        <f t="shared" si="1"/>
        <v>4257.75</v>
      </c>
      <c r="AG313" s="78">
        <f t="shared" si="2"/>
        <v>250</v>
      </c>
      <c r="AH313" s="78">
        <f t="shared" si="3"/>
        <v>0</v>
      </c>
      <c r="AI313" s="78">
        <f t="shared" si="4"/>
        <v>250</v>
      </c>
      <c r="AJ313" s="82">
        <f t="shared" si="5"/>
        <v>17.031</v>
      </c>
    </row>
    <row r="314">
      <c r="A314" s="76" t="s">
        <v>21</v>
      </c>
      <c r="B314" s="77">
        <f t="shared" si="6"/>
        <v>44873</v>
      </c>
      <c r="C314" s="78">
        <v>12.0</v>
      </c>
      <c r="D314" s="78" t="s">
        <v>48</v>
      </c>
      <c r="E314" s="80" t="s">
        <v>131</v>
      </c>
      <c r="F314" s="71">
        <v>0.0</v>
      </c>
      <c r="H314" s="72">
        <v>0.0</v>
      </c>
      <c r="J314" s="72">
        <v>0.0</v>
      </c>
      <c r="L314" s="105">
        <v>95.0</v>
      </c>
      <c r="N314" s="104">
        <v>95.0</v>
      </c>
      <c r="P314" s="104">
        <v>0.0</v>
      </c>
      <c r="R314" s="104">
        <v>0.0</v>
      </c>
      <c r="T314" s="104">
        <v>0.0</v>
      </c>
      <c r="V314" s="104">
        <v>0.0</v>
      </c>
      <c r="X314" s="104">
        <v>0.0</v>
      </c>
      <c r="Y314" s="73"/>
      <c r="Z314" s="105">
        <v>30.0</v>
      </c>
      <c r="AB314" s="104">
        <v>30.0</v>
      </c>
      <c r="AD314" s="104">
        <v>0.0</v>
      </c>
      <c r="AF314" s="81">
        <f t="shared" si="1"/>
        <v>4257.75</v>
      </c>
      <c r="AG314" s="78">
        <f t="shared" si="2"/>
        <v>250</v>
      </c>
      <c r="AH314" s="78">
        <f t="shared" si="3"/>
        <v>0</v>
      </c>
      <c r="AI314" s="78">
        <f t="shared" si="4"/>
        <v>250</v>
      </c>
      <c r="AJ314" s="82">
        <f t="shared" si="5"/>
        <v>17.031</v>
      </c>
    </row>
    <row r="315">
      <c r="A315" s="76" t="s">
        <v>24</v>
      </c>
      <c r="B315" s="77">
        <f t="shared" si="6"/>
        <v>44874</v>
      </c>
      <c r="C315" s="78">
        <v>12.0</v>
      </c>
      <c r="D315" s="78" t="s">
        <v>48</v>
      </c>
      <c r="E315" s="80" t="s">
        <v>131</v>
      </c>
      <c r="F315" s="71">
        <v>0.0</v>
      </c>
      <c r="H315" s="72">
        <v>0.0</v>
      </c>
      <c r="J315" s="72">
        <v>0.0</v>
      </c>
      <c r="L315" s="105">
        <v>95.0</v>
      </c>
      <c r="N315" s="104">
        <v>95.0</v>
      </c>
      <c r="P315" s="104">
        <v>0.0</v>
      </c>
      <c r="R315" s="104">
        <v>0.0</v>
      </c>
      <c r="T315" s="104">
        <v>0.0</v>
      </c>
      <c r="V315" s="104">
        <v>0.0</v>
      </c>
      <c r="X315" s="104">
        <v>0.0</v>
      </c>
      <c r="Y315" s="73"/>
      <c r="Z315" s="105">
        <v>30.0</v>
      </c>
      <c r="AB315" s="104">
        <v>30.0</v>
      </c>
      <c r="AD315" s="104">
        <v>0.0</v>
      </c>
      <c r="AF315" s="81">
        <f t="shared" si="1"/>
        <v>4257.75</v>
      </c>
      <c r="AG315" s="78">
        <f t="shared" si="2"/>
        <v>250</v>
      </c>
      <c r="AH315" s="78">
        <f t="shared" si="3"/>
        <v>0</v>
      </c>
      <c r="AI315" s="78">
        <f t="shared" si="4"/>
        <v>250</v>
      </c>
      <c r="AJ315" s="82">
        <f t="shared" si="5"/>
        <v>17.031</v>
      </c>
    </row>
    <row r="316">
      <c r="A316" s="76" t="s">
        <v>27</v>
      </c>
      <c r="B316" s="77">
        <f t="shared" si="6"/>
        <v>44875</v>
      </c>
      <c r="C316" s="78">
        <v>12.0</v>
      </c>
      <c r="D316" s="78" t="s">
        <v>48</v>
      </c>
      <c r="E316" s="80" t="s">
        <v>131</v>
      </c>
      <c r="F316" s="71">
        <v>0.0</v>
      </c>
      <c r="H316" s="72">
        <v>0.0</v>
      </c>
      <c r="J316" s="72">
        <v>0.0</v>
      </c>
      <c r="L316" s="105">
        <v>0.0</v>
      </c>
      <c r="N316" s="104">
        <v>0.0</v>
      </c>
      <c r="P316" s="104">
        <v>0.0</v>
      </c>
      <c r="R316" s="104">
        <v>0.0</v>
      </c>
      <c r="T316" s="104">
        <v>0.0</v>
      </c>
      <c r="V316" s="104">
        <v>0.0</v>
      </c>
      <c r="X316" s="104">
        <v>0.0</v>
      </c>
      <c r="Y316" s="73"/>
      <c r="Z316" s="105">
        <v>0.0</v>
      </c>
      <c r="AB316" s="104">
        <v>0.0</v>
      </c>
      <c r="AD316" s="104">
        <v>0.0</v>
      </c>
      <c r="AF316" s="81">
        <f t="shared" si="1"/>
        <v>0</v>
      </c>
      <c r="AG316" s="78">
        <f t="shared" si="2"/>
        <v>0</v>
      </c>
      <c r="AH316" s="78">
        <f t="shared" si="3"/>
        <v>0</v>
      </c>
      <c r="AI316" s="78">
        <f t="shared" si="4"/>
        <v>0</v>
      </c>
      <c r="AJ316" s="82" t="str">
        <f t="shared" si="5"/>
        <v/>
      </c>
    </row>
    <row r="317">
      <c r="A317" s="83" t="s">
        <v>30</v>
      </c>
      <c r="B317" s="84">
        <f t="shared" si="6"/>
        <v>44876</v>
      </c>
      <c r="C317" s="85">
        <v>12.0</v>
      </c>
      <c r="D317" s="85" t="s">
        <v>48</v>
      </c>
      <c r="E317" s="87" t="s">
        <v>131</v>
      </c>
      <c r="F317" s="88">
        <v>0.0</v>
      </c>
      <c r="G317" s="89"/>
      <c r="H317" s="90">
        <v>0.0</v>
      </c>
      <c r="I317" s="89"/>
      <c r="J317" s="90">
        <v>0.0</v>
      </c>
      <c r="K317" s="89"/>
      <c r="L317" s="112">
        <v>0.0</v>
      </c>
      <c r="M317" s="89"/>
      <c r="N317" s="111">
        <v>0.0</v>
      </c>
      <c r="O317" s="89"/>
      <c r="P317" s="111">
        <v>0.0</v>
      </c>
      <c r="Q317" s="89"/>
      <c r="R317" s="111">
        <v>0.0</v>
      </c>
      <c r="S317" s="89"/>
      <c r="T317" s="111">
        <v>0.0</v>
      </c>
      <c r="U317" s="89"/>
      <c r="V317" s="111">
        <v>0.0</v>
      </c>
      <c r="W317" s="89"/>
      <c r="X317" s="111">
        <v>0.0</v>
      </c>
      <c r="Y317" s="91"/>
      <c r="Z317" s="112">
        <v>0.0</v>
      </c>
      <c r="AA317" s="89"/>
      <c r="AB317" s="111">
        <v>0.0</v>
      </c>
      <c r="AC317" s="89"/>
      <c r="AD317" s="111">
        <v>0.0</v>
      </c>
      <c r="AE317" s="89"/>
      <c r="AF317" s="92">
        <f t="shared" si="1"/>
        <v>0</v>
      </c>
      <c r="AG317" s="85">
        <f t="shared" si="2"/>
        <v>0</v>
      </c>
      <c r="AH317" s="85">
        <f t="shared" si="3"/>
        <v>0</v>
      </c>
      <c r="AI317" s="85">
        <f t="shared" si="4"/>
        <v>0</v>
      </c>
      <c r="AJ317" s="93" t="str">
        <f t="shared" si="5"/>
        <v/>
      </c>
    </row>
    <row r="318">
      <c r="A318" s="66" t="s">
        <v>11</v>
      </c>
      <c r="B318" s="94">
        <f t="shared" si="6"/>
        <v>44877</v>
      </c>
      <c r="C318" s="68">
        <v>12.0</v>
      </c>
      <c r="D318" s="68" t="s">
        <v>59</v>
      </c>
      <c r="E318" s="70" t="s">
        <v>131</v>
      </c>
      <c r="F318" s="71">
        <v>0.0</v>
      </c>
      <c r="H318" s="72">
        <v>0.0</v>
      </c>
      <c r="J318" s="72">
        <v>0.0</v>
      </c>
      <c r="L318" s="105">
        <v>95.0</v>
      </c>
      <c r="N318" s="104">
        <v>95.0</v>
      </c>
      <c r="P318" s="104">
        <v>0.0</v>
      </c>
      <c r="R318" s="104">
        <v>0.0</v>
      </c>
      <c r="T318" s="104">
        <v>1.0</v>
      </c>
      <c r="V318" s="104">
        <v>1.0</v>
      </c>
      <c r="X318" s="104">
        <v>0.0</v>
      </c>
      <c r="Y318" s="73"/>
      <c r="Z318" s="105">
        <v>30.0</v>
      </c>
      <c r="AB318" s="104">
        <v>30.0</v>
      </c>
      <c r="AD318" s="104">
        <v>0.0</v>
      </c>
      <c r="AF318" s="74">
        <f t="shared" si="1"/>
        <v>4992.75</v>
      </c>
      <c r="AG318" s="68">
        <f t="shared" si="2"/>
        <v>250</v>
      </c>
      <c r="AH318" s="68">
        <f t="shared" si="3"/>
        <v>2</v>
      </c>
      <c r="AI318" s="68">
        <f t="shared" si="4"/>
        <v>252</v>
      </c>
      <c r="AJ318" s="75">
        <f t="shared" si="5"/>
        <v>19.8125</v>
      </c>
    </row>
    <row r="319">
      <c r="A319" s="76" t="s">
        <v>16</v>
      </c>
      <c r="B319" s="77">
        <f t="shared" si="6"/>
        <v>44878</v>
      </c>
      <c r="C319" s="78">
        <v>12.0</v>
      </c>
      <c r="D319" s="78" t="s">
        <v>59</v>
      </c>
      <c r="E319" s="80" t="s">
        <v>131</v>
      </c>
      <c r="F319" s="71">
        <v>0.0</v>
      </c>
      <c r="H319" s="72">
        <v>0.0</v>
      </c>
      <c r="J319" s="72">
        <v>0.0</v>
      </c>
      <c r="L319" s="105">
        <v>95.0</v>
      </c>
      <c r="N319" s="104">
        <v>95.0</v>
      </c>
      <c r="P319" s="104">
        <v>0.0</v>
      </c>
      <c r="R319" s="104">
        <v>0.0</v>
      </c>
      <c r="T319" s="104">
        <v>0.0</v>
      </c>
      <c r="V319" s="104">
        <v>0.0</v>
      </c>
      <c r="X319" s="104">
        <v>0.0</v>
      </c>
      <c r="Y319" s="73"/>
      <c r="Z319" s="105">
        <v>30.0</v>
      </c>
      <c r="AB319" s="104">
        <v>30.0</v>
      </c>
      <c r="AD319" s="104">
        <v>0.0</v>
      </c>
      <c r="AF319" s="81">
        <f t="shared" si="1"/>
        <v>4257.75</v>
      </c>
      <c r="AG319" s="78">
        <f t="shared" si="2"/>
        <v>250</v>
      </c>
      <c r="AH319" s="78">
        <f t="shared" si="3"/>
        <v>0</v>
      </c>
      <c r="AI319" s="78">
        <f t="shared" si="4"/>
        <v>250</v>
      </c>
      <c r="AJ319" s="82">
        <f t="shared" si="5"/>
        <v>17.031</v>
      </c>
    </row>
    <row r="320">
      <c r="A320" s="76" t="s">
        <v>17</v>
      </c>
      <c r="B320" s="77">
        <f t="shared" si="6"/>
        <v>44879</v>
      </c>
      <c r="C320" s="78">
        <v>12.0</v>
      </c>
      <c r="D320" s="78" t="s">
        <v>59</v>
      </c>
      <c r="E320" s="80" t="s">
        <v>131</v>
      </c>
      <c r="F320" s="71">
        <v>0.0</v>
      </c>
      <c r="H320" s="72">
        <v>0.0</v>
      </c>
      <c r="J320" s="72">
        <v>0.0</v>
      </c>
      <c r="L320" s="105">
        <v>95.0</v>
      </c>
      <c r="N320" s="104">
        <v>95.0</v>
      </c>
      <c r="P320" s="104">
        <v>0.0</v>
      </c>
      <c r="R320" s="104">
        <v>0.0</v>
      </c>
      <c r="T320" s="104">
        <v>0.0</v>
      </c>
      <c r="V320" s="104">
        <v>0.0</v>
      </c>
      <c r="X320" s="104">
        <v>0.0</v>
      </c>
      <c r="Y320" s="73"/>
      <c r="Z320" s="105">
        <v>30.0</v>
      </c>
      <c r="AB320" s="104">
        <v>30.0</v>
      </c>
      <c r="AD320" s="104">
        <v>0.0</v>
      </c>
      <c r="AF320" s="81">
        <f t="shared" si="1"/>
        <v>4257.75</v>
      </c>
      <c r="AG320" s="78">
        <f t="shared" si="2"/>
        <v>250</v>
      </c>
      <c r="AH320" s="78">
        <f t="shared" si="3"/>
        <v>0</v>
      </c>
      <c r="AI320" s="78">
        <f t="shared" si="4"/>
        <v>250</v>
      </c>
      <c r="AJ320" s="82">
        <f t="shared" si="5"/>
        <v>17.031</v>
      </c>
    </row>
    <row r="321">
      <c r="A321" s="76" t="s">
        <v>21</v>
      </c>
      <c r="B321" s="77">
        <f t="shared" si="6"/>
        <v>44880</v>
      </c>
      <c r="C321" s="78">
        <v>12.0</v>
      </c>
      <c r="D321" s="78" t="s">
        <v>59</v>
      </c>
      <c r="E321" s="80" t="s">
        <v>131</v>
      </c>
      <c r="F321" s="71">
        <v>0.0</v>
      </c>
      <c r="H321" s="72">
        <v>0.0</v>
      </c>
      <c r="J321" s="72">
        <v>0.0</v>
      </c>
      <c r="L321" s="105">
        <v>95.0</v>
      </c>
      <c r="N321" s="104">
        <v>95.0</v>
      </c>
      <c r="P321" s="104">
        <v>0.0</v>
      </c>
      <c r="R321" s="104">
        <v>0.0</v>
      </c>
      <c r="T321" s="104">
        <v>0.0</v>
      </c>
      <c r="V321" s="104">
        <v>0.0</v>
      </c>
      <c r="X321" s="104">
        <v>0.0</v>
      </c>
      <c r="Y321" s="73"/>
      <c r="Z321" s="105">
        <v>30.0</v>
      </c>
      <c r="AB321" s="104">
        <v>30.0</v>
      </c>
      <c r="AD321" s="104">
        <v>0.0</v>
      </c>
      <c r="AF321" s="81">
        <f t="shared" si="1"/>
        <v>4257.75</v>
      </c>
      <c r="AG321" s="78">
        <f t="shared" si="2"/>
        <v>250</v>
      </c>
      <c r="AH321" s="78">
        <f t="shared" si="3"/>
        <v>0</v>
      </c>
      <c r="AI321" s="78">
        <f t="shared" si="4"/>
        <v>250</v>
      </c>
      <c r="AJ321" s="82">
        <f t="shared" si="5"/>
        <v>17.031</v>
      </c>
    </row>
    <row r="322">
      <c r="A322" s="76" t="s">
        <v>24</v>
      </c>
      <c r="B322" s="77">
        <f t="shared" si="6"/>
        <v>44881</v>
      </c>
      <c r="C322" s="78">
        <v>12.0</v>
      </c>
      <c r="D322" s="78" t="s">
        <v>59</v>
      </c>
      <c r="E322" s="80" t="s">
        <v>131</v>
      </c>
      <c r="F322" s="71">
        <v>0.0</v>
      </c>
      <c r="H322" s="72">
        <v>0.0</v>
      </c>
      <c r="J322" s="72">
        <v>0.0</v>
      </c>
      <c r="L322" s="105">
        <v>95.0</v>
      </c>
      <c r="N322" s="104">
        <v>95.0</v>
      </c>
      <c r="P322" s="104">
        <v>0.0</v>
      </c>
      <c r="R322" s="104">
        <v>0.0</v>
      </c>
      <c r="T322" s="104">
        <v>0.0</v>
      </c>
      <c r="V322" s="104">
        <v>0.0</v>
      </c>
      <c r="X322" s="104">
        <v>0.0</v>
      </c>
      <c r="Y322" s="73"/>
      <c r="Z322" s="105">
        <v>30.0</v>
      </c>
      <c r="AB322" s="104">
        <v>30.0</v>
      </c>
      <c r="AD322" s="104">
        <v>0.0</v>
      </c>
      <c r="AF322" s="81">
        <f t="shared" si="1"/>
        <v>4257.75</v>
      </c>
      <c r="AG322" s="78">
        <f t="shared" si="2"/>
        <v>250</v>
      </c>
      <c r="AH322" s="78">
        <f t="shared" si="3"/>
        <v>0</v>
      </c>
      <c r="AI322" s="78">
        <f t="shared" si="4"/>
        <v>250</v>
      </c>
      <c r="AJ322" s="82">
        <f t="shared" si="5"/>
        <v>17.031</v>
      </c>
    </row>
    <row r="323">
      <c r="A323" s="76" t="s">
        <v>27</v>
      </c>
      <c r="B323" s="77">
        <f t="shared" si="6"/>
        <v>44882</v>
      </c>
      <c r="C323" s="78">
        <v>12.0</v>
      </c>
      <c r="D323" s="78" t="s">
        <v>59</v>
      </c>
      <c r="E323" s="80" t="s">
        <v>131</v>
      </c>
      <c r="F323" s="71">
        <v>0.0</v>
      </c>
      <c r="H323" s="72">
        <v>0.0</v>
      </c>
      <c r="J323" s="72">
        <v>0.0</v>
      </c>
      <c r="L323" s="105">
        <v>0.0</v>
      </c>
      <c r="N323" s="104">
        <v>0.0</v>
      </c>
      <c r="P323" s="104">
        <v>0.0</v>
      </c>
      <c r="R323" s="104">
        <v>0.0</v>
      </c>
      <c r="T323" s="104">
        <v>0.0</v>
      </c>
      <c r="V323" s="104">
        <v>0.0</v>
      </c>
      <c r="X323" s="104">
        <v>0.0</v>
      </c>
      <c r="Y323" s="73"/>
      <c r="Z323" s="105">
        <v>0.0</v>
      </c>
      <c r="AB323" s="104">
        <v>0.0</v>
      </c>
      <c r="AD323" s="104">
        <v>0.0</v>
      </c>
      <c r="AF323" s="81">
        <f t="shared" si="1"/>
        <v>0</v>
      </c>
      <c r="AG323" s="78">
        <f t="shared" si="2"/>
        <v>0</v>
      </c>
      <c r="AH323" s="78">
        <f t="shared" si="3"/>
        <v>0</v>
      </c>
      <c r="AI323" s="78">
        <f t="shared" si="4"/>
        <v>0</v>
      </c>
      <c r="AJ323" s="82" t="str">
        <f t="shared" si="5"/>
        <v/>
      </c>
    </row>
    <row r="324">
      <c r="A324" s="83" t="s">
        <v>30</v>
      </c>
      <c r="B324" s="84">
        <f t="shared" si="6"/>
        <v>44883</v>
      </c>
      <c r="C324" s="85">
        <v>12.0</v>
      </c>
      <c r="D324" s="85" t="s">
        <v>59</v>
      </c>
      <c r="E324" s="87" t="s">
        <v>131</v>
      </c>
      <c r="F324" s="88">
        <v>0.0</v>
      </c>
      <c r="G324" s="89"/>
      <c r="H324" s="90">
        <v>0.0</v>
      </c>
      <c r="I324" s="89"/>
      <c r="J324" s="90">
        <v>0.0</v>
      </c>
      <c r="K324" s="89"/>
      <c r="L324" s="112">
        <v>0.0</v>
      </c>
      <c r="M324" s="89"/>
      <c r="N324" s="111">
        <v>0.0</v>
      </c>
      <c r="O324" s="89"/>
      <c r="P324" s="111">
        <v>0.0</v>
      </c>
      <c r="Q324" s="89"/>
      <c r="R324" s="111">
        <v>0.0</v>
      </c>
      <c r="S324" s="89"/>
      <c r="T324" s="111">
        <v>0.0</v>
      </c>
      <c r="U324" s="89"/>
      <c r="V324" s="111">
        <v>0.0</v>
      </c>
      <c r="W324" s="89"/>
      <c r="X324" s="111">
        <v>0.0</v>
      </c>
      <c r="Y324" s="91"/>
      <c r="Z324" s="112">
        <v>0.0</v>
      </c>
      <c r="AA324" s="89"/>
      <c r="AB324" s="111">
        <v>0.0</v>
      </c>
      <c r="AC324" s="89"/>
      <c r="AD324" s="111">
        <v>0.0</v>
      </c>
      <c r="AE324" s="89"/>
      <c r="AF324" s="92">
        <f t="shared" si="1"/>
        <v>0</v>
      </c>
      <c r="AG324" s="85">
        <f t="shared" si="2"/>
        <v>0</v>
      </c>
      <c r="AH324" s="85">
        <f t="shared" si="3"/>
        <v>0</v>
      </c>
      <c r="AI324" s="85">
        <f t="shared" si="4"/>
        <v>0</v>
      </c>
      <c r="AJ324" s="93" t="str">
        <f t="shared" si="5"/>
        <v/>
      </c>
    </row>
    <row r="325">
      <c r="A325" s="66" t="s">
        <v>11</v>
      </c>
      <c r="B325" s="94">
        <f t="shared" si="6"/>
        <v>44884</v>
      </c>
      <c r="C325" s="68">
        <v>12.0</v>
      </c>
      <c r="D325" s="68" t="s">
        <v>12</v>
      </c>
      <c r="E325" s="70" t="s">
        <v>125</v>
      </c>
      <c r="F325" s="71">
        <v>0.0</v>
      </c>
      <c r="H325" s="72">
        <v>0.0</v>
      </c>
      <c r="J325" s="72">
        <v>0.0</v>
      </c>
      <c r="L325" s="71">
        <v>0.0</v>
      </c>
      <c r="N325" s="72">
        <v>0.0</v>
      </c>
      <c r="P325" s="72">
        <v>0.0</v>
      </c>
      <c r="R325" s="72">
        <v>0.0</v>
      </c>
      <c r="T325" s="72">
        <v>0.0</v>
      </c>
      <c r="V325" s="72">
        <v>0.0</v>
      </c>
      <c r="X325" s="72">
        <v>0.0</v>
      </c>
      <c r="Y325" s="73"/>
      <c r="Z325" s="71">
        <v>0.0</v>
      </c>
      <c r="AB325" s="72">
        <v>0.0</v>
      </c>
      <c r="AD325" s="72">
        <v>0.0</v>
      </c>
      <c r="AF325" s="74">
        <f t="shared" si="1"/>
        <v>0</v>
      </c>
      <c r="AG325" s="68">
        <f t="shared" si="2"/>
        <v>0</v>
      </c>
      <c r="AH325" s="68">
        <f t="shared" si="3"/>
        <v>0</v>
      </c>
      <c r="AI325" s="68">
        <f t="shared" si="4"/>
        <v>0</v>
      </c>
      <c r="AJ325" s="75" t="str">
        <f t="shared" si="5"/>
        <v/>
      </c>
    </row>
    <row r="326">
      <c r="A326" s="76" t="s">
        <v>16</v>
      </c>
      <c r="B326" s="77">
        <f t="shared" si="6"/>
        <v>44885</v>
      </c>
      <c r="C326" s="78">
        <v>12.0</v>
      </c>
      <c r="D326" s="78" t="s">
        <v>12</v>
      </c>
      <c r="E326" s="80" t="s">
        <v>125</v>
      </c>
      <c r="F326" s="71">
        <v>0.0</v>
      </c>
      <c r="H326" s="72">
        <v>0.0</v>
      </c>
      <c r="J326" s="72">
        <v>0.0</v>
      </c>
      <c r="L326" s="71">
        <v>0.0</v>
      </c>
      <c r="N326" s="72">
        <v>0.0</v>
      </c>
      <c r="P326" s="72">
        <v>0.0</v>
      </c>
      <c r="R326" s="72">
        <v>0.0</v>
      </c>
      <c r="T326" s="72">
        <v>0.0</v>
      </c>
      <c r="V326" s="72">
        <v>0.0</v>
      </c>
      <c r="X326" s="72">
        <v>0.0</v>
      </c>
      <c r="Y326" s="73"/>
      <c r="Z326" s="71">
        <v>0.0</v>
      </c>
      <c r="AB326" s="72">
        <v>0.0</v>
      </c>
      <c r="AD326" s="72">
        <v>0.0</v>
      </c>
      <c r="AF326" s="81">
        <f t="shared" si="1"/>
        <v>0</v>
      </c>
      <c r="AG326" s="78">
        <f t="shared" si="2"/>
        <v>0</v>
      </c>
      <c r="AH326" s="78">
        <f t="shared" si="3"/>
        <v>0</v>
      </c>
      <c r="AI326" s="78">
        <f t="shared" si="4"/>
        <v>0</v>
      </c>
      <c r="AJ326" s="82" t="str">
        <f t="shared" si="5"/>
        <v/>
      </c>
    </row>
    <row r="327">
      <c r="A327" s="76" t="s">
        <v>17</v>
      </c>
      <c r="B327" s="77">
        <f t="shared" si="6"/>
        <v>44886</v>
      </c>
      <c r="C327" s="78">
        <v>12.0</v>
      </c>
      <c r="D327" s="78" t="s">
        <v>12</v>
      </c>
      <c r="E327" s="80" t="s">
        <v>125</v>
      </c>
      <c r="F327" s="71">
        <v>0.0</v>
      </c>
      <c r="H327" s="72">
        <v>0.0</v>
      </c>
      <c r="J327" s="72">
        <v>0.0</v>
      </c>
      <c r="L327" s="71">
        <v>0.0</v>
      </c>
      <c r="N327" s="72">
        <v>0.0</v>
      </c>
      <c r="P327" s="72">
        <v>0.0</v>
      </c>
      <c r="R327" s="72">
        <v>0.0</v>
      </c>
      <c r="T327" s="72">
        <v>0.0</v>
      </c>
      <c r="V327" s="72">
        <v>0.0</v>
      </c>
      <c r="X327" s="72">
        <v>0.0</v>
      </c>
      <c r="Y327" s="73"/>
      <c r="Z327" s="71">
        <v>0.0</v>
      </c>
      <c r="AB327" s="72">
        <v>0.0</v>
      </c>
      <c r="AD327" s="72">
        <v>0.0</v>
      </c>
      <c r="AF327" s="81">
        <f t="shared" si="1"/>
        <v>0</v>
      </c>
      <c r="AG327" s="78">
        <f t="shared" si="2"/>
        <v>0</v>
      </c>
      <c r="AH327" s="78">
        <f t="shared" si="3"/>
        <v>0</v>
      </c>
      <c r="AI327" s="78">
        <f t="shared" si="4"/>
        <v>0</v>
      </c>
      <c r="AJ327" s="82" t="str">
        <f t="shared" si="5"/>
        <v/>
      </c>
    </row>
    <row r="328">
      <c r="A328" s="76" t="s">
        <v>21</v>
      </c>
      <c r="B328" s="77">
        <f t="shared" si="6"/>
        <v>44887</v>
      </c>
      <c r="C328" s="78">
        <v>12.0</v>
      </c>
      <c r="D328" s="78" t="s">
        <v>12</v>
      </c>
      <c r="E328" s="80" t="s">
        <v>125</v>
      </c>
      <c r="F328" s="71">
        <v>0.0</v>
      </c>
      <c r="H328" s="72">
        <v>0.0</v>
      </c>
      <c r="J328" s="72">
        <v>0.0</v>
      </c>
      <c r="L328" s="71">
        <v>0.0</v>
      </c>
      <c r="N328" s="72">
        <v>0.0</v>
      </c>
      <c r="P328" s="72">
        <v>0.0</v>
      </c>
      <c r="R328" s="72">
        <v>0.0</v>
      </c>
      <c r="T328" s="72">
        <v>0.0</v>
      </c>
      <c r="V328" s="72">
        <v>0.0</v>
      </c>
      <c r="X328" s="72">
        <v>0.0</v>
      </c>
      <c r="Y328" s="73"/>
      <c r="Z328" s="71">
        <v>0.0</v>
      </c>
      <c r="AB328" s="72">
        <v>0.0</v>
      </c>
      <c r="AD328" s="72">
        <v>0.0</v>
      </c>
      <c r="AF328" s="81">
        <f t="shared" si="1"/>
        <v>0</v>
      </c>
      <c r="AG328" s="78">
        <f t="shared" si="2"/>
        <v>0</v>
      </c>
      <c r="AH328" s="78">
        <f t="shared" si="3"/>
        <v>0</v>
      </c>
      <c r="AI328" s="78">
        <f t="shared" si="4"/>
        <v>0</v>
      </c>
      <c r="AJ328" s="82" t="str">
        <f t="shared" si="5"/>
        <v/>
      </c>
    </row>
    <row r="329">
      <c r="A329" s="76" t="s">
        <v>24</v>
      </c>
      <c r="B329" s="77">
        <f t="shared" si="6"/>
        <v>44888</v>
      </c>
      <c r="C329" s="78">
        <v>12.0</v>
      </c>
      <c r="D329" s="78" t="s">
        <v>12</v>
      </c>
      <c r="E329" s="80" t="s">
        <v>125</v>
      </c>
      <c r="F329" s="71">
        <v>0.0</v>
      </c>
      <c r="H329" s="72">
        <v>0.0</v>
      </c>
      <c r="J329" s="72">
        <v>0.0</v>
      </c>
      <c r="L329" s="71">
        <v>0.0</v>
      </c>
      <c r="N329" s="72">
        <v>0.0</v>
      </c>
      <c r="P329" s="72">
        <v>0.0</v>
      </c>
      <c r="R329" s="72">
        <v>0.0</v>
      </c>
      <c r="T329" s="72">
        <v>0.0</v>
      </c>
      <c r="V329" s="72">
        <v>0.0</v>
      </c>
      <c r="X329" s="72">
        <v>0.0</v>
      </c>
      <c r="Y329" s="73"/>
      <c r="Z329" s="71">
        <v>0.0</v>
      </c>
      <c r="AB329" s="72">
        <v>0.0</v>
      </c>
      <c r="AD329" s="72">
        <v>0.0</v>
      </c>
      <c r="AF329" s="81">
        <f t="shared" si="1"/>
        <v>0</v>
      </c>
      <c r="AG329" s="78">
        <f t="shared" si="2"/>
        <v>0</v>
      </c>
      <c r="AH329" s="78">
        <f t="shared" si="3"/>
        <v>0</v>
      </c>
      <c r="AI329" s="78">
        <f t="shared" si="4"/>
        <v>0</v>
      </c>
      <c r="AJ329" s="82" t="str">
        <f t="shared" si="5"/>
        <v/>
      </c>
    </row>
    <row r="330">
      <c r="A330" s="76" t="s">
        <v>27</v>
      </c>
      <c r="B330" s="77">
        <f t="shared" si="6"/>
        <v>44889</v>
      </c>
      <c r="C330" s="78">
        <v>12.0</v>
      </c>
      <c r="D330" s="78" t="s">
        <v>12</v>
      </c>
      <c r="E330" s="80" t="s">
        <v>125</v>
      </c>
      <c r="F330" s="71">
        <v>0.0</v>
      </c>
      <c r="H330" s="72">
        <v>0.0</v>
      </c>
      <c r="J330" s="72">
        <v>0.0</v>
      </c>
      <c r="L330" s="71">
        <v>0.0</v>
      </c>
      <c r="N330" s="72">
        <v>0.0</v>
      </c>
      <c r="P330" s="72">
        <v>0.0</v>
      </c>
      <c r="R330" s="72">
        <v>0.0</v>
      </c>
      <c r="T330" s="72">
        <v>0.0</v>
      </c>
      <c r="V330" s="72">
        <v>0.0</v>
      </c>
      <c r="X330" s="72">
        <v>0.0</v>
      </c>
      <c r="Y330" s="73"/>
      <c r="Z330" s="71">
        <v>0.0</v>
      </c>
      <c r="AB330" s="72">
        <v>0.0</v>
      </c>
      <c r="AD330" s="72">
        <v>0.0</v>
      </c>
      <c r="AF330" s="81">
        <f t="shared" si="1"/>
        <v>0</v>
      </c>
      <c r="AG330" s="78">
        <f t="shared" si="2"/>
        <v>0</v>
      </c>
      <c r="AH330" s="78">
        <f t="shared" si="3"/>
        <v>0</v>
      </c>
      <c r="AI330" s="78">
        <f t="shared" si="4"/>
        <v>0</v>
      </c>
      <c r="AJ330" s="82" t="str">
        <f t="shared" si="5"/>
        <v/>
      </c>
    </row>
    <row r="331">
      <c r="A331" s="83" t="s">
        <v>30</v>
      </c>
      <c r="B331" s="84">
        <f t="shared" si="6"/>
        <v>44890</v>
      </c>
      <c r="C331" s="85">
        <v>12.0</v>
      </c>
      <c r="D331" s="85" t="s">
        <v>12</v>
      </c>
      <c r="E331" s="87" t="s">
        <v>125</v>
      </c>
      <c r="F331" s="88">
        <v>0.0</v>
      </c>
      <c r="G331" s="89"/>
      <c r="H331" s="90">
        <v>0.0</v>
      </c>
      <c r="I331" s="89"/>
      <c r="J331" s="90">
        <v>0.0</v>
      </c>
      <c r="K331" s="89"/>
      <c r="L331" s="88">
        <v>0.0</v>
      </c>
      <c r="M331" s="89"/>
      <c r="N331" s="90">
        <v>0.0</v>
      </c>
      <c r="O331" s="89"/>
      <c r="P331" s="90">
        <v>0.0</v>
      </c>
      <c r="Q331" s="89"/>
      <c r="R331" s="90">
        <v>0.0</v>
      </c>
      <c r="S331" s="89"/>
      <c r="T331" s="90">
        <v>0.0</v>
      </c>
      <c r="U331" s="89"/>
      <c r="V331" s="90">
        <v>0.0</v>
      </c>
      <c r="W331" s="89"/>
      <c r="X331" s="90">
        <v>0.0</v>
      </c>
      <c r="Y331" s="91"/>
      <c r="Z331" s="88">
        <v>0.0</v>
      </c>
      <c r="AA331" s="89"/>
      <c r="AB331" s="90">
        <v>0.0</v>
      </c>
      <c r="AC331" s="89"/>
      <c r="AD331" s="90">
        <v>0.0</v>
      </c>
      <c r="AE331" s="89"/>
      <c r="AF331" s="92">
        <f t="shared" si="1"/>
        <v>0</v>
      </c>
      <c r="AG331" s="85">
        <f t="shared" si="2"/>
        <v>0</v>
      </c>
      <c r="AH331" s="85">
        <f t="shared" si="3"/>
        <v>0</v>
      </c>
      <c r="AI331" s="85">
        <f t="shared" si="4"/>
        <v>0</v>
      </c>
      <c r="AJ331" s="93" t="str">
        <f t="shared" si="5"/>
        <v/>
      </c>
    </row>
    <row r="332">
      <c r="A332" s="66" t="s">
        <v>11</v>
      </c>
      <c r="B332" s="94">
        <f t="shared" si="6"/>
        <v>44891</v>
      </c>
      <c r="C332" s="68">
        <v>12.0</v>
      </c>
      <c r="D332" s="68" t="s">
        <v>33</v>
      </c>
      <c r="E332" s="70" t="s">
        <v>125</v>
      </c>
      <c r="F332" s="71">
        <v>0.0</v>
      </c>
      <c r="H332" s="72">
        <v>0.0</v>
      </c>
      <c r="J332" s="72">
        <v>0.0</v>
      </c>
      <c r="L332" s="71">
        <v>0.0</v>
      </c>
      <c r="N332" s="72">
        <v>0.0</v>
      </c>
      <c r="P332" s="72">
        <v>0.0</v>
      </c>
      <c r="R332" s="72">
        <v>0.0</v>
      </c>
      <c r="T332" s="72">
        <v>0.0</v>
      </c>
      <c r="V332" s="72">
        <v>0.0</v>
      </c>
      <c r="X332" s="72">
        <v>0.0</v>
      </c>
      <c r="Y332" s="73"/>
      <c r="Z332" s="71">
        <v>0.0</v>
      </c>
      <c r="AB332" s="72">
        <v>0.0</v>
      </c>
      <c r="AD332" s="72">
        <v>0.0</v>
      </c>
      <c r="AF332" s="74">
        <f t="shared" si="1"/>
        <v>0</v>
      </c>
      <c r="AG332" s="68">
        <f t="shared" si="2"/>
        <v>0</v>
      </c>
      <c r="AH332" s="68">
        <f t="shared" si="3"/>
        <v>0</v>
      </c>
      <c r="AI332" s="68">
        <f t="shared" si="4"/>
        <v>0</v>
      </c>
      <c r="AJ332" s="75" t="str">
        <f t="shared" si="5"/>
        <v/>
      </c>
    </row>
    <row r="333">
      <c r="A333" s="76" t="s">
        <v>16</v>
      </c>
      <c r="B333" s="77">
        <f t="shared" si="6"/>
        <v>44892</v>
      </c>
      <c r="C333" s="78">
        <v>12.0</v>
      </c>
      <c r="D333" s="78" t="s">
        <v>33</v>
      </c>
      <c r="E333" s="80" t="s">
        <v>125</v>
      </c>
      <c r="F333" s="71">
        <v>0.0</v>
      </c>
      <c r="H333" s="72">
        <v>0.0</v>
      </c>
      <c r="J333" s="72">
        <v>0.0</v>
      </c>
      <c r="L333" s="71">
        <v>0.0</v>
      </c>
      <c r="N333" s="72">
        <v>0.0</v>
      </c>
      <c r="P333" s="72">
        <v>0.0</v>
      </c>
      <c r="R333" s="72">
        <v>0.0</v>
      </c>
      <c r="T333" s="72">
        <v>0.0</v>
      </c>
      <c r="V333" s="72">
        <v>0.0</v>
      </c>
      <c r="X333" s="72">
        <v>0.0</v>
      </c>
      <c r="Y333" s="73"/>
      <c r="Z333" s="71">
        <v>0.0</v>
      </c>
      <c r="AB333" s="72">
        <v>0.0</v>
      </c>
      <c r="AD333" s="72">
        <v>0.0</v>
      </c>
      <c r="AF333" s="81">
        <f t="shared" si="1"/>
        <v>0</v>
      </c>
      <c r="AG333" s="78">
        <f t="shared" si="2"/>
        <v>0</v>
      </c>
      <c r="AH333" s="78">
        <f t="shared" si="3"/>
        <v>0</v>
      </c>
      <c r="AI333" s="78">
        <f t="shared" si="4"/>
        <v>0</v>
      </c>
      <c r="AJ333" s="82" t="str">
        <f t="shared" si="5"/>
        <v/>
      </c>
    </row>
    <row r="334">
      <c r="A334" s="76" t="s">
        <v>17</v>
      </c>
      <c r="B334" s="77">
        <f t="shared" si="6"/>
        <v>44893</v>
      </c>
      <c r="C334" s="78">
        <v>12.0</v>
      </c>
      <c r="D334" s="78" t="s">
        <v>33</v>
      </c>
      <c r="E334" s="80" t="s">
        <v>125</v>
      </c>
      <c r="F334" s="71">
        <v>0.0</v>
      </c>
      <c r="H334" s="72">
        <v>0.0</v>
      </c>
      <c r="J334" s="72">
        <v>0.0</v>
      </c>
      <c r="L334" s="71">
        <v>0.0</v>
      </c>
      <c r="N334" s="72">
        <v>0.0</v>
      </c>
      <c r="P334" s="72">
        <v>0.0</v>
      </c>
      <c r="R334" s="72">
        <v>0.0</v>
      </c>
      <c r="T334" s="72">
        <v>0.0</v>
      </c>
      <c r="V334" s="72">
        <v>0.0</v>
      </c>
      <c r="X334" s="72">
        <v>0.0</v>
      </c>
      <c r="Y334" s="73"/>
      <c r="Z334" s="71">
        <v>0.0</v>
      </c>
      <c r="AB334" s="72">
        <v>0.0</v>
      </c>
      <c r="AD334" s="72">
        <v>0.0</v>
      </c>
      <c r="AF334" s="81">
        <f t="shared" si="1"/>
        <v>0</v>
      </c>
      <c r="AG334" s="78">
        <f t="shared" si="2"/>
        <v>0</v>
      </c>
      <c r="AH334" s="78">
        <f t="shared" si="3"/>
        <v>0</v>
      </c>
      <c r="AI334" s="78">
        <f t="shared" si="4"/>
        <v>0</v>
      </c>
      <c r="AJ334" s="82" t="str">
        <f t="shared" si="5"/>
        <v/>
      </c>
    </row>
    <row r="335">
      <c r="A335" s="76" t="s">
        <v>21</v>
      </c>
      <c r="B335" s="77">
        <f t="shared" si="6"/>
        <v>44894</v>
      </c>
      <c r="C335" s="78">
        <v>12.0</v>
      </c>
      <c r="D335" s="78" t="s">
        <v>33</v>
      </c>
      <c r="E335" s="80" t="s">
        <v>125</v>
      </c>
      <c r="F335" s="71">
        <v>0.0</v>
      </c>
      <c r="H335" s="72">
        <v>0.0</v>
      </c>
      <c r="J335" s="72">
        <v>0.0</v>
      </c>
      <c r="L335" s="71">
        <v>0.0</v>
      </c>
      <c r="N335" s="72">
        <v>0.0</v>
      </c>
      <c r="P335" s="72">
        <v>0.0</v>
      </c>
      <c r="R335" s="72">
        <v>0.0</v>
      </c>
      <c r="T335" s="72">
        <v>0.0</v>
      </c>
      <c r="V335" s="72">
        <v>0.0</v>
      </c>
      <c r="X335" s="72">
        <v>0.0</v>
      </c>
      <c r="Y335" s="73"/>
      <c r="Z335" s="71">
        <v>0.0</v>
      </c>
      <c r="AB335" s="72">
        <v>0.0</v>
      </c>
      <c r="AD335" s="72">
        <v>0.0</v>
      </c>
      <c r="AF335" s="81">
        <f t="shared" si="1"/>
        <v>0</v>
      </c>
      <c r="AG335" s="78">
        <f t="shared" si="2"/>
        <v>0</v>
      </c>
      <c r="AH335" s="78">
        <f t="shared" si="3"/>
        <v>0</v>
      </c>
      <c r="AI335" s="78">
        <f t="shared" si="4"/>
        <v>0</v>
      </c>
      <c r="AJ335" s="82" t="str">
        <f t="shared" si="5"/>
        <v/>
      </c>
    </row>
    <row r="336">
      <c r="A336" s="76" t="s">
        <v>24</v>
      </c>
      <c r="B336" s="77">
        <f t="shared" si="6"/>
        <v>44895</v>
      </c>
      <c r="C336" s="78">
        <v>12.0</v>
      </c>
      <c r="D336" s="78" t="s">
        <v>33</v>
      </c>
      <c r="E336" s="80" t="s">
        <v>125</v>
      </c>
      <c r="F336" s="71">
        <v>0.0</v>
      </c>
      <c r="H336" s="72">
        <v>0.0</v>
      </c>
      <c r="J336" s="72">
        <v>0.0</v>
      </c>
      <c r="L336" s="71">
        <v>0.0</v>
      </c>
      <c r="N336" s="72">
        <v>0.0</v>
      </c>
      <c r="P336" s="72">
        <v>0.0</v>
      </c>
      <c r="R336" s="72">
        <v>0.0</v>
      </c>
      <c r="T336" s="72">
        <v>0.0</v>
      </c>
      <c r="V336" s="72">
        <v>0.0</v>
      </c>
      <c r="X336" s="72">
        <v>0.0</v>
      </c>
      <c r="Y336" s="73"/>
      <c r="Z336" s="71">
        <v>0.0</v>
      </c>
      <c r="AB336" s="72">
        <v>0.0</v>
      </c>
      <c r="AD336" s="72">
        <v>0.0</v>
      </c>
      <c r="AF336" s="81">
        <f t="shared" si="1"/>
        <v>0</v>
      </c>
      <c r="AG336" s="78">
        <f t="shared" si="2"/>
        <v>0</v>
      </c>
      <c r="AH336" s="78">
        <f t="shared" si="3"/>
        <v>0</v>
      </c>
      <c r="AI336" s="78">
        <f t="shared" si="4"/>
        <v>0</v>
      </c>
      <c r="AJ336" s="82" t="str">
        <f t="shared" si="5"/>
        <v/>
      </c>
    </row>
    <row r="337">
      <c r="A337" s="76" t="s">
        <v>27</v>
      </c>
      <c r="B337" s="77">
        <f t="shared" si="6"/>
        <v>44896</v>
      </c>
      <c r="C337" s="78">
        <v>12.0</v>
      </c>
      <c r="D337" s="78" t="s">
        <v>33</v>
      </c>
      <c r="E337" s="80" t="s">
        <v>125</v>
      </c>
      <c r="F337" s="71">
        <v>0.0</v>
      </c>
      <c r="H337" s="72">
        <v>0.0</v>
      </c>
      <c r="J337" s="72">
        <v>0.0</v>
      </c>
      <c r="L337" s="71">
        <v>0.0</v>
      </c>
      <c r="N337" s="72">
        <v>0.0</v>
      </c>
      <c r="P337" s="72">
        <v>0.0</v>
      </c>
      <c r="R337" s="72">
        <v>0.0</v>
      </c>
      <c r="T337" s="72">
        <v>0.0</v>
      </c>
      <c r="V337" s="72">
        <v>0.0</v>
      </c>
      <c r="X337" s="72">
        <v>0.0</v>
      </c>
      <c r="Y337" s="73"/>
      <c r="Z337" s="71">
        <v>0.0</v>
      </c>
      <c r="AB337" s="72">
        <v>0.0</v>
      </c>
      <c r="AD337" s="72">
        <v>0.0</v>
      </c>
      <c r="AF337" s="81">
        <f t="shared" si="1"/>
        <v>0</v>
      </c>
      <c r="AG337" s="78">
        <f t="shared" si="2"/>
        <v>0</v>
      </c>
      <c r="AH337" s="78">
        <f t="shared" si="3"/>
        <v>0</v>
      </c>
      <c r="AI337" s="78">
        <f t="shared" si="4"/>
        <v>0</v>
      </c>
      <c r="AJ337" s="82" t="str">
        <f t="shared" si="5"/>
        <v/>
      </c>
    </row>
    <row r="338">
      <c r="A338" s="83" t="s">
        <v>30</v>
      </c>
      <c r="B338" s="84">
        <f t="shared" si="6"/>
        <v>44897</v>
      </c>
      <c r="C338" s="85">
        <v>12.0</v>
      </c>
      <c r="D338" s="85" t="s">
        <v>33</v>
      </c>
      <c r="E338" s="87" t="s">
        <v>125</v>
      </c>
      <c r="F338" s="88">
        <v>0.0</v>
      </c>
      <c r="G338" s="89"/>
      <c r="H338" s="90">
        <v>0.0</v>
      </c>
      <c r="I338" s="89"/>
      <c r="J338" s="90">
        <v>0.0</v>
      </c>
      <c r="K338" s="89"/>
      <c r="L338" s="88">
        <v>0.0</v>
      </c>
      <c r="M338" s="89"/>
      <c r="N338" s="90">
        <v>0.0</v>
      </c>
      <c r="O338" s="89"/>
      <c r="P338" s="90">
        <v>0.0</v>
      </c>
      <c r="Q338" s="89"/>
      <c r="R338" s="90">
        <v>0.0</v>
      </c>
      <c r="S338" s="89"/>
      <c r="T338" s="90">
        <v>0.0</v>
      </c>
      <c r="U338" s="89"/>
      <c r="V338" s="90">
        <v>0.0</v>
      </c>
      <c r="W338" s="89"/>
      <c r="X338" s="90">
        <v>0.0</v>
      </c>
      <c r="Y338" s="91"/>
      <c r="Z338" s="88">
        <v>0.0</v>
      </c>
      <c r="AA338" s="89"/>
      <c r="AB338" s="90">
        <v>0.0</v>
      </c>
      <c r="AC338" s="89"/>
      <c r="AD338" s="90">
        <v>0.0</v>
      </c>
      <c r="AE338" s="89"/>
      <c r="AF338" s="92">
        <f t="shared" si="1"/>
        <v>0</v>
      </c>
      <c r="AG338" s="85">
        <f t="shared" si="2"/>
        <v>0</v>
      </c>
      <c r="AH338" s="85">
        <f t="shared" si="3"/>
        <v>0</v>
      </c>
      <c r="AI338" s="85">
        <f t="shared" si="4"/>
        <v>0</v>
      </c>
      <c r="AJ338" s="93" t="str">
        <f t="shared" si="5"/>
        <v/>
      </c>
    </row>
    <row r="339">
      <c r="A339" s="66" t="s">
        <v>11</v>
      </c>
      <c r="B339" s="94">
        <f t="shared" si="6"/>
        <v>44898</v>
      </c>
      <c r="C339" s="68">
        <v>13.0</v>
      </c>
      <c r="D339" s="68" t="s">
        <v>48</v>
      </c>
      <c r="E339" s="70" t="s">
        <v>125</v>
      </c>
      <c r="F339" s="71">
        <v>0.0</v>
      </c>
      <c r="H339" s="72">
        <v>0.0</v>
      </c>
      <c r="J339" s="72">
        <v>0.0</v>
      </c>
      <c r="L339" s="71">
        <v>0.0</v>
      </c>
      <c r="N339" s="72">
        <v>0.0</v>
      </c>
      <c r="P339" s="72">
        <v>0.0</v>
      </c>
      <c r="R339" s="72">
        <v>0.0</v>
      </c>
      <c r="T339" s="72">
        <v>0.0</v>
      </c>
      <c r="V339" s="72">
        <v>0.0</v>
      </c>
      <c r="X339" s="72">
        <v>0.0</v>
      </c>
      <c r="Y339" s="73"/>
      <c r="Z339" s="71">
        <v>0.0</v>
      </c>
      <c r="AB339" s="72">
        <v>0.0</v>
      </c>
      <c r="AD339" s="72">
        <v>0.0</v>
      </c>
      <c r="AF339" s="74">
        <f t="shared" si="1"/>
        <v>0</v>
      </c>
      <c r="AG339" s="68">
        <f t="shared" si="2"/>
        <v>0</v>
      </c>
      <c r="AH339" s="68">
        <f t="shared" si="3"/>
        <v>0</v>
      </c>
      <c r="AI339" s="68">
        <f t="shared" si="4"/>
        <v>0</v>
      </c>
      <c r="AJ339" s="75" t="str">
        <f t="shared" si="5"/>
        <v/>
      </c>
    </row>
    <row r="340">
      <c r="A340" s="76" t="s">
        <v>16</v>
      </c>
      <c r="B340" s="77">
        <f t="shared" si="6"/>
        <v>44899</v>
      </c>
      <c r="C340" s="78">
        <v>13.0</v>
      </c>
      <c r="D340" s="78" t="s">
        <v>48</v>
      </c>
      <c r="E340" s="80" t="s">
        <v>125</v>
      </c>
      <c r="F340" s="71">
        <v>0.0</v>
      </c>
      <c r="H340" s="72">
        <v>0.0</v>
      </c>
      <c r="J340" s="72">
        <v>0.0</v>
      </c>
      <c r="L340" s="71">
        <v>0.0</v>
      </c>
      <c r="N340" s="72">
        <v>0.0</v>
      </c>
      <c r="P340" s="72">
        <v>0.0</v>
      </c>
      <c r="R340" s="72">
        <v>0.0</v>
      </c>
      <c r="T340" s="72">
        <v>0.0</v>
      </c>
      <c r="V340" s="72">
        <v>0.0</v>
      </c>
      <c r="X340" s="72">
        <v>0.0</v>
      </c>
      <c r="Y340" s="73"/>
      <c r="Z340" s="71">
        <v>0.0</v>
      </c>
      <c r="AB340" s="72">
        <v>0.0</v>
      </c>
      <c r="AD340" s="72">
        <v>0.0</v>
      </c>
      <c r="AF340" s="81">
        <f t="shared" si="1"/>
        <v>0</v>
      </c>
      <c r="AG340" s="78">
        <f t="shared" si="2"/>
        <v>0</v>
      </c>
      <c r="AH340" s="78">
        <f t="shared" si="3"/>
        <v>0</v>
      </c>
      <c r="AI340" s="78">
        <f t="shared" si="4"/>
        <v>0</v>
      </c>
      <c r="AJ340" s="82" t="str">
        <f t="shared" si="5"/>
        <v/>
      </c>
    </row>
    <row r="341">
      <c r="A341" s="76" t="s">
        <v>17</v>
      </c>
      <c r="B341" s="77">
        <f t="shared" si="6"/>
        <v>44900</v>
      </c>
      <c r="C341" s="78">
        <v>13.0</v>
      </c>
      <c r="D341" s="78" t="s">
        <v>48</v>
      </c>
      <c r="E341" s="80" t="s">
        <v>125</v>
      </c>
      <c r="F341" s="71">
        <v>0.0</v>
      </c>
      <c r="H341" s="72">
        <v>0.0</v>
      </c>
      <c r="J341" s="72">
        <v>0.0</v>
      </c>
      <c r="L341" s="71">
        <v>0.0</v>
      </c>
      <c r="N341" s="72">
        <v>0.0</v>
      </c>
      <c r="P341" s="72">
        <v>0.0</v>
      </c>
      <c r="R341" s="72">
        <v>0.0</v>
      </c>
      <c r="T341" s="72">
        <v>0.0</v>
      </c>
      <c r="V341" s="72">
        <v>0.0</v>
      </c>
      <c r="X341" s="72">
        <v>0.0</v>
      </c>
      <c r="Y341" s="73"/>
      <c r="Z341" s="71">
        <v>0.0</v>
      </c>
      <c r="AB341" s="72">
        <v>0.0</v>
      </c>
      <c r="AD341" s="72">
        <v>0.0</v>
      </c>
      <c r="AF341" s="81">
        <f t="shared" si="1"/>
        <v>0</v>
      </c>
      <c r="AG341" s="78">
        <f t="shared" si="2"/>
        <v>0</v>
      </c>
      <c r="AH341" s="78">
        <f t="shared" si="3"/>
        <v>0</v>
      </c>
      <c r="AI341" s="78">
        <f t="shared" si="4"/>
        <v>0</v>
      </c>
      <c r="AJ341" s="82" t="str">
        <f t="shared" si="5"/>
        <v/>
      </c>
    </row>
    <row r="342">
      <c r="A342" s="76" t="s">
        <v>21</v>
      </c>
      <c r="B342" s="77">
        <f t="shared" si="6"/>
        <v>44901</v>
      </c>
      <c r="C342" s="78">
        <v>13.0</v>
      </c>
      <c r="D342" s="78" t="s">
        <v>48</v>
      </c>
      <c r="E342" s="80" t="s">
        <v>125</v>
      </c>
      <c r="F342" s="71">
        <v>0.0</v>
      </c>
      <c r="H342" s="72">
        <v>0.0</v>
      </c>
      <c r="J342" s="72">
        <v>0.0</v>
      </c>
      <c r="L342" s="71">
        <v>0.0</v>
      </c>
      <c r="N342" s="72">
        <v>0.0</v>
      </c>
      <c r="P342" s="72">
        <v>0.0</v>
      </c>
      <c r="R342" s="72">
        <v>0.0</v>
      </c>
      <c r="T342" s="72">
        <v>0.0</v>
      </c>
      <c r="V342" s="72">
        <v>0.0</v>
      </c>
      <c r="X342" s="72">
        <v>0.0</v>
      </c>
      <c r="Y342" s="73"/>
      <c r="Z342" s="71">
        <v>0.0</v>
      </c>
      <c r="AB342" s="72">
        <v>0.0</v>
      </c>
      <c r="AD342" s="72">
        <v>0.0</v>
      </c>
      <c r="AF342" s="81">
        <f t="shared" si="1"/>
        <v>0</v>
      </c>
      <c r="AG342" s="78">
        <f t="shared" si="2"/>
        <v>0</v>
      </c>
      <c r="AH342" s="78">
        <f t="shared" si="3"/>
        <v>0</v>
      </c>
      <c r="AI342" s="78">
        <f t="shared" si="4"/>
        <v>0</v>
      </c>
      <c r="AJ342" s="82" t="str">
        <f t="shared" si="5"/>
        <v/>
      </c>
    </row>
    <row r="343">
      <c r="A343" s="76" t="s">
        <v>24</v>
      </c>
      <c r="B343" s="77">
        <f t="shared" si="6"/>
        <v>44902</v>
      </c>
      <c r="C343" s="78">
        <v>13.0</v>
      </c>
      <c r="D343" s="78" t="s">
        <v>48</v>
      </c>
      <c r="E343" s="80" t="s">
        <v>125</v>
      </c>
      <c r="F343" s="71">
        <v>0.0</v>
      </c>
      <c r="H343" s="72">
        <v>0.0</v>
      </c>
      <c r="J343" s="72">
        <v>0.0</v>
      </c>
      <c r="L343" s="71">
        <v>0.0</v>
      </c>
      <c r="N343" s="72">
        <v>0.0</v>
      </c>
      <c r="P343" s="72">
        <v>0.0</v>
      </c>
      <c r="R343" s="72">
        <v>0.0</v>
      </c>
      <c r="T343" s="72">
        <v>0.0</v>
      </c>
      <c r="V343" s="72">
        <v>0.0</v>
      </c>
      <c r="X343" s="72">
        <v>0.0</v>
      </c>
      <c r="Y343" s="73"/>
      <c r="Z343" s="71">
        <v>0.0</v>
      </c>
      <c r="AB343" s="72">
        <v>0.0</v>
      </c>
      <c r="AD343" s="72">
        <v>0.0</v>
      </c>
      <c r="AF343" s="81">
        <f t="shared" si="1"/>
        <v>0</v>
      </c>
      <c r="AG343" s="78">
        <f t="shared" si="2"/>
        <v>0</v>
      </c>
      <c r="AH343" s="78">
        <f t="shared" si="3"/>
        <v>0</v>
      </c>
      <c r="AI343" s="78">
        <f t="shared" si="4"/>
        <v>0</v>
      </c>
      <c r="AJ343" s="82" t="str">
        <f t="shared" si="5"/>
        <v/>
      </c>
    </row>
    <row r="344">
      <c r="A344" s="76" t="s">
        <v>27</v>
      </c>
      <c r="B344" s="77">
        <f t="shared" si="6"/>
        <v>44903</v>
      </c>
      <c r="C344" s="78">
        <v>13.0</v>
      </c>
      <c r="D344" s="78" t="s">
        <v>48</v>
      </c>
      <c r="E344" s="80" t="s">
        <v>125</v>
      </c>
      <c r="F344" s="71">
        <v>0.0</v>
      </c>
      <c r="H344" s="72">
        <v>0.0</v>
      </c>
      <c r="J344" s="72">
        <v>0.0</v>
      </c>
      <c r="L344" s="71">
        <v>0.0</v>
      </c>
      <c r="N344" s="72">
        <v>0.0</v>
      </c>
      <c r="P344" s="72">
        <v>0.0</v>
      </c>
      <c r="R344" s="72">
        <v>0.0</v>
      </c>
      <c r="T344" s="72">
        <v>0.0</v>
      </c>
      <c r="V344" s="72">
        <v>0.0</v>
      </c>
      <c r="X344" s="72">
        <v>0.0</v>
      </c>
      <c r="Y344" s="73"/>
      <c r="Z344" s="71">
        <v>0.0</v>
      </c>
      <c r="AB344" s="72">
        <v>0.0</v>
      </c>
      <c r="AD344" s="72">
        <v>0.0</v>
      </c>
      <c r="AF344" s="81">
        <f t="shared" si="1"/>
        <v>0</v>
      </c>
      <c r="AG344" s="78">
        <f t="shared" si="2"/>
        <v>0</v>
      </c>
      <c r="AH344" s="78">
        <f t="shared" si="3"/>
        <v>0</v>
      </c>
      <c r="AI344" s="78">
        <f t="shared" si="4"/>
        <v>0</v>
      </c>
      <c r="AJ344" s="82" t="str">
        <f t="shared" si="5"/>
        <v/>
      </c>
    </row>
    <row r="345">
      <c r="A345" s="83" t="s">
        <v>30</v>
      </c>
      <c r="B345" s="84">
        <f t="shared" si="6"/>
        <v>44904</v>
      </c>
      <c r="C345" s="85">
        <v>13.0</v>
      </c>
      <c r="D345" s="85" t="s">
        <v>48</v>
      </c>
      <c r="E345" s="87" t="s">
        <v>125</v>
      </c>
      <c r="F345" s="88">
        <v>0.0</v>
      </c>
      <c r="G345" s="89"/>
      <c r="H345" s="90">
        <v>0.0</v>
      </c>
      <c r="I345" s="89"/>
      <c r="J345" s="90">
        <v>0.0</v>
      </c>
      <c r="K345" s="89"/>
      <c r="L345" s="88">
        <v>0.0</v>
      </c>
      <c r="M345" s="89"/>
      <c r="N345" s="90">
        <v>0.0</v>
      </c>
      <c r="O345" s="89"/>
      <c r="P345" s="90">
        <v>0.0</v>
      </c>
      <c r="Q345" s="89"/>
      <c r="R345" s="90">
        <v>0.0</v>
      </c>
      <c r="S345" s="89"/>
      <c r="T345" s="90">
        <v>0.0</v>
      </c>
      <c r="U345" s="89"/>
      <c r="V345" s="90">
        <v>0.0</v>
      </c>
      <c r="W345" s="89"/>
      <c r="X345" s="90">
        <v>0.0</v>
      </c>
      <c r="Y345" s="91"/>
      <c r="Z345" s="88">
        <v>0.0</v>
      </c>
      <c r="AA345" s="89"/>
      <c r="AB345" s="90">
        <v>0.0</v>
      </c>
      <c r="AC345" s="89"/>
      <c r="AD345" s="90">
        <v>0.0</v>
      </c>
      <c r="AE345" s="89"/>
      <c r="AF345" s="92">
        <f t="shared" si="1"/>
        <v>0</v>
      </c>
      <c r="AG345" s="85">
        <f t="shared" si="2"/>
        <v>0</v>
      </c>
      <c r="AH345" s="85">
        <f t="shared" si="3"/>
        <v>0</v>
      </c>
      <c r="AI345" s="85">
        <f t="shared" si="4"/>
        <v>0</v>
      </c>
      <c r="AJ345" s="93" t="str">
        <f t="shared" si="5"/>
        <v/>
      </c>
    </row>
    <row r="346">
      <c r="A346" s="66" t="s">
        <v>11</v>
      </c>
      <c r="B346" s="94">
        <f t="shared" si="6"/>
        <v>44905</v>
      </c>
      <c r="C346" s="68">
        <v>13.0</v>
      </c>
      <c r="D346" s="68" t="s">
        <v>59</v>
      </c>
      <c r="E346" s="70" t="s">
        <v>125</v>
      </c>
      <c r="F346" s="71">
        <v>0.0</v>
      </c>
      <c r="H346" s="72">
        <v>0.0</v>
      </c>
      <c r="J346" s="72">
        <v>0.0</v>
      </c>
      <c r="L346" s="71">
        <v>0.0</v>
      </c>
      <c r="N346" s="72">
        <v>0.0</v>
      </c>
      <c r="P346" s="72">
        <v>0.0</v>
      </c>
      <c r="R346" s="72">
        <v>0.0</v>
      </c>
      <c r="T346" s="72">
        <v>0.0</v>
      </c>
      <c r="V346" s="72">
        <v>0.0</v>
      </c>
      <c r="X346" s="72">
        <v>0.0</v>
      </c>
      <c r="Y346" s="73"/>
      <c r="Z346" s="71">
        <v>0.0</v>
      </c>
      <c r="AB346" s="72">
        <v>0.0</v>
      </c>
      <c r="AD346" s="72">
        <v>0.0</v>
      </c>
      <c r="AF346" s="74">
        <f t="shared" si="1"/>
        <v>0</v>
      </c>
      <c r="AG346" s="68">
        <f t="shared" si="2"/>
        <v>0</v>
      </c>
      <c r="AH346" s="68">
        <f t="shared" si="3"/>
        <v>0</v>
      </c>
      <c r="AI346" s="68">
        <f t="shared" si="4"/>
        <v>0</v>
      </c>
      <c r="AJ346" s="75" t="str">
        <f t="shared" si="5"/>
        <v/>
      </c>
    </row>
    <row r="347">
      <c r="A347" s="76" t="s">
        <v>16</v>
      </c>
      <c r="B347" s="77">
        <f t="shared" si="6"/>
        <v>44906</v>
      </c>
      <c r="C347" s="78">
        <v>13.0</v>
      </c>
      <c r="D347" s="78" t="s">
        <v>59</v>
      </c>
      <c r="E347" s="80" t="s">
        <v>125</v>
      </c>
      <c r="F347" s="71">
        <v>0.0</v>
      </c>
      <c r="H347" s="72">
        <v>0.0</v>
      </c>
      <c r="J347" s="72">
        <v>0.0</v>
      </c>
      <c r="L347" s="71">
        <v>0.0</v>
      </c>
      <c r="N347" s="72">
        <v>0.0</v>
      </c>
      <c r="P347" s="72">
        <v>0.0</v>
      </c>
      <c r="R347" s="72">
        <v>0.0</v>
      </c>
      <c r="T347" s="72">
        <v>0.0</v>
      </c>
      <c r="V347" s="72">
        <v>0.0</v>
      </c>
      <c r="X347" s="72">
        <v>0.0</v>
      </c>
      <c r="Y347" s="73"/>
      <c r="Z347" s="71">
        <v>0.0</v>
      </c>
      <c r="AB347" s="72">
        <v>0.0</v>
      </c>
      <c r="AD347" s="72">
        <v>0.0</v>
      </c>
      <c r="AF347" s="81">
        <f t="shared" si="1"/>
        <v>0</v>
      </c>
      <c r="AG347" s="78">
        <f t="shared" si="2"/>
        <v>0</v>
      </c>
      <c r="AH347" s="78">
        <f t="shared" si="3"/>
        <v>0</v>
      </c>
      <c r="AI347" s="78">
        <f t="shared" si="4"/>
        <v>0</v>
      </c>
      <c r="AJ347" s="82" t="str">
        <f t="shared" si="5"/>
        <v/>
      </c>
    </row>
    <row r="348">
      <c r="A348" s="76" t="s">
        <v>17</v>
      </c>
      <c r="B348" s="77">
        <f t="shared" si="6"/>
        <v>44907</v>
      </c>
      <c r="C348" s="78">
        <v>13.0</v>
      </c>
      <c r="D348" s="78" t="s">
        <v>59</v>
      </c>
      <c r="E348" s="80" t="s">
        <v>125</v>
      </c>
      <c r="F348" s="71">
        <v>0.0</v>
      </c>
      <c r="H348" s="72">
        <v>0.0</v>
      </c>
      <c r="J348" s="72">
        <v>0.0</v>
      </c>
      <c r="L348" s="71">
        <v>0.0</v>
      </c>
      <c r="N348" s="72">
        <v>0.0</v>
      </c>
      <c r="P348" s="72">
        <v>0.0</v>
      </c>
      <c r="R348" s="72">
        <v>0.0</v>
      </c>
      <c r="T348" s="72">
        <v>0.0</v>
      </c>
      <c r="V348" s="72">
        <v>0.0</v>
      </c>
      <c r="X348" s="72">
        <v>0.0</v>
      </c>
      <c r="Y348" s="73"/>
      <c r="Z348" s="71">
        <v>0.0</v>
      </c>
      <c r="AB348" s="72">
        <v>0.0</v>
      </c>
      <c r="AD348" s="72">
        <v>0.0</v>
      </c>
      <c r="AF348" s="81">
        <f t="shared" si="1"/>
        <v>0</v>
      </c>
      <c r="AG348" s="78">
        <f t="shared" si="2"/>
        <v>0</v>
      </c>
      <c r="AH348" s="78">
        <f t="shared" si="3"/>
        <v>0</v>
      </c>
      <c r="AI348" s="78">
        <f t="shared" si="4"/>
        <v>0</v>
      </c>
      <c r="AJ348" s="82" t="str">
        <f t="shared" si="5"/>
        <v/>
      </c>
    </row>
    <row r="349">
      <c r="A349" s="76" t="s">
        <v>21</v>
      </c>
      <c r="B349" s="77">
        <f t="shared" si="6"/>
        <v>44908</v>
      </c>
      <c r="C349" s="78">
        <v>13.0</v>
      </c>
      <c r="D349" s="78" t="s">
        <v>59</v>
      </c>
      <c r="E349" s="80" t="s">
        <v>125</v>
      </c>
      <c r="F349" s="71">
        <v>0.0</v>
      </c>
      <c r="H349" s="72">
        <v>0.0</v>
      </c>
      <c r="J349" s="72">
        <v>0.0</v>
      </c>
      <c r="L349" s="71">
        <v>0.0</v>
      </c>
      <c r="N349" s="72">
        <v>0.0</v>
      </c>
      <c r="P349" s="72">
        <v>0.0</v>
      </c>
      <c r="R349" s="72">
        <v>0.0</v>
      </c>
      <c r="T349" s="72">
        <v>0.0</v>
      </c>
      <c r="V349" s="72">
        <v>0.0</v>
      </c>
      <c r="X349" s="72">
        <v>0.0</v>
      </c>
      <c r="Y349" s="73"/>
      <c r="Z349" s="71">
        <v>0.0</v>
      </c>
      <c r="AB349" s="72">
        <v>0.0</v>
      </c>
      <c r="AD349" s="72">
        <v>0.0</v>
      </c>
      <c r="AF349" s="81">
        <f t="shared" si="1"/>
        <v>0</v>
      </c>
      <c r="AG349" s="78">
        <f t="shared" si="2"/>
        <v>0</v>
      </c>
      <c r="AH349" s="78">
        <f t="shared" si="3"/>
        <v>0</v>
      </c>
      <c r="AI349" s="78">
        <f t="shared" si="4"/>
        <v>0</v>
      </c>
      <c r="AJ349" s="82" t="str">
        <f t="shared" si="5"/>
        <v/>
      </c>
    </row>
    <row r="350">
      <c r="A350" s="76" t="s">
        <v>24</v>
      </c>
      <c r="B350" s="77">
        <f t="shared" si="6"/>
        <v>44909</v>
      </c>
      <c r="C350" s="78">
        <v>13.0</v>
      </c>
      <c r="D350" s="78" t="s">
        <v>59</v>
      </c>
      <c r="E350" s="80" t="s">
        <v>125</v>
      </c>
      <c r="F350" s="71">
        <v>0.0</v>
      </c>
      <c r="H350" s="72">
        <v>0.0</v>
      </c>
      <c r="J350" s="72">
        <v>0.0</v>
      </c>
      <c r="L350" s="71">
        <v>0.0</v>
      </c>
      <c r="N350" s="72">
        <v>0.0</v>
      </c>
      <c r="P350" s="72">
        <v>0.0</v>
      </c>
      <c r="R350" s="72">
        <v>0.0</v>
      </c>
      <c r="T350" s="72">
        <v>0.0</v>
      </c>
      <c r="V350" s="72">
        <v>0.0</v>
      </c>
      <c r="X350" s="72">
        <v>0.0</v>
      </c>
      <c r="Y350" s="73"/>
      <c r="Z350" s="71">
        <v>0.0</v>
      </c>
      <c r="AB350" s="72">
        <v>0.0</v>
      </c>
      <c r="AD350" s="72">
        <v>0.0</v>
      </c>
      <c r="AF350" s="81">
        <f t="shared" si="1"/>
        <v>0</v>
      </c>
      <c r="AG350" s="78">
        <f t="shared" si="2"/>
        <v>0</v>
      </c>
      <c r="AH350" s="78">
        <f t="shared" si="3"/>
        <v>0</v>
      </c>
      <c r="AI350" s="78">
        <f t="shared" si="4"/>
        <v>0</v>
      </c>
      <c r="AJ350" s="82" t="str">
        <f t="shared" si="5"/>
        <v/>
      </c>
    </row>
    <row r="351">
      <c r="A351" s="76" t="s">
        <v>27</v>
      </c>
      <c r="B351" s="77">
        <f t="shared" si="6"/>
        <v>44910</v>
      </c>
      <c r="C351" s="78">
        <v>13.0</v>
      </c>
      <c r="D351" s="78" t="s">
        <v>59</v>
      </c>
      <c r="E351" s="80" t="s">
        <v>125</v>
      </c>
      <c r="F351" s="71">
        <v>0.0</v>
      </c>
      <c r="H351" s="72">
        <v>0.0</v>
      </c>
      <c r="J351" s="72">
        <v>0.0</v>
      </c>
      <c r="L351" s="71">
        <v>0.0</v>
      </c>
      <c r="N351" s="72">
        <v>0.0</v>
      </c>
      <c r="P351" s="72">
        <v>0.0</v>
      </c>
      <c r="R351" s="72">
        <v>0.0</v>
      </c>
      <c r="T351" s="72">
        <v>0.0</v>
      </c>
      <c r="V351" s="72">
        <v>0.0</v>
      </c>
      <c r="X351" s="72">
        <v>0.0</v>
      </c>
      <c r="Y351" s="73"/>
      <c r="Z351" s="71">
        <v>0.0</v>
      </c>
      <c r="AB351" s="72">
        <v>0.0</v>
      </c>
      <c r="AD351" s="72">
        <v>0.0</v>
      </c>
      <c r="AF351" s="81">
        <f t="shared" si="1"/>
        <v>0</v>
      </c>
      <c r="AG351" s="78">
        <f t="shared" si="2"/>
        <v>0</v>
      </c>
      <c r="AH351" s="78">
        <f t="shared" si="3"/>
        <v>0</v>
      </c>
      <c r="AI351" s="78">
        <f t="shared" si="4"/>
        <v>0</v>
      </c>
      <c r="AJ351" s="82" t="str">
        <f t="shared" si="5"/>
        <v/>
      </c>
    </row>
    <row r="352">
      <c r="A352" s="83" t="s">
        <v>30</v>
      </c>
      <c r="B352" s="84">
        <f t="shared" si="6"/>
        <v>44911</v>
      </c>
      <c r="C352" s="85">
        <v>13.0</v>
      </c>
      <c r="D352" s="85" t="s">
        <v>59</v>
      </c>
      <c r="E352" s="87" t="s">
        <v>125</v>
      </c>
      <c r="F352" s="88">
        <v>0.0</v>
      </c>
      <c r="G352" s="89"/>
      <c r="H352" s="90">
        <v>0.0</v>
      </c>
      <c r="I352" s="89"/>
      <c r="J352" s="90">
        <v>0.0</v>
      </c>
      <c r="K352" s="89"/>
      <c r="L352" s="88">
        <v>0.0</v>
      </c>
      <c r="M352" s="89"/>
      <c r="N352" s="90">
        <v>0.0</v>
      </c>
      <c r="O352" s="89"/>
      <c r="P352" s="90">
        <v>0.0</v>
      </c>
      <c r="Q352" s="89"/>
      <c r="R352" s="90">
        <v>0.0</v>
      </c>
      <c r="S352" s="89"/>
      <c r="T352" s="90">
        <v>0.0</v>
      </c>
      <c r="U352" s="89"/>
      <c r="V352" s="90">
        <v>0.0</v>
      </c>
      <c r="W352" s="89"/>
      <c r="X352" s="90">
        <v>0.0</v>
      </c>
      <c r="Y352" s="91"/>
      <c r="Z352" s="88">
        <v>0.0</v>
      </c>
      <c r="AA352" s="89"/>
      <c r="AB352" s="90">
        <v>0.0</v>
      </c>
      <c r="AC352" s="89"/>
      <c r="AD352" s="90">
        <v>0.0</v>
      </c>
      <c r="AE352" s="89"/>
      <c r="AF352" s="92">
        <f t="shared" si="1"/>
        <v>0</v>
      </c>
      <c r="AG352" s="85">
        <f t="shared" si="2"/>
        <v>0</v>
      </c>
      <c r="AH352" s="85">
        <f t="shared" si="3"/>
        <v>0</v>
      </c>
      <c r="AI352" s="85">
        <f t="shared" si="4"/>
        <v>0</v>
      </c>
      <c r="AJ352" s="93" t="str">
        <f t="shared" si="5"/>
        <v/>
      </c>
    </row>
    <row r="353">
      <c r="A353" s="66" t="s">
        <v>11</v>
      </c>
      <c r="B353" s="94">
        <f t="shared" si="6"/>
        <v>44912</v>
      </c>
      <c r="C353" s="68">
        <v>13.0</v>
      </c>
      <c r="D353" s="68" t="s">
        <v>12</v>
      </c>
      <c r="E353" s="70" t="s">
        <v>125</v>
      </c>
      <c r="F353" s="71">
        <v>0.0</v>
      </c>
      <c r="H353" s="72">
        <v>0.0</v>
      </c>
      <c r="J353" s="72">
        <v>0.0</v>
      </c>
      <c r="L353" s="71">
        <v>0.0</v>
      </c>
      <c r="N353" s="72">
        <v>0.0</v>
      </c>
      <c r="P353" s="72">
        <v>0.0</v>
      </c>
      <c r="R353" s="72">
        <v>0.0</v>
      </c>
      <c r="T353" s="72">
        <v>0.0</v>
      </c>
      <c r="V353" s="72">
        <v>0.0</v>
      </c>
      <c r="X353" s="72">
        <v>0.0</v>
      </c>
      <c r="Y353" s="73"/>
      <c r="Z353" s="71">
        <v>0.0</v>
      </c>
      <c r="AB353" s="72">
        <v>0.0</v>
      </c>
      <c r="AD353" s="72">
        <v>0.0</v>
      </c>
      <c r="AF353" s="74">
        <f t="shared" si="1"/>
        <v>0</v>
      </c>
      <c r="AG353" s="68">
        <f t="shared" si="2"/>
        <v>0</v>
      </c>
      <c r="AH353" s="68">
        <f t="shared" si="3"/>
        <v>0</v>
      </c>
      <c r="AI353" s="68">
        <f t="shared" si="4"/>
        <v>0</v>
      </c>
      <c r="AJ353" s="75" t="str">
        <f t="shared" si="5"/>
        <v/>
      </c>
    </row>
    <row r="354">
      <c r="A354" s="76" t="s">
        <v>16</v>
      </c>
      <c r="B354" s="77">
        <f t="shared" si="6"/>
        <v>44913</v>
      </c>
      <c r="C354" s="78">
        <v>13.0</v>
      </c>
      <c r="D354" s="78" t="s">
        <v>12</v>
      </c>
      <c r="E354" s="80" t="s">
        <v>125</v>
      </c>
      <c r="F354" s="71">
        <v>0.0</v>
      </c>
      <c r="H354" s="72">
        <v>0.0</v>
      </c>
      <c r="J354" s="72">
        <v>0.0</v>
      </c>
      <c r="L354" s="71">
        <v>0.0</v>
      </c>
      <c r="N354" s="72">
        <v>0.0</v>
      </c>
      <c r="P354" s="72">
        <v>0.0</v>
      </c>
      <c r="R354" s="72">
        <v>0.0</v>
      </c>
      <c r="T354" s="72">
        <v>0.0</v>
      </c>
      <c r="V354" s="72">
        <v>0.0</v>
      </c>
      <c r="X354" s="72">
        <v>0.0</v>
      </c>
      <c r="Y354" s="73"/>
      <c r="Z354" s="71">
        <v>0.0</v>
      </c>
      <c r="AB354" s="72">
        <v>0.0</v>
      </c>
      <c r="AD354" s="72">
        <v>0.0</v>
      </c>
      <c r="AF354" s="81">
        <f t="shared" si="1"/>
        <v>0</v>
      </c>
      <c r="AG354" s="78">
        <f t="shared" si="2"/>
        <v>0</v>
      </c>
      <c r="AH354" s="78">
        <f t="shared" si="3"/>
        <v>0</v>
      </c>
      <c r="AI354" s="78">
        <f t="shared" si="4"/>
        <v>0</v>
      </c>
      <c r="AJ354" s="82" t="str">
        <f t="shared" si="5"/>
        <v/>
      </c>
    </row>
    <row r="355">
      <c r="A355" s="76" t="s">
        <v>17</v>
      </c>
      <c r="B355" s="77">
        <f t="shared" si="6"/>
        <v>44914</v>
      </c>
      <c r="C355" s="78">
        <v>13.0</v>
      </c>
      <c r="D355" s="78" t="s">
        <v>12</v>
      </c>
      <c r="E355" s="80" t="s">
        <v>125</v>
      </c>
      <c r="F355" s="71">
        <v>0.0</v>
      </c>
      <c r="H355" s="72">
        <v>0.0</v>
      </c>
      <c r="J355" s="72">
        <v>0.0</v>
      </c>
      <c r="L355" s="71">
        <v>0.0</v>
      </c>
      <c r="N355" s="72">
        <v>0.0</v>
      </c>
      <c r="P355" s="72">
        <v>0.0</v>
      </c>
      <c r="R355" s="72">
        <v>0.0</v>
      </c>
      <c r="T355" s="72">
        <v>0.0</v>
      </c>
      <c r="V355" s="72">
        <v>0.0</v>
      </c>
      <c r="X355" s="72">
        <v>0.0</v>
      </c>
      <c r="Y355" s="73"/>
      <c r="Z355" s="71">
        <v>0.0</v>
      </c>
      <c r="AB355" s="72">
        <v>0.0</v>
      </c>
      <c r="AD355" s="72">
        <v>0.0</v>
      </c>
      <c r="AF355" s="81">
        <f t="shared" si="1"/>
        <v>0</v>
      </c>
      <c r="AG355" s="78">
        <f t="shared" si="2"/>
        <v>0</v>
      </c>
      <c r="AH355" s="78">
        <f t="shared" si="3"/>
        <v>0</v>
      </c>
      <c r="AI355" s="78">
        <f t="shared" si="4"/>
        <v>0</v>
      </c>
      <c r="AJ355" s="82" t="str">
        <f t="shared" si="5"/>
        <v/>
      </c>
    </row>
    <row r="356">
      <c r="A356" s="76" t="s">
        <v>21</v>
      </c>
      <c r="B356" s="77">
        <f t="shared" si="6"/>
        <v>44915</v>
      </c>
      <c r="C356" s="78">
        <v>13.0</v>
      </c>
      <c r="D356" s="78" t="s">
        <v>12</v>
      </c>
      <c r="E356" s="80" t="s">
        <v>125</v>
      </c>
      <c r="F356" s="71">
        <v>0.0</v>
      </c>
      <c r="H356" s="72">
        <v>0.0</v>
      </c>
      <c r="J356" s="72">
        <v>0.0</v>
      </c>
      <c r="L356" s="71">
        <v>0.0</v>
      </c>
      <c r="N356" s="72">
        <v>0.0</v>
      </c>
      <c r="P356" s="72">
        <v>0.0</v>
      </c>
      <c r="R356" s="72">
        <v>0.0</v>
      </c>
      <c r="T356" s="72">
        <v>0.0</v>
      </c>
      <c r="V356" s="72">
        <v>0.0</v>
      </c>
      <c r="X356" s="72">
        <v>0.0</v>
      </c>
      <c r="Y356" s="73"/>
      <c r="Z356" s="71">
        <v>0.0</v>
      </c>
      <c r="AB356" s="72">
        <v>0.0</v>
      </c>
      <c r="AD356" s="72">
        <v>0.0</v>
      </c>
      <c r="AF356" s="81">
        <f t="shared" si="1"/>
        <v>0</v>
      </c>
      <c r="AG356" s="78">
        <f t="shared" si="2"/>
        <v>0</v>
      </c>
      <c r="AH356" s="78">
        <f t="shared" si="3"/>
        <v>0</v>
      </c>
      <c r="AI356" s="78">
        <f t="shared" si="4"/>
        <v>0</v>
      </c>
      <c r="AJ356" s="82" t="str">
        <f t="shared" si="5"/>
        <v/>
      </c>
    </row>
    <row r="357">
      <c r="A357" s="76" t="s">
        <v>24</v>
      </c>
      <c r="B357" s="77">
        <f t="shared" si="6"/>
        <v>44916</v>
      </c>
      <c r="C357" s="78">
        <v>13.0</v>
      </c>
      <c r="D357" s="78" t="s">
        <v>12</v>
      </c>
      <c r="E357" s="80" t="s">
        <v>125</v>
      </c>
      <c r="F357" s="71">
        <v>0.0</v>
      </c>
      <c r="H357" s="72">
        <v>0.0</v>
      </c>
      <c r="J357" s="72">
        <v>0.0</v>
      </c>
      <c r="L357" s="71">
        <v>0.0</v>
      </c>
      <c r="N357" s="72">
        <v>0.0</v>
      </c>
      <c r="P357" s="72">
        <v>0.0</v>
      </c>
      <c r="R357" s="72">
        <v>0.0</v>
      </c>
      <c r="T357" s="72">
        <v>0.0</v>
      </c>
      <c r="V357" s="72">
        <v>0.0</v>
      </c>
      <c r="X357" s="72">
        <v>0.0</v>
      </c>
      <c r="Y357" s="73"/>
      <c r="Z357" s="71">
        <v>0.0</v>
      </c>
      <c r="AB357" s="72">
        <v>0.0</v>
      </c>
      <c r="AD357" s="72">
        <v>0.0</v>
      </c>
      <c r="AF357" s="81">
        <f t="shared" si="1"/>
        <v>0</v>
      </c>
      <c r="AG357" s="78">
        <f t="shared" si="2"/>
        <v>0</v>
      </c>
      <c r="AH357" s="78">
        <f t="shared" si="3"/>
        <v>0</v>
      </c>
      <c r="AI357" s="78">
        <f t="shared" si="4"/>
        <v>0</v>
      </c>
      <c r="AJ357" s="82" t="str">
        <f t="shared" si="5"/>
        <v/>
      </c>
    </row>
    <row r="358">
      <c r="A358" s="76" t="s">
        <v>27</v>
      </c>
      <c r="B358" s="77">
        <f t="shared" si="6"/>
        <v>44917</v>
      </c>
      <c r="C358" s="78">
        <v>13.0</v>
      </c>
      <c r="D358" s="78" t="s">
        <v>12</v>
      </c>
      <c r="E358" s="80" t="s">
        <v>125</v>
      </c>
      <c r="F358" s="71">
        <v>0.0</v>
      </c>
      <c r="H358" s="72">
        <v>0.0</v>
      </c>
      <c r="J358" s="72">
        <v>0.0</v>
      </c>
      <c r="L358" s="71">
        <v>0.0</v>
      </c>
      <c r="N358" s="72">
        <v>0.0</v>
      </c>
      <c r="P358" s="72">
        <v>0.0</v>
      </c>
      <c r="R358" s="72">
        <v>0.0</v>
      </c>
      <c r="T358" s="72">
        <v>0.0</v>
      </c>
      <c r="V358" s="72">
        <v>0.0</v>
      </c>
      <c r="X358" s="72">
        <v>0.0</v>
      </c>
      <c r="Y358" s="73"/>
      <c r="Z358" s="71">
        <v>0.0</v>
      </c>
      <c r="AB358" s="72">
        <v>0.0</v>
      </c>
      <c r="AD358" s="72">
        <v>0.0</v>
      </c>
      <c r="AF358" s="81">
        <f t="shared" si="1"/>
        <v>0</v>
      </c>
      <c r="AG358" s="78">
        <f t="shared" si="2"/>
        <v>0</v>
      </c>
      <c r="AH358" s="78">
        <f t="shared" si="3"/>
        <v>0</v>
      </c>
      <c r="AI358" s="78">
        <f t="shared" si="4"/>
        <v>0</v>
      </c>
      <c r="AJ358" s="82" t="str">
        <f t="shared" si="5"/>
        <v/>
      </c>
    </row>
    <row r="359">
      <c r="A359" s="83" t="s">
        <v>30</v>
      </c>
      <c r="B359" s="84">
        <f t="shared" si="6"/>
        <v>44918</v>
      </c>
      <c r="C359" s="85">
        <v>13.0</v>
      </c>
      <c r="D359" s="85" t="s">
        <v>12</v>
      </c>
      <c r="E359" s="87" t="s">
        <v>125</v>
      </c>
      <c r="F359" s="88">
        <v>0.0</v>
      </c>
      <c r="G359" s="89"/>
      <c r="H359" s="90">
        <v>0.0</v>
      </c>
      <c r="I359" s="89"/>
      <c r="J359" s="90">
        <v>0.0</v>
      </c>
      <c r="K359" s="89"/>
      <c r="L359" s="88">
        <v>0.0</v>
      </c>
      <c r="M359" s="89"/>
      <c r="N359" s="90">
        <v>0.0</v>
      </c>
      <c r="O359" s="89"/>
      <c r="P359" s="90">
        <v>0.0</v>
      </c>
      <c r="Q359" s="89"/>
      <c r="R359" s="90">
        <v>0.0</v>
      </c>
      <c r="S359" s="89"/>
      <c r="T359" s="90">
        <v>0.0</v>
      </c>
      <c r="U359" s="89"/>
      <c r="V359" s="90">
        <v>0.0</v>
      </c>
      <c r="W359" s="89"/>
      <c r="X359" s="90">
        <v>0.0</v>
      </c>
      <c r="Y359" s="91"/>
      <c r="Z359" s="88">
        <v>0.0</v>
      </c>
      <c r="AA359" s="89"/>
      <c r="AB359" s="90">
        <v>0.0</v>
      </c>
      <c r="AC359" s="89"/>
      <c r="AD359" s="90">
        <v>0.0</v>
      </c>
      <c r="AE359" s="89"/>
      <c r="AF359" s="92">
        <f t="shared" si="1"/>
        <v>0</v>
      </c>
      <c r="AG359" s="85">
        <f t="shared" si="2"/>
        <v>0</v>
      </c>
      <c r="AH359" s="85">
        <f t="shared" si="3"/>
        <v>0</v>
      </c>
      <c r="AI359" s="85">
        <f t="shared" si="4"/>
        <v>0</v>
      </c>
      <c r="AJ359" s="93" t="str">
        <f t="shared" si="5"/>
        <v/>
      </c>
    </row>
    <row r="360">
      <c r="A360" s="193"/>
      <c r="B360" s="194"/>
      <c r="C360" s="195"/>
      <c r="D360" s="195"/>
      <c r="E360" s="195"/>
      <c r="F360" s="196"/>
      <c r="G360" s="196">
        <f>sum(F3:G359)*G$2</f>
        <v>95280.801</v>
      </c>
      <c r="H360" s="196"/>
      <c r="I360" s="196">
        <f>sum(H3:I359)*I$2</f>
        <v>113060.472</v>
      </c>
      <c r="J360" s="196"/>
      <c r="K360" s="196">
        <f>sum(J3:K359)*K$2</f>
        <v>24859.359</v>
      </c>
      <c r="L360" s="196"/>
      <c r="M360" s="196">
        <f>sum(L3:M359)*M$2</f>
        <v>445122.216</v>
      </c>
      <c r="N360" s="196"/>
      <c r="O360" s="196">
        <f>sum(N3:O359)*O$2</f>
        <v>445122.216</v>
      </c>
      <c r="P360" s="196"/>
      <c r="Q360" s="196">
        <f>sum(P3:Q359)*Q$2</f>
        <v>0</v>
      </c>
      <c r="R360" s="196"/>
      <c r="S360" s="196">
        <f>sum(R3:S359)*S$2</f>
        <v>26371.8</v>
      </c>
      <c r="T360" s="196"/>
      <c r="U360" s="196">
        <f>sum(T3:U359)*U$2</f>
        <v>20790</v>
      </c>
      <c r="V360" s="196"/>
      <c r="W360" s="196">
        <f>sum(V3:W359)*W$2</f>
        <v>11550</v>
      </c>
      <c r="X360" s="196"/>
      <c r="Y360" s="196">
        <f>sum(X3:Y359)*Y$2</f>
        <v>9828</v>
      </c>
      <c r="Z360" s="196"/>
      <c r="AA360" s="196">
        <f>sum(Z3:AA359)*AA$2</f>
        <v>110701.5</v>
      </c>
      <c r="AB360" s="196"/>
      <c r="AC360" s="196">
        <f>sum(AB3:AC359)*AC$2</f>
        <v>130627.77</v>
      </c>
      <c r="AD360" s="196"/>
      <c r="AE360" s="196">
        <f>sum(AD3:AE359)*AE$2</f>
        <v>0</v>
      </c>
      <c r="AF360" s="194">
        <f t="shared" ref="AF360:AI360" si="7">SUM(AF3:AF359)</f>
        <v>1433314.134</v>
      </c>
      <c r="AG360" s="197">
        <f t="shared" si="7"/>
        <v>80208</v>
      </c>
      <c r="AH360" s="197">
        <f t="shared" si="7"/>
        <v>88</v>
      </c>
      <c r="AI360" s="197">
        <f t="shared" si="7"/>
        <v>80296</v>
      </c>
      <c r="AJ360" s="195"/>
    </row>
    <row r="361">
      <c r="A361" s="198"/>
      <c r="B361" s="199"/>
      <c r="C361" s="200"/>
      <c r="D361" s="201"/>
      <c r="E361" s="202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194"/>
      <c r="AG361" s="197"/>
      <c r="AH361" s="197"/>
      <c r="AI361" s="197"/>
      <c r="AJ361" s="200"/>
    </row>
    <row r="362">
      <c r="A362" s="198"/>
      <c r="B362" s="199"/>
      <c r="C362" s="200"/>
      <c r="D362" s="201"/>
      <c r="E362" s="202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3" t="s">
        <v>102</v>
      </c>
      <c r="AG362" s="204"/>
      <c r="AH362" s="197"/>
      <c r="AI362" s="197"/>
      <c r="AJ362" s="200"/>
    </row>
    <row r="363">
      <c r="A363" s="198"/>
      <c r="B363" s="199"/>
      <c r="C363" s="200"/>
      <c r="D363" s="205" t="s">
        <v>132</v>
      </c>
      <c r="E363" s="206">
        <v>0.05</v>
      </c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F363" s="29">
        <f>sum(F3:K359)</f>
        <v>8696</v>
      </c>
      <c r="AG363" s="207" t="s">
        <v>133</v>
      </c>
      <c r="AJ363" s="200"/>
    </row>
    <row r="364">
      <c r="A364" s="198"/>
      <c r="B364" s="199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208">
        <f>sum(F360:K360)</f>
        <v>233200.632</v>
      </c>
      <c r="AG364" s="209" t="s">
        <v>134</v>
      </c>
      <c r="AH364" s="200"/>
      <c r="AI364" s="200"/>
      <c r="AJ364" s="200"/>
    </row>
    <row r="365">
      <c r="A365" s="198"/>
      <c r="B365" s="199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10"/>
      <c r="S365" s="210"/>
      <c r="T365" s="211"/>
      <c r="U365" s="211"/>
      <c r="V365" s="211"/>
      <c r="W365" s="211"/>
      <c r="X365" s="211"/>
      <c r="Y365" s="212"/>
      <c r="Z365" s="211"/>
      <c r="AA365" s="211"/>
      <c r="AB365" s="211"/>
      <c r="AC365" s="211"/>
      <c r="AD365" s="211"/>
      <c r="AE365" s="211"/>
      <c r="AF365" s="213"/>
      <c r="AG365" s="127"/>
      <c r="AH365" s="103"/>
      <c r="AI365" s="200"/>
      <c r="AJ365" s="200"/>
    </row>
    <row r="366">
      <c r="A366" s="198"/>
      <c r="B366" s="199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10"/>
      <c r="S366" s="210"/>
      <c r="T366" s="211"/>
      <c r="U366" s="211"/>
      <c r="V366" s="211"/>
      <c r="W366" s="211"/>
      <c r="X366" s="211"/>
      <c r="Y366" s="212"/>
      <c r="Z366" s="211"/>
      <c r="AA366" s="211"/>
      <c r="AB366" s="211"/>
      <c r="AC366" s="211"/>
      <c r="AD366" s="211"/>
      <c r="AE366" s="211"/>
      <c r="AF366" s="215" t="s">
        <v>135</v>
      </c>
      <c r="AG366" s="127"/>
      <c r="AH366" s="103"/>
      <c r="AI366" s="200"/>
      <c r="AJ366" s="200"/>
    </row>
    <row r="367">
      <c r="A367" s="216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19">
        <f>sum(L3:Q359)</f>
        <v>52272</v>
      </c>
      <c r="AG367" s="220" t="s">
        <v>133</v>
      </c>
      <c r="AH367" s="200"/>
      <c r="AI367" s="200"/>
      <c r="AJ367" s="200"/>
    </row>
    <row r="368">
      <c r="A368" s="216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8">
        <f>sum(L360:Q360)</f>
        <v>890244.432</v>
      </c>
      <c r="AG368" s="220" t="s">
        <v>134</v>
      </c>
      <c r="AH368" s="200"/>
      <c r="AI368" s="200"/>
      <c r="AJ368" s="200"/>
    </row>
    <row r="369">
      <c r="A369" s="216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19"/>
      <c r="AG369" s="31"/>
      <c r="AH369" s="200"/>
      <c r="AI369" s="200"/>
      <c r="AJ369" s="200"/>
    </row>
    <row r="370">
      <c r="A370" s="216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19">
        <f>sum(R3:S359)</f>
        <v>3900</v>
      </c>
      <c r="AG370" s="220" t="s">
        <v>136</v>
      </c>
      <c r="AH370" s="200"/>
      <c r="AI370" s="200"/>
      <c r="AJ370" s="200"/>
    </row>
    <row r="371">
      <c r="A371" s="216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8">
        <f>S360</f>
        <v>26371.8</v>
      </c>
      <c r="AG371" s="220" t="s">
        <v>134</v>
      </c>
      <c r="AH371" s="200"/>
      <c r="AI371" s="200"/>
      <c r="AJ371" s="200"/>
    </row>
    <row r="372">
      <c r="A372" s="216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19"/>
      <c r="AG372" s="223"/>
      <c r="AH372" s="200"/>
      <c r="AI372" s="200"/>
      <c r="AJ372" s="200"/>
    </row>
    <row r="373">
      <c r="A373" s="216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19">
        <f>sum(X3:Y359)</f>
        <v>1170</v>
      </c>
      <c r="AG373" s="220" t="s">
        <v>137</v>
      </c>
      <c r="AH373" s="200"/>
      <c r="AI373" s="200"/>
      <c r="AJ373" s="200"/>
    </row>
    <row r="374">
      <c r="A374" s="216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8">
        <f>Y360</f>
        <v>9828</v>
      </c>
      <c r="AG374" s="220" t="s">
        <v>134</v>
      </c>
      <c r="AH374" s="200"/>
      <c r="AI374" s="200"/>
      <c r="AJ374" s="200"/>
    </row>
    <row r="375">
      <c r="A375" s="216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19"/>
      <c r="AG375" s="223"/>
      <c r="AH375" s="200"/>
      <c r="AI375" s="200"/>
      <c r="AJ375" s="200"/>
    </row>
    <row r="376">
      <c r="A376" s="216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19">
        <f>sum(T3:U359)</f>
        <v>44</v>
      </c>
      <c r="AG376" s="220" t="s">
        <v>138</v>
      </c>
      <c r="AH376" s="200"/>
      <c r="AI376" s="200"/>
      <c r="AJ376" s="200"/>
    </row>
    <row r="377">
      <c r="A377" s="216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8">
        <f>U360</f>
        <v>20790</v>
      </c>
      <c r="AG377" s="220" t="s">
        <v>134</v>
      </c>
      <c r="AH377" s="200"/>
      <c r="AI377" s="200"/>
      <c r="AJ377" s="200"/>
    </row>
    <row r="378">
      <c r="A378" s="216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19"/>
      <c r="AG378" s="223"/>
      <c r="AH378" s="200"/>
      <c r="AI378" s="200"/>
      <c r="AJ378" s="200"/>
    </row>
    <row r="379">
      <c r="A379" s="216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19">
        <f>sum(V3:W359)</f>
        <v>44</v>
      </c>
      <c r="AG379" s="220" t="s">
        <v>139</v>
      </c>
      <c r="AH379" s="200"/>
      <c r="AI379" s="200"/>
      <c r="AJ379" s="200"/>
    </row>
    <row r="380">
      <c r="A380" s="216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8">
        <f>W360</f>
        <v>11550</v>
      </c>
      <c r="AG380" s="220" t="s">
        <v>134</v>
      </c>
      <c r="AH380" s="200"/>
      <c r="AI380" s="200"/>
      <c r="AJ380" s="200"/>
    </row>
    <row r="381">
      <c r="A381" s="216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19"/>
      <c r="AG381" s="223"/>
      <c r="AH381" s="200"/>
      <c r="AI381" s="200"/>
      <c r="AJ381" s="200"/>
    </row>
    <row r="382">
      <c r="A382" s="216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26" t="s">
        <v>111</v>
      </c>
      <c r="AG382" s="223"/>
      <c r="AH382" s="200"/>
      <c r="AI382" s="200"/>
      <c r="AJ382" s="200"/>
    </row>
    <row r="383">
      <c r="A383" s="216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19">
        <f>sum(Z3:AE359)</f>
        <v>14170</v>
      </c>
      <c r="AG383" s="220" t="s">
        <v>133</v>
      </c>
      <c r="AH383" s="200"/>
      <c r="AI383" s="200"/>
      <c r="AJ383" s="200"/>
    </row>
    <row r="384">
      <c r="A384" s="216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27">
        <f>sum(Z360:AE360)</f>
        <v>241329.27</v>
      </c>
      <c r="AG384" s="228" t="s">
        <v>134</v>
      </c>
      <c r="AH384" s="200"/>
      <c r="AI384" s="200"/>
      <c r="AJ384" s="200"/>
    </row>
    <row r="385">
      <c r="A385" s="216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</row>
    <row r="386">
      <c r="A386" s="216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25" t="s">
        <v>140</v>
      </c>
      <c r="AG386" s="200"/>
      <c r="AH386" s="200"/>
      <c r="AI386" s="200"/>
      <c r="AJ386" s="200"/>
    </row>
    <row r="387">
      <c r="A387" s="216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>
        <f t="shared" ref="AF387:AF388" si="8">sum(AF383,AF373,AF370,AF367,AF363)</f>
        <v>80208</v>
      </c>
      <c r="AG387" s="222" t="s">
        <v>141</v>
      </c>
      <c r="AH387" s="200"/>
      <c r="AI387" s="200"/>
      <c r="AJ387" s="200"/>
    </row>
    <row r="388">
      <c r="A388" s="216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195">
        <f t="shared" si="8"/>
        <v>1400974.134</v>
      </c>
      <c r="AG388" s="222" t="s">
        <v>142</v>
      </c>
      <c r="AH388" s="200"/>
      <c r="AI388" s="200"/>
      <c r="AJ388" s="200"/>
    </row>
    <row r="389">
      <c r="A389" s="216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22"/>
      <c r="AG389" s="200"/>
      <c r="AH389" s="200"/>
      <c r="AI389" s="200"/>
      <c r="AJ389" s="200"/>
    </row>
    <row r="390">
      <c r="A390" s="216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195">
        <f>AF388*0.3</f>
        <v>420292.2402</v>
      </c>
      <c r="AG390" s="222" t="s">
        <v>143</v>
      </c>
      <c r="AH390" s="200"/>
      <c r="AI390" s="200"/>
      <c r="AJ390" s="200"/>
    </row>
    <row r="391">
      <c r="A391" s="216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</row>
    <row r="392">
      <c r="A392" s="216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195">
        <f>sum(AF377,AF380)</f>
        <v>32340</v>
      </c>
      <c r="AG392" s="222" t="s">
        <v>144</v>
      </c>
      <c r="AH392" s="200"/>
      <c r="AI392" s="200"/>
      <c r="AJ392" s="200"/>
    </row>
    <row r="393">
      <c r="A393" s="216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</row>
    <row r="394">
      <c r="A394" s="216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195">
        <f>sum(AF388,AF392)</f>
        <v>1433314.134</v>
      </c>
      <c r="AG394" s="222" t="s">
        <v>145</v>
      </c>
      <c r="AH394" s="200"/>
      <c r="AI394" s="200"/>
      <c r="AJ394" s="200"/>
    </row>
    <row r="395">
      <c r="A395" s="216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</row>
    <row r="396">
      <c r="A396" s="216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</row>
    <row r="397">
      <c r="A397" s="216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25" t="s">
        <v>146</v>
      </c>
      <c r="AG397" s="200"/>
      <c r="AH397" s="200"/>
      <c r="AI397" s="200"/>
      <c r="AJ397" s="200"/>
    </row>
    <row r="398">
      <c r="A398" s="216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22" t="s">
        <v>102</v>
      </c>
      <c r="AG398" s="200"/>
      <c r="AH398" s="200"/>
      <c r="AI398" s="200"/>
      <c r="AJ398" s="200"/>
    </row>
    <row r="399">
      <c r="A399" s="216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195">
        <f>G2*0.7</f>
        <v>18.7719</v>
      </c>
      <c r="AG399" s="222" t="s">
        <v>147</v>
      </c>
      <c r="AH399" s="200"/>
      <c r="AI399" s="222" t="s">
        <v>148</v>
      </c>
      <c r="AJ399" s="200"/>
    </row>
    <row r="400">
      <c r="A400" s="216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18" t="s">
        <v>135</v>
      </c>
      <c r="AG400" s="200"/>
      <c r="AH400" s="200"/>
      <c r="AI400" s="200"/>
      <c r="AJ400" s="200"/>
    </row>
    <row r="401">
      <c r="A401" s="216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195">
        <f>M2*0.7</f>
        <v>11.9217</v>
      </c>
      <c r="AG401" s="222" t="s">
        <v>147</v>
      </c>
      <c r="AH401" s="200"/>
      <c r="AI401" s="222" t="s">
        <v>148</v>
      </c>
      <c r="AJ401" s="200"/>
    </row>
    <row r="402">
      <c r="A402" s="216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195">
        <f>S2*0.7</f>
        <v>4.7334</v>
      </c>
      <c r="AG402" s="222" t="s">
        <v>149</v>
      </c>
      <c r="AH402" s="200"/>
      <c r="AI402" s="222" t="s">
        <v>148</v>
      </c>
      <c r="AJ402" s="200"/>
    </row>
    <row r="403">
      <c r="A403" s="216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195">
        <f>Y2*0.7</f>
        <v>5.88</v>
      </c>
      <c r="AG403" s="222" t="s">
        <v>137</v>
      </c>
      <c r="AH403" s="200"/>
      <c r="AI403" s="222" t="s">
        <v>148</v>
      </c>
      <c r="AJ403" s="200"/>
    </row>
    <row r="404">
      <c r="A404" s="216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195">
        <f>AA2*0.7</f>
        <v>11.9217</v>
      </c>
      <c r="AG404" s="222" t="s">
        <v>111</v>
      </c>
      <c r="AH404" s="200"/>
      <c r="AI404" s="222" t="s">
        <v>148</v>
      </c>
      <c r="AJ404" s="200"/>
    </row>
    <row r="405">
      <c r="A405" s="216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195"/>
      <c r="AG405" s="200"/>
      <c r="AH405" s="200"/>
      <c r="AI405" s="200"/>
      <c r="AJ405" s="200"/>
    </row>
    <row r="406">
      <c r="A406" s="216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18" t="s">
        <v>150</v>
      </c>
      <c r="AG406" s="200"/>
      <c r="AH406" s="200"/>
      <c r="AI406" s="200"/>
      <c r="AJ406" s="200"/>
    </row>
    <row r="407">
      <c r="A407" s="216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195">
        <f>U2</f>
        <v>472.5</v>
      </c>
      <c r="AG407" s="222" t="s">
        <v>138</v>
      </c>
      <c r="AH407" s="200"/>
      <c r="AI407" s="222" t="s">
        <v>151</v>
      </c>
      <c r="AJ407" s="200"/>
    </row>
    <row r="408">
      <c r="A408" s="216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195">
        <f>W2</f>
        <v>262.5</v>
      </c>
      <c r="AG408" s="222" t="s">
        <v>139</v>
      </c>
      <c r="AH408" s="200"/>
      <c r="AI408" s="222" t="s">
        <v>151</v>
      </c>
      <c r="AJ408" s="200"/>
    </row>
    <row r="409">
      <c r="A409" s="216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</row>
    <row r="410">
      <c r="A410" s="216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</row>
    <row r="411">
      <c r="A411" s="216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</row>
    <row r="412">
      <c r="A412" s="216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</row>
    <row r="413">
      <c r="A413" s="216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</row>
    <row r="414">
      <c r="A414" s="216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</row>
    <row r="415">
      <c r="A415" s="216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</row>
    <row r="416">
      <c r="A416" s="216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</row>
    <row r="417">
      <c r="A417" s="216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</row>
    <row r="418">
      <c r="A418" s="216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</row>
    <row r="419">
      <c r="A419" s="216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</row>
    <row r="420">
      <c r="A420" s="216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</row>
    <row r="421">
      <c r="A421" s="216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</row>
    <row r="422">
      <c r="A422" s="216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</row>
    <row r="423">
      <c r="A423" s="216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</row>
    <row r="424">
      <c r="A424" s="216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</row>
    <row r="425">
      <c r="A425" s="216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</row>
    <row r="426">
      <c r="A426" s="216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</row>
    <row r="427">
      <c r="A427" s="216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</row>
    <row r="428">
      <c r="A428" s="216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</row>
    <row r="429">
      <c r="A429" s="216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</row>
    <row r="430">
      <c r="A430" s="216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</row>
    <row r="431">
      <c r="A431" s="216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</row>
    <row r="432">
      <c r="A432" s="216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</row>
    <row r="433">
      <c r="A433" s="216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</row>
    <row r="434">
      <c r="A434" s="216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</row>
    <row r="435">
      <c r="A435" s="216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</row>
    <row r="436">
      <c r="A436" s="216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</row>
    <row r="437">
      <c r="A437" s="216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</row>
    <row r="438">
      <c r="A438" s="216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</row>
    <row r="439">
      <c r="A439" s="216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</row>
    <row r="440">
      <c r="A440" s="216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</row>
    <row r="441">
      <c r="A441" s="216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</row>
    <row r="442">
      <c r="A442" s="216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</row>
    <row r="443">
      <c r="A443" s="216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</row>
    <row r="444">
      <c r="A444" s="216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</row>
    <row r="445">
      <c r="A445" s="216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</row>
    <row r="446">
      <c r="A446" s="216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</row>
    <row r="447">
      <c r="A447" s="216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</row>
    <row r="448">
      <c r="A448" s="216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</row>
    <row r="449">
      <c r="A449" s="216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</row>
    <row r="450">
      <c r="A450" s="216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</row>
    <row r="451">
      <c r="A451" s="216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</row>
    <row r="452">
      <c r="A452" s="216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</row>
    <row r="453">
      <c r="A453" s="216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</row>
    <row r="454">
      <c r="A454" s="216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</row>
    <row r="455">
      <c r="A455" s="216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</row>
    <row r="456">
      <c r="A456" s="216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</row>
    <row r="457">
      <c r="A457" s="216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</row>
    <row r="458">
      <c r="A458" s="216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</row>
    <row r="459">
      <c r="A459" s="216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</row>
    <row r="460">
      <c r="A460" s="216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</row>
    <row r="461">
      <c r="A461" s="216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</row>
    <row r="462">
      <c r="A462" s="216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</row>
    <row r="463">
      <c r="A463" s="216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</row>
    <row r="464">
      <c r="A464" s="216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</row>
    <row r="465">
      <c r="A465" s="216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</row>
    <row r="466">
      <c r="A466" s="216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</row>
    <row r="467">
      <c r="A467" s="216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</row>
    <row r="468">
      <c r="A468" s="216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</row>
    <row r="469">
      <c r="A469" s="216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</row>
    <row r="470">
      <c r="A470" s="216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</row>
    <row r="471">
      <c r="A471" s="216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</row>
    <row r="472">
      <c r="A472" s="216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</row>
    <row r="473">
      <c r="A473" s="216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</row>
    <row r="474">
      <c r="A474" s="216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</row>
    <row r="475">
      <c r="A475" s="216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</row>
    <row r="476">
      <c r="A476" s="216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</row>
    <row r="477">
      <c r="A477" s="216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</row>
    <row r="478">
      <c r="A478" s="216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</row>
    <row r="479">
      <c r="A479" s="216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</row>
    <row r="480">
      <c r="A480" s="216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</row>
    <row r="481">
      <c r="A481" s="216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</row>
    <row r="482">
      <c r="A482" s="216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</row>
    <row r="483">
      <c r="A483" s="216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</row>
    <row r="484">
      <c r="A484" s="216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</row>
    <row r="485">
      <c r="A485" s="216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</row>
    <row r="486">
      <c r="A486" s="216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</row>
    <row r="487">
      <c r="A487" s="216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</row>
    <row r="488">
      <c r="A488" s="216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</row>
    <row r="489">
      <c r="A489" s="216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</row>
    <row r="490">
      <c r="A490" s="216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</row>
    <row r="491">
      <c r="A491" s="216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</row>
    <row r="492">
      <c r="A492" s="216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</row>
    <row r="493">
      <c r="A493" s="216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</row>
    <row r="494">
      <c r="A494" s="216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</row>
    <row r="495">
      <c r="A495" s="216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</row>
    <row r="496">
      <c r="A496" s="216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</row>
    <row r="497">
      <c r="A497" s="216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</row>
    <row r="498">
      <c r="A498" s="216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</row>
    <row r="499">
      <c r="A499" s="216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</row>
    <row r="500">
      <c r="A500" s="216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</row>
    <row r="501">
      <c r="A501" s="216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</row>
    <row r="502">
      <c r="A502" s="216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</row>
    <row r="503">
      <c r="A503" s="216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</row>
    <row r="504">
      <c r="A504" s="216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</row>
    <row r="505">
      <c r="A505" s="216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</row>
    <row r="506">
      <c r="A506" s="216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</row>
    <row r="507">
      <c r="A507" s="216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</row>
    <row r="508">
      <c r="A508" s="216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</row>
    <row r="509">
      <c r="A509" s="216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</row>
    <row r="510">
      <c r="A510" s="216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</row>
    <row r="511">
      <c r="A511" s="216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</row>
    <row r="512">
      <c r="A512" s="216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</row>
    <row r="513">
      <c r="A513" s="216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</row>
    <row r="514">
      <c r="A514" s="216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</row>
    <row r="515">
      <c r="A515" s="216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</row>
    <row r="516">
      <c r="A516" s="216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</row>
    <row r="517">
      <c r="A517" s="216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</row>
    <row r="518">
      <c r="A518" s="216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</row>
    <row r="519">
      <c r="A519" s="216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</row>
    <row r="520">
      <c r="A520" s="216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</row>
    <row r="521">
      <c r="A521" s="216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</row>
    <row r="522">
      <c r="A522" s="216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</row>
    <row r="523">
      <c r="A523" s="216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</row>
    <row r="524">
      <c r="A524" s="216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</row>
    <row r="525">
      <c r="A525" s="216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</row>
    <row r="526">
      <c r="A526" s="216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</row>
    <row r="527">
      <c r="A527" s="216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</row>
    <row r="528">
      <c r="A528" s="216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</row>
    <row r="529">
      <c r="A529" s="216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</row>
    <row r="530">
      <c r="A530" s="216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</row>
    <row r="531">
      <c r="A531" s="216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</row>
    <row r="532">
      <c r="A532" s="216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</row>
    <row r="533">
      <c r="A533" s="216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</row>
    <row r="534">
      <c r="A534" s="216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</row>
    <row r="535">
      <c r="A535" s="216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</row>
    <row r="536">
      <c r="A536" s="216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</row>
    <row r="537">
      <c r="A537" s="216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</row>
    <row r="538">
      <c r="A538" s="216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</row>
    <row r="539">
      <c r="A539" s="216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</row>
    <row r="540">
      <c r="A540" s="216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</row>
    <row r="541">
      <c r="A541" s="216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</row>
    <row r="542">
      <c r="A542" s="216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</row>
    <row r="543">
      <c r="A543" s="216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</row>
    <row r="544">
      <c r="A544" s="216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</row>
    <row r="545">
      <c r="A545" s="216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</row>
    <row r="546">
      <c r="A546" s="216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</row>
    <row r="547">
      <c r="A547" s="216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</row>
    <row r="548">
      <c r="A548" s="216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</row>
    <row r="549">
      <c r="A549" s="216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</row>
    <row r="550">
      <c r="A550" s="216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</row>
    <row r="551">
      <c r="A551" s="216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</row>
    <row r="552">
      <c r="A552" s="216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</row>
    <row r="553">
      <c r="A553" s="216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</row>
    <row r="554">
      <c r="A554" s="216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</row>
    <row r="555">
      <c r="A555" s="216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</row>
    <row r="556">
      <c r="A556" s="216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</row>
    <row r="557">
      <c r="A557" s="216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</row>
    <row r="558">
      <c r="A558" s="216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</row>
    <row r="559">
      <c r="A559" s="216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</row>
    <row r="560">
      <c r="A560" s="216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</row>
    <row r="561">
      <c r="A561" s="216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</row>
    <row r="562">
      <c r="A562" s="216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</row>
    <row r="563">
      <c r="A563" s="216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</row>
    <row r="564">
      <c r="A564" s="216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</row>
    <row r="565">
      <c r="A565" s="216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</row>
    <row r="566">
      <c r="A566" s="216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</row>
    <row r="567">
      <c r="A567" s="216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</row>
    <row r="568">
      <c r="A568" s="216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</row>
    <row r="569">
      <c r="A569" s="216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</row>
    <row r="570">
      <c r="A570" s="216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</row>
    <row r="571">
      <c r="A571" s="216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</row>
    <row r="572">
      <c r="A572" s="216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</row>
    <row r="573">
      <c r="A573" s="216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</row>
    <row r="574">
      <c r="A574" s="216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</row>
    <row r="575">
      <c r="A575" s="216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</row>
    <row r="576">
      <c r="A576" s="216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</row>
    <row r="577">
      <c r="A577" s="216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</row>
    <row r="578">
      <c r="A578" s="216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</row>
    <row r="579">
      <c r="A579" s="216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</row>
    <row r="580">
      <c r="A580" s="216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</row>
    <row r="581">
      <c r="A581" s="216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</row>
    <row r="582">
      <c r="A582" s="216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</row>
    <row r="583">
      <c r="A583" s="216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</row>
    <row r="584">
      <c r="A584" s="216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</row>
    <row r="585">
      <c r="A585" s="216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</row>
    <row r="586">
      <c r="A586" s="216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</row>
    <row r="587">
      <c r="A587" s="216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</row>
    <row r="588">
      <c r="A588" s="216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</row>
    <row r="589">
      <c r="A589" s="216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</row>
    <row r="590">
      <c r="A590" s="216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</row>
    <row r="591">
      <c r="A591" s="216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</row>
    <row r="592">
      <c r="A592" s="216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</row>
    <row r="593">
      <c r="A593" s="216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</row>
    <row r="594">
      <c r="A594" s="216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</row>
    <row r="595">
      <c r="A595" s="216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</row>
    <row r="596">
      <c r="A596" s="216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</row>
    <row r="597">
      <c r="A597" s="216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</row>
    <row r="598">
      <c r="A598" s="216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</row>
    <row r="599">
      <c r="A599" s="216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</row>
    <row r="600">
      <c r="A600" s="216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</row>
    <row r="601">
      <c r="A601" s="216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</row>
    <row r="602">
      <c r="A602" s="216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</row>
    <row r="603">
      <c r="A603" s="216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</row>
    <row r="604">
      <c r="A604" s="216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</row>
    <row r="605">
      <c r="A605" s="216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</row>
    <row r="606">
      <c r="A606" s="216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</row>
    <row r="607">
      <c r="A607" s="216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</row>
    <row r="608">
      <c r="A608" s="216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</row>
    <row r="609">
      <c r="A609" s="216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</row>
    <row r="610">
      <c r="A610" s="216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</row>
    <row r="611">
      <c r="A611" s="216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</row>
    <row r="612">
      <c r="A612" s="216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</row>
    <row r="613">
      <c r="A613" s="216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</row>
    <row r="614">
      <c r="A614" s="216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</row>
    <row r="615">
      <c r="A615" s="216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</row>
    <row r="616">
      <c r="A616" s="216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</row>
    <row r="617">
      <c r="A617" s="216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</row>
    <row r="618">
      <c r="A618" s="216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</row>
    <row r="619">
      <c r="A619" s="216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</row>
    <row r="620">
      <c r="A620" s="216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</row>
    <row r="621">
      <c r="A621" s="216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</row>
    <row r="622">
      <c r="A622" s="216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</row>
    <row r="623">
      <c r="A623" s="216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</row>
    <row r="624">
      <c r="A624" s="216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</row>
    <row r="625">
      <c r="A625" s="216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</row>
    <row r="626">
      <c r="A626" s="216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</row>
    <row r="627">
      <c r="A627" s="216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</row>
    <row r="628">
      <c r="A628" s="216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</row>
    <row r="629">
      <c r="A629" s="216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</row>
    <row r="630">
      <c r="A630" s="216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</row>
    <row r="631">
      <c r="A631" s="216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</row>
    <row r="632">
      <c r="A632" s="216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</row>
    <row r="633">
      <c r="A633" s="216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</row>
    <row r="634">
      <c r="A634" s="216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</row>
    <row r="635">
      <c r="A635" s="216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</row>
    <row r="636">
      <c r="A636" s="216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</row>
    <row r="637">
      <c r="A637" s="216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</row>
    <row r="638">
      <c r="A638" s="216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</row>
    <row r="639">
      <c r="A639" s="216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</row>
    <row r="640">
      <c r="A640" s="216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</row>
    <row r="641">
      <c r="A641" s="216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</row>
    <row r="642">
      <c r="A642" s="216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</row>
    <row r="643">
      <c r="A643" s="216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</row>
    <row r="644">
      <c r="A644" s="216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</row>
    <row r="645">
      <c r="A645" s="216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</row>
    <row r="646">
      <c r="A646" s="216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</row>
    <row r="647">
      <c r="A647" s="216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</row>
    <row r="648">
      <c r="A648" s="216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</row>
    <row r="649">
      <c r="A649" s="216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</row>
    <row r="650">
      <c r="A650" s="216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</row>
    <row r="651">
      <c r="A651" s="216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</row>
    <row r="652">
      <c r="A652" s="216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</row>
    <row r="653">
      <c r="A653" s="216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</row>
    <row r="654">
      <c r="A654" s="216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</row>
    <row r="655">
      <c r="A655" s="216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</row>
    <row r="656">
      <c r="A656" s="216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</row>
    <row r="657">
      <c r="A657" s="216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</row>
    <row r="658">
      <c r="A658" s="216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</row>
    <row r="659">
      <c r="A659" s="216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</row>
    <row r="660">
      <c r="A660" s="216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</row>
    <row r="661">
      <c r="A661" s="216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</row>
    <row r="662">
      <c r="A662" s="216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</row>
    <row r="663">
      <c r="A663" s="216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</row>
    <row r="664">
      <c r="A664" s="216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</row>
    <row r="665">
      <c r="A665" s="216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</row>
    <row r="666">
      <c r="A666" s="216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</row>
    <row r="667">
      <c r="A667" s="216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</row>
    <row r="668">
      <c r="A668" s="216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</row>
    <row r="669">
      <c r="A669" s="216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</row>
    <row r="670">
      <c r="A670" s="216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</row>
    <row r="671">
      <c r="A671" s="216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</row>
    <row r="672">
      <c r="A672" s="216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</row>
    <row r="673">
      <c r="A673" s="216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</row>
    <row r="674">
      <c r="A674" s="216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</row>
    <row r="675">
      <c r="A675" s="216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</row>
    <row r="676">
      <c r="A676" s="216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</row>
    <row r="677">
      <c r="A677" s="216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</row>
    <row r="678">
      <c r="A678" s="216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</row>
    <row r="679">
      <c r="A679" s="216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</row>
    <row r="680">
      <c r="A680" s="216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</row>
    <row r="681">
      <c r="A681" s="216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</row>
    <row r="682">
      <c r="A682" s="216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</row>
    <row r="683">
      <c r="A683" s="216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</row>
    <row r="684">
      <c r="A684" s="216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</row>
    <row r="685">
      <c r="A685" s="216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</row>
    <row r="686">
      <c r="A686" s="216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</row>
    <row r="687">
      <c r="A687" s="216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</row>
    <row r="688">
      <c r="A688" s="216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</row>
    <row r="689">
      <c r="A689" s="216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</row>
    <row r="690">
      <c r="A690" s="216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</row>
    <row r="691">
      <c r="A691" s="216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</row>
    <row r="692">
      <c r="A692" s="216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</row>
    <row r="693">
      <c r="A693" s="216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</row>
    <row r="694">
      <c r="A694" s="216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</row>
    <row r="695">
      <c r="A695" s="216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</row>
    <row r="696">
      <c r="A696" s="216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</row>
    <row r="697">
      <c r="A697" s="216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</row>
    <row r="698">
      <c r="A698" s="216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</row>
    <row r="699">
      <c r="A699" s="216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</row>
    <row r="700">
      <c r="A700" s="216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</row>
    <row r="701">
      <c r="A701" s="216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</row>
    <row r="702">
      <c r="A702" s="216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</row>
    <row r="703">
      <c r="A703" s="216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</row>
    <row r="704">
      <c r="A704" s="216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</row>
    <row r="705">
      <c r="A705" s="216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</row>
    <row r="706">
      <c r="A706" s="216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</row>
    <row r="707">
      <c r="A707" s="216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</row>
    <row r="708">
      <c r="A708" s="216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</row>
    <row r="709">
      <c r="A709" s="216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</row>
    <row r="710">
      <c r="A710" s="216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</row>
    <row r="711">
      <c r="A711" s="216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</row>
    <row r="712">
      <c r="A712" s="216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</row>
    <row r="713">
      <c r="A713" s="216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</row>
    <row r="714">
      <c r="A714" s="216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</row>
    <row r="715">
      <c r="A715" s="216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</row>
    <row r="716">
      <c r="A716" s="216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</row>
    <row r="717">
      <c r="A717" s="216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</row>
    <row r="718">
      <c r="A718" s="216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</row>
    <row r="719">
      <c r="A719" s="216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</row>
    <row r="720">
      <c r="A720" s="216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</row>
    <row r="721">
      <c r="A721" s="216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</row>
    <row r="722">
      <c r="A722" s="216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</row>
    <row r="723">
      <c r="A723" s="216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</row>
    <row r="724">
      <c r="A724" s="216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</row>
    <row r="725">
      <c r="A725" s="216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</row>
    <row r="726">
      <c r="A726" s="216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</row>
    <row r="727">
      <c r="A727" s="216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</row>
    <row r="728">
      <c r="A728" s="216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</row>
    <row r="729">
      <c r="A729" s="216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</row>
    <row r="730">
      <c r="A730" s="216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</row>
    <row r="731">
      <c r="A731" s="216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</row>
    <row r="732">
      <c r="A732" s="216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</row>
    <row r="733">
      <c r="A733" s="216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</row>
    <row r="734">
      <c r="A734" s="216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</row>
    <row r="735">
      <c r="A735" s="216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</row>
    <row r="736">
      <c r="A736" s="216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</row>
    <row r="737">
      <c r="A737" s="216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</row>
    <row r="738">
      <c r="A738" s="216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</row>
    <row r="739">
      <c r="A739" s="216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</row>
    <row r="740">
      <c r="A740" s="216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</row>
    <row r="741">
      <c r="A741" s="216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</row>
    <row r="742">
      <c r="A742" s="216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</row>
    <row r="743">
      <c r="A743" s="216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</row>
    <row r="744">
      <c r="A744" s="216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</row>
    <row r="745">
      <c r="A745" s="216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</row>
    <row r="746">
      <c r="A746" s="216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</row>
    <row r="747">
      <c r="A747" s="216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</row>
    <row r="748">
      <c r="A748" s="216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</row>
    <row r="749">
      <c r="A749" s="216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</row>
    <row r="750">
      <c r="A750" s="216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</row>
    <row r="751">
      <c r="A751" s="216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</row>
    <row r="752">
      <c r="A752" s="216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</row>
    <row r="753">
      <c r="A753" s="216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</row>
    <row r="754">
      <c r="A754" s="216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</row>
    <row r="755">
      <c r="A755" s="216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</row>
    <row r="756">
      <c r="A756" s="216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</row>
    <row r="757">
      <c r="A757" s="216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</row>
    <row r="758">
      <c r="A758" s="216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</row>
    <row r="759">
      <c r="A759" s="216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</row>
    <row r="760">
      <c r="A760" s="216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</row>
    <row r="761">
      <c r="A761" s="216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</row>
    <row r="762">
      <c r="A762" s="216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</row>
    <row r="763">
      <c r="A763" s="216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</row>
    <row r="764">
      <c r="A764" s="216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</row>
    <row r="765">
      <c r="A765" s="216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</row>
    <row r="766">
      <c r="A766" s="216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</row>
    <row r="767">
      <c r="A767" s="216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</row>
    <row r="768">
      <c r="A768" s="216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</row>
    <row r="769">
      <c r="A769" s="216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</row>
    <row r="770">
      <c r="A770" s="216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</row>
    <row r="771">
      <c r="A771" s="216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</row>
    <row r="772">
      <c r="A772" s="216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</row>
    <row r="773">
      <c r="A773" s="216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</row>
    <row r="774">
      <c r="A774" s="216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</row>
    <row r="775">
      <c r="A775" s="216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</row>
    <row r="776">
      <c r="A776" s="216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</row>
    <row r="777">
      <c r="A777" s="216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</row>
    <row r="778">
      <c r="A778" s="216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</row>
    <row r="779">
      <c r="A779" s="216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</row>
    <row r="780">
      <c r="A780" s="216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</row>
    <row r="781">
      <c r="A781" s="216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</row>
    <row r="782">
      <c r="A782" s="216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</row>
    <row r="783">
      <c r="A783" s="216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</row>
    <row r="784">
      <c r="A784" s="216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</row>
    <row r="785">
      <c r="A785" s="216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</row>
    <row r="786">
      <c r="A786" s="216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</row>
    <row r="787">
      <c r="A787" s="216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</row>
    <row r="788">
      <c r="A788" s="216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</row>
    <row r="789">
      <c r="A789" s="216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</row>
    <row r="790">
      <c r="A790" s="216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</row>
    <row r="791">
      <c r="A791" s="216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</row>
    <row r="792">
      <c r="A792" s="216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</row>
    <row r="793">
      <c r="A793" s="216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</row>
    <row r="794">
      <c r="A794" s="216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</row>
    <row r="795">
      <c r="A795" s="216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</row>
    <row r="796">
      <c r="A796" s="216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</row>
    <row r="797">
      <c r="A797" s="216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</row>
    <row r="798">
      <c r="A798" s="216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</row>
    <row r="799">
      <c r="A799" s="216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</row>
    <row r="800">
      <c r="A800" s="216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</row>
    <row r="801">
      <c r="A801" s="216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</row>
    <row r="802">
      <c r="A802" s="216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</row>
    <row r="803">
      <c r="A803" s="216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</row>
    <row r="804">
      <c r="A804" s="216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</row>
    <row r="805">
      <c r="A805" s="216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</row>
    <row r="806">
      <c r="A806" s="216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</row>
    <row r="807">
      <c r="A807" s="216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</row>
    <row r="808">
      <c r="A808" s="216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</row>
    <row r="809">
      <c r="A809" s="216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</row>
    <row r="810">
      <c r="A810" s="216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</row>
    <row r="811">
      <c r="A811" s="216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</row>
    <row r="812">
      <c r="A812" s="216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</row>
    <row r="813">
      <c r="A813" s="216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</row>
    <row r="814">
      <c r="A814" s="216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</row>
    <row r="815">
      <c r="A815" s="216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</row>
    <row r="816">
      <c r="A816" s="216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</row>
    <row r="817">
      <c r="A817" s="216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</row>
    <row r="818">
      <c r="A818" s="216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</row>
    <row r="819">
      <c r="A819" s="216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</row>
    <row r="820">
      <c r="A820" s="216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</row>
    <row r="821">
      <c r="A821" s="216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</row>
    <row r="822">
      <c r="A822" s="216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</row>
    <row r="823">
      <c r="A823" s="216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</row>
    <row r="824">
      <c r="A824" s="216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</row>
    <row r="825">
      <c r="A825" s="216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</row>
    <row r="826">
      <c r="A826" s="216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</row>
    <row r="827">
      <c r="A827" s="216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</row>
    <row r="828">
      <c r="A828" s="216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</row>
    <row r="829">
      <c r="A829" s="216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</row>
    <row r="830">
      <c r="A830" s="216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</row>
    <row r="831">
      <c r="A831" s="216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</row>
    <row r="832">
      <c r="A832" s="216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</row>
    <row r="833">
      <c r="A833" s="216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</row>
    <row r="834">
      <c r="A834" s="216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</row>
    <row r="835">
      <c r="A835" s="216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</row>
    <row r="836">
      <c r="A836" s="216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</row>
    <row r="837">
      <c r="A837" s="216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</row>
    <row r="838">
      <c r="A838" s="216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</row>
    <row r="839">
      <c r="A839" s="216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</row>
    <row r="840">
      <c r="A840" s="216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</row>
    <row r="841">
      <c r="A841" s="216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</row>
    <row r="842">
      <c r="A842" s="216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</row>
    <row r="843">
      <c r="A843" s="216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</row>
    <row r="844">
      <c r="A844" s="216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</row>
    <row r="845">
      <c r="A845" s="216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</row>
    <row r="846">
      <c r="A846" s="216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</row>
    <row r="847">
      <c r="A847" s="216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</row>
    <row r="848">
      <c r="A848" s="216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</row>
    <row r="849">
      <c r="A849" s="216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</row>
    <row r="850">
      <c r="A850" s="216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</row>
    <row r="851">
      <c r="A851" s="216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</row>
    <row r="852">
      <c r="A852" s="216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</row>
    <row r="853">
      <c r="A853" s="216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</row>
    <row r="854">
      <c r="A854" s="216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</row>
    <row r="855">
      <c r="A855" s="216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</row>
    <row r="856">
      <c r="A856" s="216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</row>
    <row r="857">
      <c r="A857" s="216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</row>
    <row r="858">
      <c r="A858" s="216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</row>
    <row r="859">
      <c r="A859" s="216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</row>
    <row r="860">
      <c r="A860" s="216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</row>
    <row r="861">
      <c r="A861" s="216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</row>
    <row r="862">
      <c r="A862" s="216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</row>
    <row r="863">
      <c r="A863" s="216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</row>
    <row r="864">
      <c r="A864" s="216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</row>
    <row r="865">
      <c r="A865" s="216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</row>
    <row r="866">
      <c r="A866" s="216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</row>
    <row r="867">
      <c r="A867" s="216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</row>
    <row r="868">
      <c r="A868" s="216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</row>
    <row r="869">
      <c r="A869" s="216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</row>
    <row r="870">
      <c r="A870" s="216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</row>
    <row r="871">
      <c r="A871" s="216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</row>
    <row r="872">
      <c r="A872" s="216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</row>
    <row r="873">
      <c r="A873" s="216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</row>
    <row r="874">
      <c r="A874" s="216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</row>
    <row r="875">
      <c r="A875" s="216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</row>
    <row r="876">
      <c r="A876" s="216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</row>
    <row r="877">
      <c r="A877" s="216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</row>
    <row r="878">
      <c r="A878" s="216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</row>
    <row r="879">
      <c r="A879" s="216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</row>
    <row r="880">
      <c r="A880" s="216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</row>
    <row r="881">
      <c r="A881" s="216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</row>
    <row r="882">
      <c r="A882" s="216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</row>
    <row r="883">
      <c r="A883" s="216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</row>
    <row r="884">
      <c r="A884" s="216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</row>
    <row r="885">
      <c r="A885" s="216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</row>
    <row r="886">
      <c r="A886" s="216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</row>
    <row r="887">
      <c r="A887" s="216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</row>
    <row r="888">
      <c r="A888" s="216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</row>
    <row r="889">
      <c r="A889" s="216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</row>
    <row r="890">
      <c r="A890" s="216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</row>
    <row r="891">
      <c r="A891" s="216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</row>
    <row r="892">
      <c r="A892" s="216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</row>
    <row r="893">
      <c r="A893" s="216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</row>
    <row r="894">
      <c r="A894" s="216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</row>
    <row r="895">
      <c r="A895" s="216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</row>
    <row r="896">
      <c r="A896" s="216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</row>
    <row r="897">
      <c r="A897" s="216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</row>
    <row r="898">
      <c r="A898" s="216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</row>
    <row r="899">
      <c r="A899" s="216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</row>
    <row r="900">
      <c r="A900" s="216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</row>
    <row r="901">
      <c r="A901" s="216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</row>
    <row r="902">
      <c r="A902" s="216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</row>
    <row r="903">
      <c r="A903" s="216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</row>
    <row r="904">
      <c r="A904" s="216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</row>
    <row r="905">
      <c r="A905" s="216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</row>
    <row r="906">
      <c r="A906" s="216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</row>
    <row r="907">
      <c r="A907" s="216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</row>
    <row r="908">
      <c r="A908" s="216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</row>
    <row r="909">
      <c r="A909" s="216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</row>
    <row r="910">
      <c r="A910" s="216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</row>
    <row r="911">
      <c r="A911" s="216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</row>
    <row r="912">
      <c r="A912" s="216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</row>
    <row r="913">
      <c r="A913" s="216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</row>
    <row r="914">
      <c r="A914" s="216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</row>
    <row r="915">
      <c r="A915" s="216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</row>
    <row r="916">
      <c r="A916" s="216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</row>
    <row r="917">
      <c r="A917" s="216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</row>
    <row r="918">
      <c r="A918" s="216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</row>
    <row r="919">
      <c r="A919" s="216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</row>
    <row r="920">
      <c r="A920" s="216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</row>
    <row r="921">
      <c r="A921" s="216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</row>
    <row r="922">
      <c r="A922" s="216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</row>
    <row r="923">
      <c r="A923" s="216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</row>
    <row r="924">
      <c r="A924" s="216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</row>
    <row r="925">
      <c r="A925" s="216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</row>
    <row r="926">
      <c r="A926" s="216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</row>
    <row r="927">
      <c r="A927" s="216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</row>
    <row r="928">
      <c r="A928" s="216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</row>
    <row r="929">
      <c r="A929" s="216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</row>
    <row r="930">
      <c r="A930" s="216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</row>
    <row r="931">
      <c r="A931" s="216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</row>
    <row r="932">
      <c r="A932" s="216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</row>
    <row r="933">
      <c r="A933" s="216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</row>
    <row r="934">
      <c r="A934" s="216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</row>
    <row r="935">
      <c r="A935" s="216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</row>
    <row r="936">
      <c r="A936" s="216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</row>
    <row r="937">
      <c r="A937" s="216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</row>
    <row r="938">
      <c r="A938" s="216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</row>
    <row r="939">
      <c r="A939" s="216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</row>
    <row r="940">
      <c r="A940" s="216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</row>
    <row r="941">
      <c r="A941" s="216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</row>
    <row r="942">
      <c r="A942" s="216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</row>
    <row r="943">
      <c r="A943" s="216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</row>
    <row r="944">
      <c r="A944" s="216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</row>
    <row r="945">
      <c r="A945" s="216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</row>
    <row r="946">
      <c r="A946" s="216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</row>
    <row r="947">
      <c r="A947" s="216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</row>
    <row r="948">
      <c r="A948" s="216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</row>
    <row r="949">
      <c r="A949" s="216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</row>
    <row r="950">
      <c r="A950" s="216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</row>
    <row r="951">
      <c r="A951" s="216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</row>
    <row r="952">
      <c r="A952" s="216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</row>
    <row r="953">
      <c r="A953" s="216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</row>
    <row r="954">
      <c r="A954" s="216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</row>
    <row r="955">
      <c r="A955" s="216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</row>
    <row r="956">
      <c r="A956" s="216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</row>
    <row r="957">
      <c r="A957" s="216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</row>
    <row r="958">
      <c r="A958" s="216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</row>
    <row r="959">
      <c r="A959" s="216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</row>
    <row r="960">
      <c r="A960" s="216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</row>
    <row r="961">
      <c r="A961" s="216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</row>
    <row r="962">
      <c r="A962" s="216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</row>
    <row r="963">
      <c r="A963" s="216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</row>
    <row r="964">
      <c r="A964" s="216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</row>
    <row r="965">
      <c r="A965" s="216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</row>
    <row r="966">
      <c r="A966" s="216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</row>
    <row r="967">
      <c r="A967" s="216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</row>
    <row r="968">
      <c r="A968" s="216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</row>
    <row r="969">
      <c r="A969" s="216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</row>
    <row r="970">
      <c r="A970" s="216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</row>
    <row r="971">
      <c r="A971" s="216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</row>
    <row r="972">
      <c r="A972" s="216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</row>
    <row r="973">
      <c r="A973" s="216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</row>
    <row r="974">
      <c r="A974" s="216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</row>
    <row r="975">
      <c r="A975" s="216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</row>
    <row r="976">
      <c r="A976" s="216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</row>
    <row r="977">
      <c r="A977" s="216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</row>
    <row r="978">
      <c r="A978" s="216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</row>
    <row r="979">
      <c r="A979" s="216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</row>
    <row r="980">
      <c r="A980" s="216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</row>
    <row r="981">
      <c r="A981" s="216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</row>
    <row r="982">
      <c r="A982" s="216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</row>
    <row r="983">
      <c r="A983" s="216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</row>
    <row r="984">
      <c r="A984" s="216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</row>
    <row r="985">
      <c r="A985" s="216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</row>
    <row r="986">
      <c r="A986" s="216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</row>
  </sheetData>
  <mergeCells count="4646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4:AE4"/>
    <mergeCell ref="A1:E1"/>
    <mergeCell ref="F1:K1"/>
    <mergeCell ref="L1:Y1"/>
    <mergeCell ref="Z1:AE1"/>
    <mergeCell ref="AF1:AJ1"/>
    <mergeCell ref="F3:G3"/>
    <mergeCell ref="H3:I3"/>
    <mergeCell ref="AD3:AE3"/>
    <mergeCell ref="X5:Y5"/>
    <mergeCell ref="Z5:AA5"/>
    <mergeCell ref="AB5:AC5"/>
    <mergeCell ref="AD5:AE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AD8:AE8"/>
    <mergeCell ref="F8:G8"/>
    <mergeCell ref="H8:I8"/>
    <mergeCell ref="J8:K8"/>
    <mergeCell ref="L8:M8"/>
    <mergeCell ref="N8:O8"/>
    <mergeCell ref="P8:Q8"/>
    <mergeCell ref="R8:S8"/>
    <mergeCell ref="T12:U12"/>
    <mergeCell ref="V12:W12"/>
    <mergeCell ref="X12:Y12"/>
    <mergeCell ref="Z12:AA12"/>
    <mergeCell ref="AB12:AC12"/>
    <mergeCell ref="AD12:AE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F254:G254"/>
    <mergeCell ref="H254:I254"/>
    <mergeCell ref="J254:K254"/>
    <mergeCell ref="L254:M254"/>
    <mergeCell ref="N254:O254"/>
    <mergeCell ref="P254:Q254"/>
    <mergeCell ref="R254:S254"/>
    <mergeCell ref="T304:U304"/>
    <mergeCell ref="V304:W304"/>
    <mergeCell ref="X304:Y304"/>
    <mergeCell ref="Z304:AA304"/>
    <mergeCell ref="AB304:AC304"/>
    <mergeCell ref="AD304:AE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F345:G345"/>
    <mergeCell ref="H345:I345"/>
    <mergeCell ref="J345:K345"/>
    <mergeCell ref="L345:M345"/>
    <mergeCell ref="N345:O345"/>
    <mergeCell ref="P345:Q345"/>
    <mergeCell ref="R345:S345"/>
    <mergeCell ref="T353:U353"/>
    <mergeCell ref="V353:W353"/>
    <mergeCell ref="X353:Y353"/>
    <mergeCell ref="Z353:AA353"/>
    <mergeCell ref="AB353:AC353"/>
    <mergeCell ref="AD353:AE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F358:G358"/>
    <mergeCell ref="H358:I358"/>
    <mergeCell ref="J358:K358"/>
    <mergeCell ref="L358:M358"/>
    <mergeCell ref="N358:O358"/>
    <mergeCell ref="P358:Q358"/>
    <mergeCell ref="R358:S358"/>
    <mergeCell ref="T9:U9"/>
    <mergeCell ref="V9:W9"/>
    <mergeCell ref="X9:Y9"/>
    <mergeCell ref="Z9:AA9"/>
    <mergeCell ref="AB9:AC9"/>
    <mergeCell ref="AD9:AE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F11:G11"/>
    <mergeCell ref="H11:I11"/>
    <mergeCell ref="J11:K11"/>
    <mergeCell ref="L11:M11"/>
    <mergeCell ref="N11:O11"/>
    <mergeCell ref="P11:Q11"/>
    <mergeCell ref="R11:S11"/>
    <mergeCell ref="T359:U359"/>
    <mergeCell ref="V359:W359"/>
    <mergeCell ref="X359:Y359"/>
    <mergeCell ref="Z359:AA359"/>
    <mergeCell ref="AB359:AC359"/>
    <mergeCell ref="AD359:AE359"/>
    <mergeCell ref="F359:G359"/>
    <mergeCell ref="H359:I359"/>
    <mergeCell ref="J359:K359"/>
    <mergeCell ref="L359:M359"/>
    <mergeCell ref="N359:O359"/>
    <mergeCell ref="P359:Q359"/>
    <mergeCell ref="R359:S359"/>
    <mergeCell ref="T346:U346"/>
    <mergeCell ref="V346:W346"/>
    <mergeCell ref="X346:Y346"/>
    <mergeCell ref="Z346:AA346"/>
    <mergeCell ref="AB346:AC346"/>
    <mergeCell ref="AD346:AE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F352:G352"/>
    <mergeCell ref="H352:I352"/>
    <mergeCell ref="J352:K352"/>
    <mergeCell ref="L352:M352"/>
    <mergeCell ref="N352:O352"/>
    <mergeCell ref="P352:Q352"/>
    <mergeCell ref="R352:S352"/>
    <mergeCell ref="T255:U255"/>
    <mergeCell ref="V255:W255"/>
    <mergeCell ref="X255:Y255"/>
    <mergeCell ref="Z255:AA255"/>
    <mergeCell ref="AB255:AC255"/>
    <mergeCell ref="AD255:AE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AD301:AE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F303:G303"/>
    <mergeCell ref="H303:I303"/>
    <mergeCell ref="J303:K303"/>
    <mergeCell ref="L303:M303"/>
    <mergeCell ref="N303:O303"/>
    <mergeCell ref="P303:Q303"/>
    <mergeCell ref="R303:S30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hidden="1" min="3" max="3" width="7.25"/>
    <col customWidth="1" hidden="1" min="4" max="4" width="11.88"/>
    <col customWidth="1" min="5" max="5" width="13.25"/>
    <col customWidth="1" min="6" max="7" width="38.75"/>
    <col customWidth="1" min="8" max="10" width="31.25"/>
  </cols>
  <sheetData>
    <row r="1" ht="42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</row>
    <row r="2" ht="34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8" t="s">
        <v>8</v>
      </c>
      <c r="I2" s="8" t="s">
        <v>9</v>
      </c>
      <c r="J2" s="8" t="s">
        <v>10</v>
      </c>
    </row>
    <row r="3">
      <c r="A3" s="9" t="s">
        <v>11</v>
      </c>
      <c r="B3" s="10">
        <v>45334.0</v>
      </c>
      <c r="C3" s="11">
        <v>2.0</v>
      </c>
      <c r="D3" s="11" t="s">
        <v>12</v>
      </c>
      <c r="E3" s="9" t="s">
        <v>13</v>
      </c>
      <c r="F3" s="12" t="s">
        <v>14</v>
      </c>
      <c r="G3" s="12" t="s">
        <v>14</v>
      </c>
      <c r="H3" s="9" t="s">
        <v>15</v>
      </c>
      <c r="I3" s="9" t="s">
        <v>15</v>
      </c>
      <c r="J3" s="13" t="s">
        <v>15</v>
      </c>
    </row>
    <row r="4">
      <c r="A4" s="9" t="s">
        <v>16</v>
      </c>
      <c r="B4" s="14">
        <f t="shared" ref="B4:B44" si="1">B3+1</f>
        <v>45335</v>
      </c>
      <c r="C4" s="11">
        <v>2.0</v>
      </c>
      <c r="D4" s="11" t="s">
        <v>12</v>
      </c>
      <c r="E4" s="9" t="s">
        <v>13</v>
      </c>
      <c r="F4" s="12" t="s">
        <v>14</v>
      </c>
      <c r="G4" s="12" t="s">
        <v>14</v>
      </c>
      <c r="H4" s="9" t="s">
        <v>15</v>
      </c>
      <c r="I4" s="9" t="s">
        <v>15</v>
      </c>
      <c r="J4" s="13" t="s">
        <v>15</v>
      </c>
    </row>
    <row r="5">
      <c r="A5" s="15" t="s">
        <v>17</v>
      </c>
      <c r="B5" s="16">
        <f t="shared" si="1"/>
        <v>45336</v>
      </c>
      <c r="C5" s="17">
        <v>2.0</v>
      </c>
      <c r="D5" s="17" t="s">
        <v>12</v>
      </c>
      <c r="E5" s="15" t="s">
        <v>13</v>
      </c>
      <c r="F5" s="18" t="s">
        <v>18</v>
      </c>
      <c r="G5" s="19" t="s">
        <v>19</v>
      </c>
      <c r="H5" s="20" t="s">
        <v>20</v>
      </c>
      <c r="I5" s="20" t="s">
        <v>20</v>
      </c>
      <c r="J5" s="20" t="s">
        <v>20</v>
      </c>
    </row>
    <row r="6">
      <c r="A6" s="15" t="s">
        <v>21</v>
      </c>
      <c r="B6" s="16">
        <f t="shared" si="1"/>
        <v>45337</v>
      </c>
      <c r="C6" s="17">
        <v>2.0</v>
      </c>
      <c r="D6" s="17" t="s">
        <v>12</v>
      </c>
      <c r="E6" s="15" t="s">
        <v>13</v>
      </c>
      <c r="F6" s="18" t="s">
        <v>22</v>
      </c>
      <c r="G6" s="19" t="s">
        <v>23</v>
      </c>
      <c r="H6" s="20" t="s">
        <v>20</v>
      </c>
      <c r="I6" s="20" t="s">
        <v>20</v>
      </c>
      <c r="J6" s="20" t="s">
        <v>20</v>
      </c>
    </row>
    <row r="7">
      <c r="A7" s="15" t="s">
        <v>24</v>
      </c>
      <c r="B7" s="16">
        <f t="shared" si="1"/>
        <v>45338</v>
      </c>
      <c r="C7" s="17">
        <v>2.0</v>
      </c>
      <c r="D7" s="17" t="s">
        <v>12</v>
      </c>
      <c r="E7" s="15" t="s">
        <v>13</v>
      </c>
      <c r="F7" s="18" t="s">
        <v>25</v>
      </c>
      <c r="G7" s="19" t="s">
        <v>26</v>
      </c>
      <c r="H7" s="20" t="s">
        <v>20</v>
      </c>
      <c r="I7" s="20" t="s">
        <v>20</v>
      </c>
      <c r="J7" s="20" t="s">
        <v>20</v>
      </c>
    </row>
    <row r="8">
      <c r="A8" s="15" t="s">
        <v>27</v>
      </c>
      <c r="B8" s="16">
        <f t="shared" si="1"/>
        <v>45339</v>
      </c>
      <c r="C8" s="17">
        <v>2.0</v>
      </c>
      <c r="D8" s="17" t="s">
        <v>12</v>
      </c>
      <c r="E8" s="15" t="s">
        <v>13</v>
      </c>
      <c r="F8" s="18" t="s">
        <v>28</v>
      </c>
      <c r="G8" s="19" t="s">
        <v>29</v>
      </c>
      <c r="H8" s="20" t="s">
        <v>20</v>
      </c>
      <c r="I8" s="20" t="s">
        <v>20</v>
      </c>
      <c r="J8" s="20" t="s">
        <v>20</v>
      </c>
    </row>
    <row r="9">
      <c r="A9" s="15" t="s">
        <v>30</v>
      </c>
      <c r="B9" s="16">
        <f t="shared" si="1"/>
        <v>45340</v>
      </c>
      <c r="C9" s="17">
        <v>2.0</v>
      </c>
      <c r="D9" s="17" t="s">
        <v>12</v>
      </c>
      <c r="E9" s="15" t="s">
        <v>13</v>
      </c>
      <c r="F9" s="18" t="s">
        <v>31</v>
      </c>
      <c r="G9" s="19" t="s">
        <v>32</v>
      </c>
      <c r="H9" s="20" t="s">
        <v>20</v>
      </c>
      <c r="I9" s="20" t="s">
        <v>20</v>
      </c>
      <c r="J9" s="20" t="s">
        <v>20</v>
      </c>
    </row>
    <row r="10">
      <c r="A10" s="15" t="s">
        <v>11</v>
      </c>
      <c r="B10" s="16">
        <f t="shared" si="1"/>
        <v>45341</v>
      </c>
      <c r="C10" s="17">
        <v>2.0</v>
      </c>
      <c r="D10" s="17" t="s">
        <v>33</v>
      </c>
      <c r="E10" s="15" t="s">
        <v>13</v>
      </c>
      <c r="F10" s="18" t="s">
        <v>34</v>
      </c>
      <c r="G10" s="19" t="s">
        <v>35</v>
      </c>
      <c r="H10" s="20" t="s">
        <v>20</v>
      </c>
      <c r="I10" s="20" t="s">
        <v>20</v>
      </c>
      <c r="J10" s="20" t="s">
        <v>20</v>
      </c>
    </row>
    <row r="11">
      <c r="A11" s="15" t="s">
        <v>16</v>
      </c>
      <c r="B11" s="16">
        <f t="shared" si="1"/>
        <v>45342</v>
      </c>
      <c r="C11" s="17">
        <v>2.0</v>
      </c>
      <c r="D11" s="17" t="s">
        <v>33</v>
      </c>
      <c r="E11" s="15" t="s">
        <v>13</v>
      </c>
      <c r="F11" s="18" t="s">
        <v>36</v>
      </c>
      <c r="G11" s="19" t="s">
        <v>37</v>
      </c>
      <c r="H11" s="20" t="s">
        <v>20</v>
      </c>
      <c r="I11" s="20" t="s">
        <v>20</v>
      </c>
      <c r="J11" s="20" t="s">
        <v>20</v>
      </c>
    </row>
    <row r="12">
      <c r="A12" s="15" t="s">
        <v>17</v>
      </c>
      <c r="B12" s="16">
        <f t="shared" si="1"/>
        <v>45343</v>
      </c>
      <c r="C12" s="17">
        <v>2.0</v>
      </c>
      <c r="D12" s="17" t="s">
        <v>33</v>
      </c>
      <c r="E12" s="15" t="s">
        <v>13</v>
      </c>
      <c r="F12" s="18" t="s">
        <v>38</v>
      </c>
      <c r="G12" s="19" t="s">
        <v>39</v>
      </c>
      <c r="H12" s="20" t="s">
        <v>20</v>
      </c>
      <c r="I12" s="20" t="s">
        <v>20</v>
      </c>
      <c r="J12" s="20" t="s">
        <v>20</v>
      </c>
    </row>
    <row r="13">
      <c r="A13" s="15" t="s">
        <v>21</v>
      </c>
      <c r="B13" s="16">
        <f t="shared" si="1"/>
        <v>45344</v>
      </c>
      <c r="C13" s="17">
        <v>2.0</v>
      </c>
      <c r="D13" s="17" t="s">
        <v>33</v>
      </c>
      <c r="E13" s="15" t="s">
        <v>13</v>
      </c>
      <c r="F13" s="18" t="s">
        <v>40</v>
      </c>
      <c r="G13" s="19" t="s">
        <v>41</v>
      </c>
      <c r="H13" s="20" t="s">
        <v>20</v>
      </c>
      <c r="I13" s="20" t="s">
        <v>20</v>
      </c>
      <c r="J13" s="20" t="s">
        <v>20</v>
      </c>
    </row>
    <row r="14">
      <c r="A14" s="15" t="s">
        <v>24</v>
      </c>
      <c r="B14" s="16">
        <f t="shared" si="1"/>
        <v>45345</v>
      </c>
      <c r="C14" s="17">
        <v>2.0</v>
      </c>
      <c r="D14" s="17" t="s">
        <v>33</v>
      </c>
      <c r="E14" s="15" t="s">
        <v>13</v>
      </c>
      <c r="F14" s="18" t="s">
        <v>42</v>
      </c>
      <c r="G14" s="19" t="s">
        <v>43</v>
      </c>
      <c r="H14" s="20" t="s">
        <v>20</v>
      </c>
      <c r="I14" s="20" t="s">
        <v>20</v>
      </c>
      <c r="J14" s="20" t="s">
        <v>20</v>
      </c>
    </row>
    <row r="15">
      <c r="A15" s="15" t="s">
        <v>27</v>
      </c>
      <c r="B15" s="16">
        <f t="shared" si="1"/>
        <v>45346</v>
      </c>
      <c r="C15" s="17">
        <v>2.0</v>
      </c>
      <c r="D15" s="17" t="s">
        <v>33</v>
      </c>
      <c r="E15" s="15" t="s">
        <v>13</v>
      </c>
      <c r="F15" s="18" t="s">
        <v>44</v>
      </c>
      <c r="G15" s="19" t="s">
        <v>45</v>
      </c>
      <c r="H15" s="20" t="s">
        <v>20</v>
      </c>
      <c r="I15" s="20" t="s">
        <v>20</v>
      </c>
      <c r="J15" s="20" t="s">
        <v>20</v>
      </c>
    </row>
    <row r="16">
      <c r="A16" s="15" t="s">
        <v>30</v>
      </c>
      <c r="B16" s="16">
        <f t="shared" si="1"/>
        <v>45347</v>
      </c>
      <c r="C16" s="17">
        <v>2.0</v>
      </c>
      <c r="D16" s="17" t="s">
        <v>33</v>
      </c>
      <c r="E16" s="15" t="s">
        <v>13</v>
      </c>
      <c r="F16" s="18" t="s">
        <v>46</v>
      </c>
      <c r="G16" s="19" t="s">
        <v>47</v>
      </c>
      <c r="H16" s="20" t="s">
        <v>20</v>
      </c>
      <c r="I16" s="20" t="s">
        <v>20</v>
      </c>
      <c r="J16" s="20" t="s">
        <v>20</v>
      </c>
    </row>
    <row r="17">
      <c r="A17" s="15" t="s">
        <v>11</v>
      </c>
      <c r="B17" s="16">
        <f t="shared" si="1"/>
        <v>45348</v>
      </c>
      <c r="C17" s="17">
        <v>3.0</v>
      </c>
      <c r="D17" s="17" t="s">
        <v>48</v>
      </c>
      <c r="E17" s="15" t="s">
        <v>13</v>
      </c>
      <c r="F17" s="18" t="s">
        <v>49</v>
      </c>
      <c r="G17" s="19" t="s">
        <v>50</v>
      </c>
      <c r="H17" s="20" t="s">
        <v>20</v>
      </c>
      <c r="I17" s="20" t="s">
        <v>20</v>
      </c>
      <c r="J17" s="20" t="s">
        <v>20</v>
      </c>
    </row>
    <row r="18">
      <c r="A18" s="15" t="s">
        <v>16</v>
      </c>
      <c r="B18" s="16">
        <f t="shared" si="1"/>
        <v>45349</v>
      </c>
      <c r="C18" s="17">
        <v>3.0</v>
      </c>
      <c r="D18" s="17" t="s">
        <v>48</v>
      </c>
      <c r="E18" s="15" t="s">
        <v>13</v>
      </c>
      <c r="F18" s="18" t="s">
        <v>51</v>
      </c>
      <c r="G18" s="19" t="s">
        <v>52</v>
      </c>
      <c r="H18" s="20" t="s">
        <v>20</v>
      </c>
      <c r="I18" s="20" t="s">
        <v>20</v>
      </c>
      <c r="J18" s="20" t="s">
        <v>20</v>
      </c>
    </row>
    <row r="19">
      <c r="A19" s="21" t="s">
        <v>17</v>
      </c>
      <c r="B19" s="22">
        <f t="shared" si="1"/>
        <v>45350</v>
      </c>
      <c r="C19" s="23">
        <v>3.0</v>
      </c>
      <c r="D19" s="23" t="s">
        <v>48</v>
      </c>
      <c r="E19" s="21" t="s">
        <v>13</v>
      </c>
      <c r="F19" s="12" t="s">
        <v>14</v>
      </c>
      <c r="G19" s="12" t="s">
        <v>14</v>
      </c>
      <c r="H19" s="9" t="s">
        <v>15</v>
      </c>
      <c r="I19" s="9" t="s">
        <v>15</v>
      </c>
      <c r="J19" s="13" t="s">
        <v>15</v>
      </c>
    </row>
    <row r="20">
      <c r="A20" s="21" t="s">
        <v>21</v>
      </c>
      <c r="B20" s="22">
        <f t="shared" si="1"/>
        <v>45351</v>
      </c>
      <c r="C20" s="23">
        <v>3.0</v>
      </c>
      <c r="D20" s="23" t="s">
        <v>48</v>
      </c>
      <c r="E20" s="21" t="s">
        <v>13</v>
      </c>
      <c r="F20" s="12" t="s">
        <v>14</v>
      </c>
      <c r="G20" s="12" t="s">
        <v>14</v>
      </c>
      <c r="H20" s="9" t="s">
        <v>15</v>
      </c>
      <c r="I20" s="9" t="s">
        <v>15</v>
      </c>
      <c r="J20" s="13" t="s">
        <v>15</v>
      </c>
    </row>
    <row r="21">
      <c r="A21" s="15" t="s">
        <v>24</v>
      </c>
      <c r="B21" s="16">
        <f t="shared" si="1"/>
        <v>45352</v>
      </c>
      <c r="C21" s="17">
        <v>3.0</v>
      </c>
      <c r="D21" s="17" t="s">
        <v>48</v>
      </c>
      <c r="E21" s="15" t="s">
        <v>13</v>
      </c>
      <c r="F21" s="18" t="s">
        <v>53</v>
      </c>
      <c r="G21" s="19" t="s">
        <v>54</v>
      </c>
      <c r="H21" s="20" t="s">
        <v>20</v>
      </c>
      <c r="I21" s="20" t="s">
        <v>20</v>
      </c>
      <c r="J21" s="20" t="s">
        <v>20</v>
      </c>
    </row>
    <row r="22">
      <c r="A22" s="15" t="s">
        <v>27</v>
      </c>
      <c r="B22" s="16">
        <f t="shared" si="1"/>
        <v>45353</v>
      </c>
      <c r="C22" s="17">
        <v>3.0</v>
      </c>
      <c r="D22" s="17" t="s">
        <v>48</v>
      </c>
      <c r="E22" s="15" t="s">
        <v>13</v>
      </c>
      <c r="F22" s="18" t="s">
        <v>55</v>
      </c>
      <c r="G22" s="19" t="s">
        <v>56</v>
      </c>
      <c r="H22" s="20" t="s">
        <v>20</v>
      </c>
      <c r="I22" s="20" t="s">
        <v>20</v>
      </c>
      <c r="J22" s="20" t="s">
        <v>20</v>
      </c>
    </row>
    <row r="23">
      <c r="A23" s="15" t="s">
        <v>30</v>
      </c>
      <c r="B23" s="16">
        <f t="shared" si="1"/>
        <v>45354</v>
      </c>
      <c r="C23" s="17">
        <v>3.0</v>
      </c>
      <c r="D23" s="17" t="s">
        <v>48</v>
      </c>
      <c r="E23" s="15" t="s">
        <v>13</v>
      </c>
      <c r="F23" s="18" t="s">
        <v>57</v>
      </c>
      <c r="G23" s="19" t="s">
        <v>58</v>
      </c>
      <c r="H23" s="20" t="s">
        <v>20</v>
      </c>
      <c r="I23" s="20" t="s">
        <v>20</v>
      </c>
      <c r="J23" s="20" t="s">
        <v>20</v>
      </c>
    </row>
    <row r="24">
      <c r="A24" s="21" t="s">
        <v>11</v>
      </c>
      <c r="B24" s="22">
        <f t="shared" si="1"/>
        <v>45355</v>
      </c>
      <c r="C24" s="23">
        <v>3.0</v>
      </c>
      <c r="D24" s="23" t="s">
        <v>59</v>
      </c>
      <c r="E24" s="21" t="s">
        <v>13</v>
      </c>
      <c r="F24" s="12" t="s">
        <v>14</v>
      </c>
      <c r="G24" s="12" t="s">
        <v>14</v>
      </c>
      <c r="H24" s="9" t="s">
        <v>15</v>
      </c>
      <c r="I24" s="9" t="s">
        <v>15</v>
      </c>
      <c r="J24" s="13" t="s">
        <v>15</v>
      </c>
    </row>
    <row r="25">
      <c r="A25" s="15" t="s">
        <v>16</v>
      </c>
      <c r="B25" s="16">
        <f t="shared" si="1"/>
        <v>45356</v>
      </c>
      <c r="C25" s="17">
        <v>3.0</v>
      </c>
      <c r="D25" s="17" t="s">
        <v>59</v>
      </c>
      <c r="E25" s="15" t="s">
        <v>13</v>
      </c>
      <c r="F25" s="18" t="s">
        <v>60</v>
      </c>
      <c r="G25" s="19" t="s">
        <v>61</v>
      </c>
      <c r="H25" s="20" t="s">
        <v>20</v>
      </c>
      <c r="I25" s="20" t="s">
        <v>20</v>
      </c>
      <c r="J25" s="20" t="s">
        <v>20</v>
      </c>
    </row>
    <row r="26">
      <c r="A26" s="21" t="s">
        <v>17</v>
      </c>
      <c r="B26" s="22">
        <f t="shared" si="1"/>
        <v>45357</v>
      </c>
      <c r="C26" s="23">
        <v>3.0</v>
      </c>
      <c r="D26" s="23" t="s">
        <v>59</v>
      </c>
      <c r="E26" s="21" t="s">
        <v>13</v>
      </c>
      <c r="F26" s="12" t="s">
        <v>14</v>
      </c>
      <c r="G26" s="12" t="s">
        <v>14</v>
      </c>
      <c r="H26" s="9" t="s">
        <v>15</v>
      </c>
      <c r="I26" s="9" t="s">
        <v>15</v>
      </c>
      <c r="J26" s="13" t="s">
        <v>15</v>
      </c>
    </row>
    <row r="27">
      <c r="A27" s="21" t="s">
        <v>21</v>
      </c>
      <c r="B27" s="22">
        <f t="shared" si="1"/>
        <v>45358</v>
      </c>
      <c r="C27" s="23">
        <v>3.0</v>
      </c>
      <c r="D27" s="23" t="s">
        <v>59</v>
      </c>
      <c r="E27" s="21" t="s">
        <v>13</v>
      </c>
      <c r="F27" s="12" t="s">
        <v>14</v>
      </c>
      <c r="G27" s="12" t="s">
        <v>14</v>
      </c>
      <c r="H27" s="9" t="s">
        <v>15</v>
      </c>
      <c r="I27" s="9" t="s">
        <v>15</v>
      </c>
      <c r="J27" s="13" t="s">
        <v>15</v>
      </c>
    </row>
    <row r="28">
      <c r="A28" s="15" t="s">
        <v>24</v>
      </c>
      <c r="B28" s="16">
        <f t="shared" si="1"/>
        <v>45359</v>
      </c>
      <c r="C28" s="17">
        <v>3.0</v>
      </c>
      <c r="D28" s="17" t="s">
        <v>59</v>
      </c>
      <c r="E28" s="15" t="s">
        <v>13</v>
      </c>
      <c r="F28" s="18" t="s">
        <v>62</v>
      </c>
      <c r="G28" s="19" t="s">
        <v>63</v>
      </c>
      <c r="H28" s="20" t="s">
        <v>20</v>
      </c>
      <c r="I28" s="20" t="s">
        <v>20</v>
      </c>
      <c r="J28" s="20" t="s">
        <v>20</v>
      </c>
    </row>
    <row r="29">
      <c r="A29" s="15" t="s">
        <v>27</v>
      </c>
      <c r="B29" s="16">
        <f t="shared" si="1"/>
        <v>45360</v>
      </c>
      <c r="C29" s="17">
        <v>3.0</v>
      </c>
      <c r="D29" s="17" t="s">
        <v>59</v>
      </c>
      <c r="E29" s="15" t="s">
        <v>13</v>
      </c>
      <c r="F29" s="18" t="s">
        <v>64</v>
      </c>
      <c r="G29" s="19" t="s">
        <v>65</v>
      </c>
      <c r="H29" s="20" t="s">
        <v>20</v>
      </c>
      <c r="I29" s="20" t="s">
        <v>20</v>
      </c>
      <c r="J29" s="20" t="s">
        <v>20</v>
      </c>
    </row>
    <row r="30">
      <c r="A30" s="21" t="s">
        <v>30</v>
      </c>
      <c r="B30" s="22">
        <f t="shared" si="1"/>
        <v>45361</v>
      </c>
      <c r="C30" s="23">
        <v>3.0</v>
      </c>
      <c r="D30" s="23" t="s">
        <v>59</v>
      </c>
      <c r="E30" s="21" t="s">
        <v>13</v>
      </c>
      <c r="F30" s="12" t="s">
        <v>14</v>
      </c>
      <c r="G30" s="12" t="s">
        <v>14</v>
      </c>
      <c r="H30" s="9" t="s">
        <v>15</v>
      </c>
      <c r="I30" s="9" t="s">
        <v>15</v>
      </c>
      <c r="J30" s="13" t="s">
        <v>15</v>
      </c>
    </row>
    <row r="31">
      <c r="A31" s="21" t="s">
        <v>11</v>
      </c>
      <c r="B31" s="22">
        <f t="shared" si="1"/>
        <v>45362</v>
      </c>
      <c r="C31" s="23">
        <v>3.0</v>
      </c>
      <c r="D31" s="23" t="s">
        <v>12</v>
      </c>
      <c r="E31" s="21" t="s">
        <v>13</v>
      </c>
      <c r="F31" s="12" t="s">
        <v>14</v>
      </c>
      <c r="G31" s="12" t="s">
        <v>14</v>
      </c>
      <c r="H31" s="9" t="s">
        <v>15</v>
      </c>
      <c r="I31" s="9" t="s">
        <v>15</v>
      </c>
      <c r="J31" s="13" t="s">
        <v>15</v>
      </c>
    </row>
    <row r="32">
      <c r="A32" s="15" t="s">
        <v>16</v>
      </c>
      <c r="B32" s="16">
        <f t="shared" si="1"/>
        <v>45363</v>
      </c>
      <c r="C32" s="17">
        <v>3.0</v>
      </c>
      <c r="D32" s="17" t="s">
        <v>12</v>
      </c>
      <c r="E32" s="15" t="s">
        <v>13</v>
      </c>
      <c r="F32" s="24" t="s">
        <v>66</v>
      </c>
      <c r="G32" s="19" t="s">
        <v>67</v>
      </c>
      <c r="H32" s="20" t="s">
        <v>20</v>
      </c>
      <c r="I32" s="20" t="s">
        <v>20</v>
      </c>
      <c r="J32" s="20" t="s">
        <v>20</v>
      </c>
    </row>
    <row r="33">
      <c r="A33" s="21" t="s">
        <v>17</v>
      </c>
      <c r="B33" s="22">
        <f t="shared" si="1"/>
        <v>45364</v>
      </c>
      <c r="C33" s="23">
        <v>3.0</v>
      </c>
      <c r="D33" s="23" t="s">
        <v>12</v>
      </c>
      <c r="E33" s="21" t="s">
        <v>13</v>
      </c>
      <c r="F33" s="12" t="s">
        <v>14</v>
      </c>
      <c r="G33" s="12" t="s">
        <v>14</v>
      </c>
      <c r="H33" s="9" t="s">
        <v>68</v>
      </c>
      <c r="I33" s="9" t="s">
        <v>15</v>
      </c>
      <c r="J33" s="13" t="s">
        <v>15</v>
      </c>
    </row>
    <row r="34">
      <c r="A34" s="15" t="s">
        <v>21</v>
      </c>
      <c r="B34" s="16">
        <f t="shared" si="1"/>
        <v>45365</v>
      </c>
      <c r="C34" s="17">
        <v>3.0</v>
      </c>
      <c r="D34" s="17" t="s">
        <v>12</v>
      </c>
      <c r="E34" s="15" t="s">
        <v>13</v>
      </c>
      <c r="F34" s="18" t="s">
        <v>69</v>
      </c>
      <c r="G34" s="19" t="s">
        <v>70</v>
      </c>
      <c r="H34" s="20" t="s">
        <v>20</v>
      </c>
      <c r="I34" s="20" t="s">
        <v>20</v>
      </c>
      <c r="J34" s="20" t="s">
        <v>20</v>
      </c>
    </row>
    <row r="35">
      <c r="A35" s="15" t="s">
        <v>24</v>
      </c>
      <c r="B35" s="16">
        <f t="shared" si="1"/>
        <v>45366</v>
      </c>
      <c r="C35" s="17">
        <v>3.0</v>
      </c>
      <c r="D35" s="17" t="s">
        <v>12</v>
      </c>
      <c r="E35" s="15" t="s">
        <v>13</v>
      </c>
      <c r="F35" s="18" t="s">
        <v>71</v>
      </c>
      <c r="G35" s="19" t="s">
        <v>72</v>
      </c>
      <c r="H35" s="20" t="s">
        <v>20</v>
      </c>
      <c r="I35" s="20" t="s">
        <v>20</v>
      </c>
      <c r="J35" s="20" t="s">
        <v>20</v>
      </c>
    </row>
    <row r="36">
      <c r="A36" s="15" t="s">
        <v>27</v>
      </c>
      <c r="B36" s="16">
        <f t="shared" si="1"/>
        <v>45367</v>
      </c>
      <c r="C36" s="17">
        <v>3.0</v>
      </c>
      <c r="D36" s="17" t="s">
        <v>12</v>
      </c>
      <c r="E36" s="15" t="s">
        <v>13</v>
      </c>
      <c r="F36" s="18" t="s">
        <v>73</v>
      </c>
      <c r="G36" s="19" t="s">
        <v>74</v>
      </c>
      <c r="H36" s="20" t="s">
        <v>20</v>
      </c>
      <c r="I36" s="20" t="s">
        <v>20</v>
      </c>
      <c r="J36" s="20" t="s">
        <v>20</v>
      </c>
    </row>
    <row r="37">
      <c r="A37" s="21" t="s">
        <v>30</v>
      </c>
      <c r="B37" s="22">
        <f t="shared" si="1"/>
        <v>45368</v>
      </c>
      <c r="C37" s="23">
        <v>3.0</v>
      </c>
      <c r="D37" s="23" t="s">
        <v>12</v>
      </c>
      <c r="E37" s="21" t="s">
        <v>13</v>
      </c>
      <c r="F37" s="12" t="s">
        <v>14</v>
      </c>
      <c r="G37" s="12" t="s">
        <v>14</v>
      </c>
      <c r="H37" s="9" t="s">
        <v>15</v>
      </c>
      <c r="I37" s="9" t="s">
        <v>15</v>
      </c>
      <c r="J37" s="13" t="s">
        <v>15</v>
      </c>
    </row>
    <row r="38">
      <c r="A38" s="15" t="s">
        <v>11</v>
      </c>
      <c r="B38" s="16">
        <f t="shared" si="1"/>
        <v>45369</v>
      </c>
      <c r="C38" s="17">
        <v>3.0</v>
      </c>
      <c r="D38" s="17" t="s">
        <v>33</v>
      </c>
      <c r="E38" s="15" t="s">
        <v>13</v>
      </c>
      <c r="F38" s="18" t="s">
        <v>75</v>
      </c>
      <c r="G38" s="19" t="s">
        <v>76</v>
      </c>
      <c r="H38" s="20" t="s">
        <v>20</v>
      </c>
      <c r="I38" s="20" t="s">
        <v>20</v>
      </c>
      <c r="J38" s="20" t="s">
        <v>20</v>
      </c>
    </row>
    <row r="39">
      <c r="A39" s="15" t="s">
        <v>16</v>
      </c>
      <c r="B39" s="16">
        <f t="shared" si="1"/>
        <v>45370</v>
      </c>
      <c r="C39" s="17">
        <v>3.0</v>
      </c>
      <c r="D39" s="17" t="s">
        <v>33</v>
      </c>
      <c r="E39" s="15" t="s">
        <v>13</v>
      </c>
      <c r="F39" s="18" t="s">
        <v>77</v>
      </c>
      <c r="G39" s="19" t="s">
        <v>78</v>
      </c>
      <c r="H39" s="20" t="s">
        <v>20</v>
      </c>
      <c r="I39" s="20" t="s">
        <v>20</v>
      </c>
      <c r="J39" s="20" t="s">
        <v>20</v>
      </c>
    </row>
    <row r="40">
      <c r="A40" s="21" t="s">
        <v>17</v>
      </c>
      <c r="B40" s="22">
        <f t="shared" si="1"/>
        <v>45371</v>
      </c>
      <c r="C40" s="23">
        <v>3.0</v>
      </c>
      <c r="D40" s="23" t="s">
        <v>33</v>
      </c>
      <c r="E40" s="21" t="s">
        <v>13</v>
      </c>
      <c r="F40" s="12" t="s">
        <v>14</v>
      </c>
      <c r="G40" s="12" t="s">
        <v>14</v>
      </c>
      <c r="H40" s="9" t="s">
        <v>15</v>
      </c>
      <c r="I40" s="9" t="s">
        <v>15</v>
      </c>
      <c r="J40" s="13" t="s">
        <v>15</v>
      </c>
    </row>
    <row r="41">
      <c r="A41" s="15" t="s">
        <v>21</v>
      </c>
      <c r="B41" s="16">
        <f t="shared" si="1"/>
        <v>45372</v>
      </c>
      <c r="C41" s="17">
        <v>3.0</v>
      </c>
      <c r="D41" s="17" t="s">
        <v>33</v>
      </c>
      <c r="E41" s="15" t="s">
        <v>13</v>
      </c>
      <c r="F41" s="18" t="s">
        <v>79</v>
      </c>
      <c r="G41" s="19" t="s">
        <v>80</v>
      </c>
      <c r="H41" s="20" t="s">
        <v>20</v>
      </c>
      <c r="I41" s="20" t="s">
        <v>20</v>
      </c>
      <c r="J41" s="20" t="s">
        <v>20</v>
      </c>
    </row>
    <row r="42">
      <c r="A42" s="15" t="s">
        <v>24</v>
      </c>
      <c r="B42" s="16">
        <f t="shared" si="1"/>
        <v>45373</v>
      </c>
      <c r="C42" s="17">
        <v>3.0</v>
      </c>
      <c r="D42" s="17" t="s">
        <v>33</v>
      </c>
      <c r="E42" s="15" t="s">
        <v>13</v>
      </c>
      <c r="F42" s="18" t="s">
        <v>81</v>
      </c>
      <c r="G42" s="19" t="s">
        <v>82</v>
      </c>
      <c r="H42" s="20" t="s">
        <v>20</v>
      </c>
      <c r="I42" s="20" t="s">
        <v>20</v>
      </c>
      <c r="J42" s="20" t="s">
        <v>20</v>
      </c>
    </row>
    <row r="43">
      <c r="A43" s="9" t="s">
        <v>27</v>
      </c>
      <c r="B43" s="14">
        <f t="shared" si="1"/>
        <v>45374</v>
      </c>
      <c r="C43" s="11">
        <v>3.0</v>
      </c>
      <c r="D43" s="11" t="s">
        <v>33</v>
      </c>
      <c r="E43" s="9" t="s">
        <v>13</v>
      </c>
      <c r="F43" s="25" t="s">
        <v>14</v>
      </c>
      <c r="G43" s="25" t="s">
        <v>14</v>
      </c>
      <c r="H43" s="9" t="s">
        <v>15</v>
      </c>
      <c r="I43" s="9" t="s">
        <v>15</v>
      </c>
      <c r="J43" s="13" t="s">
        <v>15</v>
      </c>
    </row>
    <row r="44">
      <c r="A44" s="9" t="s">
        <v>30</v>
      </c>
      <c r="B44" s="14">
        <f t="shared" si="1"/>
        <v>45375</v>
      </c>
      <c r="C44" s="11">
        <v>3.0</v>
      </c>
      <c r="D44" s="11" t="s">
        <v>33</v>
      </c>
      <c r="E44" s="9" t="s">
        <v>13</v>
      </c>
      <c r="F44" s="25" t="s">
        <v>14</v>
      </c>
      <c r="G44" s="25" t="s">
        <v>14</v>
      </c>
      <c r="H44" s="9" t="s">
        <v>15</v>
      </c>
      <c r="I44" s="9" t="s">
        <v>15</v>
      </c>
      <c r="J44" s="13" t="s">
        <v>15</v>
      </c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3" width="7.25"/>
    <col customWidth="1" min="4" max="4" width="11.88"/>
    <col customWidth="1" min="5" max="5" width="13.25"/>
    <col customWidth="1" min="6" max="11" width="4.13"/>
    <col customWidth="1" min="12" max="12" width="7.38"/>
    <col customWidth="1" min="13" max="13" width="5.63"/>
    <col customWidth="1" min="14" max="24" width="4.13"/>
    <col customWidth="1" min="25" max="25" width="3.38"/>
    <col customWidth="1" min="26" max="31" width="4.13"/>
    <col customWidth="1" hidden="1" min="32" max="37" width="4.13"/>
    <col customWidth="1" min="38" max="38" width="13.5"/>
    <col customWidth="1" min="39" max="39" width="11.75"/>
    <col customWidth="1" min="40" max="40" width="13.0"/>
    <col customWidth="1" min="41" max="41" width="12.88"/>
    <col customWidth="1" min="42" max="42" width="9.0"/>
  </cols>
  <sheetData>
    <row r="1">
      <c r="A1" s="51" t="s">
        <v>108</v>
      </c>
      <c r="B1" s="2"/>
      <c r="C1" s="2"/>
      <c r="D1" s="2"/>
      <c r="E1" s="3"/>
      <c r="F1" s="52" t="s">
        <v>109</v>
      </c>
      <c r="G1" s="2"/>
      <c r="H1" s="2"/>
      <c r="I1" s="2"/>
      <c r="J1" s="2"/>
      <c r="K1" s="3"/>
      <c r="L1" s="53" t="s">
        <v>110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54" t="s">
        <v>111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55" t="s">
        <v>112</v>
      </c>
      <c r="AM1" s="56"/>
      <c r="AN1" s="56"/>
      <c r="AO1" s="56"/>
      <c r="AP1" s="57"/>
    </row>
    <row r="2" ht="159.0" customHeight="1">
      <c r="A2" s="58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F2" s="60" t="s">
        <v>113</v>
      </c>
      <c r="G2" s="61">
        <f>25.54 * (1+$E$363)</f>
        <v>26.817</v>
      </c>
      <c r="H2" s="62" t="s">
        <v>114</v>
      </c>
      <c r="I2" s="61">
        <f>25.54 * (1+$E$363)</f>
        <v>26.817</v>
      </c>
      <c r="J2" s="62" t="s">
        <v>115</v>
      </c>
      <c r="K2" s="61">
        <f>25.54 * (1+$E$363)</f>
        <v>26.817</v>
      </c>
      <c r="L2" s="62" t="s">
        <v>113</v>
      </c>
      <c r="M2" s="61">
        <f>16.22*(1+$E$363)</f>
        <v>17.031</v>
      </c>
      <c r="N2" s="62" t="s">
        <v>114</v>
      </c>
      <c r="O2" s="61">
        <f>16.22*(1+$E$363)</f>
        <v>17.031</v>
      </c>
      <c r="P2" s="62" t="s">
        <v>115</v>
      </c>
      <c r="Q2" s="61">
        <f>16.22*(1+$E$363)</f>
        <v>17.031</v>
      </c>
      <c r="R2" s="63" t="s">
        <v>116</v>
      </c>
      <c r="S2" s="61">
        <f>6.44*(1+$E$363)</f>
        <v>6.762</v>
      </c>
      <c r="T2" s="62" t="s">
        <v>117</v>
      </c>
      <c r="U2" s="61">
        <f>450*(1+$E$363)</f>
        <v>472.5</v>
      </c>
      <c r="V2" s="62" t="s">
        <v>118</v>
      </c>
      <c r="W2" s="61">
        <f>250*(1+$E$363)</f>
        <v>262.5</v>
      </c>
      <c r="X2" s="62" t="s">
        <v>119</v>
      </c>
      <c r="Y2" s="61">
        <f>8*(1+$E$363)</f>
        <v>8.4</v>
      </c>
      <c r="Z2" s="62" t="s">
        <v>113</v>
      </c>
      <c r="AA2" s="61">
        <f>16.22*(1+$E$363)</f>
        <v>17.031</v>
      </c>
      <c r="AB2" s="62" t="s">
        <v>114</v>
      </c>
      <c r="AC2" s="61">
        <f>16.22*(1+$E$363)</f>
        <v>17.031</v>
      </c>
      <c r="AD2" s="62" t="s">
        <v>115</v>
      </c>
      <c r="AE2" s="61">
        <f>16.22*(1+$E$363)</f>
        <v>17.031</v>
      </c>
      <c r="AF2" s="107" t="s">
        <v>128</v>
      </c>
      <c r="AG2" s="107">
        <v>0.0</v>
      </c>
      <c r="AH2" s="107" t="s">
        <v>128</v>
      </c>
      <c r="AI2" s="107">
        <v>0.0</v>
      </c>
      <c r="AJ2" s="107" t="s">
        <v>128</v>
      </c>
      <c r="AK2" s="107">
        <v>0.0</v>
      </c>
      <c r="AL2" s="64" t="s">
        <v>120</v>
      </c>
      <c r="AM2" s="64" t="s">
        <v>121</v>
      </c>
      <c r="AN2" s="65" t="s">
        <v>122</v>
      </c>
      <c r="AO2" s="64" t="s">
        <v>123</v>
      </c>
      <c r="AP2" s="64" t="s">
        <v>124</v>
      </c>
    </row>
    <row r="3">
      <c r="A3" s="66" t="s">
        <v>11</v>
      </c>
      <c r="B3" s="67">
        <v>44562.0</v>
      </c>
      <c r="C3" s="68">
        <v>1.0</v>
      </c>
      <c r="D3" s="69" t="s">
        <v>48</v>
      </c>
      <c r="E3" s="70" t="s">
        <v>125</v>
      </c>
      <c r="F3" s="71">
        <v>0.0</v>
      </c>
      <c r="H3" s="72">
        <v>0.0</v>
      </c>
      <c r="J3" s="72">
        <v>0.0</v>
      </c>
      <c r="L3" s="71">
        <v>0.0</v>
      </c>
      <c r="N3" s="72">
        <v>0.0</v>
      </c>
      <c r="P3" s="72">
        <v>0.0</v>
      </c>
      <c r="R3" s="72">
        <v>0.0</v>
      </c>
      <c r="T3" s="72">
        <v>0.0</v>
      </c>
      <c r="V3" s="72">
        <v>0.0</v>
      </c>
      <c r="X3" s="72">
        <v>0.0</v>
      </c>
      <c r="Y3" s="73"/>
      <c r="Z3" s="71">
        <v>0.0</v>
      </c>
      <c r="AB3" s="72">
        <v>0.0</v>
      </c>
      <c r="AD3" s="72">
        <v>0.0</v>
      </c>
      <c r="AF3" s="113"/>
      <c r="AH3" s="113"/>
      <c r="AJ3" s="113"/>
      <c r="AK3" s="73"/>
      <c r="AL3" s="74">
        <f t="shared" ref="AL3:AL359" si="1">(F3*G$2)+(H3*I$2)+(J3*K$2)+(L3*M$2)+(N3*O$2)+(P3*Q$2)+(R3*S$2)+(T3*U$2)+(X3*Y$2)+(Z3*AA$2)+(AB3*AC$2)+(AD3*AE$2)+(AF3*AG$2)+(AH3*AI$2)+(AJ3*AK$2)+(V3*$W$2)</f>
        <v>0</v>
      </c>
      <c r="AM3" s="68">
        <f t="shared" ref="AM3:AM359" si="2">F3+H3+J3+L3+N3+P3+R3+X3+Z3+AB3+AD3</f>
        <v>0</v>
      </c>
      <c r="AN3" s="68">
        <f t="shared" ref="AN3:AN359" si="3">T3+V3</f>
        <v>0</v>
      </c>
      <c r="AO3" s="68">
        <f t="shared" ref="AO3:AO359" si="4">sum(F3:AK3)</f>
        <v>0</v>
      </c>
      <c r="AP3" s="75" t="str">
        <f t="shared" ref="AP3:AP359" si="5">iferror(AL3/AO3,"")</f>
        <v/>
      </c>
    </row>
    <row r="4">
      <c r="A4" s="76" t="s">
        <v>16</v>
      </c>
      <c r="B4" s="77">
        <f t="shared" ref="B4:B359" si="6">B3+1</f>
        <v>44563</v>
      </c>
      <c r="C4" s="78">
        <v>1.0</v>
      </c>
      <c r="D4" s="79" t="s">
        <v>48</v>
      </c>
      <c r="E4" s="80" t="s">
        <v>125</v>
      </c>
      <c r="F4" s="71">
        <v>0.0</v>
      </c>
      <c r="H4" s="72">
        <v>0.0</v>
      </c>
      <c r="J4" s="72">
        <v>0.0</v>
      </c>
      <c r="L4" s="71">
        <v>0.0</v>
      </c>
      <c r="N4" s="72">
        <v>0.0</v>
      </c>
      <c r="P4" s="72">
        <v>0.0</v>
      </c>
      <c r="R4" s="72">
        <v>0.0</v>
      </c>
      <c r="T4" s="72">
        <v>0.0</v>
      </c>
      <c r="V4" s="72">
        <v>0.0</v>
      </c>
      <c r="X4" s="72">
        <v>0.0</v>
      </c>
      <c r="Y4" s="73"/>
      <c r="Z4" s="71">
        <v>0.0</v>
      </c>
      <c r="AB4" s="72">
        <v>0.0</v>
      </c>
      <c r="AD4" s="72">
        <v>0.0</v>
      </c>
      <c r="AF4" s="113"/>
      <c r="AH4" s="113"/>
      <c r="AJ4" s="113"/>
      <c r="AK4" s="73"/>
      <c r="AL4" s="81">
        <f t="shared" si="1"/>
        <v>0</v>
      </c>
      <c r="AM4" s="78">
        <f t="shared" si="2"/>
        <v>0</v>
      </c>
      <c r="AN4" s="78">
        <f t="shared" si="3"/>
        <v>0</v>
      </c>
      <c r="AO4" s="78">
        <f t="shared" si="4"/>
        <v>0</v>
      </c>
      <c r="AP4" s="82" t="str">
        <f t="shared" si="5"/>
        <v/>
      </c>
    </row>
    <row r="5">
      <c r="A5" s="76" t="s">
        <v>17</v>
      </c>
      <c r="B5" s="77">
        <f t="shared" si="6"/>
        <v>44564</v>
      </c>
      <c r="C5" s="78">
        <v>1.0</v>
      </c>
      <c r="D5" s="79" t="s">
        <v>48</v>
      </c>
      <c r="E5" s="80" t="s">
        <v>125</v>
      </c>
      <c r="F5" s="71">
        <v>0.0</v>
      </c>
      <c r="H5" s="72">
        <v>0.0</v>
      </c>
      <c r="J5" s="72">
        <v>0.0</v>
      </c>
      <c r="L5" s="71">
        <v>0.0</v>
      </c>
      <c r="N5" s="72">
        <v>0.0</v>
      </c>
      <c r="P5" s="72">
        <v>0.0</v>
      </c>
      <c r="R5" s="72">
        <v>0.0</v>
      </c>
      <c r="T5" s="72">
        <v>0.0</v>
      </c>
      <c r="V5" s="72">
        <v>0.0</v>
      </c>
      <c r="X5" s="72">
        <v>0.0</v>
      </c>
      <c r="Y5" s="73"/>
      <c r="Z5" s="71">
        <v>0.0</v>
      </c>
      <c r="AB5" s="72">
        <v>0.0</v>
      </c>
      <c r="AD5" s="72">
        <v>0.0</v>
      </c>
      <c r="AF5" s="113"/>
      <c r="AH5" s="113"/>
      <c r="AJ5" s="113"/>
      <c r="AK5" s="73"/>
      <c r="AL5" s="81">
        <f t="shared" si="1"/>
        <v>0</v>
      </c>
      <c r="AM5" s="78">
        <f t="shared" si="2"/>
        <v>0</v>
      </c>
      <c r="AN5" s="78">
        <f t="shared" si="3"/>
        <v>0</v>
      </c>
      <c r="AO5" s="78">
        <f t="shared" si="4"/>
        <v>0</v>
      </c>
      <c r="AP5" s="82" t="str">
        <f t="shared" si="5"/>
        <v/>
      </c>
    </row>
    <row r="6">
      <c r="A6" s="76" t="s">
        <v>21</v>
      </c>
      <c r="B6" s="77">
        <f t="shared" si="6"/>
        <v>44565</v>
      </c>
      <c r="C6" s="78">
        <v>1.0</v>
      </c>
      <c r="D6" s="79" t="s">
        <v>48</v>
      </c>
      <c r="E6" s="80" t="s">
        <v>125</v>
      </c>
      <c r="F6" s="71">
        <v>0.0</v>
      </c>
      <c r="H6" s="72">
        <v>0.0</v>
      </c>
      <c r="J6" s="72">
        <v>0.0</v>
      </c>
      <c r="L6" s="71">
        <v>0.0</v>
      </c>
      <c r="N6" s="72">
        <v>0.0</v>
      </c>
      <c r="P6" s="72">
        <v>0.0</v>
      </c>
      <c r="R6" s="72">
        <v>0.0</v>
      </c>
      <c r="T6" s="72">
        <v>0.0</v>
      </c>
      <c r="V6" s="72">
        <v>0.0</v>
      </c>
      <c r="X6" s="72">
        <v>0.0</v>
      </c>
      <c r="Y6" s="73"/>
      <c r="Z6" s="71">
        <v>0.0</v>
      </c>
      <c r="AB6" s="72">
        <v>0.0</v>
      </c>
      <c r="AD6" s="72">
        <v>0.0</v>
      </c>
      <c r="AF6" s="113"/>
      <c r="AH6" s="113"/>
      <c r="AJ6" s="113"/>
      <c r="AK6" s="73"/>
      <c r="AL6" s="81">
        <f t="shared" si="1"/>
        <v>0</v>
      </c>
      <c r="AM6" s="78">
        <f t="shared" si="2"/>
        <v>0</v>
      </c>
      <c r="AN6" s="78">
        <f t="shared" si="3"/>
        <v>0</v>
      </c>
      <c r="AO6" s="78">
        <f t="shared" si="4"/>
        <v>0</v>
      </c>
      <c r="AP6" s="82" t="str">
        <f t="shared" si="5"/>
        <v/>
      </c>
    </row>
    <row r="7">
      <c r="A7" s="76" t="s">
        <v>24</v>
      </c>
      <c r="B7" s="77">
        <f t="shared" si="6"/>
        <v>44566</v>
      </c>
      <c r="C7" s="78">
        <v>1.0</v>
      </c>
      <c r="D7" s="79" t="s">
        <v>48</v>
      </c>
      <c r="E7" s="80" t="s">
        <v>125</v>
      </c>
      <c r="F7" s="71">
        <v>0.0</v>
      </c>
      <c r="H7" s="72">
        <v>0.0</v>
      </c>
      <c r="J7" s="72">
        <v>0.0</v>
      </c>
      <c r="L7" s="71">
        <v>0.0</v>
      </c>
      <c r="N7" s="72">
        <v>0.0</v>
      </c>
      <c r="P7" s="72">
        <v>0.0</v>
      </c>
      <c r="R7" s="72">
        <v>0.0</v>
      </c>
      <c r="T7" s="72">
        <v>0.0</v>
      </c>
      <c r="V7" s="72">
        <v>0.0</v>
      </c>
      <c r="X7" s="72">
        <v>0.0</v>
      </c>
      <c r="Y7" s="73"/>
      <c r="Z7" s="71">
        <v>0.0</v>
      </c>
      <c r="AB7" s="72">
        <v>0.0</v>
      </c>
      <c r="AD7" s="72">
        <v>0.0</v>
      </c>
      <c r="AF7" s="113"/>
      <c r="AH7" s="113"/>
      <c r="AJ7" s="113"/>
      <c r="AK7" s="73"/>
      <c r="AL7" s="81">
        <f t="shared" si="1"/>
        <v>0</v>
      </c>
      <c r="AM7" s="78">
        <f t="shared" si="2"/>
        <v>0</v>
      </c>
      <c r="AN7" s="78">
        <f t="shared" si="3"/>
        <v>0</v>
      </c>
      <c r="AO7" s="78">
        <f t="shared" si="4"/>
        <v>0</v>
      </c>
      <c r="AP7" s="82" t="str">
        <f t="shared" si="5"/>
        <v/>
      </c>
    </row>
    <row r="8">
      <c r="A8" s="76" t="s">
        <v>27</v>
      </c>
      <c r="B8" s="77">
        <f t="shared" si="6"/>
        <v>44567</v>
      </c>
      <c r="C8" s="78">
        <v>1.0</v>
      </c>
      <c r="D8" s="79" t="s">
        <v>48</v>
      </c>
      <c r="E8" s="80" t="s">
        <v>125</v>
      </c>
      <c r="F8" s="71">
        <v>0.0</v>
      </c>
      <c r="H8" s="72">
        <v>0.0</v>
      </c>
      <c r="J8" s="72">
        <v>0.0</v>
      </c>
      <c r="L8" s="71">
        <v>0.0</v>
      </c>
      <c r="N8" s="72">
        <v>0.0</v>
      </c>
      <c r="P8" s="72">
        <v>0.0</v>
      </c>
      <c r="R8" s="72">
        <v>0.0</v>
      </c>
      <c r="T8" s="72">
        <v>0.0</v>
      </c>
      <c r="V8" s="72">
        <v>0.0</v>
      </c>
      <c r="X8" s="72">
        <v>0.0</v>
      </c>
      <c r="Y8" s="73"/>
      <c r="Z8" s="71">
        <v>0.0</v>
      </c>
      <c r="AB8" s="72">
        <v>0.0</v>
      </c>
      <c r="AD8" s="72">
        <v>0.0</v>
      </c>
      <c r="AF8" s="113"/>
      <c r="AH8" s="113"/>
      <c r="AJ8" s="113"/>
      <c r="AK8" s="73"/>
      <c r="AL8" s="81">
        <f t="shared" si="1"/>
        <v>0</v>
      </c>
      <c r="AM8" s="78">
        <f t="shared" si="2"/>
        <v>0</v>
      </c>
      <c r="AN8" s="78">
        <f t="shared" si="3"/>
        <v>0</v>
      </c>
      <c r="AO8" s="78">
        <f t="shared" si="4"/>
        <v>0</v>
      </c>
      <c r="AP8" s="82" t="str">
        <f t="shared" si="5"/>
        <v/>
      </c>
    </row>
    <row r="9">
      <c r="A9" s="83" t="s">
        <v>30</v>
      </c>
      <c r="B9" s="84">
        <f t="shared" si="6"/>
        <v>44568</v>
      </c>
      <c r="C9" s="85">
        <v>1.0</v>
      </c>
      <c r="D9" s="86" t="s">
        <v>48</v>
      </c>
      <c r="E9" s="87" t="s">
        <v>125</v>
      </c>
      <c r="F9" s="88">
        <v>0.0</v>
      </c>
      <c r="G9" s="89"/>
      <c r="H9" s="90">
        <v>0.0</v>
      </c>
      <c r="I9" s="89"/>
      <c r="J9" s="90">
        <v>0.0</v>
      </c>
      <c r="K9" s="89"/>
      <c r="L9" s="88">
        <v>0.0</v>
      </c>
      <c r="M9" s="89"/>
      <c r="N9" s="90">
        <v>0.0</v>
      </c>
      <c r="O9" s="89"/>
      <c r="P9" s="90">
        <v>0.0</v>
      </c>
      <c r="Q9" s="89"/>
      <c r="R9" s="90">
        <v>0.0</v>
      </c>
      <c r="S9" s="89"/>
      <c r="T9" s="90">
        <v>0.0</v>
      </c>
      <c r="U9" s="89"/>
      <c r="V9" s="90">
        <v>0.0</v>
      </c>
      <c r="W9" s="89"/>
      <c r="X9" s="90">
        <v>0.0</v>
      </c>
      <c r="Y9" s="91"/>
      <c r="Z9" s="88">
        <v>0.0</v>
      </c>
      <c r="AA9" s="89"/>
      <c r="AB9" s="90">
        <v>0.0</v>
      </c>
      <c r="AC9" s="89"/>
      <c r="AD9" s="90">
        <v>0.0</v>
      </c>
      <c r="AE9" s="89"/>
      <c r="AF9" s="117"/>
      <c r="AG9" s="89"/>
      <c r="AH9" s="117"/>
      <c r="AI9" s="89"/>
      <c r="AJ9" s="117"/>
      <c r="AK9" s="91"/>
      <c r="AL9" s="92">
        <f t="shared" si="1"/>
        <v>0</v>
      </c>
      <c r="AM9" s="85">
        <f t="shared" si="2"/>
        <v>0</v>
      </c>
      <c r="AN9" s="85">
        <f t="shared" si="3"/>
        <v>0</v>
      </c>
      <c r="AO9" s="85">
        <f t="shared" si="4"/>
        <v>0</v>
      </c>
      <c r="AP9" s="93" t="str">
        <f t="shared" si="5"/>
        <v/>
      </c>
    </row>
    <row r="10">
      <c r="A10" s="66" t="s">
        <v>11</v>
      </c>
      <c r="B10" s="94">
        <f t="shared" si="6"/>
        <v>44569</v>
      </c>
      <c r="C10" s="68">
        <v>1.0</v>
      </c>
      <c r="D10" s="68" t="s">
        <v>59</v>
      </c>
      <c r="E10" s="70" t="s">
        <v>125</v>
      </c>
      <c r="F10" s="71">
        <v>0.0</v>
      </c>
      <c r="H10" s="72">
        <v>0.0</v>
      </c>
      <c r="J10" s="72">
        <v>0.0</v>
      </c>
      <c r="L10" s="71">
        <v>0.0</v>
      </c>
      <c r="N10" s="72">
        <v>0.0</v>
      </c>
      <c r="P10" s="72">
        <v>0.0</v>
      </c>
      <c r="R10" s="72">
        <v>0.0</v>
      </c>
      <c r="T10" s="72">
        <v>0.0</v>
      </c>
      <c r="V10" s="72">
        <v>0.0</v>
      </c>
      <c r="X10" s="72">
        <v>0.0</v>
      </c>
      <c r="Y10" s="73"/>
      <c r="Z10" s="71">
        <v>0.0</v>
      </c>
      <c r="AB10" s="72">
        <v>0.0</v>
      </c>
      <c r="AD10" s="72">
        <v>0.0</v>
      </c>
      <c r="AF10" s="113"/>
      <c r="AH10" s="113"/>
      <c r="AJ10" s="113"/>
      <c r="AK10" s="73"/>
      <c r="AL10" s="74">
        <f t="shared" si="1"/>
        <v>0</v>
      </c>
      <c r="AM10" s="68">
        <f t="shared" si="2"/>
        <v>0</v>
      </c>
      <c r="AN10" s="68">
        <f t="shared" si="3"/>
        <v>0</v>
      </c>
      <c r="AO10" s="68">
        <f t="shared" si="4"/>
        <v>0</v>
      </c>
      <c r="AP10" s="75" t="str">
        <f t="shared" si="5"/>
        <v/>
      </c>
    </row>
    <row r="11">
      <c r="A11" s="76" t="s">
        <v>16</v>
      </c>
      <c r="B11" s="77">
        <f t="shared" si="6"/>
        <v>44570</v>
      </c>
      <c r="C11" s="78">
        <v>1.0</v>
      </c>
      <c r="D11" s="78" t="s">
        <v>59</v>
      </c>
      <c r="E11" s="80" t="s">
        <v>125</v>
      </c>
      <c r="F11" s="71">
        <v>0.0</v>
      </c>
      <c r="H11" s="72">
        <v>0.0</v>
      </c>
      <c r="J11" s="72">
        <v>0.0</v>
      </c>
      <c r="L11" s="71">
        <v>0.0</v>
      </c>
      <c r="N11" s="72">
        <v>0.0</v>
      </c>
      <c r="P11" s="72">
        <v>0.0</v>
      </c>
      <c r="R11" s="72">
        <v>0.0</v>
      </c>
      <c r="T11" s="72">
        <v>0.0</v>
      </c>
      <c r="V11" s="72">
        <v>0.0</v>
      </c>
      <c r="X11" s="72">
        <v>0.0</v>
      </c>
      <c r="Y11" s="73"/>
      <c r="Z11" s="71">
        <v>0.0</v>
      </c>
      <c r="AB11" s="72">
        <v>0.0</v>
      </c>
      <c r="AD11" s="72">
        <v>0.0</v>
      </c>
      <c r="AF11" s="113"/>
      <c r="AH11" s="113"/>
      <c r="AJ11" s="113"/>
      <c r="AK11" s="73"/>
      <c r="AL11" s="81">
        <f t="shared" si="1"/>
        <v>0</v>
      </c>
      <c r="AM11" s="78">
        <f t="shared" si="2"/>
        <v>0</v>
      </c>
      <c r="AN11" s="78">
        <f t="shared" si="3"/>
        <v>0</v>
      </c>
      <c r="AO11" s="78">
        <f t="shared" si="4"/>
        <v>0</v>
      </c>
      <c r="AP11" s="82" t="str">
        <f t="shared" si="5"/>
        <v/>
      </c>
    </row>
    <row r="12">
      <c r="A12" s="76" t="s">
        <v>17</v>
      </c>
      <c r="B12" s="77">
        <f t="shared" si="6"/>
        <v>44571</v>
      </c>
      <c r="C12" s="78">
        <v>1.0</v>
      </c>
      <c r="D12" s="78" t="s">
        <v>59</v>
      </c>
      <c r="E12" s="80" t="s">
        <v>125</v>
      </c>
      <c r="F12" s="71">
        <v>0.0</v>
      </c>
      <c r="H12" s="72">
        <v>0.0</v>
      </c>
      <c r="J12" s="72">
        <v>0.0</v>
      </c>
      <c r="L12" s="71">
        <v>0.0</v>
      </c>
      <c r="N12" s="72">
        <v>0.0</v>
      </c>
      <c r="P12" s="72">
        <v>0.0</v>
      </c>
      <c r="R12" s="72">
        <v>0.0</v>
      </c>
      <c r="T12" s="72">
        <v>0.0</v>
      </c>
      <c r="V12" s="72">
        <v>0.0</v>
      </c>
      <c r="X12" s="72">
        <v>0.0</v>
      </c>
      <c r="Y12" s="73"/>
      <c r="Z12" s="71">
        <v>0.0</v>
      </c>
      <c r="AB12" s="72">
        <v>0.0</v>
      </c>
      <c r="AD12" s="72">
        <v>0.0</v>
      </c>
      <c r="AF12" s="113"/>
      <c r="AH12" s="113"/>
      <c r="AJ12" s="113"/>
      <c r="AK12" s="73"/>
      <c r="AL12" s="81">
        <f t="shared" si="1"/>
        <v>0</v>
      </c>
      <c r="AM12" s="78">
        <f t="shared" si="2"/>
        <v>0</v>
      </c>
      <c r="AN12" s="78">
        <f t="shared" si="3"/>
        <v>0</v>
      </c>
      <c r="AO12" s="78">
        <f t="shared" si="4"/>
        <v>0</v>
      </c>
      <c r="AP12" s="82" t="str">
        <f t="shared" si="5"/>
        <v/>
      </c>
    </row>
    <row r="13">
      <c r="A13" s="76" t="s">
        <v>21</v>
      </c>
      <c r="B13" s="77">
        <f t="shared" si="6"/>
        <v>44572</v>
      </c>
      <c r="C13" s="78">
        <v>1.0</v>
      </c>
      <c r="D13" s="78" t="s">
        <v>59</v>
      </c>
      <c r="E13" s="80" t="s">
        <v>125</v>
      </c>
      <c r="F13" s="71">
        <v>0.0</v>
      </c>
      <c r="H13" s="72">
        <v>0.0</v>
      </c>
      <c r="J13" s="72">
        <v>0.0</v>
      </c>
      <c r="L13" s="71">
        <v>0.0</v>
      </c>
      <c r="N13" s="72">
        <v>0.0</v>
      </c>
      <c r="P13" s="72">
        <v>0.0</v>
      </c>
      <c r="R13" s="72">
        <v>0.0</v>
      </c>
      <c r="T13" s="72">
        <v>0.0</v>
      </c>
      <c r="V13" s="72">
        <v>0.0</v>
      </c>
      <c r="X13" s="72">
        <v>0.0</v>
      </c>
      <c r="Y13" s="73"/>
      <c r="Z13" s="71">
        <v>0.0</v>
      </c>
      <c r="AB13" s="72">
        <v>0.0</v>
      </c>
      <c r="AD13" s="72">
        <v>0.0</v>
      </c>
      <c r="AF13" s="113"/>
      <c r="AH13" s="113"/>
      <c r="AJ13" s="113"/>
      <c r="AK13" s="73"/>
      <c r="AL13" s="81">
        <f t="shared" si="1"/>
        <v>0</v>
      </c>
      <c r="AM13" s="78">
        <f t="shared" si="2"/>
        <v>0</v>
      </c>
      <c r="AN13" s="78">
        <f t="shared" si="3"/>
        <v>0</v>
      </c>
      <c r="AO13" s="78">
        <f t="shared" si="4"/>
        <v>0</v>
      </c>
      <c r="AP13" s="82" t="str">
        <f t="shared" si="5"/>
        <v/>
      </c>
    </row>
    <row r="14">
      <c r="A14" s="76" t="s">
        <v>24</v>
      </c>
      <c r="B14" s="77">
        <f t="shared" si="6"/>
        <v>44573</v>
      </c>
      <c r="C14" s="78">
        <v>1.0</v>
      </c>
      <c r="D14" s="78" t="s">
        <v>59</v>
      </c>
      <c r="E14" s="80" t="s">
        <v>125</v>
      </c>
      <c r="F14" s="71">
        <v>0.0</v>
      </c>
      <c r="H14" s="72">
        <v>0.0</v>
      </c>
      <c r="J14" s="72">
        <v>0.0</v>
      </c>
      <c r="L14" s="71">
        <v>0.0</v>
      </c>
      <c r="N14" s="72">
        <v>0.0</v>
      </c>
      <c r="P14" s="72">
        <v>0.0</v>
      </c>
      <c r="R14" s="72">
        <v>0.0</v>
      </c>
      <c r="T14" s="72">
        <v>0.0</v>
      </c>
      <c r="V14" s="72">
        <v>0.0</v>
      </c>
      <c r="X14" s="72">
        <v>0.0</v>
      </c>
      <c r="Y14" s="73"/>
      <c r="Z14" s="71">
        <v>0.0</v>
      </c>
      <c r="AB14" s="72">
        <v>0.0</v>
      </c>
      <c r="AD14" s="72">
        <v>0.0</v>
      </c>
      <c r="AF14" s="113"/>
      <c r="AH14" s="113"/>
      <c r="AJ14" s="113"/>
      <c r="AK14" s="73"/>
      <c r="AL14" s="81">
        <f t="shared" si="1"/>
        <v>0</v>
      </c>
      <c r="AM14" s="78">
        <f t="shared" si="2"/>
        <v>0</v>
      </c>
      <c r="AN14" s="78">
        <f t="shared" si="3"/>
        <v>0</v>
      </c>
      <c r="AO14" s="78">
        <f t="shared" si="4"/>
        <v>0</v>
      </c>
      <c r="AP14" s="82" t="str">
        <f t="shared" si="5"/>
        <v/>
      </c>
    </row>
    <row r="15">
      <c r="A15" s="76" t="s">
        <v>27</v>
      </c>
      <c r="B15" s="77">
        <f t="shared" si="6"/>
        <v>44574</v>
      </c>
      <c r="C15" s="78">
        <v>1.0</v>
      </c>
      <c r="D15" s="78" t="s">
        <v>59</v>
      </c>
      <c r="E15" s="80" t="s">
        <v>125</v>
      </c>
      <c r="F15" s="71">
        <v>0.0</v>
      </c>
      <c r="H15" s="72">
        <v>0.0</v>
      </c>
      <c r="J15" s="72">
        <v>0.0</v>
      </c>
      <c r="L15" s="71">
        <v>0.0</v>
      </c>
      <c r="N15" s="72">
        <v>0.0</v>
      </c>
      <c r="P15" s="72">
        <v>0.0</v>
      </c>
      <c r="R15" s="72">
        <v>0.0</v>
      </c>
      <c r="T15" s="72">
        <v>0.0</v>
      </c>
      <c r="V15" s="72">
        <v>0.0</v>
      </c>
      <c r="X15" s="72">
        <v>0.0</v>
      </c>
      <c r="Y15" s="73"/>
      <c r="Z15" s="71">
        <v>0.0</v>
      </c>
      <c r="AB15" s="72">
        <v>0.0</v>
      </c>
      <c r="AD15" s="72">
        <v>0.0</v>
      </c>
      <c r="AF15" s="113"/>
      <c r="AH15" s="113"/>
      <c r="AJ15" s="113"/>
      <c r="AK15" s="73"/>
      <c r="AL15" s="81">
        <f t="shared" si="1"/>
        <v>0</v>
      </c>
      <c r="AM15" s="78">
        <f t="shared" si="2"/>
        <v>0</v>
      </c>
      <c r="AN15" s="78">
        <f t="shared" si="3"/>
        <v>0</v>
      </c>
      <c r="AO15" s="78">
        <f t="shared" si="4"/>
        <v>0</v>
      </c>
      <c r="AP15" s="82" t="str">
        <f t="shared" si="5"/>
        <v/>
      </c>
    </row>
    <row r="16">
      <c r="A16" s="83" t="s">
        <v>30</v>
      </c>
      <c r="B16" s="84">
        <f t="shared" si="6"/>
        <v>44575</v>
      </c>
      <c r="C16" s="85">
        <v>1.0</v>
      </c>
      <c r="D16" s="85" t="s">
        <v>59</v>
      </c>
      <c r="E16" s="87" t="s">
        <v>125</v>
      </c>
      <c r="F16" s="88">
        <v>0.0</v>
      </c>
      <c r="G16" s="89"/>
      <c r="H16" s="90">
        <v>0.0</v>
      </c>
      <c r="I16" s="89"/>
      <c r="J16" s="90">
        <v>0.0</v>
      </c>
      <c r="K16" s="89"/>
      <c r="L16" s="88">
        <v>0.0</v>
      </c>
      <c r="M16" s="89"/>
      <c r="N16" s="90">
        <v>0.0</v>
      </c>
      <c r="O16" s="89"/>
      <c r="P16" s="90">
        <v>0.0</v>
      </c>
      <c r="Q16" s="89"/>
      <c r="R16" s="90">
        <v>0.0</v>
      </c>
      <c r="S16" s="89"/>
      <c r="T16" s="90">
        <v>0.0</v>
      </c>
      <c r="U16" s="89"/>
      <c r="V16" s="90">
        <v>0.0</v>
      </c>
      <c r="W16" s="89"/>
      <c r="X16" s="90">
        <v>0.0</v>
      </c>
      <c r="Y16" s="91"/>
      <c r="Z16" s="88">
        <v>0.0</v>
      </c>
      <c r="AA16" s="89"/>
      <c r="AB16" s="90">
        <v>0.0</v>
      </c>
      <c r="AC16" s="89"/>
      <c r="AD16" s="90">
        <v>0.0</v>
      </c>
      <c r="AE16" s="89"/>
      <c r="AF16" s="117"/>
      <c r="AG16" s="89"/>
      <c r="AH16" s="117"/>
      <c r="AI16" s="89"/>
      <c r="AJ16" s="117"/>
      <c r="AK16" s="91"/>
      <c r="AL16" s="92">
        <f t="shared" si="1"/>
        <v>0</v>
      </c>
      <c r="AM16" s="85">
        <f t="shared" si="2"/>
        <v>0</v>
      </c>
      <c r="AN16" s="85">
        <f t="shared" si="3"/>
        <v>0</v>
      </c>
      <c r="AO16" s="85">
        <f t="shared" si="4"/>
        <v>0</v>
      </c>
      <c r="AP16" s="93" t="str">
        <f t="shared" si="5"/>
        <v/>
      </c>
    </row>
    <row r="17">
      <c r="A17" s="66" t="s">
        <v>11</v>
      </c>
      <c r="B17" s="94">
        <f t="shared" si="6"/>
        <v>44576</v>
      </c>
      <c r="C17" s="68">
        <v>1.0</v>
      </c>
      <c r="D17" s="68" t="s">
        <v>12</v>
      </c>
      <c r="E17" s="70" t="s">
        <v>127</v>
      </c>
      <c r="F17" s="71">
        <v>0.0</v>
      </c>
      <c r="H17" s="72">
        <v>0.0</v>
      </c>
      <c r="J17" s="72">
        <v>0.0</v>
      </c>
      <c r="L17" s="102">
        <v>15.0</v>
      </c>
      <c r="N17" s="103">
        <v>15.0</v>
      </c>
      <c r="P17" s="104">
        <v>0.0</v>
      </c>
      <c r="R17" s="104">
        <v>0.0</v>
      </c>
      <c r="T17" s="104">
        <v>1.0</v>
      </c>
      <c r="V17" s="104">
        <v>1.0</v>
      </c>
      <c r="X17" s="104">
        <v>0.0</v>
      </c>
      <c r="Y17" s="73"/>
      <c r="Z17" s="105">
        <v>14.0</v>
      </c>
      <c r="AB17" s="104">
        <v>14.0</v>
      </c>
      <c r="AD17" s="104">
        <v>0.0</v>
      </c>
      <c r="AF17" s="113"/>
      <c r="AH17" s="113"/>
      <c r="AJ17" s="113"/>
      <c r="AK17" s="73"/>
      <c r="AL17" s="74">
        <f t="shared" si="1"/>
        <v>1722.798</v>
      </c>
      <c r="AM17" s="68">
        <f t="shared" si="2"/>
        <v>58</v>
      </c>
      <c r="AN17" s="68">
        <f t="shared" si="3"/>
        <v>2</v>
      </c>
      <c r="AO17" s="68">
        <f t="shared" si="4"/>
        <v>60</v>
      </c>
      <c r="AP17" s="75">
        <f t="shared" si="5"/>
        <v>28.7133</v>
      </c>
    </row>
    <row r="18">
      <c r="A18" s="76" t="s">
        <v>16</v>
      </c>
      <c r="B18" s="77">
        <f t="shared" si="6"/>
        <v>44577</v>
      </c>
      <c r="C18" s="78">
        <v>1.0</v>
      </c>
      <c r="D18" s="78" t="s">
        <v>12</v>
      </c>
      <c r="E18" s="80" t="s">
        <v>127</v>
      </c>
      <c r="F18" s="71">
        <v>0.0</v>
      </c>
      <c r="H18" s="72">
        <v>0.0</v>
      </c>
      <c r="J18" s="72">
        <v>0.0</v>
      </c>
      <c r="L18" s="102">
        <v>18.0</v>
      </c>
      <c r="N18" s="103">
        <v>18.0</v>
      </c>
      <c r="P18" s="104">
        <v>0.0</v>
      </c>
      <c r="R18" s="104">
        <v>0.0</v>
      </c>
      <c r="T18" s="104">
        <v>0.0</v>
      </c>
      <c r="V18" s="104">
        <v>0.0</v>
      </c>
      <c r="X18" s="104">
        <v>0.0</v>
      </c>
      <c r="Y18" s="73"/>
      <c r="Z18" s="105">
        <v>14.0</v>
      </c>
      <c r="AB18" s="104">
        <v>14.0</v>
      </c>
      <c r="AD18" s="104">
        <v>0.0</v>
      </c>
      <c r="AF18" s="113"/>
      <c r="AH18" s="113"/>
      <c r="AJ18" s="113"/>
      <c r="AK18" s="73"/>
      <c r="AL18" s="81">
        <f t="shared" si="1"/>
        <v>1089.984</v>
      </c>
      <c r="AM18" s="78">
        <f t="shared" si="2"/>
        <v>64</v>
      </c>
      <c r="AN18" s="78">
        <f t="shared" si="3"/>
        <v>0</v>
      </c>
      <c r="AO18" s="78">
        <f t="shared" si="4"/>
        <v>64</v>
      </c>
      <c r="AP18" s="82">
        <f t="shared" si="5"/>
        <v>17.031</v>
      </c>
    </row>
    <row r="19">
      <c r="A19" s="76" t="s">
        <v>17</v>
      </c>
      <c r="B19" s="77">
        <f t="shared" si="6"/>
        <v>44578</v>
      </c>
      <c r="C19" s="78">
        <v>1.0</v>
      </c>
      <c r="D19" s="78" t="s">
        <v>12</v>
      </c>
      <c r="E19" s="80" t="s">
        <v>127</v>
      </c>
      <c r="F19" s="71">
        <v>0.0</v>
      </c>
      <c r="H19" s="72">
        <v>0.0</v>
      </c>
      <c r="J19" s="72">
        <v>0.0</v>
      </c>
      <c r="L19" s="102">
        <v>18.0</v>
      </c>
      <c r="N19" s="103">
        <v>18.0</v>
      </c>
      <c r="P19" s="104">
        <v>0.0</v>
      </c>
      <c r="R19" s="104">
        <v>0.0</v>
      </c>
      <c r="T19" s="104">
        <v>0.0</v>
      </c>
      <c r="V19" s="104">
        <v>0.0</v>
      </c>
      <c r="X19" s="104">
        <v>0.0</v>
      </c>
      <c r="Y19" s="73"/>
      <c r="Z19" s="105">
        <v>14.0</v>
      </c>
      <c r="AB19" s="104">
        <v>14.0</v>
      </c>
      <c r="AD19" s="104">
        <v>0.0</v>
      </c>
      <c r="AF19" s="113"/>
      <c r="AH19" s="113"/>
      <c r="AJ19" s="113"/>
      <c r="AK19" s="73"/>
      <c r="AL19" s="81">
        <f t="shared" si="1"/>
        <v>1089.984</v>
      </c>
      <c r="AM19" s="78">
        <f t="shared" si="2"/>
        <v>64</v>
      </c>
      <c r="AN19" s="78">
        <f t="shared" si="3"/>
        <v>0</v>
      </c>
      <c r="AO19" s="78">
        <f t="shared" si="4"/>
        <v>64</v>
      </c>
      <c r="AP19" s="82">
        <f t="shared" si="5"/>
        <v>17.031</v>
      </c>
    </row>
    <row r="20">
      <c r="A20" s="76" t="s">
        <v>21</v>
      </c>
      <c r="B20" s="77">
        <f t="shared" si="6"/>
        <v>44579</v>
      </c>
      <c r="C20" s="78">
        <v>1.0</v>
      </c>
      <c r="D20" s="78" t="s">
        <v>12</v>
      </c>
      <c r="E20" s="80" t="s">
        <v>127</v>
      </c>
      <c r="F20" s="71">
        <v>0.0</v>
      </c>
      <c r="H20" s="72">
        <v>0.0</v>
      </c>
      <c r="J20" s="72">
        <v>0.0</v>
      </c>
      <c r="L20" s="102">
        <v>30.0</v>
      </c>
      <c r="N20" s="103">
        <v>20.0</v>
      </c>
      <c r="P20" s="104">
        <v>0.0</v>
      </c>
      <c r="R20" s="104">
        <v>0.0</v>
      </c>
      <c r="T20" s="104">
        <v>0.0</v>
      </c>
      <c r="V20" s="104">
        <v>0.0</v>
      </c>
      <c r="X20" s="104">
        <v>0.0</v>
      </c>
      <c r="Y20" s="73"/>
      <c r="Z20" s="105">
        <v>14.0</v>
      </c>
      <c r="AB20" s="104">
        <v>14.0</v>
      </c>
      <c r="AD20" s="104">
        <v>0.0</v>
      </c>
      <c r="AF20" s="113"/>
      <c r="AH20" s="113"/>
      <c r="AJ20" s="113"/>
      <c r="AK20" s="73"/>
      <c r="AL20" s="81">
        <f t="shared" si="1"/>
        <v>1328.418</v>
      </c>
      <c r="AM20" s="78">
        <f t="shared" si="2"/>
        <v>78</v>
      </c>
      <c r="AN20" s="78">
        <f t="shared" si="3"/>
        <v>0</v>
      </c>
      <c r="AO20" s="78">
        <f t="shared" si="4"/>
        <v>78</v>
      </c>
      <c r="AP20" s="82">
        <f t="shared" si="5"/>
        <v>17.031</v>
      </c>
    </row>
    <row r="21">
      <c r="A21" s="76" t="s">
        <v>24</v>
      </c>
      <c r="B21" s="77">
        <f t="shared" si="6"/>
        <v>44580</v>
      </c>
      <c r="C21" s="78">
        <v>1.0</v>
      </c>
      <c r="D21" s="78" t="s">
        <v>12</v>
      </c>
      <c r="E21" s="80" t="s">
        <v>127</v>
      </c>
      <c r="F21" s="71">
        <v>0.0</v>
      </c>
      <c r="H21" s="72">
        <v>0.0</v>
      </c>
      <c r="J21" s="72">
        <v>0.0</v>
      </c>
      <c r="L21" s="102">
        <v>30.0</v>
      </c>
      <c r="N21" s="103">
        <v>20.0</v>
      </c>
      <c r="P21" s="104">
        <v>0.0</v>
      </c>
      <c r="R21" s="104">
        <v>0.0</v>
      </c>
      <c r="T21" s="104">
        <v>0.0</v>
      </c>
      <c r="V21" s="104">
        <v>0.0</v>
      </c>
      <c r="X21" s="104">
        <v>0.0</v>
      </c>
      <c r="Y21" s="73"/>
      <c r="Z21" s="105">
        <v>14.0</v>
      </c>
      <c r="AB21" s="104">
        <v>14.0</v>
      </c>
      <c r="AD21" s="104">
        <v>0.0</v>
      </c>
      <c r="AF21" s="113"/>
      <c r="AH21" s="113"/>
      <c r="AJ21" s="113"/>
      <c r="AK21" s="73"/>
      <c r="AL21" s="81">
        <f t="shared" si="1"/>
        <v>1328.418</v>
      </c>
      <c r="AM21" s="78">
        <f t="shared" si="2"/>
        <v>78</v>
      </c>
      <c r="AN21" s="78">
        <f t="shared" si="3"/>
        <v>0</v>
      </c>
      <c r="AO21" s="78">
        <f t="shared" si="4"/>
        <v>78</v>
      </c>
      <c r="AP21" s="82">
        <f t="shared" si="5"/>
        <v>17.031</v>
      </c>
    </row>
    <row r="22">
      <c r="A22" s="76" t="s">
        <v>27</v>
      </c>
      <c r="B22" s="77">
        <f t="shared" si="6"/>
        <v>44581</v>
      </c>
      <c r="C22" s="78">
        <v>1.0</v>
      </c>
      <c r="D22" s="78" t="s">
        <v>12</v>
      </c>
      <c r="E22" s="80" t="s">
        <v>127</v>
      </c>
      <c r="F22" s="71">
        <v>0.0</v>
      </c>
      <c r="H22" s="72">
        <v>0.0</v>
      </c>
      <c r="J22" s="72">
        <v>0.0</v>
      </c>
      <c r="L22" s="102">
        <v>0.0</v>
      </c>
      <c r="N22" s="103">
        <v>0.0</v>
      </c>
      <c r="P22" s="104">
        <v>0.0</v>
      </c>
      <c r="R22" s="104">
        <v>0.0</v>
      </c>
      <c r="T22" s="104">
        <v>0.0</v>
      </c>
      <c r="V22" s="104">
        <v>0.0</v>
      </c>
      <c r="X22" s="104">
        <v>0.0</v>
      </c>
      <c r="Y22" s="73"/>
      <c r="Z22" s="105">
        <v>0.0</v>
      </c>
      <c r="AB22" s="104">
        <v>0.0</v>
      </c>
      <c r="AD22" s="104">
        <v>0.0</v>
      </c>
      <c r="AF22" s="113"/>
      <c r="AH22" s="113"/>
      <c r="AJ22" s="113"/>
      <c r="AK22" s="73"/>
      <c r="AL22" s="81">
        <f t="shared" si="1"/>
        <v>0</v>
      </c>
      <c r="AM22" s="78">
        <f t="shared" si="2"/>
        <v>0</v>
      </c>
      <c r="AN22" s="78">
        <f t="shared" si="3"/>
        <v>0</v>
      </c>
      <c r="AO22" s="78">
        <f t="shared" si="4"/>
        <v>0</v>
      </c>
      <c r="AP22" s="82" t="str">
        <f t="shared" si="5"/>
        <v/>
      </c>
    </row>
    <row r="23">
      <c r="A23" s="83" t="s">
        <v>30</v>
      </c>
      <c r="B23" s="84">
        <f t="shared" si="6"/>
        <v>44582</v>
      </c>
      <c r="C23" s="85">
        <v>1.0</v>
      </c>
      <c r="D23" s="85" t="s">
        <v>12</v>
      </c>
      <c r="E23" s="87" t="s">
        <v>127</v>
      </c>
      <c r="F23" s="88">
        <v>0.0</v>
      </c>
      <c r="G23" s="89"/>
      <c r="H23" s="90">
        <v>0.0</v>
      </c>
      <c r="I23" s="89"/>
      <c r="J23" s="90">
        <v>0.0</v>
      </c>
      <c r="K23" s="89"/>
      <c r="L23" s="109">
        <v>0.0</v>
      </c>
      <c r="M23" s="89"/>
      <c r="N23" s="110">
        <v>0.0</v>
      </c>
      <c r="O23" s="89"/>
      <c r="P23" s="111">
        <v>0.0</v>
      </c>
      <c r="Q23" s="89"/>
      <c r="R23" s="111">
        <v>0.0</v>
      </c>
      <c r="S23" s="89"/>
      <c r="T23" s="111">
        <v>0.0</v>
      </c>
      <c r="U23" s="89"/>
      <c r="V23" s="111">
        <v>0.0</v>
      </c>
      <c r="W23" s="89"/>
      <c r="X23" s="111">
        <v>0.0</v>
      </c>
      <c r="Y23" s="91"/>
      <c r="Z23" s="112">
        <v>0.0</v>
      </c>
      <c r="AA23" s="89"/>
      <c r="AB23" s="111">
        <v>0.0</v>
      </c>
      <c r="AC23" s="89"/>
      <c r="AD23" s="111">
        <v>0.0</v>
      </c>
      <c r="AE23" s="89"/>
      <c r="AF23" s="117"/>
      <c r="AG23" s="89"/>
      <c r="AH23" s="117"/>
      <c r="AI23" s="89"/>
      <c r="AJ23" s="117"/>
      <c r="AK23" s="91"/>
      <c r="AL23" s="92">
        <f t="shared" si="1"/>
        <v>0</v>
      </c>
      <c r="AM23" s="85">
        <f t="shared" si="2"/>
        <v>0</v>
      </c>
      <c r="AN23" s="85">
        <f t="shared" si="3"/>
        <v>0</v>
      </c>
      <c r="AO23" s="85">
        <f t="shared" si="4"/>
        <v>0</v>
      </c>
      <c r="AP23" s="93" t="str">
        <f t="shared" si="5"/>
        <v/>
      </c>
    </row>
    <row r="24">
      <c r="A24" s="66" t="s">
        <v>11</v>
      </c>
      <c r="B24" s="94">
        <f t="shared" si="6"/>
        <v>44583</v>
      </c>
      <c r="C24" s="68">
        <v>1.0</v>
      </c>
      <c r="D24" s="68" t="s">
        <v>33</v>
      </c>
      <c r="E24" s="70" t="s">
        <v>127</v>
      </c>
      <c r="F24" s="71">
        <v>0.0</v>
      </c>
      <c r="H24" s="72">
        <v>0.0</v>
      </c>
      <c r="J24" s="72">
        <v>0.0</v>
      </c>
      <c r="L24" s="105">
        <v>56.0</v>
      </c>
      <c r="N24" s="104">
        <v>50.0</v>
      </c>
      <c r="P24" s="104">
        <v>0.0</v>
      </c>
      <c r="R24" s="104">
        <v>0.0</v>
      </c>
      <c r="T24" s="104">
        <v>1.0</v>
      </c>
      <c r="V24" s="104">
        <v>1.0</v>
      </c>
      <c r="X24" s="104">
        <v>0.0</v>
      </c>
      <c r="Y24" s="73"/>
      <c r="Z24" s="105">
        <v>27.0</v>
      </c>
      <c r="AB24" s="104">
        <v>27.0</v>
      </c>
      <c r="AD24" s="104">
        <v>0.0</v>
      </c>
      <c r="AF24" s="113"/>
      <c r="AH24" s="113"/>
      <c r="AJ24" s="113"/>
      <c r="AK24" s="73"/>
      <c r="AL24" s="74">
        <f t="shared" si="1"/>
        <v>3459.96</v>
      </c>
      <c r="AM24" s="68">
        <f t="shared" si="2"/>
        <v>160</v>
      </c>
      <c r="AN24" s="68">
        <f t="shared" si="3"/>
        <v>2</v>
      </c>
      <c r="AO24" s="68">
        <f t="shared" si="4"/>
        <v>162</v>
      </c>
      <c r="AP24" s="75">
        <f t="shared" si="5"/>
        <v>21.35777778</v>
      </c>
    </row>
    <row r="25">
      <c r="A25" s="76" t="s">
        <v>16</v>
      </c>
      <c r="B25" s="77">
        <f t="shared" si="6"/>
        <v>44584</v>
      </c>
      <c r="C25" s="78">
        <v>1.0</v>
      </c>
      <c r="D25" s="78" t="s">
        <v>33</v>
      </c>
      <c r="E25" s="80" t="s">
        <v>127</v>
      </c>
      <c r="F25" s="71">
        <v>0.0</v>
      </c>
      <c r="H25" s="72">
        <v>0.0</v>
      </c>
      <c r="J25" s="72">
        <v>0.0</v>
      </c>
      <c r="L25" s="105">
        <v>57.0</v>
      </c>
      <c r="N25" s="104">
        <v>57.0</v>
      </c>
      <c r="P25" s="104">
        <v>0.0</v>
      </c>
      <c r="R25" s="104">
        <v>0.0</v>
      </c>
      <c r="T25" s="104">
        <v>0.0</v>
      </c>
      <c r="V25" s="104">
        <v>0.0</v>
      </c>
      <c r="X25" s="104">
        <v>0.0</v>
      </c>
      <c r="Y25" s="73"/>
      <c r="Z25" s="105">
        <v>27.0</v>
      </c>
      <c r="AB25" s="104">
        <v>27.0</v>
      </c>
      <c r="AD25" s="104">
        <v>0.0</v>
      </c>
      <c r="AF25" s="113"/>
      <c r="AH25" s="113"/>
      <c r="AJ25" s="113"/>
      <c r="AK25" s="73"/>
      <c r="AL25" s="81">
        <f t="shared" si="1"/>
        <v>2861.208</v>
      </c>
      <c r="AM25" s="78">
        <f t="shared" si="2"/>
        <v>168</v>
      </c>
      <c r="AN25" s="78">
        <f t="shared" si="3"/>
        <v>0</v>
      </c>
      <c r="AO25" s="78">
        <f t="shared" si="4"/>
        <v>168</v>
      </c>
      <c r="AP25" s="82">
        <f t="shared" si="5"/>
        <v>17.031</v>
      </c>
    </row>
    <row r="26">
      <c r="A26" s="76" t="s">
        <v>17</v>
      </c>
      <c r="B26" s="77">
        <f t="shared" si="6"/>
        <v>44585</v>
      </c>
      <c r="C26" s="78">
        <v>1.0</v>
      </c>
      <c r="D26" s="78" t="s">
        <v>33</v>
      </c>
      <c r="E26" s="80" t="s">
        <v>127</v>
      </c>
      <c r="F26" s="71">
        <v>0.0</v>
      </c>
      <c r="H26" s="72">
        <v>0.0</v>
      </c>
      <c r="J26" s="72">
        <v>0.0</v>
      </c>
      <c r="L26" s="105">
        <v>57.0</v>
      </c>
      <c r="N26" s="104">
        <v>57.0</v>
      </c>
      <c r="P26" s="104">
        <v>0.0</v>
      </c>
      <c r="R26" s="104">
        <v>0.0</v>
      </c>
      <c r="T26" s="104">
        <v>0.0</v>
      </c>
      <c r="V26" s="104">
        <v>0.0</v>
      </c>
      <c r="X26" s="104">
        <v>0.0</v>
      </c>
      <c r="Y26" s="73"/>
      <c r="Z26" s="105">
        <v>27.0</v>
      </c>
      <c r="AB26" s="104">
        <v>27.0</v>
      </c>
      <c r="AD26" s="104">
        <v>0.0</v>
      </c>
      <c r="AF26" s="113"/>
      <c r="AH26" s="113"/>
      <c r="AJ26" s="113"/>
      <c r="AK26" s="73"/>
      <c r="AL26" s="81">
        <f t="shared" si="1"/>
        <v>2861.208</v>
      </c>
      <c r="AM26" s="78">
        <f t="shared" si="2"/>
        <v>168</v>
      </c>
      <c r="AN26" s="78">
        <f t="shared" si="3"/>
        <v>0</v>
      </c>
      <c r="AO26" s="78">
        <f t="shared" si="4"/>
        <v>168</v>
      </c>
      <c r="AP26" s="82">
        <f t="shared" si="5"/>
        <v>17.031</v>
      </c>
    </row>
    <row r="27">
      <c r="A27" s="76" t="s">
        <v>21</v>
      </c>
      <c r="B27" s="77">
        <f t="shared" si="6"/>
        <v>44586</v>
      </c>
      <c r="C27" s="78">
        <v>1.0</v>
      </c>
      <c r="D27" s="78" t="s">
        <v>33</v>
      </c>
      <c r="E27" s="80" t="s">
        <v>127</v>
      </c>
      <c r="F27" s="71">
        <v>0.0</v>
      </c>
      <c r="H27" s="72">
        <v>0.0</v>
      </c>
      <c r="J27" s="72">
        <v>0.0</v>
      </c>
      <c r="L27" s="105">
        <v>57.0</v>
      </c>
      <c r="N27" s="104">
        <v>57.0</v>
      </c>
      <c r="P27" s="104">
        <v>0.0</v>
      </c>
      <c r="R27" s="104">
        <v>0.0</v>
      </c>
      <c r="T27" s="104">
        <v>0.0</v>
      </c>
      <c r="V27" s="104">
        <v>0.0</v>
      </c>
      <c r="X27" s="104">
        <v>0.0</v>
      </c>
      <c r="Y27" s="73"/>
      <c r="Z27" s="105">
        <v>27.0</v>
      </c>
      <c r="AB27" s="104">
        <v>27.0</v>
      </c>
      <c r="AD27" s="104">
        <v>0.0</v>
      </c>
      <c r="AF27" s="113"/>
      <c r="AH27" s="113"/>
      <c r="AJ27" s="113"/>
      <c r="AK27" s="73"/>
      <c r="AL27" s="81">
        <f t="shared" si="1"/>
        <v>2861.208</v>
      </c>
      <c r="AM27" s="78">
        <f t="shared" si="2"/>
        <v>168</v>
      </c>
      <c r="AN27" s="78">
        <f t="shared" si="3"/>
        <v>0</v>
      </c>
      <c r="AO27" s="78">
        <f t="shared" si="4"/>
        <v>168</v>
      </c>
      <c r="AP27" s="82">
        <f t="shared" si="5"/>
        <v>17.031</v>
      </c>
    </row>
    <row r="28">
      <c r="A28" s="76" t="s">
        <v>24</v>
      </c>
      <c r="B28" s="77">
        <f t="shared" si="6"/>
        <v>44587</v>
      </c>
      <c r="C28" s="78">
        <v>1.0</v>
      </c>
      <c r="D28" s="78" t="s">
        <v>33</v>
      </c>
      <c r="E28" s="80" t="s">
        <v>127</v>
      </c>
      <c r="F28" s="71">
        <v>0.0</v>
      </c>
      <c r="H28" s="72">
        <v>0.0</v>
      </c>
      <c r="J28" s="72">
        <v>0.0</v>
      </c>
      <c r="L28" s="105">
        <v>57.0</v>
      </c>
      <c r="N28" s="104">
        <v>57.0</v>
      </c>
      <c r="P28" s="104">
        <v>0.0</v>
      </c>
      <c r="R28" s="104">
        <v>0.0</v>
      </c>
      <c r="T28" s="104">
        <v>0.0</v>
      </c>
      <c r="V28" s="104">
        <v>0.0</v>
      </c>
      <c r="X28" s="104">
        <v>0.0</v>
      </c>
      <c r="Y28" s="73"/>
      <c r="Z28" s="105">
        <v>27.0</v>
      </c>
      <c r="AB28" s="104">
        <v>27.0</v>
      </c>
      <c r="AD28" s="104">
        <v>0.0</v>
      </c>
      <c r="AF28" s="113"/>
      <c r="AH28" s="113"/>
      <c r="AJ28" s="113"/>
      <c r="AK28" s="73"/>
      <c r="AL28" s="81">
        <f t="shared" si="1"/>
        <v>2861.208</v>
      </c>
      <c r="AM28" s="78">
        <f t="shared" si="2"/>
        <v>168</v>
      </c>
      <c r="AN28" s="78">
        <f t="shared" si="3"/>
        <v>0</v>
      </c>
      <c r="AO28" s="78">
        <f t="shared" si="4"/>
        <v>168</v>
      </c>
      <c r="AP28" s="82">
        <f t="shared" si="5"/>
        <v>17.031</v>
      </c>
    </row>
    <row r="29">
      <c r="A29" s="76" t="s">
        <v>27</v>
      </c>
      <c r="B29" s="77">
        <f t="shared" si="6"/>
        <v>44588</v>
      </c>
      <c r="C29" s="78">
        <v>1.0</v>
      </c>
      <c r="D29" s="78" t="s">
        <v>33</v>
      </c>
      <c r="E29" s="80" t="s">
        <v>127</v>
      </c>
      <c r="F29" s="71">
        <v>0.0</v>
      </c>
      <c r="H29" s="72">
        <v>0.0</v>
      </c>
      <c r="J29" s="72">
        <v>0.0</v>
      </c>
      <c r="L29" s="105">
        <v>57.0</v>
      </c>
      <c r="N29" s="104">
        <v>57.0</v>
      </c>
      <c r="P29" s="104">
        <v>0.0</v>
      </c>
      <c r="R29" s="104">
        <v>0.0</v>
      </c>
      <c r="T29" s="104">
        <v>0.0</v>
      </c>
      <c r="V29" s="104">
        <v>0.0</v>
      </c>
      <c r="X29" s="104">
        <v>0.0</v>
      </c>
      <c r="Y29" s="73"/>
      <c r="Z29" s="105">
        <v>27.0</v>
      </c>
      <c r="AB29" s="104">
        <v>27.0</v>
      </c>
      <c r="AD29" s="104">
        <v>0.0</v>
      </c>
      <c r="AF29" s="113"/>
      <c r="AH29" s="113"/>
      <c r="AJ29" s="113"/>
      <c r="AK29" s="73"/>
      <c r="AL29" s="81">
        <f t="shared" si="1"/>
        <v>2861.208</v>
      </c>
      <c r="AM29" s="78">
        <f t="shared" si="2"/>
        <v>168</v>
      </c>
      <c r="AN29" s="78">
        <f t="shared" si="3"/>
        <v>0</v>
      </c>
      <c r="AO29" s="78">
        <f t="shared" si="4"/>
        <v>168</v>
      </c>
      <c r="AP29" s="82">
        <f t="shared" si="5"/>
        <v>17.031</v>
      </c>
    </row>
    <row r="30">
      <c r="A30" s="83" t="s">
        <v>30</v>
      </c>
      <c r="B30" s="84">
        <f t="shared" si="6"/>
        <v>44589</v>
      </c>
      <c r="C30" s="85">
        <v>1.0</v>
      </c>
      <c r="D30" s="85" t="s">
        <v>33</v>
      </c>
      <c r="E30" s="87" t="s">
        <v>127</v>
      </c>
      <c r="F30" s="88">
        <v>0.0</v>
      </c>
      <c r="G30" s="89"/>
      <c r="H30" s="90">
        <v>0.0</v>
      </c>
      <c r="I30" s="89"/>
      <c r="J30" s="90">
        <v>0.0</v>
      </c>
      <c r="K30" s="89"/>
      <c r="L30" s="112">
        <v>0.0</v>
      </c>
      <c r="M30" s="89"/>
      <c r="N30" s="111">
        <v>0.0</v>
      </c>
      <c r="O30" s="89"/>
      <c r="P30" s="111">
        <v>0.0</v>
      </c>
      <c r="Q30" s="89"/>
      <c r="R30" s="111">
        <v>0.0</v>
      </c>
      <c r="S30" s="89"/>
      <c r="T30" s="111">
        <v>0.0</v>
      </c>
      <c r="U30" s="89"/>
      <c r="V30" s="111">
        <v>0.0</v>
      </c>
      <c r="W30" s="89"/>
      <c r="X30" s="111">
        <v>0.0</v>
      </c>
      <c r="Y30" s="91"/>
      <c r="Z30" s="112">
        <v>0.0</v>
      </c>
      <c r="AA30" s="89"/>
      <c r="AB30" s="111">
        <v>0.0</v>
      </c>
      <c r="AC30" s="89"/>
      <c r="AD30" s="111">
        <v>0.0</v>
      </c>
      <c r="AE30" s="89"/>
      <c r="AF30" s="117"/>
      <c r="AG30" s="89"/>
      <c r="AH30" s="117"/>
      <c r="AI30" s="89"/>
      <c r="AJ30" s="117"/>
      <c r="AK30" s="91"/>
      <c r="AL30" s="92">
        <f t="shared" si="1"/>
        <v>0</v>
      </c>
      <c r="AM30" s="85">
        <f t="shared" si="2"/>
        <v>0</v>
      </c>
      <c r="AN30" s="85">
        <f t="shared" si="3"/>
        <v>0</v>
      </c>
      <c r="AO30" s="85">
        <f t="shared" si="4"/>
        <v>0</v>
      </c>
      <c r="AP30" s="93" t="str">
        <f t="shared" si="5"/>
        <v/>
      </c>
    </row>
    <row r="31">
      <c r="A31" s="66" t="s">
        <v>11</v>
      </c>
      <c r="B31" s="94">
        <f t="shared" si="6"/>
        <v>44590</v>
      </c>
      <c r="C31" s="68">
        <v>2.0</v>
      </c>
      <c r="D31" s="68" t="s">
        <v>48</v>
      </c>
      <c r="E31" s="70" t="s">
        <v>127</v>
      </c>
      <c r="F31" s="71">
        <v>0.0</v>
      </c>
      <c r="H31" s="72">
        <v>0.0</v>
      </c>
      <c r="J31" s="72">
        <v>0.0</v>
      </c>
      <c r="L31" s="105">
        <v>59.0</v>
      </c>
      <c r="N31" s="104">
        <v>59.0</v>
      </c>
      <c r="P31" s="104">
        <v>0.0</v>
      </c>
      <c r="R31" s="104">
        <v>0.0</v>
      </c>
      <c r="T31" s="104">
        <v>1.0</v>
      </c>
      <c r="V31" s="104">
        <v>1.0</v>
      </c>
      <c r="X31" s="104">
        <v>0.0</v>
      </c>
      <c r="Y31" s="73"/>
      <c r="Z31" s="105">
        <v>28.0</v>
      </c>
      <c r="AB31" s="104">
        <v>28.0</v>
      </c>
      <c r="AD31" s="104">
        <v>0.0</v>
      </c>
      <c r="AF31" s="113"/>
      <c r="AH31" s="113"/>
      <c r="AJ31" s="113"/>
      <c r="AK31" s="73"/>
      <c r="AL31" s="74">
        <f t="shared" si="1"/>
        <v>3698.394</v>
      </c>
      <c r="AM31" s="68">
        <f t="shared" si="2"/>
        <v>174</v>
      </c>
      <c r="AN31" s="68">
        <f t="shared" si="3"/>
        <v>2</v>
      </c>
      <c r="AO31" s="68">
        <f t="shared" si="4"/>
        <v>176</v>
      </c>
      <c r="AP31" s="75">
        <f t="shared" si="5"/>
        <v>21.01360227</v>
      </c>
    </row>
    <row r="32">
      <c r="A32" s="76" t="s">
        <v>16</v>
      </c>
      <c r="B32" s="77">
        <f t="shared" si="6"/>
        <v>44591</v>
      </c>
      <c r="C32" s="78">
        <v>2.0</v>
      </c>
      <c r="D32" s="78" t="s">
        <v>48</v>
      </c>
      <c r="E32" s="80" t="s">
        <v>127</v>
      </c>
      <c r="F32" s="71">
        <v>0.0</v>
      </c>
      <c r="H32" s="72">
        <v>0.0</v>
      </c>
      <c r="J32" s="72">
        <v>0.0</v>
      </c>
      <c r="L32" s="105">
        <v>62.0</v>
      </c>
      <c r="N32" s="104">
        <v>62.0</v>
      </c>
      <c r="P32" s="104">
        <v>0.0</v>
      </c>
      <c r="R32" s="104">
        <v>0.0</v>
      </c>
      <c r="T32" s="104">
        <v>0.0</v>
      </c>
      <c r="V32" s="104">
        <v>0.0</v>
      </c>
      <c r="X32" s="104">
        <v>0.0</v>
      </c>
      <c r="Y32" s="73"/>
      <c r="Z32" s="105">
        <v>28.0</v>
      </c>
      <c r="AB32" s="104">
        <v>28.0</v>
      </c>
      <c r="AD32" s="104">
        <v>0.0</v>
      </c>
      <c r="AF32" s="113"/>
      <c r="AH32" s="113"/>
      <c r="AJ32" s="113"/>
      <c r="AK32" s="73"/>
      <c r="AL32" s="81">
        <f t="shared" si="1"/>
        <v>3065.58</v>
      </c>
      <c r="AM32" s="78">
        <f t="shared" si="2"/>
        <v>180</v>
      </c>
      <c r="AN32" s="78">
        <f t="shared" si="3"/>
        <v>0</v>
      </c>
      <c r="AO32" s="78">
        <f t="shared" si="4"/>
        <v>180</v>
      </c>
      <c r="AP32" s="82">
        <f t="shared" si="5"/>
        <v>17.031</v>
      </c>
    </row>
    <row r="33">
      <c r="A33" s="76" t="s">
        <v>17</v>
      </c>
      <c r="B33" s="77">
        <f t="shared" si="6"/>
        <v>44592</v>
      </c>
      <c r="C33" s="78">
        <v>2.0</v>
      </c>
      <c r="D33" s="78" t="s">
        <v>48</v>
      </c>
      <c r="E33" s="80" t="s">
        <v>127</v>
      </c>
      <c r="F33" s="71">
        <v>0.0</v>
      </c>
      <c r="H33" s="72">
        <v>0.0</v>
      </c>
      <c r="J33" s="72">
        <v>0.0</v>
      </c>
      <c r="L33" s="105">
        <v>63.0</v>
      </c>
      <c r="N33" s="104">
        <v>63.0</v>
      </c>
      <c r="P33" s="104">
        <v>0.0</v>
      </c>
      <c r="R33" s="104">
        <v>0.0</v>
      </c>
      <c r="T33" s="104">
        <v>0.0</v>
      </c>
      <c r="V33" s="104">
        <v>0.0</v>
      </c>
      <c r="X33" s="104">
        <v>0.0</v>
      </c>
      <c r="Y33" s="73"/>
      <c r="Z33" s="105">
        <v>28.0</v>
      </c>
      <c r="AB33" s="104">
        <v>28.0</v>
      </c>
      <c r="AD33" s="104">
        <v>0.0</v>
      </c>
      <c r="AF33" s="113"/>
      <c r="AH33" s="113"/>
      <c r="AJ33" s="113"/>
      <c r="AK33" s="73"/>
      <c r="AL33" s="81">
        <f t="shared" si="1"/>
        <v>3099.642</v>
      </c>
      <c r="AM33" s="78">
        <f t="shared" si="2"/>
        <v>182</v>
      </c>
      <c r="AN33" s="78">
        <f t="shared" si="3"/>
        <v>0</v>
      </c>
      <c r="AO33" s="78">
        <f t="shared" si="4"/>
        <v>182</v>
      </c>
      <c r="AP33" s="82">
        <f t="shared" si="5"/>
        <v>17.031</v>
      </c>
    </row>
    <row r="34">
      <c r="A34" s="76" t="s">
        <v>21</v>
      </c>
      <c r="B34" s="77">
        <f t="shared" si="6"/>
        <v>44593</v>
      </c>
      <c r="C34" s="78">
        <v>2.0</v>
      </c>
      <c r="D34" s="78" t="s">
        <v>48</v>
      </c>
      <c r="E34" s="80" t="s">
        <v>127</v>
      </c>
      <c r="F34" s="71">
        <v>0.0</v>
      </c>
      <c r="H34" s="72">
        <v>0.0</v>
      </c>
      <c r="J34" s="72">
        <v>0.0</v>
      </c>
      <c r="L34" s="105">
        <v>64.0</v>
      </c>
      <c r="N34" s="104">
        <v>64.0</v>
      </c>
      <c r="P34" s="104">
        <v>0.0</v>
      </c>
      <c r="R34" s="104">
        <v>0.0</v>
      </c>
      <c r="T34" s="104">
        <v>0.0</v>
      </c>
      <c r="V34" s="104">
        <v>0.0</v>
      </c>
      <c r="X34" s="104">
        <v>0.0</v>
      </c>
      <c r="Y34" s="73"/>
      <c r="Z34" s="105">
        <v>28.0</v>
      </c>
      <c r="AB34" s="104">
        <v>28.0</v>
      </c>
      <c r="AD34" s="104">
        <v>0.0</v>
      </c>
      <c r="AF34" s="113"/>
      <c r="AH34" s="113"/>
      <c r="AJ34" s="113"/>
      <c r="AK34" s="73"/>
      <c r="AL34" s="81">
        <f t="shared" si="1"/>
        <v>3133.704</v>
      </c>
      <c r="AM34" s="78">
        <f t="shared" si="2"/>
        <v>184</v>
      </c>
      <c r="AN34" s="78">
        <f t="shared" si="3"/>
        <v>0</v>
      </c>
      <c r="AO34" s="78">
        <f t="shared" si="4"/>
        <v>184</v>
      </c>
      <c r="AP34" s="82">
        <f t="shared" si="5"/>
        <v>17.031</v>
      </c>
    </row>
    <row r="35">
      <c r="A35" s="76" t="s">
        <v>24</v>
      </c>
      <c r="B35" s="77">
        <f t="shared" si="6"/>
        <v>44594</v>
      </c>
      <c r="C35" s="78">
        <v>2.0</v>
      </c>
      <c r="D35" s="78" t="s">
        <v>48</v>
      </c>
      <c r="E35" s="80" t="s">
        <v>127</v>
      </c>
      <c r="F35" s="71">
        <v>0.0</v>
      </c>
      <c r="H35" s="72">
        <v>0.0</v>
      </c>
      <c r="J35" s="72">
        <v>0.0</v>
      </c>
      <c r="L35" s="105">
        <v>64.0</v>
      </c>
      <c r="N35" s="104">
        <v>64.0</v>
      </c>
      <c r="P35" s="104">
        <v>0.0</v>
      </c>
      <c r="R35" s="104">
        <v>0.0</v>
      </c>
      <c r="T35" s="104">
        <v>0.0</v>
      </c>
      <c r="V35" s="104">
        <v>0.0</v>
      </c>
      <c r="X35" s="104">
        <v>0.0</v>
      </c>
      <c r="Y35" s="73"/>
      <c r="Z35" s="105">
        <v>28.0</v>
      </c>
      <c r="AB35" s="104">
        <v>28.0</v>
      </c>
      <c r="AD35" s="104">
        <v>0.0</v>
      </c>
      <c r="AF35" s="113"/>
      <c r="AH35" s="113"/>
      <c r="AJ35" s="113"/>
      <c r="AK35" s="73"/>
      <c r="AL35" s="81">
        <f t="shared" si="1"/>
        <v>3133.704</v>
      </c>
      <c r="AM35" s="78">
        <f t="shared" si="2"/>
        <v>184</v>
      </c>
      <c r="AN35" s="78">
        <f t="shared" si="3"/>
        <v>0</v>
      </c>
      <c r="AO35" s="78">
        <f t="shared" si="4"/>
        <v>184</v>
      </c>
      <c r="AP35" s="82">
        <f t="shared" si="5"/>
        <v>17.031</v>
      </c>
    </row>
    <row r="36">
      <c r="A36" s="76" t="s">
        <v>27</v>
      </c>
      <c r="B36" s="77">
        <f t="shared" si="6"/>
        <v>44595</v>
      </c>
      <c r="C36" s="78">
        <v>2.0</v>
      </c>
      <c r="D36" s="78" t="s">
        <v>48</v>
      </c>
      <c r="E36" s="80" t="s">
        <v>127</v>
      </c>
      <c r="F36" s="71">
        <v>0.0</v>
      </c>
      <c r="H36" s="72">
        <v>0.0</v>
      </c>
      <c r="J36" s="72">
        <v>0.0</v>
      </c>
      <c r="L36" s="105">
        <v>64.0</v>
      </c>
      <c r="N36" s="104">
        <v>64.0</v>
      </c>
      <c r="P36" s="104">
        <v>0.0</v>
      </c>
      <c r="R36" s="104">
        <v>0.0</v>
      </c>
      <c r="T36" s="104">
        <v>0.0</v>
      </c>
      <c r="V36" s="104">
        <v>0.0</v>
      </c>
      <c r="X36" s="104">
        <v>0.0</v>
      </c>
      <c r="Y36" s="73"/>
      <c r="Z36" s="105">
        <v>20.0</v>
      </c>
      <c r="AB36" s="104">
        <v>0.0</v>
      </c>
      <c r="AD36" s="104">
        <v>0.0</v>
      </c>
      <c r="AF36" s="113"/>
      <c r="AH36" s="113"/>
      <c r="AJ36" s="113"/>
      <c r="AK36" s="73"/>
      <c r="AL36" s="81">
        <f t="shared" si="1"/>
        <v>2520.588</v>
      </c>
      <c r="AM36" s="78">
        <f t="shared" si="2"/>
        <v>148</v>
      </c>
      <c r="AN36" s="78">
        <f t="shared" si="3"/>
        <v>0</v>
      </c>
      <c r="AO36" s="78">
        <f t="shared" si="4"/>
        <v>148</v>
      </c>
      <c r="AP36" s="82">
        <f t="shared" si="5"/>
        <v>17.031</v>
      </c>
    </row>
    <row r="37">
      <c r="A37" s="83" t="s">
        <v>30</v>
      </c>
      <c r="B37" s="84">
        <f t="shared" si="6"/>
        <v>44596</v>
      </c>
      <c r="C37" s="85">
        <v>2.0</v>
      </c>
      <c r="D37" s="85" t="s">
        <v>48</v>
      </c>
      <c r="E37" s="87" t="s">
        <v>127</v>
      </c>
      <c r="F37" s="88">
        <v>0.0</v>
      </c>
      <c r="G37" s="89"/>
      <c r="H37" s="90">
        <v>0.0</v>
      </c>
      <c r="I37" s="89"/>
      <c r="J37" s="90">
        <v>0.0</v>
      </c>
      <c r="K37" s="89"/>
      <c r="L37" s="112">
        <v>0.0</v>
      </c>
      <c r="M37" s="89"/>
      <c r="N37" s="111">
        <v>0.0</v>
      </c>
      <c r="O37" s="89"/>
      <c r="P37" s="111">
        <v>0.0</v>
      </c>
      <c r="Q37" s="89"/>
      <c r="R37" s="111">
        <v>0.0</v>
      </c>
      <c r="S37" s="89"/>
      <c r="T37" s="111">
        <v>0.0</v>
      </c>
      <c r="U37" s="89"/>
      <c r="V37" s="111">
        <v>0.0</v>
      </c>
      <c r="W37" s="89"/>
      <c r="X37" s="111">
        <v>0.0</v>
      </c>
      <c r="Y37" s="91"/>
      <c r="Z37" s="112">
        <v>0.0</v>
      </c>
      <c r="AA37" s="89"/>
      <c r="AB37" s="111">
        <v>0.0</v>
      </c>
      <c r="AC37" s="89"/>
      <c r="AD37" s="111">
        <v>0.0</v>
      </c>
      <c r="AE37" s="89"/>
      <c r="AF37" s="117"/>
      <c r="AG37" s="89"/>
      <c r="AH37" s="117"/>
      <c r="AI37" s="89"/>
      <c r="AJ37" s="117"/>
      <c r="AK37" s="91"/>
      <c r="AL37" s="92">
        <f t="shared" si="1"/>
        <v>0</v>
      </c>
      <c r="AM37" s="85">
        <f t="shared" si="2"/>
        <v>0</v>
      </c>
      <c r="AN37" s="85">
        <f t="shared" si="3"/>
        <v>0</v>
      </c>
      <c r="AO37" s="85">
        <f t="shared" si="4"/>
        <v>0</v>
      </c>
      <c r="AP37" s="93" t="str">
        <f t="shared" si="5"/>
        <v/>
      </c>
    </row>
    <row r="38">
      <c r="A38" s="66" t="s">
        <v>11</v>
      </c>
      <c r="B38" s="94">
        <f t="shared" si="6"/>
        <v>44597</v>
      </c>
      <c r="C38" s="68">
        <v>2.0</v>
      </c>
      <c r="D38" s="68" t="s">
        <v>59</v>
      </c>
      <c r="E38" s="70" t="s">
        <v>127</v>
      </c>
      <c r="F38" s="71">
        <v>0.0</v>
      </c>
      <c r="H38" s="72">
        <v>0.0</v>
      </c>
      <c r="J38" s="72">
        <v>0.0</v>
      </c>
      <c r="L38" s="105">
        <v>79.0</v>
      </c>
      <c r="N38" s="104">
        <v>79.0</v>
      </c>
      <c r="P38" s="104">
        <v>0.0</v>
      </c>
      <c r="R38" s="104">
        <v>0.0</v>
      </c>
      <c r="T38" s="104">
        <v>1.0</v>
      </c>
      <c r="V38" s="104">
        <v>1.0</v>
      </c>
      <c r="X38" s="104">
        <v>0.0</v>
      </c>
      <c r="Y38" s="73"/>
      <c r="Z38" s="105">
        <v>28.0</v>
      </c>
      <c r="AB38" s="104">
        <v>28.0</v>
      </c>
      <c r="AD38" s="104">
        <v>0.0</v>
      </c>
      <c r="AF38" s="113"/>
      <c r="AH38" s="113"/>
      <c r="AJ38" s="113"/>
      <c r="AK38" s="73"/>
      <c r="AL38" s="74">
        <f t="shared" si="1"/>
        <v>4379.634</v>
      </c>
      <c r="AM38" s="68">
        <f t="shared" si="2"/>
        <v>214</v>
      </c>
      <c r="AN38" s="68">
        <f t="shared" si="3"/>
        <v>2</v>
      </c>
      <c r="AO38" s="68">
        <f t="shared" si="4"/>
        <v>216</v>
      </c>
      <c r="AP38" s="75">
        <f t="shared" si="5"/>
        <v>20.27608333</v>
      </c>
    </row>
    <row r="39">
      <c r="A39" s="76" t="s">
        <v>16</v>
      </c>
      <c r="B39" s="77">
        <f t="shared" si="6"/>
        <v>44598</v>
      </c>
      <c r="C39" s="78">
        <v>2.0</v>
      </c>
      <c r="D39" s="78" t="s">
        <v>59</v>
      </c>
      <c r="E39" s="80" t="s">
        <v>127</v>
      </c>
      <c r="F39" s="71">
        <v>0.0</v>
      </c>
      <c r="H39" s="72">
        <v>0.0</v>
      </c>
      <c r="J39" s="72">
        <v>0.0</v>
      </c>
      <c r="L39" s="105">
        <v>79.0</v>
      </c>
      <c r="N39" s="104">
        <v>79.0</v>
      </c>
      <c r="P39" s="104">
        <v>0.0</v>
      </c>
      <c r="R39" s="104">
        <v>0.0</v>
      </c>
      <c r="T39" s="104">
        <v>0.0</v>
      </c>
      <c r="V39" s="104">
        <v>0.0</v>
      </c>
      <c r="X39" s="104">
        <v>0.0</v>
      </c>
      <c r="Y39" s="73"/>
      <c r="Z39" s="105">
        <v>28.0</v>
      </c>
      <c r="AB39" s="104">
        <v>28.0</v>
      </c>
      <c r="AD39" s="104">
        <v>0.0</v>
      </c>
      <c r="AF39" s="113"/>
      <c r="AH39" s="113"/>
      <c r="AJ39" s="113"/>
      <c r="AK39" s="73"/>
      <c r="AL39" s="81">
        <f t="shared" si="1"/>
        <v>3644.634</v>
      </c>
      <c r="AM39" s="78">
        <f t="shared" si="2"/>
        <v>214</v>
      </c>
      <c r="AN39" s="78">
        <f t="shared" si="3"/>
        <v>0</v>
      </c>
      <c r="AO39" s="78">
        <f t="shared" si="4"/>
        <v>214</v>
      </c>
      <c r="AP39" s="82">
        <f t="shared" si="5"/>
        <v>17.031</v>
      </c>
    </row>
    <row r="40">
      <c r="A40" s="76" t="s">
        <v>17</v>
      </c>
      <c r="B40" s="77">
        <f t="shared" si="6"/>
        <v>44599</v>
      </c>
      <c r="C40" s="78">
        <v>2.0</v>
      </c>
      <c r="D40" s="78" t="s">
        <v>59</v>
      </c>
      <c r="E40" s="80" t="s">
        <v>127</v>
      </c>
      <c r="F40" s="71">
        <v>0.0</v>
      </c>
      <c r="H40" s="72">
        <v>0.0</v>
      </c>
      <c r="J40" s="72">
        <v>0.0</v>
      </c>
      <c r="L40" s="105">
        <v>81.0</v>
      </c>
      <c r="N40" s="104">
        <v>81.0</v>
      </c>
      <c r="P40" s="104">
        <v>0.0</v>
      </c>
      <c r="R40" s="104">
        <v>0.0</v>
      </c>
      <c r="T40" s="104">
        <v>0.0</v>
      </c>
      <c r="V40" s="104">
        <v>0.0</v>
      </c>
      <c r="X40" s="104">
        <v>0.0</v>
      </c>
      <c r="Y40" s="73"/>
      <c r="Z40" s="105">
        <v>28.0</v>
      </c>
      <c r="AB40" s="104">
        <v>28.0</v>
      </c>
      <c r="AD40" s="104">
        <v>0.0</v>
      </c>
      <c r="AF40" s="113"/>
      <c r="AH40" s="113"/>
      <c r="AJ40" s="113"/>
      <c r="AK40" s="73"/>
      <c r="AL40" s="81">
        <f t="shared" si="1"/>
        <v>3712.758</v>
      </c>
      <c r="AM40" s="78">
        <f t="shared" si="2"/>
        <v>218</v>
      </c>
      <c r="AN40" s="78">
        <f t="shared" si="3"/>
        <v>0</v>
      </c>
      <c r="AO40" s="78">
        <f t="shared" si="4"/>
        <v>218</v>
      </c>
      <c r="AP40" s="82">
        <f t="shared" si="5"/>
        <v>17.031</v>
      </c>
    </row>
    <row r="41">
      <c r="A41" s="76" t="s">
        <v>21</v>
      </c>
      <c r="B41" s="77">
        <f t="shared" si="6"/>
        <v>44600</v>
      </c>
      <c r="C41" s="78">
        <v>2.0</v>
      </c>
      <c r="D41" s="78" t="s">
        <v>59</v>
      </c>
      <c r="E41" s="80" t="s">
        <v>127</v>
      </c>
      <c r="F41" s="71">
        <v>0.0</v>
      </c>
      <c r="H41" s="72">
        <v>0.0</v>
      </c>
      <c r="J41" s="72">
        <v>0.0</v>
      </c>
      <c r="L41" s="105">
        <v>81.0</v>
      </c>
      <c r="N41" s="104">
        <v>81.0</v>
      </c>
      <c r="P41" s="104">
        <v>0.0</v>
      </c>
      <c r="R41" s="104">
        <v>0.0</v>
      </c>
      <c r="T41" s="104">
        <v>0.0</v>
      </c>
      <c r="V41" s="104">
        <v>0.0</v>
      </c>
      <c r="X41" s="104">
        <v>0.0</v>
      </c>
      <c r="Y41" s="73"/>
      <c r="Z41" s="105">
        <v>28.0</v>
      </c>
      <c r="AB41" s="104">
        <v>28.0</v>
      </c>
      <c r="AD41" s="104">
        <v>0.0</v>
      </c>
      <c r="AF41" s="113"/>
      <c r="AH41" s="113"/>
      <c r="AJ41" s="113"/>
      <c r="AK41" s="73"/>
      <c r="AL41" s="81">
        <f t="shared" si="1"/>
        <v>3712.758</v>
      </c>
      <c r="AM41" s="78">
        <f t="shared" si="2"/>
        <v>218</v>
      </c>
      <c r="AN41" s="78">
        <f t="shared" si="3"/>
        <v>0</v>
      </c>
      <c r="AO41" s="78">
        <f t="shared" si="4"/>
        <v>218</v>
      </c>
      <c r="AP41" s="82">
        <f t="shared" si="5"/>
        <v>17.031</v>
      </c>
    </row>
    <row r="42">
      <c r="A42" s="76" t="s">
        <v>24</v>
      </c>
      <c r="B42" s="77">
        <f t="shared" si="6"/>
        <v>44601</v>
      </c>
      <c r="C42" s="78">
        <v>2.0</v>
      </c>
      <c r="D42" s="78" t="s">
        <v>59</v>
      </c>
      <c r="E42" s="80" t="s">
        <v>127</v>
      </c>
      <c r="F42" s="71">
        <v>0.0</v>
      </c>
      <c r="H42" s="72">
        <v>0.0</v>
      </c>
      <c r="J42" s="72">
        <v>0.0</v>
      </c>
      <c r="L42" s="105">
        <v>60.0</v>
      </c>
      <c r="N42" s="104">
        <v>60.0</v>
      </c>
      <c r="P42" s="104">
        <v>0.0</v>
      </c>
      <c r="R42" s="104">
        <v>0.0</v>
      </c>
      <c r="T42" s="104">
        <v>0.0</v>
      </c>
      <c r="V42" s="104">
        <v>0.0</v>
      </c>
      <c r="X42" s="104">
        <v>0.0</v>
      </c>
      <c r="Y42" s="73"/>
      <c r="Z42" s="105">
        <v>28.0</v>
      </c>
      <c r="AB42" s="104">
        <v>28.0</v>
      </c>
      <c r="AD42" s="104">
        <v>0.0</v>
      </c>
      <c r="AF42" s="113"/>
      <c r="AH42" s="113"/>
      <c r="AJ42" s="113"/>
      <c r="AK42" s="73"/>
      <c r="AL42" s="81">
        <f t="shared" si="1"/>
        <v>2997.456</v>
      </c>
      <c r="AM42" s="78">
        <f t="shared" si="2"/>
        <v>176</v>
      </c>
      <c r="AN42" s="78">
        <f t="shared" si="3"/>
        <v>0</v>
      </c>
      <c r="AO42" s="78">
        <f t="shared" si="4"/>
        <v>176</v>
      </c>
      <c r="AP42" s="82">
        <f t="shared" si="5"/>
        <v>17.031</v>
      </c>
    </row>
    <row r="43">
      <c r="A43" s="76" t="s">
        <v>27</v>
      </c>
      <c r="B43" s="77">
        <f t="shared" si="6"/>
        <v>44602</v>
      </c>
      <c r="C43" s="78">
        <v>2.0</v>
      </c>
      <c r="D43" s="78" t="s">
        <v>59</v>
      </c>
      <c r="E43" s="80" t="s">
        <v>127</v>
      </c>
      <c r="F43" s="71">
        <v>0.0</v>
      </c>
      <c r="H43" s="72">
        <v>0.0</v>
      </c>
      <c r="J43" s="72">
        <v>0.0</v>
      </c>
      <c r="L43" s="105">
        <v>0.0</v>
      </c>
      <c r="N43" s="104">
        <v>0.0</v>
      </c>
      <c r="P43" s="104">
        <v>0.0</v>
      </c>
      <c r="R43" s="104">
        <v>0.0</v>
      </c>
      <c r="T43" s="104">
        <v>0.0</v>
      </c>
      <c r="V43" s="104">
        <v>0.0</v>
      </c>
      <c r="X43" s="104">
        <v>0.0</v>
      </c>
      <c r="Y43" s="73"/>
      <c r="Z43" s="105">
        <v>0.0</v>
      </c>
      <c r="AB43" s="104">
        <v>0.0</v>
      </c>
      <c r="AD43" s="104">
        <v>0.0</v>
      </c>
      <c r="AF43" s="113"/>
      <c r="AH43" s="113"/>
      <c r="AJ43" s="113"/>
      <c r="AK43" s="73"/>
      <c r="AL43" s="81">
        <f t="shared" si="1"/>
        <v>0</v>
      </c>
      <c r="AM43" s="78">
        <f t="shared" si="2"/>
        <v>0</v>
      </c>
      <c r="AN43" s="78">
        <f t="shared" si="3"/>
        <v>0</v>
      </c>
      <c r="AO43" s="78">
        <f t="shared" si="4"/>
        <v>0</v>
      </c>
      <c r="AP43" s="82" t="str">
        <f t="shared" si="5"/>
        <v/>
      </c>
    </row>
    <row r="44">
      <c r="A44" s="83" t="s">
        <v>30</v>
      </c>
      <c r="B44" s="84">
        <f t="shared" si="6"/>
        <v>44603</v>
      </c>
      <c r="C44" s="85">
        <v>2.0</v>
      </c>
      <c r="D44" s="85" t="s">
        <v>59</v>
      </c>
      <c r="E44" s="87" t="s">
        <v>127</v>
      </c>
      <c r="F44" s="88">
        <v>0.0</v>
      </c>
      <c r="G44" s="89"/>
      <c r="H44" s="90">
        <v>0.0</v>
      </c>
      <c r="I44" s="89"/>
      <c r="J44" s="90">
        <v>0.0</v>
      </c>
      <c r="K44" s="89"/>
      <c r="L44" s="112">
        <v>0.0</v>
      </c>
      <c r="M44" s="89"/>
      <c r="N44" s="111">
        <v>0.0</v>
      </c>
      <c r="O44" s="89"/>
      <c r="P44" s="111">
        <v>0.0</v>
      </c>
      <c r="Q44" s="89"/>
      <c r="R44" s="111">
        <v>0.0</v>
      </c>
      <c r="S44" s="89"/>
      <c r="T44" s="117"/>
      <c r="U44" s="89"/>
      <c r="V44" s="111">
        <v>0.0</v>
      </c>
      <c r="W44" s="89"/>
      <c r="X44" s="111">
        <v>0.0</v>
      </c>
      <c r="Y44" s="91"/>
      <c r="Z44" s="112">
        <v>0.0</v>
      </c>
      <c r="AA44" s="89"/>
      <c r="AB44" s="111">
        <v>0.0</v>
      </c>
      <c r="AC44" s="89"/>
      <c r="AD44" s="111">
        <v>0.0</v>
      </c>
      <c r="AE44" s="89"/>
      <c r="AF44" s="117"/>
      <c r="AG44" s="89"/>
      <c r="AH44" s="117"/>
      <c r="AI44" s="89"/>
      <c r="AJ44" s="117"/>
      <c r="AK44" s="91"/>
      <c r="AL44" s="92">
        <f t="shared" si="1"/>
        <v>0</v>
      </c>
      <c r="AM44" s="85">
        <f t="shared" si="2"/>
        <v>0</v>
      </c>
      <c r="AN44" s="85">
        <f t="shared" si="3"/>
        <v>0</v>
      </c>
      <c r="AO44" s="85">
        <f t="shared" si="4"/>
        <v>0</v>
      </c>
      <c r="AP44" s="93" t="str">
        <f t="shared" si="5"/>
        <v/>
      </c>
    </row>
    <row r="45">
      <c r="A45" s="66" t="s">
        <v>11</v>
      </c>
      <c r="B45" s="94">
        <f t="shared" si="6"/>
        <v>44604</v>
      </c>
      <c r="C45" s="68">
        <v>2.0</v>
      </c>
      <c r="D45" s="68" t="s">
        <v>12</v>
      </c>
      <c r="E45" s="70" t="s">
        <v>13</v>
      </c>
      <c r="F45" s="105">
        <v>0.0</v>
      </c>
      <c r="H45" s="104">
        <v>40.0</v>
      </c>
      <c r="J45" s="104">
        <v>0.0</v>
      </c>
      <c r="L45" s="105">
        <v>40.0</v>
      </c>
      <c r="N45" s="104">
        <v>40.0</v>
      </c>
      <c r="P45" s="104">
        <v>0.0</v>
      </c>
      <c r="R45" s="104">
        <v>0.0</v>
      </c>
      <c r="T45" s="104">
        <v>1.0</v>
      </c>
      <c r="V45" s="104">
        <v>1.0</v>
      </c>
      <c r="X45" s="104">
        <v>0.0</v>
      </c>
      <c r="Y45" s="73"/>
      <c r="Z45" s="105">
        <v>29.0</v>
      </c>
      <c r="AB45" s="104">
        <v>29.0</v>
      </c>
      <c r="AD45" s="104">
        <v>0.0</v>
      </c>
      <c r="AF45" s="113"/>
      <c r="AH45" s="113"/>
      <c r="AJ45" s="113"/>
      <c r="AK45" s="73"/>
      <c r="AL45" s="74">
        <f t="shared" si="1"/>
        <v>4157.958</v>
      </c>
      <c r="AM45" s="68">
        <f t="shared" si="2"/>
        <v>178</v>
      </c>
      <c r="AN45" s="68">
        <f t="shared" si="3"/>
        <v>2</v>
      </c>
      <c r="AO45" s="68">
        <f t="shared" si="4"/>
        <v>180</v>
      </c>
      <c r="AP45" s="75">
        <f t="shared" si="5"/>
        <v>23.09976667</v>
      </c>
    </row>
    <row r="46">
      <c r="A46" s="76" t="s">
        <v>16</v>
      </c>
      <c r="B46" s="77">
        <f t="shared" si="6"/>
        <v>44605</v>
      </c>
      <c r="C46" s="78">
        <v>2.0</v>
      </c>
      <c r="D46" s="78" t="s">
        <v>12</v>
      </c>
      <c r="E46" s="80" t="s">
        <v>13</v>
      </c>
      <c r="F46" s="105">
        <v>102.0</v>
      </c>
      <c r="H46" s="104">
        <v>102.0</v>
      </c>
      <c r="J46" s="104">
        <v>0.0</v>
      </c>
      <c r="L46" s="105">
        <v>30.0</v>
      </c>
      <c r="N46" s="104">
        <v>30.0</v>
      </c>
      <c r="P46" s="104">
        <v>0.0</v>
      </c>
      <c r="R46" s="104">
        <v>0.0</v>
      </c>
      <c r="T46" s="104">
        <v>0.0</v>
      </c>
      <c r="V46" s="104">
        <v>0.0</v>
      </c>
      <c r="X46" s="104">
        <v>0.0</v>
      </c>
      <c r="Y46" s="73"/>
      <c r="Z46" s="105">
        <v>0.0</v>
      </c>
      <c r="AB46" s="104">
        <v>0.0</v>
      </c>
      <c r="AD46" s="104">
        <v>0.0</v>
      </c>
      <c r="AF46" s="113"/>
      <c r="AH46" s="113"/>
      <c r="AJ46" s="113"/>
      <c r="AK46" s="73"/>
      <c r="AL46" s="81">
        <f t="shared" si="1"/>
        <v>6492.528</v>
      </c>
      <c r="AM46" s="78">
        <f t="shared" si="2"/>
        <v>264</v>
      </c>
      <c r="AN46" s="78">
        <f t="shared" si="3"/>
        <v>0</v>
      </c>
      <c r="AO46" s="78">
        <f t="shared" si="4"/>
        <v>264</v>
      </c>
      <c r="AP46" s="82">
        <f t="shared" si="5"/>
        <v>24.59290909</v>
      </c>
    </row>
    <row r="47">
      <c r="A47" s="76" t="s">
        <v>17</v>
      </c>
      <c r="B47" s="77">
        <f t="shared" si="6"/>
        <v>44606</v>
      </c>
      <c r="C47" s="78">
        <v>2.0</v>
      </c>
      <c r="D47" s="78" t="s">
        <v>12</v>
      </c>
      <c r="E47" s="80" t="s">
        <v>13</v>
      </c>
      <c r="F47" s="105">
        <v>102.0</v>
      </c>
      <c r="H47" s="104">
        <v>102.0</v>
      </c>
      <c r="J47" s="104">
        <v>0.0</v>
      </c>
      <c r="L47" s="105">
        <v>45.0</v>
      </c>
      <c r="N47" s="104">
        <v>98.0</v>
      </c>
      <c r="P47" s="104">
        <v>98.0</v>
      </c>
      <c r="R47" s="104">
        <v>0.0</v>
      </c>
      <c r="T47" s="104">
        <v>0.0</v>
      </c>
      <c r="V47" s="104">
        <v>0.0</v>
      </c>
      <c r="X47" s="104">
        <v>0.0</v>
      </c>
      <c r="Y47" s="73"/>
      <c r="Z47" s="105">
        <v>0.0</v>
      </c>
      <c r="AB47" s="104">
        <v>28.0</v>
      </c>
      <c r="AD47" s="104">
        <v>0.0</v>
      </c>
      <c r="AF47" s="113"/>
      <c r="AH47" s="113"/>
      <c r="AJ47" s="113"/>
      <c r="AK47" s="73"/>
      <c r="AL47" s="81">
        <f t="shared" si="1"/>
        <v>10052.007</v>
      </c>
      <c r="AM47" s="78">
        <f t="shared" si="2"/>
        <v>473</v>
      </c>
      <c r="AN47" s="78">
        <f t="shared" si="3"/>
        <v>0</v>
      </c>
      <c r="AO47" s="78">
        <f t="shared" si="4"/>
        <v>473</v>
      </c>
      <c r="AP47" s="82">
        <f t="shared" si="5"/>
        <v>21.25160042</v>
      </c>
    </row>
    <row r="48">
      <c r="A48" s="76" t="s">
        <v>21</v>
      </c>
      <c r="B48" s="77">
        <f t="shared" si="6"/>
        <v>44607</v>
      </c>
      <c r="C48" s="78">
        <v>2.0</v>
      </c>
      <c r="D48" s="78" t="s">
        <v>12</v>
      </c>
      <c r="E48" s="80" t="s">
        <v>13</v>
      </c>
      <c r="F48" s="105">
        <v>102.0</v>
      </c>
      <c r="H48" s="104">
        <v>102.0</v>
      </c>
      <c r="J48" s="104">
        <v>0.0</v>
      </c>
      <c r="L48" s="105">
        <v>98.0</v>
      </c>
      <c r="N48" s="104">
        <v>98.0</v>
      </c>
      <c r="P48" s="104">
        <v>0.0</v>
      </c>
      <c r="R48" s="104">
        <v>0.0</v>
      </c>
      <c r="T48" s="104">
        <v>0.0</v>
      </c>
      <c r="V48" s="104">
        <v>0.0</v>
      </c>
      <c r="X48" s="104">
        <v>0.0</v>
      </c>
      <c r="Y48" s="73"/>
      <c r="Z48" s="105">
        <v>28.0</v>
      </c>
      <c r="AB48" s="104">
        <v>28.0</v>
      </c>
      <c r="AD48" s="104">
        <v>0.0</v>
      </c>
      <c r="AF48" s="113"/>
      <c r="AH48" s="113"/>
      <c r="AJ48" s="113"/>
      <c r="AK48" s="73"/>
      <c r="AL48" s="81">
        <f t="shared" si="1"/>
        <v>9762.48</v>
      </c>
      <c r="AM48" s="78">
        <f t="shared" si="2"/>
        <v>456</v>
      </c>
      <c r="AN48" s="78">
        <f t="shared" si="3"/>
        <v>0</v>
      </c>
      <c r="AO48" s="78">
        <f t="shared" si="4"/>
        <v>456</v>
      </c>
      <c r="AP48" s="82">
        <f t="shared" si="5"/>
        <v>21.40894737</v>
      </c>
    </row>
    <row r="49">
      <c r="A49" s="76" t="s">
        <v>24</v>
      </c>
      <c r="B49" s="77">
        <f t="shared" si="6"/>
        <v>44608</v>
      </c>
      <c r="C49" s="78">
        <v>2.0</v>
      </c>
      <c r="D49" s="78" t="s">
        <v>12</v>
      </c>
      <c r="E49" s="80" t="s">
        <v>13</v>
      </c>
      <c r="F49" s="105">
        <v>102.0</v>
      </c>
      <c r="H49" s="104">
        <v>102.0</v>
      </c>
      <c r="J49" s="104">
        <v>0.0</v>
      </c>
      <c r="L49" s="105">
        <v>140.0</v>
      </c>
      <c r="N49" s="104">
        <v>140.0</v>
      </c>
      <c r="P49" s="104">
        <v>0.0</v>
      </c>
      <c r="R49" s="104">
        <v>0.0</v>
      </c>
      <c r="T49" s="104">
        <v>0.0</v>
      </c>
      <c r="V49" s="104">
        <v>0.0</v>
      </c>
      <c r="X49" s="104">
        <v>0.0</v>
      </c>
      <c r="Y49" s="73"/>
      <c r="Z49" s="105">
        <v>28.0</v>
      </c>
      <c r="AB49" s="104">
        <v>28.0</v>
      </c>
      <c r="AD49" s="104">
        <v>0.0</v>
      </c>
      <c r="AF49" s="113"/>
      <c r="AH49" s="113"/>
      <c r="AJ49" s="113"/>
      <c r="AK49" s="73"/>
      <c r="AL49" s="81">
        <f t="shared" si="1"/>
        <v>11193.084</v>
      </c>
      <c r="AM49" s="78">
        <f t="shared" si="2"/>
        <v>540</v>
      </c>
      <c r="AN49" s="78">
        <f t="shared" si="3"/>
        <v>0</v>
      </c>
      <c r="AO49" s="78">
        <f t="shared" si="4"/>
        <v>540</v>
      </c>
      <c r="AP49" s="82">
        <f t="shared" si="5"/>
        <v>20.72793333</v>
      </c>
    </row>
    <row r="50">
      <c r="A50" s="76" t="s">
        <v>27</v>
      </c>
      <c r="B50" s="77">
        <f t="shared" si="6"/>
        <v>44609</v>
      </c>
      <c r="C50" s="78">
        <v>2.0</v>
      </c>
      <c r="D50" s="78" t="s">
        <v>12</v>
      </c>
      <c r="E50" s="80" t="s">
        <v>13</v>
      </c>
      <c r="F50" s="105">
        <v>102.0</v>
      </c>
      <c r="H50" s="104">
        <v>102.0</v>
      </c>
      <c r="J50" s="104">
        <v>0.0</v>
      </c>
      <c r="L50" s="105">
        <v>140.0</v>
      </c>
      <c r="N50" s="104">
        <v>140.0</v>
      </c>
      <c r="P50" s="104">
        <v>0.0</v>
      </c>
      <c r="R50" s="104">
        <v>0.0</v>
      </c>
      <c r="T50" s="104">
        <v>0.0</v>
      </c>
      <c r="V50" s="104">
        <v>0.0</v>
      </c>
      <c r="X50" s="104">
        <v>0.0</v>
      </c>
      <c r="Y50" s="73"/>
      <c r="Z50" s="105">
        <v>20.0</v>
      </c>
      <c r="AB50" s="104">
        <v>20.0</v>
      </c>
      <c r="AD50" s="104">
        <v>0.0</v>
      </c>
      <c r="AF50" s="113"/>
      <c r="AH50" s="113"/>
      <c r="AJ50" s="113"/>
      <c r="AK50" s="73"/>
      <c r="AL50" s="81">
        <f t="shared" si="1"/>
        <v>10920.588</v>
      </c>
      <c r="AM50" s="78">
        <f t="shared" si="2"/>
        <v>524</v>
      </c>
      <c r="AN50" s="78">
        <f t="shared" si="3"/>
        <v>0</v>
      </c>
      <c r="AO50" s="78">
        <f t="shared" si="4"/>
        <v>524</v>
      </c>
      <c r="AP50" s="82">
        <f t="shared" si="5"/>
        <v>20.84081679</v>
      </c>
    </row>
    <row r="51">
      <c r="A51" s="83" t="s">
        <v>30</v>
      </c>
      <c r="B51" s="84">
        <f t="shared" si="6"/>
        <v>44610</v>
      </c>
      <c r="C51" s="85">
        <v>2.0</v>
      </c>
      <c r="D51" s="85" t="s">
        <v>12</v>
      </c>
      <c r="E51" s="87" t="s">
        <v>13</v>
      </c>
      <c r="F51" s="112">
        <v>80.0</v>
      </c>
      <c r="G51" s="89"/>
      <c r="H51" s="111">
        <v>120.0</v>
      </c>
      <c r="I51" s="89"/>
      <c r="J51" s="111">
        <v>100.0</v>
      </c>
      <c r="K51" s="89"/>
      <c r="L51" s="112">
        <v>40.0</v>
      </c>
      <c r="M51" s="89"/>
      <c r="N51" s="111">
        <v>140.0</v>
      </c>
      <c r="O51" s="89"/>
      <c r="P51" s="111">
        <v>140.0</v>
      </c>
      <c r="Q51" s="89"/>
      <c r="R51" s="111">
        <v>0.0</v>
      </c>
      <c r="S51" s="89"/>
      <c r="T51" s="111">
        <v>0.0</v>
      </c>
      <c r="U51" s="89"/>
      <c r="V51" s="111">
        <v>0.0</v>
      </c>
      <c r="W51" s="89"/>
      <c r="X51" s="111">
        <v>0.0</v>
      </c>
      <c r="Y51" s="91"/>
      <c r="Z51" s="112">
        <v>0.0</v>
      </c>
      <c r="AA51" s="89"/>
      <c r="AB51" s="111">
        <v>0.0</v>
      </c>
      <c r="AC51" s="89"/>
      <c r="AD51" s="111">
        <v>0.0</v>
      </c>
      <c r="AE51" s="89"/>
      <c r="AF51" s="117"/>
      <c r="AG51" s="89"/>
      <c r="AH51" s="117"/>
      <c r="AI51" s="89"/>
      <c r="AJ51" s="117"/>
      <c r="AK51" s="91"/>
      <c r="AL51" s="92">
        <f t="shared" si="1"/>
        <v>13495.02</v>
      </c>
      <c r="AM51" s="85">
        <f t="shared" si="2"/>
        <v>620</v>
      </c>
      <c r="AN51" s="85">
        <f t="shared" si="3"/>
        <v>0</v>
      </c>
      <c r="AO51" s="85">
        <f t="shared" si="4"/>
        <v>620</v>
      </c>
      <c r="AP51" s="93">
        <f t="shared" si="5"/>
        <v>21.76616129</v>
      </c>
    </row>
    <row r="52">
      <c r="A52" s="66" t="s">
        <v>11</v>
      </c>
      <c r="B52" s="94">
        <f t="shared" si="6"/>
        <v>44611</v>
      </c>
      <c r="C52" s="68">
        <v>2.0</v>
      </c>
      <c r="D52" s="68" t="s">
        <v>33</v>
      </c>
      <c r="E52" s="70" t="s">
        <v>13</v>
      </c>
      <c r="F52" s="105">
        <v>123.0</v>
      </c>
      <c r="H52" s="104">
        <v>123.0</v>
      </c>
      <c r="J52" s="104">
        <v>0.0</v>
      </c>
      <c r="L52" s="105">
        <v>140.0</v>
      </c>
      <c r="N52" s="104">
        <v>140.0</v>
      </c>
      <c r="P52" s="104">
        <v>0.0</v>
      </c>
      <c r="R52" s="104">
        <v>0.0</v>
      </c>
      <c r="T52" s="104">
        <v>1.0</v>
      </c>
      <c r="V52" s="104">
        <v>1.0</v>
      </c>
      <c r="X52" s="104">
        <v>0.0</v>
      </c>
      <c r="Y52" s="73"/>
      <c r="Z52" s="105">
        <v>31.0</v>
      </c>
      <c r="AB52" s="104">
        <v>31.0</v>
      </c>
      <c r="AD52" s="104">
        <v>0.0</v>
      </c>
      <c r="AF52" s="113"/>
      <c r="AH52" s="113"/>
      <c r="AJ52" s="113"/>
      <c r="AK52" s="73"/>
      <c r="AL52" s="74">
        <f t="shared" si="1"/>
        <v>13156.584</v>
      </c>
      <c r="AM52" s="68">
        <f t="shared" si="2"/>
        <v>588</v>
      </c>
      <c r="AN52" s="68">
        <f t="shared" si="3"/>
        <v>2</v>
      </c>
      <c r="AO52" s="68">
        <f t="shared" si="4"/>
        <v>590</v>
      </c>
      <c r="AP52" s="75">
        <f t="shared" si="5"/>
        <v>22.29929492</v>
      </c>
    </row>
    <row r="53">
      <c r="A53" s="76" t="s">
        <v>16</v>
      </c>
      <c r="B53" s="77">
        <f t="shared" si="6"/>
        <v>44612</v>
      </c>
      <c r="C53" s="78">
        <v>2.0</v>
      </c>
      <c r="D53" s="78" t="s">
        <v>33</v>
      </c>
      <c r="E53" s="80" t="s">
        <v>13</v>
      </c>
      <c r="F53" s="105">
        <v>124.0</v>
      </c>
      <c r="H53" s="104">
        <v>124.0</v>
      </c>
      <c r="J53" s="104">
        <v>0.0</v>
      </c>
      <c r="L53" s="105">
        <v>140.0</v>
      </c>
      <c r="N53" s="104">
        <v>140.0</v>
      </c>
      <c r="P53" s="104">
        <v>0.0</v>
      </c>
      <c r="R53" s="104">
        <v>0.0</v>
      </c>
      <c r="T53" s="104">
        <v>0.0</v>
      </c>
      <c r="V53" s="104">
        <v>0.0</v>
      </c>
      <c r="X53" s="104">
        <v>0.0</v>
      </c>
      <c r="Y53" s="73"/>
      <c r="Z53" s="105">
        <v>31.0</v>
      </c>
      <c r="AB53" s="104">
        <v>31.0</v>
      </c>
      <c r="AD53" s="104">
        <v>0.0</v>
      </c>
      <c r="AF53" s="113"/>
      <c r="AH53" s="113"/>
      <c r="AJ53" s="113"/>
      <c r="AK53" s="73"/>
      <c r="AL53" s="81">
        <f t="shared" si="1"/>
        <v>12475.218</v>
      </c>
      <c r="AM53" s="78">
        <f t="shared" si="2"/>
        <v>590</v>
      </c>
      <c r="AN53" s="78">
        <f t="shared" si="3"/>
        <v>0</v>
      </c>
      <c r="AO53" s="78">
        <f t="shared" si="4"/>
        <v>590</v>
      </c>
      <c r="AP53" s="82">
        <f t="shared" si="5"/>
        <v>21.14443729</v>
      </c>
    </row>
    <row r="54">
      <c r="A54" s="76" t="s">
        <v>17</v>
      </c>
      <c r="B54" s="77">
        <f t="shared" si="6"/>
        <v>44613</v>
      </c>
      <c r="C54" s="78">
        <v>2.0</v>
      </c>
      <c r="D54" s="78" t="s">
        <v>33</v>
      </c>
      <c r="E54" s="80" t="s">
        <v>13</v>
      </c>
      <c r="F54" s="105">
        <v>125.0</v>
      </c>
      <c r="H54" s="104">
        <v>125.0</v>
      </c>
      <c r="J54" s="104">
        <v>0.0</v>
      </c>
      <c r="L54" s="105">
        <v>160.0</v>
      </c>
      <c r="N54" s="104">
        <v>160.0</v>
      </c>
      <c r="P54" s="104">
        <v>0.0</v>
      </c>
      <c r="R54" s="104">
        <v>0.0</v>
      </c>
      <c r="T54" s="104">
        <v>0.0</v>
      </c>
      <c r="V54" s="104">
        <v>0.0</v>
      </c>
      <c r="X54" s="104">
        <v>0.0</v>
      </c>
      <c r="Y54" s="73"/>
      <c r="Z54" s="105">
        <v>36.0</v>
      </c>
      <c r="AB54" s="104">
        <v>36.0</v>
      </c>
      <c r="AD54" s="104">
        <v>0.0</v>
      </c>
      <c r="AF54" s="113"/>
      <c r="AH54" s="113"/>
      <c r="AJ54" s="113"/>
      <c r="AK54" s="73"/>
      <c r="AL54" s="81">
        <f t="shared" si="1"/>
        <v>13380.402</v>
      </c>
      <c r="AM54" s="78">
        <f t="shared" si="2"/>
        <v>642</v>
      </c>
      <c r="AN54" s="78">
        <f t="shared" si="3"/>
        <v>0</v>
      </c>
      <c r="AO54" s="78">
        <f t="shared" si="4"/>
        <v>642</v>
      </c>
      <c r="AP54" s="82">
        <f t="shared" si="5"/>
        <v>20.84174766</v>
      </c>
    </row>
    <row r="55">
      <c r="A55" s="76" t="s">
        <v>21</v>
      </c>
      <c r="B55" s="77">
        <f t="shared" si="6"/>
        <v>44614</v>
      </c>
      <c r="C55" s="78">
        <v>2.0</v>
      </c>
      <c r="D55" s="78" t="s">
        <v>33</v>
      </c>
      <c r="E55" s="80" t="s">
        <v>13</v>
      </c>
      <c r="F55" s="105">
        <v>125.0</v>
      </c>
      <c r="H55" s="104">
        <v>125.0</v>
      </c>
      <c r="J55" s="104">
        <v>0.0</v>
      </c>
      <c r="L55" s="105">
        <v>160.0</v>
      </c>
      <c r="N55" s="104">
        <v>160.0</v>
      </c>
      <c r="P55" s="104">
        <v>0.0</v>
      </c>
      <c r="R55" s="104">
        <v>0.0</v>
      </c>
      <c r="T55" s="104">
        <v>0.0</v>
      </c>
      <c r="V55" s="104">
        <v>0.0</v>
      </c>
      <c r="X55" s="104">
        <v>0.0</v>
      </c>
      <c r="Y55" s="73"/>
      <c r="Z55" s="105">
        <v>36.0</v>
      </c>
      <c r="AB55" s="104">
        <v>36.0</v>
      </c>
      <c r="AD55" s="104">
        <v>0.0</v>
      </c>
      <c r="AF55" s="113"/>
      <c r="AH55" s="113"/>
      <c r="AJ55" s="113"/>
      <c r="AK55" s="73"/>
      <c r="AL55" s="81">
        <f t="shared" si="1"/>
        <v>13380.402</v>
      </c>
      <c r="AM55" s="78">
        <f t="shared" si="2"/>
        <v>642</v>
      </c>
      <c r="AN55" s="78">
        <f t="shared" si="3"/>
        <v>0</v>
      </c>
      <c r="AO55" s="78">
        <f t="shared" si="4"/>
        <v>642</v>
      </c>
      <c r="AP55" s="82">
        <f t="shared" si="5"/>
        <v>20.84174766</v>
      </c>
    </row>
    <row r="56">
      <c r="A56" s="76" t="s">
        <v>24</v>
      </c>
      <c r="B56" s="77">
        <f t="shared" si="6"/>
        <v>44615</v>
      </c>
      <c r="C56" s="78">
        <v>2.0</v>
      </c>
      <c r="D56" s="78" t="s">
        <v>33</v>
      </c>
      <c r="E56" s="80" t="s">
        <v>13</v>
      </c>
      <c r="F56" s="105">
        <v>127.0</v>
      </c>
      <c r="H56" s="104">
        <v>127.0</v>
      </c>
      <c r="J56" s="104">
        <v>0.0</v>
      </c>
      <c r="L56" s="105">
        <v>160.0</v>
      </c>
      <c r="N56" s="104">
        <v>160.0</v>
      </c>
      <c r="P56" s="104">
        <v>0.0</v>
      </c>
      <c r="R56" s="104">
        <v>0.0</v>
      </c>
      <c r="T56" s="104">
        <v>0.0</v>
      </c>
      <c r="V56" s="104">
        <v>0.0</v>
      </c>
      <c r="X56" s="104">
        <v>0.0</v>
      </c>
      <c r="Y56" s="73"/>
      <c r="Z56" s="105">
        <v>36.0</v>
      </c>
      <c r="AB56" s="104">
        <v>36.0</v>
      </c>
      <c r="AD56" s="104">
        <v>0.0</v>
      </c>
      <c r="AF56" s="113"/>
      <c r="AH56" s="113"/>
      <c r="AJ56" s="113"/>
      <c r="AK56" s="73"/>
      <c r="AL56" s="81">
        <f t="shared" si="1"/>
        <v>13487.67</v>
      </c>
      <c r="AM56" s="78">
        <f t="shared" si="2"/>
        <v>646</v>
      </c>
      <c r="AN56" s="78">
        <f t="shared" si="3"/>
        <v>0</v>
      </c>
      <c r="AO56" s="78">
        <f t="shared" si="4"/>
        <v>646</v>
      </c>
      <c r="AP56" s="82">
        <f t="shared" si="5"/>
        <v>20.87874613</v>
      </c>
    </row>
    <row r="57">
      <c r="A57" s="76" t="s">
        <v>27</v>
      </c>
      <c r="B57" s="77">
        <f t="shared" si="6"/>
        <v>44616</v>
      </c>
      <c r="C57" s="78">
        <v>2.0</v>
      </c>
      <c r="D57" s="78" t="s">
        <v>33</v>
      </c>
      <c r="E57" s="80" t="s">
        <v>13</v>
      </c>
      <c r="F57" s="105">
        <v>127.0</v>
      </c>
      <c r="H57" s="104">
        <v>127.0</v>
      </c>
      <c r="J57" s="104">
        <v>0.0</v>
      </c>
      <c r="L57" s="105">
        <v>80.0</v>
      </c>
      <c r="N57" s="104">
        <v>80.0</v>
      </c>
      <c r="P57" s="104">
        <v>0.0</v>
      </c>
      <c r="R57" s="104">
        <v>0.0</v>
      </c>
      <c r="T57" s="104">
        <v>0.0</v>
      </c>
      <c r="V57" s="104">
        <v>0.0</v>
      </c>
      <c r="X57" s="104">
        <v>0.0</v>
      </c>
      <c r="Y57" s="73"/>
      <c r="Z57" s="105">
        <v>36.0</v>
      </c>
      <c r="AB57" s="104">
        <v>36.0</v>
      </c>
      <c r="AD57" s="104">
        <v>0.0</v>
      </c>
      <c r="AF57" s="113"/>
      <c r="AH57" s="113"/>
      <c r="AJ57" s="113"/>
      <c r="AK57" s="73"/>
      <c r="AL57" s="81">
        <f t="shared" si="1"/>
        <v>10762.71</v>
      </c>
      <c r="AM57" s="78">
        <f t="shared" si="2"/>
        <v>486</v>
      </c>
      <c r="AN57" s="78">
        <f t="shared" si="3"/>
        <v>0</v>
      </c>
      <c r="AO57" s="78">
        <f t="shared" si="4"/>
        <v>486</v>
      </c>
      <c r="AP57" s="82">
        <f t="shared" si="5"/>
        <v>22.14549383</v>
      </c>
    </row>
    <row r="58">
      <c r="A58" s="83" t="s">
        <v>30</v>
      </c>
      <c r="B58" s="84">
        <f t="shared" si="6"/>
        <v>44617</v>
      </c>
      <c r="C58" s="85">
        <v>2.0</v>
      </c>
      <c r="D58" s="85" t="s">
        <v>33</v>
      </c>
      <c r="E58" s="87" t="s">
        <v>13</v>
      </c>
      <c r="F58" s="112">
        <v>127.0</v>
      </c>
      <c r="G58" s="89"/>
      <c r="H58" s="111">
        <v>127.0</v>
      </c>
      <c r="I58" s="89"/>
      <c r="J58" s="111">
        <v>0.0</v>
      </c>
      <c r="K58" s="89"/>
      <c r="L58" s="112">
        <v>120.0</v>
      </c>
      <c r="M58" s="89"/>
      <c r="N58" s="111">
        <v>210.0</v>
      </c>
      <c r="O58" s="89"/>
      <c r="P58" s="111">
        <v>210.0</v>
      </c>
      <c r="Q58" s="89"/>
      <c r="R58" s="111">
        <v>0.0</v>
      </c>
      <c r="S58" s="89"/>
      <c r="T58" s="111">
        <v>0.0</v>
      </c>
      <c r="U58" s="89"/>
      <c r="V58" s="111">
        <v>0.0</v>
      </c>
      <c r="W58" s="89"/>
      <c r="X58" s="111">
        <v>0.0</v>
      </c>
      <c r="Y58" s="91"/>
      <c r="Z58" s="112">
        <v>0.0</v>
      </c>
      <c r="AA58" s="89"/>
      <c r="AB58" s="111">
        <v>0.0</v>
      </c>
      <c r="AC58" s="89"/>
      <c r="AD58" s="111">
        <v>0.0</v>
      </c>
      <c r="AE58" s="89"/>
      <c r="AF58" s="117"/>
      <c r="AG58" s="89"/>
      <c r="AH58" s="117"/>
      <c r="AI58" s="89"/>
      <c r="AJ58" s="117"/>
      <c r="AK58" s="91"/>
      <c r="AL58" s="92">
        <f t="shared" si="1"/>
        <v>16008.258</v>
      </c>
      <c r="AM58" s="85">
        <f t="shared" si="2"/>
        <v>794</v>
      </c>
      <c r="AN58" s="85">
        <f t="shared" si="3"/>
        <v>0</v>
      </c>
      <c r="AO58" s="85">
        <f t="shared" si="4"/>
        <v>794</v>
      </c>
      <c r="AP58" s="93">
        <f t="shared" si="5"/>
        <v>20.16153401</v>
      </c>
    </row>
    <row r="59">
      <c r="A59" s="66" t="s">
        <v>11</v>
      </c>
      <c r="B59" s="94">
        <f t="shared" si="6"/>
        <v>44618</v>
      </c>
      <c r="C59" s="68">
        <v>3.0</v>
      </c>
      <c r="D59" s="68" t="s">
        <v>48</v>
      </c>
      <c r="E59" s="70" t="s">
        <v>13</v>
      </c>
      <c r="F59" s="105">
        <v>127.0</v>
      </c>
      <c r="H59" s="104">
        <v>127.0</v>
      </c>
      <c r="J59" s="104">
        <v>0.0</v>
      </c>
      <c r="L59" s="105">
        <v>210.0</v>
      </c>
      <c r="N59" s="104">
        <v>210.0</v>
      </c>
      <c r="P59" s="104">
        <v>0.0</v>
      </c>
      <c r="R59" s="104">
        <v>0.0</v>
      </c>
      <c r="T59" s="104">
        <v>1.0</v>
      </c>
      <c r="V59" s="104">
        <v>1.0</v>
      </c>
      <c r="X59" s="104">
        <v>0.0</v>
      </c>
      <c r="Y59" s="73"/>
      <c r="Z59" s="105">
        <v>31.0</v>
      </c>
      <c r="AB59" s="104">
        <v>31.0</v>
      </c>
      <c r="AD59" s="104">
        <v>0.0</v>
      </c>
      <c r="AF59" s="113"/>
      <c r="AH59" s="113"/>
      <c r="AJ59" s="113"/>
      <c r="AK59" s="73"/>
      <c r="AL59" s="74">
        <f t="shared" si="1"/>
        <v>15755.46</v>
      </c>
      <c r="AM59" s="68">
        <f t="shared" si="2"/>
        <v>736</v>
      </c>
      <c r="AN59" s="68">
        <f t="shared" si="3"/>
        <v>2</v>
      </c>
      <c r="AO59" s="68">
        <f t="shared" si="4"/>
        <v>738</v>
      </c>
      <c r="AP59" s="75">
        <f t="shared" si="5"/>
        <v>21.34886179</v>
      </c>
    </row>
    <row r="60">
      <c r="A60" s="76" t="s">
        <v>16</v>
      </c>
      <c r="B60" s="77">
        <f t="shared" si="6"/>
        <v>44619</v>
      </c>
      <c r="C60" s="78">
        <v>3.0</v>
      </c>
      <c r="D60" s="78" t="s">
        <v>48</v>
      </c>
      <c r="E60" s="80" t="s">
        <v>13</v>
      </c>
      <c r="F60" s="105">
        <v>127.0</v>
      </c>
      <c r="H60" s="104">
        <v>127.0</v>
      </c>
      <c r="J60" s="104">
        <v>0.0</v>
      </c>
      <c r="L60" s="105">
        <v>210.0</v>
      </c>
      <c r="N60" s="104">
        <v>210.0</v>
      </c>
      <c r="P60" s="104">
        <v>0.0</v>
      </c>
      <c r="R60" s="104">
        <v>0.0</v>
      </c>
      <c r="T60" s="104">
        <v>0.0</v>
      </c>
      <c r="V60" s="104">
        <v>0.0</v>
      </c>
      <c r="X60" s="104">
        <v>0.0</v>
      </c>
      <c r="Y60" s="73"/>
      <c r="Z60" s="105">
        <v>21.0</v>
      </c>
      <c r="AB60" s="104">
        <v>21.0</v>
      </c>
      <c r="AD60" s="104">
        <v>0.0</v>
      </c>
      <c r="AF60" s="113"/>
      <c r="AH60" s="113"/>
      <c r="AJ60" s="113"/>
      <c r="AK60" s="73"/>
      <c r="AL60" s="81">
        <f t="shared" si="1"/>
        <v>14679.84</v>
      </c>
      <c r="AM60" s="78">
        <f t="shared" si="2"/>
        <v>716</v>
      </c>
      <c r="AN60" s="78">
        <f t="shared" si="3"/>
        <v>0</v>
      </c>
      <c r="AO60" s="78">
        <f t="shared" si="4"/>
        <v>716</v>
      </c>
      <c r="AP60" s="82">
        <f t="shared" si="5"/>
        <v>20.50256983</v>
      </c>
    </row>
    <row r="61">
      <c r="A61" s="76" t="s">
        <v>17</v>
      </c>
      <c r="B61" s="77">
        <f t="shared" si="6"/>
        <v>44620</v>
      </c>
      <c r="C61" s="78">
        <v>3.0</v>
      </c>
      <c r="D61" s="78" t="s">
        <v>48</v>
      </c>
      <c r="E61" s="80" t="s">
        <v>13</v>
      </c>
      <c r="F61" s="105">
        <v>127.0</v>
      </c>
      <c r="H61" s="104">
        <v>127.0</v>
      </c>
      <c r="J61" s="104">
        <v>0.0</v>
      </c>
      <c r="L61" s="105">
        <v>210.0</v>
      </c>
      <c r="N61" s="104">
        <v>210.0</v>
      </c>
      <c r="P61" s="104">
        <v>0.0</v>
      </c>
      <c r="R61" s="104">
        <v>0.0</v>
      </c>
      <c r="T61" s="104">
        <v>0.0</v>
      </c>
      <c r="V61" s="104">
        <v>0.0</v>
      </c>
      <c r="X61" s="104">
        <v>0.0</v>
      </c>
      <c r="Y61" s="73"/>
      <c r="Z61" s="105">
        <v>21.0</v>
      </c>
      <c r="AB61" s="104">
        <v>21.0</v>
      </c>
      <c r="AD61" s="104">
        <v>0.0</v>
      </c>
      <c r="AF61" s="113"/>
      <c r="AH61" s="113"/>
      <c r="AJ61" s="113"/>
      <c r="AK61" s="73"/>
      <c r="AL61" s="81">
        <f t="shared" si="1"/>
        <v>14679.84</v>
      </c>
      <c r="AM61" s="78">
        <f t="shared" si="2"/>
        <v>716</v>
      </c>
      <c r="AN61" s="78">
        <f t="shared" si="3"/>
        <v>0</v>
      </c>
      <c r="AO61" s="78">
        <f t="shared" si="4"/>
        <v>716</v>
      </c>
      <c r="AP61" s="82">
        <f t="shared" si="5"/>
        <v>20.50256983</v>
      </c>
    </row>
    <row r="62">
      <c r="A62" s="76" t="s">
        <v>21</v>
      </c>
      <c r="B62" s="77">
        <f t="shared" si="6"/>
        <v>44621</v>
      </c>
      <c r="C62" s="78">
        <v>3.0</v>
      </c>
      <c r="D62" s="78" t="s">
        <v>48</v>
      </c>
      <c r="E62" s="80" t="s">
        <v>13</v>
      </c>
      <c r="F62" s="105">
        <v>0.0</v>
      </c>
      <c r="H62" s="104">
        <v>0.0</v>
      </c>
      <c r="J62" s="104">
        <v>0.0</v>
      </c>
      <c r="L62" s="105">
        <v>210.0</v>
      </c>
      <c r="N62" s="104">
        <v>210.0</v>
      </c>
      <c r="P62" s="104">
        <v>0.0</v>
      </c>
      <c r="R62" s="104">
        <v>0.0</v>
      </c>
      <c r="T62" s="104">
        <v>0.0</v>
      </c>
      <c r="V62" s="104">
        <v>0.0</v>
      </c>
      <c r="X62" s="104">
        <v>0.0</v>
      </c>
      <c r="Y62" s="73"/>
      <c r="Z62" s="105">
        <v>21.0</v>
      </c>
      <c r="AB62" s="104">
        <v>21.0</v>
      </c>
      <c r="AD62" s="104">
        <v>0.0</v>
      </c>
      <c r="AF62" s="113"/>
      <c r="AH62" s="113"/>
      <c r="AJ62" s="113"/>
      <c r="AK62" s="73"/>
      <c r="AL62" s="81">
        <f t="shared" si="1"/>
        <v>7868.322</v>
      </c>
      <c r="AM62" s="78">
        <f t="shared" si="2"/>
        <v>462</v>
      </c>
      <c r="AN62" s="78">
        <f t="shared" si="3"/>
        <v>0</v>
      </c>
      <c r="AO62" s="78">
        <f t="shared" si="4"/>
        <v>462</v>
      </c>
      <c r="AP62" s="82">
        <f t="shared" si="5"/>
        <v>17.031</v>
      </c>
    </row>
    <row r="63">
      <c r="A63" s="76" t="s">
        <v>24</v>
      </c>
      <c r="B63" s="77">
        <f t="shared" si="6"/>
        <v>44622</v>
      </c>
      <c r="C63" s="78">
        <v>3.0</v>
      </c>
      <c r="D63" s="78" t="s">
        <v>48</v>
      </c>
      <c r="E63" s="80" t="s">
        <v>13</v>
      </c>
      <c r="F63" s="105">
        <v>127.0</v>
      </c>
      <c r="H63" s="104">
        <v>127.0</v>
      </c>
      <c r="J63" s="104">
        <v>0.0</v>
      </c>
      <c r="L63" s="105">
        <v>210.0</v>
      </c>
      <c r="N63" s="104">
        <v>210.0</v>
      </c>
      <c r="P63" s="104">
        <v>0.0</v>
      </c>
      <c r="R63" s="104">
        <v>0.0</v>
      </c>
      <c r="T63" s="104">
        <v>0.0</v>
      </c>
      <c r="V63" s="104">
        <v>0.0</v>
      </c>
      <c r="X63" s="104">
        <v>0.0</v>
      </c>
      <c r="Y63" s="73"/>
      <c r="Z63" s="105">
        <v>26.0</v>
      </c>
      <c r="AB63" s="104">
        <v>26.0</v>
      </c>
      <c r="AD63" s="104">
        <v>0.0</v>
      </c>
      <c r="AF63" s="113"/>
      <c r="AH63" s="113"/>
      <c r="AJ63" s="113"/>
      <c r="AK63" s="73"/>
      <c r="AL63" s="81">
        <f t="shared" si="1"/>
        <v>14850.15</v>
      </c>
      <c r="AM63" s="78">
        <f t="shared" si="2"/>
        <v>726</v>
      </c>
      <c r="AN63" s="78">
        <f t="shared" si="3"/>
        <v>0</v>
      </c>
      <c r="AO63" s="78">
        <f t="shared" si="4"/>
        <v>726</v>
      </c>
      <c r="AP63" s="82">
        <f t="shared" si="5"/>
        <v>20.45475207</v>
      </c>
    </row>
    <row r="64">
      <c r="A64" s="76" t="s">
        <v>27</v>
      </c>
      <c r="B64" s="77">
        <f t="shared" si="6"/>
        <v>44623</v>
      </c>
      <c r="C64" s="78">
        <v>3.0</v>
      </c>
      <c r="D64" s="78" t="s">
        <v>48</v>
      </c>
      <c r="E64" s="80" t="s">
        <v>13</v>
      </c>
      <c r="F64" s="105">
        <v>95.0</v>
      </c>
      <c r="H64" s="104">
        <v>95.0</v>
      </c>
      <c r="J64" s="104">
        <v>0.0</v>
      </c>
      <c r="L64" s="105">
        <v>130.0</v>
      </c>
      <c r="N64" s="104">
        <v>175.0</v>
      </c>
      <c r="P64" s="104">
        <v>175.0</v>
      </c>
      <c r="R64" s="104">
        <v>0.0</v>
      </c>
      <c r="T64" s="104">
        <v>0.0</v>
      </c>
      <c r="V64" s="104">
        <v>0.0</v>
      </c>
      <c r="X64" s="104">
        <v>0.0</v>
      </c>
      <c r="Y64" s="73"/>
      <c r="Z64" s="105">
        <v>12.0</v>
      </c>
      <c r="AB64" s="104">
        <v>12.0</v>
      </c>
      <c r="AD64" s="104">
        <v>0.0</v>
      </c>
      <c r="AF64" s="113"/>
      <c r="AH64" s="113"/>
      <c r="AJ64" s="113"/>
      <c r="AK64" s="73"/>
      <c r="AL64" s="81">
        <f t="shared" si="1"/>
        <v>13678.854</v>
      </c>
      <c r="AM64" s="78">
        <f t="shared" si="2"/>
        <v>694</v>
      </c>
      <c r="AN64" s="78">
        <f t="shared" si="3"/>
        <v>0</v>
      </c>
      <c r="AO64" s="78">
        <f t="shared" si="4"/>
        <v>694</v>
      </c>
      <c r="AP64" s="82">
        <f t="shared" si="5"/>
        <v>19.71016427</v>
      </c>
    </row>
    <row r="65">
      <c r="A65" s="83" t="s">
        <v>30</v>
      </c>
      <c r="B65" s="84">
        <f t="shared" si="6"/>
        <v>44624</v>
      </c>
      <c r="C65" s="85">
        <v>3.0</v>
      </c>
      <c r="D65" s="85" t="s">
        <v>48</v>
      </c>
      <c r="E65" s="87" t="s">
        <v>13</v>
      </c>
      <c r="F65" s="112">
        <v>95.0</v>
      </c>
      <c r="G65" s="89"/>
      <c r="H65" s="111">
        <v>95.0</v>
      </c>
      <c r="I65" s="89"/>
      <c r="J65" s="111">
        <v>0.0</v>
      </c>
      <c r="K65" s="89"/>
      <c r="L65" s="112">
        <v>260.0</v>
      </c>
      <c r="M65" s="89"/>
      <c r="N65" s="111">
        <v>260.0</v>
      </c>
      <c r="O65" s="89"/>
      <c r="P65" s="111">
        <v>0.0</v>
      </c>
      <c r="Q65" s="89"/>
      <c r="R65" s="111">
        <v>0.0</v>
      </c>
      <c r="S65" s="89"/>
      <c r="T65" s="111">
        <v>0.0</v>
      </c>
      <c r="U65" s="89"/>
      <c r="V65" s="111">
        <v>0.0</v>
      </c>
      <c r="W65" s="89"/>
      <c r="X65" s="111">
        <v>0.0</v>
      </c>
      <c r="Y65" s="91"/>
      <c r="Z65" s="112">
        <v>0.0</v>
      </c>
      <c r="AA65" s="89"/>
      <c r="AB65" s="111">
        <v>0.0</v>
      </c>
      <c r="AC65" s="89"/>
      <c r="AD65" s="111">
        <v>0.0</v>
      </c>
      <c r="AE65" s="89"/>
      <c r="AF65" s="117"/>
      <c r="AG65" s="89"/>
      <c r="AH65" s="117"/>
      <c r="AI65" s="89"/>
      <c r="AJ65" s="117"/>
      <c r="AK65" s="91"/>
      <c r="AL65" s="92">
        <f t="shared" si="1"/>
        <v>13951.35</v>
      </c>
      <c r="AM65" s="85">
        <f t="shared" si="2"/>
        <v>710</v>
      </c>
      <c r="AN65" s="85">
        <f t="shared" si="3"/>
        <v>0</v>
      </c>
      <c r="AO65" s="85">
        <f t="shared" si="4"/>
        <v>710</v>
      </c>
      <c r="AP65" s="93">
        <f t="shared" si="5"/>
        <v>19.64978873</v>
      </c>
    </row>
    <row r="66">
      <c r="A66" s="66" t="s">
        <v>11</v>
      </c>
      <c r="B66" s="94">
        <f t="shared" si="6"/>
        <v>44625</v>
      </c>
      <c r="C66" s="68">
        <v>3.0</v>
      </c>
      <c r="D66" s="68" t="s">
        <v>59</v>
      </c>
      <c r="E66" s="70" t="s">
        <v>13</v>
      </c>
      <c r="F66" s="105">
        <v>0.0</v>
      </c>
      <c r="H66" s="104">
        <v>118.0</v>
      </c>
      <c r="J66" s="104">
        <v>118.0</v>
      </c>
      <c r="L66" s="105">
        <v>270.0</v>
      </c>
      <c r="N66" s="104">
        <v>270.0</v>
      </c>
      <c r="P66" s="104">
        <v>0.0</v>
      </c>
      <c r="R66" s="104">
        <v>0.0</v>
      </c>
      <c r="T66" s="104">
        <v>1.0</v>
      </c>
      <c r="V66" s="104">
        <v>1.0</v>
      </c>
      <c r="X66" s="104">
        <v>0.0</v>
      </c>
      <c r="Y66" s="73"/>
      <c r="Z66" s="105">
        <v>26.0</v>
      </c>
      <c r="AB66" s="104">
        <v>26.0</v>
      </c>
      <c r="AD66" s="104">
        <v>0.0</v>
      </c>
      <c r="AF66" s="113"/>
      <c r="AH66" s="113"/>
      <c r="AJ66" s="113"/>
      <c r="AK66" s="73"/>
      <c r="AL66" s="74">
        <f t="shared" si="1"/>
        <v>17146.164</v>
      </c>
      <c r="AM66" s="68">
        <f t="shared" si="2"/>
        <v>828</v>
      </c>
      <c r="AN66" s="68">
        <f t="shared" si="3"/>
        <v>2</v>
      </c>
      <c r="AO66" s="68">
        <f t="shared" si="4"/>
        <v>830</v>
      </c>
      <c r="AP66" s="75">
        <f t="shared" si="5"/>
        <v>20.65802892</v>
      </c>
    </row>
    <row r="67">
      <c r="A67" s="76" t="s">
        <v>16</v>
      </c>
      <c r="B67" s="77">
        <f t="shared" si="6"/>
        <v>44626</v>
      </c>
      <c r="C67" s="78">
        <v>3.0</v>
      </c>
      <c r="D67" s="78" t="s">
        <v>59</v>
      </c>
      <c r="E67" s="80" t="s">
        <v>13</v>
      </c>
      <c r="F67" s="105">
        <v>112.0</v>
      </c>
      <c r="H67" s="104">
        <v>112.0</v>
      </c>
      <c r="J67" s="104">
        <v>0.0</v>
      </c>
      <c r="L67" s="105">
        <v>270.0</v>
      </c>
      <c r="N67" s="104">
        <v>270.0</v>
      </c>
      <c r="P67" s="104">
        <v>0.0</v>
      </c>
      <c r="R67" s="104">
        <v>0.0</v>
      </c>
      <c r="T67" s="104">
        <v>0.0</v>
      </c>
      <c r="V67" s="104">
        <v>0.0</v>
      </c>
      <c r="X67" s="104">
        <v>0.0</v>
      </c>
      <c r="Y67" s="73"/>
      <c r="Z67" s="105">
        <v>26.0</v>
      </c>
      <c r="AB67" s="104">
        <v>26.0</v>
      </c>
      <c r="AD67" s="104">
        <v>0.0</v>
      </c>
      <c r="AF67" s="113"/>
      <c r="AH67" s="113"/>
      <c r="AJ67" s="113"/>
      <c r="AK67" s="73"/>
      <c r="AL67" s="81">
        <f t="shared" si="1"/>
        <v>16089.36</v>
      </c>
      <c r="AM67" s="78">
        <f t="shared" si="2"/>
        <v>816</v>
      </c>
      <c r="AN67" s="78">
        <f t="shared" si="3"/>
        <v>0</v>
      </c>
      <c r="AO67" s="78">
        <f t="shared" si="4"/>
        <v>816</v>
      </c>
      <c r="AP67" s="82">
        <f t="shared" si="5"/>
        <v>19.71735294</v>
      </c>
    </row>
    <row r="68">
      <c r="A68" s="76" t="s">
        <v>17</v>
      </c>
      <c r="B68" s="77">
        <f t="shared" si="6"/>
        <v>44627</v>
      </c>
      <c r="C68" s="78">
        <v>3.0</v>
      </c>
      <c r="D68" s="78" t="s">
        <v>59</v>
      </c>
      <c r="E68" s="80" t="s">
        <v>13</v>
      </c>
      <c r="F68" s="105">
        <v>112.0</v>
      </c>
      <c r="H68" s="104">
        <v>112.0</v>
      </c>
      <c r="J68" s="104">
        <v>0.0</v>
      </c>
      <c r="L68" s="105">
        <v>276.0</v>
      </c>
      <c r="N68" s="104">
        <v>276.0</v>
      </c>
      <c r="P68" s="104">
        <v>0.0</v>
      </c>
      <c r="R68" s="104">
        <v>0.0</v>
      </c>
      <c r="T68" s="104">
        <v>0.0</v>
      </c>
      <c r="V68" s="104">
        <v>0.0</v>
      </c>
      <c r="X68" s="104">
        <v>0.0</v>
      </c>
      <c r="Y68" s="73"/>
      <c r="Z68" s="105">
        <v>26.0</v>
      </c>
      <c r="AB68" s="104">
        <v>26.0</v>
      </c>
      <c r="AD68" s="104">
        <v>0.0</v>
      </c>
      <c r="AF68" s="113"/>
      <c r="AH68" s="113"/>
      <c r="AJ68" s="113"/>
      <c r="AK68" s="73"/>
      <c r="AL68" s="81">
        <f t="shared" si="1"/>
        <v>16293.732</v>
      </c>
      <c r="AM68" s="78">
        <f t="shared" si="2"/>
        <v>828</v>
      </c>
      <c r="AN68" s="78">
        <f t="shared" si="3"/>
        <v>0</v>
      </c>
      <c r="AO68" s="78">
        <f t="shared" si="4"/>
        <v>828</v>
      </c>
      <c r="AP68" s="82">
        <f t="shared" si="5"/>
        <v>19.67842029</v>
      </c>
    </row>
    <row r="69">
      <c r="A69" s="76" t="s">
        <v>21</v>
      </c>
      <c r="B69" s="77">
        <f t="shared" si="6"/>
        <v>44628</v>
      </c>
      <c r="C69" s="78">
        <v>3.0</v>
      </c>
      <c r="D69" s="78" t="s">
        <v>59</v>
      </c>
      <c r="E69" s="80" t="s">
        <v>13</v>
      </c>
      <c r="F69" s="105">
        <v>112.0</v>
      </c>
      <c r="H69" s="104">
        <v>112.0</v>
      </c>
      <c r="J69" s="104">
        <v>0.0</v>
      </c>
      <c r="L69" s="105">
        <v>276.0</v>
      </c>
      <c r="N69" s="104">
        <v>276.0</v>
      </c>
      <c r="P69" s="104">
        <v>0.0</v>
      </c>
      <c r="R69" s="104">
        <v>0.0</v>
      </c>
      <c r="T69" s="104">
        <v>0.0</v>
      </c>
      <c r="V69" s="104">
        <v>0.0</v>
      </c>
      <c r="X69" s="104">
        <v>0.0</v>
      </c>
      <c r="Y69" s="73"/>
      <c r="Z69" s="105">
        <v>26.0</v>
      </c>
      <c r="AB69" s="104">
        <v>26.0</v>
      </c>
      <c r="AD69" s="104">
        <v>0.0</v>
      </c>
      <c r="AF69" s="113"/>
      <c r="AH69" s="113"/>
      <c r="AJ69" s="113"/>
      <c r="AK69" s="73"/>
      <c r="AL69" s="81">
        <f t="shared" si="1"/>
        <v>16293.732</v>
      </c>
      <c r="AM69" s="78">
        <f t="shared" si="2"/>
        <v>828</v>
      </c>
      <c r="AN69" s="78">
        <f t="shared" si="3"/>
        <v>0</v>
      </c>
      <c r="AO69" s="78">
        <f t="shared" si="4"/>
        <v>828</v>
      </c>
      <c r="AP69" s="82">
        <f t="shared" si="5"/>
        <v>19.67842029</v>
      </c>
    </row>
    <row r="70">
      <c r="A70" s="76" t="s">
        <v>24</v>
      </c>
      <c r="B70" s="77">
        <f t="shared" si="6"/>
        <v>44629</v>
      </c>
      <c r="C70" s="78">
        <v>3.0</v>
      </c>
      <c r="D70" s="78" t="s">
        <v>59</v>
      </c>
      <c r="E70" s="80" t="s">
        <v>13</v>
      </c>
      <c r="F70" s="105">
        <v>112.0</v>
      </c>
      <c r="H70" s="104">
        <v>112.0</v>
      </c>
      <c r="J70" s="104">
        <v>112.0</v>
      </c>
      <c r="L70" s="105">
        <v>276.0</v>
      </c>
      <c r="N70" s="104">
        <v>276.0</v>
      </c>
      <c r="P70" s="104">
        <v>0.0</v>
      </c>
      <c r="R70" s="104">
        <v>0.0</v>
      </c>
      <c r="T70" s="104">
        <v>0.0</v>
      </c>
      <c r="V70" s="104">
        <v>0.0</v>
      </c>
      <c r="X70" s="104">
        <v>0.0</v>
      </c>
      <c r="Y70" s="73"/>
      <c r="Z70" s="105">
        <v>26.0</v>
      </c>
      <c r="AB70" s="104">
        <v>26.0</v>
      </c>
      <c r="AD70" s="104">
        <v>0.0</v>
      </c>
      <c r="AF70" s="113"/>
      <c r="AH70" s="113"/>
      <c r="AJ70" s="113"/>
      <c r="AK70" s="73"/>
      <c r="AL70" s="81">
        <f t="shared" si="1"/>
        <v>19297.236</v>
      </c>
      <c r="AM70" s="78">
        <f t="shared" si="2"/>
        <v>940</v>
      </c>
      <c r="AN70" s="78">
        <f t="shared" si="3"/>
        <v>0</v>
      </c>
      <c r="AO70" s="78">
        <f t="shared" si="4"/>
        <v>940</v>
      </c>
      <c r="AP70" s="82">
        <f t="shared" si="5"/>
        <v>20.52897447</v>
      </c>
    </row>
    <row r="71">
      <c r="A71" s="76" t="s">
        <v>27</v>
      </c>
      <c r="B71" s="77">
        <f t="shared" si="6"/>
        <v>44630</v>
      </c>
      <c r="C71" s="78">
        <v>3.0</v>
      </c>
      <c r="D71" s="78" t="s">
        <v>59</v>
      </c>
      <c r="E71" s="80" t="s">
        <v>13</v>
      </c>
      <c r="F71" s="105">
        <v>112.0</v>
      </c>
      <c r="H71" s="104">
        <v>112.0</v>
      </c>
      <c r="J71" s="104">
        <v>0.0</v>
      </c>
      <c r="L71" s="105">
        <v>276.0</v>
      </c>
      <c r="N71" s="104">
        <v>276.0</v>
      </c>
      <c r="P71" s="104">
        <v>0.0</v>
      </c>
      <c r="R71" s="104">
        <v>0.0</v>
      </c>
      <c r="T71" s="104">
        <v>0.0</v>
      </c>
      <c r="V71" s="104">
        <v>0.0</v>
      </c>
      <c r="X71" s="104">
        <v>0.0</v>
      </c>
      <c r="Y71" s="73"/>
      <c r="Z71" s="105">
        <v>13.0</v>
      </c>
      <c r="AB71" s="104">
        <v>13.0</v>
      </c>
      <c r="AD71" s="104">
        <v>0.0</v>
      </c>
      <c r="AF71" s="113"/>
      <c r="AH71" s="113"/>
      <c r="AJ71" s="113"/>
      <c r="AK71" s="73"/>
      <c r="AL71" s="81">
        <f t="shared" si="1"/>
        <v>15850.926</v>
      </c>
      <c r="AM71" s="78">
        <f t="shared" si="2"/>
        <v>802</v>
      </c>
      <c r="AN71" s="78">
        <f t="shared" si="3"/>
        <v>0</v>
      </c>
      <c r="AO71" s="78">
        <f t="shared" si="4"/>
        <v>802</v>
      </c>
      <c r="AP71" s="82">
        <f t="shared" si="5"/>
        <v>19.76424688</v>
      </c>
    </row>
    <row r="72">
      <c r="A72" s="83" t="s">
        <v>30</v>
      </c>
      <c r="B72" s="84">
        <f t="shared" si="6"/>
        <v>44631</v>
      </c>
      <c r="C72" s="85">
        <v>3.0</v>
      </c>
      <c r="D72" s="85" t="s">
        <v>59</v>
      </c>
      <c r="E72" s="87" t="s">
        <v>13</v>
      </c>
      <c r="F72" s="112">
        <v>112.0</v>
      </c>
      <c r="G72" s="89"/>
      <c r="H72" s="111">
        <v>112.0</v>
      </c>
      <c r="I72" s="89"/>
      <c r="J72" s="111">
        <v>0.0</v>
      </c>
      <c r="K72" s="89"/>
      <c r="L72" s="112">
        <v>276.0</v>
      </c>
      <c r="M72" s="89"/>
      <c r="N72" s="111">
        <v>276.0</v>
      </c>
      <c r="O72" s="89"/>
      <c r="P72" s="111">
        <v>0.0</v>
      </c>
      <c r="Q72" s="89"/>
      <c r="R72" s="111">
        <v>0.0</v>
      </c>
      <c r="S72" s="89"/>
      <c r="T72" s="111">
        <v>0.0</v>
      </c>
      <c r="U72" s="89"/>
      <c r="V72" s="111">
        <v>0.0</v>
      </c>
      <c r="W72" s="89"/>
      <c r="X72" s="111">
        <v>0.0</v>
      </c>
      <c r="Y72" s="91"/>
      <c r="Z72" s="112">
        <v>24.0</v>
      </c>
      <c r="AA72" s="89"/>
      <c r="AB72" s="111">
        <v>24.0</v>
      </c>
      <c r="AC72" s="89"/>
      <c r="AD72" s="111">
        <v>0.0</v>
      </c>
      <c r="AE72" s="89"/>
      <c r="AF72" s="117"/>
      <c r="AG72" s="89"/>
      <c r="AH72" s="117"/>
      <c r="AI72" s="89"/>
      <c r="AJ72" s="117"/>
      <c r="AK72" s="91"/>
      <c r="AL72" s="92">
        <f t="shared" si="1"/>
        <v>16225.608</v>
      </c>
      <c r="AM72" s="85">
        <f t="shared" si="2"/>
        <v>824</v>
      </c>
      <c r="AN72" s="85">
        <f t="shared" si="3"/>
        <v>0</v>
      </c>
      <c r="AO72" s="85">
        <f t="shared" si="4"/>
        <v>824</v>
      </c>
      <c r="AP72" s="93">
        <f t="shared" si="5"/>
        <v>19.69127184</v>
      </c>
    </row>
    <row r="73">
      <c r="A73" s="66" t="s">
        <v>11</v>
      </c>
      <c r="B73" s="94">
        <f t="shared" si="6"/>
        <v>44632</v>
      </c>
      <c r="C73" s="68">
        <v>3.0</v>
      </c>
      <c r="D73" s="68" t="s">
        <v>12</v>
      </c>
      <c r="E73" s="70" t="s">
        <v>13</v>
      </c>
      <c r="F73" s="105">
        <v>105.0</v>
      </c>
      <c r="H73" s="104">
        <v>105.0</v>
      </c>
      <c r="J73" s="104">
        <v>0.0</v>
      </c>
      <c r="L73" s="105">
        <v>287.0</v>
      </c>
      <c r="N73" s="104">
        <v>287.0</v>
      </c>
      <c r="P73" s="104">
        <v>0.0</v>
      </c>
      <c r="R73" s="104">
        <v>0.0</v>
      </c>
      <c r="T73" s="104">
        <v>1.0</v>
      </c>
      <c r="V73" s="104">
        <v>1.0</v>
      </c>
      <c r="X73" s="104">
        <v>0.0</v>
      </c>
      <c r="Y73" s="73"/>
      <c r="Z73" s="105">
        <v>24.0</v>
      </c>
      <c r="AB73" s="104">
        <v>24.0</v>
      </c>
      <c r="AD73" s="104">
        <v>0.0</v>
      </c>
      <c r="AF73" s="113"/>
      <c r="AH73" s="113"/>
      <c r="AJ73" s="113"/>
      <c r="AK73" s="73"/>
      <c r="AL73" s="74">
        <f t="shared" si="1"/>
        <v>16959.852</v>
      </c>
      <c r="AM73" s="68">
        <f t="shared" si="2"/>
        <v>832</v>
      </c>
      <c r="AN73" s="68">
        <f t="shared" si="3"/>
        <v>2</v>
      </c>
      <c r="AO73" s="68">
        <f t="shared" si="4"/>
        <v>834</v>
      </c>
      <c r="AP73" s="75">
        <f t="shared" si="5"/>
        <v>20.33555396</v>
      </c>
    </row>
    <row r="74">
      <c r="A74" s="76" t="s">
        <v>16</v>
      </c>
      <c r="B74" s="77">
        <f t="shared" si="6"/>
        <v>44633</v>
      </c>
      <c r="C74" s="78">
        <v>3.0</v>
      </c>
      <c r="D74" s="78" t="s">
        <v>12</v>
      </c>
      <c r="E74" s="80" t="s">
        <v>13</v>
      </c>
      <c r="F74" s="105">
        <v>0.0</v>
      </c>
      <c r="H74" s="104">
        <v>105.0</v>
      </c>
      <c r="J74" s="104">
        <v>105.0</v>
      </c>
      <c r="L74" s="105">
        <v>287.0</v>
      </c>
      <c r="N74" s="104">
        <v>287.0</v>
      </c>
      <c r="P74" s="104">
        <v>0.0</v>
      </c>
      <c r="R74" s="104">
        <v>0.0</v>
      </c>
      <c r="T74" s="104">
        <v>0.0</v>
      </c>
      <c r="V74" s="104">
        <v>0.0</v>
      </c>
      <c r="X74" s="104">
        <v>0.0</v>
      </c>
      <c r="Y74" s="73"/>
      <c r="Z74" s="105">
        <v>24.0</v>
      </c>
      <c r="AB74" s="104">
        <v>24.0</v>
      </c>
      <c r="AD74" s="104">
        <v>0.0</v>
      </c>
      <c r="AF74" s="113"/>
      <c r="AH74" s="113"/>
      <c r="AJ74" s="113"/>
      <c r="AK74" s="73"/>
      <c r="AL74" s="81">
        <f t="shared" si="1"/>
        <v>16224.852</v>
      </c>
      <c r="AM74" s="78">
        <f t="shared" si="2"/>
        <v>832</v>
      </c>
      <c r="AN74" s="78">
        <f t="shared" si="3"/>
        <v>0</v>
      </c>
      <c r="AO74" s="78">
        <f t="shared" si="4"/>
        <v>832</v>
      </c>
      <c r="AP74" s="82">
        <f t="shared" si="5"/>
        <v>19.50102404</v>
      </c>
    </row>
    <row r="75">
      <c r="A75" s="76" t="s">
        <v>17</v>
      </c>
      <c r="B75" s="77">
        <f t="shared" si="6"/>
        <v>44634</v>
      </c>
      <c r="C75" s="78">
        <v>3.0</v>
      </c>
      <c r="D75" s="78" t="s">
        <v>12</v>
      </c>
      <c r="E75" s="80" t="s">
        <v>13</v>
      </c>
      <c r="F75" s="105">
        <v>0.0</v>
      </c>
      <c r="H75" s="104">
        <v>105.0</v>
      </c>
      <c r="J75" s="104">
        <v>112.0</v>
      </c>
      <c r="L75" s="105">
        <v>287.0</v>
      </c>
      <c r="N75" s="104">
        <v>287.0</v>
      </c>
      <c r="P75" s="104">
        <v>0.0</v>
      </c>
      <c r="R75" s="104">
        <v>0.0</v>
      </c>
      <c r="T75" s="104">
        <v>0.0</v>
      </c>
      <c r="V75" s="104">
        <v>0.0</v>
      </c>
      <c r="X75" s="104">
        <v>0.0</v>
      </c>
      <c r="Y75" s="73"/>
      <c r="Z75" s="105">
        <v>24.0</v>
      </c>
      <c r="AB75" s="104">
        <v>24.0</v>
      </c>
      <c r="AD75" s="104">
        <v>0.0</v>
      </c>
      <c r="AF75" s="113"/>
      <c r="AH75" s="113"/>
      <c r="AJ75" s="113"/>
      <c r="AK75" s="73"/>
      <c r="AL75" s="81">
        <f t="shared" si="1"/>
        <v>16412.571</v>
      </c>
      <c r="AM75" s="78">
        <f t="shared" si="2"/>
        <v>839</v>
      </c>
      <c r="AN75" s="78">
        <f t="shared" si="3"/>
        <v>0</v>
      </c>
      <c r="AO75" s="78">
        <f t="shared" si="4"/>
        <v>839</v>
      </c>
      <c r="AP75" s="82">
        <f t="shared" si="5"/>
        <v>19.56206317</v>
      </c>
    </row>
    <row r="76">
      <c r="A76" s="76" t="s">
        <v>21</v>
      </c>
      <c r="B76" s="77">
        <f t="shared" si="6"/>
        <v>44635</v>
      </c>
      <c r="C76" s="78">
        <v>3.0</v>
      </c>
      <c r="D76" s="78" t="s">
        <v>12</v>
      </c>
      <c r="E76" s="80" t="s">
        <v>13</v>
      </c>
      <c r="F76" s="105">
        <v>0.0</v>
      </c>
      <c r="H76" s="104">
        <v>0.0</v>
      </c>
      <c r="J76" s="104">
        <v>0.0</v>
      </c>
      <c r="L76" s="105">
        <v>0.0</v>
      </c>
      <c r="N76" s="104">
        <v>0.0</v>
      </c>
      <c r="P76" s="104">
        <v>0.0</v>
      </c>
      <c r="R76" s="104">
        <v>0.0</v>
      </c>
      <c r="T76" s="104">
        <v>0.0</v>
      </c>
      <c r="V76" s="104">
        <v>0.0</v>
      </c>
      <c r="X76" s="104">
        <v>0.0</v>
      </c>
      <c r="Y76" s="73"/>
      <c r="Z76" s="105">
        <v>0.0</v>
      </c>
      <c r="AB76" s="104">
        <v>0.0</v>
      </c>
      <c r="AD76" s="104">
        <v>0.0</v>
      </c>
      <c r="AF76" s="113"/>
      <c r="AH76" s="113"/>
      <c r="AJ76" s="113"/>
      <c r="AK76" s="73"/>
      <c r="AL76" s="81">
        <f t="shared" si="1"/>
        <v>0</v>
      </c>
      <c r="AM76" s="78">
        <f t="shared" si="2"/>
        <v>0</v>
      </c>
      <c r="AN76" s="78">
        <f t="shared" si="3"/>
        <v>0</v>
      </c>
      <c r="AO76" s="78">
        <f t="shared" si="4"/>
        <v>0</v>
      </c>
      <c r="AP76" s="82" t="str">
        <f t="shared" si="5"/>
        <v/>
      </c>
    </row>
    <row r="77">
      <c r="A77" s="76" t="s">
        <v>24</v>
      </c>
      <c r="B77" s="77">
        <f t="shared" si="6"/>
        <v>44636</v>
      </c>
      <c r="C77" s="78">
        <v>3.0</v>
      </c>
      <c r="D77" s="78" t="s">
        <v>12</v>
      </c>
      <c r="E77" s="80" t="s">
        <v>13</v>
      </c>
      <c r="F77" s="105">
        <v>105.0</v>
      </c>
      <c r="H77" s="104">
        <v>105.0</v>
      </c>
      <c r="J77" s="104">
        <v>0.0</v>
      </c>
      <c r="L77" s="105">
        <v>287.0</v>
      </c>
      <c r="N77" s="104">
        <v>287.0</v>
      </c>
      <c r="P77" s="104">
        <v>0.0</v>
      </c>
      <c r="R77" s="104">
        <v>0.0</v>
      </c>
      <c r="T77" s="104">
        <v>0.0</v>
      </c>
      <c r="V77" s="104">
        <v>0.0</v>
      </c>
      <c r="X77" s="104">
        <v>0.0</v>
      </c>
      <c r="Y77" s="73"/>
      <c r="Z77" s="105">
        <v>24.0</v>
      </c>
      <c r="AB77" s="104">
        <v>24.0</v>
      </c>
      <c r="AD77" s="104">
        <v>0.0</v>
      </c>
      <c r="AF77" s="113"/>
      <c r="AH77" s="113"/>
      <c r="AJ77" s="113"/>
      <c r="AK77" s="73"/>
      <c r="AL77" s="81">
        <f t="shared" si="1"/>
        <v>16224.852</v>
      </c>
      <c r="AM77" s="78">
        <f t="shared" si="2"/>
        <v>832</v>
      </c>
      <c r="AN77" s="78">
        <f t="shared" si="3"/>
        <v>0</v>
      </c>
      <c r="AO77" s="78">
        <f t="shared" si="4"/>
        <v>832</v>
      </c>
      <c r="AP77" s="82">
        <f t="shared" si="5"/>
        <v>19.50102404</v>
      </c>
    </row>
    <row r="78">
      <c r="A78" s="76" t="s">
        <v>27</v>
      </c>
      <c r="B78" s="77">
        <f t="shared" si="6"/>
        <v>44637</v>
      </c>
      <c r="C78" s="78">
        <v>3.0</v>
      </c>
      <c r="D78" s="78" t="s">
        <v>12</v>
      </c>
      <c r="E78" s="80" t="s">
        <v>13</v>
      </c>
      <c r="F78" s="105">
        <v>105.0</v>
      </c>
      <c r="H78" s="104">
        <v>105.0</v>
      </c>
      <c r="J78" s="104">
        <v>0.0</v>
      </c>
      <c r="L78" s="105">
        <v>287.0</v>
      </c>
      <c r="N78" s="104">
        <v>287.0</v>
      </c>
      <c r="P78" s="104">
        <v>0.0</v>
      </c>
      <c r="R78" s="104">
        <v>0.0</v>
      </c>
      <c r="T78" s="104">
        <v>0.0</v>
      </c>
      <c r="V78" s="104">
        <v>0.0</v>
      </c>
      <c r="X78" s="104">
        <v>0.0</v>
      </c>
      <c r="Y78" s="73"/>
      <c r="Z78" s="105">
        <v>15.0</v>
      </c>
      <c r="AB78" s="104">
        <v>24.0</v>
      </c>
      <c r="AD78" s="104">
        <v>0.0</v>
      </c>
      <c r="AF78" s="113"/>
      <c r="AH78" s="113"/>
      <c r="AJ78" s="113"/>
      <c r="AK78" s="73"/>
      <c r="AL78" s="81">
        <f t="shared" si="1"/>
        <v>16071.573</v>
      </c>
      <c r="AM78" s="78">
        <f t="shared" si="2"/>
        <v>823</v>
      </c>
      <c r="AN78" s="78">
        <f t="shared" si="3"/>
        <v>0</v>
      </c>
      <c r="AO78" s="78">
        <f t="shared" si="4"/>
        <v>823</v>
      </c>
      <c r="AP78" s="82">
        <f t="shared" si="5"/>
        <v>19.52803524</v>
      </c>
    </row>
    <row r="79">
      <c r="A79" s="83" t="s">
        <v>30</v>
      </c>
      <c r="B79" s="84">
        <f t="shared" si="6"/>
        <v>44638</v>
      </c>
      <c r="C79" s="85">
        <v>3.0</v>
      </c>
      <c r="D79" s="85" t="s">
        <v>12</v>
      </c>
      <c r="E79" s="87" t="s">
        <v>13</v>
      </c>
      <c r="F79" s="112">
        <v>105.0</v>
      </c>
      <c r="G79" s="89"/>
      <c r="H79" s="111">
        <v>105.0</v>
      </c>
      <c r="I79" s="89"/>
      <c r="J79" s="111">
        <v>0.0</v>
      </c>
      <c r="K79" s="89"/>
      <c r="L79" s="112">
        <v>287.0</v>
      </c>
      <c r="M79" s="89"/>
      <c r="N79" s="111">
        <v>287.0</v>
      </c>
      <c r="O79" s="89"/>
      <c r="P79" s="111">
        <v>0.0</v>
      </c>
      <c r="Q79" s="89"/>
      <c r="R79" s="111">
        <v>0.0</v>
      </c>
      <c r="S79" s="89"/>
      <c r="T79" s="111">
        <v>0.0</v>
      </c>
      <c r="U79" s="89"/>
      <c r="V79" s="111">
        <v>0.0</v>
      </c>
      <c r="W79" s="89"/>
      <c r="X79" s="111">
        <v>0.0</v>
      </c>
      <c r="Y79" s="91"/>
      <c r="Z79" s="112">
        <v>6.0</v>
      </c>
      <c r="AA79" s="89"/>
      <c r="AB79" s="111">
        <v>6.0</v>
      </c>
      <c r="AC79" s="89"/>
      <c r="AD79" s="111">
        <v>0.0</v>
      </c>
      <c r="AE79" s="89"/>
      <c r="AF79" s="117"/>
      <c r="AG79" s="89"/>
      <c r="AH79" s="117"/>
      <c r="AI79" s="89"/>
      <c r="AJ79" s="117"/>
      <c r="AK79" s="91"/>
      <c r="AL79" s="92">
        <f t="shared" si="1"/>
        <v>15611.736</v>
      </c>
      <c r="AM79" s="85">
        <f t="shared" si="2"/>
        <v>796</v>
      </c>
      <c r="AN79" s="85">
        <f t="shared" si="3"/>
        <v>0</v>
      </c>
      <c r="AO79" s="85">
        <f t="shared" si="4"/>
        <v>796</v>
      </c>
      <c r="AP79" s="93">
        <f t="shared" si="5"/>
        <v>19.61273367</v>
      </c>
    </row>
    <row r="80">
      <c r="A80" s="66" t="s">
        <v>11</v>
      </c>
      <c r="B80" s="94">
        <f t="shared" si="6"/>
        <v>44639</v>
      </c>
      <c r="C80" s="68">
        <v>3.0</v>
      </c>
      <c r="D80" s="68" t="s">
        <v>33</v>
      </c>
      <c r="E80" s="70" t="s">
        <v>13</v>
      </c>
      <c r="F80" s="105">
        <v>105.0</v>
      </c>
      <c r="H80" s="104">
        <v>105.0</v>
      </c>
      <c r="J80" s="104">
        <v>0.0</v>
      </c>
      <c r="L80" s="105">
        <v>287.0</v>
      </c>
      <c r="N80" s="104">
        <v>287.0</v>
      </c>
      <c r="P80" s="104">
        <v>0.0</v>
      </c>
      <c r="R80" s="104">
        <v>0.0</v>
      </c>
      <c r="T80" s="104">
        <v>1.0</v>
      </c>
      <c r="V80" s="104">
        <v>1.0</v>
      </c>
      <c r="X80" s="104">
        <v>0.0</v>
      </c>
      <c r="Y80" s="73"/>
      <c r="Z80" s="105">
        <v>23.0</v>
      </c>
      <c r="AB80" s="104">
        <v>23.0</v>
      </c>
      <c r="AD80" s="104">
        <v>0.0</v>
      </c>
      <c r="AF80" s="113"/>
      <c r="AH80" s="113"/>
      <c r="AJ80" s="113"/>
      <c r="AK80" s="73"/>
      <c r="AL80" s="74">
        <f t="shared" si="1"/>
        <v>16925.79</v>
      </c>
      <c r="AM80" s="68">
        <f t="shared" si="2"/>
        <v>830</v>
      </c>
      <c r="AN80" s="68">
        <f t="shared" si="3"/>
        <v>2</v>
      </c>
      <c r="AO80" s="68">
        <f t="shared" si="4"/>
        <v>832</v>
      </c>
      <c r="AP80" s="75">
        <f t="shared" si="5"/>
        <v>20.3434976</v>
      </c>
    </row>
    <row r="81">
      <c r="A81" s="76" t="s">
        <v>16</v>
      </c>
      <c r="B81" s="77">
        <f t="shared" si="6"/>
        <v>44640</v>
      </c>
      <c r="C81" s="78">
        <v>3.0</v>
      </c>
      <c r="D81" s="78" t="s">
        <v>33</v>
      </c>
      <c r="E81" s="80" t="s">
        <v>13</v>
      </c>
      <c r="F81" s="105">
        <v>0.0</v>
      </c>
      <c r="H81" s="104">
        <v>0.0</v>
      </c>
      <c r="J81" s="104">
        <v>0.0</v>
      </c>
      <c r="L81" s="105">
        <v>0.0</v>
      </c>
      <c r="N81" s="104">
        <v>0.0</v>
      </c>
      <c r="P81" s="104">
        <v>0.0</v>
      </c>
      <c r="R81" s="104">
        <v>0.0</v>
      </c>
      <c r="T81" s="104">
        <v>0.0</v>
      </c>
      <c r="V81" s="104">
        <v>0.0</v>
      </c>
      <c r="X81" s="104">
        <v>0.0</v>
      </c>
      <c r="Y81" s="73"/>
      <c r="Z81" s="105">
        <v>40.0</v>
      </c>
      <c r="AB81" s="104">
        <v>40.0</v>
      </c>
      <c r="AD81" s="104">
        <v>0.0</v>
      </c>
      <c r="AF81" s="113"/>
      <c r="AH81" s="113"/>
      <c r="AJ81" s="113"/>
      <c r="AK81" s="73"/>
      <c r="AL81" s="81">
        <f t="shared" si="1"/>
        <v>1362.48</v>
      </c>
      <c r="AM81" s="78">
        <f t="shared" si="2"/>
        <v>80</v>
      </c>
      <c r="AN81" s="78">
        <f t="shared" si="3"/>
        <v>0</v>
      </c>
      <c r="AO81" s="78">
        <f t="shared" si="4"/>
        <v>80</v>
      </c>
      <c r="AP81" s="82">
        <f t="shared" si="5"/>
        <v>17.031</v>
      </c>
    </row>
    <row r="82">
      <c r="A82" s="76" t="s">
        <v>17</v>
      </c>
      <c r="B82" s="77">
        <f t="shared" si="6"/>
        <v>44641</v>
      </c>
      <c r="C82" s="78">
        <v>3.0</v>
      </c>
      <c r="D82" s="78" t="s">
        <v>33</v>
      </c>
      <c r="E82" s="80" t="s">
        <v>13</v>
      </c>
      <c r="F82" s="105">
        <v>0.0</v>
      </c>
      <c r="H82" s="104">
        <v>95.0</v>
      </c>
      <c r="J82" s="104">
        <v>95.0</v>
      </c>
      <c r="L82" s="105">
        <v>290.0</v>
      </c>
      <c r="N82" s="104">
        <v>290.0</v>
      </c>
      <c r="P82" s="104">
        <v>0.0</v>
      </c>
      <c r="R82" s="104">
        <v>0.0</v>
      </c>
      <c r="T82" s="104">
        <v>0.0</v>
      </c>
      <c r="V82" s="104">
        <v>0.0</v>
      </c>
      <c r="X82" s="104">
        <v>0.0</v>
      </c>
      <c r="Y82" s="73"/>
      <c r="Z82" s="105">
        <v>23.0</v>
      </c>
      <c r="AB82" s="104">
        <v>23.0</v>
      </c>
      <c r="AD82" s="104">
        <v>0.0</v>
      </c>
      <c r="AF82" s="113"/>
      <c r="AH82" s="113"/>
      <c r="AJ82" s="113"/>
      <c r="AK82" s="73"/>
      <c r="AL82" s="81">
        <f t="shared" si="1"/>
        <v>15756.636</v>
      </c>
      <c r="AM82" s="78">
        <f t="shared" si="2"/>
        <v>816</v>
      </c>
      <c r="AN82" s="78">
        <f t="shared" si="3"/>
        <v>0</v>
      </c>
      <c r="AO82" s="78">
        <f t="shared" si="4"/>
        <v>816</v>
      </c>
      <c r="AP82" s="82">
        <f t="shared" si="5"/>
        <v>19.30960294</v>
      </c>
    </row>
    <row r="83">
      <c r="A83" s="76" t="s">
        <v>21</v>
      </c>
      <c r="B83" s="77">
        <f t="shared" si="6"/>
        <v>44642</v>
      </c>
      <c r="C83" s="78">
        <v>3.0</v>
      </c>
      <c r="D83" s="78" t="s">
        <v>33</v>
      </c>
      <c r="E83" s="80" t="s">
        <v>13</v>
      </c>
      <c r="F83" s="105">
        <v>0.0</v>
      </c>
      <c r="H83" s="104">
        <v>95.0</v>
      </c>
      <c r="J83" s="104">
        <v>95.0</v>
      </c>
      <c r="L83" s="105">
        <v>290.0</v>
      </c>
      <c r="N83" s="104">
        <v>290.0</v>
      </c>
      <c r="P83" s="104">
        <v>0.0</v>
      </c>
      <c r="R83" s="104">
        <v>0.0</v>
      </c>
      <c r="T83" s="104">
        <v>0.0</v>
      </c>
      <c r="V83" s="104">
        <v>0.0</v>
      </c>
      <c r="X83" s="104">
        <v>0.0</v>
      </c>
      <c r="Y83" s="73"/>
      <c r="Z83" s="105">
        <v>23.0</v>
      </c>
      <c r="AB83" s="104">
        <v>23.0</v>
      </c>
      <c r="AD83" s="104">
        <v>0.0</v>
      </c>
      <c r="AF83" s="113"/>
      <c r="AH83" s="113"/>
      <c r="AJ83" s="113"/>
      <c r="AK83" s="73"/>
      <c r="AL83" s="81">
        <f t="shared" si="1"/>
        <v>15756.636</v>
      </c>
      <c r="AM83" s="78">
        <f t="shared" si="2"/>
        <v>816</v>
      </c>
      <c r="AN83" s="78">
        <f t="shared" si="3"/>
        <v>0</v>
      </c>
      <c r="AO83" s="78">
        <f t="shared" si="4"/>
        <v>816</v>
      </c>
      <c r="AP83" s="82">
        <f t="shared" si="5"/>
        <v>19.30960294</v>
      </c>
    </row>
    <row r="84">
      <c r="A84" s="76" t="s">
        <v>24</v>
      </c>
      <c r="B84" s="77">
        <f t="shared" si="6"/>
        <v>44643</v>
      </c>
      <c r="C84" s="78">
        <v>3.0</v>
      </c>
      <c r="D84" s="78" t="s">
        <v>33</v>
      </c>
      <c r="E84" s="80" t="s">
        <v>13</v>
      </c>
      <c r="F84" s="105">
        <v>95.0</v>
      </c>
      <c r="H84" s="104">
        <v>95.0</v>
      </c>
      <c r="J84" s="104">
        <v>0.0</v>
      </c>
      <c r="L84" s="105">
        <v>290.0</v>
      </c>
      <c r="N84" s="104">
        <v>290.0</v>
      </c>
      <c r="P84" s="104">
        <v>0.0</v>
      </c>
      <c r="R84" s="104">
        <v>0.0</v>
      </c>
      <c r="T84" s="104">
        <v>0.0</v>
      </c>
      <c r="V84" s="104">
        <v>0.0</v>
      </c>
      <c r="X84" s="104">
        <v>0.0</v>
      </c>
      <c r="Y84" s="73"/>
      <c r="Z84" s="105">
        <v>23.0</v>
      </c>
      <c r="AB84" s="104">
        <v>23.0</v>
      </c>
      <c r="AD84" s="104">
        <v>0.0</v>
      </c>
      <c r="AF84" s="113"/>
      <c r="AH84" s="113"/>
      <c r="AJ84" s="113"/>
      <c r="AK84" s="73"/>
      <c r="AL84" s="81">
        <f t="shared" si="1"/>
        <v>15756.636</v>
      </c>
      <c r="AM84" s="78">
        <f t="shared" si="2"/>
        <v>816</v>
      </c>
      <c r="AN84" s="78">
        <f t="shared" si="3"/>
        <v>0</v>
      </c>
      <c r="AO84" s="78">
        <f t="shared" si="4"/>
        <v>816</v>
      </c>
      <c r="AP84" s="82">
        <f t="shared" si="5"/>
        <v>19.30960294</v>
      </c>
    </row>
    <row r="85">
      <c r="A85" s="76" t="s">
        <v>27</v>
      </c>
      <c r="B85" s="77">
        <f t="shared" si="6"/>
        <v>44644</v>
      </c>
      <c r="C85" s="78">
        <v>3.0</v>
      </c>
      <c r="D85" s="78" t="s">
        <v>33</v>
      </c>
      <c r="E85" s="80" t="s">
        <v>13</v>
      </c>
      <c r="F85" s="105">
        <v>0.0</v>
      </c>
      <c r="H85" s="104">
        <v>95.0</v>
      </c>
      <c r="J85" s="104">
        <v>95.0</v>
      </c>
      <c r="L85" s="105">
        <v>290.0</v>
      </c>
      <c r="N85" s="104">
        <v>290.0</v>
      </c>
      <c r="P85" s="104">
        <v>0.0</v>
      </c>
      <c r="R85" s="104">
        <v>0.0</v>
      </c>
      <c r="T85" s="104">
        <v>0.0</v>
      </c>
      <c r="V85" s="104">
        <v>0.0</v>
      </c>
      <c r="X85" s="104">
        <v>0.0</v>
      </c>
      <c r="Y85" s="73"/>
      <c r="Z85" s="105">
        <v>23.0</v>
      </c>
      <c r="AB85" s="104">
        <v>23.0</v>
      </c>
      <c r="AD85" s="104">
        <v>0.0</v>
      </c>
      <c r="AF85" s="113"/>
      <c r="AH85" s="113"/>
      <c r="AJ85" s="113"/>
      <c r="AK85" s="73"/>
      <c r="AL85" s="81">
        <f t="shared" si="1"/>
        <v>15756.636</v>
      </c>
      <c r="AM85" s="78">
        <f t="shared" si="2"/>
        <v>816</v>
      </c>
      <c r="AN85" s="78">
        <f t="shared" si="3"/>
        <v>0</v>
      </c>
      <c r="AO85" s="78">
        <f t="shared" si="4"/>
        <v>816</v>
      </c>
      <c r="AP85" s="82">
        <f t="shared" si="5"/>
        <v>19.30960294</v>
      </c>
    </row>
    <row r="86">
      <c r="A86" s="83" t="s">
        <v>30</v>
      </c>
      <c r="B86" s="84">
        <f t="shared" si="6"/>
        <v>44645</v>
      </c>
      <c r="C86" s="85">
        <v>3.0</v>
      </c>
      <c r="D86" s="85" t="s">
        <v>33</v>
      </c>
      <c r="E86" s="87" t="s">
        <v>13</v>
      </c>
      <c r="F86" s="112">
        <v>95.0</v>
      </c>
      <c r="G86" s="89"/>
      <c r="H86" s="111">
        <v>65.0</v>
      </c>
      <c r="I86" s="89"/>
      <c r="J86" s="111">
        <v>95.0</v>
      </c>
      <c r="K86" s="89"/>
      <c r="L86" s="112">
        <v>290.0</v>
      </c>
      <c r="M86" s="89"/>
      <c r="N86" s="111">
        <v>290.0</v>
      </c>
      <c r="O86" s="89"/>
      <c r="P86" s="111">
        <v>0.0</v>
      </c>
      <c r="Q86" s="89"/>
      <c r="R86" s="111">
        <v>0.0</v>
      </c>
      <c r="S86" s="89"/>
      <c r="T86" s="111">
        <v>0.0</v>
      </c>
      <c r="U86" s="89"/>
      <c r="V86" s="111">
        <v>0.0</v>
      </c>
      <c r="W86" s="89"/>
      <c r="X86" s="111">
        <v>0.0</v>
      </c>
      <c r="Y86" s="91"/>
      <c r="Z86" s="112">
        <v>2.0</v>
      </c>
      <c r="AA86" s="89"/>
      <c r="AB86" s="111">
        <v>2.0</v>
      </c>
      <c r="AC86" s="89"/>
      <c r="AD86" s="111">
        <v>0.0</v>
      </c>
      <c r="AE86" s="89"/>
      <c r="AF86" s="117"/>
      <c r="AG86" s="89"/>
      <c r="AH86" s="117"/>
      <c r="AI86" s="89"/>
      <c r="AJ86" s="117"/>
      <c r="AK86" s="91"/>
      <c r="AL86" s="92">
        <f t="shared" si="1"/>
        <v>16784.439</v>
      </c>
      <c r="AM86" s="85">
        <f t="shared" si="2"/>
        <v>839</v>
      </c>
      <c r="AN86" s="85">
        <f t="shared" si="3"/>
        <v>0</v>
      </c>
      <c r="AO86" s="85">
        <f t="shared" si="4"/>
        <v>839</v>
      </c>
      <c r="AP86" s="93">
        <f t="shared" si="5"/>
        <v>20.00529082</v>
      </c>
    </row>
    <row r="87">
      <c r="A87" s="66" t="s">
        <v>11</v>
      </c>
      <c r="B87" s="94">
        <f t="shared" si="6"/>
        <v>44646</v>
      </c>
      <c r="C87" s="68">
        <v>4.0</v>
      </c>
      <c r="D87" s="68" t="s">
        <v>48</v>
      </c>
      <c r="E87" s="70" t="s">
        <v>129</v>
      </c>
      <c r="F87" s="71">
        <v>0.0</v>
      </c>
      <c r="H87" s="72">
        <v>0.0</v>
      </c>
      <c r="J87" s="72">
        <v>0.0</v>
      </c>
      <c r="L87" s="105">
        <v>290.0</v>
      </c>
      <c r="N87" s="104">
        <v>290.0</v>
      </c>
      <c r="P87" s="104">
        <v>0.0</v>
      </c>
      <c r="R87" s="104">
        <v>0.0</v>
      </c>
      <c r="T87" s="104">
        <v>1.0</v>
      </c>
      <c r="V87" s="104">
        <v>1.0</v>
      </c>
      <c r="X87" s="104">
        <v>0.0</v>
      </c>
      <c r="Y87" s="73"/>
      <c r="Z87" s="105">
        <v>25.0</v>
      </c>
      <c r="AB87" s="104">
        <v>25.0</v>
      </c>
      <c r="AD87" s="104">
        <v>0.0</v>
      </c>
      <c r="AF87" s="113"/>
      <c r="AH87" s="113"/>
      <c r="AJ87" s="113"/>
      <c r="AK87" s="73"/>
      <c r="AL87" s="74">
        <f t="shared" si="1"/>
        <v>11464.53</v>
      </c>
      <c r="AM87" s="68">
        <f t="shared" si="2"/>
        <v>630</v>
      </c>
      <c r="AN87" s="68">
        <f t="shared" si="3"/>
        <v>2</v>
      </c>
      <c r="AO87" s="68">
        <f t="shared" si="4"/>
        <v>632</v>
      </c>
      <c r="AP87" s="75">
        <f t="shared" si="5"/>
        <v>18.14007911</v>
      </c>
    </row>
    <row r="88">
      <c r="A88" s="76" t="s">
        <v>16</v>
      </c>
      <c r="B88" s="77">
        <f t="shared" si="6"/>
        <v>44647</v>
      </c>
      <c r="C88" s="78">
        <v>4.0</v>
      </c>
      <c r="D88" s="78" t="s">
        <v>48</v>
      </c>
      <c r="E88" s="80" t="s">
        <v>129</v>
      </c>
      <c r="F88" s="71">
        <v>0.0</v>
      </c>
      <c r="H88" s="72">
        <v>0.0</v>
      </c>
      <c r="J88" s="72">
        <v>0.0</v>
      </c>
      <c r="L88" s="105">
        <v>240.0</v>
      </c>
      <c r="N88" s="104">
        <v>240.0</v>
      </c>
      <c r="P88" s="104">
        <v>0.0</v>
      </c>
      <c r="R88" s="104">
        <v>0.0</v>
      </c>
      <c r="T88" s="104">
        <v>0.0</v>
      </c>
      <c r="V88" s="104">
        <v>0.0</v>
      </c>
      <c r="X88" s="104">
        <v>0.0</v>
      </c>
      <c r="Y88" s="73"/>
      <c r="Z88" s="105">
        <v>30.0</v>
      </c>
      <c r="AB88" s="104">
        <v>30.0</v>
      </c>
      <c r="AD88" s="104">
        <v>0.0</v>
      </c>
      <c r="AF88" s="113"/>
      <c r="AH88" s="113"/>
      <c r="AJ88" s="113"/>
      <c r="AK88" s="73"/>
      <c r="AL88" s="81">
        <f t="shared" si="1"/>
        <v>9196.74</v>
      </c>
      <c r="AM88" s="78">
        <f t="shared" si="2"/>
        <v>540</v>
      </c>
      <c r="AN88" s="78">
        <f t="shared" si="3"/>
        <v>0</v>
      </c>
      <c r="AO88" s="78">
        <f t="shared" si="4"/>
        <v>540</v>
      </c>
      <c r="AP88" s="82">
        <f t="shared" si="5"/>
        <v>17.031</v>
      </c>
    </row>
    <row r="89">
      <c r="A89" s="76" t="s">
        <v>17</v>
      </c>
      <c r="B89" s="77">
        <f t="shared" si="6"/>
        <v>44648</v>
      </c>
      <c r="C89" s="78">
        <v>4.0</v>
      </c>
      <c r="D89" s="78" t="s">
        <v>48</v>
      </c>
      <c r="E89" s="80" t="s">
        <v>129</v>
      </c>
      <c r="F89" s="71">
        <v>0.0</v>
      </c>
      <c r="H89" s="72">
        <v>0.0</v>
      </c>
      <c r="J89" s="72">
        <v>0.0</v>
      </c>
      <c r="L89" s="105">
        <v>240.0</v>
      </c>
      <c r="N89" s="104">
        <v>240.0</v>
      </c>
      <c r="P89" s="104">
        <v>0.0</v>
      </c>
      <c r="R89" s="104">
        <v>0.0</v>
      </c>
      <c r="T89" s="104">
        <v>0.0</v>
      </c>
      <c r="V89" s="104">
        <v>0.0</v>
      </c>
      <c r="X89" s="104">
        <v>0.0</v>
      </c>
      <c r="Y89" s="73"/>
      <c r="Z89" s="105">
        <v>30.0</v>
      </c>
      <c r="AB89" s="104">
        <v>30.0</v>
      </c>
      <c r="AD89" s="104">
        <v>0.0</v>
      </c>
      <c r="AF89" s="113"/>
      <c r="AH89" s="113"/>
      <c r="AJ89" s="113"/>
      <c r="AK89" s="73"/>
      <c r="AL89" s="81">
        <f t="shared" si="1"/>
        <v>9196.74</v>
      </c>
      <c r="AM89" s="78">
        <f t="shared" si="2"/>
        <v>540</v>
      </c>
      <c r="AN89" s="78">
        <f t="shared" si="3"/>
        <v>0</v>
      </c>
      <c r="AO89" s="78">
        <f t="shared" si="4"/>
        <v>540</v>
      </c>
      <c r="AP89" s="82">
        <f t="shared" si="5"/>
        <v>17.031</v>
      </c>
    </row>
    <row r="90">
      <c r="A90" s="76" t="s">
        <v>21</v>
      </c>
      <c r="B90" s="77">
        <f t="shared" si="6"/>
        <v>44649</v>
      </c>
      <c r="C90" s="78">
        <v>4.0</v>
      </c>
      <c r="D90" s="78" t="s">
        <v>48</v>
      </c>
      <c r="E90" s="80" t="s">
        <v>129</v>
      </c>
      <c r="F90" s="71">
        <v>0.0</v>
      </c>
      <c r="H90" s="72">
        <v>0.0</v>
      </c>
      <c r="J90" s="72">
        <v>0.0</v>
      </c>
      <c r="L90" s="105">
        <v>240.0</v>
      </c>
      <c r="N90" s="104">
        <v>240.0</v>
      </c>
      <c r="P90" s="104">
        <v>0.0</v>
      </c>
      <c r="R90" s="104">
        <v>0.0</v>
      </c>
      <c r="T90" s="104">
        <v>0.0</v>
      </c>
      <c r="V90" s="104">
        <v>0.0</v>
      </c>
      <c r="X90" s="104">
        <v>0.0</v>
      </c>
      <c r="Y90" s="73"/>
      <c r="Z90" s="105">
        <v>30.0</v>
      </c>
      <c r="AB90" s="104">
        <v>30.0</v>
      </c>
      <c r="AD90" s="104">
        <v>0.0</v>
      </c>
      <c r="AF90" s="113"/>
      <c r="AH90" s="113"/>
      <c r="AJ90" s="113"/>
      <c r="AK90" s="73"/>
      <c r="AL90" s="81">
        <f t="shared" si="1"/>
        <v>9196.74</v>
      </c>
      <c r="AM90" s="78">
        <f t="shared" si="2"/>
        <v>540</v>
      </c>
      <c r="AN90" s="78">
        <f t="shared" si="3"/>
        <v>0</v>
      </c>
      <c r="AO90" s="78">
        <f t="shared" si="4"/>
        <v>540</v>
      </c>
      <c r="AP90" s="82">
        <f t="shared" si="5"/>
        <v>17.031</v>
      </c>
    </row>
    <row r="91">
      <c r="A91" s="76" t="s">
        <v>24</v>
      </c>
      <c r="B91" s="77">
        <f t="shared" si="6"/>
        <v>44650</v>
      </c>
      <c r="C91" s="78">
        <v>4.0</v>
      </c>
      <c r="D91" s="78" t="s">
        <v>48</v>
      </c>
      <c r="E91" s="80" t="s">
        <v>129</v>
      </c>
      <c r="F91" s="71">
        <v>0.0</v>
      </c>
      <c r="H91" s="72">
        <v>0.0</v>
      </c>
      <c r="J91" s="72">
        <v>0.0</v>
      </c>
      <c r="L91" s="105">
        <v>240.0</v>
      </c>
      <c r="N91" s="104">
        <v>240.0</v>
      </c>
      <c r="P91" s="104">
        <v>0.0</v>
      </c>
      <c r="R91" s="104">
        <v>0.0</v>
      </c>
      <c r="T91" s="104">
        <v>0.0</v>
      </c>
      <c r="V91" s="104">
        <v>0.0</v>
      </c>
      <c r="X91" s="104">
        <v>0.0</v>
      </c>
      <c r="Y91" s="73"/>
      <c r="Z91" s="105">
        <v>30.0</v>
      </c>
      <c r="AB91" s="104">
        <v>30.0</v>
      </c>
      <c r="AD91" s="104">
        <v>0.0</v>
      </c>
      <c r="AF91" s="113"/>
      <c r="AH91" s="113"/>
      <c r="AJ91" s="113"/>
      <c r="AK91" s="73"/>
      <c r="AL91" s="81">
        <f t="shared" si="1"/>
        <v>9196.74</v>
      </c>
      <c r="AM91" s="78">
        <f t="shared" si="2"/>
        <v>540</v>
      </c>
      <c r="AN91" s="78">
        <f t="shared" si="3"/>
        <v>0</v>
      </c>
      <c r="AO91" s="78">
        <f t="shared" si="4"/>
        <v>540</v>
      </c>
      <c r="AP91" s="82">
        <f t="shared" si="5"/>
        <v>17.031</v>
      </c>
    </row>
    <row r="92">
      <c r="A92" s="76" t="s">
        <v>27</v>
      </c>
      <c r="B92" s="77">
        <f t="shared" si="6"/>
        <v>44651</v>
      </c>
      <c r="C92" s="78">
        <v>4.0</v>
      </c>
      <c r="D92" s="78" t="s">
        <v>48</v>
      </c>
      <c r="E92" s="80" t="s">
        <v>129</v>
      </c>
      <c r="F92" s="71">
        <v>0.0</v>
      </c>
      <c r="H92" s="72">
        <v>0.0</v>
      </c>
      <c r="J92" s="72">
        <v>0.0</v>
      </c>
      <c r="L92" s="105">
        <v>240.0</v>
      </c>
      <c r="N92" s="104">
        <v>240.0</v>
      </c>
      <c r="P92" s="104">
        <v>0.0</v>
      </c>
      <c r="R92" s="104">
        <v>0.0</v>
      </c>
      <c r="T92" s="104">
        <v>0.0</v>
      </c>
      <c r="V92" s="104">
        <v>0.0</v>
      </c>
      <c r="X92" s="104">
        <v>0.0</v>
      </c>
      <c r="Y92" s="73"/>
      <c r="Z92" s="105">
        <v>30.0</v>
      </c>
      <c r="AB92" s="104">
        <v>22.0</v>
      </c>
      <c r="AD92" s="104">
        <v>0.0</v>
      </c>
      <c r="AF92" s="113"/>
      <c r="AH92" s="113"/>
      <c r="AJ92" s="113"/>
      <c r="AK92" s="73"/>
      <c r="AL92" s="81">
        <f t="shared" si="1"/>
        <v>9060.492</v>
      </c>
      <c r="AM92" s="78">
        <f t="shared" si="2"/>
        <v>532</v>
      </c>
      <c r="AN92" s="78">
        <f t="shared" si="3"/>
        <v>0</v>
      </c>
      <c r="AO92" s="78">
        <f t="shared" si="4"/>
        <v>532</v>
      </c>
      <c r="AP92" s="82">
        <f t="shared" si="5"/>
        <v>17.031</v>
      </c>
    </row>
    <row r="93">
      <c r="A93" s="83" t="s">
        <v>30</v>
      </c>
      <c r="B93" s="84">
        <f t="shared" si="6"/>
        <v>44652</v>
      </c>
      <c r="C93" s="85">
        <v>4.0</v>
      </c>
      <c r="D93" s="85" t="s">
        <v>48</v>
      </c>
      <c r="E93" s="87" t="s">
        <v>129</v>
      </c>
      <c r="F93" s="88">
        <v>0.0</v>
      </c>
      <c r="G93" s="89"/>
      <c r="H93" s="90">
        <v>0.0</v>
      </c>
      <c r="I93" s="89"/>
      <c r="J93" s="90">
        <v>0.0</v>
      </c>
      <c r="K93" s="89"/>
      <c r="L93" s="112">
        <v>240.0</v>
      </c>
      <c r="M93" s="89"/>
      <c r="N93" s="111">
        <v>240.0</v>
      </c>
      <c r="O93" s="89"/>
      <c r="P93" s="111">
        <v>0.0</v>
      </c>
      <c r="Q93" s="89"/>
      <c r="R93" s="111">
        <v>0.0</v>
      </c>
      <c r="S93" s="89"/>
      <c r="T93" s="111">
        <v>0.0</v>
      </c>
      <c r="U93" s="89"/>
      <c r="V93" s="111">
        <v>0.0</v>
      </c>
      <c r="W93" s="89"/>
      <c r="X93" s="111">
        <v>0.0</v>
      </c>
      <c r="Y93" s="91"/>
      <c r="Z93" s="112">
        <v>8.0</v>
      </c>
      <c r="AA93" s="89"/>
      <c r="AB93" s="111">
        <v>8.0</v>
      </c>
      <c r="AC93" s="89"/>
      <c r="AD93" s="111">
        <v>0.0</v>
      </c>
      <c r="AE93" s="89"/>
      <c r="AF93" s="117"/>
      <c r="AG93" s="89"/>
      <c r="AH93" s="117"/>
      <c r="AI93" s="89"/>
      <c r="AJ93" s="117"/>
      <c r="AK93" s="91"/>
      <c r="AL93" s="92">
        <f t="shared" si="1"/>
        <v>8447.376</v>
      </c>
      <c r="AM93" s="85">
        <f t="shared" si="2"/>
        <v>496</v>
      </c>
      <c r="AN93" s="85">
        <f t="shared" si="3"/>
        <v>0</v>
      </c>
      <c r="AO93" s="85">
        <f t="shared" si="4"/>
        <v>496</v>
      </c>
      <c r="AP93" s="93">
        <f t="shared" si="5"/>
        <v>17.031</v>
      </c>
    </row>
    <row r="94">
      <c r="A94" s="66" t="s">
        <v>11</v>
      </c>
      <c r="B94" s="94">
        <f t="shared" si="6"/>
        <v>44653</v>
      </c>
      <c r="C94" s="68">
        <v>4.0</v>
      </c>
      <c r="D94" s="68" t="s">
        <v>59</v>
      </c>
      <c r="E94" s="70" t="s">
        <v>129</v>
      </c>
      <c r="F94" s="71">
        <v>0.0</v>
      </c>
      <c r="H94" s="72">
        <v>0.0</v>
      </c>
      <c r="J94" s="72">
        <v>0.0</v>
      </c>
      <c r="L94" s="105">
        <v>240.0</v>
      </c>
      <c r="N94" s="104">
        <v>240.0</v>
      </c>
      <c r="P94" s="104">
        <v>0.0</v>
      </c>
      <c r="R94" s="104">
        <v>0.0</v>
      </c>
      <c r="T94" s="104">
        <v>1.0</v>
      </c>
      <c r="V94" s="104">
        <v>1.0</v>
      </c>
      <c r="X94" s="104">
        <v>0.0</v>
      </c>
      <c r="Y94" s="73"/>
      <c r="Z94" s="105">
        <v>29.0</v>
      </c>
      <c r="AB94" s="104">
        <v>29.0</v>
      </c>
      <c r="AD94" s="104">
        <v>0.0</v>
      </c>
      <c r="AF94" s="113"/>
      <c r="AH94" s="113"/>
      <c r="AJ94" s="113"/>
      <c r="AK94" s="73"/>
      <c r="AL94" s="74">
        <f t="shared" si="1"/>
        <v>9897.678</v>
      </c>
      <c r="AM94" s="68">
        <f t="shared" si="2"/>
        <v>538</v>
      </c>
      <c r="AN94" s="68">
        <f t="shared" si="3"/>
        <v>2</v>
      </c>
      <c r="AO94" s="68">
        <f t="shared" si="4"/>
        <v>540</v>
      </c>
      <c r="AP94" s="75">
        <f t="shared" si="5"/>
        <v>18.32903333</v>
      </c>
    </row>
    <row r="95">
      <c r="A95" s="76" t="s">
        <v>16</v>
      </c>
      <c r="B95" s="77">
        <f t="shared" si="6"/>
        <v>44654</v>
      </c>
      <c r="C95" s="78">
        <v>4.0</v>
      </c>
      <c r="D95" s="78" t="s">
        <v>59</v>
      </c>
      <c r="E95" s="80" t="s">
        <v>129</v>
      </c>
      <c r="F95" s="71">
        <v>0.0</v>
      </c>
      <c r="H95" s="72">
        <v>0.0</v>
      </c>
      <c r="J95" s="72">
        <v>0.0</v>
      </c>
      <c r="L95" s="105">
        <v>220.0</v>
      </c>
      <c r="N95" s="104">
        <v>220.0</v>
      </c>
      <c r="P95" s="104">
        <v>0.0</v>
      </c>
      <c r="R95" s="104">
        <v>0.0</v>
      </c>
      <c r="T95" s="104">
        <v>0.0</v>
      </c>
      <c r="V95" s="104">
        <v>0.0</v>
      </c>
      <c r="X95" s="104">
        <v>0.0</v>
      </c>
      <c r="Y95" s="73"/>
      <c r="Z95" s="105">
        <v>26.0</v>
      </c>
      <c r="AB95" s="104">
        <v>26.0</v>
      </c>
      <c r="AD95" s="104">
        <v>0.0</v>
      </c>
      <c r="AF95" s="113"/>
      <c r="AH95" s="113"/>
      <c r="AJ95" s="113"/>
      <c r="AK95" s="73"/>
      <c r="AL95" s="81">
        <f t="shared" si="1"/>
        <v>8379.252</v>
      </c>
      <c r="AM95" s="78">
        <f t="shared" si="2"/>
        <v>492</v>
      </c>
      <c r="AN95" s="78">
        <f t="shared" si="3"/>
        <v>0</v>
      </c>
      <c r="AO95" s="78">
        <f t="shared" si="4"/>
        <v>492</v>
      </c>
      <c r="AP95" s="82">
        <f t="shared" si="5"/>
        <v>17.031</v>
      </c>
    </row>
    <row r="96">
      <c r="A96" s="76" t="s">
        <v>17</v>
      </c>
      <c r="B96" s="77">
        <f t="shared" si="6"/>
        <v>44655</v>
      </c>
      <c r="C96" s="78">
        <v>4.0</v>
      </c>
      <c r="D96" s="78" t="s">
        <v>59</v>
      </c>
      <c r="E96" s="80" t="s">
        <v>129</v>
      </c>
      <c r="F96" s="71">
        <v>0.0</v>
      </c>
      <c r="H96" s="72">
        <v>0.0</v>
      </c>
      <c r="J96" s="72">
        <v>0.0</v>
      </c>
      <c r="L96" s="105">
        <v>0.0</v>
      </c>
      <c r="N96" s="104">
        <v>0.0</v>
      </c>
      <c r="P96" s="104">
        <v>0.0</v>
      </c>
      <c r="R96" s="104">
        <v>0.0</v>
      </c>
      <c r="T96" s="104">
        <v>0.0</v>
      </c>
      <c r="V96" s="104">
        <v>0.0</v>
      </c>
      <c r="X96" s="104">
        <v>0.0</v>
      </c>
      <c r="Y96" s="73"/>
      <c r="Z96" s="105">
        <v>0.0</v>
      </c>
      <c r="AB96" s="104">
        <v>0.0</v>
      </c>
      <c r="AD96" s="104">
        <v>0.0</v>
      </c>
      <c r="AF96" s="113"/>
      <c r="AH96" s="113"/>
      <c r="AJ96" s="113"/>
      <c r="AK96" s="73"/>
      <c r="AL96" s="81">
        <f t="shared" si="1"/>
        <v>0</v>
      </c>
      <c r="AM96" s="78">
        <f t="shared" si="2"/>
        <v>0</v>
      </c>
      <c r="AN96" s="78">
        <f t="shared" si="3"/>
        <v>0</v>
      </c>
      <c r="AO96" s="78">
        <f t="shared" si="4"/>
        <v>0</v>
      </c>
      <c r="AP96" s="82" t="str">
        <f t="shared" si="5"/>
        <v/>
      </c>
    </row>
    <row r="97">
      <c r="A97" s="76" t="s">
        <v>21</v>
      </c>
      <c r="B97" s="77">
        <f t="shared" si="6"/>
        <v>44656</v>
      </c>
      <c r="C97" s="78">
        <v>4.0</v>
      </c>
      <c r="D97" s="78" t="s">
        <v>59</v>
      </c>
      <c r="E97" s="80" t="s">
        <v>129</v>
      </c>
      <c r="F97" s="71">
        <v>0.0</v>
      </c>
      <c r="H97" s="72">
        <v>0.0</v>
      </c>
      <c r="J97" s="72">
        <v>0.0</v>
      </c>
      <c r="L97" s="105">
        <v>70.0</v>
      </c>
      <c r="N97" s="104">
        <v>70.0</v>
      </c>
      <c r="P97" s="104">
        <v>0.0</v>
      </c>
      <c r="R97" s="104">
        <v>0.0</v>
      </c>
      <c r="T97" s="104">
        <v>0.0</v>
      </c>
      <c r="V97" s="104">
        <v>0.0</v>
      </c>
      <c r="X97" s="104">
        <v>0.0</v>
      </c>
      <c r="Y97" s="73"/>
      <c r="Z97" s="105">
        <v>21.0</v>
      </c>
      <c r="AB97" s="104">
        <v>21.0</v>
      </c>
      <c r="AD97" s="104">
        <v>0.0</v>
      </c>
      <c r="AF97" s="113"/>
      <c r="AH97" s="113"/>
      <c r="AJ97" s="113"/>
      <c r="AK97" s="73"/>
      <c r="AL97" s="81">
        <f t="shared" si="1"/>
        <v>3099.642</v>
      </c>
      <c r="AM97" s="78">
        <f t="shared" si="2"/>
        <v>182</v>
      </c>
      <c r="AN97" s="78">
        <f t="shared" si="3"/>
        <v>0</v>
      </c>
      <c r="AO97" s="78">
        <f t="shared" si="4"/>
        <v>182</v>
      </c>
      <c r="AP97" s="82">
        <f t="shared" si="5"/>
        <v>17.031</v>
      </c>
    </row>
    <row r="98">
      <c r="A98" s="76" t="s">
        <v>24</v>
      </c>
      <c r="B98" s="77">
        <f t="shared" si="6"/>
        <v>44657</v>
      </c>
      <c r="C98" s="78">
        <v>4.0</v>
      </c>
      <c r="D98" s="78" t="s">
        <v>59</v>
      </c>
      <c r="E98" s="80" t="s">
        <v>129</v>
      </c>
      <c r="F98" s="71">
        <v>0.0</v>
      </c>
      <c r="H98" s="72">
        <v>0.0</v>
      </c>
      <c r="J98" s="72">
        <v>0.0</v>
      </c>
      <c r="L98" s="105">
        <v>70.0</v>
      </c>
      <c r="N98" s="104">
        <v>70.0</v>
      </c>
      <c r="P98" s="104">
        <v>0.0</v>
      </c>
      <c r="R98" s="104">
        <v>0.0</v>
      </c>
      <c r="T98" s="104">
        <v>0.0</v>
      </c>
      <c r="V98" s="104">
        <v>0.0</v>
      </c>
      <c r="X98" s="104">
        <v>0.0</v>
      </c>
      <c r="Y98" s="73"/>
      <c r="Z98" s="105">
        <v>21.0</v>
      </c>
      <c r="AB98" s="104">
        <v>21.0</v>
      </c>
      <c r="AD98" s="104">
        <v>0.0</v>
      </c>
      <c r="AF98" s="113"/>
      <c r="AH98" s="113"/>
      <c r="AJ98" s="113"/>
      <c r="AK98" s="73"/>
      <c r="AL98" s="81">
        <f t="shared" si="1"/>
        <v>3099.642</v>
      </c>
      <c r="AM98" s="78">
        <f t="shared" si="2"/>
        <v>182</v>
      </c>
      <c r="AN98" s="78">
        <f t="shared" si="3"/>
        <v>0</v>
      </c>
      <c r="AO98" s="78">
        <f t="shared" si="4"/>
        <v>182</v>
      </c>
      <c r="AP98" s="82">
        <f t="shared" si="5"/>
        <v>17.031</v>
      </c>
    </row>
    <row r="99">
      <c r="A99" s="76" t="s">
        <v>27</v>
      </c>
      <c r="B99" s="77">
        <f t="shared" si="6"/>
        <v>44658</v>
      </c>
      <c r="C99" s="78">
        <v>4.0</v>
      </c>
      <c r="D99" s="78" t="s">
        <v>59</v>
      </c>
      <c r="E99" s="80" t="s">
        <v>129</v>
      </c>
      <c r="F99" s="71">
        <v>0.0</v>
      </c>
      <c r="H99" s="72">
        <v>0.0</v>
      </c>
      <c r="J99" s="72">
        <v>0.0</v>
      </c>
      <c r="L99" s="105">
        <v>77.0</v>
      </c>
      <c r="N99" s="104">
        <v>77.0</v>
      </c>
      <c r="P99" s="104">
        <v>0.0</v>
      </c>
      <c r="R99" s="104">
        <v>0.0</v>
      </c>
      <c r="T99" s="104">
        <v>0.0</v>
      </c>
      <c r="V99" s="104">
        <v>0.0</v>
      </c>
      <c r="X99" s="104">
        <v>0.0</v>
      </c>
      <c r="Y99" s="73"/>
      <c r="Z99" s="105">
        <v>22.0</v>
      </c>
      <c r="AB99" s="104">
        <v>22.0</v>
      </c>
      <c r="AD99" s="104">
        <v>0.0</v>
      </c>
      <c r="AF99" s="113"/>
      <c r="AH99" s="113"/>
      <c r="AJ99" s="113"/>
      <c r="AK99" s="73"/>
      <c r="AL99" s="81">
        <f t="shared" si="1"/>
        <v>3372.138</v>
      </c>
      <c r="AM99" s="78">
        <f t="shared" si="2"/>
        <v>198</v>
      </c>
      <c r="AN99" s="78">
        <f t="shared" si="3"/>
        <v>0</v>
      </c>
      <c r="AO99" s="78">
        <f t="shared" si="4"/>
        <v>198</v>
      </c>
      <c r="AP99" s="82">
        <f t="shared" si="5"/>
        <v>17.031</v>
      </c>
    </row>
    <row r="100">
      <c r="A100" s="83" t="s">
        <v>30</v>
      </c>
      <c r="B100" s="84">
        <f t="shared" si="6"/>
        <v>44659</v>
      </c>
      <c r="C100" s="85">
        <v>4.0</v>
      </c>
      <c r="D100" s="85" t="s">
        <v>59</v>
      </c>
      <c r="E100" s="87" t="s">
        <v>129</v>
      </c>
      <c r="F100" s="88">
        <v>0.0</v>
      </c>
      <c r="G100" s="89"/>
      <c r="H100" s="90">
        <v>0.0</v>
      </c>
      <c r="I100" s="89"/>
      <c r="J100" s="90">
        <v>0.0</v>
      </c>
      <c r="K100" s="89"/>
      <c r="L100" s="112">
        <v>0.0</v>
      </c>
      <c r="M100" s="89"/>
      <c r="N100" s="111">
        <v>0.0</v>
      </c>
      <c r="O100" s="89"/>
      <c r="P100" s="111">
        <v>0.0</v>
      </c>
      <c r="Q100" s="89"/>
      <c r="R100" s="111">
        <v>0.0</v>
      </c>
      <c r="S100" s="89"/>
      <c r="T100" s="111">
        <v>0.0</v>
      </c>
      <c r="U100" s="89"/>
      <c r="V100" s="111">
        <v>0.0</v>
      </c>
      <c r="W100" s="89"/>
      <c r="X100" s="111">
        <v>0.0</v>
      </c>
      <c r="Y100" s="91"/>
      <c r="Z100" s="112">
        <v>0.0</v>
      </c>
      <c r="AA100" s="89"/>
      <c r="AB100" s="111">
        <v>0.0</v>
      </c>
      <c r="AC100" s="89"/>
      <c r="AD100" s="111">
        <v>0.0</v>
      </c>
      <c r="AE100" s="89"/>
      <c r="AF100" s="117"/>
      <c r="AG100" s="89"/>
      <c r="AH100" s="117"/>
      <c r="AI100" s="89"/>
      <c r="AJ100" s="117"/>
      <c r="AK100" s="91"/>
      <c r="AL100" s="92">
        <f t="shared" si="1"/>
        <v>0</v>
      </c>
      <c r="AM100" s="85">
        <f t="shared" si="2"/>
        <v>0</v>
      </c>
      <c r="AN100" s="85">
        <f t="shared" si="3"/>
        <v>0</v>
      </c>
      <c r="AO100" s="85">
        <f t="shared" si="4"/>
        <v>0</v>
      </c>
      <c r="AP100" s="93" t="str">
        <f t="shared" si="5"/>
        <v/>
      </c>
    </row>
    <row r="101">
      <c r="A101" s="66" t="s">
        <v>11</v>
      </c>
      <c r="B101" s="94">
        <f t="shared" si="6"/>
        <v>44660</v>
      </c>
      <c r="C101" s="68">
        <v>4.0</v>
      </c>
      <c r="D101" s="68" t="s">
        <v>12</v>
      </c>
      <c r="E101" s="70" t="s">
        <v>129</v>
      </c>
      <c r="F101" s="71">
        <v>0.0</v>
      </c>
      <c r="H101" s="72">
        <v>0.0</v>
      </c>
      <c r="J101" s="72">
        <v>0.0</v>
      </c>
      <c r="L101" s="105">
        <v>77.0</v>
      </c>
      <c r="N101" s="104">
        <v>77.0</v>
      </c>
      <c r="P101" s="104">
        <v>0.0</v>
      </c>
      <c r="R101" s="104">
        <v>0.0</v>
      </c>
      <c r="T101" s="104">
        <v>1.0</v>
      </c>
      <c r="V101" s="104">
        <v>1.0</v>
      </c>
      <c r="X101" s="104">
        <v>0.0</v>
      </c>
      <c r="Y101" s="73"/>
      <c r="Z101" s="105">
        <v>26.0</v>
      </c>
      <c r="AB101" s="104">
        <v>26.0</v>
      </c>
      <c r="AD101" s="104">
        <v>0.0</v>
      </c>
      <c r="AF101" s="113"/>
      <c r="AH101" s="113"/>
      <c r="AJ101" s="113"/>
      <c r="AK101" s="73"/>
      <c r="AL101" s="74">
        <f t="shared" si="1"/>
        <v>4243.386</v>
      </c>
      <c r="AM101" s="68">
        <f t="shared" si="2"/>
        <v>206</v>
      </c>
      <c r="AN101" s="68">
        <f t="shared" si="3"/>
        <v>2</v>
      </c>
      <c r="AO101" s="68">
        <f t="shared" si="4"/>
        <v>208</v>
      </c>
      <c r="AP101" s="75">
        <f t="shared" si="5"/>
        <v>20.40089423</v>
      </c>
    </row>
    <row r="102">
      <c r="A102" s="76" t="s">
        <v>16</v>
      </c>
      <c r="B102" s="77">
        <f t="shared" si="6"/>
        <v>44661</v>
      </c>
      <c r="C102" s="78">
        <v>4.0</v>
      </c>
      <c r="D102" s="78" t="s">
        <v>12</v>
      </c>
      <c r="E102" s="80" t="s">
        <v>129</v>
      </c>
      <c r="F102" s="71">
        <v>0.0</v>
      </c>
      <c r="H102" s="72">
        <v>0.0</v>
      </c>
      <c r="J102" s="72">
        <v>0.0</v>
      </c>
      <c r="L102" s="105">
        <v>77.0</v>
      </c>
      <c r="N102" s="104">
        <v>77.0</v>
      </c>
      <c r="P102" s="104">
        <v>0.0</v>
      </c>
      <c r="R102" s="104">
        <v>0.0</v>
      </c>
      <c r="T102" s="104">
        <v>0.0</v>
      </c>
      <c r="V102" s="104">
        <v>0.0</v>
      </c>
      <c r="X102" s="104">
        <v>0.0</v>
      </c>
      <c r="Y102" s="73"/>
      <c r="Z102" s="105">
        <v>26.0</v>
      </c>
      <c r="AB102" s="104">
        <v>26.0</v>
      </c>
      <c r="AD102" s="104">
        <v>0.0</v>
      </c>
      <c r="AF102" s="113"/>
      <c r="AH102" s="113"/>
      <c r="AJ102" s="113"/>
      <c r="AK102" s="73"/>
      <c r="AL102" s="81">
        <f t="shared" si="1"/>
        <v>3508.386</v>
      </c>
      <c r="AM102" s="78">
        <f t="shared" si="2"/>
        <v>206</v>
      </c>
      <c r="AN102" s="78">
        <f t="shared" si="3"/>
        <v>0</v>
      </c>
      <c r="AO102" s="78">
        <f t="shared" si="4"/>
        <v>206</v>
      </c>
      <c r="AP102" s="82">
        <f t="shared" si="5"/>
        <v>17.031</v>
      </c>
    </row>
    <row r="103">
      <c r="A103" s="76" t="s">
        <v>17</v>
      </c>
      <c r="B103" s="77">
        <f t="shared" si="6"/>
        <v>44662</v>
      </c>
      <c r="C103" s="78">
        <v>4.0</v>
      </c>
      <c r="D103" s="78" t="s">
        <v>12</v>
      </c>
      <c r="E103" s="80" t="s">
        <v>129</v>
      </c>
      <c r="F103" s="71">
        <v>0.0</v>
      </c>
      <c r="H103" s="72">
        <v>0.0</v>
      </c>
      <c r="J103" s="72">
        <v>0.0</v>
      </c>
      <c r="L103" s="105">
        <v>77.0</v>
      </c>
      <c r="N103" s="104">
        <v>77.0</v>
      </c>
      <c r="P103" s="104">
        <v>0.0</v>
      </c>
      <c r="R103" s="104">
        <v>0.0</v>
      </c>
      <c r="T103" s="104">
        <v>0.0</v>
      </c>
      <c r="V103" s="104">
        <v>0.0</v>
      </c>
      <c r="X103" s="104">
        <v>0.0</v>
      </c>
      <c r="Y103" s="73"/>
      <c r="Z103" s="105">
        <v>26.0</v>
      </c>
      <c r="AB103" s="104">
        <v>26.0</v>
      </c>
      <c r="AD103" s="104">
        <v>0.0</v>
      </c>
      <c r="AF103" s="113"/>
      <c r="AH103" s="113"/>
      <c r="AJ103" s="113"/>
      <c r="AK103" s="73"/>
      <c r="AL103" s="81">
        <f t="shared" si="1"/>
        <v>3508.386</v>
      </c>
      <c r="AM103" s="78">
        <f t="shared" si="2"/>
        <v>206</v>
      </c>
      <c r="AN103" s="78">
        <f t="shared" si="3"/>
        <v>0</v>
      </c>
      <c r="AO103" s="78">
        <f t="shared" si="4"/>
        <v>206</v>
      </c>
      <c r="AP103" s="82">
        <f t="shared" si="5"/>
        <v>17.031</v>
      </c>
    </row>
    <row r="104">
      <c r="A104" s="76" t="s">
        <v>21</v>
      </c>
      <c r="B104" s="77">
        <f t="shared" si="6"/>
        <v>44663</v>
      </c>
      <c r="C104" s="78">
        <v>4.0</v>
      </c>
      <c r="D104" s="78" t="s">
        <v>12</v>
      </c>
      <c r="E104" s="80" t="s">
        <v>129</v>
      </c>
      <c r="F104" s="71">
        <v>0.0</v>
      </c>
      <c r="H104" s="72">
        <v>0.0</v>
      </c>
      <c r="J104" s="72">
        <v>0.0</v>
      </c>
      <c r="L104" s="105">
        <v>77.0</v>
      </c>
      <c r="N104" s="104">
        <v>77.0</v>
      </c>
      <c r="P104" s="104">
        <v>0.0</v>
      </c>
      <c r="R104" s="104">
        <v>0.0</v>
      </c>
      <c r="T104" s="104">
        <v>0.0</v>
      </c>
      <c r="V104" s="104">
        <v>0.0</v>
      </c>
      <c r="X104" s="104">
        <v>0.0</v>
      </c>
      <c r="Y104" s="73"/>
      <c r="Z104" s="105">
        <v>27.0</v>
      </c>
      <c r="AB104" s="104">
        <v>27.0</v>
      </c>
      <c r="AD104" s="104">
        <v>0.0</v>
      </c>
      <c r="AF104" s="113"/>
      <c r="AH104" s="113"/>
      <c r="AJ104" s="113"/>
      <c r="AK104" s="73"/>
      <c r="AL104" s="81">
        <f t="shared" si="1"/>
        <v>3542.448</v>
      </c>
      <c r="AM104" s="78">
        <f t="shared" si="2"/>
        <v>208</v>
      </c>
      <c r="AN104" s="78">
        <f t="shared" si="3"/>
        <v>0</v>
      </c>
      <c r="AO104" s="78">
        <f t="shared" si="4"/>
        <v>208</v>
      </c>
      <c r="AP104" s="82">
        <f t="shared" si="5"/>
        <v>17.031</v>
      </c>
    </row>
    <row r="105">
      <c r="A105" s="76" t="s">
        <v>24</v>
      </c>
      <c r="B105" s="77">
        <f t="shared" si="6"/>
        <v>44664</v>
      </c>
      <c r="C105" s="78">
        <v>4.0</v>
      </c>
      <c r="D105" s="78" t="s">
        <v>12</v>
      </c>
      <c r="E105" s="80" t="s">
        <v>129</v>
      </c>
      <c r="F105" s="71">
        <v>0.0</v>
      </c>
      <c r="H105" s="72">
        <v>0.0</v>
      </c>
      <c r="J105" s="72">
        <v>0.0</v>
      </c>
      <c r="L105" s="105">
        <v>77.0</v>
      </c>
      <c r="N105" s="104">
        <v>77.0</v>
      </c>
      <c r="P105" s="104">
        <v>0.0</v>
      </c>
      <c r="R105" s="104">
        <v>0.0</v>
      </c>
      <c r="T105" s="104">
        <v>0.0</v>
      </c>
      <c r="V105" s="104">
        <v>0.0</v>
      </c>
      <c r="X105" s="104">
        <v>0.0</v>
      </c>
      <c r="Y105" s="73"/>
      <c r="Z105" s="105">
        <v>27.0</v>
      </c>
      <c r="AB105" s="104">
        <v>27.0</v>
      </c>
      <c r="AD105" s="104">
        <v>0.0</v>
      </c>
      <c r="AF105" s="113"/>
      <c r="AH105" s="113"/>
      <c r="AJ105" s="113"/>
      <c r="AK105" s="73"/>
      <c r="AL105" s="81">
        <f t="shared" si="1"/>
        <v>3542.448</v>
      </c>
      <c r="AM105" s="78">
        <f t="shared" si="2"/>
        <v>208</v>
      </c>
      <c r="AN105" s="78">
        <f t="shared" si="3"/>
        <v>0</v>
      </c>
      <c r="AO105" s="78">
        <f t="shared" si="4"/>
        <v>208</v>
      </c>
      <c r="AP105" s="82">
        <f t="shared" si="5"/>
        <v>17.031</v>
      </c>
    </row>
    <row r="106">
      <c r="A106" s="76" t="s">
        <v>27</v>
      </c>
      <c r="B106" s="77">
        <f t="shared" si="6"/>
        <v>44665</v>
      </c>
      <c r="C106" s="78">
        <v>4.0</v>
      </c>
      <c r="D106" s="78" t="s">
        <v>12</v>
      </c>
      <c r="E106" s="80" t="s">
        <v>129</v>
      </c>
      <c r="F106" s="71">
        <v>0.0</v>
      </c>
      <c r="H106" s="72">
        <v>0.0</v>
      </c>
      <c r="J106" s="72">
        <v>0.0</v>
      </c>
      <c r="L106" s="105">
        <v>77.0</v>
      </c>
      <c r="N106" s="104">
        <v>77.0</v>
      </c>
      <c r="P106" s="104">
        <v>0.0</v>
      </c>
      <c r="R106" s="104">
        <v>0.0</v>
      </c>
      <c r="T106" s="104">
        <v>0.0</v>
      </c>
      <c r="V106" s="104">
        <v>0.0</v>
      </c>
      <c r="X106" s="104">
        <v>0.0</v>
      </c>
      <c r="Y106" s="73"/>
      <c r="Z106" s="105">
        <v>18.0</v>
      </c>
      <c r="AB106" s="104">
        <v>18.0</v>
      </c>
      <c r="AD106" s="104">
        <v>0.0</v>
      </c>
      <c r="AF106" s="113"/>
      <c r="AH106" s="113"/>
      <c r="AJ106" s="113"/>
      <c r="AK106" s="73"/>
      <c r="AL106" s="81">
        <f t="shared" si="1"/>
        <v>3235.89</v>
      </c>
      <c r="AM106" s="78">
        <f t="shared" si="2"/>
        <v>190</v>
      </c>
      <c r="AN106" s="78">
        <f t="shared" si="3"/>
        <v>0</v>
      </c>
      <c r="AO106" s="78">
        <f t="shared" si="4"/>
        <v>190</v>
      </c>
      <c r="AP106" s="82">
        <f t="shared" si="5"/>
        <v>17.031</v>
      </c>
    </row>
    <row r="107">
      <c r="A107" s="83" t="s">
        <v>30</v>
      </c>
      <c r="B107" s="84">
        <f t="shared" si="6"/>
        <v>44666</v>
      </c>
      <c r="C107" s="85">
        <v>4.0</v>
      </c>
      <c r="D107" s="85" t="s">
        <v>12</v>
      </c>
      <c r="E107" s="87" t="s">
        <v>129</v>
      </c>
      <c r="F107" s="88">
        <v>0.0</v>
      </c>
      <c r="G107" s="89"/>
      <c r="H107" s="90">
        <v>0.0</v>
      </c>
      <c r="I107" s="89"/>
      <c r="J107" s="90">
        <v>0.0</v>
      </c>
      <c r="K107" s="89"/>
      <c r="L107" s="112">
        <v>0.0</v>
      </c>
      <c r="M107" s="89"/>
      <c r="N107" s="111">
        <v>0.0</v>
      </c>
      <c r="O107" s="89"/>
      <c r="P107" s="111">
        <v>0.0</v>
      </c>
      <c r="Q107" s="89"/>
      <c r="R107" s="111">
        <v>0.0</v>
      </c>
      <c r="S107" s="89"/>
      <c r="T107" s="111">
        <v>0.0</v>
      </c>
      <c r="U107" s="89"/>
      <c r="V107" s="111">
        <v>0.0</v>
      </c>
      <c r="W107" s="89"/>
      <c r="X107" s="111">
        <v>0.0</v>
      </c>
      <c r="Y107" s="91"/>
      <c r="Z107" s="112">
        <v>0.0</v>
      </c>
      <c r="AA107" s="89"/>
      <c r="AB107" s="111">
        <v>0.0</v>
      </c>
      <c r="AC107" s="89"/>
      <c r="AD107" s="111">
        <v>0.0</v>
      </c>
      <c r="AE107" s="89"/>
      <c r="AF107" s="117"/>
      <c r="AG107" s="89"/>
      <c r="AH107" s="117"/>
      <c r="AI107" s="89"/>
      <c r="AJ107" s="117"/>
      <c r="AK107" s="91"/>
      <c r="AL107" s="92">
        <f t="shared" si="1"/>
        <v>0</v>
      </c>
      <c r="AM107" s="85">
        <f t="shared" si="2"/>
        <v>0</v>
      </c>
      <c r="AN107" s="85">
        <f t="shared" si="3"/>
        <v>0</v>
      </c>
      <c r="AO107" s="85">
        <f t="shared" si="4"/>
        <v>0</v>
      </c>
      <c r="AP107" s="93" t="str">
        <f t="shared" si="5"/>
        <v/>
      </c>
    </row>
    <row r="108">
      <c r="A108" s="66" t="s">
        <v>11</v>
      </c>
      <c r="B108" s="94">
        <f t="shared" si="6"/>
        <v>44667</v>
      </c>
      <c r="C108" s="68">
        <v>4.0</v>
      </c>
      <c r="D108" s="68" t="s">
        <v>33</v>
      </c>
      <c r="E108" s="70" t="s">
        <v>129</v>
      </c>
      <c r="F108" s="71">
        <v>0.0</v>
      </c>
      <c r="H108" s="72">
        <v>0.0</v>
      </c>
      <c r="J108" s="72">
        <v>0.0</v>
      </c>
      <c r="L108" s="105">
        <v>77.0</v>
      </c>
      <c r="N108" s="104">
        <v>77.0</v>
      </c>
      <c r="P108" s="104">
        <v>0.0</v>
      </c>
      <c r="R108" s="104">
        <v>35.0</v>
      </c>
      <c r="T108" s="104">
        <v>1.0</v>
      </c>
      <c r="V108" s="104">
        <v>1.0</v>
      </c>
      <c r="X108" s="104">
        <v>0.0</v>
      </c>
      <c r="Y108" s="73"/>
      <c r="Z108" s="105">
        <v>26.0</v>
      </c>
      <c r="AB108" s="104">
        <v>26.0</v>
      </c>
      <c r="AD108" s="104">
        <v>0.0</v>
      </c>
      <c r="AF108" s="113"/>
      <c r="AH108" s="113"/>
      <c r="AJ108" s="113"/>
      <c r="AK108" s="73"/>
      <c r="AL108" s="74">
        <f t="shared" si="1"/>
        <v>4480.056</v>
      </c>
      <c r="AM108" s="68">
        <f t="shared" si="2"/>
        <v>241</v>
      </c>
      <c r="AN108" s="68">
        <f t="shared" si="3"/>
        <v>2</v>
      </c>
      <c r="AO108" s="68">
        <f t="shared" si="4"/>
        <v>243</v>
      </c>
      <c r="AP108" s="75">
        <f t="shared" si="5"/>
        <v>18.43644444</v>
      </c>
    </row>
    <row r="109">
      <c r="A109" s="76" t="s">
        <v>16</v>
      </c>
      <c r="B109" s="77">
        <f t="shared" si="6"/>
        <v>44668</v>
      </c>
      <c r="C109" s="78">
        <v>4.0</v>
      </c>
      <c r="D109" s="78" t="s">
        <v>33</v>
      </c>
      <c r="E109" s="80" t="s">
        <v>129</v>
      </c>
      <c r="F109" s="71">
        <v>0.0</v>
      </c>
      <c r="H109" s="72">
        <v>0.0</v>
      </c>
      <c r="J109" s="72">
        <v>0.0</v>
      </c>
      <c r="L109" s="105">
        <v>77.0</v>
      </c>
      <c r="N109" s="104">
        <v>77.0</v>
      </c>
      <c r="P109" s="104">
        <v>0.0</v>
      </c>
      <c r="R109" s="104">
        <v>50.0</v>
      </c>
      <c r="T109" s="104">
        <v>0.0</v>
      </c>
      <c r="V109" s="104">
        <v>0.0</v>
      </c>
      <c r="X109" s="104">
        <v>0.0</v>
      </c>
      <c r="Y109" s="73"/>
      <c r="Z109" s="105">
        <v>26.0</v>
      </c>
      <c r="AB109" s="104">
        <v>26.0</v>
      </c>
      <c r="AD109" s="104">
        <v>0.0</v>
      </c>
      <c r="AF109" s="113"/>
      <c r="AH109" s="113"/>
      <c r="AJ109" s="113"/>
      <c r="AK109" s="73"/>
      <c r="AL109" s="81">
        <f t="shared" si="1"/>
        <v>3846.486</v>
      </c>
      <c r="AM109" s="78">
        <f t="shared" si="2"/>
        <v>256</v>
      </c>
      <c r="AN109" s="78">
        <f t="shared" si="3"/>
        <v>0</v>
      </c>
      <c r="AO109" s="78">
        <f t="shared" si="4"/>
        <v>256</v>
      </c>
      <c r="AP109" s="82">
        <f t="shared" si="5"/>
        <v>15.02533594</v>
      </c>
    </row>
    <row r="110">
      <c r="A110" s="76" t="s">
        <v>17</v>
      </c>
      <c r="B110" s="77">
        <f t="shared" si="6"/>
        <v>44669</v>
      </c>
      <c r="C110" s="78">
        <v>4.0</v>
      </c>
      <c r="D110" s="78" t="s">
        <v>33</v>
      </c>
      <c r="E110" s="80" t="s">
        <v>129</v>
      </c>
      <c r="F110" s="71">
        <v>0.0</v>
      </c>
      <c r="H110" s="72">
        <v>0.0</v>
      </c>
      <c r="J110" s="72">
        <v>0.0</v>
      </c>
      <c r="L110" s="105">
        <v>77.0</v>
      </c>
      <c r="N110" s="104">
        <v>77.0</v>
      </c>
      <c r="P110" s="104">
        <v>0.0</v>
      </c>
      <c r="R110" s="104">
        <v>0.0</v>
      </c>
      <c r="T110" s="104">
        <v>0.0</v>
      </c>
      <c r="V110" s="104">
        <v>0.0</v>
      </c>
      <c r="X110" s="104">
        <v>0.0</v>
      </c>
      <c r="Y110" s="73"/>
      <c r="Z110" s="105">
        <v>26.0</v>
      </c>
      <c r="AB110" s="104">
        <v>26.0</v>
      </c>
      <c r="AD110" s="104">
        <v>0.0</v>
      </c>
      <c r="AF110" s="113"/>
      <c r="AH110" s="113"/>
      <c r="AJ110" s="113"/>
      <c r="AK110" s="73"/>
      <c r="AL110" s="81">
        <f t="shared" si="1"/>
        <v>3508.386</v>
      </c>
      <c r="AM110" s="78">
        <f t="shared" si="2"/>
        <v>206</v>
      </c>
      <c r="AN110" s="78">
        <f t="shared" si="3"/>
        <v>0</v>
      </c>
      <c r="AO110" s="78">
        <f t="shared" si="4"/>
        <v>206</v>
      </c>
      <c r="AP110" s="82">
        <f t="shared" si="5"/>
        <v>17.031</v>
      </c>
    </row>
    <row r="111">
      <c r="A111" s="76" t="s">
        <v>21</v>
      </c>
      <c r="B111" s="77">
        <f t="shared" si="6"/>
        <v>44670</v>
      </c>
      <c r="C111" s="78">
        <v>4.0</v>
      </c>
      <c r="D111" s="78" t="s">
        <v>33</v>
      </c>
      <c r="E111" s="80" t="s">
        <v>129</v>
      </c>
      <c r="F111" s="71">
        <v>0.0</v>
      </c>
      <c r="H111" s="72">
        <v>0.0</v>
      </c>
      <c r="J111" s="72">
        <v>0.0</v>
      </c>
      <c r="L111" s="105">
        <v>77.0</v>
      </c>
      <c r="N111" s="104">
        <v>77.0</v>
      </c>
      <c r="P111" s="104">
        <v>0.0</v>
      </c>
      <c r="R111" s="104">
        <v>35.0</v>
      </c>
      <c r="T111" s="104">
        <v>0.0</v>
      </c>
      <c r="V111" s="104">
        <v>0.0</v>
      </c>
      <c r="X111" s="104">
        <v>0.0</v>
      </c>
      <c r="Y111" s="73"/>
      <c r="Z111" s="105">
        <v>25.0</v>
      </c>
      <c r="AB111" s="104">
        <v>25.0</v>
      </c>
      <c r="AD111" s="104">
        <v>0.0</v>
      </c>
      <c r="AF111" s="113"/>
      <c r="AH111" s="113"/>
      <c r="AJ111" s="113"/>
      <c r="AK111" s="73"/>
      <c r="AL111" s="81">
        <f t="shared" si="1"/>
        <v>3710.994</v>
      </c>
      <c r="AM111" s="78">
        <f t="shared" si="2"/>
        <v>239</v>
      </c>
      <c r="AN111" s="78">
        <f t="shared" si="3"/>
        <v>0</v>
      </c>
      <c r="AO111" s="78">
        <f t="shared" si="4"/>
        <v>239</v>
      </c>
      <c r="AP111" s="82">
        <f t="shared" si="5"/>
        <v>15.52717155</v>
      </c>
    </row>
    <row r="112">
      <c r="A112" s="76" t="s">
        <v>24</v>
      </c>
      <c r="B112" s="77">
        <f t="shared" si="6"/>
        <v>44671</v>
      </c>
      <c r="C112" s="78">
        <v>4.0</v>
      </c>
      <c r="D112" s="78" t="s">
        <v>33</v>
      </c>
      <c r="E112" s="80" t="s">
        <v>129</v>
      </c>
      <c r="F112" s="71">
        <v>0.0</v>
      </c>
      <c r="H112" s="72">
        <v>0.0</v>
      </c>
      <c r="J112" s="72">
        <v>0.0</v>
      </c>
      <c r="L112" s="105">
        <v>77.0</v>
      </c>
      <c r="N112" s="104">
        <v>77.0</v>
      </c>
      <c r="P112" s="104">
        <v>0.0</v>
      </c>
      <c r="R112" s="104">
        <v>35.0</v>
      </c>
      <c r="T112" s="104">
        <v>0.0</v>
      </c>
      <c r="V112" s="104">
        <v>0.0</v>
      </c>
      <c r="X112" s="104">
        <v>0.0</v>
      </c>
      <c r="Y112" s="73"/>
      <c r="Z112" s="105">
        <v>25.0</v>
      </c>
      <c r="AB112" s="104">
        <v>25.0</v>
      </c>
      <c r="AD112" s="104">
        <v>0.0</v>
      </c>
      <c r="AF112" s="113"/>
      <c r="AH112" s="113"/>
      <c r="AJ112" s="113"/>
      <c r="AK112" s="73"/>
      <c r="AL112" s="81">
        <f t="shared" si="1"/>
        <v>3710.994</v>
      </c>
      <c r="AM112" s="78">
        <f t="shared" si="2"/>
        <v>239</v>
      </c>
      <c r="AN112" s="78">
        <f t="shared" si="3"/>
        <v>0</v>
      </c>
      <c r="AO112" s="78">
        <f t="shared" si="4"/>
        <v>239</v>
      </c>
      <c r="AP112" s="82">
        <f t="shared" si="5"/>
        <v>15.52717155</v>
      </c>
    </row>
    <row r="113">
      <c r="A113" s="76" t="s">
        <v>27</v>
      </c>
      <c r="B113" s="77">
        <f t="shared" si="6"/>
        <v>44672</v>
      </c>
      <c r="C113" s="78">
        <v>4.0</v>
      </c>
      <c r="D113" s="78" t="s">
        <v>33</v>
      </c>
      <c r="E113" s="80" t="s">
        <v>129</v>
      </c>
      <c r="F113" s="71">
        <v>0.0</v>
      </c>
      <c r="H113" s="72">
        <v>0.0</v>
      </c>
      <c r="J113" s="72">
        <v>0.0</v>
      </c>
      <c r="L113" s="105">
        <v>77.0</v>
      </c>
      <c r="N113" s="104">
        <v>77.0</v>
      </c>
      <c r="P113" s="104">
        <v>0.0</v>
      </c>
      <c r="R113" s="104">
        <v>0.0</v>
      </c>
      <c r="T113" s="104">
        <v>0.0</v>
      </c>
      <c r="V113" s="104">
        <v>0.0</v>
      </c>
      <c r="X113" s="104">
        <v>0.0</v>
      </c>
      <c r="Y113" s="73"/>
      <c r="Z113" s="105">
        <v>25.0</v>
      </c>
      <c r="AB113" s="104">
        <v>25.0</v>
      </c>
      <c r="AD113" s="104">
        <v>0.0</v>
      </c>
      <c r="AF113" s="113"/>
      <c r="AH113" s="113"/>
      <c r="AJ113" s="113"/>
      <c r="AK113" s="73"/>
      <c r="AL113" s="81">
        <f t="shared" si="1"/>
        <v>3474.324</v>
      </c>
      <c r="AM113" s="78">
        <f t="shared" si="2"/>
        <v>204</v>
      </c>
      <c r="AN113" s="78">
        <f t="shared" si="3"/>
        <v>0</v>
      </c>
      <c r="AO113" s="78">
        <f t="shared" si="4"/>
        <v>204</v>
      </c>
      <c r="AP113" s="82">
        <f t="shared" si="5"/>
        <v>17.031</v>
      </c>
    </row>
    <row r="114">
      <c r="A114" s="83" t="s">
        <v>30</v>
      </c>
      <c r="B114" s="84">
        <f t="shared" si="6"/>
        <v>44673</v>
      </c>
      <c r="C114" s="85">
        <v>4.0</v>
      </c>
      <c r="D114" s="85" t="s">
        <v>33</v>
      </c>
      <c r="E114" s="87" t="s">
        <v>129</v>
      </c>
      <c r="F114" s="88">
        <v>0.0</v>
      </c>
      <c r="G114" s="89"/>
      <c r="H114" s="90">
        <v>0.0</v>
      </c>
      <c r="I114" s="89"/>
      <c r="J114" s="90">
        <v>0.0</v>
      </c>
      <c r="K114" s="89"/>
      <c r="L114" s="112">
        <v>0.0</v>
      </c>
      <c r="M114" s="89"/>
      <c r="N114" s="111">
        <v>0.0</v>
      </c>
      <c r="O114" s="89"/>
      <c r="P114" s="111">
        <v>0.0</v>
      </c>
      <c r="Q114" s="89"/>
      <c r="R114" s="111">
        <v>0.0</v>
      </c>
      <c r="S114" s="89"/>
      <c r="T114" s="111">
        <v>0.0</v>
      </c>
      <c r="U114" s="89"/>
      <c r="V114" s="111">
        <v>0.0</v>
      </c>
      <c r="W114" s="89"/>
      <c r="X114" s="111">
        <v>0.0</v>
      </c>
      <c r="Y114" s="91"/>
      <c r="Z114" s="112">
        <v>0.0</v>
      </c>
      <c r="AA114" s="89"/>
      <c r="AB114" s="111">
        <v>0.0</v>
      </c>
      <c r="AC114" s="89"/>
      <c r="AD114" s="111">
        <v>0.0</v>
      </c>
      <c r="AE114" s="89"/>
      <c r="AF114" s="117"/>
      <c r="AG114" s="89"/>
      <c r="AH114" s="117"/>
      <c r="AI114" s="89"/>
      <c r="AJ114" s="117"/>
      <c r="AK114" s="91"/>
      <c r="AL114" s="92">
        <f t="shared" si="1"/>
        <v>0</v>
      </c>
      <c r="AM114" s="85">
        <f t="shared" si="2"/>
        <v>0</v>
      </c>
      <c r="AN114" s="85">
        <f t="shared" si="3"/>
        <v>0</v>
      </c>
      <c r="AO114" s="85">
        <f t="shared" si="4"/>
        <v>0</v>
      </c>
      <c r="AP114" s="93" t="str">
        <f t="shared" si="5"/>
        <v/>
      </c>
    </row>
    <row r="115">
      <c r="A115" s="66" t="s">
        <v>11</v>
      </c>
      <c r="B115" s="94">
        <f t="shared" si="6"/>
        <v>44674</v>
      </c>
      <c r="C115" s="68">
        <v>5.0</v>
      </c>
      <c r="D115" s="68" t="s">
        <v>48</v>
      </c>
      <c r="E115" s="70" t="s">
        <v>129</v>
      </c>
      <c r="F115" s="71">
        <v>0.0</v>
      </c>
      <c r="H115" s="72">
        <v>0.0</v>
      </c>
      <c r="J115" s="72">
        <v>0.0</v>
      </c>
      <c r="L115" s="105">
        <v>77.0</v>
      </c>
      <c r="N115" s="104">
        <v>77.0</v>
      </c>
      <c r="P115" s="104">
        <v>0.0</v>
      </c>
      <c r="R115" s="104">
        <v>35.0</v>
      </c>
      <c r="T115" s="104">
        <v>1.0</v>
      </c>
      <c r="V115" s="104">
        <v>1.0</v>
      </c>
      <c r="X115" s="104">
        <v>0.0</v>
      </c>
      <c r="Y115" s="73"/>
      <c r="Z115" s="105">
        <v>23.0</v>
      </c>
      <c r="AB115" s="104">
        <v>23.0</v>
      </c>
      <c r="AD115" s="104">
        <v>0.0</v>
      </c>
      <c r="AF115" s="113"/>
      <c r="AH115" s="113"/>
      <c r="AJ115" s="113"/>
      <c r="AK115" s="73"/>
      <c r="AL115" s="74">
        <f t="shared" si="1"/>
        <v>4377.87</v>
      </c>
      <c r="AM115" s="68">
        <f t="shared" si="2"/>
        <v>235</v>
      </c>
      <c r="AN115" s="68">
        <f t="shared" si="3"/>
        <v>2</v>
      </c>
      <c r="AO115" s="68">
        <f t="shared" si="4"/>
        <v>237</v>
      </c>
      <c r="AP115" s="75">
        <f t="shared" si="5"/>
        <v>18.47202532</v>
      </c>
    </row>
    <row r="116">
      <c r="A116" s="76" t="s">
        <v>16</v>
      </c>
      <c r="B116" s="77">
        <f t="shared" si="6"/>
        <v>44675</v>
      </c>
      <c r="C116" s="78">
        <v>5.0</v>
      </c>
      <c r="D116" s="78" t="s">
        <v>48</v>
      </c>
      <c r="E116" s="80" t="s">
        <v>129</v>
      </c>
      <c r="F116" s="71">
        <v>0.0</v>
      </c>
      <c r="H116" s="72">
        <v>0.0</v>
      </c>
      <c r="J116" s="72">
        <v>0.0</v>
      </c>
      <c r="L116" s="105">
        <v>77.0</v>
      </c>
      <c r="N116" s="104">
        <v>77.0</v>
      </c>
      <c r="P116" s="104">
        <v>0.0</v>
      </c>
      <c r="R116" s="104">
        <v>35.0</v>
      </c>
      <c r="T116" s="104">
        <v>0.0</v>
      </c>
      <c r="V116" s="104">
        <v>0.0</v>
      </c>
      <c r="X116" s="104">
        <v>0.0</v>
      </c>
      <c r="Y116" s="73"/>
      <c r="Z116" s="105">
        <v>23.0</v>
      </c>
      <c r="AB116" s="104">
        <v>23.0</v>
      </c>
      <c r="AD116" s="104">
        <v>0.0</v>
      </c>
      <c r="AF116" s="113"/>
      <c r="AH116" s="113"/>
      <c r="AJ116" s="113"/>
      <c r="AK116" s="73"/>
      <c r="AL116" s="81">
        <f t="shared" si="1"/>
        <v>3642.87</v>
      </c>
      <c r="AM116" s="78">
        <f t="shared" si="2"/>
        <v>235</v>
      </c>
      <c r="AN116" s="78">
        <f t="shared" si="3"/>
        <v>0</v>
      </c>
      <c r="AO116" s="78">
        <f t="shared" si="4"/>
        <v>235</v>
      </c>
      <c r="AP116" s="82">
        <f t="shared" si="5"/>
        <v>15.50157447</v>
      </c>
    </row>
    <row r="117">
      <c r="A117" s="76" t="s">
        <v>17</v>
      </c>
      <c r="B117" s="77">
        <f t="shared" si="6"/>
        <v>44676</v>
      </c>
      <c r="C117" s="78">
        <v>5.0</v>
      </c>
      <c r="D117" s="78" t="s">
        <v>48</v>
      </c>
      <c r="E117" s="80" t="s">
        <v>129</v>
      </c>
      <c r="F117" s="71">
        <v>0.0</v>
      </c>
      <c r="H117" s="72">
        <v>0.0</v>
      </c>
      <c r="J117" s="72">
        <v>0.0</v>
      </c>
      <c r="L117" s="105">
        <v>77.0</v>
      </c>
      <c r="N117" s="104">
        <v>77.0</v>
      </c>
      <c r="P117" s="104">
        <v>0.0</v>
      </c>
      <c r="R117" s="104">
        <v>35.0</v>
      </c>
      <c r="T117" s="104">
        <v>0.0</v>
      </c>
      <c r="V117" s="104">
        <v>0.0</v>
      </c>
      <c r="X117" s="104">
        <v>0.0</v>
      </c>
      <c r="Y117" s="73"/>
      <c r="Z117" s="105">
        <v>23.0</v>
      </c>
      <c r="AB117" s="104">
        <v>23.0</v>
      </c>
      <c r="AD117" s="104">
        <v>0.0</v>
      </c>
      <c r="AF117" s="113"/>
      <c r="AH117" s="113"/>
      <c r="AJ117" s="113"/>
      <c r="AK117" s="73"/>
      <c r="AL117" s="81">
        <f t="shared" si="1"/>
        <v>3642.87</v>
      </c>
      <c r="AM117" s="78">
        <f t="shared" si="2"/>
        <v>235</v>
      </c>
      <c r="AN117" s="78">
        <f t="shared" si="3"/>
        <v>0</v>
      </c>
      <c r="AO117" s="78">
        <f t="shared" si="4"/>
        <v>235</v>
      </c>
      <c r="AP117" s="82">
        <f t="shared" si="5"/>
        <v>15.50157447</v>
      </c>
    </row>
    <row r="118">
      <c r="A118" s="76" t="s">
        <v>21</v>
      </c>
      <c r="B118" s="77">
        <f t="shared" si="6"/>
        <v>44677</v>
      </c>
      <c r="C118" s="78">
        <v>5.0</v>
      </c>
      <c r="D118" s="78" t="s">
        <v>48</v>
      </c>
      <c r="E118" s="80" t="s">
        <v>129</v>
      </c>
      <c r="F118" s="71">
        <v>0.0</v>
      </c>
      <c r="H118" s="72">
        <v>0.0</v>
      </c>
      <c r="J118" s="72">
        <v>0.0</v>
      </c>
      <c r="L118" s="105">
        <v>77.0</v>
      </c>
      <c r="N118" s="104">
        <v>77.0</v>
      </c>
      <c r="P118" s="104">
        <v>0.0</v>
      </c>
      <c r="R118" s="104">
        <v>35.0</v>
      </c>
      <c r="T118" s="104">
        <v>0.0</v>
      </c>
      <c r="V118" s="104">
        <v>0.0</v>
      </c>
      <c r="X118" s="104">
        <v>0.0</v>
      </c>
      <c r="Y118" s="73"/>
      <c r="Z118" s="105">
        <v>23.0</v>
      </c>
      <c r="AB118" s="104">
        <v>23.0</v>
      </c>
      <c r="AD118" s="104">
        <v>0.0</v>
      </c>
      <c r="AF118" s="113"/>
      <c r="AH118" s="113"/>
      <c r="AJ118" s="113"/>
      <c r="AK118" s="73"/>
      <c r="AL118" s="81">
        <f t="shared" si="1"/>
        <v>3642.87</v>
      </c>
      <c r="AM118" s="78">
        <f t="shared" si="2"/>
        <v>235</v>
      </c>
      <c r="AN118" s="78">
        <f t="shared" si="3"/>
        <v>0</v>
      </c>
      <c r="AO118" s="78">
        <f t="shared" si="4"/>
        <v>235</v>
      </c>
      <c r="AP118" s="82">
        <f t="shared" si="5"/>
        <v>15.50157447</v>
      </c>
    </row>
    <row r="119">
      <c r="A119" s="76" t="s">
        <v>24</v>
      </c>
      <c r="B119" s="77">
        <f t="shared" si="6"/>
        <v>44678</v>
      </c>
      <c r="C119" s="78">
        <v>5.0</v>
      </c>
      <c r="D119" s="78" t="s">
        <v>48</v>
      </c>
      <c r="E119" s="80" t="s">
        <v>129</v>
      </c>
      <c r="F119" s="71">
        <v>0.0</v>
      </c>
      <c r="H119" s="72">
        <v>0.0</v>
      </c>
      <c r="J119" s="72">
        <v>0.0</v>
      </c>
      <c r="L119" s="105">
        <v>77.0</v>
      </c>
      <c r="N119" s="104">
        <v>77.0</v>
      </c>
      <c r="P119" s="104">
        <v>0.0</v>
      </c>
      <c r="R119" s="104">
        <v>35.0</v>
      </c>
      <c r="T119" s="104">
        <v>0.0</v>
      </c>
      <c r="V119" s="104">
        <v>0.0</v>
      </c>
      <c r="X119" s="104">
        <v>0.0</v>
      </c>
      <c r="Y119" s="73"/>
      <c r="Z119" s="105">
        <v>23.0</v>
      </c>
      <c r="AB119" s="104">
        <v>23.0</v>
      </c>
      <c r="AD119" s="104">
        <v>0.0</v>
      </c>
      <c r="AF119" s="113"/>
      <c r="AH119" s="113"/>
      <c r="AJ119" s="113"/>
      <c r="AK119" s="73"/>
      <c r="AL119" s="81">
        <f t="shared" si="1"/>
        <v>3642.87</v>
      </c>
      <c r="AM119" s="78">
        <f t="shared" si="2"/>
        <v>235</v>
      </c>
      <c r="AN119" s="78">
        <f t="shared" si="3"/>
        <v>0</v>
      </c>
      <c r="AO119" s="78">
        <f t="shared" si="4"/>
        <v>235</v>
      </c>
      <c r="AP119" s="82">
        <f t="shared" si="5"/>
        <v>15.50157447</v>
      </c>
    </row>
    <row r="120">
      <c r="A120" s="76" t="s">
        <v>27</v>
      </c>
      <c r="B120" s="77">
        <f t="shared" si="6"/>
        <v>44679</v>
      </c>
      <c r="C120" s="78">
        <v>5.0</v>
      </c>
      <c r="D120" s="78" t="s">
        <v>48</v>
      </c>
      <c r="E120" s="80" t="s">
        <v>129</v>
      </c>
      <c r="F120" s="71">
        <v>0.0</v>
      </c>
      <c r="H120" s="72">
        <v>0.0</v>
      </c>
      <c r="J120" s="72">
        <v>0.0</v>
      </c>
      <c r="L120" s="105">
        <v>77.0</v>
      </c>
      <c r="N120" s="104">
        <v>77.0</v>
      </c>
      <c r="P120" s="104">
        <v>0.0</v>
      </c>
      <c r="R120" s="104">
        <v>0.0</v>
      </c>
      <c r="T120" s="104">
        <v>0.0</v>
      </c>
      <c r="V120" s="104">
        <v>0.0</v>
      </c>
      <c r="X120" s="104">
        <v>0.0</v>
      </c>
      <c r="Y120" s="73"/>
      <c r="Z120" s="105">
        <v>23.0</v>
      </c>
      <c r="AB120" s="104">
        <v>23.0</v>
      </c>
      <c r="AD120" s="104">
        <v>0.0</v>
      </c>
      <c r="AF120" s="113"/>
      <c r="AH120" s="113"/>
      <c r="AJ120" s="113"/>
      <c r="AK120" s="73"/>
      <c r="AL120" s="81">
        <f t="shared" si="1"/>
        <v>3406.2</v>
      </c>
      <c r="AM120" s="78">
        <f t="shared" si="2"/>
        <v>200</v>
      </c>
      <c r="AN120" s="78">
        <f t="shared" si="3"/>
        <v>0</v>
      </c>
      <c r="AO120" s="78">
        <f t="shared" si="4"/>
        <v>200</v>
      </c>
      <c r="AP120" s="82">
        <f t="shared" si="5"/>
        <v>17.031</v>
      </c>
    </row>
    <row r="121">
      <c r="A121" s="83" t="s">
        <v>30</v>
      </c>
      <c r="B121" s="84">
        <f t="shared" si="6"/>
        <v>44680</v>
      </c>
      <c r="C121" s="85">
        <v>5.0</v>
      </c>
      <c r="D121" s="85" t="s">
        <v>48</v>
      </c>
      <c r="E121" s="87" t="s">
        <v>129</v>
      </c>
      <c r="F121" s="88">
        <v>0.0</v>
      </c>
      <c r="G121" s="89"/>
      <c r="H121" s="90">
        <v>0.0</v>
      </c>
      <c r="I121" s="89"/>
      <c r="J121" s="90">
        <v>0.0</v>
      </c>
      <c r="K121" s="89"/>
      <c r="L121" s="112"/>
      <c r="M121" s="89"/>
      <c r="N121" s="111"/>
      <c r="O121" s="89"/>
      <c r="P121" s="117"/>
      <c r="Q121" s="89"/>
      <c r="R121" s="111"/>
      <c r="S121" s="89"/>
      <c r="T121" s="117"/>
      <c r="U121" s="89"/>
      <c r="V121" s="117"/>
      <c r="W121" s="89"/>
      <c r="X121" s="111">
        <v>0.0</v>
      </c>
      <c r="Y121" s="91"/>
      <c r="Z121" s="172"/>
      <c r="AA121" s="89"/>
      <c r="AB121" s="117"/>
      <c r="AC121" s="89"/>
      <c r="AD121" s="111">
        <v>0.0</v>
      </c>
      <c r="AE121" s="89"/>
      <c r="AF121" s="117"/>
      <c r="AG121" s="89"/>
      <c r="AH121" s="117"/>
      <c r="AI121" s="89"/>
      <c r="AJ121" s="117"/>
      <c r="AK121" s="91"/>
      <c r="AL121" s="92">
        <f t="shared" si="1"/>
        <v>0</v>
      </c>
      <c r="AM121" s="85">
        <f t="shared" si="2"/>
        <v>0</v>
      </c>
      <c r="AN121" s="85">
        <f t="shared" si="3"/>
        <v>0</v>
      </c>
      <c r="AO121" s="85">
        <f t="shared" si="4"/>
        <v>0</v>
      </c>
      <c r="AP121" s="93" t="str">
        <f t="shared" si="5"/>
        <v/>
      </c>
    </row>
    <row r="122">
      <c r="A122" s="66" t="s">
        <v>11</v>
      </c>
      <c r="B122" s="94">
        <f t="shared" si="6"/>
        <v>44681</v>
      </c>
      <c r="C122" s="68">
        <v>5.0</v>
      </c>
      <c r="D122" s="68" t="s">
        <v>59</v>
      </c>
      <c r="E122" s="70" t="s">
        <v>129</v>
      </c>
      <c r="F122" s="71">
        <v>0.0</v>
      </c>
      <c r="H122" s="72">
        <v>0.0</v>
      </c>
      <c r="J122" s="72">
        <v>0.0</v>
      </c>
      <c r="L122" s="105">
        <v>77.0</v>
      </c>
      <c r="N122" s="104">
        <v>77.0</v>
      </c>
      <c r="P122" s="104">
        <v>0.0</v>
      </c>
      <c r="R122" s="104">
        <v>0.0</v>
      </c>
      <c r="T122" s="104">
        <v>1.0</v>
      </c>
      <c r="V122" s="104">
        <v>1.0</v>
      </c>
      <c r="X122" s="104">
        <v>0.0</v>
      </c>
      <c r="Y122" s="73"/>
      <c r="Z122" s="105">
        <v>23.0</v>
      </c>
      <c r="AB122" s="104">
        <v>23.0</v>
      </c>
      <c r="AD122" s="104">
        <v>0.0</v>
      </c>
      <c r="AF122" s="113"/>
      <c r="AH122" s="113"/>
      <c r="AJ122" s="113"/>
      <c r="AK122" s="73"/>
      <c r="AL122" s="74">
        <f t="shared" si="1"/>
        <v>4141.2</v>
      </c>
      <c r="AM122" s="68">
        <f t="shared" si="2"/>
        <v>200</v>
      </c>
      <c r="AN122" s="68">
        <f t="shared" si="3"/>
        <v>2</v>
      </c>
      <c r="AO122" s="68">
        <f t="shared" si="4"/>
        <v>202</v>
      </c>
      <c r="AP122" s="75">
        <f t="shared" si="5"/>
        <v>20.5009901</v>
      </c>
    </row>
    <row r="123">
      <c r="A123" s="76" t="s">
        <v>16</v>
      </c>
      <c r="B123" s="77">
        <f t="shared" si="6"/>
        <v>44682</v>
      </c>
      <c r="C123" s="78">
        <v>5.0</v>
      </c>
      <c r="D123" s="78" t="s">
        <v>59</v>
      </c>
      <c r="E123" s="80" t="s">
        <v>129</v>
      </c>
      <c r="F123" s="71">
        <v>0.0</v>
      </c>
      <c r="H123" s="72">
        <v>0.0</v>
      </c>
      <c r="J123" s="72">
        <v>0.0</v>
      </c>
      <c r="L123" s="105">
        <v>77.0</v>
      </c>
      <c r="N123" s="104">
        <v>77.0</v>
      </c>
      <c r="P123" s="104">
        <v>0.0</v>
      </c>
      <c r="R123" s="104">
        <v>35.0</v>
      </c>
      <c r="T123" s="104">
        <v>0.0</v>
      </c>
      <c r="V123" s="104">
        <v>0.0</v>
      </c>
      <c r="X123" s="104">
        <v>0.0</v>
      </c>
      <c r="Y123" s="73"/>
      <c r="Z123" s="105">
        <v>23.0</v>
      </c>
      <c r="AB123" s="104">
        <v>23.0</v>
      </c>
      <c r="AD123" s="104">
        <v>0.0</v>
      </c>
      <c r="AF123" s="113"/>
      <c r="AH123" s="113"/>
      <c r="AJ123" s="113"/>
      <c r="AK123" s="73"/>
      <c r="AL123" s="81">
        <f t="shared" si="1"/>
        <v>3642.87</v>
      </c>
      <c r="AM123" s="78">
        <f t="shared" si="2"/>
        <v>235</v>
      </c>
      <c r="AN123" s="78">
        <f t="shared" si="3"/>
        <v>0</v>
      </c>
      <c r="AO123" s="78">
        <f t="shared" si="4"/>
        <v>235</v>
      </c>
      <c r="AP123" s="82">
        <f t="shared" si="5"/>
        <v>15.50157447</v>
      </c>
    </row>
    <row r="124">
      <c r="A124" s="76" t="s">
        <v>17</v>
      </c>
      <c r="B124" s="77">
        <f t="shared" si="6"/>
        <v>44683</v>
      </c>
      <c r="C124" s="78">
        <v>5.0</v>
      </c>
      <c r="D124" s="78" t="s">
        <v>59</v>
      </c>
      <c r="E124" s="80" t="s">
        <v>129</v>
      </c>
      <c r="F124" s="71">
        <v>0.0</v>
      </c>
      <c r="H124" s="72">
        <v>0.0</v>
      </c>
      <c r="J124" s="72">
        <v>0.0</v>
      </c>
      <c r="L124" s="105">
        <v>77.0</v>
      </c>
      <c r="N124" s="104">
        <v>77.0</v>
      </c>
      <c r="P124" s="104">
        <v>0.0</v>
      </c>
      <c r="R124" s="104">
        <v>0.0</v>
      </c>
      <c r="T124" s="104">
        <v>0.0</v>
      </c>
      <c r="V124" s="104">
        <v>0.0</v>
      </c>
      <c r="X124" s="104">
        <v>0.0</v>
      </c>
      <c r="Y124" s="73"/>
      <c r="Z124" s="105">
        <v>23.0</v>
      </c>
      <c r="AB124" s="104">
        <v>23.0</v>
      </c>
      <c r="AD124" s="104">
        <v>0.0</v>
      </c>
      <c r="AF124" s="113"/>
      <c r="AH124" s="113"/>
      <c r="AJ124" s="113"/>
      <c r="AK124" s="73"/>
      <c r="AL124" s="81">
        <f t="shared" si="1"/>
        <v>3406.2</v>
      </c>
      <c r="AM124" s="78">
        <f t="shared" si="2"/>
        <v>200</v>
      </c>
      <c r="AN124" s="78">
        <f t="shared" si="3"/>
        <v>0</v>
      </c>
      <c r="AO124" s="78">
        <f t="shared" si="4"/>
        <v>200</v>
      </c>
      <c r="AP124" s="82">
        <f t="shared" si="5"/>
        <v>17.031</v>
      </c>
    </row>
    <row r="125">
      <c r="A125" s="76" t="s">
        <v>21</v>
      </c>
      <c r="B125" s="77">
        <f t="shared" si="6"/>
        <v>44684</v>
      </c>
      <c r="C125" s="78">
        <v>5.0</v>
      </c>
      <c r="D125" s="78" t="s">
        <v>59</v>
      </c>
      <c r="E125" s="80" t="s">
        <v>129</v>
      </c>
      <c r="F125" s="71">
        <v>0.0</v>
      </c>
      <c r="H125" s="72">
        <v>0.0</v>
      </c>
      <c r="J125" s="72">
        <v>0.0</v>
      </c>
      <c r="L125" s="105">
        <v>77.0</v>
      </c>
      <c r="N125" s="104">
        <v>77.0</v>
      </c>
      <c r="P125" s="104">
        <v>0.0</v>
      </c>
      <c r="R125" s="104">
        <v>35.0</v>
      </c>
      <c r="T125" s="104">
        <v>0.0</v>
      </c>
      <c r="V125" s="104">
        <v>0.0</v>
      </c>
      <c r="X125" s="104">
        <v>0.0</v>
      </c>
      <c r="Y125" s="73"/>
      <c r="Z125" s="105">
        <v>23.0</v>
      </c>
      <c r="AB125" s="104">
        <v>23.0</v>
      </c>
      <c r="AD125" s="104">
        <v>0.0</v>
      </c>
      <c r="AF125" s="113"/>
      <c r="AH125" s="113"/>
      <c r="AJ125" s="113"/>
      <c r="AK125" s="73"/>
      <c r="AL125" s="81">
        <f t="shared" si="1"/>
        <v>3642.87</v>
      </c>
      <c r="AM125" s="78">
        <f t="shared" si="2"/>
        <v>235</v>
      </c>
      <c r="AN125" s="78">
        <f t="shared" si="3"/>
        <v>0</v>
      </c>
      <c r="AO125" s="78">
        <f t="shared" si="4"/>
        <v>235</v>
      </c>
      <c r="AP125" s="82">
        <f t="shared" si="5"/>
        <v>15.50157447</v>
      </c>
    </row>
    <row r="126">
      <c r="A126" s="76" t="s">
        <v>24</v>
      </c>
      <c r="B126" s="77">
        <f t="shared" si="6"/>
        <v>44685</v>
      </c>
      <c r="C126" s="78">
        <v>5.0</v>
      </c>
      <c r="D126" s="78" t="s">
        <v>59</v>
      </c>
      <c r="E126" s="80" t="s">
        <v>129</v>
      </c>
      <c r="F126" s="71">
        <v>0.0</v>
      </c>
      <c r="H126" s="72">
        <v>0.0</v>
      </c>
      <c r="J126" s="72">
        <v>0.0</v>
      </c>
      <c r="L126" s="105">
        <v>77.0</v>
      </c>
      <c r="N126" s="104">
        <v>77.0</v>
      </c>
      <c r="P126" s="104">
        <v>0.0</v>
      </c>
      <c r="R126" s="104">
        <v>35.0</v>
      </c>
      <c r="T126" s="104">
        <v>0.0</v>
      </c>
      <c r="V126" s="104">
        <v>0.0</v>
      </c>
      <c r="X126" s="104">
        <v>0.0</v>
      </c>
      <c r="Y126" s="73"/>
      <c r="Z126" s="105">
        <v>23.0</v>
      </c>
      <c r="AB126" s="104">
        <v>23.0</v>
      </c>
      <c r="AD126" s="104">
        <v>0.0</v>
      </c>
      <c r="AF126" s="113"/>
      <c r="AH126" s="113"/>
      <c r="AJ126" s="113"/>
      <c r="AK126" s="73"/>
      <c r="AL126" s="81">
        <f t="shared" si="1"/>
        <v>3642.87</v>
      </c>
      <c r="AM126" s="78">
        <f t="shared" si="2"/>
        <v>235</v>
      </c>
      <c r="AN126" s="78">
        <f t="shared" si="3"/>
        <v>0</v>
      </c>
      <c r="AO126" s="78">
        <f t="shared" si="4"/>
        <v>235</v>
      </c>
      <c r="AP126" s="82">
        <f t="shared" si="5"/>
        <v>15.50157447</v>
      </c>
    </row>
    <row r="127">
      <c r="A127" s="76" t="s">
        <v>27</v>
      </c>
      <c r="B127" s="77">
        <f t="shared" si="6"/>
        <v>44686</v>
      </c>
      <c r="C127" s="78">
        <v>5.0</v>
      </c>
      <c r="D127" s="78" t="s">
        <v>59</v>
      </c>
      <c r="E127" s="80" t="s">
        <v>129</v>
      </c>
      <c r="F127" s="71">
        <v>0.0</v>
      </c>
      <c r="H127" s="72">
        <v>0.0</v>
      </c>
      <c r="J127" s="72">
        <v>0.0</v>
      </c>
      <c r="L127" s="105">
        <v>77.0</v>
      </c>
      <c r="N127" s="104">
        <v>77.0</v>
      </c>
      <c r="P127" s="104">
        <v>0.0</v>
      </c>
      <c r="R127" s="104">
        <v>0.0</v>
      </c>
      <c r="T127" s="104">
        <v>0.0</v>
      </c>
      <c r="V127" s="104">
        <v>0.0</v>
      </c>
      <c r="X127" s="104">
        <v>0.0</v>
      </c>
      <c r="Y127" s="73"/>
      <c r="Z127" s="105">
        <v>13.0</v>
      </c>
      <c r="AB127" s="104">
        <v>13.0</v>
      </c>
      <c r="AD127" s="104">
        <v>0.0</v>
      </c>
      <c r="AF127" s="113"/>
      <c r="AH127" s="113"/>
      <c r="AJ127" s="113"/>
      <c r="AK127" s="73"/>
      <c r="AL127" s="81">
        <f t="shared" si="1"/>
        <v>3065.58</v>
      </c>
      <c r="AM127" s="78">
        <f t="shared" si="2"/>
        <v>180</v>
      </c>
      <c r="AN127" s="78">
        <f t="shared" si="3"/>
        <v>0</v>
      </c>
      <c r="AO127" s="78">
        <f t="shared" si="4"/>
        <v>180</v>
      </c>
      <c r="AP127" s="82">
        <f t="shared" si="5"/>
        <v>17.031</v>
      </c>
    </row>
    <row r="128">
      <c r="A128" s="83" t="s">
        <v>30</v>
      </c>
      <c r="B128" s="84">
        <f t="shared" si="6"/>
        <v>44687</v>
      </c>
      <c r="C128" s="85">
        <v>5.0</v>
      </c>
      <c r="D128" s="85" t="s">
        <v>59</v>
      </c>
      <c r="E128" s="87" t="s">
        <v>129</v>
      </c>
      <c r="F128" s="88">
        <v>0.0</v>
      </c>
      <c r="G128" s="89"/>
      <c r="H128" s="90">
        <v>0.0</v>
      </c>
      <c r="I128" s="89"/>
      <c r="J128" s="90">
        <v>0.0</v>
      </c>
      <c r="K128" s="89"/>
      <c r="L128" s="112">
        <v>0.0</v>
      </c>
      <c r="M128" s="89"/>
      <c r="N128" s="111">
        <v>0.0</v>
      </c>
      <c r="O128" s="89"/>
      <c r="P128" s="111">
        <v>0.0</v>
      </c>
      <c r="Q128" s="89"/>
      <c r="R128" s="111">
        <v>0.0</v>
      </c>
      <c r="S128" s="89"/>
      <c r="T128" s="111">
        <v>0.0</v>
      </c>
      <c r="U128" s="89"/>
      <c r="V128" s="111">
        <v>0.0</v>
      </c>
      <c r="W128" s="89"/>
      <c r="X128" s="111">
        <v>0.0</v>
      </c>
      <c r="Y128" s="91"/>
      <c r="Z128" s="112">
        <v>0.0</v>
      </c>
      <c r="AA128" s="89"/>
      <c r="AB128" s="111">
        <v>0.0</v>
      </c>
      <c r="AC128" s="89"/>
      <c r="AD128" s="111">
        <v>0.0</v>
      </c>
      <c r="AE128" s="89"/>
      <c r="AF128" s="117"/>
      <c r="AG128" s="89"/>
      <c r="AH128" s="117"/>
      <c r="AI128" s="89"/>
      <c r="AJ128" s="117"/>
      <c r="AK128" s="91"/>
      <c r="AL128" s="92">
        <f t="shared" si="1"/>
        <v>0</v>
      </c>
      <c r="AM128" s="85">
        <f t="shared" si="2"/>
        <v>0</v>
      </c>
      <c r="AN128" s="85">
        <f t="shared" si="3"/>
        <v>0</v>
      </c>
      <c r="AO128" s="85">
        <f t="shared" si="4"/>
        <v>0</v>
      </c>
      <c r="AP128" s="93" t="str">
        <f t="shared" si="5"/>
        <v/>
      </c>
    </row>
    <row r="129">
      <c r="A129" s="66" t="s">
        <v>11</v>
      </c>
      <c r="B129" s="94">
        <f t="shared" si="6"/>
        <v>44688</v>
      </c>
      <c r="C129" s="68">
        <v>5.0</v>
      </c>
      <c r="D129" s="68" t="s">
        <v>12</v>
      </c>
      <c r="E129" s="70" t="s">
        <v>129</v>
      </c>
      <c r="F129" s="71">
        <v>0.0</v>
      </c>
      <c r="H129" s="72">
        <v>0.0</v>
      </c>
      <c r="J129" s="72">
        <v>0.0</v>
      </c>
      <c r="L129" s="105">
        <v>77.0</v>
      </c>
      <c r="N129" s="104">
        <v>77.0</v>
      </c>
      <c r="P129" s="104">
        <v>0.0</v>
      </c>
      <c r="R129" s="104">
        <v>35.0</v>
      </c>
      <c r="T129" s="104">
        <v>1.0</v>
      </c>
      <c r="V129" s="104">
        <v>1.0</v>
      </c>
      <c r="X129" s="104">
        <v>0.0</v>
      </c>
      <c r="Y129" s="73"/>
      <c r="Z129" s="105">
        <v>25.0</v>
      </c>
      <c r="AB129" s="104">
        <v>25.0</v>
      </c>
      <c r="AD129" s="104">
        <v>0.0</v>
      </c>
      <c r="AF129" s="113"/>
      <c r="AH129" s="113"/>
      <c r="AJ129" s="113"/>
      <c r="AK129" s="73"/>
      <c r="AL129" s="74">
        <f t="shared" si="1"/>
        <v>4445.994</v>
      </c>
      <c r="AM129" s="68">
        <f t="shared" si="2"/>
        <v>239</v>
      </c>
      <c r="AN129" s="68">
        <f t="shared" si="3"/>
        <v>2</v>
      </c>
      <c r="AO129" s="68">
        <f t="shared" si="4"/>
        <v>241</v>
      </c>
      <c r="AP129" s="75">
        <f t="shared" si="5"/>
        <v>18.44810788</v>
      </c>
    </row>
    <row r="130">
      <c r="A130" s="76" t="s">
        <v>16</v>
      </c>
      <c r="B130" s="77">
        <f t="shared" si="6"/>
        <v>44689</v>
      </c>
      <c r="C130" s="78">
        <v>5.0</v>
      </c>
      <c r="D130" s="78" t="s">
        <v>12</v>
      </c>
      <c r="E130" s="80" t="s">
        <v>129</v>
      </c>
      <c r="F130" s="71">
        <v>0.0</v>
      </c>
      <c r="H130" s="72">
        <v>0.0</v>
      </c>
      <c r="J130" s="72">
        <v>0.0</v>
      </c>
      <c r="L130" s="105">
        <v>77.0</v>
      </c>
      <c r="N130" s="104">
        <v>77.0</v>
      </c>
      <c r="P130" s="104">
        <v>0.0</v>
      </c>
      <c r="R130" s="104">
        <v>35.0</v>
      </c>
      <c r="T130" s="104">
        <v>0.0</v>
      </c>
      <c r="V130" s="104">
        <v>0.0</v>
      </c>
      <c r="X130" s="104">
        <v>0.0</v>
      </c>
      <c r="Y130" s="73"/>
      <c r="Z130" s="105">
        <v>25.0</v>
      </c>
      <c r="AB130" s="104">
        <v>25.0</v>
      </c>
      <c r="AD130" s="104">
        <v>0.0</v>
      </c>
      <c r="AF130" s="113"/>
      <c r="AH130" s="113"/>
      <c r="AJ130" s="113"/>
      <c r="AK130" s="73"/>
      <c r="AL130" s="81">
        <f t="shared" si="1"/>
        <v>3710.994</v>
      </c>
      <c r="AM130" s="78">
        <f t="shared" si="2"/>
        <v>239</v>
      </c>
      <c r="AN130" s="78">
        <f t="shared" si="3"/>
        <v>0</v>
      </c>
      <c r="AO130" s="78">
        <f t="shared" si="4"/>
        <v>239</v>
      </c>
      <c r="AP130" s="82">
        <f t="shared" si="5"/>
        <v>15.52717155</v>
      </c>
    </row>
    <row r="131">
      <c r="A131" s="76" t="s">
        <v>17</v>
      </c>
      <c r="B131" s="77">
        <f t="shared" si="6"/>
        <v>44690</v>
      </c>
      <c r="C131" s="78">
        <v>5.0</v>
      </c>
      <c r="D131" s="78" t="s">
        <v>12</v>
      </c>
      <c r="E131" s="80" t="s">
        <v>129</v>
      </c>
      <c r="F131" s="71">
        <v>0.0</v>
      </c>
      <c r="H131" s="72">
        <v>0.0</v>
      </c>
      <c r="J131" s="72">
        <v>0.0</v>
      </c>
      <c r="L131" s="105">
        <v>77.0</v>
      </c>
      <c r="N131" s="104">
        <v>77.0</v>
      </c>
      <c r="P131" s="104">
        <v>0.0</v>
      </c>
      <c r="R131" s="104">
        <v>0.0</v>
      </c>
      <c r="T131" s="104">
        <v>0.0</v>
      </c>
      <c r="V131" s="104">
        <v>0.0</v>
      </c>
      <c r="X131" s="104">
        <v>0.0</v>
      </c>
      <c r="Y131" s="73"/>
      <c r="Z131" s="105">
        <v>25.0</v>
      </c>
      <c r="AB131" s="104">
        <v>25.0</v>
      </c>
      <c r="AD131" s="104">
        <v>0.0</v>
      </c>
      <c r="AF131" s="113"/>
      <c r="AH131" s="113"/>
      <c r="AJ131" s="113"/>
      <c r="AK131" s="73"/>
      <c r="AL131" s="81">
        <f t="shared" si="1"/>
        <v>3474.324</v>
      </c>
      <c r="AM131" s="78">
        <f t="shared" si="2"/>
        <v>204</v>
      </c>
      <c r="AN131" s="78">
        <f t="shared" si="3"/>
        <v>0</v>
      </c>
      <c r="AO131" s="78">
        <f t="shared" si="4"/>
        <v>204</v>
      </c>
      <c r="AP131" s="82">
        <f t="shared" si="5"/>
        <v>17.031</v>
      </c>
    </row>
    <row r="132">
      <c r="A132" s="76" t="s">
        <v>21</v>
      </c>
      <c r="B132" s="77">
        <f t="shared" si="6"/>
        <v>44691</v>
      </c>
      <c r="C132" s="78">
        <v>5.0</v>
      </c>
      <c r="D132" s="78" t="s">
        <v>12</v>
      </c>
      <c r="E132" s="80" t="s">
        <v>129</v>
      </c>
      <c r="F132" s="71">
        <v>0.0</v>
      </c>
      <c r="H132" s="72">
        <v>0.0</v>
      </c>
      <c r="J132" s="72">
        <v>0.0</v>
      </c>
      <c r="L132" s="105">
        <v>77.0</v>
      </c>
      <c r="N132" s="104">
        <v>77.0</v>
      </c>
      <c r="P132" s="104">
        <v>0.0</v>
      </c>
      <c r="R132" s="104">
        <v>35.0</v>
      </c>
      <c r="T132" s="104">
        <v>0.0</v>
      </c>
      <c r="V132" s="104">
        <v>0.0</v>
      </c>
      <c r="X132" s="104">
        <v>0.0</v>
      </c>
      <c r="Y132" s="73"/>
      <c r="Z132" s="105">
        <v>25.0</v>
      </c>
      <c r="AB132" s="104">
        <v>25.0</v>
      </c>
      <c r="AD132" s="104">
        <v>0.0</v>
      </c>
      <c r="AF132" s="113"/>
      <c r="AH132" s="113"/>
      <c r="AJ132" s="113"/>
      <c r="AK132" s="73"/>
      <c r="AL132" s="81">
        <f t="shared" si="1"/>
        <v>3710.994</v>
      </c>
      <c r="AM132" s="78">
        <f t="shared" si="2"/>
        <v>239</v>
      </c>
      <c r="AN132" s="78">
        <f t="shared" si="3"/>
        <v>0</v>
      </c>
      <c r="AO132" s="78">
        <f t="shared" si="4"/>
        <v>239</v>
      </c>
      <c r="AP132" s="82">
        <f t="shared" si="5"/>
        <v>15.52717155</v>
      </c>
    </row>
    <row r="133">
      <c r="A133" s="76" t="s">
        <v>24</v>
      </c>
      <c r="B133" s="77">
        <f t="shared" si="6"/>
        <v>44692</v>
      </c>
      <c r="C133" s="78">
        <v>5.0</v>
      </c>
      <c r="D133" s="78" t="s">
        <v>12</v>
      </c>
      <c r="E133" s="80" t="s">
        <v>129</v>
      </c>
      <c r="F133" s="71">
        <v>0.0</v>
      </c>
      <c r="H133" s="72">
        <v>0.0</v>
      </c>
      <c r="J133" s="72">
        <v>0.0</v>
      </c>
      <c r="L133" s="105">
        <v>77.0</v>
      </c>
      <c r="N133" s="104">
        <v>77.0</v>
      </c>
      <c r="P133" s="104">
        <v>0.0</v>
      </c>
      <c r="R133" s="104">
        <v>0.0</v>
      </c>
      <c r="T133" s="104">
        <v>0.0</v>
      </c>
      <c r="V133" s="104">
        <v>0.0</v>
      </c>
      <c r="X133" s="104">
        <v>0.0</v>
      </c>
      <c r="Y133" s="73"/>
      <c r="Z133" s="105">
        <v>25.0</v>
      </c>
      <c r="AB133" s="104">
        <v>25.0</v>
      </c>
      <c r="AD133" s="104">
        <v>0.0</v>
      </c>
      <c r="AF133" s="113"/>
      <c r="AH133" s="113"/>
      <c r="AJ133" s="113"/>
      <c r="AK133" s="73"/>
      <c r="AL133" s="81">
        <f t="shared" si="1"/>
        <v>3474.324</v>
      </c>
      <c r="AM133" s="78">
        <f t="shared" si="2"/>
        <v>204</v>
      </c>
      <c r="AN133" s="78">
        <f t="shared" si="3"/>
        <v>0</v>
      </c>
      <c r="AO133" s="78">
        <f t="shared" si="4"/>
        <v>204</v>
      </c>
      <c r="AP133" s="82">
        <f t="shared" si="5"/>
        <v>17.031</v>
      </c>
    </row>
    <row r="134">
      <c r="A134" s="76" t="s">
        <v>27</v>
      </c>
      <c r="B134" s="77">
        <f t="shared" si="6"/>
        <v>44693</v>
      </c>
      <c r="C134" s="78">
        <v>5.0</v>
      </c>
      <c r="D134" s="78" t="s">
        <v>12</v>
      </c>
      <c r="E134" s="80" t="s">
        <v>129</v>
      </c>
      <c r="F134" s="71">
        <v>0.0</v>
      </c>
      <c r="H134" s="72">
        <v>0.0</v>
      </c>
      <c r="J134" s="72">
        <v>0.0</v>
      </c>
      <c r="L134" s="105">
        <v>77.0</v>
      </c>
      <c r="N134" s="104">
        <v>77.0</v>
      </c>
      <c r="P134" s="104">
        <v>0.0</v>
      </c>
      <c r="R134" s="104">
        <v>0.0</v>
      </c>
      <c r="T134" s="104">
        <v>0.0</v>
      </c>
      <c r="V134" s="104">
        <v>0.0</v>
      </c>
      <c r="X134" s="104">
        <v>0.0</v>
      </c>
      <c r="Y134" s="73"/>
      <c r="Z134" s="105">
        <v>18.0</v>
      </c>
      <c r="AB134" s="104">
        <v>25.0</v>
      </c>
      <c r="AD134" s="104">
        <v>0.0</v>
      </c>
      <c r="AF134" s="113"/>
      <c r="AH134" s="113"/>
      <c r="AJ134" s="113"/>
      <c r="AK134" s="73"/>
      <c r="AL134" s="81">
        <f t="shared" si="1"/>
        <v>3355.107</v>
      </c>
      <c r="AM134" s="78">
        <f t="shared" si="2"/>
        <v>197</v>
      </c>
      <c r="AN134" s="78">
        <f t="shared" si="3"/>
        <v>0</v>
      </c>
      <c r="AO134" s="78">
        <f t="shared" si="4"/>
        <v>197</v>
      </c>
      <c r="AP134" s="82">
        <f t="shared" si="5"/>
        <v>17.031</v>
      </c>
    </row>
    <row r="135">
      <c r="A135" s="83" t="s">
        <v>30</v>
      </c>
      <c r="B135" s="84">
        <f t="shared" si="6"/>
        <v>44694</v>
      </c>
      <c r="C135" s="85">
        <v>5.0</v>
      </c>
      <c r="D135" s="85" t="s">
        <v>12</v>
      </c>
      <c r="E135" s="87" t="s">
        <v>129</v>
      </c>
      <c r="F135" s="88">
        <v>0.0</v>
      </c>
      <c r="G135" s="89"/>
      <c r="H135" s="90">
        <v>0.0</v>
      </c>
      <c r="I135" s="89"/>
      <c r="J135" s="90">
        <v>0.0</v>
      </c>
      <c r="K135" s="89"/>
      <c r="L135" s="112">
        <v>0.0</v>
      </c>
      <c r="M135" s="89"/>
      <c r="N135" s="111">
        <v>0.0</v>
      </c>
      <c r="O135" s="89"/>
      <c r="P135" s="111">
        <v>0.0</v>
      </c>
      <c r="Q135" s="89"/>
      <c r="R135" s="111">
        <v>0.0</v>
      </c>
      <c r="S135" s="89"/>
      <c r="T135" s="111">
        <v>0.0</v>
      </c>
      <c r="U135" s="89"/>
      <c r="V135" s="111">
        <v>0.0</v>
      </c>
      <c r="W135" s="89"/>
      <c r="X135" s="111">
        <v>0.0</v>
      </c>
      <c r="Y135" s="91"/>
      <c r="Z135" s="112">
        <v>0.0</v>
      </c>
      <c r="AA135" s="89"/>
      <c r="AB135" s="111">
        <v>0.0</v>
      </c>
      <c r="AC135" s="89"/>
      <c r="AD135" s="111">
        <v>0.0</v>
      </c>
      <c r="AE135" s="89"/>
      <c r="AF135" s="117"/>
      <c r="AG135" s="89"/>
      <c r="AH135" s="117"/>
      <c r="AI135" s="89"/>
      <c r="AJ135" s="117"/>
      <c r="AK135" s="91"/>
      <c r="AL135" s="92">
        <f t="shared" si="1"/>
        <v>0</v>
      </c>
      <c r="AM135" s="85">
        <f t="shared" si="2"/>
        <v>0</v>
      </c>
      <c r="AN135" s="85">
        <f t="shared" si="3"/>
        <v>0</v>
      </c>
      <c r="AO135" s="85">
        <f t="shared" si="4"/>
        <v>0</v>
      </c>
      <c r="AP135" s="93" t="str">
        <f t="shared" si="5"/>
        <v/>
      </c>
    </row>
    <row r="136">
      <c r="A136" s="66" t="s">
        <v>11</v>
      </c>
      <c r="B136" s="94">
        <f t="shared" si="6"/>
        <v>44695</v>
      </c>
      <c r="C136" s="68">
        <v>5.0</v>
      </c>
      <c r="D136" s="68" t="s">
        <v>33</v>
      </c>
      <c r="E136" s="70" t="s">
        <v>129</v>
      </c>
      <c r="F136" s="71">
        <v>0.0</v>
      </c>
      <c r="H136" s="72">
        <v>0.0</v>
      </c>
      <c r="J136" s="72">
        <v>0.0</v>
      </c>
      <c r="L136" s="105">
        <v>77.0</v>
      </c>
      <c r="N136" s="104">
        <v>77.0</v>
      </c>
      <c r="P136" s="104">
        <v>0.0</v>
      </c>
      <c r="R136" s="104">
        <v>35.0</v>
      </c>
      <c r="T136" s="104">
        <v>1.0</v>
      </c>
      <c r="V136" s="104">
        <v>1.0</v>
      </c>
      <c r="X136" s="104">
        <v>0.0</v>
      </c>
      <c r="Y136" s="73"/>
      <c r="Z136" s="105">
        <v>28.0</v>
      </c>
      <c r="AB136" s="104">
        <v>28.0</v>
      </c>
      <c r="AD136" s="104">
        <v>0.0</v>
      </c>
      <c r="AF136" s="113"/>
      <c r="AH136" s="113"/>
      <c r="AJ136" s="113"/>
      <c r="AK136" s="73"/>
      <c r="AL136" s="74">
        <f t="shared" si="1"/>
        <v>4548.18</v>
      </c>
      <c r="AM136" s="68">
        <f t="shared" si="2"/>
        <v>245</v>
      </c>
      <c r="AN136" s="68">
        <f t="shared" si="3"/>
        <v>2</v>
      </c>
      <c r="AO136" s="68">
        <f t="shared" si="4"/>
        <v>247</v>
      </c>
      <c r="AP136" s="75">
        <f t="shared" si="5"/>
        <v>18.41368421</v>
      </c>
    </row>
    <row r="137">
      <c r="A137" s="76" t="s">
        <v>16</v>
      </c>
      <c r="B137" s="77">
        <f t="shared" si="6"/>
        <v>44696</v>
      </c>
      <c r="C137" s="78">
        <v>5.0</v>
      </c>
      <c r="D137" s="78" t="s">
        <v>33</v>
      </c>
      <c r="E137" s="80" t="s">
        <v>129</v>
      </c>
      <c r="F137" s="71">
        <v>0.0</v>
      </c>
      <c r="H137" s="72">
        <v>0.0</v>
      </c>
      <c r="J137" s="72">
        <v>0.0</v>
      </c>
      <c r="L137" s="105">
        <v>77.0</v>
      </c>
      <c r="N137" s="104">
        <v>77.0</v>
      </c>
      <c r="P137" s="104">
        <v>0.0</v>
      </c>
      <c r="R137" s="104">
        <v>35.0</v>
      </c>
      <c r="T137" s="104">
        <v>0.0</v>
      </c>
      <c r="V137" s="104">
        <v>0.0</v>
      </c>
      <c r="X137" s="104">
        <v>0.0</v>
      </c>
      <c r="Y137" s="73"/>
      <c r="Z137" s="105">
        <v>28.0</v>
      </c>
      <c r="AB137" s="104">
        <v>28.0</v>
      </c>
      <c r="AD137" s="104">
        <v>0.0</v>
      </c>
      <c r="AF137" s="113"/>
      <c r="AH137" s="113"/>
      <c r="AJ137" s="113"/>
      <c r="AK137" s="73"/>
      <c r="AL137" s="81">
        <f t="shared" si="1"/>
        <v>3813.18</v>
      </c>
      <c r="AM137" s="78">
        <f t="shared" si="2"/>
        <v>245</v>
      </c>
      <c r="AN137" s="78">
        <f t="shared" si="3"/>
        <v>0</v>
      </c>
      <c r="AO137" s="78">
        <f t="shared" si="4"/>
        <v>245</v>
      </c>
      <c r="AP137" s="82">
        <f t="shared" si="5"/>
        <v>15.564</v>
      </c>
    </row>
    <row r="138">
      <c r="A138" s="76" t="s">
        <v>17</v>
      </c>
      <c r="B138" s="77">
        <f t="shared" si="6"/>
        <v>44697</v>
      </c>
      <c r="C138" s="78">
        <v>5.0</v>
      </c>
      <c r="D138" s="78" t="s">
        <v>33</v>
      </c>
      <c r="E138" s="80" t="s">
        <v>129</v>
      </c>
      <c r="F138" s="71">
        <v>0.0</v>
      </c>
      <c r="H138" s="72">
        <v>0.0</v>
      </c>
      <c r="J138" s="72">
        <v>0.0</v>
      </c>
      <c r="L138" s="105">
        <v>77.0</v>
      </c>
      <c r="N138" s="104">
        <v>77.0</v>
      </c>
      <c r="P138" s="104">
        <v>0.0</v>
      </c>
      <c r="R138" s="104">
        <v>0.0</v>
      </c>
      <c r="T138" s="104">
        <v>0.0</v>
      </c>
      <c r="V138" s="104">
        <v>0.0</v>
      </c>
      <c r="X138" s="104">
        <v>0.0</v>
      </c>
      <c r="Y138" s="73"/>
      <c r="Z138" s="105">
        <v>29.0</v>
      </c>
      <c r="AB138" s="104">
        <v>29.0</v>
      </c>
      <c r="AD138" s="104">
        <v>0.0</v>
      </c>
      <c r="AF138" s="113"/>
      <c r="AH138" s="113"/>
      <c r="AJ138" s="113"/>
      <c r="AK138" s="73"/>
      <c r="AL138" s="81">
        <f t="shared" si="1"/>
        <v>3610.572</v>
      </c>
      <c r="AM138" s="78">
        <f t="shared" si="2"/>
        <v>212</v>
      </c>
      <c r="AN138" s="78">
        <f t="shared" si="3"/>
        <v>0</v>
      </c>
      <c r="AO138" s="78">
        <f t="shared" si="4"/>
        <v>212</v>
      </c>
      <c r="AP138" s="82">
        <f t="shared" si="5"/>
        <v>17.031</v>
      </c>
    </row>
    <row r="139">
      <c r="A139" s="76" t="s">
        <v>21</v>
      </c>
      <c r="B139" s="77">
        <f t="shared" si="6"/>
        <v>44698</v>
      </c>
      <c r="C139" s="78">
        <v>5.0</v>
      </c>
      <c r="D139" s="78" t="s">
        <v>33</v>
      </c>
      <c r="E139" s="80" t="s">
        <v>129</v>
      </c>
      <c r="F139" s="71">
        <v>0.0</v>
      </c>
      <c r="H139" s="72">
        <v>0.0</v>
      </c>
      <c r="J139" s="72">
        <v>0.0</v>
      </c>
      <c r="L139" s="105">
        <v>77.0</v>
      </c>
      <c r="N139" s="104">
        <v>77.0</v>
      </c>
      <c r="P139" s="104">
        <v>0.0</v>
      </c>
      <c r="R139" s="104">
        <v>35.0</v>
      </c>
      <c r="T139" s="104">
        <v>0.0</v>
      </c>
      <c r="V139" s="104">
        <v>0.0</v>
      </c>
      <c r="X139" s="104">
        <v>0.0</v>
      </c>
      <c r="Y139" s="73"/>
      <c r="Z139" s="105">
        <v>29.0</v>
      </c>
      <c r="AB139" s="104">
        <v>29.0</v>
      </c>
      <c r="AD139" s="104">
        <v>0.0</v>
      </c>
      <c r="AF139" s="113"/>
      <c r="AH139" s="113"/>
      <c r="AJ139" s="113"/>
      <c r="AK139" s="73"/>
      <c r="AL139" s="81">
        <f t="shared" si="1"/>
        <v>3847.242</v>
      </c>
      <c r="AM139" s="78">
        <f t="shared" si="2"/>
        <v>247</v>
      </c>
      <c r="AN139" s="78">
        <f t="shared" si="3"/>
        <v>0</v>
      </c>
      <c r="AO139" s="78">
        <f t="shared" si="4"/>
        <v>247</v>
      </c>
      <c r="AP139" s="82">
        <f t="shared" si="5"/>
        <v>15.57587854</v>
      </c>
    </row>
    <row r="140">
      <c r="A140" s="76" t="s">
        <v>24</v>
      </c>
      <c r="B140" s="77">
        <f t="shared" si="6"/>
        <v>44699</v>
      </c>
      <c r="C140" s="78">
        <v>5.0</v>
      </c>
      <c r="D140" s="78" t="s">
        <v>33</v>
      </c>
      <c r="E140" s="80" t="s">
        <v>129</v>
      </c>
      <c r="F140" s="71">
        <v>0.0</v>
      </c>
      <c r="H140" s="72">
        <v>0.0</v>
      </c>
      <c r="J140" s="72">
        <v>0.0</v>
      </c>
      <c r="L140" s="105">
        <v>77.0</v>
      </c>
      <c r="N140" s="104">
        <v>77.0</v>
      </c>
      <c r="P140" s="104">
        <v>0.0</v>
      </c>
      <c r="R140" s="104">
        <v>35.0</v>
      </c>
      <c r="T140" s="104">
        <v>0.0</v>
      </c>
      <c r="V140" s="104">
        <v>0.0</v>
      </c>
      <c r="X140" s="104">
        <v>0.0</v>
      </c>
      <c r="Y140" s="73"/>
      <c r="Z140" s="105">
        <v>29.0</v>
      </c>
      <c r="AB140" s="104">
        <v>29.0</v>
      </c>
      <c r="AD140" s="104">
        <v>0.0</v>
      </c>
      <c r="AF140" s="113"/>
      <c r="AH140" s="113"/>
      <c r="AJ140" s="113"/>
      <c r="AK140" s="73"/>
      <c r="AL140" s="81">
        <f t="shared" si="1"/>
        <v>3847.242</v>
      </c>
      <c r="AM140" s="78">
        <f t="shared" si="2"/>
        <v>247</v>
      </c>
      <c r="AN140" s="78">
        <f t="shared" si="3"/>
        <v>0</v>
      </c>
      <c r="AO140" s="78">
        <f t="shared" si="4"/>
        <v>247</v>
      </c>
      <c r="AP140" s="82">
        <f t="shared" si="5"/>
        <v>15.57587854</v>
      </c>
    </row>
    <row r="141">
      <c r="A141" s="76" t="s">
        <v>27</v>
      </c>
      <c r="B141" s="77">
        <f t="shared" si="6"/>
        <v>44700</v>
      </c>
      <c r="C141" s="78">
        <v>5.0</v>
      </c>
      <c r="D141" s="78" t="s">
        <v>33</v>
      </c>
      <c r="E141" s="80" t="s">
        <v>129</v>
      </c>
      <c r="F141" s="71">
        <v>0.0</v>
      </c>
      <c r="H141" s="72">
        <v>0.0</v>
      </c>
      <c r="J141" s="72">
        <v>0.0</v>
      </c>
      <c r="L141" s="105">
        <v>77.0</v>
      </c>
      <c r="N141" s="104">
        <v>77.0</v>
      </c>
      <c r="P141" s="104">
        <v>0.0</v>
      </c>
      <c r="R141" s="104">
        <v>0.0</v>
      </c>
      <c r="T141" s="104">
        <v>0.0</v>
      </c>
      <c r="V141" s="104">
        <v>0.0</v>
      </c>
      <c r="X141" s="104">
        <v>0.0</v>
      </c>
      <c r="Y141" s="73"/>
      <c r="Z141" s="105">
        <v>17.0</v>
      </c>
      <c r="AB141" s="104">
        <v>17.0</v>
      </c>
      <c r="AD141" s="104">
        <v>0.0</v>
      </c>
      <c r="AF141" s="113"/>
      <c r="AH141" s="113"/>
      <c r="AJ141" s="113"/>
      <c r="AK141" s="73"/>
      <c r="AL141" s="81">
        <f t="shared" si="1"/>
        <v>3201.828</v>
      </c>
      <c r="AM141" s="78">
        <f t="shared" si="2"/>
        <v>188</v>
      </c>
      <c r="AN141" s="78">
        <f t="shared" si="3"/>
        <v>0</v>
      </c>
      <c r="AO141" s="78">
        <f t="shared" si="4"/>
        <v>188</v>
      </c>
      <c r="AP141" s="82">
        <f t="shared" si="5"/>
        <v>17.031</v>
      </c>
    </row>
    <row r="142">
      <c r="A142" s="83" t="s">
        <v>30</v>
      </c>
      <c r="B142" s="84">
        <f t="shared" si="6"/>
        <v>44701</v>
      </c>
      <c r="C142" s="85">
        <v>5.0</v>
      </c>
      <c r="D142" s="85" t="s">
        <v>33</v>
      </c>
      <c r="E142" s="87" t="s">
        <v>129</v>
      </c>
      <c r="F142" s="88">
        <v>0.0</v>
      </c>
      <c r="G142" s="89"/>
      <c r="H142" s="90">
        <v>0.0</v>
      </c>
      <c r="I142" s="89"/>
      <c r="J142" s="90">
        <v>0.0</v>
      </c>
      <c r="K142" s="89"/>
      <c r="L142" s="112">
        <v>0.0</v>
      </c>
      <c r="M142" s="89"/>
      <c r="N142" s="111">
        <v>0.0</v>
      </c>
      <c r="O142" s="89"/>
      <c r="P142" s="111">
        <v>0.0</v>
      </c>
      <c r="Q142" s="89"/>
      <c r="R142" s="111">
        <v>0.0</v>
      </c>
      <c r="S142" s="89"/>
      <c r="T142" s="111">
        <v>0.0</v>
      </c>
      <c r="U142" s="89"/>
      <c r="V142" s="111">
        <v>0.0</v>
      </c>
      <c r="W142" s="89"/>
      <c r="X142" s="111">
        <v>0.0</v>
      </c>
      <c r="Y142" s="91"/>
      <c r="Z142" s="112">
        <v>0.0</v>
      </c>
      <c r="AA142" s="89"/>
      <c r="AB142" s="111">
        <v>0.0</v>
      </c>
      <c r="AC142" s="89"/>
      <c r="AD142" s="111">
        <v>0.0</v>
      </c>
      <c r="AE142" s="89"/>
      <c r="AF142" s="117"/>
      <c r="AG142" s="89"/>
      <c r="AH142" s="117"/>
      <c r="AI142" s="89"/>
      <c r="AJ142" s="117"/>
      <c r="AK142" s="91"/>
      <c r="AL142" s="92">
        <f t="shared" si="1"/>
        <v>0</v>
      </c>
      <c r="AM142" s="85">
        <f t="shared" si="2"/>
        <v>0</v>
      </c>
      <c r="AN142" s="85">
        <f t="shared" si="3"/>
        <v>0</v>
      </c>
      <c r="AO142" s="85">
        <f t="shared" si="4"/>
        <v>0</v>
      </c>
      <c r="AP142" s="93" t="str">
        <f t="shared" si="5"/>
        <v/>
      </c>
    </row>
    <row r="143">
      <c r="A143" s="66" t="s">
        <v>11</v>
      </c>
      <c r="B143" s="94">
        <f t="shared" si="6"/>
        <v>44702</v>
      </c>
      <c r="C143" s="68">
        <v>6.0</v>
      </c>
      <c r="D143" s="68" t="s">
        <v>48</v>
      </c>
      <c r="E143" s="171" t="s">
        <v>130</v>
      </c>
      <c r="F143" s="71">
        <v>0.0</v>
      </c>
      <c r="H143" s="72">
        <v>0.0</v>
      </c>
      <c r="J143" s="72">
        <v>0.0</v>
      </c>
      <c r="L143" s="105">
        <v>77.0</v>
      </c>
      <c r="N143" s="104">
        <v>77.0</v>
      </c>
      <c r="P143" s="104">
        <v>0.0</v>
      </c>
      <c r="R143" s="104">
        <v>35.0</v>
      </c>
      <c r="T143" s="104">
        <v>1.0</v>
      </c>
      <c r="V143" s="104">
        <v>1.0</v>
      </c>
      <c r="X143" s="104">
        <v>0.0</v>
      </c>
      <c r="Y143" s="73"/>
      <c r="Z143" s="105">
        <v>28.0</v>
      </c>
      <c r="AB143" s="104">
        <v>28.0</v>
      </c>
      <c r="AD143" s="104">
        <v>0.0</v>
      </c>
      <c r="AF143" s="113"/>
      <c r="AH143" s="113"/>
      <c r="AJ143" s="113"/>
      <c r="AK143" s="73"/>
      <c r="AL143" s="74">
        <f t="shared" si="1"/>
        <v>4548.18</v>
      </c>
      <c r="AM143" s="68">
        <f t="shared" si="2"/>
        <v>245</v>
      </c>
      <c r="AN143" s="68">
        <f t="shared" si="3"/>
        <v>2</v>
      </c>
      <c r="AO143" s="68">
        <f t="shared" si="4"/>
        <v>247</v>
      </c>
      <c r="AP143" s="75">
        <f t="shared" si="5"/>
        <v>18.41368421</v>
      </c>
    </row>
    <row r="144">
      <c r="A144" s="76" t="s">
        <v>16</v>
      </c>
      <c r="B144" s="77">
        <f t="shared" si="6"/>
        <v>44703</v>
      </c>
      <c r="C144" s="78">
        <v>6.0</v>
      </c>
      <c r="D144" s="78" t="s">
        <v>48</v>
      </c>
      <c r="E144" s="169" t="s">
        <v>130</v>
      </c>
      <c r="F144" s="71">
        <v>0.0</v>
      </c>
      <c r="H144" s="72">
        <v>0.0</v>
      </c>
      <c r="J144" s="72">
        <v>0.0</v>
      </c>
      <c r="L144" s="105">
        <v>77.0</v>
      </c>
      <c r="N144" s="104">
        <v>77.0</v>
      </c>
      <c r="P144" s="104">
        <v>0.0</v>
      </c>
      <c r="R144" s="104">
        <v>35.0</v>
      </c>
      <c r="T144" s="104">
        <v>0.0</v>
      </c>
      <c r="V144" s="104">
        <v>0.0</v>
      </c>
      <c r="X144" s="104">
        <v>0.0</v>
      </c>
      <c r="Y144" s="73"/>
      <c r="Z144" s="105">
        <v>29.0</v>
      </c>
      <c r="AB144" s="104">
        <v>29.0</v>
      </c>
      <c r="AD144" s="104">
        <v>0.0</v>
      </c>
      <c r="AF144" s="113"/>
      <c r="AH144" s="113"/>
      <c r="AJ144" s="113"/>
      <c r="AK144" s="73"/>
      <c r="AL144" s="81">
        <f t="shared" si="1"/>
        <v>3847.242</v>
      </c>
      <c r="AM144" s="78">
        <f t="shared" si="2"/>
        <v>247</v>
      </c>
      <c r="AN144" s="78">
        <f t="shared" si="3"/>
        <v>0</v>
      </c>
      <c r="AO144" s="78">
        <f t="shared" si="4"/>
        <v>247</v>
      </c>
      <c r="AP144" s="82">
        <f t="shared" si="5"/>
        <v>15.57587854</v>
      </c>
    </row>
    <row r="145">
      <c r="A145" s="76" t="s">
        <v>17</v>
      </c>
      <c r="B145" s="77">
        <f t="shared" si="6"/>
        <v>44704</v>
      </c>
      <c r="C145" s="78">
        <v>6.0</v>
      </c>
      <c r="D145" s="78" t="s">
        <v>48</v>
      </c>
      <c r="E145" s="169" t="s">
        <v>130</v>
      </c>
      <c r="F145" s="71">
        <v>0.0</v>
      </c>
      <c r="H145" s="72">
        <v>0.0</v>
      </c>
      <c r="J145" s="72">
        <v>0.0</v>
      </c>
      <c r="L145" s="105">
        <v>77.0</v>
      </c>
      <c r="N145" s="104">
        <v>77.0</v>
      </c>
      <c r="P145" s="104">
        <v>0.0</v>
      </c>
      <c r="R145" s="104">
        <v>0.0</v>
      </c>
      <c r="T145" s="104">
        <v>0.0</v>
      </c>
      <c r="V145" s="104">
        <v>0.0</v>
      </c>
      <c r="X145" s="104">
        <v>0.0</v>
      </c>
      <c r="Y145" s="73"/>
      <c r="Z145" s="105">
        <v>29.0</v>
      </c>
      <c r="AB145" s="104">
        <v>29.0</v>
      </c>
      <c r="AD145" s="104">
        <v>0.0</v>
      </c>
      <c r="AF145" s="113"/>
      <c r="AH145" s="113"/>
      <c r="AJ145" s="113"/>
      <c r="AK145" s="73"/>
      <c r="AL145" s="81">
        <f t="shared" si="1"/>
        <v>3610.572</v>
      </c>
      <c r="AM145" s="78">
        <f t="shared" si="2"/>
        <v>212</v>
      </c>
      <c r="AN145" s="78">
        <f t="shared" si="3"/>
        <v>0</v>
      </c>
      <c r="AO145" s="78">
        <f t="shared" si="4"/>
        <v>212</v>
      </c>
      <c r="AP145" s="82">
        <f t="shared" si="5"/>
        <v>17.031</v>
      </c>
    </row>
    <row r="146">
      <c r="A146" s="76" t="s">
        <v>21</v>
      </c>
      <c r="B146" s="77">
        <f t="shared" si="6"/>
        <v>44705</v>
      </c>
      <c r="C146" s="78">
        <v>6.0</v>
      </c>
      <c r="D146" s="78" t="s">
        <v>48</v>
      </c>
      <c r="E146" s="169" t="s">
        <v>130</v>
      </c>
      <c r="F146" s="71">
        <v>0.0</v>
      </c>
      <c r="H146" s="72">
        <v>0.0</v>
      </c>
      <c r="J146" s="72">
        <v>0.0</v>
      </c>
      <c r="L146" s="105">
        <v>0.0</v>
      </c>
      <c r="N146" s="104">
        <v>77.0</v>
      </c>
      <c r="P146" s="104">
        <v>50.0</v>
      </c>
      <c r="R146" s="104">
        <v>50.0</v>
      </c>
      <c r="T146" s="104">
        <v>0.0</v>
      </c>
      <c r="V146" s="104">
        <v>0.0</v>
      </c>
      <c r="X146" s="104">
        <v>35.0</v>
      </c>
      <c r="Y146" s="73"/>
      <c r="Z146" s="105">
        <v>0.0</v>
      </c>
      <c r="AB146" s="104">
        <v>29.0</v>
      </c>
      <c r="AD146" s="104">
        <v>0.0</v>
      </c>
      <c r="AF146" s="113"/>
      <c r="AH146" s="113"/>
      <c r="AJ146" s="113"/>
      <c r="AK146" s="73"/>
      <c r="AL146" s="81">
        <f t="shared" si="1"/>
        <v>3288.936</v>
      </c>
      <c r="AM146" s="78">
        <f t="shared" si="2"/>
        <v>241</v>
      </c>
      <c r="AN146" s="78">
        <f t="shared" si="3"/>
        <v>0</v>
      </c>
      <c r="AO146" s="78">
        <f t="shared" si="4"/>
        <v>241</v>
      </c>
      <c r="AP146" s="82">
        <f t="shared" si="5"/>
        <v>13.64703734</v>
      </c>
    </row>
    <row r="147">
      <c r="A147" s="76" t="s">
        <v>24</v>
      </c>
      <c r="B147" s="77">
        <f t="shared" si="6"/>
        <v>44706</v>
      </c>
      <c r="C147" s="78">
        <v>6.0</v>
      </c>
      <c r="D147" s="78" t="s">
        <v>48</v>
      </c>
      <c r="E147" s="169" t="s">
        <v>130</v>
      </c>
      <c r="F147" s="71">
        <v>0.0</v>
      </c>
      <c r="H147" s="72">
        <v>0.0</v>
      </c>
      <c r="J147" s="72">
        <v>0.0</v>
      </c>
      <c r="L147" s="105">
        <v>77.0</v>
      </c>
      <c r="N147" s="104">
        <v>77.0</v>
      </c>
      <c r="P147" s="104">
        <v>0.0</v>
      </c>
      <c r="R147" s="104">
        <v>35.0</v>
      </c>
      <c r="T147" s="104">
        <v>0.0</v>
      </c>
      <c r="V147" s="104">
        <v>0.0</v>
      </c>
      <c r="X147" s="104">
        <v>0.0</v>
      </c>
      <c r="Y147" s="73"/>
      <c r="Z147" s="105">
        <v>29.0</v>
      </c>
      <c r="AB147" s="104">
        <v>29.0</v>
      </c>
      <c r="AD147" s="104">
        <v>0.0</v>
      </c>
      <c r="AF147" s="113"/>
      <c r="AH147" s="113"/>
      <c r="AJ147" s="113"/>
      <c r="AK147" s="73"/>
      <c r="AL147" s="81">
        <f t="shared" si="1"/>
        <v>3847.242</v>
      </c>
      <c r="AM147" s="78">
        <f t="shared" si="2"/>
        <v>247</v>
      </c>
      <c r="AN147" s="78">
        <f t="shared" si="3"/>
        <v>0</v>
      </c>
      <c r="AO147" s="78">
        <f t="shared" si="4"/>
        <v>247</v>
      </c>
      <c r="AP147" s="82">
        <f t="shared" si="5"/>
        <v>15.57587854</v>
      </c>
    </row>
    <row r="148">
      <c r="A148" s="76" t="s">
        <v>27</v>
      </c>
      <c r="B148" s="77">
        <f t="shared" si="6"/>
        <v>44707</v>
      </c>
      <c r="C148" s="78">
        <v>6.0</v>
      </c>
      <c r="D148" s="78" t="s">
        <v>48</v>
      </c>
      <c r="E148" s="169" t="s">
        <v>130</v>
      </c>
      <c r="F148" s="71">
        <v>0.0</v>
      </c>
      <c r="H148" s="72">
        <v>0.0</v>
      </c>
      <c r="J148" s="72">
        <v>0.0</v>
      </c>
      <c r="L148" s="105">
        <v>77.0</v>
      </c>
      <c r="N148" s="104">
        <v>77.0</v>
      </c>
      <c r="P148" s="104">
        <v>0.0</v>
      </c>
      <c r="R148" s="104">
        <v>35.0</v>
      </c>
      <c r="T148" s="104">
        <v>0.0</v>
      </c>
      <c r="V148" s="104">
        <v>0.0</v>
      </c>
      <c r="X148" s="104">
        <v>0.0</v>
      </c>
      <c r="Y148" s="73"/>
      <c r="Z148" s="105">
        <v>20.0</v>
      </c>
      <c r="AB148" s="104">
        <v>20.0</v>
      </c>
      <c r="AD148" s="104">
        <v>0.0</v>
      </c>
      <c r="AF148" s="113"/>
      <c r="AH148" s="113"/>
      <c r="AJ148" s="113"/>
      <c r="AK148" s="73"/>
      <c r="AL148" s="81">
        <f t="shared" si="1"/>
        <v>3540.684</v>
      </c>
      <c r="AM148" s="78">
        <f t="shared" si="2"/>
        <v>229</v>
      </c>
      <c r="AN148" s="78">
        <f t="shared" si="3"/>
        <v>0</v>
      </c>
      <c r="AO148" s="78">
        <f t="shared" si="4"/>
        <v>229</v>
      </c>
      <c r="AP148" s="82">
        <f t="shared" si="5"/>
        <v>15.46150218</v>
      </c>
    </row>
    <row r="149">
      <c r="A149" s="83" t="s">
        <v>30</v>
      </c>
      <c r="B149" s="84">
        <f t="shared" si="6"/>
        <v>44708</v>
      </c>
      <c r="C149" s="85">
        <v>6.0</v>
      </c>
      <c r="D149" s="85" t="s">
        <v>48</v>
      </c>
      <c r="E149" s="170" t="s">
        <v>130</v>
      </c>
      <c r="F149" s="88">
        <v>0.0</v>
      </c>
      <c r="G149" s="89"/>
      <c r="H149" s="90">
        <v>0.0</v>
      </c>
      <c r="I149" s="89"/>
      <c r="J149" s="90">
        <v>0.0</v>
      </c>
      <c r="K149" s="89"/>
      <c r="L149" s="112">
        <v>0.0</v>
      </c>
      <c r="M149" s="89"/>
      <c r="N149" s="111">
        <v>0.0</v>
      </c>
      <c r="O149" s="89"/>
      <c r="P149" s="111">
        <v>0.0</v>
      </c>
      <c r="Q149" s="89"/>
      <c r="R149" s="111">
        <v>0.0</v>
      </c>
      <c r="S149" s="89"/>
      <c r="T149" s="111">
        <v>0.0</v>
      </c>
      <c r="U149" s="89"/>
      <c r="V149" s="111">
        <v>0.0</v>
      </c>
      <c r="W149" s="89"/>
      <c r="X149" s="111">
        <v>0.0</v>
      </c>
      <c r="Y149" s="91"/>
      <c r="Z149" s="112">
        <v>0.0</v>
      </c>
      <c r="AA149" s="89"/>
      <c r="AB149" s="111">
        <v>0.0</v>
      </c>
      <c r="AC149" s="89"/>
      <c r="AD149" s="111">
        <v>0.0</v>
      </c>
      <c r="AE149" s="89"/>
      <c r="AF149" s="117"/>
      <c r="AG149" s="89"/>
      <c r="AH149" s="117"/>
      <c r="AI149" s="89"/>
      <c r="AJ149" s="117"/>
      <c r="AK149" s="91"/>
      <c r="AL149" s="92">
        <f t="shared" si="1"/>
        <v>0</v>
      </c>
      <c r="AM149" s="85">
        <f t="shared" si="2"/>
        <v>0</v>
      </c>
      <c r="AN149" s="85">
        <f t="shared" si="3"/>
        <v>0</v>
      </c>
      <c r="AO149" s="85">
        <f t="shared" si="4"/>
        <v>0</v>
      </c>
      <c r="AP149" s="93" t="str">
        <f t="shared" si="5"/>
        <v/>
      </c>
    </row>
    <row r="150">
      <c r="A150" s="66" t="s">
        <v>11</v>
      </c>
      <c r="B150" s="94">
        <f t="shared" si="6"/>
        <v>44709</v>
      </c>
      <c r="C150" s="68">
        <v>6.0</v>
      </c>
      <c r="D150" s="68" t="s">
        <v>59</v>
      </c>
      <c r="E150" s="70" t="s">
        <v>130</v>
      </c>
      <c r="F150" s="71">
        <v>0.0</v>
      </c>
      <c r="H150" s="72">
        <v>0.0</v>
      </c>
      <c r="J150" s="72">
        <v>0.0</v>
      </c>
      <c r="L150" s="105">
        <v>0.0</v>
      </c>
      <c r="N150" s="104">
        <v>77.0</v>
      </c>
      <c r="P150" s="104">
        <v>50.0</v>
      </c>
      <c r="R150" s="104">
        <v>50.0</v>
      </c>
      <c r="T150" s="104">
        <v>1.0</v>
      </c>
      <c r="V150" s="104">
        <v>1.0</v>
      </c>
      <c r="X150" s="104">
        <v>35.0</v>
      </c>
      <c r="Y150" s="73"/>
      <c r="Z150" s="105">
        <v>0.0</v>
      </c>
      <c r="AB150" s="104">
        <v>29.0</v>
      </c>
      <c r="AD150" s="104">
        <v>0.0</v>
      </c>
      <c r="AF150" s="113"/>
      <c r="AH150" s="113"/>
      <c r="AJ150" s="113"/>
      <c r="AK150" s="73"/>
      <c r="AL150" s="74">
        <f t="shared" si="1"/>
        <v>4023.936</v>
      </c>
      <c r="AM150" s="68">
        <f t="shared" si="2"/>
        <v>241</v>
      </c>
      <c r="AN150" s="68">
        <f t="shared" si="3"/>
        <v>2</v>
      </c>
      <c r="AO150" s="68">
        <f t="shared" si="4"/>
        <v>243</v>
      </c>
      <c r="AP150" s="75">
        <f t="shared" si="5"/>
        <v>16.55940741</v>
      </c>
    </row>
    <row r="151">
      <c r="A151" s="76" t="s">
        <v>16</v>
      </c>
      <c r="B151" s="77">
        <f t="shared" si="6"/>
        <v>44710</v>
      </c>
      <c r="C151" s="78">
        <v>6.0</v>
      </c>
      <c r="D151" s="78" t="s">
        <v>59</v>
      </c>
      <c r="E151" s="169" t="s">
        <v>130</v>
      </c>
      <c r="F151" s="71">
        <v>0.0</v>
      </c>
      <c r="H151" s="72">
        <v>0.0</v>
      </c>
      <c r="J151" s="72">
        <v>0.0</v>
      </c>
      <c r="L151" s="105">
        <v>77.0</v>
      </c>
      <c r="N151" s="104">
        <v>77.0</v>
      </c>
      <c r="P151" s="104">
        <v>0.0</v>
      </c>
      <c r="R151" s="104">
        <v>0.0</v>
      </c>
      <c r="T151" s="104">
        <v>0.0</v>
      </c>
      <c r="V151" s="104">
        <v>0.0</v>
      </c>
      <c r="X151" s="104">
        <v>0.0</v>
      </c>
      <c r="Y151" s="73"/>
      <c r="Z151" s="105">
        <v>29.0</v>
      </c>
      <c r="AB151" s="104">
        <v>29.0</v>
      </c>
      <c r="AD151" s="104">
        <v>0.0</v>
      </c>
      <c r="AF151" s="113"/>
      <c r="AH151" s="113"/>
      <c r="AJ151" s="113"/>
      <c r="AK151" s="73"/>
      <c r="AL151" s="81">
        <f t="shared" si="1"/>
        <v>3610.572</v>
      </c>
      <c r="AM151" s="78">
        <f t="shared" si="2"/>
        <v>212</v>
      </c>
      <c r="AN151" s="78">
        <f t="shared" si="3"/>
        <v>0</v>
      </c>
      <c r="AO151" s="78">
        <f t="shared" si="4"/>
        <v>212</v>
      </c>
      <c r="AP151" s="82">
        <f t="shared" si="5"/>
        <v>17.031</v>
      </c>
    </row>
    <row r="152">
      <c r="A152" s="76" t="s">
        <v>17</v>
      </c>
      <c r="B152" s="77">
        <f t="shared" si="6"/>
        <v>44711</v>
      </c>
      <c r="C152" s="78">
        <v>6.0</v>
      </c>
      <c r="D152" s="78" t="s">
        <v>59</v>
      </c>
      <c r="E152" s="169" t="s">
        <v>130</v>
      </c>
      <c r="F152" s="71">
        <v>0.0</v>
      </c>
      <c r="H152" s="72">
        <v>0.0</v>
      </c>
      <c r="J152" s="72">
        <v>0.0</v>
      </c>
      <c r="L152" s="105">
        <v>77.0</v>
      </c>
      <c r="N152" s="104">
        <v>77.0</v>
      </c>
      <c r="P152" s="104">
        <v>0.0</v>
      </c>
      <c r="R152" s="104">
        <v>0.0</v>
      </c>
      <c r="T152" s="104">
        <v>0.0</v>
      </c>
      <c r="V152" s="104">
        <v>0.0</v>
      </c>
      <c r="X152" s="104">
        <v>0.0</v>
      </c>
      <c r="Y152" s="73"/>
      <c r="Z152" s="105">
        <v>29.0</v>
      </c>
      <c r="AB152" s="104">
        <v>29.0</v>
      </c>
      <c r="AD152" s="104">
        <v>0.0</v>
      </c>
      <c r="AF152" s="113"/>
      <c r="AH152" s="113"/>
      <c r="AJ152" s="113"/>
      <c r="AK152" s="73"/>
      <c r="AL152" s="81">
        <f t="shared" si="1"/>
        <v>3610.572</v>
      </c>
      <c r="AM152" s="78">
        <f t="shared" si="2"/>
        <v>212</v>
      </c>
      <c r="AN152" s="78">
        <f t="shared" si="3"/>
        <v>0</v>
      </c>
      <c r="AO152" s="78">
        <f t="shared" si="4"/>
        <v>212</v>
      </c>
      <c r="AP152" s="82">
        <f t="shared" si="5"/>
        <v>17.031</v>
      </c>
    </row>
    <row r="153">
      <c r="A153" s="76" t="s">
        <v>21</v>
      </c>
      <c r="B153" s="77">
        <f t="shared" si="6"/>
        <v>44712</v>
      </c>
      <c r="C153" s="78">
        <v>6.0</v>
      </c>
      <c r="D153" s="78" t="s">
        <v>59</v>
      </c>
      <c r="E153" s="169" t="s">
        <v>130</v>
      </c>
      <c r="F153" s="71">
        <v>0.0</v>
      </c>
      <c r="H153" s="72">
        <v>0.0</v>
      </c>
      <c r="J153" s="72">
        <v>0.0</v>
      </c>
      <c r="L153" s="105">
        <v>0.0</v>
      </c>
      <c r="N153" s="104">
        <v>77.0</v>
      </c>
      <c r="P153" s="104">
        <v>50.0</v>
      </c>
      <c r="R153" s="104">
        <v>50.0</v>
      </c>
      <c r="T153" s="104">
        <v>0.0</v>
      </c>
      <c r="V153" s="104">
        <v>0.0</v>
      </c>
      <c r="X153" s="104">
        <v>35.0</v>
      </c>
      <c r="Y153" s="73"/>
      <c r="Z153" s="105">
        <v>0.0</v>
      </c>
      <c r="AB153" s="104">
        <v>29.0</v>
      </c>
      <c r="AD153" s="104">
        <v>0.0</v>
      </c>
      <c r="AF153" s="113"/>
      <c r="AH153" s="113"/>
      <c r="AJ153" s="113"/>
      <c r="AK153" s="73"/>
      <c r="AL153" s="81">
        <f t="shared" si="1"/>
        <v>3288.936</v>
      </c>
      <c r="AM153" s="78">
        <f t="shared" si="2"/>
        <v>241</v>
      </c>
      <c r="AN153" s="78">
        <f t="shared" si="3"/>
        <v>0</v>
      </c>
      <c r="AO153" s="78">
        <f t="shared" si="4"/>
        <v>241</v>
      </c>
      <c r="AP153" s="82">
        <f t="shared" si="5"/>
        <v>13.64703734</v>
      </c>
    </row>
    <row r="154">
      <c r="A154" s="76" t="s">
        <v>24</v>
      </c>
      <c r="B154" s="77">
        <f t="shared" si="6"/>
        <v>44713</v>
      </c>
      <c r="C154" s="78">
        <v>6.0</v>
      </c>
      <c r="D154" s="78" t="s">
        <v>59</v>
      </c>
      <c r="E154" s="169" t="s">
        <v>130</v>
      </c>
      <c r="F154" s="71">
        <v>0.0</v>
      </c>
      <c r="H154" s="72">
        <v>0.0</v>
      </c>
      <c r="J154" s="72">
        <v>0.0</v>
      </c>
      <c r="L154" s="105">
        <v>30.0</v>
      </c>
      <c r="N154" s="104">
        <v>30.0</v>
      </c>
      <c r="P154" s="104">
        <v>0.0</v>
      </c>
      <c r="R154" s="104">
        <v>0.0</v>
      </c>
      <c r="T154" s="104">
        <v>0.0</v>
      </c>
      <c r="V154" s="104">
        <v>0.0</v>
      </c>
      <c r="X154" s="104">
        <v>0.0</v>
      </c>
      <c r="Y154" s="73"/>
      <c r="Z154" s="105">
        <v>35.0</v>
      </c>
      <c r="AB154" s="104">
        <v>35.0</v>
      </c>
      <c r="AD154" s="104">
        <v>0.0</v>
      </c>
      <c r="AF154" s="113"/>
      <c r="AH154" s="113"/>
      <c r="AJ154" s="113"/>
      <c r="AK154" s="73"/>
      <c r="AL154" s="81">
        <f t="shared" si="1"/>
        <v>2214.03</v>
      </c>
      <c r="AM154" s="78">
        <f t="shared" si="2"/>
        <v>130</v>
      </c>
      <c r="AN154" s="78">
        <f t="shared" si="3"/>
        <v>0</v>
      </c>
      <c r="AO154" s="78">
        <f t="shared" si="4"/>
        <v>130</v>
      </c>
      <c r="AP154" s="82">
        <f t="shared" si="5"/>
        <v>17.031</v>
      </c>
    </row>
    <row r="155">
      <c r="A155" s="76" t="s">
        <v>27</v>
      </c>
      <c r="B155" s="77">
        <f t="shared" si="6"/>
        <v>44714</v>
      </c>
      <c r="C155" s="78">
        <v>6.0</v>
      </c>
      <c r="D155" s="78" t="s">
        <v>59</v>
      </c>
      <c r="E155" s="169" t="s">
        <v>130</v>
      </c>
      <c r="F155" s="71">
        <v>0.0</v>
      </c>
      <c r="H155" s="72">
        <v>0.0</v>
      </c>
      <c r="J155" s="72">
        <v>0.0</v>
      </c>
      <c r="L155" s="105">
        <v>0.0</v>
      </c>
      <c r="N155" s="104">
        <v>0.0</v>
      </c>
      <c r="P155" s="104">
        <v>0.0</v>
      </c>
      <c r="R155" s="104">
        <v>0.0</v>
      </c>
      <c r="T155" s="104">
        <v>0.0</v>
      </c>
      <c r="V155" s="104">
        <v>0.0</v>
      </c>
      <c r="X155" s="104">
        <v>25.0</v>
      </c>
      <c r="Y155" s="73"/>
      <c r="Z155" s="105">
        <v>0.0</v>
      </c>
      <c r="AB155" s="104">
        <v>25.0</v>
      </c>
      <c r="AD155" s="104">
        <v>0.0</v>
      </c>
      <c r="AF155" s="113"/>
      <c r="AH155" s="113"/>
      <c r="AJ155" s="113"/>
      <c r="AK155" s="73"/>
      <c r="AL155" s="81">
        <f t="shared" si="1"/>
        <v>635.775</v>
      </c>
      <c r="AM155" s="78">
        <f t="shared" si="2"/>
        <v>50</v>
      </c>
      <c r="AN155" s="78">
        <f t="shared" si="3"/>
        <v>0</v>
      </c>
      <c r="AO155" s="78">
        <f t="shared" si="4"/>
        <v>50</v>
      </c>
      <c r="AP155" s="82">
        <f t="shared" si="5"/>
        <v>12.7155</v>
      </c>
    </row>
    <row r="156">
      <c r="A156" s="83" t="s">
        <v>30</v>
      </c>
      <c r="B156" s="84">
        <f t="shared" si="6"/>
        <v>44715</v>
      </c>
      <c r="C156" s="85">
        <v>6.0</v>
      </c>
      <c r="D156" s="85" t="s">
        <v>59</v>
      </c>
      <c r="E156" s="170" t="s">
        <v>130</v>
      </c>
      <c r="F156" s="88">
        <v>0.0</v>
      </c>
      <c r="G156" s="89"/>
      <c r="H156" s="90">
        <v>0.0</v>
      </c>
      <c r="I156" s="89"/>
      <c r="J156" s="90">
        <v>0.0</v>
      </c>
      <c r="K156" s="89"/>
      <c r="L156" s="112">
        <v>77.0</v>
      </c>
      <c r="M156" s="89"/>
      <c r="N156" s="111">
        <v>77.0</v>
      </c>
      <c r="O156" s="89"/>
      <c r="P156" s="111">
        <v>0.0</v>
      </c>
      <c r="Q156" s="89"/>
      <c r="R156" s="111">
        <v>0.0</v>
      </c>
      <c r="S156" s="89"/>
      <c r="T156" s="111">
        <v>0.0</v>
      </c>
      <c r="U156" s="89"/>
      <c r="V156" s="111">
        <v>0.0</v>
      </c>
      <c r="W156" s="89"/>
      <c r="X156" s="111">
        <v>0.0</v>
      </c>
      <c r="Y156" s="91"/>
      <c r="Z156" s="112">
        <v>0.0</v>
      </c>
      <c r="AA156" s="89"/>
      <c r="AB156" s="111">
        <v>0.0</v>
      </c>
      <c r="AC156" s="89"/>
      <c r="AD156" s="111">
        <v>0.0</v>
      </c>
      <c r="AE156" s="89"/>
      <c r="AF156" s="117"/>
      <c r="AG156" s="89"/>
      <c r="AH156" s="117"/>
      <c r="AI156" s="89"/>
      <c r="AJ156" s="117"/>
      <c r="AK156" s="91"/>
      <c r="AL156" s="92">
        <f t="shared" si="1"/>
        <v>2622.774</v>
      </c>
      <c r="AM156" s="85">
        <f t="shared" si="2"/>
        <v>154</v>
      </c>
      <c r="AN156" s="85">
        <f t="shared" si="3"/>
        <v>0</v>
      </c>
      <c r="AO156" s="85">
        <f t="shared" si="4"/>
        <v>154</v>
      </c>
      <c r="AP156" s="93">
        <f t="shared" si="5"/>
        <v>17.031</v>
      </c>
    </row>
    <row r="157">
      <c r="A157" s="66" t="s">
        <v>11</v>
      </c>
      <c r="B157" s="94">
        <f t="shared" si="6"/>
        <v>44716</v>
      </c>
      <c r="C157" s="68">
        <v>6.0</v>
      </c>
      <c r="D157" s="68" t="s">
        <v>12</v>
      </c>
      <c r="E157" s="70" t="s">
        <v>130</v>
      </c>
      <c r="F157" s="71">
        <v>0.0</v>
      </c>
      <c r="H157" s="72">
        <v>0.0</v>
      </c>
      <c r="J157" s="72">
        <v>0.0</v>
      </c>
      <c r="L157" s="105">
        <v>0.0</v>
      </c>
      <c r="N157" s="104">
        <v>77.0</v>
      </c>
      <c r="P157" s="104">
        <v>50.0</v>
      </c>
      <c r="R157" s="104">
        <v>50.0</v>
      </c>
      <c r="T157" s="104">
        <v>1.0</v>
      </c>
      <c r="V157" s="104">
        <v>1.0</v>
      </c>
      <c r="X157" s="104">
        <v>35.0</v>
      </c>
      <c r="Y157" s="73"/>
      <c r="Z157" s="105">
        <v>0.0</v>
      </c>
      <c r="AB157" s="104">
        <v>35.0</v>
      </c>
      <c r="AD157" s="104">
        <v>0.0</v>
      </c>
      <c r="AF157" s="113"/>
      <c r="AH157" s="113"/>
      <c r="AJ157" s="113"/>
      <c r="AK157" s="73"/>
      <c r="AL157" s="74">
        <f t="shared" si="1"/>
        <v>4126.122</v>
      </c>
      <c r="AM157" s="68">
        <f t="shared" si="2"/>
        <v>247</v>
      </c>
      <c r="AN157" s="68">
        <f t="shared" si="3"/>
        <v>2</v>
      </c>
      <c r="AO157" s="68">
        <f t="shared" si="4"/>
        <v>249</v>
      </c>
      <c r="AP157" s="75">
        <f t="shared" si="5"/>
        <v>16.57077108</v>
      </c>
    </row>
    <row r="158">
      <c r="A158" s="76" t="s">
        <v>16</v>
      </c>
      <c r="B158" s="77">
        <f t="shared" si="6"/>
        <v>44717</v>
      </c>
      <c r="C158" s="78">
        <v>6.0</v>
      </c>
      <c r="D158" s="78" t="s">
        <v>12</v>
      </c>
      <c r="E158" s="169" t="s">
        <v>130</v>
      </c>
      <c r="F158" s="71">
        <v>0.0</v>
      </c>
      <c r="H158" s="72">
        <v>0.0</v>
      </c>
      <c r="J158" s="72">
        <v>0.0</v>
      </c>
      <c r="L158" s="105">
        <v>0.0</v>
      </c>
      <c r="N158" s="104">
        <v>77.0</v>
      </c>
      <c r="P158" s="104">
        <v>50.0</v>
      </c>
      <c r="R158" s="104">
        <v>50.0</v>
      </c>
      <c r="T158" s="104">
        <v>0.0</v>
      </c>
      <c r="V158" s="104">
        <v>0.0</v>
      </c>
      <c r="X158" s="104">
        <v>35.0</v>
      </c>
      <c r="Y158" s="73"/>
      <c r="Z158" s="105">
        <v>0.0</v>
      </c>
      <c r="AB158" s="104">
        <v>35.0</v>
      </c>
      <c r="AD158" s="104">
        <v>0.0</v>
      </c>
      <c r="AF158" s="113"/>
      <c r="AH158" s="113"/>
      <c r="AJ158" s="113"/>
      <c r="AK158" s="73"/>
      <c r="AL158" s="81">
        <f t="shared" si="1"/>
        <v>3391.122</v>
      </c>
      <c r="AM158" s="78">
        <f t="shared" si="2"/>
        <v>247</v>
      </c>
      <c r="AN158" s="78">
        <f t="shared" si="3"/>
        <v>0</v>
      </c>
      <c r="AO158" s="78">
        <f t="shared" si="4"/>
        <v>247</v>
      </c>
      <c r="AP158" s="82">
        <f t="shared" si="5"/>
        <v>13.72923887</v>
      </c>
    </row>
    <row r="159">
      <c r="A159" s="76" t="s">
        <v>17</v>
      </c>
      <c r="B159" s="77">
        <f t="shared" si="6"/>
        <v>44718</v>
      </c>
      <c r="C159" s="78">
        <v>6.0</v>
      </c>
      <c r="D159" s="78" t="s">
        <v>12</v>
      </c>
      <c r="E159" s="169" t="s">
        <v>130</v>
      </c>
      <c r="F159" s="71">
        <v>0.0</v>
      </c>
      <c r="H159" s="72">
        <v>0.0</v>
      </c>
      <c r="J159" s="72">
        <v>0.0</v>
      </c>
      <c r="L159" s="105">
        <v>77.0</v>
      </c>
      <c r="N159" s="104">
        <v>77.0</v>
      </c>
      <c r="P159" s="104">
        <v>0.0</v>
      </c>
      <c r="R159" s="104">
        <v>0.0</v>
      </c>
      <c r="T159" s="104">
        <v>0.0</v>
      </c>
      <c r="V159" s="104">
        <v>0.0</v>
      </c>
      <c r="X159" s="104">
        <v>0.0</v>
      </c>
      <c r="Y159" s="73"/>
      <c r="Z159" s="105">
        <v>35.0</v>
      </c>
      <c r="AB159" s="104">
        <v>35.0</v>
      </c>
      <c r="AD159" s="104">
        <v>0.0</v>
      </c>
      <c r="AF159" s="113"/>
      <c r="AH159" s="113"/>
      <c r="AJ159" s="113"/>
      <c r="AK159" s="73"/>
      <c r="AL159" s="81">
        <f t="shared" si="1"/>
        <v>3814.944</v>
      </c>
      <c r="AM159" s="78">
        <f t="shared" si="2"/>
        <v>224</v>
      </c>
      <c r="AN159" s="78">
        <f t="shared" si="3"/>
        <v>0</v>
      </c>
      <c r="AO159" s="78">
        <f t="shared" si="4"/>
        <v>224</v>
      </c>
      <c r="AP159" s="82">
        <f t="shared" si="5"/>
        <v>17.031</v>
      </c>
    </row>
    <row r="160">
      <c r="A160" s="76" t="s">
        <v>21</v>
      </c>
      <c r="B160" s="77">
        <f t="shared" si="6"/>
        <v>44719</v>
      </c>
      <c r="C160" s="78">
        <v>6.0</v>
      </c>
      <c r="D160" s="78" t="s">
        <v>12</v>
      </c>
      <c r="E160" s="169" t="s">
        <v>130</v>
      </c>
      <c r="F160" s="71">
        <v>0.0</v>
      </c>
      <c r="H160" s="72">
        <v>0.0</v>
      </c>
      <c r="J160" s="72">
        <v>0.0</v>
      </c>
      <c r="L160" s="105">
        <v>0.0</v>
      </c>
      <c r="N160" s="104">
        <v>77.0</v>
      </c>
      <c r="P160" s="104">
        <v>50.0</v>
      </c>
      <c r="R160" s="104">
        <v>50.0</v>
      </c>
      <c r="T160" s="104">
        <v>0.0</v>
      </c>
      <c r="V160" s="104">
        <v>0.0</v>
      </c>
      <c r="X160" s="104">
        <v>35.0</v>
      </c>
      <c r="Y160" s="73"/>
      <c r="Z160" s="105">
        <v>0.0</v>
      </c>
      <c r="AB160" s="104">
        <v>35.0</v>
      </c>
      <c r="AD160" s="104">
        <v>0.0</v>
      </c>
      <c r="AF160" s="113"/>
      <c r="AH160" s="113"/>
      <c r="AJ160" s="113"/>
      <c r="AK160" s="73"/>
      <c r="AL160" s="81">
        <f t="shared" si="1"/>
        <v>3391.122</v>
      </c>
      <c r="AM160" s="78">
        <f t="shared" si="2"/>
        <v>247</v>
      </c>
      <c r="AN160" s="78">
        <f t="shared" si="3"/>
        <v>0</v>
      </c>
      <c r="AO160" s="78">
        <f t="shared" si="4"/>
        <v>247</v>
      </c>
      <c r="AP160" s="82">
        <f t="shared" si="5"/>
        <v>13.72923887</v>
      </c>
    </row>
    <row r="161">
      <c r="A161" s="76" t="s">
        <v>24</v>
      </c>
      <c r="B161" s="77">
        <f t="shared" si="6"/>
        <v>44720</v>
      </c>
      <c r="C161" s="78">
        <v>6.0</v>
      </c>
      <c r="D161" s="78" t="s">
        <v>12</v>
      </c>
      <c r="E161" s="169" t="s">
        <v>130</v>
      </c>
      <c r="F161" s="71">
        <v>0.0</v>
      </c>
      <c r="H161" s="72">
        <v>0.0</v>
      </c>
      <c r="J161" s="72">
        <v>0.0</v>
      </c>
      <c r="L161" s="105">
        <v>77.0</v>
      </c>
      <c r="N161" s="104">
        <v>77.0</v>
      </c>
      <c r="P161" s="104">
        <v>0.0</v>
      </c>
      <c r="R161" s="104">
        <v>0.0</v>
      </c>
      <c r="T161" s="104">
        <v>0.0</v>
      </c>
      <c r="V161" s="104">
        <v>0.0</v>
      </c>
      <c r="X161" s="104">
        <v>0.0</v>
      </c>
      <c r="Y161" s="73"/>
      <c r="Z161" s="105">
        <v>35.0</v>
      </c>
      <c r="AB161" s="104">
        <v>35.0</v>
      </c>
      <c r="AD161" s="104">
        <v>0.0</v>
      </c>
      <c r="AF161" s="113"/>
      <c r="AH161" s="113"/>
      <c r="AJ161" s="113"/>
      <c r="AK161" s="73"/>
      <c r="AL161" s="81">
        <f t="shared" si="1"/>
        <v>3814.944</v>
      </c>
      <c r="AM161" s="78">
        <f t="shared" si="2"/>
        <v>224</v>
      </c>
      <c r="AN161" s="78">
        <f t="shared" si="3"/>
        <v>0</v>
      </c>
      <c r="AO161" s="78">
        <f t="shared" si="4"/>
        <v>224</v>
      </c>
      <c r="AP161" s="82">
        <f t="shared" si="5"/>
        <v>17.031</v>
      </c>
    </row>
    <row r="162">
      <c r="A162" s="76" t="s">
        <v>27</v>
      </c>
      <c r="B162" s="77">
        <f t="shared" si="6"/>
        <v>44721</v>
      </c>
      <c r="C162" s="78">
        <v>6.0</v>
      </c>
      <c r="D162" s="78" t="s">
        <v>12</v>
      </c>
      <c r="E162" s="169" t="s">
        <v>130</v>
      </c>
      <c r="F162" s="71">
        <v>0.0</v>
      </c>
      <c r="H162" s="72">
        <v>0.0</v>
      </c>
      <c r="J162" s="72">
        <v>0.0</v>
      </c>
      <c r="L162" s="105">
        <v>77.0</v>
      </c>
      <c r="N162" s="104">
        <v>77.0</v>
      </c>
      <c r="P162" s="104">
        <v>0.0</v>
      </c>
      <c r="R162" s="104">
        <v>0.0</v>
      </c>
      <c r="T162" s="104">
        <v>0.0</v>
      </c>
      <c r="V162" s="104">
        <v>0.0</v>
      </c>
      <c r="X162" s="104">
        <v>0.0</v>
      </c>
      <c r="Y162" s="73"/>
      <c r="Z162" s="105">
        <v>20.0</v>
      </c>
      <c r="AB162" s="104">
        <v>20.0</v>
      </c>
      <c r="AD162" s="104">
        <v>0.0</v>
      </c>
      <c r="AF162" s="113"/>
      <c r="AH162" s="113"/>
      <c r="AJ162" s="113"/>
      <c r="AK162" s="73"/>
      <c r="AL162" s="81">
        <f t="shared" si="1"/>
        <v>3304.014</v>
      </c>
      <c r="AM162" s="78">
        <f t="shared" si="2"/>
        <v>194</v>
      </c>
      <c r="AN162" s="78">
        <f t="shared" si="3"/>
        <v>0</v>
      </c>
      <c r="AO162" s="78">
        <f t="shared" si="4"/>
        <v>194</v>
      </c>
      <c r="AP162" s="82">
        <f t="shared" si="5"/>
        <v>17.031</v>
      </c>
    </row>
    <row r="163">
      <c r="A163" s="83" t="s">
        <v>30</v>
      </c>
      <c r="B163" s="84">
        <f t="shared" si="6"/>
        <v>44722</v>
      </c>
      <c r="C163" s="85">
        <v>6.0</v>
      </c>
      <c r="D163" s="85" t="s">
        <v>12</v>
      </c>
      <c r="E163" s="170" t="s">
        <v>130</v>
      </c>
      <c r="F163" s="88">
        <v>0.0</v>
      </c>
      <c r="G163" s="89"/>
      <c r="H163" s="90">
        <v>0.0</v>
      </c>
      <c r="I163" s="89"/>
      <c r="J163" s="90">
        <v>0.0</v>
      </c>
      <c r="K163" s="89"/>
      <c r="L163" s="112">
        <v>0.0</v>
      </c>
      <c r="M163" s="89"/>
      <c r="N163" s="111">
        <v>0.0</v>
      </c>
      <c r="O163" s="89"/>
      <c r="P163" s="111">
        <v>0.0</v>
      </c>
      <c r="Q163" s="89"/>
      <c r="R163" s="111">
        <v>0.0</v>
      </c>
      <c r="S163" s="89"/>
      <c r="T163" s="111">
        <v>0.0</v>
      </c>
      <c r="U163" s="89"/>
      <c r="V163" s="111">
        <v>0.0</v>
      </c>
      <c r="W163" s="89"/>
      <c r="X163" s="111">
        <v>0.0</v>
      </c>
      <c r="Y163" s="91"/>
      <c r="Z163" s="112">
        <v>0.0</v>
      </c>
      <c r="AA163" s="89"/>
      <c r="AB163" s="111">
        <v>0.0</v>
      </c>
      <c r="AC163" s="89"/>
      <c r="AD163" s="111">
        <v>0.0</v>
      </c>
      <c r="AE163" s="89"/>
      <c r="AF163" s="117"/>
      <c r="AG163" s="89"/>
      <c r="AH163" s="117"/>
      <c r="AI163" s="89"/>
      <c r="AJ163" s="117"/>
      <c r="AK163" s="91"/>
      <c r="AL163" s="92">
        <f t="shared" si="1"/>
        <v>0</v>
      </c>
      <c r="AM163" s="85">
        <f t="shared" si="2"/>
        <v>0</v>
      </c>
      <c r="AN163" s="85">
        <f t="shared" si="3"/>
        <v>0</v>
      </c>
      <c r="AO163" s="85">
        <f t="shared" si="4"/>
        <v>0</v>
      </c>
      <c r="AP163" s="93" t="str">
        <f t="shared" si="5"/>
        <v/>
      </c>
    </row>
    <row r="164">
      <c r="A164" s="66" t="s">
        <v>11</v>
      </c>
      <c r="B164" s="94">
        <f t="shared" si="6"/>
        <v>44723</v>
      </c>
      <c r="C164" s="68">
        <v>6.0</v>
      </c>
      <c r="D164" s="68" t="s">
        <v>33</v>
      </c>
      <c r="E164" s="171" t="s">
        <v>130</v>
      </c>
      <c r="F164" s="71">
        <v>0.0</v>
      </c>
      <c r="H164" s="72">
        <v>0.0</v>
      </c>
      <c r="J164" s="72">
        <v>0.0</v>
      </c>
      <c r="L164" s="105">
        <v>0.0</v>
      </c>
      <c r="N164" s="104">
        <v>77.0</v>
      </c>
      <c r="P164" s="104">
        <v>50.0</v>
      </c>
      <c r="R164" s="104">
        <v>50.0</v>
      </c>
      <c r="T164" s="104">
        <v>1.0</v>
      </c>
      <c r="V164" s="104">
        <v>1.0</v>
      </c>
      <c r="X164" s="104">
        <v>38.0</v>
      </c>
      <c r="Y164" s="73"/>
      <c r="Z164" s="105">
        <v>0.0</v>
      </c>
      <c r="AB164" s="104">
        <v>38.0</v>
      </c>
      <c r="AD164" s="104">
        <v>0.0</v>
      </c>
      <c r="AF164" s="113"/>
      <c r="AH164" s="113"/>
      <c r="AJ164" s="113"/>
      <c r="AK164" s="73"/>
      <c r="AL164" s="74">
        <f t="shared" si="1"/>
        <v>4202.415</v>
      </c>
      <c r="AM164" s="68">
        <f t="shared" si="2"/>
        <v>253</v>
      </c>
      <c r="AN164" s="68">
        <f t="shared" si="3"/>
        <v>2</v>
      </c>
      <c r="AO164" s="68">
        <f t="shared" si="4"/>
        <v>255</v>
      </c>
      <c r="AP164" s="75">
        <f t="shared" si="5"/>
        <v>16.48005882</v>
      </c>
    </row>
    <row r="165">
      <c r="A165" s="76" t="s">
        <v>16</v>
      </c>
      <c r="B165" s="77">
        <f t="shared" si="6"/>
        <v>44724</v>
      </c>
      <c r="C165" s="78">
        <v>6.0</v>
      </c>
      <c r="D165" s="78" t="s">
        <v>33</v>
      </c>
      <c r="E165" s="169" t="s">
        <v>130</v>
      </c>
      <c r="F165" s="71">
        <v>0.0</v>
      </c>
      <c r="H165" s="72">
        <v>0.0</v>
      </c>
      <c r="J165" s="72">
        <v>0.0</v>
      </c>
      <c r="L165" s="105">
        <v>0.0</v>
      </c>
      <c r="N165" s="104">
        <v>77.0</v>
      </c>
      <c r="P165" s="104">
        <v>50.0</v>
      </c>
      <c r="R165" s="104">
        <v>50.0</v>
      </c>
      <c r="T165" s="104">
        <v>0.0</v>
      </c>
      <c r="V165" s="104">
        <v>0.0</v>
      </c>
      <c r="X165" s="104">
        <v>30.0</v>
      </c>
      <c r="Y165" s="73"/>
      <c r="Z165" s="105">
        <v>0.0</v>
      </c>
      <c r="AB165" s="104">
        <v>30.0</v>
      </c>
      <c r="AD165" s="104">
        <v>0.0</v>
      </c>
      <c r="AF165" s="113"/>
      <c r="AH165" s="113"/>
      <c r="AJ165" s="113"/>
      <c r="AK165" s="73"/>
      <c r="AL165" s="81">
        <f t="shared" si="1"/>
        <v>3263.967</v>
      </c>
      <c r="AM165" s="78">
        <f t="shared" si="2"/>
        <v>237</v>
      </c>
      <c r="AN165" s="78">
        <f t="shared" si="3"/>
        <v>0</v>
      </c>
      <c r="AO165" s="78">
        <f t="shared" si="4"/>
        <v>237</v>
      </c>
      <c r="AP165" s="82">
        <f t="shared" si="5"/>
        <v>13.77201266</v>
      </c>
    </row>
    <row r="166">
      <c r="A166" s="76" t="s">
        <v>17</v>
      </c>
      <c r="B166" s="77">
        <f t="shared" si="6"/>
        <v>44725</v>
      </c>
      <c r="C166" s="78">
        <v>6.0</v>
      </c>
      <c r="D166" s="78" t="s">
        <v>33</v>
      </c>
      <c r="E166" s="169" t="s">
        <v>130</v>
      </c>
      <c r="F166" s="71">
        <v>0.0</v>
      </c>
      <c r="H166" s="72">
        <v>0.0</v>
      </c>
      <c r="J166" s="72">
        <v>0.0</v>
      </c>
      <c r="L166" s="105">
        <v>0.0</v>
      </c>
      <c r="N166" s="104">
        <v>77.0</v>
      </c>
      <c r="P166" s="104">
        <v>50.0</v>
      </c>
      <c r="R166" s="104">
        <v>50.0</v>
      </c>
      <c r="T166" s="104">
        <v>0.0</v>
      </c>
      <c r="V166" s="104">
        <v>0.0</v>
      </c>
      <c r="X166" s="104">
        <v>30.0</v>
      </c>
      <c r="Y166" s="73"/>
      <c r="Z166" s="105">
        <v>0.0</v>
      </c>
      <c r="AB166" s="104">
        <v>30.0</v>
      </c>
      <c r="AD166" s="104">
        <v>0.0</v>
      </c>
      <c r="AF166" s="113"/>
      <c r="AH166" s="113"/>
      <c r="AJ166" s="113"/>
      <c r="AK166" s="73"/>
      <c r="AL166" s="81">
        <f t="shared" si="1"/>
        <v>3263.967</v>
      </c>
      <c r="AM166" s="78">
        <f t="shared" si="2"/>
        <v>237</v>
      </c>
      <c r="AN166" s="78">
        <f t="shared" si="3"/>
        <v>0</v>
      </c>
      <c r="AO166" s="78">
        <f t="shared" si="4"/>
        <v>237</v>
      </c>
      <c r="AP166" s="82">
        <f t="shared" si="5"/>
        <v>13.77201266</v>
      </c>
    </row>
    <row r="167">
      <c r="A167" s="76" t="s">
        <v>21</v>
      </c>
      <c r="B167" s="77">
        <f t="shared" si="6"/>
        <v>44726</v>
      </c>
      <c r="C167" s="78">
        <v>6.0</v>
      </c>
      <c r="D167" s="78" t="s">
        <v>33</v>
      </c>
      <c r="E167" s="169" t="s">
        <v>130</v>
      </c>
      <c r="F167" s="71">
        <v>0.0</v>
      </c>
      <c r="H167" s="72">
        <v>0.0</v>
      </c>
      <c r="J167" s="72">
        <v>0.0</v>
      </c>
      <c r="L167" s="105">
        <v>77.0</v>
      </c>
      <c r="N167" s="104">
        <v>77.0</v>
      </c>
      <c r="P167" s="104">
        <v>0.0</v>
      </c>
      <c r="R167" s="104">
        <v>0.0</v>
      </c>
      <c r="T167" s="104">
        <v>0.0</v>
      </c>
      <c r="V167" s="104">
        <v>0.0</v>
      </c>
      <c r="X167" s="104">
        <v>0.0</v>
      </c>
      <c r="Y167" s="73"/>
      <c r="Z167" s="105">
        <v>30.0</v>
      </c>
      <c r="AB167" s="104">
        <v>30.0</v>
      </c>
      <c r="AD167" s="104">
        <v>0.0</v>
      </c>
      <c r="AF167" s="113"/>
      <c r="AH167" s="113"/>
      <c r="AJ167" s="113"/>
      <c r="AK167" s="73"/>
      <c r="AL167" s="81">
        <f t="shared" si="1"/>
        <v>3644.634</v>
      </c>
      <c r="AM167" s="78">
        <f t="shared" si="2"/>
        <v>214</v>
      </c>
      <c r="AN167" s="78">
        <f t="shared" si="3"/>
        <v>0</v>
      </c>
      <c r="AO167" s="78">
        <f t="shared" si="4"/>
        <v>214</v>
      </c>
      <c r="AP167" s="82">
        <f t="shared" si="5"/>
        <v>17.031</v>
      </c>
    </row>
    <row r="168">
      <c r="A168" s="76" t="s">
        <v>24</v>
      </c>
      <c r="B168" s="77">
        <f t="shared" si="6"/>
        <v>44727</v>
      </c>
      <c r="C168" s="78">
        <v>6.0</v>
      </c>
      <c r="D168" s="78" t="s">
        <v>33</v>
      </c>
      <c r="E168" s="169" t="s">
        <v>130</v>
      </c>
      <c r="F168" s="71">
        <v>0.0</v>
      </c>
      <c r="H168" s="72">
        <v>0.0</v>
      </c>
      <c r="J168" s="72">
        <v>0.0</v>
      </c>
      <c r="L168" s="105">
        <v>0.0</v>
      </c>
      <c r="N168" s="104">
        <v>77.0</v>
      </c>
      <c r="P168" s="104">
        <v>50.0</v>
      </c>
      <c r="R168" s="104">
        <v>50.0</v>
      </c>
      <c r="T168" s="104">
        <v>0.0</v>
      </c>
      <c r="V168" s="104">
        <v>0.0</v>
      </c>
      <c r="X168" s="104">
        <v>30.0</v>
      </c>
      <c r="Y168" s="73"/>
      <c r="Z168" s="105">
        <v>0.0</v>
      </c>
      <c r="AB168" s="104">
        <v>30.0</v>
      </c>
      <c r="AD168" s="104">
        <v>0.0</v>
      </c>
      <c r="AF168" s="113"/>
      <c r="AH168" s="113"/>
      <c r="AJ168" s="113"/>
      <c r="AK168" s="73"/>
      <c r="AL168" s="81">
        <f t="shared" si="1"/>
        <v>3263.967</v>
      </c>
      <c r="AM168" s="78">
        <f t="shared" si="2"/>
        <v>237</v>
      </c>
      <c r="AN168" s="78">
        <f t="shared" si="3"/>
        <v>0</v>
      </c>
      <c r="AO168" s="78">
        <f t="shared" si="4"/>
        <v>237</v>
      </c>
      <c r="AP168" s="82">
        <f t="shared" si="5"/>
        <v>13.77201266</v>
      </c>
    </row>
    <row r="169">
      <c r="A169" s="76" t="s">
        <v>27</v>
      </c>
      <c r="B169" s="77">
        <f t="shared" si="6"/>
        <v>44728</v>
      </c>
      <c r="C169" s="78">
        <v>6.0</v>
      </c>
      <c r="D169" s="78" t="s">
        <v>33</v>
      </c>
      <c r="E169" s="169" t="s">
        <v>130</v>
      </c>
      <c r="F169" s="71">
        <v>0.0</v>
      </c>
      <c r="H169" s="72">
        <v>0.0</v>
      </c>
      <c r="J169" s="72">
        <v>0.0</v>
      </c>
      <c r="L169" s="105">
        <v>77.0</v>
      </c>
      <c r="N169" s="104">
        <v>77.0</v>
      </c>
      <c r="P169" s="104">
        <v>0.0</v>
      </c>
      <c r="R169" s="104">
        <v>0.0</v>
      </c>
      <c r="T169" s="104">
        <v>0.0</v>
      </c>
      <c r="V169" s="104">
        <v>0.0</v>
      </c>
      <c r="X169" s="104">
        <v>0.0</v>
      </c>
      <c r="Y169" s="73"/>
      <c r="Z169" s="105">
        <v>30.0</v>
      </c>
      <c r="AB169" s="104">
        <v>30.0</v>
      </c>
      <c r="AD169" s="104">
        <v>0.0</v>
      </c>
      <c r="AF169" s="113"/>
      <c r="AH169" s="113"/>
      <c r="AJ169" s="113"/>
      <c r="AK169" s="73"/>
      <c r="AL169" s="81">
        <f t="shared" si="1"/>
        <v>3644.634</v>
      </c>
      <c r="AM169" s="78">
        <f t="shared" si="2"/>
        <v>214</v>
      </c>
      <c r="AN169" s="78">
        <f t="shared" si="3"/>
        <v>0</v>
      </c>
      <c r="AO169" s="78">
        <f t="shared" si="4"/>
        <v>214</v>
      </c>
      <c r="AP169" s="82">
        <f t="shared" si="5"/>
        <v>17.031</v>
      </c>
    </row>
    <row r="170">
      <c r="A170" s="83" t="s">
        <v>30</v>
      </c>
      <c r="B170" s="84">
        <f t="shared" si="6"/>
        <v>44729</v>
      </c>
      <c r="C170" s="85">
        <v>6.0</v>
      </c>
      <c r="D170" s="85" t="s">
        <v>33</v>
      </c>
      <c r="E170" s="170" t="s">
        <v>130</v>
      </c>
      <c r="F170" s="88">
        <v>0.0</v>
      </c>
      <c r="G170" s="89"/>
      <c r="H170" s="90">
        <v>0.0</v>
      </c>
      <c r="I170" s="89"/>
      <c r="J170" s="90">
        <v>0.0</v>
      </c>
      <c r="K170" s="89"/>
      <c r="L170" s="112">
        <v>0.0</v>
      </c>
      <c r="M170" s="89"/>
      <c r="N170" s="111">
        <v>0.0</v>
      </c>
      <c r="O170" s="89"/>
      <c r="P170" s="111">
        <v>0.0</v>
      </c>
      <c r="Q170" s="89"/>
      <c r="R170" s="111">
        <v>0.0</v>
      </c>
      <c r="S170" s="89"/>
      <c r="T170" s="111">
        <v>0.0</v>
      </c>
      <c r="U170" s="89"/>
      <c r="V170" s="111">
        <v>0.0</v>
      </c>
      <c r="W170" s="89"/>
      <c r="X170" s="111">
        <v>0.0</v>
      </c>
      <c r="Y170" s="91"/>
      <c r="Z170" s="112">
        <v>0.0</v>
      </c>
      <c r="AA170" s="89"/>
      <c r="AB170" s="111">
        <v>0.0</v>
      </c>
      <c r="AC170" s="89"/>
      <c r="AD170" s="111">
        <v>0.0</v>
      </c>
      <c r="AE170" s="89"/>
      <c r="AF170" s="117"/>
      <c r="AG170" s="89"/>
      <c r="AH170" s="117"/>
      <c r="AI170" s="89"/>
      <c r="AJ170" s="117"/>
      <c r="AK170" s="91"/>
      <c r="AL170" s="92">
        <f t="shared" si="1"/>
        <v>0</v>
      </c>
      <c r="AM170" s="85">
        <f t="shared" si="2"/>
        <v>0</v>
      </c>
      <c r="AN170" s="85">
        <f t="shared" si="3"/>
        <v>0</v>
      </c>
      <c r="AO170" s="85">
        <f t="shared" si="4"/>
        <v>0</v>
      </c>
      <c r="AP170" s="93" t="str">
        <f t="shared" si="5"/>
        <v/>
      </c>
    </row>
    <row r="171">
      <c r="A171" s="66" t="s">
        <v>11</v>
      </c>
      <c r="B171" s="94">
        <f t="shared" si="6"/>
        <v>44730</v>
      </c>
      <c r="C171" s="68">
        <v>7.0</v>
      </c>
      <c r="D171" s="68" t="s">
        <v>48</v>
      </c>
      <c r="E171" s="171" t="s">
        <v>130</v>
      </c>
      <c r="F171" s="71">
        <v>0.0</v>
      </c>
      <c r="H171" s="72">
        <v>0.0</v>
      </c>
      <c r="J171" s="72">
        <v>0.0</v>
      </c>
      <c r="L171" s="105">
        <v>0.0</v>
      </c>
      <c r="N171" s="104">
        <v>77.0</v>
      </c>
      <c r="P171" s="104">
        <v>50.0</v>
      </c>
      <c r="R171" s="104">
        <v>50.0</v>
      </c>
      <c r="T171" s="104">
        <v>1.0</v>
      </c>
      <c r="V171" s="104">
        <v>1.0</v>
      </c>
      <c r="X171" s="104">
        <v>28.0</v>
      </c>
      <c r="Y171" s="73"/>
      <c r="Z171" s="105">
        <v>0.0</v>
      </c>
      <c r="AB171" s="104">
        <v>28.0</v>
      </c>
      <c r="AD171" s="104">
        <v>0.0</v>
      </c>
      <c r="AF171" s="113"/>
      <c r="AH171" s="113"/>
      <c r="AJ171" s="113"/>
      <c r="AK171" s="73"/>
      <c r="AL171" s="74">
        <f t="shared" si="1"/>
        <v>3948.105</v>
      </c>
      <c r="AM171" s="68">
        <f t="shared" si="2"/>
        <v>233</v>
      </c>
      <c r="AN171" s="68">
        <f t="shared" si="3"/>
        <v>2</v>
      </c>
      <c r="AO171" s="68">
        <f t="shared" si="4"/>
        <v>235</v>
      </c>
      <c r="AP171" s="75">
        <f t="shared" si="5"/>
        <v>16.80044681</v>
      </c>
    </row>
    <row r="172">
      <c r="A172" s="76" t="s">
        <v>16</v>
      </c>
      <c r="B172" s="77">
        <f t="shared" si="6"/>
        <v>44731</v>
      </c>
      <c r="C172" s="78">
        <v>7.0</v>
      </c>
      <c r="D172" s="78" t="s">
        <v>48</v>
      </c>
      <c r="E172" s="169" t="s">
        <v>130</v>
      </c>
      <c r="F172" s="71">
        <v>0.0</v>
      </c>
      <c r="H172" s="72">
        <v>0.0</v>
      </c>
      <c r="J172" s="72">
        <v>0.0</v>
      </c>
      <c r="L172" s="105">
        <v>0.0</v>
      </c>
      <c r="N172" s="104">
        <v>77.0</v>
      </c>
      <c r="P172" s="104">
        <v>50.0</v>
      </c>
      <c r="R172" s="104">
        <v>50.0</v>
      </c>
      <c r="T172" s="104">
        <v>0.0</v>
      </c>
      <c r="V172" s="104">
        <v>0.0</v>
      </c>
      <c r="X172" s="104">
        <v>28.0</v>
      </c>
      <c r="Y172" s="73"/>
      <c r="Z172" s="105">
        <v>0.0</v>
      </c>
      <c r="AB172" s="104">
        <v>28.0</v>
      </c>
      <c r="AD172" s="104">
        <v>0.0</v>
      </c>
      <c r="AF172" s="113"/>
      <c r="AH172" s="113"/>
      <c r="AJ172" s="113"/>
      <c r="AK172" s="73"/>
      <c r="AL172" s="81">
        <f t="shared" si="1"/>
        <v>3213.105</v>
      </c>
      <c r="AM172" s="78">
        <f t="shared" si="2"/>
        <v>233</v>
      </c>
      <c r="AN172" s="78">
        <f t="shared" si="3"/>
        <v>0</v>
      </c>
      <c r="AO172" s="78">
        <f t="shared" si="4"/>
        <v>233</v>
      </c>
      <c r="AP172" s="82">
        <f t="shared" si="5"/>
        <v>13.79015021</v>
      </c>
    </row>
    <row r="173">
      <c r="A173" s="76" t="s">
        <v>17</v>
      </c>
      <c r="B173" s="77">
        <f t="shared" si="6"/>
        <v>44732</v>
      </c>
      <c r="C173" s="78">
        <v>7.0</v>
      </c>
      <c r="D173" s="78" t="s">
        <v>48</v>
      </c>
      <c r="E173" s="169" t="s">
        <v>130</v>
      </c>
      <c r="F173" s="71">
        <v>0.0</v>
      </c>
      <c r="H173" s="72">
        <v>0.0</v>
      </c>
      <c r="J173" s="72">
        <v>0.0</v>
      </c>
      <c r="L173" s="105">
        <v>77.0</v>
      </c>
      <c r="N173" s="104">
        <v>77.0</v>
      </c>
      <c r="P173" s="104">
        <v>0.0</v>
      </c>
      <c r="R173" s="104">
        <v>0.0</v>
      </c>
      <c r="T173" s="104">
        <v>0.0</v>
      </c>
      <c r="V173" s="104">
        <v>0.0</v>
      </c>
      <c r="X173" s="104">
        <v>0.0</v>
      </c>
      <c r="Y173" s="73"/>
      <c r="Z173" s="105">
        <v>30.0</v>
      </c>
      <c r="AB173" s="104">
        <v>30.0</v>
      </c>
      <c r="AD173" s="104">
        <v>0.0</v>
      </c>
      <c r="AF173" s="113"/>
      <c r="AH173" s="113"/>
      <c r="AJ173" s="113"/>
      <c r="AK173" s="73"/>
      <c r="AL173" s="81">
        <f t="shared" si="1"/>
        <v>3644.634</v>
      </c>
      <c r="AM173" s="78">
        <f t="shared" si="2"/>
        <v>214</v>
      </c>
      <c r="AN173" s="78">
        <f t="shared" si="3"/>
        <v>0</v>
      </c>
      <c r="AO173" s="78">
        <f t="shared" si="4"/>
        <v>214</v>
      </c>
      <c r="AP173" s="82">
        <f t="shared" si="5"/>
        <v>17.031</v>
      </c>
    </row>
    <row r="174">
      <c r="A174" s="76" t="s">
        <v>21</v>
      </c>
      <c r="B174" s="77">
        <f t="shared" si="6"/>
        <v>44733</v>
      </c>
      <c r="C174" s="78">
        <v>7.0</v>
      </c>
      <c r="D174" s="78" t="s">
        <v>48</v>
      </c>
      <c r="E174" s="169" t="s">
        <v>130</v>
      </c>
      <c r="F174" s="71">
        <v>0.0</v>
      </c>
      <c r="H174" s="72">
        <v>0.0</v>
      </c>
      <c r="J174" s="72">
        <v>0.0</v>
      </c>
      <c r="L174" s="105">
        <v>0.0</v>
      </c>
      <c r="N174" s="104">
        <v>77.0</v>
      </c>
      <c r="P174" s="104">
        <v>50.0</v>
      </c>
      <c r="R174" s="104">
        <v>50.0</v>
      </c>
      <c r="T174" s="104">
        <v>0.0</v>
      </c>
      <c r="V174" s="104">
        <v>0.0</v>
      </c>
      <c r="X174" s="104">
        <v>28.0</v>
      </c>
      <c r="Y174" s="73"/>
      <c r="Z174" s="105">
        <v>0.0</v>
      </c>
      <c r="AB174" s="104">
        <v>28.0</v>
      </c>
      <c r="AD174" s="104">
        <v>0.0</v>
      </c>
      <c r="AF174" s="113"/>
      <c r="AH174" s="113"/>
      <c r="AJ174" s="113"/>
      <c r="AK174" s="73"/>
      <c r="AL174" s="81">
        <f t="shared" si="1"/>
        <v>3213.105</v>
      </c>
      <c r="AM174" s="78">
        <f t="shared" si="2"/>
        <v>233</v>
      </c>
      <c r="AN174" s="78">
        <f t="shared" si="3"/>
        <v>0</v>
      </c>
      <c r="AO174" s="78">
        <f t="shared" si="4"/>
        <v>233</v>
      </c>
      <c r="AP174" s="82">
        <f t="shared" si="5"/>
        <v>13.79015021</v>
      </c>
    </row>
    <row r="175">
      <c r="A175" s="76" t="s">
        <v>24</v>
      </c>
      <c r="B175" s="77">
        <f t="shared" si="6"/>
        <v>44734</v>
      </c>
      <c r="C175" s="78">
        <v>7.0</v>
      </c>
      <c r="D175" s="78" t="s">
        <v>48</v>
      </c>
      <c r="E175" s="169" t="s">
        <v>130</v>
      </c>
      <c r="F175" s="71">
        <v>0.0</v>
      </c>
      <c r="H175" s="72">
        <v>0.0</v>
      </c>
      <c r="J175" s="72">
        <v>0.0</v>
      </c>
      <c r="L175" s="105">
        <v>0.0</v>
      </c>
      <c r="N175" s="104">
        <v>77.0</v>
      </c>
      <c r="P175" s="104">
        <v>50.0</v>
      </c>
      <c r="R175" s="104">
        <v>50.0</v>
      </c>
      <c r="T175" s="104">
        <v>0.0</v>
      </c>
      <c r="V175" s="104">
        <v>0.0</v>
      </c>
      <c r="X175" s="104">
        <v>28.0</v>
      </c>
      <c r="Y175" s="73"/>
      <c r="Z175" s="105">
        <v>0.0</v>
      </c>
      <c r="AB175" s="104">
        <v>28.0</v>
      </c>
      <c r="AD175" s="104">
        <v>0.0</v>
      </c>
      <c r="AF175" s="113"/>
      <c r="AH175" s="113"/>
      <c r="AJ175" s="113"/>
      <c r="AK175" s="73"/>
      <c r="AL175" s="81">
        <f t="shared" si="1"/>
        <v>3213.105</v>
      </c>
      <c r="AM175" s="78">
        <f t="shared" si="2"/>
        <v>233</v>
      </c>
      <c r="AN175" s="78">
        <f t="shared" si="3"/>
        <v>0</v>
      </c>
      <c r="AO175" s="78">
        <f t="shared" si="4"/>
        <v>233</v>
      </c>
      <c r="AP175" s="82">
        <f t="shared" si="5"/>
        <v>13.79015021</v>
      </c>
    </row>
    <row r="176">
      <c r="A176" s="76" t="s">
        <v>27</v>
      </c>
      <c r="B176" s="77">
        <f t="shared" si="6"/>
        <v>44735</v>
      </c>
      <c r="C176" s="78">
        <v>7.0</v>
      </c>
      <c r="D176" s="78" t="s">
        <v>48</v>
      </c>
      <c r="E176" s="169" t="s">
        <v>130</v>
      </c>
      <c r="F176" s="71">
        <v>0.0</v>
      </c>
      <c r="H176" s="72">
        <v>0.0</v>
      </c>
      <c r="J176" s="72">
        <v>0.0</v>
      </c>
      <c r="L176" s="105">
        <v>77.0</v>
      </c>
      <c r="N176" s="104">
        <v>77.0</v>
      </c>
      <c r="P176" s="104">
        <v>0.0</v>
      </c>
      <c r="R176" s="104">
        <v>0.0</v>
      </c>
      <c r="T176" s="104">
        <v>0.0</v>
      </c>
      <c r="V176" s="104">
        <v>0.0</v>
      </c>
      <c r="X176" s="104">
        <v>0.0</v>
      </c>
      <c r="Y176" s="73"/>
      <c r="Z176" s="105">
        <v>20.0</v>
      </c>
      <c r="AB176" s="104">
        <v>20.0</v>
      </c>
      <c r="AD176" s="104">
        <v>0.0</v>
      </c>
      <c r="AF176" s="113"/>
      <c r="AH176" s="113"/>
      <c r="AJ176" s="113"/>
      <c r="AK176" s="73"/>
      <c r="AL176" s="81">
        <f t="shared" si="1"/>
        <v>3304.014</v>
      </c>
      <c r="AM176" s="78">
        <f t="shared" si="2"/>
        <v>194</v>
      </c>
      <c r="AN176" s="78">
        <f t="shared" si="3"/>
        <v>0</v>
      </c>
      <c r="AO176" s="78">
        <f t="shared" si="4"/>
        <v>194</v>
      </c>
      <c r="AP176" s="82">
        <f t="shared" si="5"/>
        <v>17.031</v>
      </c>
    </row>
    <row r="177">
      <c r="A177" s="83" t="s">
        <v>30</v>
      </c>
      <c r="B177" s="84">
        <f t="shared" si="6"/>
        <v>44736</v>
      </c>
      <c r="C177" s="85">
        <v>7.0</v>
      </c>
      <c r="D177" s="85" t="s">
        <v>48</v>
      </c>
      <c r="E177" s="170" t="s">
        <v>130</v>
      </c>
      <c r="F177" s="88">
        <v>0.0</v>
      </c>
      <c r="G177" s="89"/>
      <c r="H177" s="90">
        <v>0.0</v>
      </c>
      <c r="I177" s="89"/>
      <c r="J177" s="90">
        <v>0.0</v>
      </c>
      <c r="K177" s="89"/>
      <c r="L177" s="112">
        <v>0.0</v>
      </c>
      <c r="M177" s="89"/>
      <c r="N177" s="111">
        <v>0.0</v>
      </c>
      <c r="O177" s="89"/>
      <c r="P177" s="111">
        <v>0.0</v>
      </c>
      <c r="Q177" s="89"/>
      <c r="R177" s="111">
        <v>0.0</v>
      </c>
      <c r="S177" s="89"/>
      <c r="T177" s="111">
        <v>0.0</v>
      </c>
      <c r="U177" s="89"/>
      <c r="V177" s="111">
        <v>0.0</v>
      </c>
      <c r="W177" s="89"/>
      <c r="X177" s="111">
        <v>0.0</v>
      </c>
      <c r="Y177" s="91"/>
      <c r="Z177" s="112">
        <v>0.0</v>
      </c>
      <c r="AA177" s="89"/>
      <c r="AB177" s="111">
        <v>0.0</v>
      </c>
      <c r="AC177" s="89"/>
      <c r="AD177" s="111">
        <v>0.0</v>
      </c>
      <c r="AE177" s="89"/>
      <c r="AF177" s="117"/>
      <c r="AG177" s="89"/>
      <c r="AH177" s="117"/>
      <c r="AI177" s="89"/>
      <c r="AJ177" s="117"/>
      <c r="AK177" s="91"/>
      <c r="AL177" s="92">
        <f t="shared" si="1"/>
        <v>0</v>
      </c>
      <c r="AM177" s="85">
        <f t="shared" si="2"/>
        <v>0</v>
      </c>
      <c r="AN177" s="85">
        <f t="shared" si="3"/>
        <v>0</v>
      </c>
      <c r="AO177" s="85">
        <f t="shared" si="4"/>
        <v>0</v>
      </c>
      <c r="AP177" s="93" t="str">
        <f t="shared" si="5"/>
        <v/>
      </c>
    </row>
    <row r="178">
      <c r="A178" s="66" t="s">
        <v>11</v>
      </c>
      <c r="B178" s="94">
        <f t="shared" si="6"/>
        <v>44737</v>
      </c>
      <c r="C178" s="68">
        <v>7.0</v>
      </c>
      <c r="D178" s="68" t="s">
        <v>59</v>
      </c>
      <c r="E178" s="171" t="s">
        <v>130</v>
      </c>
      <c r="F178" s="71">
        <v>0.0</v>
      </c>
      <c r="H178" s="72">
        <v>0.0</v>
      </c>
      <c r="J178" s="72">
        <v>0.0</v>
      </c>
      <c r="L178" s="105">
        <v>0.0</v>
      </c>
      <c r="N178" s="104">
        <v>77.0</v>
      </c>
      <c r="P178" s="104">
        <v>50.0</v>
      </c>
      <c r="R178" s="104">
        <v>50.0</v>
      </c>
      <c r="T178" s="104">
        <v>1.0</v>
      </c>
      <c r="V178" s="104">
        <v>1.0</v>
      </c>
      <c r="X178" s="104">
        <v>31.0</v>
      </c>
      <c r="Y178" s="73"/>
      <c r="Z178" s="105">
        <v>0.0</v>
      </c>
      <c r="AB178" s="104">
        <v>31.0</v>
      </c>
      <c r="AD178" s="104">
        <v>0.0</v>
      </c>
      <c r="AF178" s="113"/>
      <c r="AH178" s="113"/>
      <c r="AJ178" s="113"/>
      <c r="AK178" s="73"/>
      <c r="AL178" s="74">
        <f t="shared" si="1"/>
        <v>4024.398</v>
      </c>
      <c r="AM178" s="68">
        <f t="shared" si="2"/>
        <v>239</v>
      </c>
      <c r="AN178" s="68">
        <f t="shared" si="3"/>
        <v>2</v>
      </c>
      <c r="AO178" s="68">
        <f t="shared" si="4"/>
        <v>241</v>
      </c>
      <c r="AP178" s="75">
        <f t="shared" si="5"/>
        <v>16.69874689</v>
      </c>
    </row>
    <row r="179">
      <c r="A179" s="76" t="s">
        <v>16</v>
      </c>
      <c r="B179" s="77">
        <f t="shared" si="6"/>
        <v>44738</v>
      </c>
      <c r="C179" s="78">
        <v>7.0</v>
      </c>
      <c r="D179" s="78" t="s">
        <v>59</v>
      </c>
      <c r="E179" s="169" t="s">
        <v>130</v>
      </c>
      <c r="F179" s="71">
        <v>0.0</v>
      </c>
      <c r="H179" s="72">
        <v>0.0</v>
      </c>
      <c r="J179" s="72">
        <v>0.0</v>
      </c>
      <c r="L179" s="105">
        <v>0.0</v>
      </c>
      <c r="N179" s="104">
        <v>77.0</v>
      </c>
      <c r="P179" s="104">
        <v>50.0</v>
      </c>
      <c r="R179" s="104">
        <v>50.0</v>
      </c>
      <c r="T179" s="104">
        <v>0.0</v>
      </c>
      <c r="V179" s="104">
        <v>0.0</v>
      </c>
      <c r="X179" s="104">
        <v>31.0</v>
      </c>
      <c r="Y179" s="73"/>
      <c r="Z179" s="105">
        <v>0.0</v>
      </c>
      <c r="AB179" s="104">
        <v>31.0</v>
      </c>
      <c r="AD179" s="104">
        <v>0.0</v>
      </c>
      <c r="AF179" s="113"/>
      <c r="AH179" s="113"/>
      <c r="AJ179" s="113"/>
      <c r="AK179" s="73"/>
      <c r="AL179" s="81">
        <f t="shared" si="1"/>
        <v>3289.398</v>
      </c>
      <c r="AM179" s="78">
        <f t="shared" si="2"/>
        <v>239</v>
      </c>
      <c r="AN179" s="78">
        <f t="shared" si="3"/>
        <v>0</v>
      </c>
      <c r="AO179" s="78">
        <f t="shared" si="4"/>
        <v>239</v>
      </c>
      <c r="AP179" s="82">
        <f t="shared" si="5"/>
        <v>13.76317155</v>
      </c>
    </row>
    <row r="180">
      <c r="A180" s="76" t="s">
        <v>17</v>
      </c>
      <c r="B180" s="77">
        <f t="shared" si="6"/>
        <v>44739</v>
      </c>
      <c r="C180" s="78">
        <v>7.0</v>
      </c>
      <c r="D180" s="78" t="s">
        <v>59</v>
      </c>
      <c r="E180" s="169" t="s">
        <v>130</v>
      </c>
      <c r="F180" s="71">
        <v>0.0</v>
      </c>
      <c r="H180" s="72">
        <v>0.0</v>
      </c>
      <c r="J180" s="72">
        <v>0.0</v>
      </c>
      <c r="L180" s="105">
        <v>0.0</v>
      </c>
      <c r="N180" s="104">
        <v>77.0</v>
      </c>
      <c r="P180" s="104">
        <v>50.0</v>
      </c>
      <c r="R180" s="104">
        <v>50.0</v>
      </c>
      <c r="T180" s="104">
        <v>0.0</v>
      </c>
      <c r="V180" s="104">
        <v>0.0</v>
      </c>
      <c r="X180" s="104">
        <v>31.0</v>
      </c>
      <c r="Y180" s="73"/>
      <c r="Z180" s="105">
        <v>0.0</v>
      </c>
      <c r="AB180" s="104">
        <v>31.0</v>
      </c>
      <c r="AD180" s="104">
        <v>0.0</v>
      </c>
      <c r="AF180" s="113"/>
      <c r="AH180" s="113"/>
      <c r="AJ180" s="113"/>
      <c r="AK180" s="73"/>
      <c r="AL180" s="81">
        <f t="shared" si="1"/>
        <v>3289.398</v>
      </c>
      <c r="AM180" s="78">
        <f t="shared" si="2"/>
        <v>239</v>
      </c>
      <c r="AN180" s="78">
        <f t="shared" si="3"/>
        <v>0</v>
      </c>
      <c r="AO180" s="78">
        <f t="shared" si="4"/>
        <v>239</v>
      </c>
      <c r="AP180" s="82">
        <f t="shared" si="5"/>
        <v>13.76317155</v>
      </c>
    </row>
    <row r="181">
      <c r="A181" s="76" t="s">
        <v>21</v>
      </c>
      <c r="B181" s="77">
        <f t="shared" si="6"/>
        <v>44740</v>
      </c>
      <c r="C181" s="78">
        <v>7.0</v>
      </c>
      <c r="D181" s="78" t="s">
        <v>59</v>
      </c>
      <c r="E181" s="169" t="s">
        <v>130</v>
      </c>
      <c r="F181" s="71">
        <v>0.0</v>
      </c>
      <c r="H181" s="72">
        <v>0.0</v>
      </c>
      <c r="J181" s="72">
        <v>0.0</v>
      </c>
      <c r="L181" s="105">
        <v>0.0</v>
      </c>
      <c r="N181" s="104">
        <v>77.0</v>
      </c>
      <c r="P181" s="104">
        <v>50.0</v>
      </c>
      <c r="R181" s="104">
        <v>50.0</v>
      </c>
      <c r="T181" s="104">
        <v>0.0</v>
      </c>
      <c r="V181" s="104">
        <v>0.0</v>
      </c>
      <c r="X181" s="104">
        <v>31.0</v>
      </c>
      <c r="Y181" s="73"/>
      <c r="Z181" s="105">
        <v>0.0</v>
      </c>
      <c r="AB181" s="104">
        <v>31.0</v>
      </c>
      <c r="AD181" s="104">
        <v>0.0</v>
      </c>
      <c r="AF181" s="113"/>
      <c r="AH181" s="113"/>
      <c r="AJ181" s="113"/>
      <c r="AK181" s="73"/>
      <c r="AL181" s="81">
        <f t="shared" si="1"/>
        <v>3289.398</v>
      </c>
      <c r="AM181" s="78">
        <f t="shared" si="2"/>
        <v>239</v>
      </c>
      <c r="AN181" s="78">
        <f t="shared" si="3"/>
        <v>0</v>
      </c>
      <c r="AO181" s="78">
        <f t="shared" si="4"/>
        <v>239</v>
      </c>
      <c r="AP181" s="82">
        <f t="shared" si="5"/>
        <v>13.76317155</v>
      </c>
    </row>
    <row r="182">
      <c r="A182" s="76" t="s">
        <v>24</v>
      </c>
      <c r="B182" s="77">
        <f t="shared" si="6"/>
        <v>44741</v>
      </c>
      <c r="C182" s="78">
        <v>7.0</v>
      </c>
      <c r="D182" s="78" t="s">
        <v>59</v>
      </c>
      <c r="E182" s="169" t="s">
        <v>130</v>
      </c>
      <c r="F182" s="71">
        <v>0.0</v>
      </c>
      <c r="H182" s="72">
        <v>0.0</v>
      </c>
      <c r="J182" s="72">
        <v>0.0</v>
      </c>
      <c r="L182" s="105">
        <v>0.0</v>
      </c>
      <c r="N182" s="104">
        <v>77.0</v>
      </c>
      <c r="P182" s="104">
        <v>50.0</v>
      </c>
      <c r="R182" s="104">
        <v>50.0</v>
      </c>
      <c r="T182" s="104">
        <v>0.0</v>
      </c>
      <c r="V182" s="104">
        <v>0.0</v>
      </c>
      <c r="X182" s="104">
        <v>31.0</v>
      </c>
      <c r="Y182" s="73"/>
      <c r="Z182" s="105">
        <v>0.0</v>
      </c>
      <c r="AB182" s="104">
        <v>31.0</v>
      </c>
      <c r="AD182" s="104">
        <v>0.0</v>
      </c>
      <c r="AF182" s="113"/>
      <c r="AH182" s="113"/>
      <c r="AJ182" s="113"/>
      <c r="AK182" s="73"/>
      <c r="AL182" s="81">
        <f t="shared" si="1"/>
        <v>3289.398</v>
      </c>
      <c r="AM182" s="78">
        <f t="shared" si="2"/>
        <v>239</v>
      </c>
      <c r="AN182" s="78">
        <f t="shared" si="3"/>
        <v>0</v>
      </c>
      <c r="AO182" s="78">
        <f t="shared" si="4"/>
        <v>239</v>
      </c>
      <c r="AP182" s="82">
        <f t="shared" si="5"/>
        <v>13.76317155</v>
      </c>
    </row>
    <row r="183">
      <c r="A183" s="76" t="s">
        <v>27</v>
      </c>
      <c r="B183" s="77">
        <f t="shared" si="6"/>
        <v>44742</v>
      </c>
      <c r="C183" s="78">
        <v>7.0</v>
      </c>
      <c r="D183" s="78" t="s">
        <v>59</v>
      </c>
      <c r="E183" s="169" t="s">
        <v>130</v>
      </c>
      <c r="F183" s="71">
        <v>0.0</v>
      </c>
      <c r="H183" s="72">
        <v>0.0</v>
      </c>
      <c r="J183" s="72">
        <v>0.0</v>
      </c>
      <c r="L183" s="105">
        <v>77.0</v>
      </c>
      <c r="N183" s="104">
        <v>77.0</v>
      </c>
      <c r="P183" s="104">
        <v>0.0</v>
      </c>
      <c r="R183" s="104">
        <v>0.0</v>
      </c>
      <c r="T183" s="104">
        <v>0.0</v>
      </c>
      <c r="V183" s="104">
        <v>0.0</v>
      </c>
      <c r="X183" s="104">
        <v>0.0</v>
      </c>
      <c r="Y183" s="73"/>
      <c r="Z183" s="105">
        <v>20.0</v>
      </c>
      <c r="AB183" s="104">
        <v>20.0</v>
      </c>
      <c r="AD183" s="104">
        <v>0.0</v>
      </c>
      <c r="AF183" s="113"/>
      <c r="AH183" s="113"/>
      <c r="AJ183" s="113"/>
      <c r="AK183" s="73"/>
      <c r="AL183" s="81">
        <f t="shared" si="1"/>
        <v>3304.014</v>
      </c>
      <c r="AM183" s="78">
        <f t="shared" si="2"/>
        <v>194</v>
      </c>
      <c r="AN183" s="78">
        <f t="shared" si="3"/>
        <v>0</v>
      </c>
      <c r="AO183" s="78">
        <f t="shared" si="4"/>
        <v>194</v>
      </c>
      <c r="AP183" s="82">
        <f t="shared" si="5"/>
        <v>17.031</v>
      </c>
    </row>
    <row r="184">
      <c r="A184" s="83" t="s">
        <v>30</v>
      </c>
      <c r="B184" s="84">
        <f t="shared" si="6"/>
        <v>44743</v>
      </c>
      <c r="C184" s="85">
        <v>7.0</v>
      </c>
      <c r="D184" s="85" t="s">
        <v>59</v>
      </c>
      <c r="E184" s="170" t="s">
        <v>130</v>
      </c>
      <c r="F184" s="88">
        <v>0.0</v>
      </c>
      <c r="G184" s="89"/>
      <c r="H184" s="90">
        <v>0.0</v>
      </c>
      <c r="I184" s="89"/>
      <c r="J184" s="90">
        <v>0.0</v>
      </c>
      <c r="K184" s="89"/>
      <c r="L184" s="112">
        <v>0.0</v>
      </c>
      <c r="M184" s="89"/>
      <c r="N184" s="111">
        <v>0.0</v>
      </c>
      <c r="O184" s="89"/>
      <c r="P184" s="111">
        <v>0.0</v>
      </c>
      <c r="Q184" s="89"/>
      <c r="R184" s="111">
        <v>0.0</v>
      </c>
      <c r="S184" s="89"/>
      <c r="T184" s="111">
        <v>0.0</v>
      </c>
      <c r="U184" s="89"/>
      <c r="V184" s="111">
        <v>0.0</v>
      </c>
      <c r="W184" s="89"/>
      <c r="X184" s="111">
        <v>0.0</v>
      </c>
      <c r="Y184" s="91"/>
      <c r="Z184" s="112">
        <v>0.0</v>
      </c>
      <c r="AA184" s="89"/>
      <c r="AB184" s="111">
        <v>0.0</v>
      </c>
      <c r="AC184" s="89"/>
      <c r="AD184" s="111">
        <v>0.0</v>
      </c>
      <c r="AE184" s="89"/>
      <c r="AF184" s="117"/>
      <c r="AG184" s="89"/>
      <c r="AH184" s="117"/>
      <c r="AI184" s="89"/>
      <c r="AJ184" s="117"/>
      <c r="AK184" s="91"/>
      <c r="AL184" s="92">
        <f t="shared" si="1"/>
        <v>0</v>
      </c>
      <c r="AM184" s="85">
        <f t="shared" si="2"/>
        <v>0</v>
      </c>
      <c r="AN184" s="85">
        <f t="shared" si="3"/>
        <v>0</v>
      </c>
      <c r="AO184" s="85">
        <f t="shared" si="4"/>
        <v>0</v>
      </c>
      <c r="AP184" s="93" t="str">
        <f t="shared" si="5"/>
        <v/>
      </c>
    </row>
    <row r="185">
      <c r="A185" s="66" t="s">
        <v>11</v>
      </c>
      <c r="B185" s="94">
        <f t="shared" si="6"/>
        <v>44744</v>
      </c>
      <c r="C185" s="68">
        <v>7.0</v>
      </c>
      <c r="D185" s="68" t="s">
        <v>12</v>
      </c>
      <c r="E185" s="171" t="s">
        <v>130</v>
      </c>
      <c r="F185" s="71">
        <v>0.0</v>
      </c>
      <c r="H185" s="72">
        <v>0.0</v>
      </c>
      <c r="J185" s="72">
        <v>0.0</v>
      </c>
      <c r="L185" s="105">
        <v>0.0</v>
      </c>
      <c r="N185" s="104">
        <v>77.0</v>
      </c>
      <c r="P185" s="104">
        <v>50.0</v>
      </c>
      <c r="R185" s="104">
        <v>50.0</v>
      </c>
      <c r="T185" s="104">
        <v>1.0</v>
      </c>
      <c r="V185" s="104">
        <v>1.0</v>
      </c>
      <c r="X185" s="104">
        <v>33.0</v>
      </c>
      <c r="Y185" s="73"/>
      <c r="Z185" s="105">
        <v>0.0</v>
      </c>
      <c r="AB185" s="104">
        <v>33.0</v>
      </c>
      <c r="AD185" s="104">
        <v>0.0</v>
      </c>
      <c r="AF185" s="113"/>
      <c r="AH185" s="113"/>
      <c r="AJ185" s="113"/>
      <c r="AK185" s="73"/>
      <c r="AL185" s="74">
        <f t="shared" si="1"/>
        <v>4075.26</v>
      </c>
      <c r="AM185" s="68">
        <f t="shared" si="2"/>
        <v>243</v>
      </c>
      <c r="AN185" s="68">
        <f t="shared" si="3"/>
        <v>2</v>
      </c>
      <c r="AO185" s="68">
        <f t="shared" si="4"/>
        <v>245</v>
      </c>
      <c r="AP185" s="75">
        <f t="shared" si="5"/>
        <v>16.63371429</v>
      </c>
    </row>
    <row r="186">
      <c r="A186" s="76" t="s">
        <v>16</v>
      </c>
      <c r="B186" s="77">
        <f t="shared" si="6"/>
        <v>44745</v>
      </c>
      <c r="C186" s="78">
        <v>7.0</v>
      </c>
      <c r="D186" s="78" t="s">
        <v>12</v>
      </c>
      <c r="E186" s="169" t="s">
        <v>130</v>
      </c>
      <c r="F186" s="71">
        <v>0.0</v>
      </c>
      <c r="H186" s="72">
        <v>0.0</v>
      </c>
      <c r="J186" s="72">
        <v>0.0</v>
      </c>
      <c r="L186" s="105">
        <v>77.0</v>
      </c>
      <c r="N186" s="104">
        <v>77.0</v>
      </c>
      <c r="P186" s="104">
        <v>0.0</v>
      </c>
      <c r="R186" s="104">
        <v>0.0</v>
      </c>
      <c r="T186" s="104">
        <v>0.0</v>
      </c>
      <c r="V186" s="104">
        <v>0.0</v>
      </c>
      <c r="X186" s="104">
        <v>0.0</v>
      </c>
      <c r="Y186" s="73"/>
      <c r="Z186" s="105">
        <v>27.0</v>
      </c>
      <c r="AB186" s="104">
        <v>27.0</v>
      </c>
      <c r="AD186" s="104">
        <v>0.0</v>
      </c>
      <c r="AF186" s="113"/>
      <c r="AH186" s="113"/>
      <c r="AJ186" s="113"/>
      <c r="AK186" s="73"/>
      <c r="AL186" s="81">
        <f t="shared" si="1"/>
        <v>3542.448</v>
      </c>
      <c r="AM186" s="78">
        <f t="shared" si="2"/>
        <v>208</v>
      </c>
      <c r="AN186" s="78">
        <f t="shared" si="3"/>
        <v>0</v>
      </c>
      <c r="AO186" s="78">
        <f t="shared" si="4"/>
        <v>208</v>
      </c>
      <c r="AP186" s="82">
        <f t="shared" si="5"/>
        <v>17.031</v>
      </c>
    </row>
    <row r="187">
      <c r="A187" s="76" t="s">
        <v>17</v>
      </c>
      <c r="B187" s="77">
        <f t="shared" si="6"/>
        <v>44746</v>
      </c>
      <c r="C187" s="78">
        <v>7.0</v>
      </c>
      <c r="D187" s="78" t="s">
        <v>12</v>
      </c>
      <c r="E187" s="169" t="s">
        <v>130</v>
      </c>
      <c r="F187" s="71">
        <v>0.0</v>
      </c>
      <c r="H187" s="72">
        <v>0.0</v>
      </c>
      <c r="J187" s="72">
        <v>0.0</v>
      </c>
      <c r="L187" s="105">
        <v>0.0</v>
      </c>
      <c r="N187" s="104">
        <v>77.0</v>
      </c>
      <c r="P187" s="104">
        <v>50.0</v>
      </c>
      <c r="R187" s="104">
        <v>50.0</v>
      </c>
      <c r="T187" s="104">
        <v>0.0</v>
      </c>
      <c r="V187" s="104">
        <v>0.0</v>
      </c>
      <c r="X187" s="104">
        <v>27.0</v>
      </c>
      <c r="Y187" s="73"/>
      <c r="Z187" s="105">
        <v>0.0</v>
      </c>
      <c r="AB187" s="104">
        <v>27.0</v>
      </c>
      <c r="AD187" s="104">
        <v>0.0</v>
      </c>
      <c r="AF187" s="113"/>
      <c r="AH187" s="113"/>
      <c r="AJ187" s="113"/>
      <c r="AK187" s="73"/>
      <c r="AL187" s="81">
        <f t="shared" si="1"/>
        <v>3187.674</v>
      </c>
      <c r="AM187" s="78">
        <f t="shared" si="2"/>
        <v>231</v>
      </c>
      <c r="AN187" s="78">
        <f t="shared" si="3"/>
        <v>0</v>
      </c>
      <c r="AO187" s="78">
        <f t="shared" si="4"/>
        <v>231</v>
      </c>
      <c r="AP187" s="82">
        <f t="shared" si="5"/>
        <v>13.79945455</v>
      </c>
    </row>
    <row r="188">
      <c r="A188" s="76" t="s">
        <v>21</v>
      </c>
      <c r="B188" s="77">
        <f t="shared" si="6"/>
        <v>44747</v>
      </c>
      <c r="C188" s="78">
        <v>7.0</v>
      </c>
      <c r="D188" s="78" t="s">
        <v>12</v>
      </c>
      <c r="E188" s="169" t="s">
        <v>130</v>
      </c>
      <c r="F188" s="71">
        <v>0.0</v>
      </c>
      <c r="H188" s="72">
        <v>0.0</v>
      </c>
      <c r="J188" s="72">
        <v>0.0</v>
      </c>
      <c r="L188" s="105">
        <v>0.0</v>
      </c>
      <c r="N188" s="104">
        <v>77.0</v>
      </c>
      <c r="P188" s="104">
        <v>50.0</v>
      </c>
      <c r="R188" s="104">
        <v>50.0</v>
      </c>
      <c r="T188" s="104">
        <v>0.0</v>
      </c>
      <c r="V188" s="104">
        <v>0.0</v>
      </c>
      <c r="X188" s="104">
        <v>27.0</v>
      </c>
      <c r="Y188" s="73"/>
      <c r="Z188" s="105">
        <v>0.0</v>
      </c>
      <c r="AB188" s="104">
        <v>27.0</v>
      </c>
      <c r="AD188" s="104">
        <v>0.0</v>
      </c>
      <c r="AF188" s="113"/>
      <c r="AH188" s="113"/>
      <c r="AJ188" s="113"/>
      <c r="AK188" s="73"/>
      <c r="AL188" s="81">
        <f t="shared" si="1"/>
        <v>3187.674</v>
      </c>
      <c r="AM188" s="78">
        <f t="shared" si="2"/>
        <v>231</v>
      </c>
      <c r="AN188" s="78">
        <f t="shared" si="3"/>
        <v>0</v>
      </c>
      <c r="AO188" s="78">
        <f t="shared" si="4"/>
        <v>231</v>
      </c>
      <c r="AP188" s="82">
        <f t="shared" si="5"/>
        <v>13.79945455</v>
      </c>
    </row>
    <row r="189">
      <c r="A189" s="76" t="s">
        <v>24</v>
      </c>
      <c r="B189" s="77">
        <f t="shared" si="6"/>
        <v>44748</v>
      </c>
      <c r="C189" s="78">
        <v>7.0</v>
      </c>
      <c r="D189" s="78" t="s">
        <v>12</v>
      </c>
      <c r="E189" s="169" t="s">
        <v>130</v>
      </c>
      <c r="F189" s="71">
        <v>0.0</v>
      </c>
      <c r="H189" s="72">
        <v>0.0</v>
      </c>
      <c r="J189" s="72">
        <v>0.0</v>
      </c>
      <c r="L189" s="105">
        <v>0.0</v>
      </c>
      <c r="N189" s="104">
        <v>77.0</v>
      </c>
      <c r="P189" s="104">
        <v>50.0</v>
      </c>
      <c r="R189" s="104">
        <v>50.0</v>
      </c>
      <c r="T189" s="104">
        <v>0.0</v>
      </c>
      <c r="V189" s="104">
        <v>0.0</v>
      </c>
      <c r="X189" s="104">
        <v>27.0</v>
      </c>
      <c r="Y189" s="73"/>
      <c r="Z189" s="105">
        <v>0.0</v>
      </c>
      <c r="AB189" s="104">
        <v>27.0</v>
      </c>
      <c r="AD189" s="104">
        <v>0.0</v>
      </c>
      <c r="AF189" s="113"/>
      <c r="AH189" s="113"/>
      <c r="AJ189" s="113"/>
      <c r="AK189" s="73"/>
      <c r="AL189" s="81">
        <f t="shared" si="1"/>
        <v>3187.674</v>
      </c>
      <c r="AM189" s="78">
        <f t="shared" si="2"/>
        <v>231</v>
      </c>
      <c r="AN189" s="78">
        <f t="shared" si="3"/>
        <v>0</v>
      </c>
      <c r="AO189" s="78">
        <f t="shared" si="4"/>
        <v>231</v>
      </c>
      <c r="AP189" s="82">
        <f t="shared" si="5"/>
        <v>13.79945455</v>
      </c>
    </row>
    <row r="190">
      <c r="A190" s="76" t="s">
        <v>27</v>
      </c>
      <c r="B190" s="77">
        <f t="shared" si="6"/>
        <v>44749</v>
      </c>
      <c r="C190" s="78">
        <v>7.0</v>
      </c>
      <c r="D190" s="78" t="s">
        <v>12</v>
      </c>
      <c r="E190" s="169" t="s">
        <v>130</v>
      </c>
      <c r="F190" s="71">
        <v>0.0</v>
      </c>
      <c r="H190" s="72">
        <v>0.0</v>
      </c>
      <c r="J190" s="72">
        <v>0.0</v>
      </c>
      <c r="L190" s="105">
        <v>77.0</v>
      </c>
      <c r="N190" s="104">
        <v>77.0</v>
      </c>
      <c r="P190" s="104">
        <v>0.0</v>
      </c>
      <c r="R190" s="104">
        <v>0.0</v>
      </c>
      <c r="T190" s="104">
        <v>0.0</v>
      </c>
      <c r="V190" s="104">
        <v>0.0</v>
      </c>
      <c r="X190" s="104">
        <v>0.0</v>
      </c>
      <c r="Y190" s="73"/>
      <c r="Z190" s="105">
        <v>20.0</v>
      </c>
      <c r="AB190" s="104">
        <v>20.0</v>
      </c>
      <c r="AD190" s="104">
        <v>0.0</v>
      </c>
      <c r="AF190" s="113"/>
      <c r="AH190" s="113"/>
      <c r="AJ190" s="113"/>
      <c r="AK190" s="73"/>
      <c r="AL190" s="81">
        <f t="shared" si="1"/>
        <v>3304.014</v>
      </c>
      <c r="AM190" s="78">
        <f t="shared" si="2"/>
        <v>194</v>
      </c>
      <c r="AN190" s="78">
        <f t="shared" si="3"/>
        <v>0</v>
      </c>
      <c r="AO190" s="78">
        <f t="shared" si="4"/>
        <v>194</v>
      </c>
      <c r="AP190" s="82">
        <f t="shared" si="5"/>
        <v>17.031</v>
      </c>
    </row>
    <row r="191">
      <c r="A191" s="83" t="s">
        <v>30</v>
      </c>
      <c r="B191" s="84">
        <f t="shared" si="6"/>
        <v>44750</v>
      </c>
      <c r="C191" s="85">
        <v>7.0</v>
      </c>
      <c r="D191" s="85" t="s">
        <v>12</v>
      </c>
      <c r="E191" s="170" t="s">
        <v>130</v>
      </c>
      <c r="F191" s="88">
        <v>0.0</v>
      </c>
      <c r="G191" s="89"/>
      <c r="H191" s="90">
        <v>0.0</v>
      </c>
      <c r="I191" s="89"/>
      <c r="J191" s="90">
        <v>0.0</v>
      </c>
      <c r="K191" s="89"/>
      <c r="L191" s="112">
        <v>0.0</v>
      </c>
      <c r="M191" s="89"/>
      <c r="N191" s="111">
        <v>0.0</v>
      </c>
      <c r="O191" s="89"/>
      <c r="P191" s="111">
        <v>0.0</v>
      </c>
      <c r="Q191" s="89"/>
      <c r="R191" s="111">
        <v>0.0</v>
      </c>
      <c r="S191" s="89"/>
      <c r="T191" s="111">
        <v>0.0</v>
      </c>
      <c r="U191" s="89"/>
      <c r="V191" s="111">
        <v>0.0</v>
      </c>
      <c r="W191" s="89"/>
      <c r="X191" s="111">
        <v>0.0</v>
      </c>
      <c r="Y191" s="91"/>
      <c r="Z191" s="112">
        <v>0.0</v>
      </c>
      <c r="AA191" s="89"/>
      <c r="AB191" s="111">
        <v>0.0</v>
      </c>
      <c r="AC191" s="89"/>
      <c r="AD191" s="111">
        <v>0.0</v>
      </c>
      <c r="AE191" s="89"/>
      <c r="AF191" s="117"/>
      <c r="AG191" s="89"/>
      <c r="AH191" s="117"/>
      <c r="AI191" s="89"/>
      <c r="AJ191" s="117"/>
      <c r="AK191" s="91"/>
      <c r="AL191" s="92">
        <f t="shared" si="1"/>
        <v>0</v>
      </c>
      <c r="AM191" s="85">
        <f t="shared" si="2"/>
        <v>0</v>
      </c>
      <c r="AN191" s="85">
        <f t="shared" si="3"/>
        <v>0</v>
      </c>
      <c r="AO191" s="85">
        <f t="shared" si="4"/>
        <v>0</v>
      </c>
      <c r="AP191" s="93" t="str">
        <f t="shared" si="5"/>
        <v/>
      </c>
    </row>
    <row r="192">
      <c r="A192" s="66" t="s">
        <v>11</v>
      </c>
      <c r="B192" s="94">
        <f t="shared" si="6"/>
        <v>44751</v>
      </c>
      <c r="C192" s="68">
        <v>7.0</v>
      </c>
      <c r="D192" s="68" t="s">
        <v>33</v>
      </c>
      <c r="E192" s="171" t="s">
        <v>130</v>
      </c>
      <c r="F192" s="71">
        <v>0.0</v>
      </c>
      <c r="H192" s="72">
        <v>0.0</v>
      </c>
      <c r="J192" s="72">
        <v>0.0</v>
      </c>
      <c r="L192" s="105">
        <v>0.0</v>
      </c>
      <c r="N192" s="104">
        <v>0.0</v>
      </c>
      <c r="P192" s="104">
        <v>0.0</v>
      </c>
      <c r="R192" s="104">
        <v>0.0</v>
      </c>
      <c r="T192" s="104">
        <v>1.0</v>
      </c>
      <c r="V192" s="104">
        <v>1.0</v>
      </c>
      <c r="X192" s="104">
        <v>0.0</v>
      </c>
      <c r="Y192" s="73"/>
      <c r="Z192" s="105">
        <v>0.0</v>
      </c>
      <c r="AB192" s="104">
        <v>0.0</v>
      </c>
      <c r="AD192" s="104">
        <v>0.0</v>
      </c>
      <c r="AF192" s="113"/>
      <c r="AH192" s="113"/>
      <c r="AJ192" s="113"/>
      <c r="AK192" s="73"/>
      <c r="AL192" s="74">
        <f t="shared" si="1"/>
        <v>735</v>
      </c>
      <c r="AM192" s="68">
        <f t="shared" si="2"/>
        <v>0</v>
      </c>
      <c r="AN192" s="68">
        <f t="shared" si="3"/>
        <v>2</v>
      </c>
      <c r="AO192" s="68">
        <f t="shared" si="4"/>
        <v>2</v>
      </c>
      <c r="AP192" s="75">
        <f t="shared" si="5"/>
        <v>367.5</v>
      </c>
    </row>
    <row r="193">
      <c r="A193" s="76" t="s">
        <v>16</v>
      </c>
      <c r="B193" s="77">
        <f t="shared" si="6"/>
        <v>44752</v>
      </c>
      <c r="C193" s="78">
        <v>7.0</v>
      </c>
      <c r="D193" s="78" t="s">
        <v>33</v>
      </c>
      <c r="E193" s="169" t="s">
        <v>130</v>
      </c>
      <c r="F193" s="71">
        <v>0.0</v>
      </c>
      <c r="H193" s="72">
        <v>0.0</v>
      </c>
      <c r="J193" s="72">
        <v>0.0</v>
      </c>
      <c r="L193" s="105">
        <v>25.0</v>
      </c>
      <c r="N193" s="104">
        <v>25.0</v>
      </c>
      <c r="P193" s="104">
        <v>0.0</v>
      </c>
      <c r="R193" s="104">
        <v>0.0</v>
      </c>
      <c r="T193" s="104">
        <v>0.0</v>
      </c>
      <c r="V193" s="104">
        <v>0.0</v>
      </c>
      <c r="X193" s="104">
        <v>0.0</v>
      </c>
      <c r="Y193" s="73"/>
      <c r="Z193" s="105">
        <v>20.0</v>
      </c>
      <c r="AB193" s="104">
        <v>20.0</v>
      </c>
      <c r="AD193" s="104">
        <v>0.0</v>
      </c>
      <c r="AF193" s="113"/>
      <c r="AH193" s="113"/>
      <c r="AJ193" s="113"/>
      <c r="AK193" s="73"/>
      <c r="AL193" s="81">
        <f t="shared" si="1"/>
        <v>1532.79</v>
      </c>
      <c r="AM193" s="78">
        <f t="shared" si="2"/>
        <v>90</v>
      </c>
      <c r="AN193" s="78">
        <f t="shared" si="3"/>
        <v>0</v>
      </c>
      <c r="AO193" s="78">
        <f t="shared" si="4"/>
        <v>90</v>
      </c>
      <c r="AP193" s="82">
        <f t="shared" si="5"/>
        <v>17.031</v>
      </c>
    </row>
    <row r="194">
      <c r="A194" s="76" t="s">
        <v>17</v>
      </c>
      <c r="B194" s="77">
        <f t="shared" si="6"/>
        <v>44753</v>
      </c>
      <c r="C194" s="78">
        <v>7.0</v>
      </c>
      <c r="D194" s="78" t="s">
        <v>33</v>
      </c>
      <c r="E194" s="169" t="s">
        <v>130</v>
      </c>
      <c r="F194" s="71">
        <v>0.0</v>
      </c>
      <c r="H194" s="72">
        <v>0.0</v>
      </c>
      <c r="J194" s="72">
        <v>0.0</v>
      </c>
      <c r="L194" s="105">
        <v>0.0</v>
      </c>
      <c r="N194" s="104">
        <v>77.0</v>
      </c>
      <c r="P194" s="104">
        <v>0.0</v>
      </c>
      <c r="R194" s="104">
        <v>50.0</v>
      </c>
      <c r="T194" s="104">
        <v>0.0</v>
      </c>
      <c r="V194" s="104">
        <v>0.0</v>
      </c>
      <c r="X194" s="104">
        <v>30.0</v>
      </c>
      <c r="Y194" s="73"/>
      <c r="Z194" s="105">
        <v>0.0</v>
      </c>
      <c r="AB194" s="104">
        <v>30.0</v>
      </c>
      <c r="AD194" s="104">
        <v>0.0</v>
      </c>
      <c r="AF194" s="113"/>
      <c r="AH194" s="113"/>
      <c r="AJ194" s="113"/>
      <c r="AK194" s="73"/>
      <c r="AL194" s="81">
        <f t="shared" si="1"/>
        <v>2412.417</v>
      </c>
      <c r="AM194" s="78">
        <f t="shared" si="2"/>
        <v>187</v>
      </c>
      <c r="AN194" s="78">
        <f t="shared" si="3"/>
        <v>0</v>
      </c>
      <c r="AO194" s="78">
        <f t="shared" si="4"/>
        <v>187</v>
      </c>
      <c r="AP194" s="82">
        <f t="shared" si="5"/>
        <v>12.90062567</v>
      </c>
    </row>
    <row r="195">
      <c r="A195" s="76" t="s">
        <v>21</v>
      </c>
      <c r="B195" s="77">
        <f t="shared" si="6"/>
        <v>44754</v>
      </c>
      <c r="C195" s="78">
        <v>7.0</v>
      </c>
      <c r="D195" s="78" t="s">
        <v>33</v>
      </c>
      <c r="E195" s="169" t="s">
        <v>130</v>
      </c>
      <c r="F195" s="71">
        <v>0.0</v>
      </c>
      <c r="H195" s="72">
        <v>0.0</v>
      </c>
      <c r="J195" s="72">
        <v>0.0</v>
      </c>
      <c r="L195" s="105">
        <v>0.0</v>
      </c>
      <c r="N195" s="104">
        <v>77.0</v>
      </c>
      <c r="P195" s="104">
        <v>50.0</v>
      </c>
      <c r="R195" s="104">
        <v>50.0</v>
      </c>
      <c r="T195" s="104">
        <v>0.0</v>
      </c>
      <c r="V195" s="104">
        <v>0.0</v>
      </c>
      <c r="X195" s="104">
        <v>33.0</v>
      </c>
      <c r="Y195" s="73"/>
      <c r="Z195" s="105">
        <v>0.0</v>
      </c>
      <c r="AB195" s="104">
        <v>33.0</v>
      </c>
      <c r="AD195" s="104">
        <v>0.0</v>
      </c>
      <c r="AF195" s="113"/>
      <c r="AH195" s="113"/>
      <c r="AJ195" s="113"/>
      <c r="AK195" s="73"/>
      <c r="AL195" s="81">
        <f t="shared" si="1"/>
        <v>3340.26</v>
      </c>
      <c r="AM195" s="78">
        <f t="shared" si="2"/>
        <v>243</v>
      </c>
      <c r="AN195" s="78">
        <f t="shared" si="3"/>
        <v>0</v>
      </c>
      <c r="AO195" s="78">
        <f t="shared" si="4"/>
        <v>243</v>
      </c>
      <c r="AP195" s="82">
        <f t="shared" si="5"/>
        <v>13.74592593</v>
      </c>
    </row>
    <row r="196">
      <c r="A196" s="76" t="s">
        <v>24</v>
      </c>
      <c r="B196" s="77">
        <f t="shared" si="6"/>
        <v>44755</v>
      </c>
      <c r="C196" s="78">
        <v>7.0</v>
      </c>
      <c r="D196" s="78" t="s">
        <v>33</v>
      </c>
      <c r="E196" s="169" t="s">
        <v>130</v>
      </c>
      <c r="F196" s="71">
        <v>0.0</v>
      </c>
      <c r="H196" s="72">
        <v>0.0</v>
      </c>
      <c r="J196" s="72">
        <v>0.0</v>
      </c>
      <c r="L196" s="105">
        <v>0.0</v>
      </c>
      <c r="N196" s="104">
        <v>77.0</v>
      </c>
      <c r="P196" s="104">
        <v>50.0</v>
      </c>
      <c r="R196" s="104">
        <v>50.0</v>
      </c>
      <c r="T196" s="104">
        <v>0.0</v>
      </c>
      <c r="V196" s="104">
        <v>0.0</v>
      </c>
      <c r="X196" s="104">
        <v>33.0</v>
      </c>
      <c r="Y196" s="73"/>
      <c r="Z196" s="105">
        <v>0.0</v>
      </c>
      <c r="AB196" s="104">
        <v>33.0</v>
      </c>
      <c r="AD196" s="104">
        <v>0.0</v>
      </c>
      <c r="AF196" s="113"/>
      <c r="AH196" s="113"/>
      <c r="AJ196" s="113"/>
      <c r="AK196" s="73"/>
      <c r="AL196" s="81">
        <f t="shared" si="1"/>
        <v>3340.26</v>
      </c>
      <c r="AM196" s="78">
        <f t="shared" si="2"/>
        <v>243</v>
      </c>
      <c r="AN196" s="78">
        <f t="shared" si="3"/>
        <v>0</v>
      </c>
      <c r="AO196" s="78">
        <f t="shared" si="4"/>
        <v>243</v>
      </c>
      <c r="AP196" s="82">
        <f t="shared" si="5"/>
        <v>13.74592593</v>
      </c>
    </row>
    <row r="197">
      <c r="A197" s="76" t="s">
        <v>27</v>
      </c>
      <c r="B197" s="77">
        <f t="shared" si="6"/>
        <v>44756</v>
      </c>
      <c r="C197" s="78">
        <v>7.0</v>
      </c>
      <c r="D197" s="78" t="s">
        <v>33</v>
      </c>
      <c r="E197" s="169" t="s">
        <v>130</v>
      </c>
      <c r="F197" s="71">
        <v>0.0</v>
      </c>
      <c r="H197" s="72">
        <v>0.0</v>
      </c>
      <c r="J197" s="72">
        <v>0.0</v>
      </c>
      <c r="L197" s="105">
        <v>30.0</v>
      </c>
      <c r="N197" s="104">
        <v>100.0</v>
      </c>
      <c r="P197" s="104">
        <v>50.0</v>
      </c>
      <c r="R197" s="104">
        <v>50.0</v>
      </c>
      <c r="T197" s="104">
        <v>0.0</v>
      </c>
      <c r="V197" s="104">
        <v>0.0</v>
      </c>
      <c r="X197" s="104">
        <v>0.0</v>
      </c>
      <c r="Y197" s="73"/>
      <c r="Z197" s="105">
        <v>20.0</v>
      </c>
      <c r="AB197" s="104">
        <v>20.0</v>
      </c>
      <c r="AD197" s="104">
        <v>0.0</v>
      </c>
      <c r="AF197" s="113"/>
      <c r="AH197" s="113"/>
      <c r="AJ197" s="113"/>
      <c r="AK197" s="73"/>
      <c r="AL197" s="81">
        <f t="shared" si="1"/>
        <v>4084.92</v>
      </c>
      <c r="AM197" s="78">
        <f t="shared" si="2"/>
        <v>270</v>
      </c>
      <c r="AN197" s="78">
        <f t="shared" si="3"/>
        <v>0</v>
      </c>
      <c r="AO197" s="78">
        <f t="shared" si="4"/>
        <v>270</v>
      </c>
      <c r="AP197" s="82">
        <f t="shared" si="5"/>
        <v>15.12933333</v>
      </c>
    </row>
    <row r="198">
      <c r="A198" s="83" t="s">
        <v>30</v>
      </c>
      <c r="B198" s="84">
        <f t="shared" si="6"/>
        <v>44757</v>
      </c>
      <c r="C198" s="85">
        <v>7.0</v>
      </c>
      <c r="D198" s="85" t="s">
        <v>33</v>
      </c>
      <c r="E198" s="170" t="s">
        <v>130</v>
      </c>
      <c r="F198" s="88">
        <v>0.0</v>
      </c>
      <c r="G198" s="89"/>
      <c r="H198" s="90">
        <v>0.0</v>
      </c>
      <c r="I198" s="89"/>
      <c r="J198" s="90">
        <v>0.0</v>
      </c>
      <c r="K198" s="89"/>
      <c r="L198" s="112">
        <v>30.0</v>
      </c>
      <c r="M198" s="89"/>
      <c r="N198" s="111">
        <v>30.0</v>
      </c>
      <c r="O198" s="89"/>
      <c r="P198" s="111">
        <v>0.0</v>
      </c>
      <c r="Q198" s="89"/>
      <c r="R198" s="111">
        <v>0.0</v>
      </c>
      <c r="S198" s="89"/>
      <c r="T198" s="111">
        <v>0.0</v>
      </c>
      <c r="U198" s="89"/>
      <c r="V198" s="111">
        <v>0.0</v>
      </c>
      <c r="W198" s="89"/>
      <c r="X198" s="111">
        <v>0.0</v>
      </c>
      <c r="Y198" s="91"/>
      <c r="Z198" s="112">
        <v>0.0</v>
      </c>
      <c r="AA198" s="89"/>
      <c r="AB198" s="111">
        <v>0.0</v>
      </c>
      <c r="AC198" s="89"/>
      <c r="AD198" s="111">
        <v>0.0</v>
      </c>
      <c r="AE198" s="89"/>
      <c r="AF198" s="117"/>
      <c r="AG198" s="89"/>
      <c r="AH198" s="117"/>
      <c r="AI198" s="89"/>
      <c r="AJ198" s="117"/>
      <c r="AK198" s="91"/>
      <c r="AL198" s="92">
        <f t="shared" si="1"/>
        <v>1021.86</v>
      </c>
      <c r="AM198" s="85">
        <f t="shared" si="2"/>
        <v>60</v>
      </c>
      <c r="AN198" s="85">
        <f t="shared" si="3"/>
        <v>0</v>
      </c>
      <c r="AO198" s="85">
        <f t="shared" si="4"/>
        <v>60</v>
      </c>
      <c r="AP198" s="93">
        <f t="shared" si="5"/>
        <v>17.031</v>
      </c>
    </row>
    <row r="199">
      <c r="A199" s="66" t="s">
        <v>11</v>
      </c>
      <c r="B199" s="94">
        <f t="shared" si="6"/>
        <v>44758</v>
      </c>
      <c r="C199" s="68">
        <v>8.0</v>
      </c>
      <c r="D199" s="68" t="s">
        <v>48</v>
      </c>
      <c r="E199" s="171" t="s">
        <v>130</v>
      </c>
      <c r="F199" s="71">
        <v>0.0</v>
      </c>
      <c r="H199" s="72">
        <v>0.0</v>
      </c>
      <c r="J199" s="72">
        <v>0.0</v>
      </c>
      <c r="L199" s="105">
        <v>0.0</v>
      </c>
      <c r="N199" s="104">
        <v>100.0</v>
      </c>
      <c r="P199" s="104">
        <v>50.0</v>
      </c>
      <c r="R199" s="104">
        <v>50.0</v>
      </c>
      <c r="T199" s="104">
        <v>1.0</v>
      </c>
      <c r="V199" s="104">
        <v>1.0</v>
      </c>
      <c r="X199" s="104">
        <v>32.0</v>
      </c>
      <c r="Y199" s="73"/>
      <c r="Z199" s="105">
        <v>0.0</v>
      </c>
      <c r="AB199" s="104">
        <v>32.0</v>
      </c>
      <c r="AD199" s="104">
        <v>0.0</v>
      </c>
      <c r="AF199" s="113"/>
      <c r="AH199" s="113"/>
      <c r="AJ199" s="113"/>
      <c r="AK199" s="73"/>
      <c r="AL199" s="74">
        <f t="shared" si="1"/>
        <v>4441.542</v>
      </c>
      <c r="AM199" s="68">
        <f t="shared" si="2"/>
        <v>264</v>
      </c>
      <c r="AN199" s="68">
        <f t="shared" si="3"/>
        <v>2</v>
      </c>
      <c r="AO199" s="68">
        <f t="shared" si="4"/>
        <v>266</v>
      </c>
      <c r="AP199" s="75">
        <f t="shared" si="5"/>
        <v>16.69752632</v>
      </c>
    </row>
    <row r="200">
      <c r="A200" s="76" t="s">
        <v>16</v>
      </c>
      <c r="B200" s="77">
        <f t="shared" si="6"/>
        <v>44759</v>
      </c>
      <c r="C200" s="78">
        <v>8.0</v>
      </c>
      <c r="D200" s="78" t="s">
        <v>48</v>
      </c>
      <c r="E200" s="169" t="s">
        <v>130</v>
      </c>
      <c r="F200" s="71">
        <v>0.0</v>
      </c>
      <c r="H200" s="72">
        <v>0.0</v>
      </c>
      <c r="J200" s="72">
        <v>0.0</v>
      </c>
      <c r="L200" s="105">
        <v>0.0</v>
      </c>
      <c r="N200" s="104">
        <v>100.0</v>
      </c>
      <c r="P200" s="104">
        <v>50.0</v>
      </c>
      <c r="R200" s="104">
        <v>50.0</v>
      </c>
      <c r="T200" s="104">
        <v>0.0</v>
      </c>
      <c r="V200" s="104">
        <v>0.0</v>
      </c>
      <c r="X200" s="104">
        <v>32.0</v>
      </c>
      <c r="Y200" s="73"/>
      <c r="Z200" s="105">
        <v>0.0</v>
      </c>
      <c r="AB200" s="104">
        <v>32.0</v>
      </c>
      <c r="AD200" s="104">
        <v>0.0</v>
      </c>
      <c r="AF200" s="113"/>
      <c r="AH200" s="113"/>
      <c r="AJ200" s="113"/>
      <c r="AK200" s="73"/>
      <c r="AL200" s="81">
        <f t="shared" si="1"/>
        <v>3706.542</v>
      </c>
      <c r="AM200" s="78">
        <f t="shared" si="2"/>
        <v>264</v>
      </c>
      <c r="AN200" s="78">
        <f t="shared" si="3"/>
        <v>0</v>
      </c>
      <c r="AO200" s="78">
        <f t="shared" si="4"/>
        <v>264</v>
      </c>
      <c r="AP200" s="82">
        <f t="shared" si="5"/>
        <v>14.03993182</v>
      </c>
    </row>
    <row r="201">
      <c r="A201" s="76" t="s">
        <v>17</v>
      </c>
      <c r="B201" s="77">
        <f t="shared" si="6"/>
        <v>44760</v>
      </c>
      <c r="C201" s="78">
        <v>8.0</v>
      </c>
      <c r="D201" s="78" t="s">
        <v>48</v>
      </c>
      <c r="E201" s="169" t="s">
        <v>130</v>
      </c>
      <c r="F201" s="71">
        <v>0.0</v>
      </c>
      <c r="H201" s="72">
        <v>0.0</v>
      </c>
      <c r="J201" s="72">
        <v>0.0</v>
      </c>
      <c r="L201" s="105">
        <v>0.0</v>
      </c>
      <c r="N201" s="104">
        <v>100.0</v>
      </c>
      <c r="P201" s="104">
        <v>90.0</v>
      </c>
      <c r="R201" s="104">
        <v>50.0</v>
      </c>
      <c r="T201" s="104">
        <v>0.0</v>
      </c>
      <c r="V201" s="104">
        <v>0.0</v>
      </c>
      <c r="X201" s="104">
        <v>32.0</v>
      </c>
      <c r="Y201" s="73"/>
      <c r="Z201" s="105">
        <v>0.0</v>
      </c>
      <c r="AB201" s="104">
        <v>32.0</v>
      </c>
      <c r="AD201" s="104">
        <v>0.0</v>
      </c>
      <c r="AF201" s="113"/>
      <c r="AH201" s="113"/>
      <c r="AJ201" s="113"/>
      <c r="AK201" s="73"/>
      <c r="AL201" s="81">
        <f t="shared" si="1"/>
        <v>4387.782</v>
      </c>
      <c r="AM201" s="78">
        <f t="shared" si="2"/>
        <v>304</v>
      </c>
      <c r="AN201" s="78">
        <f t="shared" si="3"/>
        <v>0</v>
      </c>
      <c r="AO201" s="78">
        <f t="shared" si="4"/>
        <v>304</v>
      </c>
      <c r="AP201" s="82">
        <f t="shared" si="5"/>
        <v>14.43349342</v>
      </c>
    </row>
    <row r="202">
      <c r="A202" s="76" t="s">
        <v>21</v>
      </c>
      <c r="B202" s="77">
        <f t="shared" si="6"/>
        <v>44761</v>
      </c>
      <c r="C202" s="78">
        <v>8.0</v>
      </c>
      <c r="D202" s="78" t="s">
        <v>48</v>
      </c>
      <c r="E202" s="169" t="s">
        <v>130</v>
      </c>
      <c r="F202" s="71">
        <v>0.0</v>
      </c>
      <c r="H202" s="72">
        <v>0.0</v>
      </c>
      <c r="J202" s="72">
        <v>0.0</v>
      </c>
      <c r="L202" s="105">
        <v>0.0</v>
      </c>
      <c r="N202" s="104">
        <v>100.0</v>
      </c>
      <c r="P202" s="104">
        <v>90.0</v>
      </c>
      <c r="R202" s="104">
        <v>50.0</v>
      </c>
      <c r="T202" s="104">
        <v>0.0</v>
      </c>
      <c r="V202" s="104">
        <v>0.0</v>
      </c>
      <c r="X202" s="104">
        <v>32.0</v>
      </c>
      <c r="Y202" s="73"/>
      <c r="Z202" s="105">
        <v>0.0</v>
      </c>
      <c r="AB202" s="104">
        <v>32.0</v>
      </c>
      <c r="AD202" s="104">
        <v>0.0</v>
      </c>
      <c r="AF202" s="113"/>
      <c r="AH202" s="113"/>
      <c r="AJ202" s="113"/>
      <c r="AK202" s="73"/>
      <c r="AL202" s="81">
        <f t="shared" si="1"/>
        <v>4387.782</v>
      </c>
      <c r="AM202" s="78">
        <f t="shared" si="2"/>
        <v>304</v>
      </c>
      <c r="AN202" s="78">
        <f t="shared" si="3"/>
        <v>0</v>
      </c>
      <c r="AO202" s="78">
        <f t="shared" si="4"/>
        <v>304</v>
      </c>
      <c r="AP202" s="82">
        <f t="shared" si="5"/>
        <v>14.43349342</v>
      </c>
    </row>
    <row r="203">
      <c r="A203" s="76" t="s">
        <v>24</v>
      </c>
      <c r="B203" s="77">
        <f t="shared" si="6"/>
        <v>44762</v>
      </c>
      <c r="C203" s="78">
        <v>8.0</v>
      </c>
      <c r="D203" s="78" t="s">
        <v>48</v>
      </c>
      <c r="E203" s="169" t="s">
        <v>130</v>
      </c>
      <c r="F203" s="71">
        <v>0.0</v>
      </c>
      <c r="H203" s="72">
        <v>0.0</v>
      </c>
      <c r="J203" s="72">
        <v>0.0</v>
      </c>
      <c r="L203" s="105">
        <v>0.0</v>
      </c>
      <c r="N203" s="104">
        <v>100.0</v>
      </c>
      <c r="P203" s="104">
        <v>90.0</v>
      </c>
      <c r="R203" s="104">
        <v>50.0</v>
      </c>
      <c r="T203" s="104">
        <v>0.0</v>
      </c>
      <c r="V203" s="104">
        <v>0.0</v>
      </c>
      <c r="X203" s="104">
        <v>32.0</v>
      </c>
      <c r="Y203" s="73"/>
      <c r="Z203" s="105">
        <v>0.0</v>
      </c>
      <c r="AB203" s="104">
        <v>32.0</v>
      </c>
      <c r="AD203" s="104">
        <v>0.0</v>
      </c>
      <c r="AF203" s="113"/>
      <c r="AH203" s="113"/>
      <c r="AJ203" s="113"/>
      <c r="AK203" s="73"/>
      <c r="AL203" s="81">
        <f t="shared" si="1"/>
        <v>4387.782</v>
      </c>
      <c r="AM203" s="78">
        <f t="shared" si="2"/>
        <v>304</v>
      </c>
      <c r="AN203" s="78">
        <f t="shared" si="3"/>
        <v>0</v>
      </c>
      <c r="AO203" s="78">
        <f t="shared" si="4"/>
        <v>304</v>
      </c>
      <c r="AP203" s="82">
        <f t="shared" si="5"/>
        <v>14.43349342</v>
      </c>
    </row>
    <row r="204">
      <c r="A204" s="76" t="s">
        <v>27</v>
      </c>
      <c r="B204" s="77">
        <f t="shared" si="6"/>
        <v>44763</v>
      </c>
      <c r="C204" s="78">
        <v>8.0</v>
      </c>
      <c r="D204" s="78" t="s">
        <v>48</v>
      </c>
      <c r="E204" s="169" t="s">
        <v>130</v>
      </c>
      <c r="F204" s="71">
        <v>0.0</v>
      </c>
      <c r="H204" s="72">
        <v>0.0</v>
      </c>
      <c r="J204" s="72">
        <v>0.0</v>
      </c>
      <c r="L204" s="105">
        <v>100.0</v>
      </c>
      <c r="N204" s="104">
        <v>100.0</v>
      </c>
      <c r="P204" s="104">
        <v>0.0</v>
      </c>
      <c r="R204" s="104">
        <v>0.0</v>
      </c>
      <c r="T204" s="104">
        <v>0.0</v>
      </c>
      <c r="V204" s="104">
        <v>0.0</v>
      </c>
      <c r="X204" s="104">
        <v>0.0</v>
      </c>
      <c r="Y204" s="73"/>
      <c r="Z204" s="105">
        <v>20.0</v>
      </c>
      <c r="AB204" s="104">
        <v>20.0</v>
      </c>
      <c r="AD204" s="104">
        <v>0.0</v>
      </c>
      <c r="AF204" s="113"/>
      <c r="AH204" s="113"/>
      <c r="AJ204" s="113"/>
      <c r="AK204" s="73"/>
      <c r="AL204" s="81">
        <f t="shared" si="1"/>
        <v>4087.44</v>
      </c>
      <c r="AM204" s="78">
        <f t="shared" si="2"/>
        <v>240</v>
      </c>
      <c r="AN204" s="78">
        <f t="shared" si="3"/>
        <v>0</v>
      </c>
      <c r="AO204" s="78">
        <f t="shared" si="4"/>
        <v>240</v>
      </c>
      <c r="AP204" s="82">
        <f t="shared" si="5"/>
        <v>17.031</v>
      </c>
    </row>
    <row r="205">
      <c r="A205" s="83" t="s">
        <v>30</v>
      </c>
      <c r="B205" s="84">
        <f t="shared" si="6"/>
        <v>44764</v>
      </c>
      <c r="C205" s="85">
        <v>8.0</v>
      </c>
      <c r="D205" s="85" t="s">
        <v>48</v>
      </c>
      <c r="E205" s="170" t="s">
        <v>130</v>
      </c>
      <c r="F205" s="88">
        <v>0.0</v>
      </c>
      <c r="G205" s="89"/>
      <c r="H205" s="90">
        <v>0.0</v>
      </c>
      <c r="I205" s="89"/>
      <c r="J205" s="90">
        <v>0.0</v>
      </c>
      <c r="K205" s="89"/>
      <c r="L205" s="112">
        <v>0.0</v>
      </c>
      <c r="M205" s="89"/>
      <c r="N205" s="111">
        <v>0.0</v>
      </c>
      <c r="O205" s="89"/>
      <c r="P205" s="111">
        <v>0.0</v>
      </c>
      <c r="Q205" s="89"/>
      <c r="R205" s="111">
        <v>0.0</v>
      </c>
      <c r="S205" s="89"/>
      <c r="T205" s="111">
        <v>0.0</v>
      </c>
      <c r="U205" s="89"/>
      <c r="V205" s="111">
        <v>0.0</v>
      </c>
      <c r="W205" s="89"/>
      <c r="X205" s="111">
        <v>0.0</v>
      </c>
      <c r="Y205" s="91"/>
      <c r="Z205" s="112">
        <v>0.0</v>
      </c>
      <c r="AA205" s="89"/>
      <c r="AB205" s="111">
        <v>0.0</v>
      </c>
      <c r="AC205" s="89"/>
      <c r="AD205" s="111">
        <v>0.0</v>
      </c>
      <c r="AE205" s="89"/>
      <c r="AF205" s="117"/>
      <c r="AG205" s="89"/>
      <c r="AH205" s="117"/>
      <c r="AI205" s="89"/>
      <c r="AJ205" s="117"/>
      <c r="AK205" s="91"/>
      <c r="AL205" s="92">
        <f t="shared" si="1"/>
        <v>0</v>
      </c>
      <c r="AM205" s="85">
        <f t="shared" si="2"/>
        <v>0</v>
      </c>
      <c r="AN205" s="85">
        <f t="shared" si="3"/>
        <v>0</v>
      </c>
      <c r="AO205" s="85">
        <f t="shared" si="4"/>
        <v>0</v>
      </c>
      <c r="AP205" s="93" t="str">
        <f t="shared" si="5"/>
        <v/>
      </c>
    </row>
    <row r="206">
      <c r="A206" s="66" t="s">
        <v>11</v>
      </c>
      <c r="B206" s="94">
        <f t="shared" si="6"/>
        <v>44765</v>
      </c>
      <c r="C206" s="68">
        <v>8.0</v>
      </c>
      <c r="D206" s="68" t="s">
        <v>59</v>
      </c>
      <c r="E206" s="171" t="s">
        <v>130</v>
      </c>
      <c r="F206" s="71">
        <v>0.0</v>
      </c>
      <c r="H206" s="72">
        <v>0.0</v>
      </c>
      <c r="J206" s="72">
        <v>0.0</v>
      </c>
      <c r="L206" s="105">
        <v>0.0</v>
      </c>
      <c r="N206" s="104">
        <v>100.0</v>
      </c>
      <c r="P206" s="104">
        <v>65.0</v>
      </c>
      <c r="R206" s="104">
        <v>0.0</v>
      </c>
      <c r="T206" s="104">
        <v>1.0</v>
      </c>
      <c r="V206" s="104">
        <v>1.0</v>
      </c>
      <c r="X206" s="104">
        <v>32.0</v>
      </c>
      <c r="Y206" s="73"/>
      <c r="Z206" s="105">
        <v>0.0</v>
      </c>
      <c r="AB206" s="104">
        <v>32.0</v>
      </c>
      <c r="AD206" s="104">
        <v>0.0</v>
      </c>
      <c r="AF206" s="113"/>
      <c r="AH206" s="113"/>
      <c r="AJ206" s="113"/>
      <c r="AK206" s="73"/>
      <c r="AL206" s="74">
        <f t="shared" si="1"/>
        <v>4358.907</v>
      </c>
      <c r="AM206" s="68">
        <f t="shared" si="2"/>
        <v>229</v>
      </c>
      <c r="AN206" s="68">
        <f t="shared" si="3"/>
        <v>2</v>
      </c>
      <c r="AO206" s="68">
        <f t="shared" si="4"/>
        <v>231</v>
      </c>
      <c r="AP206" s="75">
        <f t="shared" si="5"/>
        <v>18.86972727</v>
      </c>
    </row>
    <row r="207">
      <c r="A207" s="76" t="s">
        <v>16</v>
      </c>
      <c r="B207" s="77">
        <f t="shared" si="6"/>
        <v>44766</v>
      </c>
      <c r="C207" s="78">
        <v>8.0</v>
      </c>
      <c r="D207" s="78" t="s">
        <v>59</v>
      </c>
      <c r="E207" s="169" t="s">
        <v>130</v>
      </c>
      <c r="F207" s="71">
        <v>0.0</v>
      </c>
      <c r="H207" s="72">
        <v>0.0</v>
      </c>
      <c r="J207" s="72">
        <v>0.0</v>
      </c>
      <c r="L207" s="105">
        <v>0.0</v>
      </c>
      <c r="N207" s="104">
        <v>100.0</v>
      </c>
      <c r="P207" s="104">
        <v>65.0</v>
      </c>
      <c r="R207" s="104">
        <v>50.0</v>
      </c>
      <c r="T207" s="104">
        <v>0.0</v>
      </c>
      <c r="V207" s="104">
        <v>0.0</v>
      </c>
      <c r="X207" s="104">
        <v>32.0</v>
      </c>
      <c r="Y207" s="73"/>
      <c r="Z207" s="105">
        <v>0.0</v>
      </c>
      <c r="AB207" s="104">
        <v>32.0</v>
      </c>
      <c r="AD207" s="104">
        <v>0.0</v>
      </c>
      <c r="AF207" s="113"/>
      <c r="AH207" s="113"/>
      <c r="AJ207" s="113"/>
      <c r="AK207" s="73"/>
      <c r="AL207" s="81">
        <f t="shared" si="1"/>
        <v>3962.007</v>
      </c>
      <c r="AM207" s="78">
        <f t="shared" si="2"/>
        <v>279</v>
      </c>
      <c r="AN207" s="78">
        <f t="shared" si="3"/>
        <v>0</v>
      </c>
      <c r="AO207" s="78">
        <f t="shared" si="4"/>
        <v>279</v>
      </c>
      <c r="AP207" s="82">
        <f t="shared" si="5"/>
        <v>14.20074194</v>
      </c>
    </row>
    <row r="208">
      <c r="A208" s="76" t="s">
        <v>17</v>
      </c>
      <c r="B208" s="77">
        <f t="shared" si="6"/>
        <v>44767</v>
      </c>
      <c r="C208" s="78">
        <v>8.0</v>
      </c>
      <c r="D208" s="78" t="s">
        <v>59</v>
      </c>
      <c r="E208" s="169" t="s">
        <v>130</v>
      </c>
      <c r="F208" s="71">
        <v>0.0</v>
      </c>
      <c r="H208" s="72">
        <v>0.0</v>
      </c>
      <c r="J208" s="72">
        <v>0.0</v>
      </c>
      <c r="L208" s="105">
        <v>0.0</v>
      </c>
      <c r="N208" s="104">
        <v>100.0</v>
      </c>
      <c r="P208" s="104">
        <v>65.0</v>
      </c>
      <c r="R208" s="104">
        <v>0.0</v>
      </c>
      <c r="T208" s="104">
        <v>0.0</v>
      </c>
      <c r="V208" s="104">
        <v>0.0</v>
      </c>
      <c r="X208" s="104">
        <v>32.0</v>
      </c>
      <c r="Y208" s="73"/>
      <c r="Z208" s="105">
        <v>0.0</v>
      </c>
      <c r="AB208" s="104">
        <v>32.0</v>
      </c>
      <c r="AD208" s="104">
        <v>0.0</v>
      </c>
      <c r="AF208" s="113"/>
      <c r="AH208" s="113"/>
      <c r="AJ208" s="113"/>
      <c r="AK208" s="73"/>
      <c r="AL208" s="81">
        <f t="shared" si="1"/>
        <v>3623.907</v>
      </c>
      <c r="AM208" s="78">
        <f t="shared" si="2"/>
        <v>229</v>
      </c>
      <c r="AN208" s="78">
        <f t="shared" si="3"/>
        <v>0</v>
      </c>
      <c r="AO208" s="78">
        <f t="shared" si="4"/>
        <v>229</v>
      </c>
      <c r="AP208" s="82">
        <f t="shared" si="5"/>
        <v>15.8249214</v>
      </c>
    </row>
    <row r="209">
      <c r="A209" s="76" t="s">
        <v>21</v>
      </c>
      <c r="B209" s="77">
        <f t="shared" si="6"/>
        <v>44768</v>
      </c>
      <c r="C209" s="78">
        <v>8.0</v>
      </c>
      <c r="D209" s="78" t="s">
        <v>59</v>
      </c>
      <c r="E209" s="169" t="s">
        <v>130</v>
      </c>
      <c r="F209" s="71">
        <v>0.0</v>
      </c>
      <c r="H209" s="72">
        <v>0.0</v>
      </c>
      <c r="J209" s="72">
        <v>0.0</v>
      </c>
      <c r="L209" s="105">
        <v>0.0</v>
      </c>
      <c r="N209" s="104">
        <v>100.0</v>
      </c>
      <c r="P209" s="104">
        <v>65.0</v>
      </c>
      <c r="R209" s="104">
        <v>50.0</v>
      </c>
      <c r="T209" s="104">
        <v>0.0</v>
      </c>
      <c r="V209" s="104">
        <v>0.0</v>
      </c>
      <c r="X209" s="104">
        <v>32.0</v>
      </c>
      <c r="Y209" s="73"/>
      <c r="Z209" s="105">
        <v>0.0</v>
      </c>
      <c r="AB209" s="104">
        <v>32.0</v>
      </c>
      <c r="AD209" s="104">
        <v>0.0</v>
      </c>
      <c r="AF209" s="113"/>
      <c r="AH209" s="113"/>
      <c r="AJ209" s="113"/>
      <c r="AK209" s="73"/>
      <c r="AL209" s="81">
        <f t="shared" si="1"/>
        <v>3962.007</v>
      </c>
      <c r="AM209" s="78">
        <f t="shared" si="2"/>
        <v>279</v>
      </c>
      <c r="AN209" s="78">
        <f t="shared" si="3"/>
        <v>0</v>
      </c>
      <c r="AO209" s="78">
        <f t="shared" si="4"/>
        <v>279</v>
      </c>
      <c r="AP209" s="82">
        <f t="shared" si="5"/>
        <v>14.20074194</v>
      </c>
    </row>
    <row r="210">
      <c r="A210" s="76" t="s">
        <v>24</v>
      </c>
      <c r="B210" s="77">
        <f t="shared" si="6"/>
        <v>44769</v>
      </c>
      <c r="C210" s="78">
        <v>8.0</v>
      </c>
      <c r="D210" s="78" t="s">
        <v>59</v>
      </c>
      <c r="E210" s="169" t="s">
        <v>130</v>
      </c>
      <c r="F210" s="71">
        <v>0.0</v>
      </c>
      <c r="H210" s="72">
        <v>0.0</v>
      </c>
      <c r="J210" s="72">
        <v>0.0</v>
      </c>
      <c r="L210" s="105">
        <v>0.0</v>
      </c>
      <c r="N210" s="104">
        <v>100.0</v>
      </c>
      <c r="P210" s="104">
        <v>65.0</v>
      </c>
      <c r="R210" s="104">
        <v>50.0</v>
      </c>
      <c r="T210" s="104">
        <v>0.0</v>
      </c>
      <c r="V210" s="104">
        <v>0.0</v>
      </c>
      <c r="X210" s="104">
        <v>32.0</v>
      </c>
      <c r="Y210" s="73"/>
      <c r="Z210" s="105">
        <v>0.0</v>
      </c>
      <c r="AB210" s="104">
        <v>32.0</v>
      </c>
      <c r="AD210" s="104">
        <v>0.0</v>
      </c>
      <c r="AF210" s="113"/>
      <c r="AH210" s="113"/>
      <c r="AJ210" s="113"/>
      <c r="AK210" s="73"/>
      <c r="AL210" s="81">
        <f t="shared" si="1"/>
        <v>3962.007</v>
      </c>
      <c r="AM210" s="78">
        <f t="shared" si="2"/>
        <v>279</v>
      </c>
      <c r="AN210" s="78">
        <f t="shared" si="3"/>
        <v>0</v>
      </c>
      <c r="AO210" s="78">
        <f t="shared" si="4"/>
        <v>279</v>
      </c>
      <c r="AP210" s="82">
        <f t="shared" si="5"/>
        <v>14.20074194</v>
      </c>
    </row>
    <row r="211">
      <c r="A211" s="76" t="s">
        <v>27</v>
      </c>
      <c r="B211" s="77">
        <f t="shared" si="6"/>
        <v>44770</v>
      </c>
      <c r="C211" s="78">
        <v>8.0</v>
      </c>
      <c r="D211" s="78" t="s">
        <v>59</v>
      </c>
      <c r="E211" s="169" t="s">
        <v>130</v>
      </c>
      <c r="F211" s="71">
        <v>0.0</v>
      </c>
      <c r="H211" s="72">
        <v>0.0</v>
      </c>
      <c r="J211" s="72">
        <v>0.0</v>
      </c>
      <c r="L211" s="105">
        <v>100.0</v>
      </c>
      <c r="N211" s="104">
        <v>100.0</v>
      </c>
      <c r="P211" s="104">
        <v>0.0</v>
      </c>
      <c r="R211" s="104">
        <v>0.0</v>
      </c>
      <c r="T211" s="104">
        <v>0.0</v>
      </c>
      <c r="V211" s="104">
        <v>0.0</v>
      </c>
      <c r="X211" s="104">
        <v>0.0</v>
      </c>
      <c r="Y211" s="73"/>
      <c r="Z211" s="105">
        <v>13.0</v>
      </c>
      <c r="AB211" s="104">
        <v>13.0</v>
      </c>
      <c r="AD211" s="104">
        <v>0.0</v>
      </c>
      <c r="AF211" s="113"/>
      <c r="AH211" s="113"/>
      <c r="AJ211" s="113"/>
      <c r="AK211" s="73"/>
      <c r="AL211" s="81">
        <f t="shared" si="1"/>
        <v>3849.006</v>
      </c>
      <c r="AM211" s="78">
        <f t="shared" si="2"/>
        <v>226</v>
      </c>
      <c r="AN211" s="78">
        <f t="shared" si="3"/>
        <v>0</v>
      </c>
      <c r="AO211" s="78">
        <f t="shared" si="4"/>
        <v>226</v>
      </c>
      <c r="AP211" s="82">
        <f t="shared" si="5"/>
        <v>17.031</v>
      </c>
    </row>
    <row r="212">
      <c r="A212" s="83" t="s">
        <v>30</v>
      </c>
      <c r="B212" s="84">
        <f t="shared" si="6"/>
        <v>44771</v>
      </c>
      <c r="C212" s="85">
        <v>8.0</v>
      </c>
      <c r="D212" s="85" t="s">
        <v>59</v>
      </c>
      <c r="E212" s="170" t="s">
        <v>130</v>
      </c>
      <c r="F212" s="88">
        <v>0.0</v>
      </c>
      <c r="G212" s="89"/>
      <c r="H212" s="90">
        <v>0.0</v>
      </c>
      <c r="I212" s="89"/>
      <c r="J212" s="90">
        <v>0.0</v>
      </c>
      <c r="K212" s="89"/>
      <c r="L212" s="112">
        <v>0.0</v>
      </c>
      <c r="M212" s="89"/>
      <c r="N212" s="111">
        <v>0.0</v>
      </c>
      <c r="O212" s="89"/>
      <c r="P212" s="111">
        <v>0.0</v>
      </c>
      <c r="Q212" s="89"/>
      <c r="R212" s="111">
        <v>0.0</v>
      </c>
      <c r="S212" s="89"/>
      <c r="T212" s="111">
        <v>0.0</v>
      </c>
      <c r="U212" s="89"/>
      <c r="V212" s="111">
        <v>0.0</v>
      </c>
      <c r="W212" s="89"/>
      <c r="X212" s="111">
        <v>0.0</v>
      </c>
      <c r="Y212" s="91"/>
      <c r="Z212" s="112">
        <v>0.0</v>
      </c>
      <c r="AA212" s="89"/>
      <c r="AB212" s="111">
        <v>0.0</v>
      </c>
      <c r="AC212" s="89"/>
      <c r="AD212" s="111">
        <v>0.0</v>
      </c>
      <c r="AE212" s="89"/>
      <c r="AF212" s="117"/>
      <c r="AG212" s="89"/>
      <c r="AH212" s="117"/>
      <c r="AI212" s="89"/>
      <c r="AJ212" s="117"/>
      <c r="AK212" s="91"/>
      <c r="AL212" s="92">
        <f t="shared" si="1"/>
        <v>0</v>
      </c>
      <c r="AM212" s="85">
        <f t="shared" si="2"/>
        <v>0</v>
      </c>
      <c r="AN212" s="85">
        <f t="shared" si="3"/>
        <v>0</v>
      </c>
      <c r="AO212" s="85">
        <f t="shared" si="4"/>
        <v>0</v>
      </c>
      <c r="AP212" s="93" t="str">
        <f t="shared" si="5"/>
        <v/>
      </c>
    </row>
    <row r="213">
      <c r="A213" s="66" t="s">
        <v>11</v>
      </c>
      <c r="B213" s="94">
        <f t="shared" si="6"/>
        <v>44772</v>
      </c>
      <c r="C213" s="68">
        <v>8.0</v>
      </c>
      <c r="D213" s="68" t="s">
        <v>12</v>
      </c>
      <c r="E213" s="171" t="s">
        <v>130</v>
      </c>
      <c r="F213" s="71">
        <v>0.0</v>
      </c>
      <c r="H213" s="72">
        <v>0.0</v>
      </c>
      <c r="J213" s="72">
        <v>0.0</v>
      </c>
      <c r="L213" s="105">
        <v>0.0</v>
      </c>
      <c r="N213" s="104">
        <v>100.0</v>
      </c>
      <c r="P213" s="104">
        <v>65.0</v>
      </c>
      <c r="R213" s="104">
        <v>50.0</v>
      </c>
      <c r="T213" s="104">
        <v>1.0</v>
      </c>
      <c r="V213" s="104">
        <v>1.0</v>
      </c>
      <c r="X213" s="104">
        <v>28.0</v>
      </c>
      <c r="Y213" s="73"/>
      <c r="Z213" s="105">
        <v>0.0</v>
      </c>
      <c r="AB213" s="104">
        <v>28.0</v>
      </c>
      <c r="AD213" s="104">
        <v>0.0</v>
      </c>
      <c r="AF213" s="113"/>
      <c r="AH213" s="113"/>
      <c r="AJ213" s="113"/>
      <c r="AK213" s="73"/>
      <c r="AL213" s="74">
        <f t="shared" si="1"/>
        <v>4595.283</v>
      </c>
      <c r="AM213" s="68">
        <f t="shared" si="2"/>
        <v>271</v>
      </c>
      <c r="AN213" s="68">
        <f t="shared" si="3"/>
        <v>2</v>
      </c>
      <c r="AO213" s="68">
        <f t="shared" si="4"/>
        <v>273</v>
      </c>
      <c r="AP213" s="75">
        <f t="shared" si="5"/>
        <v>16.83253846</v>
      </c>
    </row>
    <row r="214">
      <c r="A214" s="76" t="s">
        <v>16</v>
      </c>
      <c r="B214" s="77">
        <f t="shared" si="6"/>
        <v>44773</v>
      </c>
      <c r="C214" s="78">
        <v>8.0</v>
      </c>
      <c r="D214" s="78" t="s">
        <v>12</v>
      </c>
      <c r="E214" s="169" t="s">
        <v>130</v>
      </c>
      <c r="F214" s="71">
        <v>0.0</v>
      </c>
      <c r="H214" s="72">
        <v>0.0</v>
      </c>
      <c r="J214" s="72">
        <v>0.0</v>
      </c>
      <c r="L214" s="105">
        <v>0.0</v>
      </c>
      <c r="N214" s="104">
        <v>100.0</v>
      </c>
      <c r="P214" s="104">
        <v>65.0</v>
      </c>
      <c r="R214" s="104">
        <v>50.0</v>
      </c>
      <c r="T214" s="104">
        <v>0.0</v>
      </c>
      <c r="V214" s="104">
        <v>0.0</v>
      </c>
      <c r="X214" s="104">
        <v>28.0</v>
      </c>
      <c r="Y214" s="73"/>
      <c r="Z214" s="105">
        <v>0.0</v>
      </c>
      <c r="AB214" s="104">
        <v>28.0</v>
      </c>
      <c r="AD214" s="104">
        <v>0.0</v>
      </c>
      <c r="AF214" s="113"/>
      <c r="AH214" s="113"/>
      <c r="AJ214" s="113"/>
      <c r="AK214" s="73"/>
      <c r="AL214" s="81">
        <f t="shared" si="1"/>
        <v>3860.283</v>
      </c>
      <c r="AM214" s="78">
        <f t="shared" si="2"/>
        <v>271</v>
      </c>
      <c r="AN214" s="78">
        <f t="shared" si="3"/>
        <v>0</v>
      </c>
      <c r="AO214" s="78">
        <f t="shared" si="4"/>
        <v>271</v>
      </c>
      <c r="AP214" s="82">
        <f t="shared" si="5"/>
        <v>14.24458672</v>
      </c>
    </row>
    <row r="215">
      <c r="A215" s="76" t="s">
        <v>17</v>
      </c>
      <c r="B215" s="77">
        <f t="shared" si="6"/>
        <v>44774</v>
      </c>
      <c r="C215" s="78">
        <v>8.0</v>
      </c>
      <c r="D215" s="78" t="s">
        <v>12</v>
      </c>
      <c r="E215" s="169" t="s">
        <v>130</v>
      </c>
      <c r="F215" s="71">
        <v>0.0</v>
      </c>
      <c r="H215" s="72">
        <v>0.0</v>
      </c>
      <c r="J215" s="72">
        <v>0.0</v>
      </c>
      <c r="L215" s="105">
        <v>0.0</v>
      </c>
      <c r="N215" s="104">
        <v>100.0</v>
      </c>
      <c r="P215" s="104">
        <v>65.0</v>
      </c>
      <c r="R215" s="104">
        <v>0.0</v>
      </c>
      <c r="T215" s="104">
        <v>0.0</v>
      </c>
      <c r="V215" s="104">
        <v>0.0</v>
      </c>
      <c r="X215" s="104">
        <v>28.0</v>
      </c>
      <c r="Y215" s="73"/>
      <c r="Z215" s="105">
        <v>0.0</v>
      </c>
      <c r="AB215" s="104">
        <v>28.0</v>
      </c>
      <c r="AD215" s="104">
        <v>0.0</v>
      </c>
      <c r="AF215" s="113"/>
      <c r="AH215" s="113"/>
      <c r="AJ215" s="113"/>
      <c r="AK215" s="73"/>
      <c r="AL215" s="81">
        <f t="shared" si="1"/>
        <v>3522.183</v>
      </c>
      <c r="AM215" s="78">
        <f t="shared" si="2"/>
        <v>221</v>
      </c>
      <c r="AN215" s="78">
        <f t="shared" si="3"/>
        <v>0</v>
      </c>
      <c r="AO215" s="78">
        <f t="shared" si="4"/>
        <v>221</v>
      </c>
      <c r="AP215" s="82">
        <f t="shared" si="5"/>
        <v>15.93747964</v>
      </c>
    </row>
    <row r="216">
      <c r="A216" s="76" t="s">
        <v>21</v>
      </c>
      <c r="B216" s="77">
        <f t="shared" si="6"/>
        <v>44775</v>
      </c>
      <c r="C216" s="78">
        <v>8.0</v>
      </c>
      <c r="D216" s="78" t="s">
        <v>12</v>
      </c>
      <c r="E216" s="169" t="s">
        <v>130</v>
      </c>
      <c r="F216" s="71">
        <v>0.0</v>
      </c>
      <c r="H216" s="72">
        <v>0.0</v>
      </c>
      <c r="J216" s="72">
        <v>0.0</v>
      </c>
      <c r="L216" s="105">
        <v>0.0</v>
      </c>
      <c r="N216" s="104">
        <v>100.0</v>
      </c>
      <c r="P216" s="104">
        <v>65.0</v>
      </c>
      <c r="R216" s="104">
        <v>50.0</v>
      </c>
      <c r="T216" s="104">
        <v>0.0</v>
      </c>
      <c r="V216" s="104">
        <v>0.0</v>
      </c>
      <c r="X216" s="104">
        <v>26.0</v>
      </c>
      <c r="Y216" s="73"/>
      <c r="Z216" s="105">
        <v>0.0</v>
      </c>
      <c r="AB216" s="104">
        <v>26.0</v>
      </c>
      <c r="AD216" s="104">
        <v>0.0</v>
      </c>
      <c r="AF216" s="113"/>
      <c r="AH216" s="113"/>
      <c r="AJ216" s="113"/>
      <c r="AK216" s="73"/>
      <c r="AL216" s="81">
        <f t="shared" si="1"/>
        <v>3809.421</v>
      </c>
      <c r="AM216" s="78">
        <f t="shared" si="2"/>
        <v>267</v>
      </c>
      <c r="AN216" s="78">
        <f t="shared" si="3"/>
        <v>0</v>
      </c>
      <c r="AO216" s="78">
        <f t="shared" si="4"/>
        <v>267</v>
      </c>
      <c r="AP216" s="82">
        <f t="shared" si="5"/>
        <v>14.26749438</v>
      </c>
    </row>
    <row r="217">
      <c r="A217" s="76" t="s">
        <v>24</v>
      </c>
      <c r="B217" s="77">
        <f t="shared" si="6"/>
        <v>44776</v>
      </c>
      <c r="C217" s="78">
        <v>8.0</v>
      </c>
      <c r="D217" s="78" t="s">
        <v>12</v>
      </c>
      <c r="E217" s="169" t="s">
        <v>130</v>
      </c>
      <c r="F217" s="71">
        <v>0.0</v>
      </c>
      <c r="H217" s="72">
        <v>0.0</v>
      </c>
      <c r="J217" s="72">
        <v>0.0</v>
      </c>
      <c r="L217" s="105">
        <v>0.0</v>
      </c>
      <c r="N217" s="104">
        <v>100.0</v>
      </c>
      <c r="P217" s="104">
        <v>65.0</v>
      </c>
      <c r="R217" s="104">
        <v>50.0</v>
      </c>
      <c r="T217" s="104">
        <v>0.0</v>
      </c>
      <c r="V217" s="104">
        <v>0.0</v>
      </c>
      <c r="X217" s="104">
        <v>26.0</v>
      </c>
      <c r="Y217" s="73"/>
      <c r="Z217" s="105">
        <v>0.0</v>
      </c>
      <c r="AB217" s="104">
        <v>26.0</v>
      </c>
      <c r="AD217" s="104">
        <v>0.0</v>
      </c>
      <c r="AF217" s="113"/>
      <c r="AH217" s="113"/>
      <c r="AJ217" s="113"/>
      <c r="AK217" s="73"/>
      <c r="AL217" s="81">
        <f t="shared" si="1"/>
        <v>3809.421</v>
      </c>
      <c r="AM217" s="78">
        <f t="shared" si="2"/>
        <v>267</v>
      </c>
      <c r="AN217" s="78">
        <f t="shared" si="3"/>
        <v>0</v>
      </c>
      <c r="AO217" s="78">
        <f t="shared" si="4"/>
        <v>267</v>
      </c>
      <c r="AP217" s="82">
        <f t="shared" si="5"/>
        <v>14.26749438</v>
      </c>
    </row>
    <row r="218">
      <c r="A218" s="76" t="s">
        <v>27</v>
      </c>
      <c r="B218" s="77">
        <f t="shared" si="6"/>
        <v>44777</v>
      </c>
      <c r="C218" s="78">
        <v>8.0</v>
      </c>
      <c r="D218" s="78" t="s">
        <v>12</v>
      </c>
      <c r="E218" s="169" t="s">
        <v>130</v>
      </c>
      <c r="F218" s="71">
        <v>0.0</v>
      </c>
      <c r="H218" s="72">
        <v>0.0</v>
      </c>
      <c r="J218" s="72">
        <v>0.0</v>
      </c>
      <c r="L218" s="105">
        <v>100.0</v>
      </c>
      <c r="N218" s="104">
        <v>100.0</v>
      </c>
      <c r="P218" s="104">
        <v>0.0</v>
      </c>
      <c r="R218" s="104">
        <v>0.0</v>
      </c>
      <c r="T218" s="104">
        <v>0.0</v>
      </c>
      <c r="V218" s="104">
        <v>0.0</v>
      </c>
      <c r="X218" s="104">
        <v>0.0</v>
      </c>
      <c r="Y218" s="73"/>
      <c r="Z218" s="105">
        <v>13.0</v>
      </c>
      <c r="AB218" s="104">
        <v>13.0</v>
      </c>
      <c r="AD218" s="104">
        <v>0.0</v>
      </c>
      <c r="AF218" s="113"/>
      <c r="AH218" s="113"/>
      <c r="AJ218" s="113"/>
      <c r="AK218" s="73"/>
      <c r="AL218" s="81">
        <f t="shared" si="1"/>
        <v>3849.006</v>
      </c>
      <c r="AM218" s="78">
        <f t="shared" si="2"/>
        <v>226</v>
      </c>
      <c r="AN218" s="78">
        <f t="shared" si="3"/>
        <v>0</v>
      </c>
      <c r="AO218" s="78">
        <f t="shared" si="4"/>
        <v>226</v>
      </c>
      <c r="AP218" s="82">
        <f t="shared" si="5"/>
        <v>17.031</v>
      </c>
    </row>
    <row r="219">
      <c r="A219" s="83" t="s">
        <v>30</v>
      </c>
      <c r="B219" s="84">
        <f t="shared" si="6"/>
        <v>44778</v>
      </c>
      <c r="C219" s="85">
        <v>8.0</v>
      </c>
      <c r="D219" s="85" t="s">
        <v>12</v>
      </c>
      <c r="E219" s="170" t="s">
        <v>130</v>
      </c>
      <c r="F219" s="88">
        <v>0.0</v>
      </c>
      <c r="G219" s="89"/>
      <c r="H219" s="90">
        <v>0.0</v>
      </c>
      <c r="I219" s="89"/>
      <c r="J219" s="90">
        <v>0.0</v>
      </c>
      <c r="K219" s="89"/>
      <c r="L219" s="112">
        <v>0.0</v>
      </c>
      <c r="M219" s="89"/>
      <c r="N219" s="111">
        <v>0.0</v>
      </c>
      <c r="O219" s="89"/>
      <c r="P219" s="111">
        <v>0.0</v>
      </c>
      <c r="Q219" s="89"/>
      <c r="R219" s="111">
        <v>0.0</v>
      </c>
      <c r="S219" s="89"/>
      <c r="T219" s="111">
        <v>0.0</v>
      </c>
      <c r="U219" s="89"/>
      <c r="V219" s="111">
        <v>0.0</v>
      </c>
      <c r="W219" s="89"/>
      <c r="X219" s="111">
        <v>0.0</v>
      </c>
      <c r="Y219" s="91"/>
      <c r="Z219" s="112">
        <v>0.0</v>
      </c>
      <c r="AA219" s="89"/>
      <c r="AB219" s="111">
        <v>0.0</v>
      </c>
      <c r="AC219" s="89"/>
      <c r="AD219" s="111">
        <v>0.0</v>
      </c>
      <c r="AE219" s="89"/>
      <c r="AF219" s="117"/>
      <c r="AG219" s="89"/>
      <c r="AH219" s="117"/>
      <c r="AI219" s="89"/>
      <c r="AJ219" s="117"/>
      <c r="AK219" s="91"/>
      <c r="AL219" s="92">
        <f t="shared" si="1"/>
        <v>0</v>
      </c>
      <c r="AM219" s="85">
        <f t="shared" si="2"/>
        <v>0</v>
      </c>
      <c r="AN219" s="85">
        <f t="shared" si="3"/>
        <v>0</v>
      </c>
      <c r="AO219" s="85">
        <f t="shared" si="4"/>
        <v>0</v>
      </c>
      <c r="AP219" s="93" t="str">
        <f t="shared" si="5"/>
        <v/>
      </c>
    </row>
    <row r="220">
      <c r="A220" s="66" t="s">
        <v>11</v>
      </c>
      <c r="B220" s="94">
        <f t="shared" si="6"/>
        <v>44779</v>
      </c>
      <c r="C220" s="68">
        <v>8.0</v>
      </c>
      <c r="D220" s="68" t="s">
        <v>33</v>
      </c>
      <c r="E220" s="171" t="s">
        <v>130</v>
      </c>
      <c r="F220" s="71">
        <v>0.0</v>
      </c>
      <c r="H220" s="72">
        <v>0.0</v>
      </c>
      <c r="J220" s="72">
        <v>0.0</v>
      </c>
      <c r="L220" s="105">
        <v>0.0</v>
      </c>
      <c r="N220" s="104">
        <v>100.0</v>
      </c>
      <c r="P220" s="104">
        <v>65.0</v>
      </c>
      <c r="R220" s="104">
        <v>50.0</v>
      </c>
      <c r="T220" s="104">
        <v>1.0</v>
      </c>
      <c r="V220" s="104">
        <v>1.0</v>
      </c>
      <c r="X220" s="104">
        <v>27.0</v>
      </c>
      <c r="Y220" s="73"/>
      <c r="Z220" s="105">
        <v>0.0</v>
      </c>
      <c r="AB220" s="104">
        <v>27.0</v>
      </c>
      <c r="AD220" s="104">
        <v>0.0</v>
      </c>
      <c r="AF220" s="113"/>
      <c r="AH220" s="113"/>
      <c r="AJ220" s="113"/>
      <c r="AK220" s="73"/>
      <c r="AL220" s="74">
        <f t="shared" si="1"/>
        <v>4569.852</v>
      </c>
      <c r="AM220" s="68">
        <f t="shared" si="2"/>
        <v>269</v>
      </c>
      <c r="AN220" s="68">
        <f t="shared" si="3"/>
        <v>2</v>
      </c>
      <c r="AO220" s="68">
        <f t="shared" si="4"/>
        <v>271</v>
      </c>
      <c r="AP220" s="75">
        <f t="shared" si="5"/>
        <v>16.86292251</v>
      </c>
    </row>
    <row r="221">
      <c r="A221" s="76" t="s">
        <v>16</v>
      </c>
      <c r="B221" s="77">
        <f t="shared" si="6"/>
        <v>44780</v>
      </c>
      <c r="C221" s="78">
        <v>8.0</v>
      </c>
      <c r="D221" s="78" t="s">
        <v>33</v>
      </c>
      <c r="E221" s="169" t="s">
        <v>130</v>
      </c>
      <c r="F221" s="71">
        <v>0.0</v>
      </c>
      <c r="H221" s="72">
        <v>0.0</v>
      </c>
      <c r="J221" s="72">
        <v>0.0</v>
      </c>
      <c r="L221" s="105">
        <v>0.0</v>
      </c>
      <c r="N221" s="104">
        <v>100.0</v>
      </c>
      <c r="P221" s="104">
        <v>65.0</v>
      </c>
      <c r="R221" s="104">
        <v>0.0</v>
      </c>
      <c r="T221" s="104">
        <v>0.0</v>
      </c>
      <c r="V221" s="104">
        <v>0.0</v>
      </c>
      <c r="X221" s="104">
        <v>27.0</v>
      </c>
      <c r="Y221" s="73"/>
      <c r="Z221" s="105">
        <v>0.0</v>
      </c>
      <c r="AB221" s="104">
        <v>27.0</v>
      </c>
      <c r="AD221" s="104">
        <v>0.0</v>
      </c>
      <c r="AF221" s="113"/>
      <c r="AH221" s="113"/>
      <c r="AJ221" s="113"/>
      <c r="AK221" s="73"/>
      <c r="AL221" s="81">
        <f t="shared" si="1"/>
        <v>3496.752</v>
      </c>
      <c r="AM221" s="78">
        <f t="shared" si="2"/>
        <v>219</v>
      </c>
      <c r="AN221" s="78">
        <f t="shared" si="3"/>
        <v>0</v>
      </c>
      <c r="AO221" s="78">
        <f t="shared" si="4"/>
        <v>219</v>
      </c>
      <c r="AP221" s="82">
        <f t="shared" si="5"/>
        <v>15.96690411</v>
      </c>
    </row>
    <row r="222">
      <c r="A222" s="76" t="s">
        <v>17</v>
      </c>
      <c r="B222" s="77">
        <f t="shared" si="6"/>
        <v>44781</v>
      </c>
      <c r="C222" s="78">
        <v>8.0</v>
      </c>
      <c r="D222" s="78" t="s">
        <v>33</v>
      </c>
      <c r="E222" s="169" t="s">
        <v>130</v>
      </c>
      <c r="F222" s="71">
        <v>0.0</v>
      </c>
      <c r="H222" s="72">
        <v>0.0</v>
      </c>
      <c r="J222" s="72">
        <v>0.0</v>
      </c>
      <c r="L222" s="105">
        <v>0.0</v>
      </c>
      <c r="N222" s="104">
        <v>100.0</v>
      </c>
      <c r="P222" s="104">
        <v>65.0</v>
      </c>
      <c r="R222" s="104">
        <v>50.0</v>
      </c>
      <c r="T222" s="104">
        <v>0.0</v>
      </c>
      <c r="V222" s="104">
        <v>0.0</v>
      </c>
      <c r="X222" s="104">
        <v>27.0</v>
      </c>
      <c r="Y222" s="73"/>
      <c r="Z222" s="105">
        <v>0.0</v>
      </c>
      <c r="AB222" s="104">
        <v>27.0</v>
      </c>
      <c r="AD222" s="104">
        <v>0.0</v>
      </c>
      <c r="AF222" s="113"/>
      <c r="AH222" s="113"/>
      <c r="AJ222" s="113"/>
      <c r="AK222" s="73"/>
      <c r="AL222" s="81">
        <f t="shared" si="1"/>
        <v>3834.852</v>
      </c>
      <c r="AM222" s="78">
        <f t="shared" si="2"/>
        <v>269</v>
      </c>
      <c r="AN222" s="78">
        <f t="shared" si="3"/>
        <v>0</v>
      </c>
      <c r="AO222" s="78">
        <f t="shared" si="4"/>
        <v>269</v>
      </c>
      <c r="AP222" s="82">
        <f t="shared" si="5"/>
        <v>14.25595539</v>
      </c>
    </row>
    <row r="223">
      <c r="A223" s="76" t="s">
        <v>21</v>
      </c>
      <c r="B223" s="77">
        <f t="shared" si="6"/>
        <v>44782</v>
      </c>
      <c r="C223" s="78">
        <v>8.0</v>
      </c>
      <c r="D223" s="78" t="s">
        <v>33</v>
      </c>
      <c r="E223" s="169" t="s">
        <v>130</v>
      </c>
      <c r="F223" s="71">
        <v>0.0</v>
      </c>
      <c r="H223" s="72">
        <v>0.0</v>
      </c>
      <c r="J223" s="72">
        <v>0.0</v>
      </c>
      <c r="L223" s="105">
        <v>0.0</v>
      </c>
      <c r="N223" s="104">
        <v>100.0</v>
      </c>
      <c r="P223" s="104">
        <v>65.0</v>
      </c>
      <c r="R223" s="104">
        <v>50.0</v>
      </c>
      <c r="T223" s="104">
        <v>0.0</v>
      </c>
      <c r="V223" s="104">
        <v>0.0</v>
      </c>
      <c r="X223" s="104">
        <v>27.0</v>
      </c>
      <c r="Y223" s="73"/>
      <c r="Z223" s="105">
        <v>0.0</v>
      </c>
      <c r="AB223" s="104">
        <v>27.0</v>
      </c>
      <c r="AD223" s="104">
        <v>0.0</v>
      </c>
      <c r="AF223" s="113"/>
      <c r="AH223" s="113"/>
      <c r="AJ223" s="113"/>
      <c r="AK223" s="73"/>
      <c r="AL223" s="81">
        <f t="shared" si="1"/>
        <v>3834.852</v>
      </c>
      <c r="AM223" s="78">
        <f t="shared" si="2"/>
        <v>269</v>
      </c>
      <c r="AN223" s="78">
        <f t="shared" si="3"/>
        <v>0</v>
      </c>
      <c r="AO223" s="78">
        <f t="shared" si="4"/>
        <v>269</v>
      </c>
      <c r="AP223" s="82">
        <f t="shared" si="5"/>
        <v>14.25595539</v>
      </c>
    </row>
    <row r="224">
      <c r="A224" s="76" t="s">
        <v>24</v>
      </c>
      <c r="B224" s="77">
        <f t="shared" si="6"/>
        <v>44783</v>
      </c>
      <c r="C224" s="78">
        <v>8.0</v>
      </c>
      <c r="D224" s="78" t="s">
        <v>33</v>
      </c>
      <c r="E224" s="169" t="s">
        <v>130</v>
      </c>
      <c r="F224" s="71">
        <v>0.0</v>
      </c>
      <c r="H224" s="72">
        <v>0.0</v>
      </c>
      <c r="J224" s="72">
        <v>0.0</v>
      </c>
      <c r="L224" s="105">
        <v>0.0</v>
      </c>
      <c r="N224" s="104">
        <v>100.0</v>
      </c>
      <c r="P224" s="104">
        <v>65.0</v>
      </c>
      <c r="R224" s="104">
        <v>50.0</v>
      </c>
      <c r="T224" s="104">
        <v>0.0</v>
      </c>
      <c r="V224" s="104">
        <v>0.0</v>
      </c>
      <c r="X224" s="104">
        <v>27.0</v>
      </c>
      <c r="Y224" s="73"/>
      <c r="Z224" s="105">
        <v>0.0</v>
      </c>
      <c r="AB224" s="104">
        <v>27.0</v>
      </c>
      <c r="AD224" s="104">
        <v>0.0</v>
      </c>
      <c r="AF224" s="113"/>
      <c r="AH224" s="113"/>
      <c r="AJ224" s="113"/>
      <c r="AK224" s="73"/>
      <c r="AL224" s="81">
        <f t="shared" si="1"/>
        <v>3834.852</v>
      </c>
      <c r="AM224" s="78">
        <f t="shared" si="2"/>
        <v>269</v>
      </c>
      <c r="AN224" s="78">
        <f t="shared" si="3"/>
        <v>0</v>
      </c>
      <c r="AO224" s="78">
        <f t="shared" si="4"/>
        <v>269</v>
      </c>
      <c r="AP224" s="82">
        <f t="shared" si="5"/>
        <v>14.25595539</v>
      </c>
    </row>
    <row r="225">
      <c r="A225" s="76" t="s">
        <v>27</v>
      </c>
      <c r="B225" s="77">
        <f t="shared" si="6"/>
        <v>44784</v>
      </c>
      <c r="C225" s="78">
        <v>8.0</v>
      </c>
      <c r="D225" s="78" t="s">
        <v>33</v>
      </c>
      <c r="E225" s="169" t="s">
        <v>130</v>
      </c>
      <c r="F225" s="71">
        <v>0.0</v>
      </c>
      <c r="H225" s="72">
        <v>0.0</v>
      </c>
      <c r="J225" s="72">
        <v>0.0</v>
      </c>
      <c r="L225" s="105">
        <v>100.0</v>
      </c>
      <c r="N225" s="104">
        <v>100.0</v>
      </c>
      <c r="P225" s="104">
        <v>0.0</v>
      </c>
      <c r="R225" s="104">
        <v>0.0</v>
      </c>
      <c r="T225" s="104">
        <v>0.0</v>
      </c>
      <c r="V225" s="104">
        <v>0.0</v>
      </c>
      <c r="X225" s="104">
        <v>0.0</v>
      </c>
      <c r="Y225" s="73"/>
      <c r="Z225" s="105">
        <v>12.0</v>
      </c>
      <c r="AB225" s="104">
        <v>12.0</v>
      </c>
      <c r="AD225" s="104">
        <v>0.0</v>
      </c>
      <c r="AF225" s="113"/>
      <c r="AH225" s="113"/>
      <c r="AJ225" s="113"/>
      <c r="AK225" s="73"/>
      <c r="AL225" s="81">
        <f t="shared" si="1"/>
        <v>3814.944</v>
      </c>
      <c r="AM225" s="78">
        <f t="shared" si="2"/>
        <v>224</v>
      </c>
      <c r="AN225" s="78">
        <f t="shared" si="3"/>
        <v>0</v>
      </c>
      <c r="AO225" s="78">
        <f t="shared" si="4"/>
        <v>224</v>
      </c>
      <c r="AP225" s="82">
        <f t="shared" si="5"/>
        <v>17.031</v>
      </c>
    </row>
    <row r="226">
      <c r="A226" s="83" t="s">
        <v>30</v>
      </c>
      <c r="B226" s="84">
        <f t="shared" si="6"/>
        <v>44785</v>
      </c>
      <c r="C226" s="85">
        <v>8.0</v>
      </c>
      <c r="D226" s="85" t="s">
        <v>33</v>
      </c>
      <c r="E226" s="170" t="s">
        <v>130</v>
      </c>
      <c r="F226" s="88">
        <v>0.0</v>
      </c>
      <c r="G226" s="89"/>
      <c r="H226" s="90">
        <v>0.0</v>
      </c>
      <c r="I226" s="89"/>
      <c r="J226" s="90">
        <v>0.0</v>
      </c>
      <c r="K226" s="89"/>
      <c r="L226" s="112">
        <v>0.0</v>
      </c>
      <c r="M226" s="89"/>
      <c r="N226" s="111">
        <v>0.0</v>
      </c>
      <c r="O226" s="89"/>
      <c r="P226" s="111">
        <v>0.0</v>
      </c>
      <c r="Q226" s="89"/>
      <c r="R226" s="111">
        <v>0.0</v>
      </c>
      <c r="S226" s="89"/>
      <c r="T226" s="111">
        <v>0.0</v>
      </c>
      <c r="U226" s="89"/>
      <c r="V226" s="111">
        <v>0.0</v>
      </c>
      <c r="W226" s="89"/>
      <c r="X226" s="111">
        <v>0.0</v>
      </c>
      <c r="Y226" s="91"/>
      <c r="Z226" s="112">
        <v>0.0</v>
      </c>
      <c r="AA226" s="89"/>
      <c r="AB226" s="111">
        <v>0.0</v>
      </c>
      <c r="AC226" s="89"/>
      <c r="AD226" s="111">
        <v>0.0</v>
      </c>
      <c r="AE226" s="89"/>
      <c r="AF226" s="117"/>
      <c r="AG226" s="89"/>
      <c r="AH226" s="117"/>
      <c r="AI226" s="89"/>
      <c r="AJ226" s="117"/>
      <c r="AK226" s="91"/>
      <c r="AL226" s="92">
        <f t="shared" si="1"/>
        <v>0</v>
      </c>
      <c r="AM226" s="85">
        <f t="shared" si="2"/>
        <v>0</v>
      </c>
      <c r="AN226" s="85">
        <f t="shared" si="3"/>
        <v>0</v>
      </c>
      <c r="AO226" s="85">
        <f t="shared" si="4"/>
        <v>0</v>
      </c>
      <c r="AP226" s="93" t="str">
        <f t="shared" si="5"/>
        <v/>
      </c>
    </row>
    <row r="227">
      <c r="A227" s="66" t="s">
        <v>11</v>
      </c>
      <c r="B227" s="94">
        <f t="shared" si="6"/>
        <v>44786</v>
      </c>
      <c r="C227" s="68">
        <v>9.0</v>
      </c>
      <c r="D227" s="68" t="s">
        <v>48</v>
      </c>
      <c r="E227" s="171" t="s">
        <v>130</v>
      </c>
      <c r="F227" s="71">
        <v>0.0</v>
      </c>
      <c r="H227" s="72">
        <v>0.0</v>
      </c>
      <c r="J227" s="72">
        <v>0.0</v>
      </c>
      <c r="L227" s="105">
        <v>0.0</v>
      </c>
      <c r="N227" s="104">
        <v>100.0</v>
      </c>
      <c r="P227" s="104">
        <v>65.0</v>
      </c>
      <c r="R227" s="104">
        <v>50.0</v>
      </c>
      <c r="T227" s="104">
        <v>1.0</v>
      </c>
      <c r="V227" s="104">
        <v>1.0</v>
      </c>
      <c r="X227" s="104">
        <v>0.0</v>
      </c>
      <c r="Y227" s="73"/>
      <c r="Z227" s="105">
        <v>25.0</v>
      </c>
      <c r="AB227" s="104">
        <v>25.0</v>
      </c>
      <c r="AD227" s="104">
        <v>0.0</v>
      </c>
      <c r="AF227" s="113"/>
      <c r="AH227" s="113"/>
      <c r="AJ227" s="113"/>
      <c r="AK227" s="73"/>
      <c r="AL227" s="74">
        <f t="shared" si="1"/>
        <v>4734.765</v>
      </c>
      <c r="AM227" s="68">
        <f t="shared" si="2"/>
        <v>265</v>
      </c>
      <c r="AN227" s="68">
        <f t="shared" si="3"/>
        <v>2</v>
      </c>
      <c r="AO227" s="68">
        <f t="shared" si="4"/>
        <v>267</v>
      </c>
      <c r="AP227" s="75">
        <f t="shared" si="5"/>
        <v>17.73320225</v>
      </c>
    </row>
    <row r="228">
      <c r="A228" s="76" t="s">
        <v>16</v>
      </c>
      <c r="B228" s="77">
        <f t="shared" si="6"/>
        <v>44787</v>
      </c>
      <c r="C228" s="78">
        <v>9.0</v>
      </c>
      <c r="D228" s="78" t="s">
        <v>48</v>
      </c>
      <c r="E228" s="169" t="s">
        <v>130</v>
      </c>
      <c r="F228" s="71">
        <v>0.0</v>
      </c>
      <c r="H228" s="72">
        <v>0.0</v>
      </c>
      <c r="J228" s="72">
        <v>0.0</v>
      </c>
      <c r="L228" s="105">
        <v>0.0</v>
      </c>
      <c r="N228" s="104">
        <v>100.0</v>
      </c>
      <c r="P228" s="104">
        <v>65.0</v>
      </c>
      <c r="R228" s="104">
        <v>50.0</v>
      </c>
      <c r="T228" s="104">
        <v>0.0</v>
      </c>
      <c r="V228" s="104">
        <v>0.0</v>
      </c>
      <c r="X228" s="104">
        <v>0.0</v>
      </c>
      <c r="Y228" s="73"/>
      <c r="Z228" s="105">
        <v>25.0</v>
      </c>
      <c r="AB228" s="104">
        <v>25.0</v>
      </c>
      <c r="AD228" s="104">
        <v>0.0</v>
      </c>
      <c r="AF228" s="113"/>
      <c r="AH228" s="113"/>
      <c r="AJ228" s="113"/>
      <c r="AK228" s="73"/>
      <c r="AL228" s="81">
        <f t="shared" si="1"/>
        <v>3999.765</v>
      </c>
      <c r="AM228" s="78">
        <f t="shared" si="2"/>
        <v>265</v>
      </c>
      <c r="AN228" s="78">
        <f t="shared" si="3"/>
        <v>0</v>
      </c>
      <c r="AO228" s="78">
        <f t="shared" si="4"/>
        <v>265</v>
      </c>
      <c r="AP228" s="82">
        <f t="shared" si="5"/>
        <v>15.09345283</v>
      </c>
    </row>
    <row r="229">
      <c r="A229" s="76" t="s">
        <v>17</v>
      </c>
      <c r="B229" s="77">
        <f t="shared" si="6"/>
        <v>44788</v>
      </c>
      <c r="C229" s="78">
        <v>9.0</v>
      </c>
      <c r="D229" s="78" t="s">
        <v>48</v>
      </c>
      <c r="E229" s="169" t="s">
        <v>130</v>
      </c>
      <c r="F229" s="71">
        <v>0.0</v>
      </c>
      <c r="H229" s="72">
        <v>0.0</v>
      </c>
      <c r="J229" s="72">
        <v>0.0</v>
      </c>
      <c r="L229" s="105">
        <v>0.0</v>
      </c>
      <c r="N229" s="104">
        <v>100.0</v>
      </c>
      <c r="P229" s="104">
        <v>65.0</v>
      </c>
      <c r="R229" s="104">
        <v>50.0</v>
      </c>
      <c r="T229" s="104">
        <v>0.0</v>
      </c>
      <c r="V229" s="104">
        <v>0.0</v>
      </c>
      <c r="X229" s="104">
        <v>0.0</v>
      </c>
      <c r="Y229" s="73"/>
      <c r="Z229" s="105">
        <v>27.0</v>
      </c>
      <c r="AB229" s="104">
        <v>27.0</v>
      </c>
      <c r="AD229" s="104">
        <v>0.0</v>
      </c>
      <c r="AF229" s="113"/>
      <c r="AH229" s="113"/>
      <c r="AJ229" s="113"/>
      <c r="AK229" s="73"/>
      <c r="AL229" s="81">
        <f t="shared" si="1"/>
        <v>4067.889</v>
      </c>
      <c r="AM229" s="78">
        <f t="shared" si="2"/>
        <v>269</v>
      </c>
      <c r="AN229" s="78">
        <f t="shared" si="3"/>
        <v>0</v>
      </c>
      <c r="AO229" s="78">
        <f t="shared" si="4"/>
        <v>269</v>
      </c>
      <c r="AP229" s="82">
        <f t="shared" si="5"/>
        <v>15.12226394</v>
      </c>
    </row>
    <row r="230">
      <c r="A230" s="76" t="s">
        <v>21</v>
      </c>
      <c r="B230" s="77">
        <f t="shared" si="6"/>
        <v>44789</v>
      </c>
      <c r="C230" s="78">
        <v>9.0</v>
      </c>
      <c r="D230" s="78" t="s">
        <v>48</v>
      </c>
      <c r="E230" s="169" t="s">
        <v>130</v>
      </c>
      <c r="F230" s="71">
        <v>0.0</v>
      </c>
      <c r="H230" s="72">
        <v>0.0</v>
      </c>
      <c r="J230" s="72">
        <v>0.0</v>
      </c>
      <c r="L230" s="105">
        <v>0.0</v>
      </c>
      <c r="N230" s="104">
        <v>100.0</v>
      </c>
      <c r="P230" s="104">
        <v>65.0</v>
      </c>
      <c r="R230" s="104">
        <v>50.0</v>
      </c>
      <c r="T230" s="104">
        <v>0.0</v>
      </c>
      <c r="V230" s="104">
        <v>0.0</v>
      </c>
      <c r="X230" s="104">
        <v>0.0</v>
      </c>
      <c r="Y230" s="73"/>
      <c r="Z230" s="105">
        <v>27.0</v>
      </c>
      <c r="AB230" s="104">
        <v>27.0</v>
      </c>
      <c r="AD230" s="104">
        <v>0.0</v>
      </c>
      <c r="AF230" s="113"/>
      <c r="AH230" s="113"/>
      <c r="AJ230" s="113"/>
      <c r="AK230" s="73"/>
      <c r="AL230" s="81">
        <f t="shared" si="1"/>
        <v>4067.889</v>
      </c>
      <c r="AM230" s="78">
        <f t="shared" si="2"/>
        <v>269</v>
      </c>
      <c r="AN230" s="78">
        <f t="shared" si="3"/>
        <v>0</v>
      </c>
      <c r="AO230" s="78">
        <f t="shared" si="4"/>
        <v>269</v>
      </c>
      <c r="AP230" s="82">
        <f t="shared" si="5"/>
        <v>15.12226394</v>
      </c>
    </row>
    <row r="231">
      <c r="A231" s="76" t="s">
        <v>24</v>
      </c>
      <c r="B231" s="77">
        <f t="shared" si="6"/>
        <v>44790</v>
      </c>
      <c r="C231" s="78">
        <v>9.0</v>
      </c>
      <c r="D231" s="78" t="s">
        <v>48</v>
      </c>
      <c r="E231" s="169" t="s">
        <v>130</v>
      </c>
      <c r="F231" s="71">
        <v>0.0</v>
      </c>
      <c r="H231" s="72">
        <v>0.0</v>
      </c>
      <c r="J231" s="72">
        <v>0.0</v>
      </c>
      <c r="L231" s="105">
        <v>0.0</v>
      </c>
      <c r="N231" s="104">
        <v>100.0</v>
      </c>
      <c r="P231" s="104">
        <v>65.0</v>
      </c>
      <c r="R231" s="104">
        <v>50.0</v>
      </c>
      <c r="T231" s="104">
        <v>0.0</v>
      </c>
      <c r="V231" s="104">
        <v>0.0</v>
      </c>
      <c r="X231" s="104">
        <v>0.0</v>
      </c>
      <c r="Y231" s="73"/>
      <c r="Z231" s="105">
        <v>27.0</v>
      </c>
      <c r="AB231" s="104">
        <v>27.0</v>
      </c>
      <c r="AD231" s="104">
        <v>0.0</v>
      </c>
      <c r="AF231" s="113"/>
      <c r="AH231" s="113"/>
      <c r="AJ231" s="113"/>
      <c r="AK231" s="73"/>
      <c r="AL231" s="81">
        <f t="shared" si="1"/>
        <v>4067.889</v>
      </c>
      <c r="AM231" s="78">
        <f t="shared" si="2"/>
        <v>269</v>
      </c>
      <c r="AN231" s="78">
        <f t="shared" si="3"/>
        <v>0</v>
      </c>
      <c r="AO231" s="78">
        <f t="shared" si="4"/>
        <v>269</v>
      </c>
      <c r="AP231" s="82">
        <f t="shared" si="5"/>
        <v>15.12226394</v>
      </c>
    </row>
    <row r="232">
      <c r="A232" s="76" t="s">
        <v>27</v>
      </c>
      <c r="B232" s="77">
        <f t="shared" si="6"/>
        <v>44791</v>
      </c>
      <c r="C232" s="78">
        <v>9.0</v>
      </c>
      <c r="D232" s="78" t="s">
        <v>48</v>
      </c>
      <c r="E232" s="169" t="s">
        <v>130</v>
      </c>
      <c r="F232" s="71">
        <v>0.0</v>
      </c>
      <c r="H232" s="72">
        <v>0.0</v>
      </c>
      <c r="J232" s="72">
        <v>0.0</v>
      </c>
      <c r="L232" s="105">
        <v>100.0</v>
      </c>
      <c r="N232" s="104">
        <v>100.0</v>
      </c>
      <c r="P232" s="104">
        <v>0.0</v>
      </c>
      <c r="R232" s="104">
        <v>0.0</v>
      </c>
      <c r="T232" s="104">
        <v>0.0</v>
      </c>
      <c r="V232" s="104">
        <v>0.0</v>
      </c>
      <c r="X232" s="104">
        <v>0.0</v>
      </c>
      <c r="Y232" s="73"/>
      <c r="Z232" s="105">
        <v>6.0</v>
      </c>
      <c r="AB232" s="104">
        <v>6.0</v>
      </c>
      <c r="AD232" s="104">
        <v>0.0</v>
      </c>
      <c r="AF232" s="113"/>
      <c r="AH232" s="113"/>
      <c r="AJ232" s="113"/>
      <c r="AK232" s="73"/>
      <c r="AL232" s="81">
        <f t="shared" si="1"/>
        <v>3610.572</v>
      </c>
      <c r="AM232" s="78">
        <f t="shared" si="2"/>
        <v>212</v>
      </c>
      <c r="AN232" s="78">
        <f t="shared" si="3"/>
        <v>0</v>
      </c>
      <c r="AO232" s="78">
        <f t="shared" si="4"/>
        <v>212</v>
      </c>
      <c r="AP232" s="82">
        <f t="shared" si="5"/>
        <v>17.031</v>
      </c>
    </row>
    <row r="233">
      <c r="A233" s="83" t="s">
        <v>30</v>
      </c>
      <c r="B233" s="84">
        <f t="shared" si="6"/>
        <v>44792</v>
      </c>
      <c r="C233" s="85">
        <v>9.0</v>
      </c>
      <c r="D233" s="85" t="s">
        <v>48</v>
      </c>
      <c r="E233" s="170" t="s">
        <v>130</v>
      </c>
      <c r="F233" s="88">
        <v>0.0</v>
      </c>
      <c r="G233" s="89"/>
      <c r="H233" s="90">
        <v>0.0</v>
      </c>
      <c r="I233" s="89"/>
      <c r="J233" s="90">
        <v>0.0</v>
      </c>
      <c r="K233" s="89"/>
      <c r="L233" s="112">
        <v>0.0</v>
      </c>
      <c r="M233" s="89"/>
      <c r="N233" s="111">
        <v>0.0</v>
      </c>
      <c r="O233" s="89"/>
      <c r="P233" s="111">
        <v>0.0</v>
      </c>
      <c r="Q233" s="89"/>
      <c r="R233" s="111">
        <v>0.0</v>
      </c>
      <c r="S233" s="89"/>
      <c r="T233" s="111">
        <v>0.0</v>
      </c>
      <c r="U233" s="89"/>
      <c r="V233" s="111">
        <v>0.0</v>
      </c>
      <c r="W233" s="89"/>
      <c r="X233" s="111">
        <v>0.0</v>
      </c>
      <c r="Y233" s="91"/>
      <c r="Z233" s="112">
        <v>0.0</v>
      </c>
      <c r="AA233" s="89"/>
      <c r="AB233" s="111">
        <v>0.0</v>
      </c>
      <c r="AC233" s="89"/>
      <c r="AD233" s="111">
        <v>0.0</v>
      </c>
      <c r="AE233" s="89"/>
      <c r="AF233" s="117"/>
      <c r="AG233" s="89"/>
      <c r="AH233" s="117"/>
      <c r="AI233" s="89"/>
      <c r="AJ233" s="117"/>
      <c r="AK233" s="91"/>
      <c r="AL233" s="92">
        <f t="shared" si="1"/>
        <v>0</v>
      </c>
      <c r="AM233" s="85">
        <f t="shared" si="2"/>
        <v>0</v>
      </c>
      <c r="AN233" s="85">
        <f t="shared" si="3"/>
        <v>0</v>
      </c>
      <c r="AO233" s="85">
        <f t="shared" si="4"/>
        <v>0</v>
      </c>
      <c r="AP233" s="93" t="str">
        <f t="shared" si="5"/>
        <v/>
      </c>
    </row>
    <row r="234">
      <c r="A234" s="66" t="s">
        <v>11</v>
      </c>
      <c r="B234" s="94">
        <f t="shared" si="6"/>
        <v>44793</v>
      </c>
      <c r="C234" s="68">
        <v>9.0</v>
      </c>
      <c r="D234" s="68" t="s">
        <v>59</v>
      </c>
      <c r="E234" s="171" t="s">
        <v>130</v>
      </c>
      <c r="F234" s="71">
        <v>0.0</v>
      </c>
      <c r="H234" s="72">
        <v>0.0</v>
      </c>
      <c r="J234" s="72">
        <v>0.0</v>
      </c>
      <c r="L234" s="105">
        <v>0.0</v>
      </c>
      <c r="N234" s="104">
        <v>100.0</v>
      </c>
      <c r="P234" s="104">
        <v>65.0</v>
      </c>
      <c r="R234" s="104">
        <v>50.0</v>
      </c>
      <c r="T234" s="104">
        <v>1.0</v>
      </c>
      <c r="V234" s="104">
        <v>1.0</v>
      </c>
      <c r="X234" s="104">
        <v>25.0</v>
      </c>
      <c r="Y234" s="73"/>
      <c r="Z234" s="105">
        <v>0.0</v>
      </c>
      <c r="AB234" s="104">
        <v>25.0</v>
      </c>
      <c r="AD234" s="104">
        <v>0.0</v>
      </c>
      <c r="AF234" s="113"/>
      <c r="AH234" s="113"/>
      <c r="AJ234" s="113"/>
      <c r="AK234" s="73"/>
      <c r="AL234" s="74">
        <f t="shared" si="1"/>
        <v>4518.99</v>
      </c>
      <c r="AM234" s="68">
        <f t="shared" si="2"/>
        <v>265</v>
      </c>
      <c r="AN234" s="68">
        <f t="shared" si="3"/>
        <v>2</v>
      </c>
      <c r="AO234" s="68">
        <f t="shared" si="4"/>
        <v>267</v>
      </c>
      <c r="AP234" s="75">
        <f t="shared" si="5"/>
        <v>16.92505618</v>
      </c>
    </row>
    <row r="235">
      <c r="A235" s="76" t="s">
        <v>16</v>
      </c>
      <c r="B235" s="77">
        <f t="shared" si="6"/>
        <v>44794</v>
      </c>
      <c r="C235" s="78">
        <v>9.0</v>
      </c>
      <c r="D235" s="78" t="s">
        <v>59</v>
      </c>
      <c r="E235" s="169" t="s">
        <v>130</v>
      </c>
      <c r="F235" s="71">
        <v>0.0</v>
      </c>
      <c r="H235" s="72">
        <v>0.0</v>
      </c>
      <c r="J235" s="72">
        <v>0.0</v>
      </c>
      <c r="L235" s="105">
        <v>100.0</v>
      </c>
      <c r="N235" s="104">
        <v>100.0</v>
      </c>
      <c r="P235" s="104">
        <v>45.0</v>
      </c>
      <c r="R235" s="104">
        <v>0.0</v>
      </c>
      <c r="T235" s="104">
        <v>0.0</v>
      </c>
      <c r="V235" s="104">
        <v>0.0</v>
      </c>
      <c r="X235" s="104">
        <v>0.0</v>
      </c>
      <c r="Y235" s="73"/>
      <c r="Z235" s="105">
        <v>25.0</v>
      </c>
      <c r="AB235" s="104">
        <v>25.0</v>
      </c>
      <c r="AD235" s="104">
        <v>0.0</v>
      </c>
      <c r="AF235" s="113"/>
      <c r="AH235" s="113"/>
      <c r="AJ235" s="113"/>
      <c r="AK235" s="73"/>
      <c r="AL235" s="81">
        <f t="shared" si="1"/>
        <v>5024.145</v>
      </c>
      <c r="AM235" s="78">
        <f t="shared" si="2"/>
        <v>295</v>
      </c>
      <c r="AN235" s="78">
        <f t="shared" si="3"/>
        <v>0</v>
      </c>
      <c r="AO235" s="78">
        <f t="shared" si="4"/>
        <v>295</v>
      </c>
      <c r="AP235" s="82">
        <f t="shared" si="5"/>
        <v>17.031</v>
      </c>
    </row>
    <row r="236">
      <c r="A236" s="76" t="s">
        <v>17</v>
      </c>
      <c r="B236" s="77">
        <f t="shared" si="6"/>
        <v>44795</v>
      </c>
      <c r="C236" s="78">
        <v>9.0</v>
      </c>
      <c r="D236" s="78" t="s">
        <v>59</v>
      </c>
      <c r="E236" s="169" t="s">
        <v>130</v>
      </c>
      <c r="F236" s="71">
        <v>0.0</v>
      </c>
      <c r="H236" s="72">
        <v>0.0</v>
      </c>
      <c r="J236" s="72">
        <v>0.0</v>
      </c>
      <c r="L236" s="105">
        <v>60.0</v>
      </c>
      <c r="N236" s="104">
        <v>60.0</v>
      </c>
      <c r="P236" s="104">
        <v>0.0</v>
      </c>
      <c r="R236" s="104">
        <v>0.0</v>
      </c>
      <c r="T236" s="104">
        <v>0.0</v>
      </c>
      <c r="V236" s="104">
        <v>0.0</v>
      </c>
      <c r="X236" s="104">
        <v>0.0</v>
      </c>
      <c r="Y236" s="73"/>
      <c r="Z236" s="105">
        <v>25.0</v>
      </c>
      <c r="AB236" s="104">
        <v>25.0</v>
      </c>
      <c r="AD236" s="104">
        <v>0.0</v>
      </c>
      <c r="AF236" s="113"/>
      <c r="AH236" s="113"/>
      <c r="AJ236" s="113"/>
      <c r="AK236" s="73"/>
      <c r="AL236" s="81">
        <f t="shared" si="1"/>
        <v>2895.27</v>
      </c>
      <c r="AM236" s="78">
        <f t="shared" si="2"/>
        <v>170</v>
      </c>
      <c r="AN236" s="78">
        <f t="shared" si="3"/>
        <v>0</v>
      </c>
      <c r="AO236" s="78">
        <f t="shared" si="4"/>
        <v>170</v>
      </c>
      <c r="AP236" s="82">
        <f t="shared" si="5"/>
        <v>17.031</v>
      </c>
    </row>
    <row r="237">
      <c r="A237" s="76" t="s">
        <v>21</v>
      </c>
      <c r="B237" s="77">
        <f t="shared" si="6"/>
        <v>44796</v>
      </c>
      <c r="C237" s="78">
        <v>9.0</v>
      </c>
      <c r="D237" s="78" t="s">
        <v>59</v>
      </c>
      <c r="E237" s="169" t="s">
        <v>130</v>
      </c>
      <c r="F237" s="71">
        <v>0.0</v>
      </c>
      <c r="H237" s="72">
        <v>0.0</v>
      </c>
      <c r="J237" s="72">
        <v>0.0</v>
      </c>
      <c r="L237" s="105">
        <v>60.0</v>
      </c>
      <c r="N237" s="104">
        <v>60.0</v>
      </c>
      <c r="P237" s="104">
        <v>0.0</v>
      </c>
      <c r="R237" s="104">
        <v>0.0</v>
      </c>
      <c r="T237" s="104">
        <v>0.0</v>
      </c>
      <c r="V237" s="104">
        <v>0.0</v>
      </c>
      <c r="X237" s="104">
        <v>0.0</v>
      </c>
      <c r="Y237" s="73"/>
      <c r="Z237" s="105">
        <v>26.0</v>
      </c>
      <c r="AB237" s="104">
        <v>26.0</v>
      </c>
      <c r="AD237" s="104">
        <v>0.0</v>
      </c>
      <c r="AF237" s="113"/>
      <c r="AH237" s="113"/>
      <c r="AJ237" s="113"/>
      <c r="AK237" s="73"/>
      <c r="AL237" s="81">
        <f t="shared" si="1"/>
        <v>2929.332</v>
      </c>
      <c r="AM237" s="78">
        <f t="shared" si="2"/>
        <v>172</v>
      </c>
      <c r="AN237" s="78">
        <f t="shared" si="3"/>
        <v>0</v>
      </c>
      <c r="AO237" s="78">
        <f t="shared" si="4"/>
        <v>172</v>
      </c>
      <c r="AP237" s="82">
        <f t="shared" si="5"/>
        <v>17.031</v>
      </c>
    </row>
    <row r="238">
      <c r="A238" s="76" t="s">
        <v>24</v>
      </c>
      <c r="B238" s="77">
        <f t="shared" si="6"/>
        <v>44797</v>
      </c>
      <c r="C238" s="78">
        <v>9.0</v>
      </c>
      <c r="D238" s="78" t="s">
        <v>59</v>
      </c>
      <c r="E238" s="169" t="s">
        <v>130</v>
      </c>
      <c r="F238" s="71">
        <v>0.0</v>
      </c>
      <c r="H238" s="72">
        <v>0.0</v>
      </c>
      <c r="J238" s="72">
        <v>0.0</v>
      </c>
      <c r="L238" s="105">
        <v>0.0</v>
      </c>
      <c r="N238" s="104">
        <v>0.0</v>
      </c>
      <c r="P238" s="104">
        <v>0.0</v>
      </c>
      <c r="R238" s="104">
        <v>0.0</v>
      </c>
      <c r="T238" s="104">
        <v>0.0</v>
      </c>
      <c r="V238" s="104">
        <v>0.0</v>
      </c>
      <c r="X238" s="104">
        <v>0.0</v>
      </c>
      <c r="Y238" s="73"/>
      <c r="Z238" s="105">
        <v>0.0</v>
      </c>
      <c r="AB238" s="104">
        <v>0.0</v>
      </c>
      <c r="AD238" s="104">
        <v>0.0</v>
      </c>
      <c r="AF238" s="113"/>
      <c r="AH238" s="113"/>
      <c r="AJ238" s="113"/>
      <c r="AK238" s="73"/>
      <c r="AL238" s="81">
        <f t="shared" si="1"/>
        <v>0</v>
      </c>
      <c r="AM238" s="78">
        <f t="shared" si="2"/>
        <v>0</v>
      </c>
      <c r="AN238" s="78">
        <f t="shared" si="3"/>
        <v>0</v>
      </c>
      <c r="AO238" s="78">
        <f t="shared" si="4"/>
        <v>0</v>
      </c>
      <c r="AP238" s="82" t="str">
        <f t="shared" si="5"/>
        <v/>
      </c>
    </row>
    <row r="239">
      <c r="A239" s="76" t="s">
        <v>27</v>
      </c>
      <c r="B239" s="77">
        <f t="shared" si="6"/>
        <v>44798</v>
      </c>
      <c r="C239" s="78">
        <v>9.0</v>
      </c>
      <c r="D239" s="78" t="s">
        <v>59</v>
      </c>
      <c r="E239" s="169" t="s">
        <v>130</v>
      </c>
      <c r="F239" s="71">
        <v>0.0</v>
      </c>
      <c r="H239" s="72">
        <v>0.0</v>
      </c>
      <c r="J239" s="72">
        <v>0.0</v>
      </c>
      <c r="L239" s="105">
        <v>0.0</v>
      </c>
      <c r="N239" s="104">
        <v>0.0</v>
      </c>
      <c r="P239" s="104">
        <v>0.0</v>
      </c>
      <c r="R239" s="104">
        <v>0.0</v>
      </c>
      <c r="T239" s="104">
        <v>0.0</v>
      </c>
      <c r="V239" s="104">
        <v>0.0</v>
      </c>
      <c r="X239" s="104">
        <v>0.0</v>
      </c>
      <c r="Y239" s="73"/>
      <c r="Z239" s="105">
        <v>0.0</v>
      </c>
      <c r="AB239" s="104">
        <v>0.0</v>
      </c>
      <c r="AD239" s="104">
        <v>0.0</v>
      </c>
      <c r="AF239" s="113"/>
      <c r="AH239" s="113"/>
      <c r="AJ239" s="113"/>
      <c r="AK239" s="73"/>
      <c r="AL239" s="81">
        <f t="shared" si="1"/>
        <v>0</v>
      </c>
      <c r="AM239" s="78">
        <f t="shared" si="2"/>
        <v>0</v>
      </c>
      <c r="AN239" s="78">
        <f t="shared" si="3"/>
        <v>0</v>
      </c>
      <c r="AO239" s="78">
        <f t="shared" si="4"/>
        <v>0</v>
      </c>
      <c r="AP239" s="82" t="str">
        <f t="shared" si="5"/>
        <v/>
      </c>
    </row>
    <row r="240">
      <c r="A240" s="83" t="s">
        <v>30</v>
      </c>
      <c r="B240" s="84">
        <f t="shared" si="6"/>
        <v>44799</v>
      </c>
      <c r="C240" s="85">
        <v>9.0</v>
      </c>
      <c r="D240" s="85" t="s">
        <v>59</v>
      </c>
      <c r="E240" s="170" t="s">
        <v>130</v>
      </c>
      <c r="F240" s="88">
        <v>0.0</v>
      </c>
      <c r="G240" s="89"/>
      <c r="H240" s="90">
        <v>0.0</v>
      </c>
      <c r="I240" s="89"/>
      <c r="J240" s="90">
        <v>0.0</v>
      </c>
      <c r="K240" s="89"/>
      <c r="L240" s="112">
        <v>0.0</v>
      </c>
      <c r="M240" s="89"/>
      <c r="N240" s="111">
        <v>0.0</v>
      </c>
      <c r="O240" s="89"/>
      <c r="P240" s="111">
        <v>0.0</v>
      </c>
      <c r="Q240" s="89"/>
      <c r="R240" s="111">
        <v>0.0</v>
      </c>
      <c r="S240" s="89"/>
      <c r="T240" s="111">
        <v>0.0</v>
      </c>
      <c r="U240" s="89"/>
      <c r="V240" s="111">
        <v>0.0</v>
      </c>
      <c r="W240" s="89"/>
      <c r="X240" s="111">
        <v>0.0</v>
      </c>
      <c r="Y240" s="91"/>
      <c r="Z240" s="112">
        <v>0.0</v>
      </c>
      <c r="AA240" s="89"/>
      <c r="AB240" s="111">
        <v>0.0</v>
      </c>
      <c r="AC240" s="89"/>
      <c r="AD240" s="111">
        <v>0.0</v>
      </c>
      <c r="AE240" s="89"/>
      <c r="AF240" s="117"/>
      <c r="AG240" s="89"/>
      <c r="AH240" s="117"/>
      <c r="AI240" s="89"/>
      <c r="AJ240" s="117"/>
      <c r="AK240" s="91"/>
      <c r="AL240" s="92">
        <f t="shared" si="1"/>
        <v>0</v>
      </c>
      <c r="AM240" s="85">
        <f t="shared" si="2"/>
        <v>0</v>
      </c>
      <c r="AN240" s="85">
        <f t="shared" si="3"/>
        <v>0</v>
      </c>
      <c r="AO240" s="85">
        <f t="shared" si="4"/>
        <v>0</v>
      </c>
      <c r="AP240" s="93" t="str">
        <f t="shared" si="5"/>
        <v/>
      </c>
    </row>
    <row r="241">
      <c r="A241" s="66" t="s">
        <v>11</v>
      </c>
      <c r="B241" s="94">
        <f t="shared" si="6"/>
        <v>44800</v>
      </c>
      <c r="C241" s="68">
        <v>9.0</v>
      </c>
      <c r="D241" s="68" t="s">
        <v>12</v>
      </c>
      <c r="E241" s="70" t="s">
        <v>131</v>
      </c>
      <c r="F241" s="71">
        <v>0.0</v>
      </c>
      <c r="H241" s="72">
        <v>0.0</v>
      </c>
      <c r="J241" s="72">
        <v>0.0</v>
      </c>
      <c r="L241" s="105">
        <v>80.0</v>
      </c>
      <c r="N241" s="104">
        <v>80.0</v>
      </c>
      <c r="P241" s="104">
        <v>0.0</v>
      </c>
      <c r="R241" s="104">
        <v>0.0</v>
      </c>
      <c r="T241" s="104">
        <v>1.0</v>
      </c>
      <c r="V241" s="104">
        <v>1.0</v>
      </c>
      <c r="X241" s="104">
        <v>0.0</v>
      </c>
      <c r="Y241" s="73"/>
      <c r="Z241" s="105">
        <v>26.0</v>
      </c>
      <c r="AB241" s="104">
        <v>26.0</v>
      </c>
      <c r="AD241" s="104">
        <v>0.0</v>
      </c>
      <c r="AF241" s="113"/>
      <c r="AH241" s="113"/>
      <c r="AJ241" s="113"/>
      <c r="AK241" s="73"/>
      <c r="AL241" s="74">
        <f t="shared" si="1"/>
        <v>4345.572</v>
      </c>
      <c r="AM241" s="68">
        <f t="shared" si="2"/>
        <v>212</v>
      </c>
      <c r="AN241" s="68">
        <f t="shared" si="3"/>
        <v>2</v>
      </c>
      <c r="AO241" s="68">
        <f t="shared" si="4"/>
        <v>214</v>
      </c>
      <c r="AP241" s="75">
        <f t="shared" si="5"/>
        <v>20.30641121</v>
      </c>
    </row>
    <row r="242">
      <c r="A242" s="76" t="s">
        <v>16</v>
      </c>
      <c r="B242" s="77">
        <f t="shared" si="6"/>
        <v>44801</v>
      </c>
      <c r="C242" s="78">
        <v>9.0</v>
      </c>
      <c r="D242" s="78" t="s">
        <v>12</v>
      </c>
      <c r="E242" s="80" t="s">
        <v>131</v>
      </c>
      <c r="F242" s="71">
        <v>0.0</v>
      </c>
      <c r="H242" s="72">
        <v>0.0</v>
      </c>
      <c r="J242" s="72">
        <v>0.0</v>
      </c>
      <c r="L242" s="105">
        <v>80.0</v>
      </c>
      <c r="N242" s="104">
        <v>80.0</v>
      </c>
      <c r="P242" s="104">
        <v>0.0</v>
      </c>
      <c r="R242" s="104">
        <v>0.0</v>
      </c>
      <c r="T242" s="104">
        <v>0.0</v>
      </c>
      <c r="V242" s="104">
        <v>0.0</v>
      </c>
      <c r="X242" s="104">
        <v>0.0</v>
      </c>
      <c r="Y242" s="73"/>
      <c r="Z242" s="105">
        <v>26.0</v>
      </c>
      <c r="AB242" s="104">
        <v>26.0</v>
      </c>
      <c r="AD242" s="104">
        <v>0.0</v>
      </c>
      <c r="AF242" s="113"/>
      <c r="AH242" s="113"/>
      <c r="AJ242" s="113"/>
      <c r="AK242" s="73"/>
      <c r="AL242" s="81">
        <f t="shared" si="1"/>
        <v>3610.572</v>
      </c>
      <c r="AM242" s="78">
        <f t="shared" si="2"/>
        <v>212</v>
      </c>
      <c r="AN242" s="78">
        <f t="shared" si="3"/>
        <v>0</v>
      </c>
      <c r="AO242" s="78">
        <f t="shared" si="4"/>
        <v>212</v>
      </c>
      <c r="AP242" s="82">
        <f t="shared" si="5"/>
        <v>17.031</v>
      </c>
    </row>
    <row r="243">
      <c r="A243" s="76" t="s">
        <v>17</v>
      </c>
      <c r="B243" s="77">
        <f t="shared" si="6"/>
        <v>44802</v>
      </c>
      <c r="C243" s="78">
        <v>9.0</v>
      </c>
      <c r="D243" s="78" t="s">
        <v>12</v>
      </c>
      <c r="E243" s="80" t="s">
        <v>131</v>
      </c>
      <c r="F243" s="71">
        <v>0.0</v>
      </c>
      <c r="H243" s="72">
        <v>0.0</v>
      </c>
      <c r="J243" s="72">
        <v>0.0</v>
      </c>
      <c r="L243" s="105">
        <v>80.0</v>
      </c>
      <c r="N243" s="104">
        <v>80.0</v>
      </c>
      <c r="P243" s="104">
        <v>0.0</v>
      </c>
      <c r="R243" s="104">
        <v>0.0</v>
      </c>
      <c r="T243" s="104">
        <v>0.0</v>
      </c>
      <c r="V243" s="104">
        <v>0.0</v>
      </c>
      <c r="X243" s="104">
        <v>0.0</v>
      </c>
      <c r="Y243" s="73"/>
      <c r="Z243" s="105">
        <v>26.0</v>
      </c>
      <c r="AB243" s="104">
        <v>26.0</v>
      </c>
      <c r="AD243" s="104">
        <v>0.0</v>
      </c>
      <c r="AF243" s="113"/>
      <c r="AH243" s="113"/>
      <c r="AJ243" s="113"/>
      <c r="AK243" s="73"/>
      <c r="AL243" s="81">
        <f t="shared" si="1"/>
        <v>3610.572</v>
      </c>
      <c r="AM243" s="78">
        <f t="shared" si="2"/>
        <v>212</v>
      </c>
      <c r="AN243" s="78">
        <f t="shared" si="3"/>
        <v>0</v>
      </c>
      <c r="AO243" s="78">
        <f t="shared" si="4"/>
        <v>212</v>
      </c>
      <c r="AP243" s="82">
        <f t="shared" si="5"/>
        <v>17.031</v>
      </c>
    </row>
    <row r="244">
      <c r="A244" s="76" t="s">
        <v>21</v>
      </c>
      <c r="B244" s="77">
        <f t="shared" si="6"/>
        <v>44803</v>
      </c>
      <c r="C244" s="78">
        <v>9.0</v>
      </c>
      <c r="D244" s="78" t="s">
        <v>12</v>
      </c>
      <c r="E244" s="80" t="s">
        <v>131</v>
      </c>
      <c r="F244" s="71">
        <v>0.0</v>
      </c>
      <c r="H244" s="72">
        <v>0.0</v>
      </c>
      <c r="J244" s="72">
        <v>0.0</v>
      </c>
      <c r="L244" s="105">
        <v>80.0</v>
      </c>
      <c r="N244" s="104">
        <v>80.0</v>
      </c>
      <c r="P244" s="104">
        <v>0.0</v>
      </c>
      <c r="R244" s="104">
        <v>0.0</v>
      </c>
      <c r="T244" s="104">
        <v>0.0</v>
      </c>
      <c r="V244" s="104">
        <v>0.0</v>
      </c>
      <c r="X244" s="104">
        <v>0.0</v>
      </c>
      <c r="Y244" s="73"/>
      <c r="Z244" s="105">
        <v>26.0</v>
      </c>
      <c r="AB244" s="104">
        <v>26.0</v>
      </c>
      <c r="AD244" s="104">
        <v>0.0</v>
      </c>
      <c r="AF244" s="113"/>
      <c r="AH244" s="113"/>
      <c r="AJ244" s="113"/>
      <c r="AK244" s="73"/>
      <c r="AL244" s="81">
        <f t="shared" si="1"/>
        <v>3610.572</v>
      </c>
      <c r="AM244" s="78">
        <f t="shared" si="2"/>
        <v>212</v>
      </c>
      <c r="AN244" s="78">
        <f t="shared" si="3"/>
        <v>0</v>
      </c>
      <c r="AO244" s="78">
        <f t="shared" si="4"/>
        <v>212</v>
      </c>
      <c r="AP244" s="82">
        <f t="shared" si="5"/>
        <v>17.031</v>
      </c>
    </row>
    <row r="245">
      <c r="A245" s="76" t="s">
        <v>24</v>
      </c>
      <c r="B245" s="77">
        <f t="shared" si="6"/>
        <v>44804</v>
      </c>
      <c r="C245" s="78">
        <v>9.0</v>
      </c>
      <c r="D245" s="78" t="s">
        <v>12</v>
      </c>
      <c r="E245" s="80" t="s">
        <v>131</v>
      </c>
      <c r="F245" s="71">
        <v>0.0</v>
      </c>
      <c r="H245" s="72">
        <v>0.0</v>
      </c>
      <c r="J245" s="72">
        <v>0.0</v>
      </c>
      <c r="L245" s="105">
        <v>80.0</v>
      </c>
      <c r="N245" s="104">
        <v>80.0</v>
      </c>
      <c r="P245" s="104">
        <v>0.0</v>
      </c>
      <c r="R245" s="104">
        <v>0.0</v>
      </c>
      <c r="T245" s="104">
        <v>0.0</v>
      </c>
      <c r="V245" s="104">
        <v>0.0</v>
      </c>
      <c r="X245" s="104">
        <v>0.0</v>
      </c>
      <c r="Y245" s="73"/>
      <c r="Z245" s="105">
        <v>26.0</v>
      </c>
      <c r="AB245" s="104">
        <v>26.0</v>
      </c>
      <c r="AD245" s="104">
        <v>0.0</v>
      </c>
      <c r="AF245" s="113"/>
      <c r="AH245" s="113"/>
      <c r="AJ245" s="113"/>
      <c r="AK245" s="73"/>
      <c r="AL245" s="81">
        <f t="shared" si="1"/>
        <v>3610.572</v>
      </c>
      <c r="AM245" s="78">
        <f t="shared" si="2"/>
        <v>212</v>
      </c>
      <c r="AN245" s="78">
        <f t="shared" si="3"/>
        <v>0</v>
      </c>
      <c r="AO245" s="78">
        <f t="shared" si="4"/>
        <v>212</v>
      </c>
      <c r="AP245" s="82">
        <f t="shared" si="5"/>
        <v>17.031</v>
      </c>
    </row>
    <row r="246">
      <c r="A246" s="76" t="s">
        <v>27</v>
      </c>
      <c r="B246" s="77">
        <f t="shared" si="6"/>
        <v>44805</v>
      </c>
      <c r="C246" s="78">
        <v>9.0</v>
      </c>
      <c r="D246" s="78" t="s">
        <v>12</v>
      </c>
      <c r="E246" s="80" t="s">
        <v>131</v>
      </c>
      <c r="F246" s="71">
        <v>0.0</v>
      </c>
      <c r="H246" s="72">
        <v>0.0</v>
      </c>
      <c r="J246" s="72">
        <v>0.0</v>
      </c>
      <c r="L246" s="105">
        <v>80.0</v>
      </c>
      <c r="N246" s="104">
        <v>80.0</v>
      </c>
      <c r="P246" s="104">
        <v>0.0</v>
      </c>
      <c r="R246" s="104">
        <v>0.0</v>
      </c>
      <c r="T246" s="104">
        <v>0.0</v>
      </c>
      <c r="V246" s="104">
        <v>0.0</v>
      </c>
      <c r="X246" s="104">
        <v>0.0</v>
      </c>
      <c r="Y246" s="73"/>
      <c r="Z246" s="105">
        <v>10.0</v>
      </c>
      <c r="AB246" s="104">
        <v>10.0</v>
      </c>
      <c r="AD246" s="104">
        <v>0.0</v>
      </c>
      <c r="AF246" s="113"/>
      <c r="AH246" s="113"/>
      <c r="AJ246" s="113"/>
      <c r="AK246" s="73"/>
      <c r="AL246" s="81">
        <f t="shared" si="1"/>
        <v>3065.58</v>
      </c>
      <c r="AM246" s="78">
        <f t="shared" si="2"/>
        <v>180</v>
      </c>
      <c r="AN246" s="78">
        <f t="shared" si="3"/>
        <v>0</v>
      </c>
      <c r="AO246" s="78">
        <f t="shared" si="4"/>
        <v>180</v>
      </c>
      <c r="AP246" s="82">
        <f t="shared" si="5"/>
        <v>17.031</v>
      </c>
    </row>
    <row r="247">
      <c r="A247" s="83" t="s">
        <v>30</v>
      </c>
      <c r="B247" s="84">
        <f t="shared" si="6"/>
        <v>44806</v>
      </c>
      <c r="C247" s="85">
        <v>9.0</v>
      </c>
      <c r="D247" s="85" t="s">
        <v>12</v>
      </c>
      <c r="E247" s="87" t="s">
        <v>131</v>
      </c>
      <c r="F247" s="88">
        <v>0.0</v>
      </c>
      <c r="G247" s="89"/>
      <c r="H247" s="90">
        <v>0.0</v>
      </c>
      <c r="I247" s="89"/>
      <c r="J247" s="90">
        <v>0.0</v>
      </c>
      <c r="K247" s="89"/>
      <c r="L247" s="112">
        <v>0.0</v>
      </c>
      <c r="M247" s="89"/>
      <c r="N247" s="111">
        <v>0.0</v>
      </c>
      <c r="O247" s="89"/>
      <c r="P247" s="111">
        <v>0.0</v>
      </c>
      <c r="Q247" s="89"/>
      <c r="R247" s="111">
        <v>0.0</v>
      </c>
      <c r="S247" s="89"/>
      <c r="T247" s="111">
        <v>0.0</v>
      </c>
      <c r="U247" s="89"/>
      <c r="V247" s="111">
        <v>0.0</v>
      </c>
      <c r="W247" s="89"/>
      <c r="X247" s="111">
        <v>0.0</v>
      </c>
      <c r="Y247" s="91"/>
      <c r="Z247" s="112">
        <v>0.0</v>
      </c>
      <c r="AA247" s="89"/>
      <c r="AB247" s="111">
        <v>0.0</v>
      </c>
      <c r="AC247" s="89"/>
      <c r="AD247" s="111">
        <v>0.0</v>
      </c>
      <c r="AE247" s="89"/>
      <c r="AF247" s="117"/>
      <c r="AG247" s="89"/>
      <c r="AH247" s="117"/>
      <c r="AI247" s="89"/>
      <c r="AJ247" s="117"/>
      <c r="AK247" s="91"/>
      <c r="AL247" s="92">
        <f t="shared" si="1"/>
        <v>0</v>
      </c>
      <c r="AM247" s="85">
        <f t="shared" si="2"/>
        <v>0</v>
      </c>
      <c r="AN247" s="85">
        <f t="shared" si="3"/>
        <v>0</v>
      </c>
      <c r="AO247" s="85">
        <f t="shared" si="4"/>
        <v>0</v>
      </c>
      <c r="AP247" s="93" t="str">
        <f t="shared" si="5"/>
        <v/>
      </c>
    </row>
    <row r="248">
      <c r="A248" s="66" t="s">
        <v>11</v>
      </c>
      <c r="B248" s="94">
        <f t="shared" si="6"/>
        <v>44807</v>
      </c>
      <c r="C248" s="68">
        <v>9.0</v>
      </c>
      <c r="D248" s="68" t="s">
        <v>33</v>
      </c>
      <c r="E248" s="70" t="s">
        <v>131</v>
      </c>
      <c r="F248" s="71">
        <v>0.0</v>
      </c>
      <c r="H248" s="72">
        <v>0.0</v>
      </c>
      <c r="J248" s="72">
        <v>0.0</v>
      </c>
      <c r="L248" s="105">
        <v>80.0</v>
      </c>
      <c r="N248" s="104">
        <v>80.0</v>
      </c>
      <c r="P248" s="104">
        <v>0.0</v>
      </c>
      <c r="R248" s="104">
        <v>0.0</v>
      </c>
      <c r="T248" s="104">
        <v>1.0</v>
      </c>
      <c r="V248" s="104">
        <v>1.0</v>
      </c>
      <c r="X248" s="104">
        <v>0.0</v>
      </c>
      <c r="Y248" s="73"/>
      <c r="Z248" s="105">
        <v>26.0</v>
      </c>
      <c r="AB248" s="104">
        <v>26.0</v>
      </c>
      <c r="AD248" s="104">
        <v>0.0</v>
      </c>
      <c r="AF248" s="113"/>
      <c r="AH248" s="113"/>
      <c r="AJ248" s="113"/>
      <c r="AK248" s="73"/>
      <c r="AL248" s="74">
        <f t="shared" si="1"/>
        <v>4345.572</v>
      </c>
      <c r="AM248" s="68">
        <f t="shared" si="2"/>
        <v>212</v>
      </c>
      <c r="AN248" s="68">
        <f t="shared" si="3"/>
        <v>2</v>
      </c>
      <c r="AO248" s="68">
        <f t="shared" si="4"/>
        <v>214</v>
      </c>
      <c r="AP248" s="75">
        <f t="shared" si="5"/>
        <v>20.30641121</v>
      </c>
    </row>
    <row r="249">
      <c r="A249" s="76" t="s">
        <v>16</v>
      </c>
      <c r="B249" s="77">
        <f t="shared" si="6"/>
        <v>44808</v>
      </c>
      <c r="C249" s="78">
        <v>9.0</v>
      </c>
      <c r="D249" s="78" t="s">
        <v>33</v>
      </c>
      <c r="E249" s="80" t="s">
        <v>131</v>
      </c>
      <c r="F249" s="71">
        <v>0.0</v>
      </c>
      <c r="H249" s="72">
        <v>0.0</v>
      </c>
      <c r="J249" s="72">
        <v>0.0</v>
      </c>
      <c r="L249" s="105">
        <v>80.0</v>
      </c>
      <c r="N249" s="104">
        <v>80.0</v>
      </c>
      <c r="P249" s="104">
        <v>0.0</v>
      </c>
      <c r="R249" s="104">
        <v>0.0</v>
      </c>
      <c r="T249" s="104">
        <v>0.0</v>
      </c>
      <c r="V249" s="104">
        <v>0.0</v>
      </c>
      <c r="X249" s="104">
        <v>0.0</v>
      </c>
      <c r="Y249" s="73"/>
      <c r="Z249" s="105">
        <v>26.0</v>
      </c>
      <c r="AB249" s="104">
        <v>26.0</v>
      </c>
      <c r="AD249" s="104">
        <v>0.0</v>
      </c>
      <c r="AF249" s="113"/>
      <c r="AH249" s="113"/>
      <c r="AJ249" s="113"/>
      <c r="AK249" s="73"/>
      <c r="AL249" s="81">
        <f t="shared" si="1"/>
        <v>3610.572</v>
      </c>
      <c r="AM249" s="78">
        <f t="shared" si="2"/>
        <v>212</v>
      </c>
      <c r="AN249" s="78">
        <f t="shared" si="3"/>
        <v>0</v>
      </c>
      <c r="AO249" s="78">
        <f t="shared" si="4"/>
        <v>212</v>
      </c>
      <c r="AP249" s="82">
        <f t="shared" si="5"/>
        <v>17.031</v>
      </c>
    </row>
    <row r="250">
      <c r="A250" s="76" t="s">
        <v>17</v>
      </c>
      <c r="B250" s="77">
        <f t="shared" si="6"/>
        <v>44809</v>
      </c>
      <c r="C250" s="78">
        <v>9.0</v>
      </c>
      <c r="D250" s="78" t="s">
        <v>33</v>
      </c>
      <c r="E250" s="80" t="s">
        <v>131</v>
      </c>
      <c r="F250" s="71">
        <v>0.0</v>
      </c>
      <c r="H250" s="72">
        <v>0.0</v>
      </c>
      <c r="J250" s="72">
        <v>0.0</v>
      </c>
      <c r="L250" s="105">
        <v>80.0</v>
      </c>
      <c r="N250" s="104">
        <v>80.0</v>
      </c>
      <c r="P250" s="104">
        <v>0.0</v>
      </c>
      <c r="R250" s="104">
        <v>0.0</v>
      </c>
      <c r="T250" s="104">
        <v>0.0</v>
      </c>
      <c r="V250" s="104">
        <v>0.0</v>
      </c>
      <c r="X250" s="104">
        <v>0.0</v>
      </c>
      <c r="Y250" s="73"/>
      <c r="Z250" s="105">
        <v>26.0</v>
      </c>
      <c r="AB250" s="104">
        <v>26.0</v>
      </c>
      <c r="AD250" s="104">
        <v>0.0</v>
      </c>
      <c r="AF250" s="113"/>
      <c r="AH250" s="113"/>
      <c r="AJ250" s="113"/>
      <c r="AK250" s="73"/>
      <c r="AL250" s="81">
        <f t="shared" si="1"/>
        <v>3610.572</v>
      </c>
      <c r="AM250" s="78">
        <f t="shared" si="2"/>
        <v>212</v>
      </c>
      <c r="AN250" s="78">
        <f t="shared" si="3"/>
        <v>0</v>
      </c>
      <c r="AO250" s="78">
        <f t="shared" si="4"/>
        <v>212</v>
      </c>
      <c r="AP250" s="82">
        <f t="shared" si="5"/>
        <v>17.031</v>
      </c>
    </row>
    <row r="251">
      <c r="A251" s="76" t="s">
        <v>21</v>
      </c>
      <c r="B251" s="77">
        <f t="shared" si="6"/>
        <v>44810</v>
      </c>
      <c r="C251" s="78">
        <v>9.0</v>
      </c>
      <c r="D251" s="78" t="s">
        <v>33</v>
      </c>
      <c r="E251" s="80" t="s">
        <v>131</v>
      </c>
      <c r="F251" s="71">
        <v>0.0</v>
      </c>
      <c r="H251" s="72">
        <v>0.0</v>
      </c>
      <c r="J251" s="72">
        <v>0.0</v>
      </c>
      <c r="L251" s="105">
        <v>80.0</v>
      </c>
      <c r="N251" s="104">
        <v>80.0</v>
      </c>
      <c r="P251" s="104">
        <v>0.0</v>
      </c>
      <c r="R251" s="104">
        <v>0.0</v>
      </c>
      <c r="T251" s="104">
        <v>0.0</v>
      </c>
      <c r="V251" s="104">
        <v>0.0</v>
      </c>
      <c r="X251" s="104">
        <v>0.0</v>
      </c>
      <c r="Y251" s="73"/>
      <c r="Z251" s="105">
        <v>26.0</v>
      </c>
      <c r="AB251" s="104">
        <v>26.0</v>
      </c>
      <c r="AD251" s="104">
        <v>0.0</v>
      </c>
      <c r="AF251" s="113"/>
      <c r="AH251" s="113"/>
      <c r="AJ251" s="113"/>
      <c r="AK251" s="73"/>
      <c r="AL251" s="81">
        <f t="shared" si="1"/>
        <v>3610.572</v>
      </c>
      <c r="AM251" s="78">
        <f t="shared" si="2"/>
        <v>212</v>
      </c>
      <c r="AN251" s="78">
        <f t="shared" si="3"/>
        <v>0</v>
      </c>
      <c r="AO251" s="78">
        <f t="shared" si="4"/>
        <v>212</v>
      </c>
      <c r="AP251" s="82">
        <f t="shared" si="5"/>
        <v>17.031</v>
      </c>
    </row>
    <row r="252">
      <c r="A252" s="76" t="s">
        <v>24</v>
      </c>
      <c r="B252" s="77">
        <f t="shared" si="6"/>
        <v>44811</v>
      </c>
      <c r="C252" s="78">
        <v>9.0</v>
      </c>
      <c r="D252" s="78" t="s">
        <v>33</v>
      </c>
      <c r="E252" s="80" t="s">
        <v>131</v>
      </c>
      <c r="F252" s="71">
        <v>0.0</v>
      </c>
      <c r="H252" s="72">
        <v>0.0</v>
      </c>
      <c r="J252" s="72">
        <v>0.0</v>
      </c>
      <c r="L252" s="105">
        <v>80.0</v>
      </c>
      <c r="N252" s="104">
        <v>80.0</v>
      </c>
      <c r="P252" s="104">
        <v>0.0</v>
      </c>
      <c r="R252" s="104">
        <v>0.0</v>
      </c>
      <c r="T252" s="104">
        <v>0.0</v>
      </c>
      <c r="V252" s="104">
        <v>0.0</v>
      </c>
      <c r="X252" s="104">
        <v>0.0</v>
      </c>
      <c r="Y252" s="73"/>
      <c r="Z252" s="105">
        <v>26.0</v>
      </c>
      <c r="AB252" s="104">
        <v>26.0</v>
      </c>
      <c r="AD252" s="104">
        <v>0.0</v>
      </c>
      <c r="AF252" s="113"/>
      <c r="AH252" s="113"/>
      <c r="AJ252" s="113"/>
      <c r="AK252" s="73"/>
      <c r="AL252" s="81">
        <f t="shared" si="1"/>
        <v>3610.572</v>
      </c>
      <c r="AM252" s="78">
        <f t="shared" si="2"/>
        <v>212</v>
      </c>
      <c r="AN252" s="78">
        <f t="shared" si="3"/>
        <v>0</v>
      </c>
      <c r="AO252" s="78">
        <f t="shared" si="4"/>
        <v>212</v>
      </c>
      <c r="AP252" s="82">
        <f t="shared" si="5"/>
        <v>17.031</v>
      </c>
    </row>
    <row r="253">
      <c r="A253" s="76" t="s">
        <v>27</v>
      </c>
      <c r="B253" s="77">
        <f t="shared" si="6"/>
        <v>44812</v>
      </c>
      <c r="C253" s="78">
        <v>9.0</v>
      </c>
      <c r="D253" s="78" t="s">
        <v>33</v>
      </c>
      <c r="E253" s="80" t="s">
        <v>131</v>
      </c>
      <c r="F253" s="71">
        <v>0.0</v>
      </c>
      <c r="H253" s="72">
        <v>0.0</v>
      </c>
      <c r="J253" s="72">
        <v>0.0</v>
      </c>
      <c r="L253" s="105">
        <v>80.0</v>
      </c>
      <c r="N253" s="104">
        <v>80.0</v>
      </c>
      <c r="P253" s="104">
        <v>0.0</v>
      </c>
      <c r="R253" s="104">
        <v>0.0</v>
      </c>
      <c r="T253" s="104">
        <v>0.0</v>
      </c>
      <c r="V253" s="104">
        <v>0.0</v>
      </c>
      <c r="X253" s="104">
        <v>0.0</v>
      </c>
      <c r="Y253" s="73"/>
      <c r="Z253" s="105">
        <v>10.0</v>
      </c>
      <c r="AB253" s="104">
        <v>10.0</v>
      </c>
      <c r="AD253" s="104">
        <v>0.0</v>
      </c>
      <c r="AF253" s="113"/>
      <c r="AH253" s="113"/>
      <c r="AJ253" s="113"/>
      <c r="AK253" s="73"/>
      <c r="AL253" s="81">
        <f t="shared" si="1"/>
        <v>3065.58</v>
      </c>
      <c r="AM253" s="78">
        <f t="shared" si="2"/>
        <v>180</v>
      </c>
      <c r="AN253" s="78">
        <f t="shared" si="3"/>
        <v>0</v>
      </c>
      <c r="AO253" s="78">
        <f t="shared" si="4"/>
        <v>180</v>
      </c>
      <c r="AP253" s="82">
        <f t="shared" si="5"/>
        <v>17.031</v>
      </c>
    </row>
    <row r="254">
      <c r="A254" s="83" t="s">
        <v>30</v>
      </c>
      <c r="B254" s="84">
        <f t="shared" si="6"/>
        <v>44813</v>
      </c>
      <c r="C254" s="85">
        <v>9.0</v>
      </c>
      <c r="D254" s="85" t="s">
        <v>33</v>
      </c>
      <c r="E254" s="87" t="s">
        <v>131</v>
      </c>
      <c r="F254" s="88">
        <v>0.0</v>
      </c>
      <c r="G254" s="89"/>
      <c r="H254" s="90">
        <v>0.0</v>
      </c>
      <c r="I254" s="89"/>
      <c r="J254" s="90">
        <v>0.0</v>
      </c>
      <c r="K254" s="89"/>
      <c r="L254" s="112">
        <v>0.0</v>
      </c>
      <c r="M254" s="89"/>
      <c r="N254" s="111">
        <v>0.0</v>
      </c>
      <c r="O254" s="89"/>
      <c r="P254" s="111">
        <v>0.0</v>
      </c>
      <c r="Q254" s="89"/>
      <c r="R254" s="111">
        <v>0.0</v>
      </c>
      <c r="S254" s="89"/>
      <c r="T254" s="111">
        <v>0.0</v>
      </c>
      <c r="U254" s="89"/>
      <c r="V254" s="111">
        <v>0.0</v>
      </c>
      <c r="W254" s="89"/>
      <c r="X254" s="111">
        <v>0.0</v>
      </c>
      <c r="Y254" s="91"/>
      <c r="Z254" s="112">
        <v>0.0</v>
      </c>
      <c r="AA254" s="89"/>
      <c r="AB254" s="111">
        <v>0.0</v>
      </c>
      <c r="AC254" s="89"/>
      <c r="AD254" s="111">
        <v>0.0</v>
      </c>
      <c r="AE254" s="89"/>
      <c r="AF254" s="117"/>
      <c r="AG254" s="89"/>
      <c r="AH254" s="117"/>
      <c r="AI254" s="89"/>
      <c r="AJ254" s="117"/>
      <c r="AK254" s="91"/>
      <c r="AL254" s="92">
        <f t="shared" si="1"/>
        <v>0</v>
      </c>
      <c r="AM254" s="85">
        <f t="shared" si="2"/>
        <v>0</v>
      </c>
      <c r="AN254" s="85">
        <f t="shared" si="3"/>
        <v>0</v>
      </c>
      <c r="AO254" s="85">
        <f t="shared" si="4"/>
        <v>0</v>
      </c>
      <c r="AP254" s="93" t="str">
        <f t="shared" si="5"/>
        <v/>
      </c>
    </row>
    <row r="255">
      <c r="A255" s="66" t="s">
        <v>11</v>
      </c>
      <c r="B255" s="94">
        <f t="shared" si="6"/>
        <v>44814</v>
      </c>
      <c r="C255" s="68">
        <v>10.0</v>
      </c>
      <c r="D255" s="68" t="s">
        <v>48</v>
      </c>
      <c r="E255" s="70" t="s">
        <v>131</v>
      </c>
      <c r="F255" s="71">
        <v>0.0</v>
      </c>
      <c r="H255" s="72">
        <v>0.0</v>
      </c>
      <c r="J255" s="72">
        <v>0.0</v>
      </c>
      <c r="L255" s="105">
        <v>80.0</v>
      </c>
      <c r="N255" s="104">
        <v>80.0</v>
      </c>
      <c r="P255" s="104">
        <v>0.0</v>
      </c>
      <c r="R255" s="104">
        <v>0.0</v>
      </c>
      <c r="T255" s="104">
        <v>1.0</v>
      </c>
      <c r="V255" s="104">
        <v>1.0</v>
      </c>
      <c r="X255" s="104">
        <v>0.0</v>
      </c>
      <c r="Y255" s="73"/>
      <c r="Z255" s="105">
        <v>26.0</v>
      </c>
      <c r="AB255" s="104">
        <v>26.0</v>
      </c>
      <c r="AD255" s="104">
        <v>0.0</v>
      </c>
      <c r="AF255" s="113"/>
      <c r="AH255" s="113"/>
      <c r="AJ255" s="113"/>
      <c r="AK255" s="73"/>
      <c r="AL255" s="74">
        <f t="shared" si="1"/>
        <v>4345.572</v>
      </c>
      <c r="AM255" s="68">
        <f t="shared" si="2"/>
        <v>212</v>
      </c>
      <c r="AN255" s="68">
        <f t="shared" si="3"/>
        <v>2</v>
      </c>
      <c r="AO255" s="68">
        <f t="shared" si="4"/>
        <v>214</v>
      </c>
      <c r="AP255" s="75">
        <f t="shared" si="5"/>
        <v>20.30641121</v>
      </c>
    </row>
    <row r="256">
      <c r="A256" s="76" t="s">
        <v>16</v>
      </c>
      <c r="B256" s="77">
        <f t="shared" si="6"/>
        <v>44815</v>
      </c>
      <c r="C256" s="78">
        <v>10.0</v>
      </c>
      <c r="D256" s="78" t="s">
        <v>48</v>
      </c>
      <c r="E256" s="80" t="s">
        <v>131</v>
      </c>
      <c r="F256" s="71">
        <v>0.0</v>
      </c>
      <c r="H256" s="72">
        <v>0.0</v>
      </c>
      <c r="J256" s="72">
        <v>0.0</v>
      </c>
      <c r="L256" s="105">
        <v>80.0</v>
      </c>
      <c r="N256" s="104">
        <v>80.0</v>
      </c>
      <c r="P256" s="104">
        <v>0.0</v>
      </c>
      <c r="R256" s="104">
        <v>0.0</v>
      </c>
      <c r="T256" s="104">
        <v>0.0</v>
      </c>
      <c r="V256" s="104">
        <v>0.0</v>
      </c>
      <c r="X256" s="104">
        <v>0.0</v>
      </c>
      <c r="Y256" s="73"/>
      <c r="Z256" s="105">
        <v>26.0</v>
      </c>
      <c r="AB256" s="104">
        <v>26.0</v>
      </c>
      <c r="AD256" s="104">
        <v>0.0</v>
      </c>
      <c r="AF256" s="113"/>
      <c r="AH256" s="113"/>
      <c r="AJ256" s="113"/>
      <c r="AK256" s="73"/>
      <c r="AL256" s="81">
        <f t="shared" si="1"/>
        <v>3610.572</v>
      </c>
      <c r="AM256" s="78">
        <f t="shared" si="2"/>
        <v>212</v>
      </c>
      <c r="AN256" s="78">
        <f t="shared" si="3"/>
        <v>0</v>
      </c>
      <c r="AO256" s="78">
        <f t="shared" si="4"/>
        <v>212</v>
      </c>
      <c r="AP256" s="82">
        <f t="shared" si="5"/>
        <v>17.031</v>
      </c>
    </row>
    <row r="257">
      <c r="A257" s="76" t="s">
        <v>17</v>
      </c>
      <c r="B257" s="77">
        <f t="shared" si="6"/>
        <v>44816</v>
      </c>
      <c r="C257" s="78">
        <v>10.0</v>
      </c>
      <c r="D257" s="78" t="s">
        <v>48</v>
      </c>
      <c r="E257" s="80" t="s">
        <v>131</v>
      </c>
      <c r="F257" s="71">
        <v>0.0</v>
      </c>
      <c r="H257" s="72">
        <v>0.0</v>
      </c>
      <c r="J257" s="72">
        <v>0.0</v>
      </c>
      <c r="L257" s="105">
        <v>80.0</v>
      </c>
      <c r="N257" s="104">
        <v>80.0</v>
      </c>
      <c r="P257" s="104">
        <v>0.0</v>
      </c>
      <c r="R257" s="104">
        <v>0.0</v>
      </c>
      <c r="T257" s="104">
        <v>0.0</v>
      </c>
      <c r="V257" s="104">
        <v>0.0</v>
      </c>
      <c r="X257" s="104">
        <v>0.0</v>
      </c>
      <c r="Y257" s="73"/>
      <c r="Z257" s="105">
        <v>26.0</v>
      </c>
      <c r="AB257" s="104">
        <v>26.0</v>
      </c>
      <c r="AD257" s="104">
        <v>0.0</v>
      </c>
      <c r="AF257" s="113"/>
      <c r="AH257" s="113"/>
      <c r="AJ257" s="113"/>
      <c r="AK257" s="73"/>
      <c r="AL257" s="81">
        <f t="shared" si="1"/>
        <v>3610.572</v>
      </c>
      <c r="AM257" s="78">
        <f t="shared" si="2"/>
        <v>212</v>
      </c>
      <c r="AN257" s="78">
        <f t="shared" si="3"/>
        <v>0</v>
      </c>
      <c r="AO257" s="78">
        <f t="shared" si="4"/>
        <v>212</v>
      </c>
      <c r="AP257" s="82">
        <f t="shared" si="5"/>
        <v>17.031</v>
      </c>
    </row>
    <row r="258">
      <c r="A258" s="76" t="s">
        <v>21</v>
      </c>
      <c r="B258" s="77">
        <f t="shared" si="6"/>
        <v>44817</v>
      </c>
      <c r="C258" s="78">
        <v>10.0</v>
      </c>
      <c r="D258" s="78" t="s">
        <v>48</v>
      </c>
      <c r="E258" s="80" t="s">
        <v>131</v>
      </c>
      <c r="F258" s="71">
        <v>0.0</v>
      </c>
      <c r="H258" s="72">
        <v>0.0</v>
      </c>
      <c r="J258" s="72">
        <v>0.0</v>
      </c>
      <c r="L258" s="105">
        <v>80.0</v>
      </c>
      <c r="N258" s="104">
        <v>80.0</v>
      </c>
      <c r="P258" s="104">
        <v>0.0</v>
      </c>
      <c r="R258" s="104">
        <v>0.0</v>
      </c>
      <c r="T258" s="104">
        <v>0.0</v>
      </c>
      <c r="V258" s="104">
        <v>0.0</v>
      </c>
      <c r="X258" s="104">
        <v>0.0</v>
      </c>
      <c r="Y258" s="73"/>
      <c r="Z258" s="105">
        <v>26.0</v>
      </c>
      <c r="AB258" s="104">
        <v>26.0</v>
      </c>
      <c r="AD258" s="104">
        <v>0.0</v>
      </c>
      <c r="AF258" s="113"/>
      <c r="AH258" s="113"/>
      <c r="AJ258" s="113"/>
      <c r="AK258" s="73"/>
      <c r="AL258" s="81">
        <f t="shared" si="1"/>
        <v>3610.572</v>
      </c>
      <c r="AM258" s="78">
        <f t="shared" si="2"/>
        <v>212</v>
      </c>
      <c r="AN258" s="78">
        <f t="shared" si="3"/>
        <v>0</v>
      </c>
      <c r="AO258" s="78">
        <f t="shared" si="4"/>
        <v>212</v>
      </c>
      <c r="AP258" s="82">
        <f t="shared" si="5"/>
        <v>17.031</v>
      </c>
    </row>
    <row r="259">
      <c r="A259" s="76" t="s">
        <v>24</v>
      </c>
      <c r="B259" s="77">
        <f t="shared" si="6"/>
        <v>44818</v>
      </c>
      <c r="C259" s="78">
        <v>10.0</v>
      </c>
      <c r="D259" s="78" t="s">
        <v>48</v>
      </c>
      <c r="E259" s="80" t="s">
        <v>131</v>
      </c>
      <c r="F259" s="71">
        <v>0.0</v>
      </c>
      <c r="H259" s="72">
        <v>0.0</v>
      </c>
      <c r="J259" s="72">
        <v>0.0</v>
      </c>
      <c r="L259" s="105">
        <v>80.0</v>
      </c>
      <c r="N259" s="104">
        <v>80.0</v>
      </c>
      <c r="P259" s="104">
        <v>0.0</v>
      </c>
      <c r="R259" s="104">
        <v>0.0</v>
      </c>
      <c r="T259" s="104">
        <v>0.0</v>
      </c>
      <c r="V259" s="104">
        <v>0.0</v>
      </c>
      <c r="X259" s="104">
        <v>0.0</v>
      </c>
      <c r="Y259" s="73"/>
      <c r="Z259" s="105">
        <v>26.0</v>
      </c>
      <c r="AB259" s="104">
        <v>26.0</v>
      </c>
      <c r="AD259" s="104">
        <v>0.0</v>
      </c>
      <c r="AF259" s="113"/>
      <c r="AH259" s="113"/>
      <c r="AJ259" s="113"/>
      <c r="AK259" s="73"/>
      <c r="AL259" s="81">
        <f t="shared" si="1"/>
        <v>3610.572</v>
      </c>
      <c r="AM259" s="78">
        <f t="shared" si="2"/>
        <v>212</v>
      </c>
      <c r="AN259" s="78">
        <f t="shared" si="3"/>
        <v>0</v>
      </c>
      <c r="AO259" s="78">
        <f t="shared" si="4"/>
        <v>212</v>
      </c>
      <c r="AP259" s="82">
        <f t="shared" si="5"/>
        <v>17.031</v>
      </c>
    </row>
    <row r="260">
      <c r="A260" s="76" t="s">
        <v>27</v>
      </c>
      <c r="B260" s="77">
        <f t="shared" si="6"/>
        <v>44819</v>
      </c>
      <c r="C260" s="78">
        <v>10.0</v>
      </c>
      <c r="D260" s="78" t="s">
        <v>48</v>
      </c>
      <c r="E260" s="80" t="s">
        <v>131</v>
      </c>
      <c r="F260" s="71">
        <v>0.0</v>
      </c>
      <c r="H260" s="72">
        <v>0.0</v>
      </c>
      <c r="J260" s="72">
        <v>0.0</v>
      </c>
      <c r="L260" s="105">
        <v>80.0</v>
      </c>
      <c r="N260" s="104">
        <v>80.0</v>
      </c>
      <c r="P260" s="104">
        <v>0.0</v>
      </c>
      <c r="R260" s="104">
        <v>0.0</v>
      </c>
      <c r="T260" s="104">
        <v>0.0</v>
      </c>
      <c r="V260" s="104">
        <v>0.0</v>
      </c>
      <c r="X260" s="104">
        <v>0.0</v>
      </c>
      <c r="Y260" s="73"/>
      <c r="Z260" s="105">
        <v>10.0</v>
      </c>
      <c r="AB260" s="104">
        <v>10.0</v>
      </c>
      <c r="AD260" s="104">
        <v>0.0</v>
      </c>
      <c r="AF260" s="113"/>
      <c r="AH260" s="113"/>
      <c r="AJ260" s="113"/>
      <c r="AK260" s="73"/>
      <c r="AL260" s="81">
        <f t="shared" si="1"/>
        <v>3065.58</v>
      </c>
      <c r="AM260" s="78">
        <f t="shared" si="2"/>
        <v>180</v>
      </c>
      <c r="AN260" s="78">
        <f t="shared" si="3"/>
        <v>0</v>
      </c>
      <c r="AO260" s="78">
        <f t="shared" si="4"/>
        <v>180</v>
      </c>
      <c r="AP260" s="82">
        <f t="shared" si="5"/>
        <v>17.031</v>
      </c>
    </row>
    <row r="261">
      <c r="A261" s="83" t="s">
        <v>30</v>
      </c>
      <c r="B261" s="84">
        <f t="shared" si="6"/>
        <v>44820</v>
      </c>
      <c r="C261" s="85">
        <v>10.0</v>
      </c>
      <c r="D261" s="85" t="s">
        <v>48</v>
      </c>
      <c r="E261" s="87" t="s">
        <v>131</v>
      </c>
      <c r="F261" s="88">
        <v>0.0</v>
      </c>
      <c r="G261" s="89"/>
      <c r="H261" s="90">
        <v>0.0</v>
      </c>
      <c r="I261" s="89"/>
      <c r="J261" s="90">
        <v>0.0</v>
      </c>
      <c r="K261" s="89"/>
      <c r="L261" s="112">
        <v>0.0</v>
      </c>
      <c r="M261" s="89"/>
      <c r="N261" s="111">
        <v>0.0</v>
      </c>
      <c r="O261" s="89"/>
      <c r="P261" s="111">
        <v>0.0</v>
      </c>
      <c r="Q261" s="89"/>
      <c r="R261" s="111">
        <v>0.0</v>
      </c>
      <c r="S261" s="89"/>
      <c r="T261" s="111">
        <v>0.0</v>
      </c>
      <c r="U261" s="89"/>
      <c r="V261" s="111">
        <v>0.0</v>
      </c>
      <c r="W261" s="89"/>
      <c r="X261" s="111">
        <v>0.0</v>
      </c>
      <c r="Y261" s="91"/>
      <c r="Z261" s="112">
        <v>0.0</v>
      </c>
      <c r="AA261" s="89"/>
      <c r="AB261" s="111">
        <v>0.0</v>
      </c>
      <c r="AC261" s="89"/>
      <c r="AD261" s="111">
        <v>0.0</v>
      </c>
      <c r="AE261" s="89"/>
      <c r="AF261" s="117"/>
      <c r="AG261" s="89"/>
      <c r="AH261" s="117"/>
      <c r="AI261" s="89"/>
      <c r="AJ261" s="117"/>
      <c r="AK261" s="91"/>
      <c r="AL261" s="92">
        <f t="shared" si="1"/>
        <v>0</v>
      </c>
      <c r="AM261" s="85">
        <f t="shared" si="2"/>
        <v>0</v>
      </c>
      <c r="AN261" s="85">
        <f t="shared" si="3"/>
        <v>0</v>
      </c>
      <c r="AO261" s="85">
        <f t="shared" si="4"/>
        <v>0</v>
      </c>
      <c r="AP261" s="93" t="str">
        <f t="shared" si="5"/>
        <v/>
      </c>
    </row>
    <row r="262">
      <c r="A262" s="66" t="s">
        <v>11</v>
      </c>
      <c r="B262" s="94">
        <f t="shared" si="6"/>
        <v>44821</v>
      </c>
      <c r="C262" s="68">
        <v>10.0</v>
      </c>
      <c r="D262" s="68" t="s">
        <v>59</v>
      </c>
      <c r="E262" s="70" t="s">
        <v>131</v>
      </c>
      <c r="F262" s="71">
        <v>0.0</v>
      </c>
      <c r="H262" s="72">
        <v>0.0</v>
      </c>
      <c r="J262" s="72">
        <v>0.0</v>
      </c>
      <c r="L262" s="105">
        <v>80.0</v>
      </c>
      <c r="N262" s="104">
        <v>80.0</v>
      </c>
      <c r="P262" s="104">
        <v>0.0</v>
      </c>
      <c r="R262" s="104">
        <v>0.0</v>
      </c>
      <c r="T262" s="104">
        <v>1.0</v>
      </c>
      <c r="V262" s="104">
        <v>1.0</v>
      </c>
      <c r="X262" s="104">
        <v>0.0</v>
      </c>
      <c r="Y262" s="73"/>
      <c r="Z262" s="105">
        <v>26.0</v>
      </c>
      <c r="AB262" s="104">
        <v>26.0</v>
      </c>
      <c r="AD262" s="104">
        <v>0.0</v>
      </c>
      <c r="AF262" s="113"/>
      <c r="AH262" s="113"/>
      <c r="AJ262" s="113"/>
      <c r="AK262" s="73"/>
      <c r="AL262" s="74">
        <f t="shared" si="1"/>
        <v>4345.572</v>
      </c>
      <c r="AM262" s="68">
        <f t="shared" si="2"/>
        <v>212</v>
      </c>
      <c r="AN262" s="68">
        <f t="shared" si="3"/>
        <v>2</v>
      </c>
      <c r="AO262" s="68">
        <f t="shared" si="4"/>
        <v>214</v>
      </c>
      <c r="AP262" s="75">
        <f t="shared" si="5"/>
        <v>20.30641121</v>
      </c>
    </row>
    <row r="263">
      <c r="A263" s="76" t="s">
        <v>16</v>
      </c>
      <c r="B263" s="77">
        <f t="shared" si="6"/>
        <v>44822</v>
      </c>
      <c r="C263" s="78">
        <v>10.0</v>
      </c>
      <c r="D263" s="78" t="s">
        <v>59</v>
      </c>
      <c r="E263" s="80" t="s">
        <v>131</v>
      </c>
      <c r="F263" s="71">
        <v>0.0</v>
      </c>
      <c r="H263" s="72">
        <v>0.0</v>
      </c>
      <c r="J263" s="72">
        <v>0.0</v>
      </c>
      <c r="L263" s="105">
        <v>80.0</v>
      </c>
      <c r="N263" s="104">
        <v>80.0</v>
      </c>
      <c r="P263" s="104">
        <v>0.0</v>
      </c>
      <c r="R263" s="104">
        <v>0.0</v>
      </c>
      <c r="T263" s="104">
        <v>0.0</v>
      </c>
      <c r="V263" s="104">
        <v>0.0</v>
      </c>
      <c r="X263" s="104">
        <v>0.0</v>
      </c>
      <c r="Y263" s="73"/>
      <c r="Z263" s="105">
        <v>26.0</v>
      </c>
      <c r="AB263" s="104">
        <v>26.0</v>
      </c>
      <c r="AD263" s="104">
        <v>0.0</v>
      </c>
      <c r="AF263" s="113"/>
      <c r="AH263" s="113"/>
      <c r="AJ263" s="113"/>
      <c r="AK263" s="73"/>
      <c r="AL263" s="81">
        <f t="shared" si="1"/>
        <v>3610.572</v>
      </c>
      <c r="AM263" s="78">
        <f t="shared" si="2"/>
        <v>212</v>
      </c>
      <c r="AN263" s="78">
        <f t="shared" si="3"/>
        <v>0</v>
      </c>
      <c r="AO263" s="78">
        <f t="shared" si="4"/>
        <v>212</v>
      </c>
      <c r="AP263" s="82">
        <f t="shared" si="5"/>
        <v>17.031</v>
      </c>
    </row>
    <row r="264">
      <c r="A264" s="76" t="s">
        <v>17</v>
      </c>
      <c r="B264" s="77">
        <f t="shared" si="6"/>
        <v>44823</v>
      </c>
      <c r="C264" s="78">
        <v>10.0</v>
      </c>
      <c r="D264" s="78" t="s">
        <v>59</v>
      </c>
      <c r="E264" s="80" t="s">
        <v>131</v>
      </c>
      <c r="F264" s="71">
        <v>0.0</v>
      </c>
      <c r="H264" s="72">
        <v>0.0</v>
      </c>
      <c r="J264" s="72">
        <v>0.0</v>
      </c>
      <c r="L264" s="105">
        <v>80.0</v>
      </c>
      <c r="N264" s="104">
        <v>80.0</v>
      </c>
      <c r="P264" s="104">
        <v>0.0</v>
      </c>
      <c r="R264" s="104">
        <v>0.0</v>
      </c>
      <c r="T264" s="104">
        <v>0.0</v>
      </c>
      <c r="V264" s="104">
        <v>0.0</v>
      </c>
      <c r="X264" s="104">
        <v>0.0</v>
      </c>
      <c r="Y264" s="73"/>
      <c r="Z264" s="105">
        <v>26.0</v>
      </c>
      <c r="AB264" s="104">
        <v>26.0</v>
      </c>
      <c r="AD264" s="104">
        <v>0.0</v>
      </c>
      <c r="AF264" s="113"/>
      <c r="AH264" s="113"/>
      <c r="AJ264" s="113"/>
      <c r="AK264" s="73"/>
      <c r="AL264" s="81">
        <f t="shared" si="1"/>
        <v>3610.572</v>
      </c>
      <c r="AM264" s="78">
        <f t="shared" si="2"/>
        <v>212</v>
      </c>
      <c r="AN264" s="78">
        <f t="shared" si="3"/>
        <v>0</v>
      </c>
      <c r="AO264" s="78">
        <f t="shared" si="4"/>
        <v>212</v>
      </c>
      <c r="AP264" s="82">
        <f t="shared" si="5"/>
        <v>17.031</v>
      </c>
    </row>
    <row r="265">
      <c r="A265" s="76" t="s">
        <v>21</v>
      </c>
      <c r="B265" s="77">
        <f t="shared" si="6"/>
        <v>44824</v>
      </c>
      <c r="C265" s="78">
        <v>10.0</v>
      </c>
      <c r="D265" s="78" t="s">
        <v>59</v>
      </c>
      <c r="E265" s="80" t="s">
        <v>131</v>
      </c>
      <c r="F265" s="71">
        <v>0.0</v>
      </c>
      <c r="H265" s="72">
        <v>0.0</v>
      </c>
      <c r="J265" s="72">
        <v>0.0</v>
      </c>
      <c r="L265" s="105">
        <v>80.0</v>
      </c>
      <c r="N265" s="104">
        <v>80.0</v>
      </c>
      <c r="P265" s="104">
        <v>0.0</v>
      </c>
      <c r="R265" s="104">
        <v>0.0</v>
      </c>
      <c r="T265" s="104">
        <v>0.0</v>
      </c>
      <c r="V265" s="104">
        <v>0.0</v>
      </c>
      <c r="X265" s="104">
        <v>0.0</v>
      </c>
      <c r="Y265" s="73"/>
      <c r="Z265" s="105">
        <v>26.0</v>
      </c>
      <c r="AB265" s="104">
        <v>26.0</v>
      </c>
      <c r="AD265" s="104">
        <v>0.0</v>
      </c>
      <c r="AF265" s="113"/>
      <c r="AH265" s="113"/>
      <c r="AJ265" s="113"/>
      <c r="AK265" s="73"/>
      <c r="AL265" s="81">
        <f t="shared" si="1"/>
        <v>3610.572</v>
      </c>
      <c r="AM265" s="78">
        <f t="shared" si="2"/>
        <v>212</v>
      </c>
      <c r="AN265" s="78">
        <f t="shared" si="3"/>
        <v>0</v>
      </c>
      <c r="AO265" s="78">
        <f t="shared" si="4"/>
        <v>212</v>
      </c>
      <c r="AP265" s="82">
        <f t="shared" si="5"/>
        <v>17.031</v>
      </c>
    </row>
    <row r="266">
      <c r="A266" s="76" t="s">
        <v>24</v>
      </c>
      <c r="B266" s="77">
        <f t="shared" si="6"/>
        <v>44825</v>
      </c>
      <c r="C266" s="78">
        <v>10.0</v>
      </c>
      <c r="D266" s="78" t="s">
        <v>59</v>
      </c>
      <c r="E266" s="80" t="s">
        <v>131</v>
      </c>
      <c r="F266" s="71">
        <v>0.0</v>
      </c>
      <c r="H266" s="72">
        <v>0.0</v>
      </c>
      <c r="J266" s="72">
        <v>0.0</v>
      </c>
      <c r="L266" s="105">
        <v>80.0</v>
      </c>
      <c r="N266" s="104">
        <v>80.0</v>
      </c>
      <c r="P266" s="104">
        <v>0.0</v>
      </c>
      <c r="R266" s="104">
        <v>0.0</v>
      </c>
      <c r="T266" s="104">
        <v>0.0</v>
      </c>
      <c r="V266" s="104">
        <v>0.0</v>
      </c>
      <c r="X266" s="104">
        <v>0.0</v>
      </c>
      <c r="Y266" s="73"/>
      <c r="Z266" s="105">
        <v>26.0</v>
      </c>
      <c r="AB266" s="104">
        <v>26.0</v>
      </c>
      <c r="AD266" s="104">
        <v>0.0</v>
      </c>
      <c r="AF266" s="113"/>
      <c r="AH266" s="113"/>
      <c r="AJ266" s="113"/>
      <c r="AK266" s="73"/>
      <c r="AL266" s="81">
        <f t="shared" si="1"/>
        <v>3610.572</v>
      </c>
      <c r="AM266" s="78">
        <f t="shared" si="2"/>
        <v>212</v>
      </c>
      <c r="AN266" s="78">
        <f t="shared" si="3"/>
        <v>0</v>
      </c>
      <c r="AO266" s="78">
        <f t="shared" si="4"/>
        <v>212</v>
      </c>
      <c r="AP266" s="82">
        <f t="shared" si="5"/>
        <v>17.031</v>
      </c>
    </row>
    <row r="267">
      <c r="A267" s="76" t="s">
        <v>27</v>
      </c>
      <c r="B267" s="77">
        <f t="shared" si="6"/>
        <v>44826</v>
      </c>
      <c r="C267" s="78">
        <v>10.0</v>
      </c>
      <c r="D267" s="78" t="s">
        <v>59</v>
      </c>
      <c r="E267" s="80" t="s">
        <v>131</v>
      </c>
      <c r="F267" s="71">
        <v>0.0</v>
      </c>
      <c r="H267" s="72">
        <v>0.0</v>
      </c>
      <c r="J267" s="72">
        <v>0.0</v>
      </c>
      <c r="L267" s="105">
        <v>80.0</v>
      </c>
      <c r="N267" s="104">
        <v>80.0</v>
      </c>
      <c r="P267" s="104">
        <v>0.0</v>
      </c>
      <c r="R267" s="104">
        <v>0.0</v>
      </c>
      <c r="T267" s="104">
        <v>0.0</v>
      </c>
      <c r="V267" s="104">
        <v>0.0</v>
      </c>
      <c r="X267" s="104">
        <v>0.0</v>
      </c>
      <c r="Y267" s="73"/>
      <c r="Z267" s="105">
        <v>10.0</v>
      </c>
      <c r="AB267" s="104">
        <v>10.0</v>
      </c>
      <c r="AD267" s="104">
        <v>0.0</v>
      </c>
      <c r="AF267" s="113"/>
      <c r="AH267" s="113"/>
      <c r="AJ267" s="113"/>
      <c r="AK267" s="73"/>
      <c r="AL267" s="81">
        <f t="shared" si="1"/>
        <v>3065.58</v>
      </c>
      <c r="AM267" s="78">
        <f t="shared" si="2"/>
        <v>180</v>
      </c>
      <c r="AN267" s="78">
        <f t="shared" si="3"/>
        <v>0</v>
      </c>
      <c r="AO267" s="78">
        <f t="shared" si="4"/>
        <v>180</v>
      </c>
      <c r="AP267" s="82">
        <f t="shared" si="5"/>
        <v>17.031</v>
      </c>
    </row>
    <row r="268">
      <c r="A268" s="83" t="s">
        <v>30</v>
      </c>
      <c r="B268" s="84">
        <f t="shared" si="6"/>
        <v>44827</v>
      </c>
      <c r="C268" s="85">
        <v>10.0</v>
      </c>
      <c r="D268" s="85" t="s">
        <v>59</v>
      </c>
      <c r="E268" s="87" t="s">
        <v>131</v>
      </c>
      <c r="F268" s="88">
        <v>0.0</v>
      </c>
      <c r="G268" s="89"/>
      <c r="H268" s="90">
        <v>0.0</v>
      </c>
      <c r="I268" s="89"/>
      <c r="J268" s="90">
        <v>0.0</v>
      </c>
      <c r="K268" s="89"/>
      <c r="L268" s="112">
        <v>0.0</v>
      </c>
      <c r="M268" s="89"/>
      <c r="N268" s="111">
        <v>0.0</v>
      </c>
      <c r="O268" s="89"/>
      <c r="P268" s="111">
        <v>0.0</v>
      </c>
      <c r="Q268" s="89"/>
      <c r="R268" s="111">
        <v>0.0</v>
      </c>
      <c r="S268" s="89"/>
      <c r="T268" s="111">
        <v>0.0</v>
      </c>
      <c r="U268" s="89"/>
      <c r="V268" s="111">
        <v>0.0</v>
      </c>
      <c r="W268" s="89"/>
      <c r="X268" s="111">
        <v>0.0</v>
      </c>
      <c r="Y268" s="91"/>
      <c r="Z268" s="112">
        <v>0.0</v>
      </c>
      <c r="AA268" s="89"/>
      <c r="AB268" s="111">
        <v>0.0</v>
      </c>
      <c r="AC268" s="89"/>
      <c r="AD268" s="111">
        <v>0.0</v>
      </c>
      <c r="AE268" s="89"/>
      <c r="AF268" s="117"/>
      <c r="AG268" s="89"/>
      <c r="AH268" s="117"/>
      <c r="AI268" s="89"/>
      <c r="AJ268" s="117"/>
      <c r="AK268" s="91"/>
      <c r="AL268" s="92">
        <f t="shared" si="1"/>
        <v>0</v>
      </c>
      <c r="AM268" s="85">
        <f t="shared" si="2"/>
        <v>0</v>
      </c>
      <c r="AN268" s="85">
        <f t="shared" si="3"/>
        <v>0</v>
      </c>
      <c r="AO268" s="85">
        <f t="shared" si="4"/>
        <v>0</v>
      </c>
      <c r="AP268" s="93" t="str">
        <f t="shared" si="5"/>
        <v/>
      </c>
    </row>
    <row r="269">
      <c r="A269" s="66" t="s">
        <v>11</v>
      </c>
      <c r="B269" s="94">
        <f t="shared" si="6"/>
        <v>44828</v>
      </c>
      <c r="C269" s="68">
        <v>10.0</v>
      </c>
      <c r="D269" s="68" t="s">
        <v>12</v>
      </c>
      <c r="E269" s="70" t="s">
        <v>131</v>
      </c>
      <c r="F269" s="71">
        <v>0.0</v>
      </c>
      <c r="H269" s="72">
        <v>0.0</v>
      </c>
      <c r="J269" s="72">
        <v>0.0</v>
      </c>
      <c r="L269" s="105">
        <v>60.0</v>
      </c>
      <c r="N269" s="104">
        <v>60.0</v>
      </c>
      <c r="P269" s="104">
        <v>0.0</v>
      </c>
      <c r="R269" s="104">
        <v>45.0</v>
      </c>
      <c r="T269" s="104">
        <v>1.0</v>
      </c>
      <c r="V269" s="104">
        <v>1.0</v>
      </c>
      <c r="X269" s="104">
        <v>0.0</v>
      </c>
      <c r="Y269" s="73"/>
      <c r="Z269" s="105">
        <v>26.0</v>
      </c>
      <c r="AB269" s="104">
        <v>26.0</v>
      </c>
      <c r="AD269" s="104">
        <v>0.0</v>
      </c>
      <c r="AF269" s="113"/>
      <c r="AH269" s="113"/>
      <c r="AJ269" s="113"/>
      <c r="AK269" s="73"/>
      <c r="AL269" s="74">
        <f t="shared" si="1"/>
        <v>3968.622</v>
      </c>
      <c r="AM269" s="68">
        <f t="shared" si="2"/>
        <v>217</v>
      </c>
      <c r="AN269" s="68">
        <f t="shared" si="3"/>
        <v>2</v>
      </c>
      <c r="AO269" s="68">
        <f t="shared" si="4"/>
        <v>219</v>
      </c>
      <c r="AP269" s="75">
        <f t="shared" si="5"/>
        <v>18.12156164</v>
      </c>
    </row>
    <row r="270">
      <c r="A270" s="76" t="s">
        <v>16</v>
      </c>
      <c r="B270" s="77">
        <f t="shared" si="6"/>
        <v>44829</v>
      </c>
      <c r="C270" s="78">
        <v>10.0</v>
      </c>
      <c r="D270" s="78" t="s">
        <v>12</v>
      </c>
      <c r="E270" s="80" t="s">
        <v>131</v>
      </c>
      <c r="F270" s="71">
        <v>0.0</v>
      </c>
      <c r="H270" s="72">
        <v>0.0</v>
      </c>
      <c r="J270" s="72">
        <v>0.0</v>
      </c>
      <c r="L270" s="105">
        <v>60.0</v>
      </c>
      <c r="N270" s="104">
        <v>60.0</v>
      </c>
      <c r="P270" s="104">
        <v>0.0</v>
      </c>
      <c r="R270" s="104">
        <v>45.0</v>
      </c>
      <c r="T270" s="104">
        <v>0.0</v>
      </c>
      <c r="V270" s="104">
        <v>0.0</v>
      </c>
      <c r="X270" s="104">
        <v>0.0</v>
      </c>
      <c r="Y270" s="73"/>
      <c r="Z270" s="105">
        <v>26.0</v>
      </c>
      <c r="AB270" s="104">
        <v>26.0</v>
      </c>
      <c r="AD270" s="104">
        <v>0.0</v>
      </c>
      <c r="AF270" s="113"/>
      <c r="AH270" s="113"/>
      <c r="AJ270" s="113"/>
      <c r="AK270" s="73"/>
      <c r="AL270" s="81">
        <f t="shared" si="1"/>
        <v>3233.622</v>
      </c>
      <c r="AM270" s="78">
        <f t="shared" si="2"/>
        <v>217</v>
      </c>
      <c r="AN270" s="78">
        <f t="shared" si="3"/>
        <v>0</v>
      </c>
      <c r="AO270" s="78">
        <f t="shared" si="4"/>
        <v>217</v>
      </c>
      <c r="AP270" s="82">
        <f t="shared" si="5"/>
        <v>14.90148387</v>
      </c>
    </row>
    <row r="271">
      <c r="A271" s="76" t="s">
        <v>17</v>
      </c>
      <c r="B271" s="77">
        <f t="shared" si="6"/>
        <v>44830</v>
      </c>
      <c r="C271" s="78">
        <v>10.0</v>
      </c>
      <c r="D271" s="78" t="s">
        <v>12</v>
      </c>
      <c r="E271" s="80" t="s">
        <v>131</v>
      </c>
      <c r="F271" s="71">
        <v>0.0</v>
      </c>
      <c r="H271" s="72">
        <v>0.0</v>
      </c>
      <c r="J271" s="72">
        <v>0.0</v>
      </c>
      <c r="L271" s="105">
        <v>60.0</v>
      </c>
      <c r="N271" s="104">
        <v>60.0</v>
      </c>
      <c r="P271" s="104">
        <v>0.0</v>
      </c>
      <c r="R271" s="104">
        <v>45.0</v>
      </c>
      <c r="T271" s="104">
        <v>0.0</v>
      </c>
      <c r="V271" s="104">
        <v>0.0</v>
      </c>
      <c r="X271" s="104">
        <v>0.0</v>
      </c>
      <c r="Y271" s="73"/>
      <c r="Z271" s="105">
        <v>26.0</v>
      </c>
      <c r="AB271" s="104">
        <v>26.0</v>
      </c>
      <c r="AD271" s="104">
        <v>0.0</v>
      </c>
      <c r="AF271" s="113"/>
      <c r="AH271" s="113"/>
      <c r="AJ271" s="113"/>
      <c r="AK271" s="73"/>
      <c r="AL271" s="81">
        <f t="shared" si="1"/>
        <v>3233.622</v>
      </c>
      <c r="AM271" s="78">
        <f t="shared" si="2"/>
        <v>217</v>
      </c>
      <c r="AN271" s="78">
        <f t="shared" si="3"/>
        <v>0</v>
      </c>
      <c r="AO271" s="78">
        <f t="shared" si="4"/>
        <v>217</v>
      </c>
      <c r="AP271" s="82">
        <f t="shared" si="5"/>
        <v>14.90148387</v>
      </c>
    </row>
    <row r="272">
      <c r="A272" s="76" t="s">
        <v>21</v>
      </c>
      <c r="B272" s="77">
        <f t="shared" si="6"/>
        <v>44831</v>
      </c>
      <c r="C272" s="78">
        <v>10.0</v>
      </c>
      <c r="D272" s="78" t="s">
        <v>12</v>
      </c>
      <c r="E272" s="80" t="s">
        <v>131</v>
      </c>
      <c r="F272" s="71">
        <v>0.0</v>
      </c>
      <c r="H272" s="72">
        <v>0.0</v>
      </c>
      <c r="J272" s="72">
        <v>0.0</v>
      </c>
      <c r="L272" s="105">
        <v>60.0</v>
      </c>
      <c r="N272" s="104">
        <v>60.0</v>
      </c>
      <c r="P272" s="104">
        <v>0.0</v>
      </c>
      <c r="R272" s="104">
        <v>45.0</v>
      </c>
      <c r="T272" s="104">
        <v>0.0</v>
      </c>
      <c r="V272" s="104">
        <v>0.0</v>
      </c>
      <c r="X272" s="104">
        <v>0.0</v>
      </c>
      <c r="Y272" s="73"/>
      <c r="Z272" s="105">
        <v>26.0</v>
      </c>
      <c r="AB272" s="104">
        <v>26.0</v>
      </c>
      <c r="AD272" s="104">
        <v>0.0</v>
      </c>
      <c r="AF272" s="113"/>
      <c r="AH272" s="113"/>
      <c r="AJ272" s="113"/>
      <c r="AK272" s="73"/>
      <c r="AL272" s="81">
        <f t="shared" si="1"/>
        <v>3233.622</v>
      </c>
      <c r="AM272" s="78">
        <f t="shared" si="2"/>
        <v>217</v>
      </c>
      <c r="AN272" s="78">
        <f t="shared" si="3"/>
        <v>0</v>
      </c>
      <c r="AO272" s="78">
        <f t="shared" si="4"/>
        <v>217</v>
      </c>
      <c r="AP272" s="82">
        <f t="shared" si="5"/>
        <v>14.90148387</v>
      </c>
    </row>
    <row r="273">
      <c r="A273" s="76" t="s">
        <v>24</v>
      </c>
      <c r="B273" s="77">
        <f t="shared" si="6"/>
        <v>44832</v>
      </c>
      <c r="C273" s="78">
        <v>10.0</v>
      </c>
      <c r="D273" s="78" t="s">
        <v>12</v>
      </c>
      <c r="E273" s="80" t="s">
        <v>131</v>
      </c>
      <c r="F273" s="71">
        <v>0.0</v>
      </c>
      <c r="H273" s="72">
        <v>0.0</v>
      </c>
      <c r="J273" s="72">
        <v>0.0</v>
      </c>
      <c r="L273" s="105">
        <v>60.0</v>
      </c>
      <c r="N273" s="104">
        <v>60.0</v>
      </c>
      <c r="P273" s="104">
        <v>0.0</v>
      </c>
      <c r="R273" s="104">
        <v>45.0</v>
      </c>
      <c r="T273" s="104">
        <v>0.0</v>
      </c>
      <c r="V273" s="104">
        <v>0.0</v>
      </c>
      <c r="X273" s="104">
        <v>0.0</v>
      </c>
      <c r="Y273" s="73"/>
      <c r="Z273" s="105">
        <v>26.0</v>
      </c>
      <c r="AB273" s="104">
        <v>26.0</v>
      </c>
      <c r="AD273" s="104">
        <v>0.0</v>
      </c>
      <c r="AF273" s="113"/>
      <c r="AH273" s="113"/>
      <c r="AJ273" s="113"/>
      <c r="AK273" s="73"/>
      <c r="AL273" s="81">
        <f t="shared" si="1"/>
        <v>3233.622</v>
      </c>
      <c r="AM273" s="78">
        <f t="shared" si="2"/>
        <v>217</v>
      </c>
      <c r="AN273" s="78">
        <f t="shared" si="3"/>
        <v>0</v>
      </c>
      <c r="AO273" s="78">
        <f t="shared" si="4"/>
        <v>217</v>
      </c>
      <c r="AP273" s="82">
        <f t="shared" si="5"/>
        <v>14.90148387</v>
      </c>
    </row>
    <row r="274">
      <c r="A274" s="76" t="s">
        <v>27</v>
      </c>
      <c r="B274" s="77">
        <f t="shared" si="6"/>
        <v>44833</v>
      </c>
      <c r="C274" s="78">
        <v>10.0</v>
      </c>
      <c r="D274" s="78" t="s">
        <v>12</v>
      </c>
      <c r="E274" s="80" t="s">
        <v>131</v>
      </c>
      <c r="F274" s="71">
        <v>0.0</v>
      </c>
      <c r="H274" s="72">
        <v>0.0</v>
      </c>
      <c r="J274" s="72">
        <v>0.0</v>
      </c>
      <c r="L274" s="105">
        <v>60.0</v>
      </c>
      <c r="N274" s="104">
        <v>60.0</v>
      </c>
      <c r="P274" s="104">
        <v>0.0</v>
      </c>
      <c r="R274" s="104">
        <v>45.0</v>
      </c>
      <c r="T274" s="104">
        <v>0.0</v>
      </c>
      <c r="V274" s="104">
        <v>0.0</v>
      </c>
      <c r="X274" s="104">
        <v>0.0</v>
      </c>
      <c r="Y274" s="73"/>
      <c r="Z274" s="105">
        <v>10.0</v>
      </c>
      <c r="AB274" s="104">
        <v>10.0</v>
      </c>
      <c r="AD274" s="104">
        <v>0.0</v>
      </c>
      <c r="AF274" s="113"/>
      <c r="AH274" s="113"/>
      <c r="AJ274" s="113"/>
      <c r="AK274" s="73"/>
      <c r="AL274" s="81">
        <f t="shared" si="1"/>
        <v>2688.63</v>
      </c>
      <c r="AM274" s="78">
        <f t="shared" si="2"/>
        <v>185</v>
      </c>
      <c r="AN274" s="78">
        <f t="shared" si="3"/>
        <v>0</v>
      </c>
      <c r="AO274" s="78">
        <f t="shared" si="4"/>
        <v>185</v>
      </c>
      <c r="AP274" s="82">
        <f t="shared" si="5"/>
        <v>14.53313514</v>
      </c>
    </row>
    <row r="275">
      <c r="A275" s="83" t="s">
        <v>30</v>
      </c>
      <c r="B275" s="84">
        <f t="shared" si="6"/>
        <v>44834</v>
      </c>
      <c r="C275" s="85">
        <v>10.0</v>
      </c>
      <c r="D275" s="85" t="s">
        <v>12</v>
      </c>
      <c r="E275" s="87" t="s">
        <v>131</v>
      </c>
      <c r="F275" s="88">
        <v>0.0</v>
      </c>
      <c r="G275" s="89"/>
      <c r="H275" s="90">
        <v>0.0</v>
      </c>
      <c r="I275" s="89"/>
      <c r="J275" s="90">
        <v>0.0</v>
      </c>
      <c r="K275" s="89"/>
      <c r="L275" s="112">
        <v>0.0</v>
      </c>
      <c r="M275" s="89"/>
      <c r="N275" s="111">
        <v>0.0</v>
      </c>
      <c r="O275" s="89"/>
      <c r="P275" s="111">
        <v>0.0</v>
      </c>
      <c r="Q275" s="89"/>
      <c r="R275" s="111">
        <v>0.0</v>
      </c>
      <c r="S275" s="89"/>
      <c r="T275" s="111">
        <v>0.0</v>
      </c>
      <c r="U275" s="89"/>
      <c r="V275" s="111">
        <v>0.0</v>
      </c>
      <c r="W275" s="89"/>
      <c r="X275" s="111">
        <v>0.0</v>
      </c>
      <c r="Y275" s="91"/>
      <c r="Z275" s="112">
        <v>0.0</v>
      </c>
      <c r="AA275" s="89"/>
      <c r="AB275" s="111">
        <v>0.0</v>
      </c>
      <c r="AC275" s="89"/>
      <c r="AD275" s="111">
        <v>0.0</v>
      </c>
      <c r="AE275" s="89"/>
      <c r="AF275" s="117"/>
      <c r="AG275" s="89"/>
      <c r="AH275" s="117"/>
      <c r="AI275" s="89"/>
      <c r="AJ275" s="117"/>
      <c r="AK275" s="91"/>
      <c r="AL275" s="92">
        <f t="shared" si="1"/>
        <v>0</v>
      </c>
      <c r="AM275" s="85">
        <f t="shared" si="2"/>
        <v>0</v>
      </c>
      <c r="AN275" s="85">
        <f t="shared" si="3"/>
        <v>0</v>
      </c>
      <c r="AO275" s="85">
        <f t="shared" si="4"/>
        <v>0</v>
      </c>
      <c r="AP275" s="93" t="str">
        <f t="shared" si="5"/>
        <v/>
      </c>
    </row>
    <row r="276">
      <c r="A276" s="66" t="s">
        <v>11</v>
      </c>
      <c r="B276" s="94">
        <f t="shared" si="6"/>
        <v>44835</v>
      </c>
      <c r="C276" s="68">
        <v>10.0</v>
      </c>
      <c r="D276" s="68" t="s">
        <v>33</v>
      </c>
      <c r="E276" s="70" t="s">
        <v>131</v>
      </c>
      <c r="F276" s="71">
        <v>0.0</v>
      </c>
      <c r="H276" s="72">
        <v>0.0</v>
      </c>
      <c r="J276" s="72">
        <v>0.0</v>
      </c>
      <c r="L276" s="105">
        <v>60.0</v>
      </c>
      <c r="N276" s="104">
        <v>60.0</v>
      </c>
      <c r="P276" s="104">
        <v>0.0</v>
      </c>
      <c r="R276" s="104">
        <v>45.0</v>
      </c>
      <c r="T276" s="104">
        <v>1.0</v>
      </c>
      <c r="V276" s="104">
        <v>1.0</v>
      </c>
      <c r="X276" s="104">
        <v>0.0</v>
      </c>
      <c r="Y276" s="73"/>
      <c r="Z276" s="105">
        <v>26.0</v>
      </c>
      <c r="AB276" s="104">
        <v>26.0</v>
      </c>
      <c r="AD276" s="104">
        <v>0.0</v>
      </c>
      <c r="AF276" s="113"/>
      <c r="AH276" s="113"/>
      <c r="AJ276" s="113"/>
      <c r="AK276" s="73"/>
      <c r="AL276" s="74">
        <f t="shared" si="1"/>
        <v>3968.622</v>
      </c>
      <c r="AM276" s="68">
        <f t="shared" si="2"/>
        <v>217</v>
      </c>
      <c r="AN276" s="68">
        <f t="shared" si="3"/>
        <v>2</v>
      </c>
      <c r="AO276" s="68">
        <f t="shared" si="4"/>
        <v>219</v>
      </c>
      <c r="AP276" s="75">
        <f t="shared" si="5"/>
        <v>18.12156164</v>
      </c>
    </row>
    <row r="277">
      <c r="A277" s="76" t="s">
        <v>16</v>
      </c>
      <c r="B277" s="77">
        <f t="shared" si="6"/>
        <v>44836</v>
      </c>
      <c r="C277" s="78">
        <v>10.0</v>
      </c>
      <c r="D277" s="78" t="s">
        <v>33</v>
      </c>
      <c r="E277" s="80" t="s">
        <v>131</v>
      </c>
      <c r="F277" s="71">
        <v>0.0</v>
      </c>
      <c r="H277" s="72">
        <v>0.0</v>
      </c>
      <c r="J277" s="72">
        <v>0.0</v>
      </c>
      <c r="L277" s="105">
        <v>60.0</v>
      </c>
      <c r="N277" s="104">
        <v>60.0</v>
      </c>
      <c r="P277" s="104">
        <v>0.0</v>
      </c>
      <c r="R277" s="104">
        <v>45.0</v>
      </c>
      <c r="T277" s="104">
        <v>0.0</v>
      </c>
      <c r="V277" s="104">
        <v>0.0</v>
      </c>
      <c r="X277" s="104">
        <v>0.0</v>
      </c>
      <c r="Y277" s="73"/>
      <c r="Z277" s="105">
        <v>26.0</v>
      </c>
      <c r="AB277" s="104">
        <v>26.0</v>
      </c>
      <c r="AD277" s="104">
        <v>0.0</v>
      </c>
      <c r="AF277" s="113"/>
      <c r="AH277" s="113"/>
      <c r="AJ277" s="113"/>
      <c r="AK277" s="73"/>
      <c r="AL277" s="81">
        <f t="shared" si="1"/>
        <v>3233.622</v>
      </c>
      <c r="AM277" s="78">
        <f t="shared" si="2"/>
        <v>217</v>
      </c>
      <c r="AN277" s="78">
        <f t="shared" si="3"/>
        <v>0</v>
      </c>
      <c r="AO277" s="78">
        <f t="shared" si="4"/>
        <v>217</v>
      </c>
      <c r="AP277" s="82">
        <f t="shared" si="5"/>
        <v>14.90148387</v>
      </c>
    </row>
    <row r="278">
      <c r="A278" s="76" t="s">
        <v>17</v>
      </c>
      <c r="B278" s="77">
        <f t="shared" si="6"/>
        <v>44837</v>
      </c>
      <c r="C278" s="78">
        <v>10.0</v>
      </c>
      <c r="D278" s="78" t="s">
        <v>33</v>
      </c>
      <c r="E278" s="80" t="s">
        <v>131</v>
      </c>
      <c r="F278" s="71">
        <v>0.0</v>
      </c>
      <c r="H278" s="72">
        <v>0.0</v>
      </c>
      <c r="J278" s="72">
        <v>0.0</v>
      </c>
      <c r="L278" s="105">
        <v>60.0</v>
      </c>
      <c r="N278" s="104">
        <v>60.0</v>
      </c>
      <c r="P278" s="104">
        <v>0.0</v>
      </c>
      <c r="R278" s="104">
        <v>45.0</v>
      </c>
      <c r="T278" s="104">
        <v>0.0</v>
      </c>
      <c r="V278" s="104">
        <v>0.0</v>
      </c>
      <c r="X278" s="104">
        <v>0.0</v>
      </c>
      <c r="Y278" s="73"/>
      <c r="Z278" s="105">
        <v>26.0</v>
      </c>
      <c r="AB278" s="104">
        <v>26.0</v>
      </c>
      <c r="AD278" s="104">
        <v>0.0</v>
      </c>
      <c r="AF278" s="113"/>
      <c r="AH278" s="113"/>
      <c r="AJ278" s="113"/>
      <c r="AK278" s="73"/>
      <c r="AL278" s="81">
        <f t="shared" si="1"/>
        <v>3233.622</v>
      </c>
      <c r="AM278" s="78">
        <f t="shared" si="2"/>
        <v>217</v>
      </c>
      <c r="AN278" s="78">
        <f t="shared" si="3"/>
        <v>0</v>
      </c>
      <c r="AO278" s="78">
        <f t="shared" si="4"/>
        <v>217</v>
      </c>
      <c r="AP278" s="82">
        <f t="shared" si="5"/>
        <v>14.90148387</v>
      </c>
    </row>
    <row r="279">
      <c r="A279" s="76" t="s">
        <v>21</v>
      </c>
      <c r="B279" s="77">
        <f t="shared" si="6"/>
        <v>44838</v>
      </c>
      <c r="C279" s="78">
        <v>10.0</v>
      </c>
      <c r="D279" s="78" t="s">
        <v>33</v>
      </c>
      <c r="E279" s="80" t="s">
        <v>131</v>
      </c>
      <c r="F279" s="71">
        <v>0.0</v>
      </c>
      <c r="H279" s="72">
        <v>0.0</v>
      </c>
      <c r="J279" s="72">
        <v>0.0</v>
      </c>
      <c r="L279" s="105">
        <v>60.0</v>
      </c>
      <c r="N279" s="104">
        <v>60.0</v>
      </c>
      <c r="P279" s="104">
        <v>0.0</v>
      </c>
      <c r="R279" s="104">
        <v>45.0</v>
      </c>
      <c r="T279" s="104">
        <v>0.0</v>
      </c>
      <c r="V279" s="104">
        <v>0.0</v>
      </c>
      <c r="X279" s="104">
        <v>0.0</v>
      </c>
      <c r="Y279" s="73"/>
      <c r="Z279" s="105">
        <v>26.0</v>
      </c>
      <c r="AB279" s="104">
        <v>26.0</v>
      </c>
      <c r="AD279" s="104">
        <v>0.0</v>
      </c>
      <c r="AF279" s="113"/>
      <c r="AH279" s="113"/>
      <c r="AJ279" s="113"/>
      <c r="AK279" s="73"/>
      <c r="AL279" s="81">
        <f t="shared" si="1"/>
        <v>3233.622</v>
      </c>
      <c r="AM279" s="78">
        <f t="shared" si="2"/>
        <v>217</v>
      </c>
      <c r="AN279" s="78">
        <f t="shared" si="3"/>
        <v>0</v>
      </c>
      <c r="AO279" s="78">
        <f t="shared" si="4"/>
        <v>217</v>
      </c>
      <c r="AP279" s="82">
        <f t="shared" si="5"/>
        <v>14.90148387</v>
      </c>
    </row>
    <row r="280">
      <c r="A280" s="76" t="s">
        <v>24</v>
      </c>
      <c r="B280" s="77">
        <f t="shared" si="6"/>
        <v>44839</v>
      </c>
      <c r="C280" s="78">
        <v>10.0</v>
      </c>
      <c r="D280" s="78" t="s">
        <v>33</v>
      </c>
      <c r="E280" s="80" t="s">
        <v>131</v>
      </c>
      <c r="F280" s="71">
        <v>0.0</v>
      </c>
      <c r="H280" s="72">
        <v>0.0</v>
      </c>
      <c r="J280" s="72">
        <v>0.0</v>
      </c>
      <c r="L280" s="105">
        <v>60.0</v>
      </c>
      <c r="N280" s="104">
        <v>60.0</v>
      </c>
      <c r="P280" s="104">
        <v>0.0</v>
      </c>
      <c r="R280" s="104">
        <v>45.0</v>
      </c>
      <c r="T280" s="104">
        <v>0.0</v>
      </c>
      <c r="V280" s="104">
        <v>0.0</v>
      </c>
      <c r="X280" s="104">
        <v>0.0</v>
      </c>
      <c r="Y280" s="73"/>
      <c r="Z280" s="105">
        <v>26.0</v>
      </c>
      <c r="AB280" s="104">
        <v>26.0</v>
      </c>
      <c r="AD280" s="104">
        <v>0.0</v>
      </c>
      <c r="AF280" s="113"/>
      <c r="AH280" s="113"/>
      <c r="AJ280" s="113"/>
      <c r="AK280" s="73"/>
      <c r="AL280" s="81">
        <f t="shared" si="1"/>
        <v>3233.622</v>
      </c>
      <c r="AM280" s="78">
        <f t="shared" si="2"/>
        <v>217</v>
      </c>
      <c r="AN280" s="78">
        <f t="shared" si="3"/>
        <v>0</v>
      </c>
      <c r="AO280" s="78">
        <f t="shared" si="4"/>
        <v>217</v>
      </c>
      <c r="AP280" s="82">
        <f t="shared" si="5"/>
        <v>14.90148387</v>
      </c>
    </row>
    <row r="281">
      <c r="A281" s="76" t="s">
        <v>27</v>
      </c>
      <c r="B281" s="77">
        <f t="shared" si="6"/>
        <v>44840</v>
      </c>
      <c r="C281" s="78">
        <v>10.0</v>
      </c>
      <c r="D281" s="78" t="s">
        <v>33</v>
      </c>
      <c r="E281" s="80" t="s">
        <v>131</v>
      </c>
      <c r="F281" s="71">
        <v>0.0</v>
      </c>
      <c r="H281" s="72">
        <v>0.0</v>
      </c>
      <c r="J281" s="72">
        <v>0.0</v>
      </c>
      <c r="L281" s="105">
        <v>60.0</v>
      </c>
      <c r="N281" s="104">
        <v>60.0</v>
      </c>
      <c r="P281" s="104">
        <v>0.0</v>
      </c>
      <c r="R281" s="104">
        <v>45.0</v>
      </c>
      <c r="T281" s="104">
        <v>0.0</v>
      </c>
      <c r="V281" s="104">
        <v>0.0</v>
      </c>
      <c r="X281" s="104">
        <v>0.0</v>
      </c>
      <c r="Y281" s="73"/>
      <c r="Z281" s="105">
        <v>10.0</v>
      </c>
      <c r="AB281" s="104">
        <v>10.0</v>
      </c>
      <c r="AD281" s="104">
        <v>0.0</v>
      </c>
      <c r="AF281" s="113"/>
      <c r="AH281" s="113"/>
      <c r="AJ281" s="113"/>
      <c r="AK281" s="73"/>
      <c r="AL281" s="81">
        <f t="shared" si="1"/>
        <v>2688.63</v>
      </c>
      <c r="AM281" s="78">
        <f t="shared" si="2"/>
        <v>185</v>
      </c>
      <c r="AN281" s="78">
        <f t="shared" si="3"/>
        <v>0</v>
      </c>
      <c r="AO281" s="78">
        <f t="shared" si="4"/>
        <v>185</v>
      </c>
      <c r="AP281" s="82">
        <f t="shared" si="5"/>
        <v>14.53313514</v>
      </c>
    </row>
    <row r="282">
      <c r="A282" s="83" t="s">
        <v>30</v>
      </c>
      <c r="B282" s="84">
        <f t="shared" si="6"/>
        <v>44841</v>
      </c>
      <c r="C282" s="85">
        <v>10.0</v>
      </c>
      <c r="D282" s="85" t="s">
        <v>33</v>
      </c>
      <c r="E282" s="87" t="s">
        <v>131</v>
      </c>
      <c r="F282" s="88">
        <v>0.0</v>
      </c>
      <c r="G282" s="89"/>
      <c r="H282" s="90">
        <v>0.0</v>
      </c>
      <c r="I282" s="89"/>
      <c r="J282" s="90">
        <v>0.0</v>
      </c>
      <c r="K282" s="89"/>
      <c r="L282" s="112">
        <v>0.0</v>
      </c>
      <c r="M282" s="89"/>
      <c r="N282" s="111">
        <v>0.0</v>
      </c>
      <c r="O282" s="89"/>
      <c r="P282" s="111">
        <v>0.0</v>
      </c>
      <c r="Q282" s="89"/>
      <c r="R282" s="111">
        <v>0.0</v>
      </c>
      <c r="S282" s="89"/>
      <c r="T282" s="111">
        <v>0.0</v>
      </c>
      <c r="U282" s="89"/>
      <c r="V282" s="111">
        <v>0.0</v>
      </c>
      <c r="W282" s="89"/>
      <c r="X282" s="111">
        <v>0.0</v>
      </c>
      <c r="Y282" s="91"/>
      <c r="Z282" s="112">
        <v>0.0</v>
      </c>
      <c r="AA282" s="89"/>
      <c r="AB282" s="111">
        <v>0.0</v>
      </c>
      <c r="AC282" s="89"/>
      <c r="AD282" s="111">
        <v>0.0</v>
      </c>
      <c r="AE282" s="89"/>
      <c r="AF282" s="117"/>
      <c r="AG282" s="89"/>
      <c r="AH282" s="117"/>
      <c r="AI282" s="89"/>
      <c r="AJ282" s="117"/>
      <c r="AK282" s="91"/>
      <c r="AL282" s="92">
        <f t="shared" si="1"/>
        <v>0</v>
      </c>
      <c r="AM282" s="85">
        <f t="shared" si="2"/>
        <v>0</v>
      </c>
      <c r="AN282" s="85">
        <f t="shared" si="3"/>
        <v>0</v>
      </c>
      <c r="AO282" s="85">
        <f t="shared" si="4"/>
        <v>0</v>
      </c>
      <c r="AP282" s="93" t="str">
        <f t="shared" si="5"/>
        <v/>
      </c>
    </row>
    <row r="283">
      <c r="A283" s="66" t="s">
        <v>11</v>
      </c>
      <c r="B283" s="94">
        <f t="shared" si="6"/>
        <v>44842</v>
      </c>
      <c r="C283" s="68">
        <v>11.0</v>
      </c>
      <c r="D283" s="68" t="s">
        <v>48</v>
      </c>
      <c r="E283" s="70" t="s">
        <v>131</v>
      </c>
      <c r="F283" s="71">
        <v>0.0</v>
      </c>
      <c r="H283" s="72">
        <v>0.0</v>
      </c>
      <c r="J283" s="72">
        <v>0.0</v>
      </c>
      <c r="L283" s="105">
        <v>60.0</v>
      </c>
      <c r="N283" s="104">
        <v>60.0</v>
      </c>
      <c r="P283" s="104">
        <v>0.0</v>
      </c>
      <c r="R283" s="104">
        <v>45.0</v>
      </c>
      <c r="T283" s="104">
        <v>1.0</v>
      </c>
      <c r="V283" s="104">
        <v>1.0</v>
      </c>
      <c r="X283" s="104">
        <v>0.0</v>
      </c>
      <c r="Y283" s="73"/>
      <c r="Z283" s="105">
        <v>26.0</v>
      </c>
      <c r="AB283" s="104">
        <v>26.0</v>
      </c>
      <c r="AD283" s="104">
        <v>0.0</v>
      </c>
      <c r="AF283" s="113"/>
      <c r="AH283" s="113"/>
      <c r="AJ283" s="113"/>
      <c r="AK283" s="73"/>
      <c r="AL283" s="74">
        <f t="shared" si="1"/>
        <v>3968.622</v>
      </c>
      <c r="AM283" s="68">
        <f t="shared" si="2"/>
        <v>217</v>
      </c>
      <c r="AN283" s="68">
        <f t="shared" si="3"/>
        <v>2</v>
      </c>
      <c r="AO283" s="68">
        <f t="shared" si="4"/>
        <v>219</v>
      </c>
      <c r="AP283" s="75">
        <f t="shared" si="5"/>
        <v>18.12156164</v>
      </c>
    </row>
    <row r="284">
      <c r="A284" s="76" t="s">
        <v>16</v>
      </c>
      <c r="B284" s="77">
        <f t="shared" si="6"/>
        <v>44843</v>
      </c>
      <c r="C284" s="78">
        <v>11.0</v>
      </c>
      <c r="D284" s="78" t="s">
        <v>48</v>
      </c>
      <c r="E284" s="80" t="s">
        <v>131</v>
      </c>
      <c r="F284" s="71">
        <v>0.0</v>
      </c>
      <c r="H284" s="72">
        <v>0.0</v>
      </c>
      <c r="J284" s="72">
        <v>0.0</v>
      </c>
      <c r="L284" s="105">
        <v>60.0</v>
      </c>
      <c r="N284" s="104">
        <v>60.0</v>
      </c>
      <c r="P284" s="104">
        <v>0.0</v>
      </c>
      <c r="R284" s="104">
        <v>45.0</v>
      </c>
      <c r="T284" s="104">
        <v>0.0</v>
      </c>
      <c r="V284" s="104">
        <v>0.0</v>
      </c>
      <c r="X284" s="104">
        <v>0.0</v>
      </c>
      <c r="Y284" s="73"/>
      <c r="Z284" s="105">
        <v>26.0</v>
      </c>
      <c r="AB284" s="104">
        <v>26.0</v>
      </c>
      <c r="AD284" s="104">
        <v>0.0</v>
      </c>
      <c r="AF284" s="113"/>
      <c r="AH284" s="113"/>
      <c r="AJ284" s="113"/>
      <c r="AK284" s="73"/>
      <c r="AL284" s="81">
        <f t="shared" si="1"/>
        <v>3233.622</v>
      </c>
      <c r="AM284" s="78">
        <f t="shared" si="2"/>
        <v>217</v>
      </c>
      <c r="AN284" s="78">
        <f t="shared" si="3"/>
        <v>0</v>
      </c>
      <c r="AO284" s="78">
        <f t="shared" si="4"/>
        <v>217</v>
      </c>
      <c r="AP284" s="82">
        <f t="shared" si="5"/>
        <v>14.90148387</v>
      </c>
    </row>
    <row r="285">
      <c r="A285" s="76" t="s">
        <v>17</v>
      </c>
      <c r="B285" s="77">
        <f t="shared" si="6"/>
        <v>44844</v>
      </c>
      <c r="C285" s="78">
        <v>11.0</v>
      </c>
      <c r="D285" s="78" t="s">
        <v>48</v>
      </c>
      <c r="E285" s="80" t="s">
        <v>131</v>
      </c>
      <c r="F285" s="71">
        <v>0.0</v>
      </c>
      <c r="H285" s="72">
        <v>0.0</v>
      </c>
      <c r="J285" s="72">
        <v>0.0</v>
      </c>
      <c r="L285" s="105">
        <v>60.0</v>
      </c>
      <c r="N285" s="104">
        <v>60.0</v>
      </c>
      <c r="P285" s="104">
        <v>0.0</v>
      </c>
      <c r="R285" s="104">
        <v>45.0</v>
      </c>
      <c r="T285" s="104">
        <v>0.0</v>
      </c>
      <c r="V285" s="104">
        <v>0.0</v>
      </c>
      <c r="X285" s="104">
        <v>0.0</v>
      </c>
      <c r="Y285" s="73"/>
      <c r="Z285" s="105">
        <v>26.0</v>
      </c>
      <c r="AB285" s="104">
        <v>26.0</v>
      </c>
      <c r="AD285" s="104">
        <v>0.0</v>
      </c>
      <c r="AF285" s="113"/>
      <c r="AH285" s="113"/>
      <c r="AJ285" s="113"/>
      <c r="AK285" s="73"/>
      <c r="AL285" s="81">
        <f t="shared" si="1"/>
        <v>3233.622</v>
      </c>
      <c r="AM285" s="78">
        <f t="shared" si="2"/>
        <v>217</v>
      </c>
      <c r="AN285" s="78">
        <f t="shared" si="3"/>
        <v>0</v>
      </c>
      <c r="AO285" s="78">
        <f t="shared" si="4"/>
        <v>217</v>
      </c>
      <c r="AP285" s="82">
        <f t="shared" si="5"/>
        <v>14.90148387</v>
      </c>
    </row>
    <row r="286">
      <c r="A286" s="76" t="s">
        <v>21</v>
      </c>
      <c r="B286" s="77">
        <f t="shared" si="6"/>
        <v>44845</v>
      </c>
      <c r="C286" s="78">
        <v>11.0</v>
      </c>
      <c r="D286" s="78" t="s">
        <v>48</v>
      </c>
      <c r="E286" s="80" t="s">
        <v>131</v>
      </c>
      <c r="F286" s="71">
        <v>0.0</v>
      </c>
      <c r="H286" s="72">
        <v>0.0</v>
      </c>
      <c r="J286" s="72">
        <v>0.0</v>
      </c>
      <c r="L286" s="105">
        <v>60.0</v>
      </c>
      <c r="N286" s="104">
        <v>60.0</v>
      </c>
      <c r="P286" s="104">
        <v>0.0</v>
      </c>
      <c r="R286" s="104">
        <v>45.0</v>
      </c>
      <c r="T286" s="104">
        <v>0.0</v>
      </c>
      <c r="V286" s="104">
        <v>0.0</v>
      </c>
      <c r="X286" s="104">
        <v>0.0</v>
      </c>
      <c r="Y286" s="73"/>
      <c r="Z286" s="105">
        <v>26.0</v>
      </c>
      <c r="AB286" s="104">
        <v>26.0</v>
      </c>
      <c r="AD286" s="104">
        <v>0.0</v>
      </c>
      <c r="AF286" s="113"/>
      <c r="AH286" s="113"/>
      <c r="AJ286" s="113"/>
      <c r="AK286" s="73"/>
      <c r="AL286" s="81">
        <f t="shared" si="1"/>
        <v>3233.622</v>
      </c>
      <c r="AM286" s="78">
        <f t="shared" si="2"/>
        <v>217</v>
      </c>
      <c r="AN286" s="78">
        <f t="shared" si="3"/>
        <v>0</v>
      </c>
      <c r="AO286" s="78">
        <f t="shared" si="4"/>
        <v>217</v>
      </c>
      <c r="AP286" s="82">
        <f t="shared" si="5"/>
        <v>14.90148387</v>
      </c>
    </row>
    <row r="287">
      <c r="A287" s="76" t="s">
        <v>24</v>
      </c>
      <c r="B287" s="77">
        <f t="shared" si="6"/>
        <v>44846</v>
      </c>
      <c r="C287" s="78">
        <v>11.0</v>
      </c>
      <c r="D287" s="78" t="s">
        <v>48</v>
      </c>
      <c r="E287" s="80" t="s">
        <v>131</v>
      </c>
      <c r="F287" s="71">
        <v>0.0</v>
      </c>
      <c r="H287" s="72">
        <v>0.0</v>
      </c>
      <c r="J287" s="72">
        <v>0.0</v>
      </c>
      <c r="L287" s="105">
        <v>60.0</v>
      </c>
      <c r="N287" s="104">
        <v>60.0</v>
      </c>
      <c r="P287" s="104">
        <v>0.0</v>
      </c>
      <c r="R287" s="104">
        <v>45.0</v>
      </c>
      <c r="T287" s="104">
        <v>0.0</v>
      </c>
      <c r="V287" s="104">
        <v>0.0</v>
      </c>
      <c r="X287" s="104">
        <v>0.0</v>
      </c>
      <c r="Y287" s="73"/>
      <c r="Z287" s="105">
        <v>26.0</v>
      </c>
      <c r="AB287" s="104">
        <v>26.0</v>
      </c>
      <c r="AD287" s="104">
        <v>0.0</v>
      </c>
      <c r="AF287" s="113"/>
      <c r="AH287" s="113"/>
      <c r="AJ287" s="113"/>
      <c r="AK287" s="73"/>
      <c r="AL287" s="81">
        <f t="shared" si="1"/>
        <v>3233.622</v>
      </c>
      <c r="AM287" s="78">
        <f t="shared" si="2"/>
        <v>217</v>
      </c>
      <c r="AN287" s="78">
        <f t="shared" si="3"/>
        <v>0</v>
      </c>
      <c r="AO287" s="78">
        <f t="shared" si="4"/>
        <v>217</v>
      </c>
      <c r="AP287" s="82">
        <f t="shared" si="5"/>
        <v>14.90148387</v>
      </c>
    </row>
    <row r="288">
      <c r="A288" s="76" t="s">
        <v>27</v>
      </c>
      <c r="B288" s="77">
        <f t="shared" si="6"/>
        <v>44847</v>
      </c>
      <c r="C288" s="78">
        <v>11.0</v>
      </c>
      <c r="D288" s="78" t="s">
        <v>48</v>
      </c>
      <c r="E288" s="80" t="s">
        <v>131</v>
      </c>
      <c r="F288" s="71">
        <v>0.0</v>
      </c>
      <c r="H288" s="72">
        <v>0.0</v>
      </c>
      <c r="J288" s="72">
        <v>0.0</v>
      </c>
      <c r="L288" s="105">
        <v>60.0</v>
      </c>
      <c r="N288" s="104">
        <v>60.0</v>
      </c>
      <c r="P288" s="104">
        <v>0.0</v>
      </c>
      <c r="R288" s="104">
        <v>45.0</v>
      </c>
      <c r="T288" s="104">
        <v>0.0</v>
      </c>
      <c r="V288" s="104">
        <v>0.0</v>
      </c>
      <c r="X288" s="104">
        <v>0.0</v>
      </c>
      <c r="Y288" s="73"/>
      <c r="Z288" s="105">
        <v>10.0</v>
      </c>
      <c r="AB288" s="104">
        <v>10.0</v>
      </c>
      <c r="AD288" s="104">
        <v>0.0</v>
      </c>
      <c r="AF288" s="113"/>
      <c r="AH288" s="113"/>
      <c r="AJ288" s="113"/>
      <c r="AK288" s="73"/>
      <c r="AL288" s="81">
        <f t="shared" si="1"/>
        <v>2688.63</v>
      </c>
      <c r="AM288" s="78">
        <f t="shared" si="2"/>
        <v>185</v>
      </c>
      <c r="AN288" s="78">
        <f t="shared" si="3"/>
        <v>0</v>
      </c>
      <c r="AO288" s="78">
        <f t="shared" si="4"/>
        <v>185</v>
      </c>
      <c r="AP288" s="82">
        <f t="shared" si="5"/>
        <v>14.53313514</v>
      </c>
    </row>
    <row r="289">
      <c r="A289" s="83" t="s">
        <v>30</v>
      </c>
      <c r="B289" s="84">
        <f t="shared" si="6"/>
        <v>44848</v>
      </c>
      <c r="C289" s="85">
        <v>11.0</v>
      </c>
      <c r="D289" s="85" t="s">
        <v>48</v>
      </c>
      <c r="E289" s="87" t="s">
        <v>131</v>
      </c>
      <c r="F289" s="88">
        <v>0.0</v>
      </c>
      <c r="G289" s="89"/>
      <c r="H289" s="90">
        <v>0.0</v>
      </c>
      <c r="I289" s="89"/>
      <c r="J289" s="90">
        <v>0.0</v>
      </c>
      <c r="K289" s="89"/>
      <c r="L289" s="112">
        <v>0.0</v>
      </c>
      <c r="M289" s="89"/>
      <c r="N289" s="111">
        <v>0.0</v>
      </c>
      <c r="O289" s="89"/>
      <c r="P289" s="111">
        <v>0.0</v>
      </c>
      <c r="Q289" s="89"/>
      <c r="R289" s="111">
        <v>0.0</v>
      </c>
      <c r="S289" s="89"/>
      <c r="T289" s="111">
        <v>0.0</v>
      </c>
      <c r="U289" s="89"/>
      <c r="V289" s="111">
        <v>0.0</v>
      </c>
      <c r="W289" s="89"/>
      <c r="X289" s="111">
        <v>0.0</v>
      </c>
      <c r="Y289" s="91"/>
      <c r="Z289" s="112">
        <v>0.0</v>
      </c>
      <c r="AA289" s="89"/>
      <c r="AB289" s="111">
        <v>0.0</v>
      </c>
      <c r="AC289" s="89"/>
      <c r="AD289" s="111">
        <v>0.0</v>
      </c>
      <c r="AE289" s="89"/>
      <c r="AF289" s="117"/>
      <c r="AG289" s="89"/>
      <c r="AH289" s="117"/>
      <c r="AI289" s="89"/>
      <c r="AJ289" s="117"/>
      <c r="AK289" s="91"/>
      <c r="AL289" s="92">
        <f t="shared" si="1"/>
        <v>0</v>
      </c>
      <c r="AM289" s="85">
        <f t="shared" si="2"/>
        <v>0</v>
      </c>
      <c r="AN289" s="85">
        <f t="shared" si="3"/>
        <v>0</v>
      </c>
      <c r="AO289" s="85">
        <f t="shared" si="4"/>
        <v>0</v>
      </c>
      <c r="AP289" s="93" t="str">
        <f t="shared" si="5"/>
        <v/>
      </c>
    </row>
    <row r="290">
      <c r="A290" s="66" t="s">
        <v>11</v>
      </c>
      <c r="B290" s="94">
        <f t="shared" si="6"/>
        <v>44849</v>
      </c>
      <c r="C290" s="68">
        <v>11.0</v>
      </c>
      <c r="D290" s="68" t="s">
        <v>59</v>
      </c>
      <c r="E290" s="70" t="s">
        <v>131</v>
      </c>
      <c r="F290" s="71">
        <v>0.0</v>
      </c>
      <c r="H290" s="72">
        <v>0.0</v>
      </c>
      <c r="J290" s="72">
        <v>0.0</v>
      </c>
      <c r="L290" s="105">
        <v>60.0</v>
      </c>
      <c r="N290" s="104">
        <v>60.0</v>
      </c>
      <c r="P290" s="104">
        <v>0.0</v>
      </c>
      <c r="R290" s="104">
        <v>45.0</v>
      </c>
      <c r="T290" s="104">
        <v>1.0</v>
      </c>
      <c r="V290" s="104">
        <v>1.0</v>
      </c>
      <c r="X290" s="104">
        <v>0.0</v>
      </c>
      <c r="Y290" s="73"/>
      <c r="Z290" s="105">
        <v>26.0</v>
      </c>
      <c r="AB290" s="104">
        <v>26.0</v>
      </c>
      <c r="AD290" s="104">
        <v>0.0</v>
      </c>
      <c r="AF290" s="113"/>
      <c r="AH290" s="113"/>
      <c r="AJ290" s="113"/>
      <c r="AK290" s="73"/>
      <c r="AL290" s="74">
        <f t="shared" si="1"/>
        <v>3968.622</v>
      </c>
      <c r="AM290" s="68">
        <f t="shared" si="2"/>
        <v>217</v>
      </c>
      <c r="AN290" s="68">
        <f t="shared" si="3"/>
        <v>2</v>
      </c>
      <c r="AO290" s="68">
        <f t="shared" si="4"/>
        <v>219</v>
      </c>
      <c r="AP290" s="75">
        <f t="shared" si="5"/>
        <v>18.12156164</v>
      </c>
    </row>
    <row r="291">
      <c r="A291" s="76" t="s">
        <v>16</v>
      </c>
      <c r="B291" s="77">
        <f t="shared" si="6"/>
        <v>44850</v>
      </c>
      <c r="C291" s="78">
        <v>11.0</v>
      </c>
      <c r="D291" s="78" t="s">
        <v>59</v>
      </c>
      <c r="E291" s="80" t="s">
        <v>131</v>
      </c>
      <c r="F291" s="71">
        <v>0.0</v>
      </c>
      <c r="H291" s="72">
        <v>0.0</v>
      </c>
      <c r="J291" s="72">
        <v>0.0</v>
      </c>
      <c r="L291" s="105">
        <v>60.0</v>
      </c>
      <c r="N291" s="104">
        <v>60.0</v>
      </c>
      <c r="P291" s="104">
        <v>0.0</v>
      </c>
      <c r="R291" s="104">
        <v>45.0</v>
      </c>
      <c r="T291" s="104">
        <v>0.0</v>
      </c>
      <c r="V291" s="104">
        <v>0.0</v>
      </c>
      <c r="X291" s="104">
        <v>0.0</v>
      </c>
      <c r="Y291" s="73"/>
      <c r="Z291" s="105">
        <v>26.0</v>
      </c>
      <c r="AB291" s="104">
        <v>26.0</v>
      </c>
      <c r="AD291" s="104">
        <v>0.0</v>
      </c>
      <c r="AF291" s="113"/>
      <c r="AH291" s="113"/>
      <c r="AJ291" s="113"/>
      <c r="AK291" s="73"/>
      <c r="AL291" s="81">
        <f t="shared" si="1"/>
        <v>3233.622</v>
      </c>
      <c r="AM291" s="78">
        <f t="shared" si="2"/>
        <v>217</v>
      </c>
      <c r="AN291" s="78">
        <f t="shared" si="3"/>
        <v>0</v>
      </c>
      <c r="AO291" s="78">
        <f t="shared" si="4"/>
        <v>217</v>
      </c>
      <c r="AP291" s="82">
        <f t="shared" si="5"/>
        <v>14.90148387</v>
      </c>
    </row>
    <row r="292">
      <c r="A292" s="76" t="s">
        <v>17</v>
      </c>
      <c r="B292" s="77">
        <f t="shared" si="6"/>
        <v>44851</v>
      </c>
      <c r="C292" s="78">
        <v>11.0</v>
      </c>
      <c r="D292" s="78" t="s">
        <v>59</v>
      </c>
      <c r="E292" s="80" t="s">
        <v>131</v>
      </c>
      <c r="F292" s="71">
        <v>0.0</v>
      </c>
      <c r="H292" s="72">
        <v>0.0</v>
      </c>
      <c r="J292" s="72">
        <v>0.0</v>
      </c>
      <c r="L292" s="105">
        <v>60.0</v>
      </c>
      <c r="N292" s="104">
        <v>60.0</v>
      </c>
      <c r="P292" s="104">
        <v>0.0</v>
      </c>
      <c r="R292" s="104">
        <v>45.0</v>
      </c>
      <c r="T292" s="104">
        <v>0.0</v>
      </c>
      <c r="V292" s="104">
        <v>0.0</v>
      </c>
      <c r="X292" s="104">
        <v>0.0</v>
      </c>
      <c r="Y292" s="73"/>
      <c r="Z292" s="105">
        <v>26.0</v>
      </c>
      <c r="AB292" s="104">
        <v>26.0</v>
      </c>
      <c r="AD292" s="104">
        <v>0.0</v>
      </c>
      <c r="AF292" s="113"/>
      <c r="AH292" s="113"/>
      <c r="AJ292" s="113"/>
      <c r="AK292" s="73"/>
      <c r="AL292" s="81">
        <f t="shared" si="1"/>
        <v>3233.622</v>
      </c>
      <c r="AM292" s="78">
        <f t="shared" si="2"/>
        <v>217</v>
      </c>
      <c r="AN292" s="78">
        <f t="shared" si="3"/>
        <v>0</v>
      </c>
      <c r="AO292" s="78">
        <f t="shared" si="4"/>
        <v>217</v>
      </c>
      <c r="AP292" s="82">
        <f t="shared" si="5"/>
        <v>14.90148387</v>
      </c>
    </row>
    <row r="293">
      <c r="A293" s="76" t="s">
        <v>21</v>
      </c>
      <c r="B293" s="77">
        <f t="shared" si="6"/>
        <v>44852</v>
      </c>
      <c r="C293" s="78">
        <v>11.0</v>
      </c>
      <c r="D293" s="78" t="s">
        <v>59</v>
      </c>
      <c r="E293" s="80" t="s">
        <v>131</v>
      </c>
      <c r="F293" s="71">
        <v>0.0</v>
      </c>
      <c r="H293" s="72">
        <v>0.0</v>
      </c>
      <c r="J293" s="72">
        <v>0.0</v>
      </c>
      <c r="L293" s="105">
        <v>60.0</v>
      </c>
      <c r="N293" s="104">
        <v>60.0</v>
      </c>
      <c r="P293" s="104">
        <v>0.0</v>
      </c>
      <c r="R293" s="104">
        <v>45.0</v>
      </c>
      <c r="T293" s="104">
        <v>0.0</v>
      </c>
      <c r="V293" s="104">
        <v>0.0</v>
      </c>
      <c r="X293" s="104">
        <v>0.0</v>
      </c>
      <c r="Y293" s="73"/>
      <c r="Z293" s="105">
        <v>26.0</v>
      </c>
      <c r="AB293" s="104">
        <v>26.0</v>
      </c>
      <c r="AD293" s="104">
        <v>0.0</v>
      </c>
      <c r="AF293" s="113"/>
      <c r="AH293" s="113"/>
      <c r="AJ293" s="113"/>
      <c r="AK293" s="73"/>
      <c r="AL293" s="81">
        <f t="shared" si="1"/>
        <v>3233.622</v>
      </c>
      <c r="AM293" s="78">
        <f t="shared" si="2"/>
        <v>217</v>
      </c>
      <c r="AN293" s="78">
        <f t="shared" si="3"/>
        <v>0</v>
      </c>
      <c r="AO293" s="78">
        <f t="shared" si="4"/>
        <v>217</v>
      </c>
      <c r="AP293" s="82">
        <f t="shared" si="5"/>
        <v>14.90148387</v>
      </c>
    </row>
    <row r="294">
      <c r="A294" s="76" t="s">
        <v>24</v>
      </c>
      <c r="B294" s="77">
        <f t="shared" si="6"/>
        <v>44853</v>
      </c>
      <c r="C294" s="78">
        <v>11.0</v>
      </c>
      <c r="D294" s="78" t="s">
        <v>59</v>
      </c>
      <c r="E294" s="80" t="s">
        <v>131</v>
      </c>
      <c r="F294" s="71">
        <v>0.0</v>
      </c>
      <c r="H294" s="72">
        <v>0.0</v>
      </c>
      <c r="J294" s="72">
        <v>0.0</v>
      </c>
      <c r="L294" s="105">
        <v>60.0</v>
      </c>
      <c r="N294" s="104">
        <v>60.0</v>
      </c>
      <c r="P294" s="104">
        <v>0.0</v>
      </c>
      <c r="R294" s="104">
        <v>45.0</v>
      </c>
      <c r="T294" s="104">
        <v>0.0</v>
      </c>
      <c r="V294" s="104">
        <v>0.0</v>
      </c>
      <c r="X294" s="104">
        <v>0.0</v>
      </c>
      <c r="Y294" s="73"/>
      <c r="Z294" s="105">
        <v>26.0</v>
      </c>
      <c r="AB294" s="104">
        <v>26.0</v>
      </c>
      <c r="AD294" s="104">
        <v>0.0</v>
      </c>
      <c r="AF294" s="113"/>
      <c r="AH294" s="113"/>
      <c r="AJ294" s="113"/>
      <c r="AK294" s="73"/>
      <c r="AL294" s="81">
        <f t="shared" si="1"/>
        <v>3233.622</v>
      </c>
      <c r="AM294" s="78">
        <f t="shared" si="2"/>
        <v>217</v>
      </c>
      <c r="AN294" s="78">
        <f t="shared" si="3"/>
        <v>0</v>
      </c>
      <c r="AO294" s="78">
        <f t="shared" si="4"/>
        <v>217</v>
      </c>
      <c r="AP294" s="82">
        <f t="shared" si="5"/>
        <v>14.90148387</v>
      </c>
    </row>
    <row r="295">
      <c r="A295" s="76" t="s">
        <v>27</v>
      </c>
      <c r="B295" s="77">
        <f t="shared" si="6"/>
        <v>44854</v>
      </c>
      <c r="C295" s="78">
        <v>11.0</v>
      </c>
      <c r="D295" s="78" t="s">
        <v>59</v>
      </c>
      <c r="E295" s="80" t="s">
        <v>131</v>
      </c>
      <c r="F295" s="71">
        <v>0.0</v>
      </c>
      <c r="H295" s="72">
        <v>0.0</v>
      </c>
      <c r="J295" s="72">
        <v>0.0</v>
      </c>
      <c r="L295" s="105">
        <v>60.0</v>
      </c>
      <c r="N295" s="104">
        <v>60.0</v>
      </c>
      <c r="P295" s="104">
        <v>0.0</v>
      </c>
      <c r="R295" s="104">
        <v>45.0</v>
      </c>
      <c r="T295" s="104">
        <v>0.0</v>
      </c>
      <c r="V295" s="104">
        <v>0.0</v>
      </c>
      <c r="X295" s="104">
        <v>0.0</v>
      </c>
      <c r="Y295" s="73"/>
      <c r="Z295" s="105">
        <v>10.0</v>
      </c>
      <c r="AB295" s="104">
        <v>10.0</v>
      </c>
      <c r="AD295" s="104">
        <v>0.0</v>
      </c>
      <c r="AF295" s="113"/>
      <c r="AH295" s="113"/>
      <c r="AJ295" s="113"/>
      <c r="AK295" s="73"/>
      <c r="AL295" s="81">
        <f t="shared" si="1"/>
        <v>2688.63</v>
      </c>
      <c r="AM295" s="78">
        <f t="shared" si="2"/>
        <v>185</v>
      </c>
      <c r="AN295" s="78">
        <f t="shared" si="3"/>
        <v>0</v>
      </c>
      <c r="AO295" s="78">
        <f t="shared" si="4"/>
        <v>185</v>
      </c>
      <c r="AP295" s="82">
        <f t="shared" si="5"/>
        <v>14.53313514</v>
      </c>
    </row>
    <row r="296">
      <c r="A296" s="83" t="s">
        <v>30</v>
      </c>
      <c r="B296" s="84">
        <f t="shared" si="6"/>
        <v>44855</v>
      </c>
      <c r="C296" s="85">
        <v>11.0</v>
      </c>
      <c r="D296" s="85" t="s">
        <v>59</v>
      </c>
      <c r="E296" s="87" t="s">
        <v>131</v>
      </c>
      <c r="F296" s="88">
        <v>0.0</v>
      </c>
      <c r="G296" s="89"/>
      <c r="H296" s="90">
        <v>0.0</v>
      </c>
      <c r="I296" s="89"/>
      <c r="J296" s="90">
        <v>0.0</v>
      </c>
      <c r="K296" s="89"/>
      <c r="L296" s="112">
        <v>0.0</v>
      </c>
      <c r="M296" s="89"/>
      <c r="N296" s="111">
        <v>0.0</v>
      </c>
      <c r="O296" s="89"/>
      <c r="P296" s="111">
        <v>0.0</v>
      </c>
      <c r="Q296" s="89"/>
      <c r="R296" s="111">
        <v>0.0</v>
      </c>
      <c r="S296" s="89"/>
      <c r="T296" s="111">
        <v>0.0</v>
      </c>
      <c r="U296" s="89"/>
      <c r="V296" s="111">
        <v>0.0</v>
      </c>
      <c r="W296" s="89"/>
      <c r="X296" s="111">
        <v>0.0</v>
      </c>
      <c r="Y296" s="91"/>
      <c r="Z296" s="112">
        <v>0.0</v>
      </c>
      <c r="AA296" s="89"/>
      <c r="AB296" s="111">
        <v>0.0</v>
      </c>
      <c r="AC296" s="89"/>
      <c r="AD296" s="111">
        <v>0.0</v>
      </c>
      <c r="AE296" s="89"/>
      <c r="AF296" s="117"/>
      <c r="AG296" s="89"/>
      <c r="AH296" s="117"/>
      <c r="AI296" s="89"/>
      <c r="AJ296" s="117"/>
      <c r="AK296" s="91"/>
      <c r="AL296" s="92">
        <f t="shared" si="1"/>
        <v>0</v>
      </c>
      <c r="AM296" s="85">
        <f t="shared" si="2"/>
        <v>0</v>
      </c>
      <c r="AN296" s="85">
        <f t="shared" si="3"/>
        <v>0</v>
      </c>
      <c r="AO296" s="85">
        <f t="shared" si="4"/>
        <v>0</v>
      </c>
      <c r="AP296" s="93" t="str">
        <f t="shared" si="5"/>
        <v/>
      </c>
    </row>
    <row r="297">
      <c r="A297" s="66" t="s">
        <v>11</v>
      </c>
      <c r="B297" s="94">
        <f t="shared" si="6"/>
        <v>44856</v>
      </c>
      <c r="C297" s="68">
        <v>11.0</v>
      </c>
      <c r="D297" s="68" t="s">
        <v>12</v>
      </c>
      <c r="E297" s="70" t="s">
        <v>131</v>
      </c>
      <c r="F297" s="71">
        <v>0.0</v>
      </c>
      <c r="H297" s="72">
        <v>0.0</v>
      </c>
      <c r="J297" s="72">
        <v>0.0</v>
      </c>
      <c r="L297" s="105">
        <v>30.0</v>
      </c>
      <c r="N297" s="104">
        <v>30.0</v>
      </c>
      <c r="P297" s="104">
        <v>0.0</v>
      </c>
      <c r="R297" s="104">
        <v>0.0</v>
      </c>
      <c r="T297" s="104">
        <v>1.0</v>
      </c>
      <c r="V297" s="104">
        <v>1.0</v>
      </c>
      <c r="X297" s="104">
        <v>0.0</v>
      </c>
      <c r="Y297" s="73"/>
      <c r="Z297" s="105">
        <v>26.0</v>
      </c>
      <c r="AB297" s="104">
        <v>26.0</v>
      </c>
      <c r="AD297" s="104">
        <v>0.0</v>
      </c>
      <c r="AF297" s="113"/>
      <c r="AH297" s="113"/>
      <c r="AJ297" s="113"/>
      <c r="AK297" s="73"/>
      <c r="AL297" s="74">
        <f t="shared" si="1"/>
        <v>2642.472</v>
      </c>
      <c r="AM297" s="68">
        <f t="shared" si="2"/>
        <v>112</v>
      </c>
      <c r="AN297" s="68">
        <f t="shared" si="3"/>
        <v>2</v>
      </c>
      <c r="AO297" s="68">
        <f t="shared" si="4"/>
        <v>114</v>
      </c>
      <c r="AP297" s="75">
        <f t="shared" si="5"/>
        <v>23.17957895</v>
      </c>
    </row>
    <row r="298">
      <c r="A298" s="76" t="s">
        <v>16</v>
      </c>
      <c r="B298" s="77">
        <f t="shared" si="6"/>
        <v>44857</v>
      </c>
      <c r="C298" s="78">
        <v>11.0</v>
      </c>
      <c r="D298" s="78" t="s">
        <v>12</v>
      </c>
      <c r="E298" s="80" t="s">
        <v>131</v>
      </c>
      <c r="F298" s="71">
        <v>0.0</v>
      </c>
      <c r="H298" s="72">
        <v>0.0</v>
      </c>
      <c r="J298" s="72">
        <v>0.0</v>
      </c>
      <c r="L298" s="105">
        <v>30.0</v>
      </c>
      <c r="N298" s="104">
        <v>30.0</v>
      </c>
      <c r="P298" s="104">
        <v>0.0</v>
      </c>
      <c r="R298" s="104">
        <v>0.0</v>
      </c>
      <c r="T298" s="104">
        <v>0.0</v>
      </c>
      <c r="V298" s="104">
        <v>0.0</v>
      </c>
      <c r="X298" s="104">
        <v>0.0</v>
      </c>
      <c r="Y298" s="73"/>
      <c r="Z298" s="105">
        <v>26.0</v>
      </c>
      <c r="AB298" s="104">
        <v>26.0</v>
      </c>
      <c r="AD298" s="104">
        <v>0.0</v>
      </c>
      <c r="AF298" s="113"/>
      <c r="AH298" s="113"/>
      <c r="AJ298" s="113"/>
      <c r="AK298" s="73"/>
      <c r="AL298" s="81">
        <f t="shared" si="1"/>
        <v>1907.472</v>
      </c>
      <c r="AM298" s="78">
        <f t="shared" si="2"/>
        <v>112</v>
      </c>
      <c r="AN298" s="78">
        <f t="shared" si="3"/>
        <v>0</v>
      </c>
      <c r="AO298" s="78">
        <f t="shared" si="4"/>
        <v>112</v>
      </c>
      <c r="AP298" s="82">
        <f t="shared" si="5"/>
        <v>17.031</v>
      </c>
    </row>
    <row r="299">
      <c r="A299" s="76" t="s">
        <v>17</v>
      </c>
      <c r="B299" s="77">
        <f t="shared" si="6"/>
        <v>44858</v>
      </c>
      <c r="C299" s="78">
        <v>11.0</v>
      </c>
      <c r="D299" s="78" t="s">
        <v>12</v>
      </c>
      <c r="E299" s="80" t="s">
        <v>131</v>
      </c>
      <c r="F299" s="71">
        <v>0.0</v>
      </c>
      <c r="H299" s="72">
        <v>0.0</v>
      </c>
      <c r="J299" s="72">
        <v>0.0</v>
      </c>
      <c r="L299" s="105">
        <v>30.0</v>
      </c>
      <c r="N299" s="104">
        <v>30.0</v>
      </c>
      <c r="P299" s="104">
        <v>0.0</v>
      </c>
      <c r="R299" s="104">
        <v>0.0</v>
      </c>
      <c r="T299" s="104">
        <v>0.0</v>
      </c>
      <c r="V299" s="104">
        <v>0.0</v>
      </c>
      <c r="X299" s="104">
        <v>0.0</v>
      </c>
      <c r="Y299" s="73"/>
      <c r="Z299" s="105">
        <v>26.0</v>
      </c>
      <c r="AB299" s="104">
        <v>26.0</v>
      </c>
      <c r="AD299" s="104">
        <v>0.0</v>
      </c>
      <c r="AF299" s="113"/>
      <c r="AH299" s="113"/>
      <c r="AJ299" s="113"/>
      <c r="AK299" s="73"/>
      <c r="AL299" s="81">
        <f t="shared" si="1"/>
        <v>1907.472</v>
      </c>
      <c r="AM299" s="78">
        <f t="shared" si="2"/>
        <v>112</v>
      </c>
      <c r="AN299" s="78">
        <f t="shared" si="3"/>
        <v>0</v>
      </c>
      <c r="AO299" s="78">
        <f t="shared" si="4"/>
        <v>112</v>
      </c>
      <c r="AP299" s="82">
        <f t="shared" si="5"/>
        <v>17.031</v>
      </c>
    </row>
    <row r="300">
      <c r="A300" s="76" t="s">
        <v>21</v>
      </c>
      <c r="B300" s="77">
        <f t="shared" si="6"/>
        <v>44859</v>
      </c>
      <c r="C300" s="78">
        <v>11.0</v>
      </c>
      <c r="D300" s="78" t="s">
        <v>12</v>
      </c>
      <c r="E300" s="80" t="s">
        <v>131</v>
      </c>
      <c r="F300" s="71">
        <v>0.0</v>
      </c>
      <c r="H300" s="72">
        <v>0.0</v>
      </c>
      <c r="J300" s="72">
        <v>0.0</v>
      </c>
      <c r="L300" s="105">
        <v>30.0</v>
      </c>
      <c r="N300" s="104">
        <v>30.0</v>
      </c>
      <c r="P300" s="104">
        <v>0.0</v>
      </c>
      <c r="R300" s="104">
        <v>0.0</v>
      </c>
      <c r="T300" s="104">
        <v>0.0</v>
      </c>
      <c r="V300" s="104">
        <v>0.0</v>
      </c>
      <c r="X300" s="104">
        <v>0.0</v>
      </c>
      <c r="Y300" s="73"/>
      <c r="Z300" s="105">
        <v>26.0</v>
      </c>
      <c r="AB300" s="104">
        <v>26.0</v>
      </c>
      <c r="AD300" s="104">
        <v>0.0</v>
      </c>
      <c r="AF300" s="113"/>
      <c r="AH300" s="113"/>
      <c r="AJ300" s="113"/>
      <c r="AK300" s="73"/>
      <c r="AL300" s="81">
        <f t="shared" si="1"/>
        <v>1907.472</v>
      </c>
      <c r="AM300" s="78">
        <f t="shared" si="2"/>
        <v>112</v>
      </c>
      <c r="AN300" s="78">
        <f t="shared" si="3"/>
        <v>0</v>
      </c>
      <c r="AO300" s="78">
        <f t="shared" si="4"/>
        <v>112</v>
      </c>
      <c r="AP300" s="82">
        <f t="shared" si="5"/>
        <v>17.031</v>
      </c>
    </row>
    <row r="301">
      <c r="A301" s="76" t="s">
        <v>24</v>
      </c>
      <c r="B301" s="77">
        <f t="shared" si="6"/>
        <v>44860</v>
      </c>
      <c r="C301" s="78">
        <v>11.0</v>
      </c>
      <c r="D301" s="78" t="s">
        <v>12</v>
      </c>
      <c r="E301" s="80" t="s">
        <v>131</v>
      </c>
      <c r="F301" s="71">
        <v>0.0</v>
      </c>
      <c r="H301" s="72">
        <v>0.0</v>
      </c>
      <c r="J301" s="72">
        <v>0.0</v>
      </c>
      <c r="L301" s="105">
        <v>30.0</v>
      </c>
      <c r="N301" s="104">
        <v>30.0</v>
      </c>
      <c r="P301" s="104">
        <v>0.0</v>
      </c>
      <c r="R301" s="104">
        <v>0.0</v>
      </c>
      <c r="T301" s="104">
        <v>0.0</v>
      </c>
      <c r="V301" s="104">
        <v>0.0</v>
      </c>
      <c r="X301" s="104">
        <v>0.0</v>
      </c>
      <c r="Y301" s="73"/>
      <c r="Z301" s="105">
        <v>26.0</v>
      </c>
      <c r="AB301" s="104">
        <v>26.0</v>
      </c>
      <c r="AD301" s="104">
        <v>0.0</v>
      </c>
      <c r="AF301" s="113"/>
      <c r="AH301" s="113"/>
      <c r="AJ301" s="113"/>
      <c r="AK301" s="73"/>
      <c r="AL301" s="81">
        <f t="shared" si="1"/>
        <v>1907.472</v>
      </c>
      <c r="AM301" s="78">
        <f t="shared" si="2"/>
        <v>112</v>
      </c>
      <c r="AN301" s="78">
        <f t="shared" si="3"/>
        <v>0</v>
      </c>
      <c r="AO301" s="78">
        <f t="shared" si="4"/>
        <v>112</v>
      </c>
      <c r="AP301" s="82">
        <f t="shared" si="5"/>
        <v>17.031</v>
      </c>
    </row>
    <row r="302">
      <c r="A302" s="76" t="s">
        <v>27</v>
      </c>
      <c r="B302" s="77">
        <f t="shared" si="6"/>
        <v>44861</v>
      </c>
      <c r="C302" s="78">
        <v>11.0</v>
      </c>
      <c r="D302" s="78" t="s">
        <v>12</v>
      </c>
      <c r="E302" s="80" t="s">
        <v>131</v>
      </c>
      <c r="F302" s="71">
        <v>0.0</v>
      </c>
      <c r="H302" s="72">
        <v>0.0</v>
      </c>
      <c r="J302" s="72">
        <v>0.0</v>
      </c>
      <c r="L302" s="105">
        <v>30.0</v>
      </c>
      <c r="N302" s="104">
        <v>30.0</v>
      </c>
      <c r="P302" s="104">
        <v>0.0</v>
      </c>
      <c r="R302" s="104">
        <v>0.0</v>
      </c>
      <c r="T302" s="104">
        <v>0.0</v>
      </c>
      <c r="V302" s="104">
        <v>0.0</v>
      </c>
      <c r="X302" s="104">
        <v>0.0</v>
      </c>
      <c r="Y302" s="73"/>
      <c r="Z302" s="105">
        <v>10.0</v>
      </c>
      <c r="AB302" s="104">
        <v>10.0</v>
      </c>
      <c r="AD302" s="104">
        <v>0.0</v>
      </c>
      <c r="AF302" s="113"/>
      <c r="AH302" s="113"/>
      <c r="AJ302" s="113"/>
      <c r="AK302" s="73"/>
      <c r="AL302" s="81">
        <f t="shared" si="1"/>
        <v>1362.48</v>
      </c>
      <c r="AM302" s="78">
        <f t="shared" si="2"/>
        <v>80</v>
      </c>
      <c r="AN302" s="78">
        <f t="shared" si="3"/>
        <v>0</v>
      </c>
      <c r="AO302" s="78">
        <f t="shared" si="4"/>
        <v>80</v>
      </c>
      <c r="AP302" s="82">
        <f t="shared" si="5"/>
        <v>17.031</v>
      </c>
    </row>
    <row r="303">
      <c r="A303" s="83" t="s">
        <v>30</v>
      </c>
      <c r="B303" s="84">
        <f t="shared" si="6"/>
        <v>44862</v>
      </c>
      <c r="C303" s="85">
        <v>11.0</v>
      </c>
      <c r="D303" s="85" t="s">
        <v>12</v>
      </c>
      <c r="E303" s="87" t="s">
        <v>131</v>
      </c>
      <c r="F303" s="88">
        <v>0.0</v>
      </c>
      <c r="G303" s="89"/>
      <c r="H303" s="90">
        <v>0.0</v>
      </c>
      <c r="I303" s="89"/>
      <c r="J303" s="90">
        <v>0.0</v>
      </c>
      <c r="K303" s="89"/>
      <c r="L303" s="112">
        <v>0.0</v>
      </c>
      <c r="M303" s="89"/>
      <c r="N303" s="111">
        <v>0.0</v>
      </c>
      <c r="O303" s="89"/>
      <c r="P303" s="111">
        <v>0.0</v>
      </c>
      <c r="Q303" s="89"/>
      <c r="R303" s="111">
        <v>0.0</v>
      </c>
      <c r="S303" s="89"/>
      <c r="T303" s="111">
        <v>0.0</v>
      </c>
      <c r="U303" s="89"/>
      <c r="V303" s="111">
        <v>0.0</v>
      </c>
      <c r="W303" s="89"/>
      <c r="X303" s="111">
        <v>0.0</v>
      </c>
      <c r="Y303" s="91"/>
      <c r="Z303" s="112">
        <v>0.0</v>
      </c>
      <c r="AA303" s="89"/>
      <c r="AB303" s="111">
        <v>0.0</v>
      </c>
      <c r="AC303" s="89"/>
      <c r="AD303" s="111">
        <v>0.0</v>
      </c>
      <c r="AE303" s="89"/>
      <c r="AF303" s="117"/>
      <c r="AG303" s="89"/>
      <c r="AH303" s="117"/>
      <c r="AI303" s="89"/>
      <c r="AJ303" s="117"/>
      <c r="AK303" s="91"/>
      <c r="AL303" s="92">
        <f t="shared" si="1"/>
        <v>0</v>
      </c>
      <c r="AM303" s="85">
        <f t="shared" si="2"/>
        <v>0</v>
      </c>
      <c r="AN303" s="85">
        <f t="shared" si="3"/>
        <v>0</v>
      </c>
      <c r="AO303" s="85">
        <f t="shared" si="4"/>
        <v>0</v>
      </c>
      <c r="AP303" s="93" t="str">
        <f t="shared" si="5"/>
        <v/>
      </c>
    </row>
    <row r="304">
      <c r="A304" s="66" t="s">
        <v>11</v>
      </c>
      <c r="B304" s="94">
        <f t="shared" si="6"/>
        <v>44863</v>
      </c>
      <c r="C304" s="68">
        <v>11.0</v>
      </c>
      <c r="D304" s="68" t="s">
        <v>33</v>
      </c>
      <c r="E304" s="70" t="s">
        <v>131</v>
      </c>
      <c r="F304" s="71">
        <v>0.0</v>
      </c>
      <c r="H304" s="72">
        <v>0.0</v>
      </c>
      <c r="J304" s="72">
        <v>0.0</v>
      </c>
      <c r="L304" s="105">
        <v>30.0</v>
      </c>
      <c r="N304" s="104">
        <v>30.0</v>
      </c>
      <c r="P304" s="104">
        <v>0.0</v>
      </c>
      <c r="R304" s="104">
        <v>0.0</v>
      </c>
      <c r="T304" s="104">
        <v>1.0</v>
      </c>
      <c r="V304" s="104">
        <v>1.0</v>
      </c>
      <c r="X304" s="104">
        <v>0.0</v>
      </c>
      <c r="Y304" s="73"/>
      <c r="Z304" s="105">
        <v>26.0</v>
      </c>
      <c r="AB304" s="104">
        <v>26.0</v>
      </c>
      <c r="AD304" s="104">
        <v>0.0</v>
      </c>
      <c r="AF304" s="113"/>
      <c r="AH304" s="113"/>
      <c r="AJ304" s="113"/>
      <c r="AK304" s="73"/>
      <c r="AL304" s="74">
        <f t="shared" si="1"/>
        <v>2642.472</v>
      </c>
      <c r="AM304" s="68">
        <f t="shared" si="2"/>
        <v>112</v>
      </c>
      <c r="AN304" s="68">
        <f t="shared" si="3"/>
        <v>2</v>
      </c>
      <c r="AO304" s="68">
        <f t="shared" si="4"/>
        <v>114</v>
      </c>
      <c r="AP304" s="75">
        <f t="shared" si="5"/>
        <v>23.17957895</v>
      </c>
    </row>
    <row r="305">
      <c r="A305" s="76" t="s">
        <v>16</v>
      </c>
      <c r="B305" s="77">
        <f t="shared" si="6"/>
        <v>44864</v>
      </c>
      <c r="C305" s="78">
        <v>11.0</v>
      </c>
      <c r="D305" s="78" t="s">
        <v>33</v>
      </c>
      <c r="E305" s="80" t="s">
        <v>131</v>
      </c>
      <c r="F305" s="71">
        <v>0.0</v>
      </c>
      <c r="H305" s="72">
        <v>0.0</v>
      </c>
      <c r="J305" s="72">
        <v>0.0</v>
      </c>
      <c r="L305" s="105">
        <v>30.0</v>
      </c>
      <c r="N305" s="104">
        <v>30.0</v>
      </c>
      <c r="P305" s="104">
        <v>0.0</v>
      </c>
      <c r="R305" s="104">
        <v>0.0</v>
      </c>
      <c r="T305" s="104">
        <v>0.0</v>
      </c>
      <c r="V305" s="104">
        <v>0.0</v>
      </c>
      <c r="X305" s="104">
        <v>0.0</v>
      </c>
      <c r="Y305" s="73"/>
      <c r="Z305" s="105">
        <v>26.0</v>
      </c>
      <c r="AB305" s="104">
        <v>26.0</v>
      </c>
      <c r="AD305" s="104">
        <v>0.0</v>
      </c>
      <c r="AF305" s="113"/>
      <c r="AH305" s="113"/>
      <c r="AJ305" s="113"/>
      <c r="AK305" s="73"/>
      <c r="AL305" s="81">
        <f t="shared" si="1"/>
        <v>1907.472</v>
      </c>
      <c r="AM305" s="78">
        <f t="shared" si="2"/>
        <v>112</v>
      </c>
      <c r="AN305" s="78">
        <f t="shared" si="3"/>
        <v>0</v>
      </c>
      <c r="AO305" s="78">
        <f t="shared" si="4"/>
        <v>112</v>
      </c>
      <c r="AP305" s="82">
        <f t="shared" si="5"/>
        <v>17.031</v>
      </c>
    </row>
    <row r="306">
      <c r="A306" s="76" t="s">
        <v>17</v>
      </c>
      <c r="B306" s="77">
        <f t="shared" si="6"/>
        <v>44865</v>
      </c>
      <c r="C306" s="78">
        <v>11.0</v>
      </c>
      <c r="D306" s="78" t="s">
        <v>33</v>
      </c>
      <c r="E306" s="80" t="s">
        <v>131</v>
      </c>
      <c r="F306" s="71">
        <v>0.0</v>
      </c>
      <c r="H306" s="72">
        <v>0.0</v>
      </c>
      <c r="J306" s="72">
        <v>0.0</v>
      </c>
      <c r="L306" s="105">
        <v>30.0</v>
      </c>
      <c r="N306" s="104">
        <v>30.0</v>
      </c>
      <c r="P306" s="104">
        <v>0.0</v>
      </c>
      <c r="R306" s="104">
        <v>0.0</v>
      </c>
      <c r="T306" s="104">
        <v>0.0</v>
      </c>
      <c r="V306" s="104">
        <v>0.0</v>
      </c>
      <c r="X306" s="104">
        <v>0.0</v>
      </c>
      <c r="Y306" s="73"/>
      <c r="Z306" s="105">
        <v>26.0</v>
      </c>
      <c r="AB306" s="104">
        <v>26.0</v>
      </c>
      <c r="AD306" s="104">
        <v>0.0</v>
      </c>
      <c r="AF306" s="113"/>
      <c r="AH306" s="113"/>
      <c r="AJ306" s="113"/>
      <c r="AK306" s="73"/>
      <c r="AL306" s="81">
        <f t="shared" si="1"/>
        <v>1907.472</v>
      </c>
      <c r="AM306" s="78">
        <f t="shared" si="2"/>
        <v>112</v>
      </c>
      <c r="AN306" s="78">
        <f t="shared" si="3"/>
        <v>0</v>
      </c>
      <c r="AO306" s="78">
        <f t="shared" si="4"/>
        <v>112</v>
      </c>
      <c r="AP306" s="82">
        <f t="shared" si="5"/>
        <v>17.031</v>
      </c>
    </row>
    <row r="307">
      <c r="A307" s="76" t="s">
        <v>21</v>
      </c>
      <c r="B307" s="77">
        <f t="shared" si="6"/>
        <v>44866</v>
      </c>
      <c r="C307" s="78">
        <v>11.0</v>
      </c>
      <c r="D307" s="78" t="s">
        <v>33</v>
      </c>
      <c r="E307" s="80" t="s">
        <v>131</v>
      </c>
      <c r="F307" s="71">
        <v>0.0</v>
      </c>
      <c r="H307" s="72">
        <v>0.0</v>
      </c>
      <c r="J307" s="72">
        <v>0.0</v>
      </c>
      <c r="L307" s="105">
        <v>30.0</v>
      </c>
      <c r="N307" s="104">
        <v>30.0</v>
      </c>
      <c r="P307" s="104">
        <v>0.0</v>
      </c>
      <c r="R307" s="104">
        <v>0.0</v>
      </c>
      <c r="T307" s="104">
        <v>0.0</v>
      </c>
      <c r="V307" s="104">
        <v>0.0</v>
      </c>
      <c r="X307" s="104">
        <v>0.0</v>
      </c>
      <c r="Y307" s="73"/>
      <c r="Z307" s="105">
        <v>26.0</v>
      </c>
      <c r="AB307" s="104">
        <v>26.0</v>
      </c>
      <c r="AD307" s="104">
        <v>0.0</v>
      </c>
      <c r="AF307" s="113"/>
      <c r="AH307" s="113"/>
      <c r="AJ307" s="113"/>
      <c r="AK307" s="73"/>
      <c r="AL307" s="81">
        <f t="shared" si="1"/>
        <v>1907.472</v>
      </c>
      <c r="AM307" s="78">
        <f t="shared" si="2"/>
        <v>112</v>
      </c>
      <c r="AN307" s="78">
        <f t="shared" si="3"/>
        <v>0</v>
      </c>
      <c r="AO307" s="78">
        <f t="shared" si="4"/>
        <v>112</v>
      </c>
      <c r="AP307" s="82">
        <f t="shared" si="5"/>
        <v>17.031</v>
      </c>
    </row>
    <row r="308">
      <c r="A308" s="76" t="s">
        <v>24</v>
      </c>
      <c r="B308" s="77">
        <f t="shared" si="6"/>
        <v>44867</v>
      </c>
      <c r="C308" s="78">
        <v>11.0</v>
      </c>
      <c r="D308" s="78" t="s">
        <v>33</v>
      </c>
      <c r="E308" s="80" t="s">
        <v>131</v>
      </c>
      <c r="F308" s="71">
        <v>0.0</v>
      </c>
      <c r="H308" s="72">
        <v>0.0</v>
      </c>
      <c r="J308" s="72">
        <v>0.0</v>
      </c>
      <c r="L308" s="105">
        <v>30.0</v>
      </c>
      <c r="N308" s="104">
        <v>30.0</v>
      </c>
      <c r="P308" s="104">
        <v>0.0</v>
      </c>
      <c r="R308" s="104">
        <v>0.0</v>
      </c>
      <c r="T308" s="104">
        <v>0.0</v>
      </c>
      <c r="V308" s="104">
        <v>0.0</v>
      </c>
      <c r="X308" s="104">
        <v>0.0</v>
      </c>
      <c r="Y308" s="73"/>
      <c r="Z308" s="105">
        <v>26.0</v>
      </c>
      <c r="AB308" s="104">
        <v>26.0</v>
      </c>
      <c r="AD308" s="104">
        <v>0.0</v>
      </c>
      <c r="AF308" s="113"/>
      <c r="AH308" s="113"/>
      <c r="AJ308" s="113"/>
      <c r="AK308" s="73"/>
      <c r="AL308" s="81">
        <f t="shared" si="1"/>
        <v>1907.472</v>
      </c>
      <c r="AM308" s="78">
        <f t="shared" si="2"/>
        <v>112</v>
      </c>
      <c r="AN308" s="78">
        <f t="shared" si="3"/>
        <v>0</v>
      </c>
      <c r="AO308" s="78">
        <f t="shared" si="4"/>
        <v>112</v>
      </c>
      <c r="AP308" s="82">
        <f t="shared" si="5"/>
        <v>17.031</v>
      </c>
    </row>
    <row r="309">
      <c r="A309" s="76" t="s">
        <v>27</v>
      </c>
      <c r="B309" s="77">
        <f t="shared" si="6"/>
        <v>44868</v>
      </c>
      <c r="C309" s="78">
        <v>11.0</v>
      </c>
      <c r="D309" s="78" t="s">
        <v>33</v>
      </c>
      <c r="E309" s="80" t="s">
        <v>131</v>
      </c>
      <c r="F309" s="71">
        <v>0.0</v>
      </c>
      <c r="H309" s="72">
        <v>0.0</v>
      </c>
      <c r="J309" s="72">
        <v>0.0</v>
      </c>
      <c r="L309" s="105">
        <v>30.0</v>
      </c>
      <c r="N309" s="104">
        <v>30.0</v>
      </c>
      <c r="P309" s="104">
        <v>0.0</v>
      </c>
      <c r="R309" s="104">
        <v>0.0</v>
      </c>
      <c r="T309" s="104">
        <v>0.0</v>
      </c>
      <c r="V309" s="104">
        <v>0.0</v>
      </c>
      <c r="X309" s="104">
        <v>0.0</v>
      </c>
      <c r="Y309" s="73"/>
      <c r="Z309" s="105">
        <v>10.0</v>
      </c>
      <c r="AB309" s="104">
        <v>10.0</v>
      </c>
      <c r="AD309" s="104">
        <v>0.0</v>
      </c>
      <c r="AF309" s="113"/>
      <c r="AH309" s="113"/>
      <c r="AJ309" s="113"/>
      <c r="AK309" s="73"/>
      <c r="AL309" s="81">
        <f t="shared" si="1"/>
        <v>1362.48</v>
      </c>
      <c r="AM309" s="78">
        <f t="shared" si="2"/>
        <v>80</v>
      </c>
      <c r="AN309" s="78">
        <f t="shared" si="3"/>
        <v>0</v>
      </c>
      <c r="AO309" s="78">
        <f t="shared" si="4"/>
        <v>80</v>
      </c>
      <c r="AP309" s="82">
        <f t="shared" si="5"/>
        <v>17.031</v>
      </c>
    </row>
    <row r="310">
      <c r="A310" s="83" t="s">
        <v>30</v>
      </c>
      <c r="B310" s="84">
        <f t="shared" si="6"/>
        <v>44869</v>
      </c>
      <c r="C310" s="85">
        <v>11.0</v>
      </c>
      <c r="D310" s="85" t="s">
        <v>33</v>
      </c>
      <c r="E310" s="87" t="s">
        <v>131</v>
      </c>
      <c r="F310" s="88">
        <v>0.0</v>
      </c>
      <c r="G310" s="89"/>
      <c r="H310" s="90">
        <v>0.0</v>
      </c>
      <c r="I310" s="89"/>
      <c r="J310" s="90">
        <v>0.0</v>
      </c>
      <c r="K310" s="89"/>
      <c r="L310" s="112">
        <v>0.0</v>
      </c>
      <c r="M310" s="89"/>
      <c r="N310" s="111">
        <v>0.0</v>
      </c>
      <c r="O310" s="89"/>
      <c r="P310" s="111">
        <v>0.0</v>
      </c>
      <c r="Q310" s="89"/>
      <c r="R310" s="111">
        <v>0.0</v>
      </c>
      <c r="S310" s="89"/>
      <c r="T310" s="111">
        <v>0.0</v>
      </c>
      <c r="U310" s="89"/>
      <c r="V310" s="111">
        <v>0.0</v>
      </c>
      <c r="W310" s="89"/>
      <c r="X310" s="111">
        <v>0.0</v>
      </c>
      <c r="Y310" s="91"/>
      <c r="Z310" s="112">
        <v>0.0</v>
      </c>
      <c r="AA310" s="89"/>
      <c r="AB310" s="111">
        <v>0.0</v>
      </c>
      <c r="AC310" s="89"/>
      <c r="AD310" s="111">
        <v>0.0</v>
      </c>
      <c r="AE310" s="89"/>
      <c r="AF310" s="117"/>
      <c r="AG310" s="89"/>
      <c r="AH310" s="117"/>
      <c r="AI310" s="89"/>
      <c r="AJ310" s="117"/>
      <c r="AK310" s="91"/>
      <c r="AL310" s="92">
        <f t="shared" si="1"/>
        <v>0</v>
      </c>
      <c r="AM310" s="85">
        <f t="shared" si="2"/>
        <v>0</v>
      </c>
      <c r="AN310" s="85">
        <f t="shared" si="3"/>
        <v>0</v>
      </c>
      <c r="AO310" s="85">
        <f t="shared" si="4"/>
        <v>0</v>
      </c>
      <c r="AP310" s="93" t="str">
        <f t="shared" si="5"/>
        <v/>
      </c>
    </row>
    <row r="311">
      <c r="A311" s="66" t="s">
        <v>11</v>
      </c>
      <c r="B311" s="94">
        <f t="shared" si="6"/>
        <v>44870</v>
      </c>
      <c r="C311" s="68">
        <v>12.0</v>
      </c>
      <c r="D311" s="68" t="s">
        <v>48</v>
      </c>
      <c r="E311" s="70" t="s">
        <v>131</v>
      </c>
      <c r="F311" s="71">
        <v>0.0</v>
      </c>
      <c r="H311" s="72">
        <v>0.0</v>
      </c>
      <c r="J311" s="72">
        <v>0.0</v>
      </c>
      <c r="L311" s="105">
        <v>30.0</v>
      </c>
      <c r="N311" s="104">
        <v>30.0</v>
      </c>
      <c r="P311" s="104">
        <v>0.0</v>
      </c>
      <c r="R311" s="104">
        <v>0.0</v>
      </c>
      <c r="T311" s="104">
        <v>1.0</v>
      </c>
      <c r="V311" s="104">
        <v>1.0</v>
      </c>
      <c r="X311" s="104">
        <v>0.0</v>
      </c>
      <c r="Y311" s="73"/>
      <c r="Z311" s="105">
        <v>26.0</v>
      </c>
      <c r="AB311" s="104">
        <v>26.0</v>
      </c>
      <c r="AD311" s="104">
        <v>0.0</v>
      </c>
      <c r="AF311" s="113"/>
      <c r="AH311" s="113"/>
      <c r="AJ311" s="113"/>
      <c r="AK311" s="73"/>
      <c r="AL311" s="74">
        <f t="shared" si="1"/>
        <v>2642.472</v>
      </c>
      <c r="AM311" s="68">
        <f t="shared" si="2"/>
        <v>112</v>
      </c>
      <c r="AN311" s="68">
        <f t="shared" si="3"/>
        <v>2</v>
      </c>
      <c r="AO311" s="68">
        <f t="shared" si="4"/>
        <v>114</v>
      </c>
      <c r="AP311" s="75">
        <f t="shared" si="5"/>
        <v>23.17957895</v>
      </c>
    </row>
    <row r="312">
      <c r="A312" s="76" t="s">
        <v>16</v>
      </c>
      <c r="B312" s="77">
        <f t="shared" si="6"/>
        <v>44871</v>
      </c>
      <c r="C312" s="78">
        <v>12.0</v>
      </c>
      <c r="D312" s="78" t="s">
        <v>48</v>
      </c>
      <c r="E312" s="80" t="s">
        <v>131</v>
      </c>
      <c r="F312" s="71">
        <v>0.0</v>
      </c>
      <c r="H312" s="72">
        <v>0.0</v>
      </c>
      <c r="J312" s="72">
        <v>0.0</v>
      </c>
      <c r="L312" s="105">
        <v>30.0</v>
      </c>
      <c r="N312" s="104">
        <v>30.0</v>
      </c>
      <c r="P312" s="104">
        <v>0.0</v>
      </c>
      <c r="R312" s="104">
        <v>0.0</v>
      </c>
      <c r="T312" s="104">
        <v>0.0</v>
      </c>
      <c r="V312" s="104">
        <v>0.0</v>
      </c>
      <c r="X312" s="104">
        <v>0.0</v>
      </c>
      <c r="Y312" s="73"/>
      <c r="Z312" s="105">
        <v>26.0</v>
      </c>
      <c r="AB312" s="104">
        <v>26.0</v>
      </c>
      <c r="AD312" s="104">
        <v>0.0</v>
      </c>
      <c r="AF312" s="113"/>
      <c r="AH312" s="113"/>
      <c r="AJ312" s="113"/>
      <c r="AK312" s="73"/>
      <c r="AL312" s="81">
        <f t="shared" si="1"/>
        <v>1907.472</v>
      </c>
      <c r="AM312" s="78">
        <f t="shared" si="2"/>
        <v>112</v>
      </c>
      <c r="AN312" s="78">
        <f t="shared" si="3"/>
        <v>0</v>
      </c>
      <c r="AO312" s="78">
        <f t="shared" si="4"/>
        <v>112</v>
      </c>
      <c r="AP312" s="82">
        <f t="shared" si="5"/>
        <v>17.031</v>
      </c>
    </row>
    <row r="313">
      <c r="A313" s="76" t="s">
        <v>17</v>
      </c>
      <c r="B313" s="77">
        <f t="shared" si="6"/>
        <v>44872</v>
      </c>
      <c r="C313" s="78">
        <v>12.0</v>
      </c>
      <c r="D313" s="78" t="s">
        <v>48</v>
      </c>
      <c r="E313" s="80" t="s">
        <v>131</v>
      </c>
      <c r="F313" s="71">
        <v>0.0</v>
      </c>
      <c r="H313" s="72">
        <v>0.0</v>
      </c>
      <c r="J313" s="72">
        <v>0.0</v>
      </c>
      <c r="L313" s="105">
        <v>30.0</v>
      </c>
      <c r="N313" s="104">
        <v>30.0</v>
      </c>
      <c r="P313" s="104">
        <v>0.0</v>
      </c>
      <c r="R313" s="104">
        <v>0.0</v>
      </c>
      <c r="T313" s="104">
        <v>0.0</v>
      </c>
      <c r="V313" s="104">
        <v>0.0</v>
      </c>
      <c r="X313" s="104">
        <v>0.0</v>
      </c>
      <c r="Y313" s="73"/>
      <c r="Z313" s="105">
        <v>26.0</v>
      </c>
      <c r="AB313" s="104">
        <v>26.0</v>
      </c>
      <c r="AD313" s="104">
        <v>0.0</v>
      </c>
      <c r="AF313" s="113"/>
      <c r="AH313" s="113"/>
      <c r="AJ313" s="113"/>
      <c r="AK313" s="73"/>
      <c r="AL313" s="81">
        <f t="shared" si="1"/>
        <v>1907.472</v>
      </c>
      <c r="AM313" s="78">
        <f t="shared" si="2"/>
        <v>112</v>
      </c>
      <c r="AN313" s="78">
        <f t="shared" si="3"/>
        <v>0</v>
      </c>
      <c r="AO313" s="78">
        <f t="shared" si="4"/>
        <v>112</v>
      </c>
      <c r="AP313" s="82">
        <f t="shared" si="5"/>
        <v>17.031</v>
      </c>
    </row>
    <row r="314">
      <c r="A314" s="76" t="s">
        <v>21</v>
      </c>
      <c r="B314" s="77">
        <f t="shared" si="6"/>
        <v>44873</v>
      </c>
      <c r="C314" s="78">
        <v>12.0</v>
      </c>
      <c r="D314" s="78" t="s">
        <v>48</v>
      </c>
      <c r="E314" s="80" t="s">
        <v>131</v>
      </c>
      <c r="F314" s="71">
        <v>0.0</v>
      </c>
      <c r="H314" s="72">
        <v>0.0</v>
      </c>
      <c r="J314" s="72">
        <v>0.0</v>
      </c>
      <c r="L314" s="105">
        <v>30.0</v>
      </c>
      <c r="N314" s="104">
        <v>30.0</v>
      </c>
      <c r="P314" s="104">
        <v>0.0</v>
      </c>
      <c r="R314" s="104">
        <v>0.0</v>
      </c>
      <c r="T314" s="104">
        <v>0.0</v>
      </c>
      <c r="V314" s="104">
        <v>0.0</v>
      </c>
      <c r="X314" s="104">
        <v>0.0</v>
      </c>
      <c r="Y314" s="73"/>
      <c r="Z314" s="105">
        <v>26.0</v>
      </c>
      <c r="AB314" s="104">
        <v>26.0</v>
      </c>
      <c r="AD314" s="104">
        <v>0.0</v>
      </c>
      <c r="AF314" s="113"/>
      <c r="AH314" s="113"/>
      <c r="AJ314" s="113"/>
      <c r="AK314" s="73"/>
      <c r="AL314" s="81">
        <f t="shared" si="1"/>
        <v>1907.472</v>
      </c>
      <c r="AM314" s="78">
        <f t="shared" si="2"/>
        <v>112</v>
      </c>
      <c r="AN314" s="78">
        <f t="shared" si="3"/>
        <v>0</v>
      </c>
      <c r="AO314" s="78">
        <f t="shared" si="4"/>
        <v>112</v>
      </c>
      <c r="AP314" s="82">
        <f t="shared" si="5"/>
        <v>17.031</v>
      </c>
    </row>
    <row r="315">
      <c r="A315" s="76" t="s">
        <v>24</v>
      </c>
      <c r="B315" s="77">
        <f t="shared" si="6"/>
        <v>44874</v>
      </c>
      <c r="C315" s="78">
        <v>12.0</v>
      </c>
      <c r="D315" s="78" t="s">
        <v>48</v>
      </c>
      <c r="E315" s="80" t="s">
        <v>131</v>
      </c>
      <c r="F315" s="71">
        <v>0.0</v>
      </c>
      <c r="H315" s="72">
        <v>0.0</v>
      </c>
      <c r="J315" s="72">
        <v>0.0</v>
      </c>
      <c r="L315" s="105">
        <v>30.0</v>
      </c>
      <c r="N315" s="104">
        <v>30.0</v>
      </c>
      <c r="P315" s="104">
        <v>0.0</v>
      </c>
      <c r="R315" s="104">
        <v>0.0</v>
      </c>
      <c r="T315" s="104">
        <v>0.0</v>
      </c>
      <c r="V315" s="104">
        <v>0.0</v>
      </c>
      <c r="X315" s="104">
        <v>0.0</v>
      </c>
      <c r="Y315" s="73"/>
      <c r="Z315" s="105">
        <v>26.0</v>
      </c>
      <c r="AB315" s="104">
        <v>26.0</v>
      </c>
      <c r="AD315" s="104">
        <v>0.0</v>
      </c>
      <c r="AF315" s="113"/>
      <c r="AH315" s="113"/>
      <c r="AJ315" s="113"/>
      <c r="AK315" s="73"/>
      <c r="AL315" s="81">
        <f t="shared" si="1"/>
        <v>1907.472</v>
      </c>
      <c r="AM315" s="78">
        <f t="shared" si="2"/>
        <v>112</v>
      </c>
      <c r="AN315" s="78">
        <f t="shared" si="3"/>
        <v>0</v>
      </c>
      <c r="AO315" s="78">
        <f t="shared" si="4"/>
        <v>112</v>
      </c>
      <c r="AP315" s="82">
        <f t="shared" si="5"/>
        <v>17.031</v>
      </c>
    </row>
    <row r="316">
      <c r="A316" s="76" t="s">
        <v>27</v>
      </c>
      <c r="B316" s="77">
        <f t="shared" si="6"/>
        <v>44875</v>
      </c>
      <c r="C316" s="78">
        <v>12.0</v>
      </c>
      <c r="D316" s="78" t="s">
        <v>48</v>
      </c>
      <c r="E316" s="80" t="s">
        <v>131</v>
      </c>
      <c r="F316" s="71">
        <v>0.0</v>
      </c>
      <c r="H316" s="72">
        <v>0.0</v>
      </c>
      <c r="J316" s="72">
        <v>0.0</v>
      </c>
      <c r="L316" s="105">
        <v>30.0</v>
      </c>
      <c r="N316" s="104">
        <v>30.0</v>
      </c>
      <c r="P316" s="104">
        <v>0.0</v>
      </c>
      <c r="R316" s="104">
        <v>0.0</v>
      </c>
      <c r="T316" s="104">
        <v>0.0</v>
      </c>
      <c r="V316" s="104">
        <v>0.0</v>
      </c>
      <c r="X316" s="104">
        <v>0.0</v>
      </c>
      <c r="Y316" s="73"/>
      <c r="Z316" s="105">
        <v>10.0</v>
      </c>
      <c r="AB316" s="104">
        <v>10.0</v>
      </c>
      <c r="AD316" s="104">
        <v>0.0</v>
      </c>
      <c r="AF316" s="113"/>
      <c r="AH316" s="113"/>
      <c r="AJ316" s="113"/>
      <c r="AK316" s="73"/>
      <c r="AL316" s="81">
        <f t="shared" si="1"/>
        <v>1362.48</v>
      </c>
      <c r="AM316" s="78">
        <f t="shared" si="2"/>
        <v>80</v>
      </c>
      <c r="AN316" s="78">
        <f t="shared" si="3"/>
        <v>0</v>
      </c>
      <c r="AO316" s="78">
        <f t="shared" si="4"/>
        <v>80</v>
      </c>
      <c r="AP316" s="82">
        <f t="shared" si="5"/>
        <v>17.031</v>
      </c>
    </row>
    <row r="317">
      <c r="A317" s="83" t="s">
        <v>30</v>
      </c>
      <c r="B317" s="84">
        <f t="shared" si="6"/>
        <v>44876</v>
      </c>
      <c r="C317" s="85">
        <v>12.0</v>
      </c>
      <c r="D317" s="85" t="s">
        <v>48</v>
      </c>
      <c r="E317" s="87" t="s">
        <v>131</v>
      </c>
      <c r="F317" s="88">
        <v>0.0</v>
      </c>
      <c r="G317" s="89"/>
      <c r="H317" s="90">
        <v>0.0</v>
      </c>
      <c r="I317" s="89"/>
      <c r="J317" s="90">
        <v>0.0</v>
      </c>
      <c r="K317" s="89"/>
      <c r="L317" s="112">
        <v>0.0</v>
      </c>
      <c r="M317" s="89"/>
      <c r="N317" s="111">
        <v>0.0</v>
      </c>
      <c r="O317" s="89"/>
      <c r="P317" s="111">
        <v>0.0</v>
      </c>
      <c r="Q317" s="89"/>
      <c r="R317" s="111">
        <v>0.0</v>
      </c>
      <c r="S317" s="89"/>
      <c r="T317" s="111">
        <v>0.0</v>
      </c>
      <c r="U317" s="89"/>
      <c r="V317" s="111">
        <v>0.0</v>
      </c>
      <c r="W317" s="89"/>
      <c r="X317" s="111">
        <v>0.0</v>
      </c>
      <c r="Y317" s="91"/>
      <c r="Z317" s="112">
        <v>0.0</v>
      </c>
      <c r="AA317" s="89"/>
      <c r="AB317" s="111">
        <v>0.0</v>
      </c>
      <c r="AC317" s="89"/>
      <c r="AD317" s="111">
        <v>0.0</v>
      </c>
      <c r="AE317" s="89"/>
      <c r="AF317" s="117"/>
      <c r="AG317" s="89"/>
      <c r="AH317" s="117"/>
      <c r="AI317" s="89"/>
      <c r="AJ317" s="117"/>
      <c r="AK317" s="91"/>
      <c r="AL317" s="92">
        <f t="shared" si="1"/>
        <v>0</v>
      </c>
      <c r="AM317" s="85">
        <f t="shared" si="2"/>
        <v>0</v>
      </c>
      <c r="AN317" s="85">
        <f t="shared" si="3"/>
        <v>0</v>
      </c>
      <c r="AO317" s="85">
        <f t="shared" si="4"/>
        <v>0</v>
      </c>
      <c r="AP317" s="93" t="str">
        <f t="shared" si="5"/>
        <v/>
      </c>
    </row>
    <row r="318">
      <c r="A318" s="66" t="s">
        <v>11</v>
      </c>
      <c r="B318" s="94">
        <f t="shared" si="6"/>
        <v>44877</v>
      </c>
      <c r="C318" s="68">
        <v>12.0</v>
      </c>
      <c r="D318" s="68" t="s">
        <v>59</v>
      </c>
      <c r="E318" s="70" t="s">
        <v>131</v>
      </c>
      <c r="F318" s="71">
        <v>0.0</v>
      </c>
      <c r="H318" s="72">
        <v>0.0</v>
      </c>
      <c r="J318" s="72">
        <v>0.0</v>
      </c>
      <c r="L318" s="105">
        <v>30.0</v>
      </c>
      <c r="N318" s="104">
        <v>30.0</v>
      </c>
      <c r="P318" s="104">
        <v>0.0</v>
      </c>
      <c r="R318" s="104">
        <v>0.0</v>
      </c>
      <c r="T318" s="104">
        <v>1.0</v>
      </c>
      <c r="V318" s="104">
        <v>1.0</v>
      </c>
      <c r="X318" s="104">
        <v>0.0</v>
      </c>
      <c r="Y318" s="73"/>
      <c r="Z318" s="105">
        <v>26.0</v>
      </c>
      <c r="AB318" s="104">
        <v>26.0</v>
      </c>
      <c r="AD318" s="104">
        <v>0.0</v>
      </c>
      <c r="AF318" s="113"/>
      <c r="AH318" s="113"/>
      <c r="AJ318" s="113"/>
      <c r="AK318" s="73"/>
      <c r="AL318" s="74">
        <f t="shared" si="1"/>
        <v>2642.472</v>
      </c>
      <c r="AM318" s="68">
        <f t="shared" si="2"/>
        <v>112</v>
      </c>
      <c r="AN318" s="68">
        <f t="shared" si="3"/>
        <v>2</v>
      </c>
      <c r="AO318" s="68">
        <f t="shared" si="4"/>
        <v>114</v>
      </c>
      <c r="AP318" s="75">
        <f t="shared" si="5"/>
        <v>23.17957895</v>
      </c>
    </row>
    <row r="319">
      <c r="A319" s="76" t="s">
        <v>16</v>
      </c>
      <c r="B319" s="77">
        <f t="shared" si="6"/>
        <v>44878</v>
      </c>
      <c r="C319" s="78">
        <v>12.0</v>
      </c>
      <c r="D319" s="78" t="s">
        <v>59</v>
      </c>
      <c r="E319" s="80" t="s">
        <v>131</v>
      </c>
      <c r="F319" s="71">
        <v>0.0</v>
      </c>
      <c r="H319" s="72">
        <v>0.0</v>
      </c>
      <c r="J319" s="72">
        <v>0.0</v>
      </c>
      <c r="L319" s="105">
        <v>30.0</v>
      </c>
      <c r="N319" s="104">
        <v>30.0</v>
      </c>
      <c r="P319" s="104">
        <v>0.0</v>
      </c>
      <c r="R319" s="104">
        <v>0.0</v>
      </c>
      <c r="T319" s="104">
        <v>0.0</v>
      </c>
      <c r="V319" s="104">
        <v>0.0</v>
      </c>
      <c r="X319" s="104">
        <v>0.0</v>
      </c>
      <c r="Y319" s="73"/>
      <c r="Z319" s="105">
        <v>26.0</v>
      </c>
      <c r="AB319" s="104">
        <v>26.0</v>
      </c>
      <c r="AD319" s="104">
        <v>0.0</v>
      </c>
      <c r="AF319" s="113"/>
      <c r="AH319" s="113"/>
      <c r="AJ319" s="113"/>
      <c r="AK319" s="73"/>
      <c r="AL319" s="81">
        <f t="shared" si="1"/>
        <v>1907.472</v>
      </c>
      <c r="AM319" s="78">
        <f t="shared" si="2"/>
        <v>112</v>
      </c>
      <c r="AN319" s="78">
        <f t="shared" si="3"/>
        <v>0</v>
      </c>
      <c r="AO319" s="78">
        <f t="shared" si="4"/>
        <v>112</v>
      </c>
      <c r="AP319" s="82">
        <f t="shared" si="5"/>
        <v>17.031</v>
      </c>
    </row>
    <row r="320">
      <c r="A320" s="76" t="s">
        <v>17</v>
      </c>
      <c r="B320" s="77">
        <f t="shared" si="6"/>
        <v>44879</v>
      </c>
      <c r="C320" s="78">
        <v>12.0</v>
      </c>
      <c r="D320" s="78" t="s">
        <v>59</v>
      </c>
      <c r="E320" s="80" t="s">
        <v>131</v>
      </c>
      <c r="F320" s="71">
        <v>0.0</v>
      </c>
      <c r="H320" s="72">
        <v>0.0</v>
      </c>
      <c r="J320" s="72">
        <v>0.0</v>
      </c>
      <c r="L320" s="105">
        <v>30.0</v>
      </c>
      <c r="N320" s="104">
        <v>30.0</v>
      </c>
      <c r="P320" s="104">
        <v>0.0</v>
      </c>
      <c r="R320" s="104">
        <v>0.0</v>
      </c>
      <c r="T320" s="104">
        <v>0.0</v>
      </c>
      <c r="V320" s="104">
        <v>0.0</v>
      </c>
      <c r="X320" s="104">
        <v>0.0</v>
      </c>
      <c r="Y320" s="73"/>
      <c r="Z320" s="105">
        <v>26.0</v>
      </c>
      <c r="AB320" s="104">
        <v>26.0</v>
      </c>
      <c r="AD320" s="104">
        <v>0.0</v>
      </c>
      <c r="AF320" s="113"/>
      <c r="AH320" s="113"/>
      <c r="AJ320" s="113"/>
      <c r="AK320" s="73"/>
      <c r="AL320" s="81">
        <f t="shared" si="1"/>
        <v>1907.472</v>
      </c>
      <c r="AM320" s="78">
        <f t="shared" si="2"/>
        <v>112</v>
      </c>
      <c r="AN320" s="78">
        <f t="shared" si="3"/>
        <v>0</v>
      </c>
      <c r="AO320" s="78">
        <f t="shared" si="4"/>
        <v>112</v>
      </c>
      <c r="AP320" s="82">
        <f t="shared" si="5"/>
        <v>17.031</v>
      </c>
    </row>
    <row r="321">
      <c r="A321" s="76" t="s">
        <v>21</v>
      </c>
      <c r="B321" s="77">
        <f t="shared" si="6"/>
        <v>44880</v>
      </c>
      <c r="C321" s="78">
        <v>12.0</v>
      </c>
      <c r="D321" s="78" t="s">
        <v>59</v>
      </c>
      <c r="E321" s="80" t="s">
        <v>131</v>
      </c>
      <c r="F321" s="71">
        <v>0.0</v>
      </c>
      <c r="H321" s="72">
        <v>0.0</v>
      </c>
      <c r="J321" s="72">
        <v>0.0</v>
      </c>
      <c r="L321" s="105">
        <v>30.0</v>
      </c>
      <c r="N321" s="104">
        <v>30.0</v>
      </c>
      <c r="P321" s="104">
        <v>0.0</v>
      </c>
      <c r="R321" s="104">
        <v>0.0</v>
      </c>
      <c r="T321" s="104">
        <v>0.0</v>
      </c>
      <c r="V321" s="104">
        <v>0.0</v>
      </c>
      <c r="X321" s="104">
        <v>0.0</v>
      </c>
      <c r="Y321" s="73"/>
      <c r="Z321" s="105">
        <v>26.0</v>
      </c>
      <c r="AB321" s="104">
        <v>26.0</v>
      </c>
      <c r="AD321" s="104">
        <v>0.0</v>
      </c>
      <c r="AF321" s="113"/>
      <c r="AH321" s="113"/>
      <c r="AJ321" s="113"/>
      <c r="AK321" s="73"/>
      <c r="AL321" s="81">
        <f t="shared" si="1"/>
        <v>1907.472</v>
      </c>
      <c r="AM321" s="78">
        <f t="shared" si="2"/>
        <v>112</v>
      </c>
      <c r="AN321" s="78">
        <f t="shared" si="3"/>
        <v>0</v>
      </c>
      <c r="AO321" s="78">
        <f t="shared" si="4"/>
        <v>112</v>
      </c>
      <c r="AP321" s="82">
        <f t="shared" si="5"/>
        <v>17.031</v>
      </c>
    </row>
    <row r="322">
      <c r="A322" s="76" t="s">
        <v>24</v>
      </c>
      <c r="B322" s="77">
        <f t="shared" si="6"/>
        <v>44881</v>
      </c>
      <c r="C322" s="78">
        <v>12.0</v>
      </c>
      <c r="D322" s="78" t="s">
        <v>59</v>
      </c>
      <c r="E322" s="80" t="s">
        <v>131</v>
      </c>
      <c r="F322" s="71">
        <v>0.0</v>
      </c>
      <c r="H322" s="72">
        <v>0.0</v>
      </c>
      <c r="J322" s="72">
        <v>0.0</v>
      </c>
      <c r="L322" s="105">
        <v>30.0</v>
      </c>
      <c r="N322" s="104">
        <v>30.0</v>
      </c>
      <c r="P322" s="104">
        <v>0.0</v>
      </c>
      <c r="R322" s="104">
        <v>0.0</v>
      </c>
      <c r="T322" s="104">
        <v>0.0</v>
      </c>
      <c r="V322" s="104">
        <v>0.0</v>
      </c>
      <c r="X322" s="104">
        <v>0.0</v>
      </c>
      <c r="Y322" s="73"/>
      <c r="Z322" s="105">
        <v>26.0</v>
      </c>
      <c r="AB322" s="104">
        <v>26.0</v>
      </c>
      <c r="AD322" s="104">
        <v>0.0</v>
      </c>
      <c r="AF322" s="113"/>
      <c r="AH322" s="113"/>
      <c r="AJ322" s="113"/>
      <c r="AK322" s="73"/>
      <c r="AL322" s="81">
        <f t="shared" si="1"/>
        <v>1907.472</v>
      </c>
      <c r="AM322" s="78">
        <f t="shared" si="2"/>
        <v>112</v>
      </c>
      <c r="AN322" s="78">
        <f t="shared" si="3"/>
        <v>0</v>
      </c>
      <c r="AO322" s="78">
        <f t="shared" si="4"/>
        <v>112</v>
      </c>
      <c r="AP322" s="82">
        <f t="shared" si="5"/>
        <v>17.031</v>
      </c>
    </row>
    <row r="323">
      <c r="A323" s="76" t="s">
        <v>27</v>
      </c>
      <c r="B323" s="77">
        <f t="shared" si="6"/>
        <v>44882</v>
      </c>
      <c r="C323" s="78">
        <v>12.0</v>
      </c>
      <c r="D323" s="78" t="s">
        <v>59</v>
      </c>
      <c r="E323" s="80" t="s">
        <v>131</v>
      </c>
      <c r="F323" s="71">
        <v>0.0</v>
      </c>
      <c r="H323" s="72">
        <v>0.0</v>
      </c>
      <c r="J323" s="72">
        <v>0.0</v>
      </c>
      <c r="L323" s="105">
        <v>30.0</v>
      </c>
      <c r="N323" s="104">
        <v>30.0</v>
      </c>
      <c r="P323" s="104">
        <v>0.0</v>
      </c>
      <c r="R323" s="104">
        <v>0.0</v>
      </c>
      <c r="T323" s="104">
        <v>0.0</v>
      </c>
      <c r="V323" s="104">
        <v>0.0</v>
      </c>
      <c r="X323" s="104">
        <v>0.0</v>
      </c>
      <c r="Y323" s="73"/>
      <c r="Z323" s="105">
        <v>10.0</v>
      </c>
      <c r="AB323" s="104">
        <v>10.0</v>
      </c>
      <c r="AD323" s="104">
        <v>0.0</v>
      </c>
      <c r="AF323" s="113"/>
      <c r="AH323" s="113"/>
      <c r="AJ323" s="113"/>
      <c r="AK323" s="73"/>
      <c r="AL323" s="81">
        <f t="shared" si="1"/>
        <v>1362.48</v>
      </c>
      <c r="AM323" s="78">
        <f t="shared" si="2"/>
        <v>80</v>
      </c>
      <c r="AN323" s="78">
        <f t="shared" si="3"/>
        <v>0</v>
      </c>
      <c r="AO323" s="78">
        <f t="shared" si="4"/>
        <v>80</v>
      </c>
      <c r="AP323" s="82">
        <f t="shared" si="5"/>
        <v>17.031</v>
      </c>
    </row>
    <row r="324">
      <c r="A324" s="83" t="s">
        <v>30</v>
      </c>
      <c r="B324" s="84">
        <f t="shared" si="6"/>
        <v>44883</v>
      </c>
      <c r="C324" s="85">
        <v>12.0</v>
      </c>
      <c r="D324" s="85" t="s">
        <v>59</v>
      </c>
      <c r="E324" s="87" t="s">
        <v>131</v>
      </c>
      <c r="F324" s="88">
        <v>0.0</v>
      </c>
      <c r="G324" s="89"/>
      <c r="H324" s="90">
        <v>0.0</v>
      </c>
      <c r="I324" s="89"/>
      <c r="J324" s="90">
        <v>0.0</v>
      </c>
      <c r="K324" s="89"/>
      <c r="L324" s="112">
        <v>0.0</v>
      </c>
      <c r="M324" s="89"/>
      <c r="N324" s="111">
        <v>0.0</v>
      </c>
      <c r="O324" s="89"/>
      <c r="P324" s="111">
        <v>0.0</v>
      </c>
      <c r="Q324" s="89"/>
      <c r="R324" s="111">
        <v>0.0</v>
      </c>
      <c r="S324" s="89"/>
      <c r="T324" s="111">
        <v>0.0</v>
      </c>
      <c r="U324" s="89"/>
      <c r="V324" s="111">
        <v>0.0</v>
      </c>
      <c r="W324" s="89"/>
      <c r="X324" s="111">
        <v>0.0</v>
      </c>
      <c r="Y324" s="91"/>
      <c r="Z324" s="112">
        <v>0.0</v>
      </c>
      <c r="AA324" s="89"/>
      <c r="AB324" s="111">
        <v>0.0</v>
      </c>
      <c r="AC324" s="89"/>
      <c r="AD324" s="111">
        <v>0.0</v>
      </c>
      <c r="AE324" s="89"/>
      <c r="AF324" s="117"/>
      <c r="AG324" s="89"/>
      <c r="AH324" s="117"/>
      <c r="AI324" s="89"/>
      <c r="AJ324" s="117"/>
      <c r="AK324" s="91"/>
      <c r="AL324" s="92">
        <f t="shared" si="1"/>
        <v>0</v>
      </c>
      <c r="AM324" s="85">
        <f t="shared" si="2"/>
        <v>0</v>
      </c>
      <c r="AN324" s="85">
        <f t="shared" si="3"/>
        <v>0</v>
      </c>
      <c r="AO324" s="85">
        <f t="shared" si="4"/>
        <v>0</v>
      </c>
      <c r="AP324" s="93" t="str">
        <f t="shared" si="5"/>
        <v/>
      </c>
    </row>
    <row r="325">
      <c r="A325" s="66" t="s">
        <v>11</v>
      </c>
      <c r="B325" s="94">
        <f t="shared" si="6"/>
        <v>44884</v>
      </c>
      <c r="C325" s="68">
        <v>12.0</v>
      </c>
      <c r="D325" s="68" t="s">
        <v>12</v>
      </c>
      <c r="E325" s="70" t="s">
        <v>125</v>
      </c>
      <c r="F325" s="71">
        <v>0.0</v>
      </c>
      <c r="H325" s="72">
        <v>0.0</v>
      </c>
      <c r="J325" s="72">
        <v>0.0</v>
      </c>
      <c r="L325" s="71">
        <v>0.0</v>
      </c>
      <c r="N325" s="72">
        <v>0.0</v>
      </c>
      <c r="P325" s="72">
        <v>0.0</v>
      </c>
      <c r="R325" s="72">
        <v>0.0</v>
      </c>
      <c r="T325" s="72">
        <v>0.0</v>
      </c>
      <c r="V325" s="72">
        <v>0.0</v>
      </c>
      <c r="X325" s="72">
        <v>0.0</v>
      </c>
      <c r="Y325" s="73"/>
      <c r="Z325" s="71">
        <v>0.0</v>
      </c>
      <c r="AB325" s="72">
        <v>0.0</v>
      </c>
      <c r="AD325" s="72">
        <v>0.0</v>
      </c>
      <c r="AF325" s="113"/>
      <c r="AH325" s="113"/>
      <c r="AJ325" s="113"/>
      <c r="AK325" s="73"/>
      <c r="AL325" s="74">
        <f t="shared" si="1"/>
        <v>0</v>
      </c>
      <c r="AM325" s="68">
        <f t="shared" si="2"/>
        <v>0</v>
      </c>
      <c r="AN325" s="68">
        <f t="shared" si="3"/>
        <v>0</v>
      </c>
      <c r="AO325" s="68">
        <f t="shared" si="4"/>
        <v>0</v>
      </c>
      <c r="AP325" s="75" t="str">
        <f t="shared" si="5"/>
        <v/>
      </c>
    </row>
    <row r="326">
      <c r="A326" s="76" t="s">
        <v>16</v>
      </c>
      <c r="B326" s="77">
        <f t="shared" si="6"/>
        <v>44885</v>
      </c>
      <c r="C326" s="78">
        <v>12.0</v>
      </c>
      <c r="D326" s="78" t="s">
        <v>12</v>
      </c>
      <c r="E326" s="80" t="s">
        <v>125</v>
      </c>
      <c r="F326" s="71">
        <v>0.0</v>
      </c>
      <c r="H326" s="72">
        <v>0.0</v>
      </c>
      <c r="J326" s="72">
        <v>0.0</v>
      </c>
      <c r="L326" s="71">
        <v>0.0</v>
      </c>
      <c r="N326" s="72">
        <v>0.0</v>
      </c>
      <c r="P326" s="72">
        <v>0.0</v>
      </c>
      <c r="R326" s="72">
        <v>0.0</v>
      </c>
      <c r="T326" s="72">
        <v>0.0</v>
      </c>
      <c r="V326" s="72">
        <v>0.0</v>
      </c>
      <c r="X326" s="72">
        <v>0.0</v>
      </c>
      <c r="Y326" s="73"/>
      <c r="Z326" s="71">
        <v>0.0</v>
      </c>
      <c r="AB326" s="72">
        <v>0.0</v>
      </c>
      <c r="AD326" s="72">
        <v>0.0</v>
      </c>
      <c r="AF326" s="113"/>
      <c r="AH326" s="113"/>
      <c r="AJ326" s="113"/>
      <c r="AK326" s="73"/>
      <c r="AL326" s="81">
        <f t="shared" si="1"/>
        <v>0</v>
      </c>
      <c r="AM326" s="78">
        <f t="shared" si="2"/>
        <v>0</v>
      </c>
      <c r="AN326" s="78">
        <f t="shared" si="3"/>
        <v>0</v>
      </c>
      <c r="AO326" s="78">
        <f t="shared" si="4"/>
        <v>0</v>
      </c>
      <c r="AP326" s="82" t="str">
        <f t="shared" si="5"/>
        <v/>
      </c>
    </row>
    <row r="327">
      <c r="A327" s="76" t="s">
        <v>17</v>
      </c>
      <c r="B327" s="77">
        <f t="shared" si="6"/>
        <v>44886</v>
      </c>
      <c r="C327" s="78">
        <v>12.0</v>
      </c>
      <c r="D327" s="78" t="s">
        <v>12</v>
      </c>
      <c r="E327" s="80" t="s">
        <v>125</v>
      </c>
      <c r="F327" s="71">
        <v>0.0</v>
      </c>
      <c r="H327" s="72">
        <v>0.0</v>
      </c>
      <c r="J327" s="72">
        <v>0.0</v>
      </c>
      <c r="L327" s="71">
        <v>0.0</v>
      </c>
      <c r="N327" s="72">
        <v>0.0</v>
      </c>
      <c r="P327" s="72">
        <v>0.0</v>
      </c>
      <c r="R327" s="72">
        <v>0.0</v>
      </c>
      <c r="T327" s="72">
        <v>0.0</v>
      </c>
      <c r="V327" s="72">
        <v>0.0</v>
      </c>
      <c r="X327" s="72">
        <v>0.0</v>
      </c>
      <c r="Y327" s="73"/>
      <c r="Z327" s="71">
        <v>0.0</v>
      </c>
      <c r="AB327" s="72">
        <v>0.0</v>
      </c>
      <c r="AD327" s="72">
        <v>0.0</v>
      </c>
      <c r="AF327" s="113"/>
      <c r="AH327" s="113"/>
      <c r="AJ327" s="113"/>
      <c r="AK327" s="73"/>
      <c r="AL327" s="81">
        <f t="shared" si="1"/>
        <v>0</v>
      </c>
      <c r="AM327" s="78">
        <f t="shared" si="2"/>
        <v>0</v>
      </c>
      <c r="AN327" s="78">
        <f t="shared" si="3"/>
        <v>0</v>
      </c>
      <c r="AO327" s="78">
        <f t="shared" si="4"/>
        <v>0</v>
      </c>
      <c r="AP327" s="82" t="str">
        <f t="shared" si="5"/>
        <v/>
      </c>
    </row>
    <row r="328">
      <c r="A328" s="76" t="s">
        <v>21</v>
      </c>
      <c r="B328" s="77">
        <f t="shared" si="6"/>
        <v>44887</v>
      </c>
      <c r="C328" s="78">
        <v>12.0</v>
      </c>
      <c r="D328" s="78" t="s">
        <v>12</v>
      </c>
      <c r="E328" s="80" t="s">
        <v>125</v>
      </c>
      <c r="F328" s="71">
        <v>0.0</v>
      </c>
      <c r="H328" s="72">
        <v>0.0</v>
      </c>
      <c r="J328" s="72">
        <v>0.0</v>
      </c>
      <c r="L328" s="71">
        <v>0.0</v>
      </c>
      <c r="N328" s="72">
        <v>0.0</v>
      </c>
      <c r="P328" s="72">
        <v>0.0</v>
      </c>
      <c r="R328" s="72">
        <v>0.0</v>
      </c>
      <c r="T328" s="72">
        <v>0.0</v>
      </c>
      <c r="V328" s="72">
        <v>0.0</v>
      </c>
      <c r="X328" s="72">
        <v>0.0</v>
      </c>
      <c r="Y328" s="73"/>
      <c r="Z328" s="71">
        <v>0.0</v>
      </c>
      <c r="AB328" s="72">
        <v>0.0</v>
      </c>
      <c r="AD328" s="72">
        <v>0.0</v>
      </c>
      <c r="AF328" s="113"/>
      <c r="AH328" s="113"/>
      <c r="AJ328" s="113"/>
      <c r="AK328" s="73"/>
      <c r="AL328" s="81">
        <f t="shared" si="1"/>
        <v>0</v>
      </c>
      <c r="AM328" s="78">
        <f t="shared" si="2"/>
        <v>0</v>
      </c>
      <c r="AN328" s="78">
        <f t="shared" si="3"/>
        <v>0</v>
      </c>
      <c r="AO328" s="78">
        <f t="shared" si="4"/>
        <v>0</v>
      </c>
      <c r="AP328" s="82" t="str">
        <f t="shared" si="5"/>
        <v/>
      </c>
    </row>
    <row r="329">
      <c r="A329" s="76" t="s">
        <v>24</v>
      </c>
      <c r="B329" s="77">
        <f t="shared" si="6"/>
        <v>44888</v>
      </c>
      <c r="C329" s="78">
        <v>12.0</v>
      </c>
      <c r="D329" s="78" t="s">
        <v>12</v>
      </c>
      <c r="E329" s="80" t="s">
        <v>125</v>
      </c>
      <c r="F329" s="71">
        <v>0.0</v>
      </c>
      <c r="H329" s="72">
        <v>0.0</v>
      </c>
      <c r="J329" s="72">
        <v>0.0</v>
      </c>
      <c r="L329" s="71">
        <v>0.0</v>
      </c>
      <c r="N329" s="72">
        <v>0.0</v>
      </c>
      <c r="P329" s="72">
        <v>0.0</v>
      </c>
      <c r="R329" s="72">
        <v>0.0</v>
      </c>
      <c r="T329" s="72">
        <v>0.0</v>
      </c>
      <c r="V329" s="72">
        <v>0.0</v>
      </c>
      <c r="X329" s="72">
        <v>0.0</v>
      </c>
      <c r="Y329" s="73"/>
      <c r="Z329" s="71">
        <v>0.0</v>
      </c>
      <c r="AB329" s="72">
        <v>0.0</v>
      </c>
      <c r="AD329" s="72">
        <v>0.0</v>
      </c>
      <c r="AF329" s="113"/>
      <c r="AH329" s="113"/>
      <c r="AJ329" s="113"/>
      <c r="AK329" s="73"/>
      <c r="AL329" s="81">
        <f t="shared" si="1"/>
        <v>0</v>
      </c>
      <c r="AM329" s="78">
        <f t="shared" si="2"/>
        <v>0</v>
      </c>
      <c r="AN329" s="78">
        <f t="shared" si="3"/>
        <v>0</v>
      </c>
      <c r="AO329" s="78">
        <f t="shared" si="4"/>
        <v>0</v>
      </c>
      <c r="AP329" s="82" t="str">
        <f t="shared" si="5"/>
        <v/>
      </c>
    </row>
    <row r="330">
      <c r="A330" s="76" t="s">
        <v>27</v>
      </c>
      <c r="B330" s="77">
        <f t="shared" si="6"/>
        <v>44889</v>
      </c>
      <c r="C330" s="78">
        <v>12.0</v>
      </c>
      <c r="D330" s="78" t="s">
        <v>12</v>
      </c>
      <c r="E330" s="80" t="s">
        <v>125</v>
      </c>
      <c r="F330" s="71">
        <v>0.0</v>
      </c>
      <c r="H330" s="72">
        <v>0.0</v>
      </c>
      <c r="J330" s="72">
        <v>0.0</v>
      </c>
      <c r="L330" s="71">
        <v>0.0</v>
      </c>
      <c r="N330" s="72">
        <v>0.0</v>
      </c>
      <c r="P330" s="72">
        <v>0.0</v>
      </c>
      <c r="R330" s="72">
        <v>0.0</v>
      </c>
      <c r="T330" s="72">
        <v>0.0</v>
      </c>
      <c r="V330" s="72">
        <v>0.0</v>
      </c>
      <c r="X330" s="72">
        <v>0.0</v>
      </c>
      <c r="Y330" s="73"/>
      <c r="Z330" s="71">
        <v>0.0</v>
      </c>
      <c r="AB330" s="72">
        <v>0.0</v>
      </c>
      <c r="AD330" s="72">
        <v>0.0</v>
      </c>
      <c r="AF330" s="113"/>
      <c r="AH330" s="113"/>
      <c r="AJ330" s="113"/>
      <c r="AK330" s="73"/>
      <c r="AL330" s="81">
        <f t="shared" si="1"/>
        <v>0</v>
      </c>
      <c r="AM330" s="78">
        <f t="shared" si="2"/>
        <v>0</v>
      </c>
      <c r="AN330" s="78">
        <f t="shared" si="3"/>
        <v>0</v>
      </c>
      <c r="AO330" s="78">
        <f t="shared" si="4"/>
        <v>0</v>
      </c>
      <c r="AP330" s="82" t="str">
        <f t="shared" si="5"/>
        <v/>
      </c>
    </row>
    <row r="331">
      <c r="A331" s="83" t="s">
        <v>30</v>
      </c>
      <c r="B331" s="84">
        <f t="shared" si="6"/>
        <v>44890</v>
      </c>
      <c r="C331" s="85">
        <v>12.0</v>
      </c>
      <c r="D331" s="85" t="s">
        <v>12</v>
      </c>
      <c r="E331" s="87" t="s">
        <v>125</v>
      </c>
      <c r="F331" s="88">
        <v>0.0</v>
      </c>
      <c r="G331" s="89"/>
      <c r="H331" s="90">
        <v>0.0</v>
      </c>
      <c r="I331" s="89"/>
      <c r="J331" s="90">
        <v>0.0</v>
      </c>
      <c r="K331" s="89"/>
      <c r="L331" s="88">
        <v>0.0</v>
      </c>
      <c r="M331" s="89"/>
      <c r="N331" s="90">
        <v>0.0</v>
      </c>
      <c r="O331" s="89"/>
      <c r="P331" s="90">
        <v>0.0</v>
      </c>
      <c r="Q331" s="89"/>
      <c r="R331" s="90">
        <v>0.0</v>
      </c>
      <c r="S331" s="89"/>
      <c r="T331" s="90">
        <v>0.0</v>
      </c>
      <c r="U331" s="89"/>
      <c r="V331" s="90">
        <v>0.0</v>
      </c>
      <c r="W331" s="89"/>
      <c r="X331" s="90">
        <v>0.0</v>
      </c>
      <c r="Y331" s="91"/>
      <c r="Z331" s="88">
        <v>0.0</v>
      </c>
      <c r="AA331" s="89"/>
      <c r="AB331" s="90">
        <v>0.0</v>
      </c>
      <c r="AC331" s="89"/>
      <c r="AD331" s="90">
        <v>0.0</v>
      </c>
      <c r="AE331" s="89"/>
      <c r="AF331" s="117"/>
      <c r="AG331" s="89"/>
      <c r="AH331" s="117"/>
      <c r="AI331" s="89"/>
      <c r="AJ331" s="117"/>
      <c r="AK331" s="91"/>
      <c r="AL331" s="92">
        <f t="shared" si="1"/>
        <v>0</v>
      </c>
      <c r="AM331" s="85">
        <f t="shared" si="2"/>
        <v>0</v>
      </c>
      <c r="AN331" s="85">
        <f t="shared" si="3"/>
        <v>0</v>
      </c>
      <c r="AO331" s="85">
        <f t="shared" si="4"/>
        <v>0</v>
      </c>
      <c r="AP331" s="93" t="str">
        <f t="shared" si="5"/>
        <v/>
      </c>
    </row>
    <row r="332">
      <c r="A332" s="66" t="s">
        <v>11</v>
      </c>
      <c r="B332" s="94">
        <f t="shared" si="6"/>
        <v>44891</v>
      </c>
      <c r="C332" s="68">
        <v>12.0</v>
      </c>
      <c r="D332" s="68" t="s">
        <v>33</v>
      </c>
      <c r="E332" s="70" t="s">
        <v>125</v>
      </c>
      <c r="F332" s="71">
        <v>0.0</v>
      </c>
      <c r="H332" s="72">
        <v>0.0</v>
      </c>
      <c r="J332" s="72">
        <v>0.0</v>
      </c>
      <c r="L332" s="71">
        <v>0.0</v>
      </c>
      <c r="N332" s="72">
        <v>0.0</v>
      </c>
      <c r="P332" s="72">
        <v>0.0</v>
      </c>
      <c r="R332" s="72">
        <v>0.0</v>
      </c>
      <c r="T332" s="72">
        <v>0.0</v>
      </c>
      <c r="V332" s="72">
        <v>0.0</v>
      </c>
      <c r="X332" s="72">
        <v>0.0</v>
      </c>
      <c r="Y332" s="73"/>
      <c r="Z332" s="71">
        <v>0.0</v>
      </c>
      <c r="AB332" s="72">
        <v>0.0</v>
      </c>
      <c r="AD332" s="72">
        <v>0.0</v>
      </c>
      <c r="AF332" s="113"/>
      <c r="AH332" s="113"/>
      <c r="AJ332" s="113"/>
      <c r="AK332" s="73"/>
      <c r="AL332" s="74">
        <f t="shared" si="1"/>
        <v>0</v>
      </c>
      <c r="AM332" s="68">
        <f t="shared" si="2"/>
        <v>0</v>
      </c>
      <c r="AN332" s="68">
        <f t="shared" si="3"/>
        <v>0</v>
      </c>
      <c r="AO332" s="68">
        <f t="shared" si="4"/>
        <v>0</v>
      </c>
      <c r="AP332" s="75" t="str">
        <f t="shared" si="5"/>
        <v/>
      </c>
    </row>
    <row r="333">
      <c r="A333" s="76" t="s">
        <v>16</v>
      </c>
      <c r="B333" s="77">
        <f t="shared" si="6"/>
        <v>44892</v>
      </c>
      <c r="C333" s="78">
        <v>12.0</v>
      </c>
      <c r="D333" s="78" t="s">
        <v>33</v>
      </c>
      <c r="E333" s="80" t="s">
        <v>125</v>
      </c>
      <c r="F333" s="71">
        <v>0.0</v>
      </c>
      <c r="H333" s="72">
        <v>0.0</v>
      </c>
      <c r="J333" s="72">
        <v>0.0</v>
      </c>
      <c r="L333" s="71">
        <v>0.0</v>
      </c>
      <c r="N333" s="72">
        <v>0.0</v>
      </c>
      <c r="P333" s="72">
        <v>0.0</v>
      </c>
      <c r="R333" s="72">
        <v>0.0</v>
      </c>
      <c r="T333" s="72">
        <v>0.0</v>
      </c>
      <c r="V333" s="72">
        <v>0.0</v>
      </c>
      <c r="X333" s="72">
        <v>0.0</v>
      </c>
      <c r="Y333" s="73"/>
      <c r="Z333" s="71">
        <v>0.0</v>
      </c>
      <c r="AB333" s="72">
        <v>0.0</v>
      </c>
      <c r="AD333" s="72">
        <v>0.0</v>
      </c>
      <c r="AF333" s="113"/>
      <c r="AH333" s="113"/>
      <c r="AJ333" s="113"/>
      <c r="AK333" s="73"/>
      <c r="AL333" s="81">
        <f t="shared" si="1"/>
        <v>0</v>
      </c>
      <c r="AM333" s="78">
        <f t="shared" si="2"/>
        <v>0</v>
      </c>
      <c r="AN333" s="78">
        <f t="shared" si="3"/>
        <v>0</v>
      </c>
      <c r="AO333" s="78">
        <f t="shared" si="4"/>
        <v>0</v>
      </c>
      <c r="AP333" s="82" t="str">
        <f t="shared" si="5"/>
        <v/>
      </c>
    </row>
    <row r="334">
      <c r="A334" s="76" t="s">
        <v>17</v>
      </c>
      <c r="B334" s="77">
        <f t="shared" si="6"/>
        <v>44893</v>
      </c>
      <c r="C334" s="78">
        <v>12.0</v>
      </c>
      <c r="D334" s="78" t="s">
        <v>33</v>
      </c>
      <c r="E334" s="80" t="s">
        <v>125</v>
      </c>
      <c r="F334" s="71">
        <v>0.0</v>
      </c>
      <c r="H334" s="72">
        <v>0.0</v>
      </c>
      <c r="J334" s="72">
        <v>0.0</v>
      </c>
      <c r="L334" s="71">
        <v>0.0</v>
      </c>
      <c r="N334" s="72">
        <v>0.0</v>
      </c>
      <c r="P334" s="72">
        <v>0.0</v>
      </c>
      <c r="R334" s="72">
        <v>0.0</v>
      </c>
      <c r="T334" s="72">
        <v>0.0</v>
      </c>
      <c r="V334" s="72">
        <v>0.0</v>
      </c>
      <c r="X334" s="72">
        <v>0.0</v>
      </c>
      <c r="Y334" s="73"/>
      <c r="Z334" s="71">
        <v>0.0</v>
      </c>
      <c r="AB334" s="72">
        <v>0.0</v>
      </c>
      <c r="AD334" s="72">
        <v>0.0</v>
      </c>
      <c r="AF334" s="113"/>
      <c r="AH334" s="113"/>
      <c r="AJ334" s="113"/>
      <c r="AK334" s="73"/>
      <c r="AL334" s="81">
        <f t="shared" si="1"/>
        <v>0</v>
      </c>
      <c r="AM334" s="78">
        <f t="shared" si="2"/>
        <v>0</v>
      </c>
      <c r="AN334" s="78">
        <f t="shared" si="3"/>
        <v>0</v>
      </c>
      <c r="AO334" s="78">
        <f t="shared" si="4"/>
        <v>0</v>
      </c>
      <c r="AP334" s="82" t="str">
        <f t="shared" si="5"/>
        <v/>
      </c>
    </row>
    <row r="335">
      <c r="A335" s="76" t="s">
        <v>21</v>
      </c>
      <c r="B335" s="77">
        <f t="shared" si="6"/>
        <v>44894</v>
      </c>
      <c r="C335" s="78">
        <v>12.0</v>
      </c>
      <c r="D335" s="78" t="s">
        <v>33</v>
      </c>
      <c r="E335" s="80" t="s">
        <v>125</v>
      </c>
      <c r="F335" s="71">
        <v>0.0</v>
      </c>
      <c r="H335" s="72">
        <v>0.0</v>
      </c>
      <c r="J335" s="72">
        <v>0.0</v>
      </c>
      <c r="L335" s="71">
        <v>0.0</v>
      </c>
      <c r="N335" s="72">
        <v>0.0</v>
      </c>
      <c r="P335" s="72">
        <v>0.0</v>
      </c>
      <c r="R335" s="72">
        <v>0.0</v>
      </c>
      <c r="T335" s="72">
        <v>0.0</v>
      </c>
      <c r="V335" s="72">
        <v>0.0</v>
      </c>
      <c r="X335" s="72">
        <v>0.0</v>
      </c>
      <c r="Y335" s="73"/>
      <c r="Z335" s="71">
        <v>0.0</v>
      </c>
      <c r="AB335" s="72">
        <v>0.0</v>
      </c>
      <c r="AD335" s="72">
        <v>0.0</v>
      </c>
      <c r="AF335" s="113"/>
      <c r="AH335" s="113"/>
      <c r="AJ335" s="113"/>
      <c r="AK335" s="73"/>
      <c r="AL335" s="81">
        <f t="shared" si="1"/>
        <v>0</v>
      </c>
      <c r="AM335" s="78">
        <f t="shared" si="2"/>
        <v>0</v>
      </c>
      <c r="AN335" s="78">
        <f t="shared" si="3"/>
        <v>0</v>
      </c>
      <c r="AO335" s="78">
        <f t="shared" si="4"/>
        <v>0</v>
      </c>
      <c r="AP335" s="82" t="str">
        <f t="shared" si="5"/>
        <v/>
      </c>
    </row>
    <row r="336">
      <c r="A336" s="76" t="s">
        <v>24</v>
      </c>
      <c r="B336" s="77">
        <f t="shared" si="6"/>
        <v>44895</v>
      </c>
      <c r="C336" s="78">
        <v>12.0</v>
      </c>
      <c r="D336" s="78" t="s">
        <v>33</v>
      </c>
      <c r="E336" s="80" t="s">
        <v>125</v>
      </c>
      <c r="F336" s="71">
        <v>0.0</v>
      </c>
      <c r="H336" s="72">
        <v>0.0</v>
      </c>
      <c r="J336" s="72">
        <v>0.0</v>
      </c>
      <c r="L336" s="71">
        <v>0.0</v>
      </c>
      <c r="N336" s="72">
        <v>0.0</v>
      </c>
      <c r="P336" s="72">
        <v>0.0</v>
      </c>
      <c r="R336" s="72">
        <v>0.0</v>
      </c>
      <c r="T336" s="72">
        <v>0.0</v>
      </c>
      <c r="V336" s="72">
        <v>0.0</v>
      </c>
      <c r="X336" s="72">
        <v>0.0</v>
      </c>
      <c r="Y336" s="73"/>
      <c r="Z336" s="71">
        <v>0.0</v>
      </c>
      <c r="AB336" s="72">
        <v>0.0</v>
      </c>
      <c r="AD336" s="72">
        <v>0.0</v>
      </c>
      <c r="AF336" s="113"/>
      <c r="AH336" s="113"/>
      <c r="AJ336" s="113"/>
      <c r="AK336" s="73"/>
      <c r="AL336" s="81">
        <f t="shared" si="1"/>
        <v>0</v>
      </c>
      <c r="AM336" s="78">
        <f t="shared" si="2"/>
        <v>0</v>
      </c>
      <c r="AN336" s="78">
        <f t="shared" si="3"/>
        <v>0</v>
      </c>
      <c r="AO336" s="78">
        <f t="shared" si="4"/>
        <v>0</v>
      </c>
      <c r="AP336" s="82" t="str">
        <f t="shared" si="5"/>
        <v/>
      </c>
    </row>
    <row r="337">
      <c r="A337" s="76" t="s">
        <v>27</v>
      </c>
      <c r="B337" s="77">
        <f t="shared" si="6"/>
        <v>44896</v>
      </c>
      <c r="C337" s="78">
        <v>12.0</v>
      </c>
      <c r="D337" s="78" t="s">
        <v>33</v>
      </c>
      <c r="E337" s="80" t="s">
        <v>125</v>
      </c>
      <c r="F337" s="71">
        <v>0.0</v>
      </c>
      <c r="H337" s="72">
        <v>0.0</v>
      </c>
      <c r="J337" s="72">
        <v>0.0</v>
      </c>
      <c r="L337" s="71">
        <v>0.0</v>
      </c>
      <c r="N337" s="72">
        <v>0.0</v>
      </c>
      <c r="P337" s="72">
        <v>0.0</v>
      </c>
      <c r="R337" s="72">
        <v>0.0</v>
      </c>
      <c r="T337" s="72">
        <v>0.0</v>
      </c>
      <c r="V337" s="72">
        <v>0.0</v>
      </c>
      <c r="X337" s="72">
        <v>0.0</v>
      </c>
      <c r="Y337" s="73"/>
      <c r="Z337" s="71">
        <v>0.0</v>
      </c>
      <c r="AB337" s="72">
        <v>0.0</v>
      </c>
      <c r="AD337" s="72">
        <v>0.0</v>
      </c>
      <c r="AF337" s="113"/>
      <c r="AH337" s="113"/>
      <c r="AJ337" s="113"/>
      <c r="AK337" s="73"/>
      <c r="AL337" s="81">
        <f t="shared" si="1"/>
        <v>0</v>
      </c>
      <c r="AM337" s="78">
        <f t="shared" si="2"/>
        <v>0</v>
      </c>
      <c r="AN337" s="78">
        <f t="shared" si="3"/>
        <v>0</v>
      </c>
      <c r="AO337" s="78">
        <f t="shared" si="4"/>
        <v>0</v>
      </c>
      <c r="AP337" s="82" t="str">
        <f t="shared" si="5"/>
        <v/>
      </c>
    </row>
    <row r="338">
      <c r="A338" s="83" t="s">
        <v>30</v>
      </c>
      <c r="B338" s="84">
        <f t="shared" si="6"/>
        <v>44897</v>
      </c>
      <c r="C338" s="85">
        <v>12.0</v>
      </c>
      <c r="D338" s="85" t="s">
        <v>33</v>
      </c>
      <c r="E338" s="87" t="s">
        <v>125</v>
      </c>
      <c r="F338" s="88">
        <v>0.0</v>
      </c>
      <c r="G338" s="89"/>
      <c r="H338" s="90">
        <v>0.0</v>
      </c>
      <c r="I338" s="89"/>
      <c r="J338" s="90">
        <v>0.0</v>
      </c>
      <c r="K338" s="89"/>
      <c r="L338" s="88">
        <v>0.0</v>
      </c>
      <c r="M338" s="89"/>
      <c r="N338" s="90">
        <v>0.0</v>
      </c>
      <c r="O338" s="89"/>
      <c r="P338" s="90">
        <v>0.0</v>
      </c>
      <c r="Q338" s="89"/>
      <c r="R338" s="90">
        <v>0.0</v>
      </c>
      <c r="S338" s="89"/>
      <c r="T338" s="90">
        <v>0.0</v>
      </c>
      <c r="U338" s="89"/>
      <c r="V338" s="90">
        <v>0.0</v>
      </c>
      <c r="W338" s="89"/>
      <c r="X338" s="90">
        <v>0.0</v>
      </c>
      <c r="Y338" s="91"/>
      <c r="Z338" s="88">
        <v>0.0</v>
      </c>
      <c r="AA338" s="89"/>
      <c r="AB338" s="90">
        <v>0.0</v>
      </c>
      <c r="AC338" s="89"/>
      <c r="AD338" s="90">
        <v>0.0</v>
      </c>
      <c r="AE338" s="89"/>
      <c r="AF338" s="117"/>
      <c r="AG338" s="89"/>
      <c r="AH338" s="117"/>
      <c r="AI338" s="89"/>
      <c r="AJ338" s="117"/>
      <c r="AK338" s="91"/>
      <c r="AL338" s="92">
        <f t="shared" si="1"/>
        <v>0</v>
      </c>
      <c r="AM338" s="85">
        <f t="shared" si="2"/>
        <v>0</v>
      </c>
      <c r="AN338" s="85">
        <f t="shared" si="3"/>
        <v>0</v>
      </c>
      <c r="AO338" s="85">
        <f t="shared" si="4"/>
        <v>0</v>
      </c>
      <c r="AP338" s="93" t="str">
        <f t="shared" si="5"/>
        <v/>
      </c>
    </row>
    <row r="339">
      <c r="A339" s="66" t="s">
        <v>11</v>
      </c>
      <c r="B339" s="94">
        <f t="shared" si="6"/>
        <v>44898</v>
      </c>
      <c r="C339" s="68">
        <v>13.0</v>
      </c>
      <c r="D339" s="68" t="s">
        <v>48</v>
      </c>
      <c r="E339" s="70" t="s">
        <v>125</v>
      </c>
      <c r="F339" s="71">
        <v>0.0</v>
      </c>
      <c r="H339" s="72">
        <v>0.0</v>
      </c>
      <c r="J339" s="72">
        <v>0.0</v>
      </c>
      <c r="L339" s="71">
        <v>0.0</v>
      </c>
      <c r="N339" s="72">
        <v>0.0</v>
      </c>
      <c r="P339" s="72">
        <v>0.0</v>
      </c>
      <c r="R339" s="72">
        <v>0.0</v>
      </c>
      <c r="T339" s="72">
        <v>0.0</v>
      </c>
      <c r="V339" s="72">
        <v>0.0</v>
      </c>
      <c r="X339" s="72">
        <v>0.0</v>
      </c>
      <c r="Y339" s="73"/>
      <c r="Z339" s="71">
        <v>0.0</v>
      </c>
      <c r="AB339" s="72">
        <v>0.0</v>
      </c>
      <c r="AD339" s="72">
        <v>0.0</v>
      </c>
      <c r="AF339" s="113"/>
      <c r="AH339" s="113"/>
      <c r="AJ339" s="113"/>
      <c r="AK339" s="73"/>
      <c r="AL339" s="74">
        <f t="shared" si="1"/>
        <v>0</v>
      </c>
      <c r="AM339" s="68">
        <f t="shared" si="2"/>
        <v>0</v>
      </c>
      <c r="AN339" s="68">
        <f t="shared" si="3"/>
        <v>0</v>
      </c>
      <c r="AO339" s="68">
        <f t="shared" si="4"/>
        <v>0</v>
      </c>
      <c r="AP339" s="75" t="str">
        <f t="shared" si="5"/>
        <v/>
      </c>
    </row>
    <row r="340">
      <c r="A340" s="76" t="s">
        <v>16</v>
      </c>
      <c r="B340" s="77">
        <f t="shared" si="6"/>
        <v>44899</v>
      </c>
      <c r="C340" s="78">
        <v>13.0</v>
      </c>
      <c r="D340" s="78" t="s">
        <v>48</v>
      </c>
      <c r="E340" s="80" t="s">
        <v>125</v>
      </c>
      <c r="F340" s="71">
        <v>0.0</v>
      </c>
      <c r="H340" s="72">
        <v>0.0</v>
      </c>
      <c r="J340" s="72">
        <v>0.0</v>
      </c>
      <c r="L340" s="71">
        <v>0.0</v>
      </c>
      <c r="N340" s="72">
        <v>0.0</v>
      </c>
      <c r="P340" s="72">
        <v>0.0</v>
      </c>
      <c r="R340" s="72">
        <v>0.0</v>
      </c>
      <c r="T340" s="72">
        <v>0.0</v>
      </c>
      <c r="V340" s="72">
        <v>0.0</v>
      </c>
      <c r="X340" s="72">
        <v>0.0</v>
      </c>
      <c r="Y340" s="73"/>
      <c r="Z340" s="71">
        <v>0.0</v>
      </c>
      <c r="AB340" s="72">
        <v>0.0</v>
      </c>
      <c r="AD340" s="72">
        <v>0.0</v>
      </c>
      <c r="AF340" s="113"/>
      <c r="AH340" s="113"/>
      <c r="AJ340" s="113"/>
      <c r="AK340" s="73"/>
      <c r="AL340" s="81">
        <f t="shared" si="1"/>
        <v>0</v>
      </c>
      <c r="AM340" s="78">
        <f t="shared" si="2"/>
        <v>0</v>
      </c>
      <c r="AN340" s="78">
        <f t="shared" si="3"/>
        <v>0</v>
      </c>
      <c r="AO340" s="78">
        <f t="shared" si="4"/>
        <v>0</v>
      </c>
      <c r="AP340" s="82" t="str">
        <f t="shared" si="5"/>
        <v/>
      </c>
    </row>
    <row r="341">
      <c r="A341" s="76" t="s">
        <v>17</v>
      </c>
      <c r="B341" s="77">
        <f t="shared" si="6"/>
        <v>44900</v>
      </c>
      <c r="C341" s="78">
        <v>13.0</v>
      </c>
      <c r="D341" s="78" t="s">
        <v>48</v>
      </c>
      <c r="E341" s="80" t="s">
        <v>125</v>
      </c>
      <c r="F341" s="71">
        <v>0.0</v>
      </c>
      <c r="H341" s="72">
        <v>0.0</v>
      </c>
      <c r="J341" s="72">
        <v>0.0</v>
      </c>
      <c r="L341" s="71">
        <v>0.0</v>
      </c>
      <c r="N341" s="72">
        <v>0.0</v>
      </c>
      <c r="P341" s="72">
        <v>0.0</v>
      </c>
      <c r="R341" s="72">
        <v>0.0</v>
      </c>
      <c r="T341" s="72">
        <v>0.0</v>
      </c>
      <c r="V341" s="72">
        <v>0.0</v>
      </c>
      <c r="X341" s="72">
        <v>0.0</v>
      </c>
      <c r="Y341" s="73"/>
      <c r="Z341" s="71">
        <v>0.0</v>
      </c>
      <c r="AB341" s="72">
        <v>0.0</v>
      </c>
      <c r="AD341" s="72">
        <v>0.0</v>
      </c>
      <c r="AF341" s="113"/>
      <c r="AH341" s="113"/>
      <c r="AJ341" s="113"/>
      <c r="AK341" s="73"/>
      <c r="AL341" s="81">
        <f t="shared" si="1"/>
        <v>0</v>
      </c>
      <c r="AM341" s="78">
        <f t="shared" si="2"/>
        <v>0</v>
      </c>
      <c r="AN341" s="78">
        <f t="shared" si="3"/>
        <v>0</v>
      </c>
      <c r="AO341" s="78">
        <f t="shared" si="4"/>
        <v>0</v>
      </c>
      <c r="AP341" s="82" t="str">
        <f t="shared" si="5"/>
        <v/>
      </c>
    </row>
    <row r="342">
      <c r="A342" s="76" t="s">
        <v>21</v>
      </c>
      <c r="B342" s="77">
        <f t="shared" si="6"/>
        <v>44901</v>
      </c>
      <c r="C342" s="78">
        <v>13.0</v>
      </c>
      <c r="D342" s="78" t="s">
        <v>48</v>
      </c>
      <c r="E342" s="80" t="s">
        <v>125</v>
      </c>
      <c r="F342" s="71">
        <v>0.0</v>
      </c>
      <c r="H342" s="72">
        <v>0.0</v>
      </c>
      <c r="J342" s="72">
        <v>0.0</v>
      </c>
      <c r="L342" s="71">
        <v>0.0</v>
      </c>
      <c r="N342" s="72">
        <v>0.0</v>
      </c>
      <c r="P342" s="72">
        <v>0.0</v>
      </c>
      <c r="R342" s="72">
        <v>0.0</v>
      </c>
      <c r="T342" s="72">
        <v>0.0</v>
      </c>
      <c r="V342" s="72">
        <v>0.0</v>
      </c>
      <c r="X342" s="72">
        <v>0.0</v>
      </c>
      <c r="Y342" s="73"/>
      <c r="Z342" s="71">
        <v>0.0</v>
      </c>
      <c r="AB342" s="72">
        <v>0.0</v>
      </c>
      <c r="AD342" s="72">
        <v>0.0</v>
      </c>
      <c r="AF342" s="113"/>
      <c r="AH342" s="113"/>
      <c r="AJ342" s="113"/>
      <c r="AK342" s="73"/>
      <c r="AL342" s="81">
        <f t="shared" si="1"/>
        <v>0</v>
      </c>
      <c r="AM342" s="78">
        <f t="shared" si="2"/>
        <v>0</v>
      </c>
      <c r="AN342" s="78">
        <f t="shared" si="3"/>
        <v>0</v>
      </c>
      <c r="AO342" s="78">
        <f t="shared" si="4"/>
        <v>0</v>
      </c>
      <c r="AP342" s="82" t="str">
        <f t="shared" si="5"/>
        <v/>
      </c>
    </row>
    <row r="343">
      <c r="A343" s="76" t="s">
        <v>24</v>
      </c>
      <c r="B343" s="77">
        <f t="shared" si="6"/>
        <v>44902</v>
      </c>
      <c r="C343" s="78">
        <v>13.0</v>
      </c>
      <c r="D343" s="78" t="s">
        <v>48</v>
      </c>
      <c r="E343" s="80" t="s">
        <v>125</v>
      </c>
      <c r="F343" s="71">
        <v>0.0</v>
      </c>
      <c r="H343" s="72">
        <v>0.0</v>
      </c>
      <c r="J343" s="72">
        <v>0.0</v>
      </c>
      <c r="L343" s="71">
        <v>0.0</v>
      </c>
      <c r="N343" s="72">
        <v>0.0</v>
      </c>
      <c r="P343" s="72">
        <v>0.0</v>
      </c>
      <c r="R343" s="72">
        <v>0.0</v>
      </c>
      <c r="T343" s="72">
        <v>0.0</v>
      </c>
      <c r="V343" s="72">
        <v>0.0</v>
      </c>
      <c r="X343" s="72">
        <v>0.0</v>
      </c>
      <c r="Y343" s="73"/>
      <c r="Z343" s="71">
        <v>0.0</v>
      </c>
      <c r="AB343" s="72">
        <v>0.0</v>
      </c>
      <c r="AD343" s="72">
        <v>0.0</v>
      </c>
      <c r="AF343" s="113"/>
      <c r="AH343" s="113"/>
      <c r="AJ343" s="113"/>
      <c r="AK343" s="73"/>
      <c r="AL343" s="81">
        <f t="shared" si="1"/>
        <v>0</v>
      </c>
      <c r="AM343" s="78">
        <f t="shared" si="2"/>
        <v>0</v>
      </c>
      <c r="AN343" s="78">
        <f t="shared" si="3"/>
        <v>0</v>
      </c>
      <c r="AO343" s="78">
        <f t="shared" si="4"/>
        <v>0</v>
      </c>
      <c r="AP343" s="82" t="str">
        <f t="shared" si="5"/>
        <v/>
      </c>
    </row>
    <row r="344">
      <c r="A344" s="76" t="s">
        <v>27</v>
      </c>
      <c r="B344" s="77">
        <f t="shared" si="6"/>
        <v>44903</v>
      </c>
      <c r="C344" s="78">
        <v>13.0</v>
      </c>
      <c r="D344" s="78" t="s">
        <v>48</v>
      </c>
      <c r="E344" s="80" t="s">
        <v>125</v>
      </c>
      <c r="F344" s="71">
        <v>0.0</v>
      </c>
      <c r="H344" s="72">
        <v>0.0</v>
      </c>
      <c r="J344" s="72">
        <v>0.0</v>
      </c>
      <c r="L344" s="71">
        <v>0.0</v>
      </c>
      <c r="N344" s="72">
        <v>0.0</v>
      </c>
      <c r="P344" s="72">
        <v>0.0</v>
      </c>
      <c r="R344" s="72">
        <v>0.0</v>
      </c>
      <c r="T344" s="72">
        <v>0.0</v>
      </c>
      <c r="V344" s="72">
        <v>0.0</v>
      </c>
      <c r="X344" s="72">
        <v>0.0</v>
      </c>
      <c r="Y344" s="73"/>
      <c r="Z344" s="71">
        <v>0.0</v>
      </c>
      <c r="AB344" s="72">
        <v>0.0</v>
      </c>
      <c r="AD344" s="72">
        <v>0.0</v>
      </c>
      <c r="AF344" s="113"/>
      <c r="AH344" s="113"/>
      <c r="AJ344" s="113"/>
      <c r="AK344" s="73"/>
      <c r="AL344" s="81">
        <f t="shared" si="1"/>
        <v>0</v>
      </c>
      <c r="AM344" s="78">
        <f t="shared" si="2"/>
        <v>0</v>
      </c>
      <c r="AN344" s="78">
        <f t="shared" si="3"/>
        <v>0</v>
      </c>
      <c r="AO344" s="78">
        <f t="shared" si="4"/>
        <v>0</v>
      </c>
      <c r="AP344" s="82" t="str">
        <f t="shared" si="5"/>
        <v/>
      </c>
    </row>
    <row r="345">
      <c r="A345" s="83" t="s">
        <v>30</v>
      </c>
      <c r="B345" s="84">
        <f t="shared" si="6"/>
        <v>44904</v>
      </c>
      <c r="C345" s="85">
        <v>13.0</v>
      </c>
      <c r="D345" s="85" t="s">
        <v>48</v>
      </c>
      <c r="E345" s="87" t="s">
        <v>125</v>
      </c>
      <c r="F345" s="88">
        <v>0.0</v>
      </c>
      <c r="G345" s="89"/>
      <c r="H345" s="90">
        <v>0.0</v>
      </c>
      <c r="I345" s="89"/>
      <c r="J345" s="90">
        <v>0.0</v>
      </c>
      <c r="K345" s="89"/>
      <c r="L345" s="88">
        <v>0.0</v>
      </c>
      <c r="M345" s="89"/>
      <c r="N345" s="90">
        <v>0.0</v>
      </c>
      <c r="O345" s="89"/>
      <c r="P345" s="90">
        <v>0.0</v>
      </c>
      <c r="Q345" s="89"/>
      <c r="R345" s="90">
        <v>0.0</v>
      </c>
      <c r="S345" s="89"/>
      <c r="T345" s="90">
        <v>0.0</v>
      </c>
      <c r="U345" s="89"/>
      <c r="V345" s="90">
        <v>0.0</v>
      </c>
      <c r="W345" s="89"/>
      <c r="X345" s="90">
        <v>0.0</v>
      </c>
      <c r="Y345" s="91"/>
      <c r="Z345" s="88">
        <v>0.0</v>
      </c>
      <c r="AA345" s="89"/>
      <c r="AB345" s="90">
        <v>0.0</v>
      </c>
      <c r="AC345" s="89"/>
      <c r="AD345" s="90">
        <v>0.0</v>
      </c>
      <c r="AE345" s="89"/>
      <c r="AF345" s="117"/>
      <c r="AG345" s="89"/>
      <c r="AH345" s="117"/>
      <c r="AI345" s="89"/>
      <c r="AJ345" s="117"/>
      <c r="AK345" s="91"/>
      <c r="AL345" s="92">
        <f t="shared" si="1"/>
        <v>0</v>
      </c>
      <c r="AM345" s="85">
        <f t="shared" si="2"/>
        <v>0</v>
      </c>
      <c r="AN345" s="85">
        <f t="shared" si="3"/>
        <v>0</v>
      </c>
      <c r="AO345" s="85">
        <f t="shared" si="4"/>
        <v>0</v>
      </c>
      <c r="AP345" s="93" t="str">
        <f t="shared" si="5"/>
        <v/>
      </c>
    </row>
    <row r="346">
      <c r="A346" s="66" t="s">
        <v>11</v>
      </c>
      <c r="B346" s="94">
        <f t="shared" si="6"/>
        <v>44905</v>
      </c>
      <c r="C346" s="68">
        <v>13.0</v>
      </c>
      <c r="D346" s="68" t="s">
        <v>59</v>
      </c>
      <c r="E346" s="70" t="s">
        <v>125</v>
      </c>
      <c r="F346" s="71">
        <v>0.0</v>
      </c>
      <c r="H346" s="72">
        <v>0.0</v>
      </c>
      <c r="J346" s="72">
        <v>0.0</v>
      </c>
      <c r="L346" s="71">
        <v>0.0</v>
      </c>
      <c r="N346" s="72">
        <v>0.0</v>
      </c>
      <c r="P346" s="72">
        <v>0.0</v>
      </c>
      <c r="R346" s="72">
        <v>0.0</v>
      </c>
      <c r="T346" s="72">
        <v>0.0</v>
      </c>
      <c r="V346" s="72">
        <v>0.0</v>
      </c>
      <c r="X346" s="72">
        <v>0.0</v>
      </c>
      <c r="Y346" s="73"/>
      <c r="Z346" s="71">
        <v>0.0</v>
      </c>
      <c r="AB346" s="72">
        <v>0.0</v>
      </c>
      <c r="AD346" s="72">
        <v>0.0</v>
      </c>
      <c r="AF346" s="113"/>
      <c r="AH346" s="113"/>
      <c r="AJ346" s="113"/>
      <c r="AK346" s="73"/>
      <c r="AL346" s="74">
        <f t="shared" si="1"/>
        <v>0</v>
      </c>
      <c r="AM346" s="68">
        <f t="shared" si="2"/>
        <v>0</v>
      </c>
      <c r="AN346" s="68">
        <f t="shared" si="3"/>
        <v>0</v>
      </c>
      <c r="AO346" s="68">
        <f t="shared" si="4"/>
        <v>0</v>
      </c>
      <c r="AP346" s="75" t="str">
        <f t="shared" si="5"/>
        <v/>
      </c>
    </row>
    <row r="347">
      <c r="A347" s="76" t="s">
        <v>16</v>
      </c>
      <c r="B347" s="77">
        <f t="shared" si="6"/>
        <v>44906</v>
      </c>
      <c r="C347" s="78">
        <v>13.0</v>
      </c>
      <c r="D347" s="78" t="s">
        <v>59</v>
      </c>
      <c r="E347" s="80" t="s">
        <v>125</v>
      </c>
      <c r="F347" s="71">
        <v>0.0</v>
      </c>
      <c r="H347" s="72">
        <v>0.0</v>
      </c>
      <c r="J347" s="72">
        <v>0.0</v>
      </c>
      <c r="L347" s="71">
        <v>0.0</v>
      </c>
      <c r="N347" s="72">
        <v>0.0</v>
      </c>
      <c r="P347" s="72">
        <v>0.0</v>
      </c>
      <c r="R347" s="72">
        <v>0.0</v>
      </c>
      <c r="T347" s="72">
        <v>0.0</v>
      </c>
      <c r="V347" s="72">
        <v>0.0</v>
      </c>
      <c r="X347" s="72">
        <v>0.0</v>
      </c>
      <c r="Y347" s="73"/>
      <c r="Z347" s="71">
        <v>0.0</v>
      </c>
      <c r="AB347" s="72">
        <v>0.0</v>
      </c>
      <c r="AD347" s="72">
        <v>0.0</v>
      </c>
      <c r="AF347" s="113"/>
      <c r="AH347" s="113"/>
      <c r="AJ347" s="113"/>
      <c r="AK347" s="73"/>
      <c r="AL347" s="81">
        <f t="shared" si="1"/>
        <v>0</v>
      </c>
      <c r="AM347" s="78">
        <f t="shared" si="2"/>
        <v>0</v>
      </c>
      <c r="AN347" s="78">
        <f t="shared" si="3"/>
        <v>0</v>
      </c>
      <c r="AO347" s="78">
        <f t="shared" si="4"/>
        <v>0</v>
      </c>
      <c r="AP347" s="82" t="str">
        <f t="shared" si="5"/>
        <v/>
      </c>
    </row>
    <row r="348">
      <c r="A348" s="76" t="s">
        <v>17</v>
      </c>
      <c r="B348" s="77">
        <f t="shared" si="6"/>
        <v>44907</v>
      </c>
      <c r="C348" s="78">
        <v>13.0</v>
      </c>
      <c r="D348" s="78" t="s">
        <v>59</v>
      </c>
      <c r="E348" s="80" t="s">
        <v>125</v>
      </c>
      <c r="F348" s="71">
        <v>0.0</v>
      </c>
      <c r="H348" s="72">
        <v>0.0</v>
      </c>
      <c r="J348" s="72">
        <v>0.0</v>
      </c>
      <c r="L348" s="71">
        <v>0.0</v>
      </c>
      <c r="N348" s="72">
        <v>0.0</v>
      </c>
      <c r="P348" s="72">
        <v>0.0</v>
      </c>
      <c r="R348" s="72">
        <v>0.0</v>
      </c>
      <c r="T348" s="72">
        <v>0.0</v>
      </c>
      <c r="V348" s="72">
        <v>0.0</v>
      </c>
      <c r="X348" s="72">
        <v>0.0</v>
      </c>
      <c r="Y348" s="73"/>
      <c r="Z348" s="71">
        <v>0.0</v>
      </c>
      <c r="AB348" s="72">
        <v>0.0</v>
      </c>
      <c r="AD348" s="72">
        <v>0.0</v>
      </c>
      <c r="AF348" s="113"/>
      <c r="AH348" s="113"/>
      <c r="AJ348" s="113"/>
      <c r="AK348" s="73"/>
      <c r="AL348" s="81">
        <f t="shared" si="1"/>
        <v>0</v>
      </c>
      <c r="AM348" s="78">
        <f t="shared" si="2"/>
        <v>0</v>
      </c>
      <c r="AN348" s="78">
        <f t="shared" si="3"/>
        <v>0</v>
      </c>
      <c r="AO348" s="78">
        <f t="shared" si="4"/>
        <v>0</v>
      </c>
      <c r="AP348" s="82" t="str">
        <f t="shared" si="5"/>
        <v/>
      </c>
    </row>
    <row r="349">
      <c r="A349" s="76" t="s">
        <v>21</v>
      </c>
      <c r="B349" s="77">
        <f t="shared" si="6"/>
        <v>44908</v>
      </c>
      <c r="C349" s="78">
        <v>13.0</v>
      </c>
      <c r="D349" s="78" t="s">
        <v>59</v>
      </c>
      <c r="E349" s="80" t="s">
        <v>125</v>
      </c>
      <c r="F349" s="71">
        <v>0.0</v>
      </c>
      <c r="H349" s="72">
        <v>0.0</v>
      </c>
      <c r="J349" s="72">
        <v>0.0</v>
      </c>
      <c r="L349" s="71">
        <v>0.0</v>
      </c>
      <c r="N349" s="72">
        <v>0.0</v>
      </c>
      <c r="P349" s="72">
        <v>0.0</v>
      </c>
      <c r="R349" s="72">
        <v>0.0</v>
      </c>
      <c r="T349" s="72">
        <v>0.0</v>
      </c>
      <c r="V349" s="72">
        <v>0.0</v>
      </c>
      <c r="X349" s="72">
        <v>0.0</v>
      </c>
      <c r="Y349" s="73"/>
      <c r="Z349" s="71">
        <v>0.0</v>
      </c>
      <c r="AB349" s="72">
        <v>0.0</v>
      </c>
      <c r="AD349" s="72">
        <v>0.0</v>
      </c>
      <c r="AF349" s="113"/>
      <c r="AH349" s="113"/>
      <c r="AJ349" s="113"/>
      <c r="AK349" s="73"/>
      <c r="AL349" s="81">
        <f t="shared" si="1"/>
        <v>0</v>
      </c>
      <c r="AM349" s="78">
        <f t="shared" si="2"/>
        <v>0</v>
      </c>
      <c r="AN349" s="78">
        <f t="shared" si="3"/>
        <v>0</v>
      </c>
      <c r="AO349" s="78">
        <f t="shared" si="4"/>
        <v>0</v>
      </c>
      <c r="AP349" s="82" t="str">
        <f t="shared" si="5"/>
        <v/>
      </c>
    </row>
    <row r="350">
      <c r="A350" s="76" t="s">
        <v>24</v>
      </c>
      <c r="B350" s="77">
        <f t="shared" si="6"/>
        <v>44909</v>
      </c>
      <c r="C350" s="78">
        <v>13.0</v>
      </c>
      <c r="D350" s="78" t="s">
        <v>59</v>
      </c>
      <c r="E350" s="80" t="s">
        <v>125</v>
      </c>
      <c r="F350" s="71">
        <v>0.0</v>
      </c>
      <c r="H350" s="72">
        <v>0.0</v>
      </c>
      <c r="J350" s="72">
        <v>0.0</v>
      </c>
      <c r="L350" s="71">
        <v>0.0</v>
      </c>
      <c r="N350" s="72">
        <v>0.0</v>
      </c>
      <c r="P350" s="72">
        <v>0.0</v>
      </c>
      <c r="R350" s="72">
        <v>0.0</v>
      </c>
      <c r="T350" s="72">
        <v>0.0</v>
      </c>
      <c r="V350" s="72">
        <v>0.0</v>
      </c>
      <c r="X350" s="72">
        <v>0.0</v>
      </c>
      <c r="Y350" s="73"/>
      <c r="Z350" s="71">
        <v>0.0</v>
      </c>
      <c r="AB350" s="72">
        <v>0.0</v>
      </c>
      <c r="AD350" s="72">
        <v>0.0</v>
      </c>
      <c r="AF350" s="113"/>
      <c r="AH350" s="113"/>
      <c r="AJ350" s="113"/>
      <c r="AK350" s="73"/>
      <c r="AL350" s="81">
        <f t="shared" si="1"/>
        <v>0</v>
      </c>
      <c r="AM350" s="78">
        <f t="shared" si="2"/>
        <v>0</v>
      </c>
      <c r="AN350" s="78">
        <f t="shared" si="3"/>
        <v>0</v>
      </c>
      <c r="AO350" s="78">
        <f t="shared" si="4"/>
        <v>0</v>
      </c>
      <c r="AP350" s="82" t="str">
        <f t="shared" si="5"/>
        <v/>
      </c>
    </row>
    <row r="351">
      <c r="A351" s="76" t="s">
        <v>27</v>
      </c>
      <c r="B351" s="77">
        <f t="shared" si="6"/>
        <v>44910</v>
      </c>
      <c r="C351" s="78">
        <v>13.0</v>
      </c>
      <c r="D351" s="78" t="s">
        <v>59</v>
      </c>
      <c r="E351" s="80" t="s">
        <v>125</v>
      </c>
      <c r="F351" s="71">
        <v>0.0</v>
      </c>
      <c r="H351" s="72">
        <v>0.0</v>
      </c>
      <c r="J351" s="72">
        <v>0.0</v>
      </c>
      <c r="L351" s="71">
        <v>0.0</v>
      </c>
      <c r="N351" s="72">
        <v>0.0</v>
      </c>
      <c r="P351" s="72">
        <v>0.0</v>
      </c>
      <c r="R351" s="72">
        <v>0.0</v>
      </c>
      <c r="T351" s="72">
        <v>0.0</v>
      </c>
      <c r="V351" s="72">
        <v>0.0</v>
      </c>
      <c r="X351" s="72">
        <v>0.0</v>
      </c>
      <c r="Y351" s="73"/>
      <c r="Z351" s="71">
        <v>0.0</v>
      </c>
      <c r="AB351" s="72">
        <v>0.0</v>
      </c>
      <c r="AD351" s="72">
        <v>0.0</v>
      </c>
      <c r="AF351" s="113"/>
      <c r="AH351" s="113"/>
      <c r="AJ351" s="113"/>
      <c r="AK351" s="73"/>
      <c r="AL351" s="81">
        <f t="shared" si="1"/>
        <v>0</v>
      </c>
      <c r="AM351" s="78">
        <f t="shared" si="2"/>
        <v>0</v>
      </c>
      <c r="AN351" s="78">
        <f t="shared" si="3"/>
        <v>0</v>
      </c>
      <c r="AO351" s="78">
        <f t="shared" si="4"/>
        <v>0</v>
      </c>
      <c r="AP351" s="82" t="str">
        <f t="shared" si="5"/>
        <v/>
      </c>
    </row>
    <row r="352">
      <c r="A352" s="83" t="s">
        <v>30</v>
      </c>
      <c r="B352" s="84">
        <f t="shared" si="6"/>
        <v>44911</v>
      </c>
      <c r="C352" s="85">
        <v>13.0</v>
      </c>
      <c r="D352" s="85" t="s">
        <v>59</v>
      </c>
      <c r="E352" s="87" t="s">
        <v>125</v>
      </c>
      <c r="F352" s="88">
        <v>0.0</v>
      </c>
      <c r="G352" s="89"/>
      <c r="H352" s="90">
        <v>0.0</v>
      </c>
      <c r="I352" s="89"/>
      <c r="J352" s="90">
        <v>0.0</v>
      </c>
      <c r="K352" s="89"/>
      <c r="L352" s="88">
        <v>0.0</v>
      </c>
      <c r="M352" s="89"/>
      <c r="N352" s="90">
        <v>0.0</v>
      </c>
      <c r="O352" s="89"/>
      <c r="P352" s="90">
        <v>0.0</v>
      </c>
      <c r="Q352" s="89"/>
      <c r="R352" s="90">
        <v>0.0</v>
      </c>
      <c r="S352" s="89"/>
      <c r="T352" s="90">
        <v>0.0</v>
      </c>
      <c r="U352" s="89"/>
      <c r="V352" s="90">
        <v>0.0</v>
      </c>
      <c r="W352" s="89"/>
      <c r="X352" s="90">
        <v>0.0</v>
      </c>
      <c r="Y352" s="91"/>
      <c r="Z352" s="88">
        <v>0.0</v>
      </c>
      <c r="AA352" s="89"/>
      <c r="AB352" s="90">
        <v>0.0</v>
      </c>
      <c r="AC352" s="89"/>
      <c r="AD352" s="90">
        <v>0.0</v>
      </c>
      <c r="AE352" s="89"/>
      <c r="AF352" s="117"/>
      <c r="AG352" s="89"/>
      <c r="AH352" s="117"/>
      <c r="AI352" s="89"/>
      <c r="AJ352" s="117"/>
      <c r="AK352" s="91"/>
      <c r="AL352" s="92">
        <f t="shared" si="1"/>
        <v>0</v>
      </c>
      <c r="AM352" s="85">
        <f t="shared" si="2"/>
        <v>0</v>
      </c>
      <c r="AN352" s="85">
        <f t="shared" si="3"/>
        <v>0</v>
      </c>
      <c r="AO352" s="85">
        <f t="shared" si="4"/>
        <v>0</v>
      </c>
      <c r="AP352" s="93" t="str">
        <f t="shared" si="5"/>
        <v/>
      </c>
    </row>
    <row r="353">
      <c r="A353" s="66" t="s">
        <v>11</v>
      </c>
      <c r="B353" s="94">
        <f t="shared" si="6"/>
        <v>44912</v>
      </c>
      <c r="C353" s="68">
        <v>13.0</v>
      </c>
      <c r="D353" s="68" t="s">
        <v>12</v>
      </c>
      <c r="E353" s="70" t="s">
        <v>125</v>
      </c>
      <c r="F353" s="71">
        <v>0.0</v>
      </c>
      <c r="H353" s="72">
        <v>0.0</v>
      </c>
      <c r="J353" s="72">
        <v>0.0</v>
      </c>
      <c r="L353" s="71">
        <v>0.0</v>
      </c>
      <c r="N353" s="72">
        <v>0.0</v>
      </c>
      <c r="P353" s="72">
        <v>0.0</v>
      </c>
      <c r="R353" s="72">
        <v>0.0</v>
      </c>
      <c r="T353" s="72">
        <v>0.0</v>
      </c>
      <c r="V353" s="72">
        <v>0.0</v>
      </c>
      <c r="X353" s="72">
        <v>0.0</v>
      </c>
      <c r="Y353" s="73"/>
      <c r="Z353" s="71">
        <v>0.0</v>
      </c>
      <c r="AB353" s="72">
        <v>0.0</v>
      </c>
      <c r="AD353" s="72">
        <v>0.0</v>
      </c>
      <c r="AF353" s="113"/>
      <c r="AH353" s="113"/>
      <c r="AJ353" s="113"/>
      <c r="AK353" s="73"/>
      <c r="AL353" s="74">
        <f t="shared" si="1"/>
        <v>0</v>
      </c>
      <c r="AM353" s="68">
        <f t="shared" si="2"/>
        <v>0</v>
      </c>
      <c r="AN353" s="68">
        <f t="shared" si="3"/>
        <v>0</v>
      </c>
      <c r="AO353" s="68">
        <f t="shared" si="4"/>
        <v>0</v>
      </c>
      <c r="AP353" s="75" t="str">
        <f t="shared" si="5"/>
        <v/>
      </c>
    </row>
    <row r="354">
      <c r="A354" s="76" t="s">
        <v>16</v>
      </c>
      <c r="B354" s="77">
        <f t="shared" si="6"/>
        <v>44913</v>
      </c>
      <c r="C354" s="78">
        <v>13.0</v>
      </c>
      <c r="D354" s="78" t="s">
        <v>12</v>
      </c>
      <c r="E354" s="80" t="s">
        <v>125</v>
      </c>
      <c r="F354" s="71">
        <v>0.0</v>
      </c>
      <c r="H354" s="72">
        <v>0.0</v>
      </c>
      <c r="J354" s="72">
        <v>0.0</v>
      </c>
      <c r="L354" s="71">
        <v>0.0</v>
      </c>
      <c r="N354" s="72">
        <v>0.0</v>
      </c>
      <c r="P354" s="72">
        <v>0.0</v>
      </c>
      <c r="R354" s="72">
        <v>0.0</v>
      </c>
      <c r="T354" s="72">
        <v>0.0</v>
      </c>
      <c r="V354" s="72">
        <v>0.0</v>
      </c>
      <c r="X354" s="72">
        <v>0.0</v>
      </c>
      <c r="Y354" s="73"/>
      <c r="Z354" s="71">
        <v>0.0</v>
      </c>
      <c r="AB354" s="72">
        <v>0.0</v>
      </c>
      <c r="AD354" s="72">
        <v>0.0</v>
      </c>
      <c r="AF354" s="113"/>
      <c r="AH354" s="113"/>
      <c r="AJ354" s="113"/>
      <c r="AK354" s="73"/>
      <c r="AL354" s="81">
        <f t="shared" si="1"/>
        <v>0</v>
      </c>
      <c r="AM354" s="78">
        <f t="shared" si="2"/>
        <v>0</v>
      </c>
      <c r="AN354" s="78">
        <f t="shared" si="3"/>
        <v>0</v>
      </c>
      <c r="AO354" s="78">
        <f t="shared" si="4"/>
        <v>0</v>
      </c>
      <c r="AP354" s="82" t="str">
        <f t="shared" si="5"/>
        <v/>
      </c>
    </row>
    <row r="355">
      <c r="A355" s="76" t="s">
        <v>17</v>
      </c>
      <c r="B355" s="77">
        <f t="shared" si="6"/>
        <v>44914</v>
      </c>
      <c r="C355" s="78">
        <v>13.0</v>
      </c>
      <c r="D355" s="78" t="s">
        <v>12</v>
      </c>
      <c r="E355" s="80" t="s">
        <v>125</v>
      </c>
      <c r="F355" s="71">
        <v>0.0</v>
      </c>
      <c r="H355" s="72">
        <v>0.0</v>
      </c>
      <c r="J355" s="72">
        <v>0.0</v>
      </c>
      <c r="L355" s="71">
        <v>0.0</v>
      </c>
      <c r="N355" s="72">
        <v>0.0</v>
      </c>
      <c r="P355" s="72">
        <v>0.0</v>
      </c>
      <c r="R355" s="72">
        <v>0.0</v>
      </c>
      <c r="T355" s="72">
        <v>0.0</v>
      </c>
      <c r="V355" s="72">
        <v>0.0</v>
      </c>
      <c r="X355" s="72">
        <v>0.0</v>
      </c>
      <c r="Y355" s="73"/>
      <c r="Z355" s="71">
        <v>0.0</v>
      </c>
      <c r="AB355" s="72">
        <v>0.0</v>
      </c>
      <c r="AD355" s="72">
        <v>0.0</v>
      </c>
      <c r="AF355" s="113"/>
      <c r="AH355" s="113"/>
      <c r="AJ355" s="113"/>
      <c r="AK355" s="73"/>
      <c r="AL355" s="81">
        <f t="shared" si="1"/>
        <v>0</v>
      </c>
      <c r="AM355" s="78">
        <f t="shared" si="2"/>
        <v>0</v>
      </c>
      <c r="AN355" s="78">
        <f t="shared" si="3"/>
        <v>0</v>
      </c>
      <c r="AO355" s="78">
        <f t="shared" si="4"/>
        <v>0</v>
      </c>
      <c r="AP355" s="82" t="str">
        <f t="shared" si="5"/>
        <v/>
      </c>
    </row>
    <row r="356">
      <c r="A356" s="76" t="s">
        <v>21</v>
      </c>
      <c r="B356" s="77">
        <f t="shared" si="6"/>
        <v>44915</v>
      </c>
      <c r="C356" s="78">
        <v>13.0</v>
      </c>
      <c r="D356" s="78" t="s">
        <v>12</v>
      </c>
      <c r="E356" s="80" t="s">
        <v>125</v>
      </c>
      <c r="F356" s="71">
        <v>0.0</v>
      </c>
      <c r="H356" s="72">
        <v>0.0</v>
      </c>
      <c r="J356" s="72">
        <v>0.0</v>
      </c>
      <c r="L356" s="71">
        <v>0.0</v>
      </c>
      <c r="N356" s="72">
        <v>0.0</v>
      </c>
      <c r="P356" s="72">
        <v>0.0</v>
      </c>
      <c r="R356" s="72">
        <v>0.0</v>
      </c>
      <c r="T356" s="72">
        <v>0.0</v>
      </c>
      <c r="V356" s="72">
        <v>0.0</v>
      </c>
      <c r="X356" s="72">
        <v>0.0</v>
      </c>
      <c r="Y356" s="73"/>
      <c r="Z356" s="71">
        <v>0.0</v>
      </c>
      <c r="AB356" s="72">
        <v>0.0</v>
      </c>
      <c r="AD356" s="72">
        <v>0.0</v>
      </c>
      <c r="AF356" s="113"/>
      <c r="AH356" s="113"/>
      <c r="AJ356" s="113"/>
      <c r="AK356" s="73"/>
      <c r="AL356" s="81">
        <f t="shared" si="1"/>
        <v>0</v>
      </c>
      <c r="AM356" s="78">
        <f t="shared" si="2"/>
        <v>0</v>
      </c>
      <c r="AN356" s="78">
        <f t="shared" si="3"/>
        <v>0</v>
      </c>
      <c r="AO356" s="78">
        <f t="shared" si="4"/>
        <v>0</v>
      </c>
      <c r="AP356" s="82" t="str">
        <f t="shared" si="5"/>
        <v/>
      </c>
    </row>
    <row r="357">
      <c r="A357" s="76" t="s">
        <v>24</v>
      </c>
      <c r="B357" s="77">
        <f t="shared" si="6"/>
        <v>44916</v>
      </c>
      <c r="C357" s="78">
        <v>13.0</v>
      </c>
      <c r="D357" s="78" t="s">
        <v>12</v>
      </c>
      <c r="E357" s="80" t="s">
        <v>125</v>
      </c>
      <c r="F357" s="71">
        <v>0.0</v>
      </c>
      <c r="H357" s="72">
        <v>0.0</v>
      </c>
      <c r="J357" s="72">
        <v>0.0</v>
      </c>
      <c r="L357" s="71">
        <v>0.0</v>
      </c>
      <c r="N357" s="72">
        <v>0.0</v>
      </c>
      <c r="P357" s="72">
        <v>0.0</v>
      </c>
      <c r="R357" s="72">
        <v>0.0</v>
      </c>
      <c r="T357" s="72">
        <v>0.0</v>
      </c>
      <c r="V357" s="72">
        <v>0.0</v>
      </c>
      <c r="X357" s="72">
        <v>0.0</v>
      </c>
      <c r="Y357" s="73"/>
      <c r="Z357" s="71">
        <v>0.0</v>
      </c>
      <c r="AB357" s="72">
        <v>0.0</v>
      </c>
      <c r="AD357" s="72">
        <v>0.0</v>
      </c>
      <c r="AF357" s="113"/>
      <c r="AH357" s="113"/>
      <c r="AJ357" s="113"/>
      <c r="AK357" s="73"/>
      <c r="AL357" s="81">
        <f t="shared" si="1"/>
        <v>0</v>
      </c>
      <c r="AM357" s="78">
        <f t="shared" si="2"/>
        <v>0</v>
      </c>
      <c r="AN357" s="78">
        <f t="shared" si="3"/>
        <v>0</v>
      </c>
      <c r="AO357" s="78">
        <f t="shared" si="4"/>
        <v>0</v>
      </c>
      <c r="AP357" s="82" t="str">
        <f t="shared" si="5"/>
        <v/>
      </c>
    </row>
    <row r="358">
      <c r="A358" s="76" t="s">
        <v>27</v>
      </c>
      <c r="B358" s="77">
        <f t="shared" si="6"/>
        <v>44917</v>
      </c>
      <c r="C358" s="78">
        <v>13.0</v>
      </c>
      <c r="D358" s="78" t="s">
        <v>12</v>
      </c>
      <c r="E358" s="80" t="s">
        <v>125</v>
      </c>
      <c r="F358" s="71">
        <v>0.0</v>
      </c>
      <c r="H358" s="72">
        <v>0.0</v>
      </c>
      <c r="J358" s="72">
        <v>0.0</v>
      </c>
      <c r="L358" s="71">
        <v>0.0</v>
      </c>
      <c r="N358" s="72">
        <v>0.0</v>
      </c>
      <c r="P358" s="72">
        <v>0.0</v>
      </c>
      <c r="R358" s="72">
        <v>0.0</v>
      </c>
      <c r="T358" s="72">
        <v>0.0</v>
      </c>
      <c r="V358" s="72">
        <v>0.0</v>
      </c>
      <c r="X358" s="72">
        <v>0.0</v>
      </c>
      <c r="Y358" s="73"/>
      <c r="Z358" s="71">
        <v>0.0</v>
      </c>
      <c r="AB358" s="72">
        <v>0.0</v>
      </c>
      <c r="AD358" s="72">
        <v>0.0</v>
      </c>
      <c r="AF358" s="113"/>
      <c r="AH358" s="113"/>
      <c r="AJ358" s="113"/>
      <c r="AK358" s="73"/>
      <c r="AL358" s="81">
        <f t="shared" si="1"/>
        <v>0</v>
      </c>
      <c r="AM358" s="78">
        <f t="shared" si="2"/>
        <v>0</v>
      </c>
      <c r="AN358" s="78">
        <f t="shared" si="3"/>
        <v>0</v>
      </c>
      <c r="AO358" s="78">
        <f t="shared" si="4"/>
        <v>0</v>
      </c>
      <c r="AP358" s="82" t="str">
        <f t="shared" si="5"/>
        <v/>
      </c>
    </row>
    <row r="359">
      <c r="A359" s="83" t="s">
        <v>30</v>
      </c>
      <c r="B359" s="84">
        <f t="shared" si="6"/>
        <v>44918</v>
      </c>
      <c r="C359" s="85">
        <v>13.0</v>
      </c>
      <c r="D359" s="85" t="s">
        <v>12</v>
      </c>
      <c r="E359" s="87" t="s">
        <v>125</v>
      </c>
      <c r="F359" s="88">
        <v>0.0</v>
      </c>
      <c r="G359" s="89"/>
      <c r="H359" s="90">
        <v>0.0</v>
      </c>
      <c r="I359" s="89"/>
      <c r="J359" s="90">
        <v>0.0</v>
      </c>
      <c r="K359" s="89"/>
      <c r="L359" s="88">
        <v>0.0</v>
      </c>
      <c r="M359" s="89"/>
      <c r="N359" s="90">
        <v>0.0</v>
      </c>
      <c r="O359" s="89"/>
      <c r="P359" s="90">
        <v>0.0</v>
      </c>
      <c r="Q359" s="89"/>
      <c r="R359" s="90">
        <v>0.0</v>
      </c>
      <c r="S359" s="89"/>
      <c r="T359" s="90">
        <v>0.0</v>
      </c>
      <c r="U359" s="89"/>
      <c r="V359" s="90">
        <v>0.0</v>
      </c>
      <c r="W359" s="89"/>
      <c r="X359" s="90">
        <v>0.0</v>
      </c>
      <c r="Y359" s="91"/>
      <c r="Z359" s="88">
        <v>0.0</v>
      </c>
      <c r="AA359" s="89"/>
      <c r="AB359" s="90">
        <v>0.0</v>
      </c>
      <c r="AC359" s="89"/>
      <c r="AD359" s="90">
        <v>0.0</v>
      </c>
      <c r="AE359" s="89"/>
      <c r="AF359" s="117"/>
      <c r="AG359" s="89"/>
      <c r="AH359" s="117"/>
      <c r="AI359" s="89"/>
      <c r="AJ359" s="117"/>
      <c r="AK359" s="91"/>
      <c r="AL359" s="92">
        <f t="shared" si="1"/>
        <v>0</v>
      </c>
      <c r="AM359" s="85">
        <f t="shared" si="2"/>
        <v>0</v>
      </c>
      <c r="AN359" s="85">
        <f t="shared" si="3"/>
        <v>0</v>
      </c>
      <c r="AO359" s="85">
        <f t="shared" si="4"/>
        <v>0</v>
      </c>
      <c r="AP359" s="93" t="str">
        <f t="shared" si="5"/>
        <v/>
      </c>
    </row>
    <row r="360">
      <c r="A360" s="193"/>
      <c r="B360" s="194"/>
      <c r="C360" s="195"/>
      <c r="D360" s="195"/>
      <c r="E360" s="195"/>
      <c r="F360" s="196"/>
      <c r="G360" s="196">
        <f>sum(F3:G359)*G$2</f>
        <v>95280.801</v>
      </c>
      <c r="H360" s="196"/>
      <c r="I360" s="196">
        <f>sum(H3:I359)*I$2</f>
        <v>113060.472</v>
      </c>
      <c r="J360" s="196"/>
      <c r="K360" s="196">
        <f>sum(J3:K359)*K$2</f>
        <v>24859.359</v>
      </c>
      <c r="L360" s="196"/>
      <c r="M360" s="196">
        <f>sum(L3:M359)*M$2</f>
        <v>357651</v>
      </c>
      <c r="N360" s="196"/>
      <c r="O360" s="196">
        <f>sum(N3:O359)*O$2</f>
        <v>441681.954</v>
      </c>
      <c r="P360" s="196"/>
      <c r="Q360" s="196">
        <f>sum(P3:Q359)*Q$2</f>
        <v>63065.793</v>
      </c>
      <c r="R360" s="196"/>
      <c r="S360" s="196">
        <f>sum(R3:S359)*S$2</f>
        <v>29414.7</v>
      </c>
      <c r="T360" s="196"/>
      <c r="U360" s="196">
        <f>sum(T3:U359)*U$2</f>
        <v>20790</v>
      </c>
      <c r="V360" s="196"/>
      <c r="W360" s="196">
        <f>sum(V3:W359)*W$2</f>
        <v>11550</v>
      </c>
      <c r="X360" s="196"/>
      <c r="Y360" s="196">
        <f>sum(X3:Y359)*Y$2</f>
        <v>12230.4</v>
      </c>
      <c r="Z360" s="196"/>
      <c r="AA360" s="196">
        <f>sum(Z3:AA359)*AA$2</f>
        <v>86449.356</v>
      </c>
      <c r="AB360" s="196"/>
      <c r="AC360" s="196">
        <f>sum(AB3:AC359)*AC$2</f>
        <v>111212.43</v>
      </c>
      <c r="AD360" s="196"/>
      <c r="AE360" s="196">
        <f>sum(AD3:AE359)*AE$2</f>
        <v>0</v>
      </c>
      <c r="AF360" s="195"/>
      <c r="AG360" s="195"/>
      <c r="AH360" s="195"/>
      <c r="AI360" s="195"/>
      <c r="AJ360" s="195"/>
      <c r="AK360" s="195"/>
      <c r="AL360" s="194">
        <f t="shared" ref="AL360:AO360" si="7">SUM(AL3:AL359)</f>
        <v>1367246.265</v>
      </c>
      <c r="AM360" s="197">
        <f t="shared" si="7"/>
        <v>76745</v>
      </c>
      <c r="AN360" s="197">
        <f t="shared" si="7"/>
        <v>88</v>
      </c>
      <c r="AO360" s="197">
        <f t="shared" si="7"/>
        <v>76833</v>
      </c>
      <c r="AP360" s="195"/>
    </row>
    <row r="361">
      <c r="A361" s="198"/>
      <c r="B361" s="199"/>
      <c r="C361" s="200"/>
      <c r="D361" s="201"/>
      <c r="E361" s="202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200"/>
      <c r="AG361" s="200"/>
      <c r="AH361" s="200"/>
      <c r="AI361" s="200"/>
      <c r="AJ361" s="200"/>
      <c r="AK361" s="200"/>
      <c r="AL361" s="194"/>
      <c r="AM361" s="197"/>
      <c r="AN361" s="197"/>
      <c r="AO361" s="197"/>
      <c r="AP361" s="200"/>
    </row>
    <row r="362">
      <c r="A362" s="198"/>
      <c r="B362" s="199"/>
      <c r="C362" s="200"/>
      <c r="D362" s="201"/>
      <c r="E362" s="202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3" t="s">
        <v>102</v>
      </c>
      <c r="AM362" s="204"/>
      <c r="AN362" s="197"/>
      <c r="AO362" s="197"/>
      <c r="AP362" s="200"/>
    </row>
    <row r="363">
      <c r="A363" s="198"/>
      <c r="B363" s="199"/>
      <c r="C363" s="200"/>
      <c r="D363" s="205" t="s">
        <v>132</v>
      </c>
      <c r="E363" s="206">
        <v>0.05</v>
      </c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  <c r="AH363" s="200"/>
      <c r="AI363" s="200"/>
      <c r="AJ363" s="200"/>
      <c r="AK363" s="200"/>
      <c r="AL363" s="29">
        <f>sum(F3:K359)</f>
        <v>8696</v>
      </c>
      <c r="AM363" s="207" t="s">
        <v>133</v>
      </c>
      <c r="AP363" s="200"/>
    </row>
    <row r="364">
      <c r="A364" s="198"/>
      <c r="B364" s="199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  <c r="AH364" s="200"/>
      <c r="AI364" s="200"/>
      <c r="AJ364" s="200"/>
      <c r="AK364" s="200"/>
      <c r="AL364" s="208">
        <f>sum(F360:K360)</f>
        <v>233200.632</v>
      </c>
      <c r="AM364" s="209" t="s">
        <v>134</v>
      </c>
      <c r="AN364" s="200"/>
      <c r="AO364" s="200"/>
      <c r="AP364" s="200"/>
    </row>
    <row r="365">
      <c r="A365" s="198"/>
      <c r="B365" s="199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10"/>
      <c r="S365" s="210"/>
      <c r="T365" s="211"/>
      <c r="U365" s="211"/>
      <c r="V365" s="211"/>
      <c r="W365" s="211"/>
      <c r="X365" s="211"/>
      <c r="Y365" s="212"/>
      <c r="Z365" s="211"/>
      <c r="AA365" s="211"/>
      <c r="AB365" s="211"/>
      <c r="AC365" s="211"/>
      <c r="AD365" s="211"/>
      <c r="AE365" s="211"/>
      <c r="AF365" s="211"/>
      <c r="AG365" s="211"/>
      <c r="AH365" s="211"/>
      <c r="AI365" s="211"/>
      <c r="AJ365" s="211"/>
      <c r="AK365" s="211"/>
      <c r="AL365" s="213"/>
      <c r="AM365" s="127"/>
      <c r="AN365" s="103"/>
      <c r="AO365" s="200"/>
      <c r="AP365" s="200"/>
    </row>
    <row r="366">
      <c r="A366" s="198"/>
      <c r="B366" s="199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10"/>
      <c r="S366" s="210"/>
      <c r="T366" s="211"/>
      <c r="U366" s="211"/>
      <c r="V366" s="211"/>
      <c r="W366" s="211"/>
      <c r="X366" s="211"/>
      <c r="Y366" s="212"/>
      <c r="Z366" s="211"/>
      <c r="AA366" s="211"/>
      <c r="AB366" s="211"/>
      <c r="AC366" s="211"/>
      <c r="AD366" s="211"/>
      <c r="AE366" s="211"/>
      <c r="AF366" s="211"/>
      <c r="AG366" s="211"/>
      <c r="AH366" s="211"/>
      <c r="AI366" s="211"/>
      <c r="AJ366" s="211"/>
      <c r="AK366" s="211"/>
      <c r="AL366" s="215" t="s">
        <v>135</v>
      </c>
      <c r="AM366" s="127"/>
      <c r="AN366" s="103"/>
      <c r="AO366" s="200"/>
      <c r="AP366" s="200"/>
    </row>
    <row r="367">
      <c r="A367" s="216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0"/>
      <c r="AK367" s="200"/>
      <c r="AL367" s="219">
        <f>sum(L3:Q359)</f>
        <v>50637</v>
      </c>
      <c r="AM367" s="220" t="s">
        <v>133</v>
      </c>
      <c r="AN367" s="200"/>
      <c r="AO367" s="200"/>
      <c r="AP367" s="200"/>
    </row>
    <row r="368">
      <c r="A368" s="216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00"/>
      <c r="AH368" s="200"/>
      <c r="AI368" s="200"/>
      <c r="AJ368" s="200"/>
      <c r="AK368" s="200"/>
      <c r="AL368" s="208">
        <f>sum(L360:Q360)</f>
        <v>862398.747</v>
      </c>
      <c r="AM368" s="220" t="s">
        <v>134</v>
      </c>
      <c r="AN368" s="200"/>
      <c r="AO368" s="200"/>
      <c r="AP368" s="200"/>
    </row>
    <row r="369">
      <c r="A369" s="216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00"/>
      <c r="AG369" s="200"/>
      <c r="AH369" s="200"/>
      <c r="AI369" s="200"/>
      <c r="AJ369" s="200"/>
      <c r="AK369" s="200"/>
      <c r="AL369" s="219"/>
      <c r="AM369" s="31"/>
      <c r="AN369" s="200"/>
      <c r="AO369" s="200"/>
      <c r="AP369" s="200"/>
    </row>
    <row r="370">
      <c r="A370" s="216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00"/>
      <c r="AH370" s="200"/>
      <c r="AI370" s="200"/>
      <c r="AJ370" s="200"/>
      <c r="AK370" s="200"/>
      <c r="AL370" s="219">
        <f>sum(R3:S359)</f>
        <v>4350</v>
      </c>
      <c r="AM370" s="220" t="s">
        <v>136</v>
      </c>
      <c r="AN370" s="200"/>
      <c r="AO370" s="200"/>
      <c r="AP370" s="200"/>
    </row>
    <row r="371">
      <c r="A371" s="216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00"/>
      <c r="AH371" s="200"/>
      <c r="AI371" s="200"/>
      <c r="AJ371" s="200"/>
      <c r="AK371" s="200"/>
      <c r="AL371" s="208">
        <f>S360</f>
        <v>29414.7</v>
      </c>
      <c r="AM371" s="220" t="s">
        <v>134</v>
      </c>
      <c r="AN371" s="200"/>
      <c r="AO371" s="200"/>
      <c r="AP371" s="200"/>
    </row>
    <row r="372">
      <c r="A372" s="216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  <c r="AK372" s="200"/>
      <c r="AL372" s="219"/>
      <c r="AM372" s="223"/>
      <c r="AN372" s="200"/>
      <c r="AO372" s="200"/>
      <c r="AP372" s="200"/>
    </row>
    <row r="373">
      <c r="A373" s="216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00"/>
      <c r="AH373" s="200"/>
      <c r="AI373" s="200"/>
      <c r="AJ373" s="200"/>
      <c r="AK373" s="200"/>
      <c r="AL373" s="219">
        <f>sum(X3:Y359)</f>
        <v>1456</v>
      </c>
      <c r="AM373" s="220" t="s">
        <v>137</v>
      </c>
      <c r="AN373" s="200"/>
      <c r="AO373" s="200"/>
      <c r="AP373" s="200"/>
    </row>
    <row r="374">
      <c r="A374" s="216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  <c r="AH374" s="200"/>
      <c r="AI374" s="200"/>
      <c r="AJ374" s="200"/>
      <c r="AK374" s="200"/>
      <c r="AL374" s="208">
        <f>Y360</f>
        <v>12230.4</v>
      </c>
      <c r="AM374" s="220" t="s">
        <v>134</v>
      </c>
      <c r="AN374" s="200"/>
      <c r="AO374" s="200"/>
      <c r="AP374" s="200"/>
    </row>
    <row r="375">
      <c r="A375" s="216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0"/>
      <c r="AK375" s="200"/>
      <c r="AL375" s="219"/>
      <c r="AM375" s="223"/>
      <c r="AN375" s="200"/>
      <c r="AO375" s="200"/>
      <c r="AP375" s="200"/>
    </row>
    <row r="376">
      <c r="A376" s="216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  <c r="AH376" s="200"/>
      <c r="AI376" s="200"/>
      <c r="AJ376" s="200"/>
      <c r="AK376" s="200"/>
      <c r="AL376" s="219">
        <f>sum(T3:U359)</f>
        <v>44</v>
      </c>
      <c r="AM376" s="220" t="s">
        <v>138</v>
      </c>
      <c r="AN376" s="200"/>
      <c r="AO376" s="200"/>
      <c r="AP376" s="200"/>
    </row>
    <row r="377">
      <c r="A377" s="216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  <c r="AH377" s="200"/>
      <c r="AI377" s="200"/>
      <c r="AJ377" s="200"/>
      <c r="AK377" s="200"/>
      <c r="AL377" s="208">
        <f>U360</f>
        <v>20790</v>
      </c>
      <c r="AM377" s="220" t="s">
        <v>134</v>
      </c>
      <c r="AN377" s="200"/>
      <c r="AO377" s="200"/>
      <c r="AP377" s="200"/>
    </row>
    <row r="378">
      <c r="A378" s="216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  <c r="AK378" s="200"/>
      <c r="AL378" s="219"/>
      <c r="AM378" s="223"/>
      <c r="AN378" s="200"/>
      <c r="AO378" s="200"/>
      <c r="AP378" s="200"/>
    </row>
    <row r="379">
      <c r="A379" s="216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  <c r="AH379" s="200"/>
      <c r="AI379" s="200"/>
      <c r="AJ379" s="200"/>
      <c r="AK379" s="200"/>
      <c r="AL379" s="219">
        <f>sum(V3:W359)</f>
        <v>44</v>
      </c>
      <c r="AM379" s="220" t="s">
        <v>139</v>
      </c>
      <c r="AN379" s="200"/>
      <c r="AO379" s="200"/>
      <c r="AP379" s="200"/>
    </row>
    <row r="380">
      <c r="A380" s="216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0"/>
      <c r="AK380" s="200"/>
      <c r="AL380" s="208">
        <f>W360</f>
        <v>11550</v>
      </c>
      <c r="AM380" s="220" t="s">
        <v>134</v>
      </c>
      <c r="AN380" s="200"/>
      <c r="AO380" s="200"/>
      <c r="AP380" s="200"/>
    </row>
    <row r="381">
      <c r="A381" s="216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19"/>
      <c r="AM381" s="223"/>
      <c r="AN381" s="200"/>
      <c r="AO381" s="200"/>
      <c r="AP381" s="200"/>
    </row>
    <row r="382">
      <c r="A382" s="216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26" t="s">
        <v>111</v>
      </c>
      <c r="AM382" s="223"/>
      <c r="AN382" s="200"/>
      <c r="AO382" s="200"/>
      <c r="AP382" s="200"/>
    </row>
    <row r="383">
      <c r="A383" s="216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0"/>
      <c r="AK383" s="200"/>
      <c r="AL383" s="219">
        <f>sum(Z3:AE359)</f>
        <v>11606</v>
      </c>
      <c r="AM383" s="220" t="s">
        <v>133</v>
      </c>
      <c r="AN383" s="200"/>
      <c r="AO383" s="200"/>
      <c r="AP383" s="200"/>
    </row>
    <row r="384">
      <c r="A384" s="216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  <c r="AH384" s="200"/>
      <c r="AI384" s="200"/>
      <c r="AJ384" s="200"/>
      <c r="AK384" s="200"/>
      <c r="AL384" s="227">
        <f>sum(Z360:AE360)</f>
        <v>197661.786</v>
      </c>
      <c r="AM384" s="228" t="s">
        <v>134</v>
      </c>
      <c r="AN384" s="200"/>
      <c r="AO384" s="200"/>
      <c r="AP384" s="200"/>
    </row>
    <row r="385">
      <c r="A385" s="216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200"/>
    </row>
    <row r="386">
      <c r="A386" s="216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0"/>
      <c r="AL386" s="225" t="s">
        <v>140</v>
      </c>
      <c r="AM386" s="200"/>
      <c r="AN386" s="200"/>
      <c r="AO386" s="200"/>
      <c r="AP386" s="200"/>
    </row>
    <row r="387">
      <c r="A387" s="216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0"/>
      <c r="AK387" s="200"/>
      <c r="AL387" s="200">
        <f t="shared" ref="AL387:AL388" si="8">sum(AL383,AL373,AL370,AL367,AL363)</f>
        <v>76745</v>
      </c>
      <c r="AM387" s="222" t="s">
        <v>141</v>
      </c>
      <c r="AN387" s="200"/>
      <c r="AO387" s="200"/>
      <c r="AP387" s="200"/>
    </row>
    <row r="388">
      <c r="A388" s="216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195">
        <f t="shared" si="8"/>
        <v>1334906.265</v>
      </c>
      <c r="AM388" s="222" t="s">
        <v>142</v>
      </c>
      <c r="AN388" s="200"/>
      <c r="AO388" s="200"/>
      <c r="AP388" s="200"/>
    </row>
    <row r="389">
      <c r="A389" s="216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  <c r="AK389" s="200"/>
      <c r="AL389" s="200"/>
      <c r="AM389" s="200"/>
      <c r="AN389" s="200"/>
      <c r="AO389" s="200"/>
      <c r="AP389" s="200"/>
    </row>
    <row r="390">
      <c r="A390" s="216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  <c r="AH390" s="200"/>
      <c r="AI390" s="200"/>
      <c r="AJ390" s="200"/>
      <c r="AK390" s="200"/>
      <c r="AL390" s="195">
        <f>AL388*0.3</f>
        <v>400471.8795</v>
      </c>
      <c r="AM390" s="222" t="s">
        <v>143</v>
      </c>
      <c r="AN390" s="200"/>
      <c r="AO390" s="200"/>
      <c r="AP390" s="200"/>
    </row>
    <row r="391">
      <c r="A391" s="216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  <c r="AK391" s="200"/>
      <c r="AL391" s="200"/>
      <c r="AM391" s="200"/>
      <c r="AN391" s="200"/>
      <c r="AO391" s="200"/>
      <c r="AP391" s="200"/>
    </row>
    <row r="392">
      <c r="A392" s="216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0"/>
      <c r="AK392" s="200"/>
      <c r="AL392" s="195">
        <f>sum(AL377,AL380)</f>
        <v>32340</v>
      </c>
      <c r="AM392" s="222" t="s">
        <v>144</v>
      </c>
      <c r="AN392" s="200"/>
      <c r="AO392" s="200"/>
      <c r="AP392" s="200"/>
    </row>
    <row r="393">
      <c r="A393" s="216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200"/>
      <c r="AO393" s="200"/>
      <c r="AP393" s="200"/>
    </row>
    <row r="394">
      <c r="A394" s="216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0"/>
      <c r="AL394" s="195">
        <f>sum(AL388,AL392)</f>
        <v>1367246.265</v>
      </c>
      <c r="AM394" s="222" t="s">
        <v>152</v>
      </c>
      <c r="AN394" s="200"/>
      <c r="AO394" s="200"/>
      <c r="AP394" s="200"/>
    </row>
    <row r="395">
      <c r="A395" s="216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200"/>
      <c r="AO395" s="200"/>
      <c r="AP395" s="200"/>
    </row>
    <row r="396">
      <c r="A396" s="216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200"/>
      <c r="AO396" s="200"/>
      <c r="AP396" s="200"/>
    </row>
    <row r="397">
      <c r="A397" s="216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/>
      <c r="AK397" s="200"/>
      <c r="AL397" s="225" t="s">
        <v>146</v>
      </c>
      <c r="AM397" s="200"/>
      <c r="AN397" s="200"/>
      <c r="AO397" s="200"/>
      <c r="AP397" s="200"/>
    </row>
    <row r="398">
      <c r="A398" s="216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/>
      <c r="AK398" s="200"/>
      <c r="AL398" s="222" t="s">
        <v>102</v>
      </c>
      <c r="AM398" s="200"/>
      <c r="AN398" s="200"/>
      <c r="AO398" s="200"/>
      <c r="AP398" s="200"/>
    </row>
    <row r="399">
      <c r="A399" s="216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0"/>
      <c r="AK399" s="200"/>
      <c r="AL399" s="195">
        <f>G2*0.7</f>
        <v>18.7719</v>
      </c>
      <c r="AM399" s="222" t="s">
        <v>147</v>
      </c>
      <c r="AN399" s="200"/>
      <c r="AO399" s="222" t="s">
        <v>148</v>
      </c>
      <c r="AP399" s="200"/>
    </row>
    <row r="400">
      <c r="A400" s="216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18" t="s">
        <v>135</v>
      </c>
      <c r="AM400" s="200"/>
      <c r="AN400" s="200"/>
      <c r="AO400" s="200"/>
      <c r="AP400" s="200"/>
    </row>
    <row r="401">
      <c r="A401" s="216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  <c r="AH401" s="200"/>
      <c r="AI401" s="200"/>
      <c r="AJ401" s="200"/>
      <c r="AK401" s="200"/>
      <c r="AL401" s="195">
        <f>M2*0.7</f>
        <v>11.9217</v>
      </c>
      <c r="AM401" s="222" t="s">
        <v>147</v>
      </c>
      <c r="AN401" s="200"/>
      <c r="AO401" s="222" t="s">
        <v>148</v>
      </c>
      <c r="AP401" s="200"/>
    </row>
    <row r="402">
      <c r="A402" s="216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195">
        <f>S2*0.7</f>
        <v>4.7334</v>
      </c>
      <c r="AM402" s="222" t="s">
        <v>149</v>
      </c>
      <c r="AN402" s="200"/>
      <c r="AO402" s="222" t="s">
        <v>148</v>
      </c>
      <c r="AP402" s="200"/>
    </row>
    <row r="403">
      <c r="A403" s="216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  <c r="AH403" s="200"/>
      <c r="AI403" s="200"/>
      <c r="AJ403" s="200"/>
      <c r="AK403" s="200"/>
      <c r="AL403" s="195">
        <f>Y2*0.7</f>
        <v>5.88</v>
      </c>
      <c r="AM403" s="222" t="s">
        <v>137</v>
      </c>
      <c r="AN403" s="200"/>
      <c r="AO403" s="222" t="s">
        <v>148</v>
      </c>
      <c r="AP403" s="200"/>
    </row>
    <row r="404">
      <c r="A404" s="216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195">
        <f>AA2*0.7</f>
        <v>11.9217</v>
      </c>
      <c r="AM404" s="222" t="s">
        <v>111</v>
      </c>
      <c r="AN404" s="200"/>
      <c r="AO404" s="222" t="s">
        <v>148</v>
      </c>
      <c r="AP404" s="200"/>
    </row>
    <row r="405">
      <c r="A405" s="216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0"/>
      <c r="AK405" s="200"/>
      <c r="AL405" s="195"/>
      <c r="AM405" s="200"/>
      <c r="AN405" s="200"/>
      <c r="AO405" s="200"/>
      <c r="AP405" s="200"/>
    </row>
    <row r="406">
      <c r="A406" s="216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0"/>
      <c r="AK406" s="200"/>
      <c r="AL406" s="218" t="s">
        <v>150</v>
      </c>
      <c r="AM406" s="200"/>
      <c r="AN406" s="200"/>
      <c r="AO406" s="200"/>
      <c r="AP406" s="200"/>
    </row>
    <row r="407">
      <c r="A407" s="216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195">
        <f>U2</f>
        <v>472.5</v>
      </c>
      <c r="AM407" s="222" t="s">
        <v>138</v>
      </c>
      <c r="AN407" s="200"/>
      <c r="AO407" s="222" t="s">
        <v>151</v>
      </c>
      <c r="AP407" s="200"/>
    </row>
    <row r="408">
      <c r="A408" s="216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195">
        <f>W2</f>
        <v>262.5</v>
      </c>
      <c r="AM408" s="222" t="s">
        <v>139</v>
      </c>
      <c r="AN408" s="200"/>
      <c r="AO408" s="222" t="s">
        <v>151</v>
      </c>
      <c r="AP408" s="200"/>
    </row>
    <row r="409">
      <c r="A409" s="216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200"/>
    </row>
    <row r="410">
      <c r="A410" s="216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  <c r="AK410" s="200"/>
      <c r="AL410" s="200"/>
      <c r="AM410" s="200"/>
      <c r="AN410" s="200"/>
      <c r="AO410" s="200"/>
      <c r="AP410" s="200"/>
    </row>
    <row r="411">
      <c r="A411" s="216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200"/>
      <c r="AO411" s="200"/>
      <c r="AP411" s="200"/>
    </row>
    <row r="412">
      <c r="A412" s="216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200"/>
    </row>
    <row r="413">
      <c r="A413" s="216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  <c r="AK413" s="200"/>
      <c r="AL413" s="200"/>
      <c r="AM413" s="200"/>
      <c r="AN413" s="200"/>
      <c r="AO413" s="200"/>
      <c r="AP413" s="200"/>
    </row>
    <row r="414">
      <c r="A414" s="216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  <c r="AK414" s="200"/>
      <c r="AL414" s="200"/>
      <c r="AM414" s="200"/>
      <c r="AN414" s="200"/>
      <c r="AO414" s="200"/>
      <c r="AP414" s="200"/>
    </row>
    <row r="415">
      <c r="A415" s="216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200"/>
    </row>
    <row r="416">
      <c r="A416" s="216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  <c r="AK416" s="200"/>
      <c r="AL416" s="200"/>
      <c r="AM416" s="200"/>
      <c r="AN416" s="200"/>
      <c r="AO416" s="200"/>
      <c r="AP416" s="200"/>
    </row>
    <row r="417">
      <c r="A417" s="216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  <c r="AK417" s="200"/>
      <c r="AL417" s="200"/>
      <c r="AM417" s="200"/>
      <c r="AN417" s="200"/>
      <c r="AO417" s="200"/>
      <c r="AP417" s="200"/>
    </row>
    <row r="418">
      <c r="A418" s="216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0"/>
      <c r="AL418" s="200"/>
      <c r="AM418" s="200"/>
      <c r="AN418" s="200"/>
      <c r="AO418" s="200"/>
      <c r="AP418" s="200"/>
    </row>
    <row r="419">
      <c r="A419" s="216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  <c r="AK419" s="200"/>
      <c r="AL419" s="200"/>
      <c r="AM419" s="200"/>
      <c r="AN419" s="200"/>
      <c r="AO419" s="200"/>
      <c r="AP419" s="200"/>
    </row>
    <row r="420">
      <c r="A420" s="216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  <c r="AK420" s="200"/>
      <c r="AL420" s="200"/>
      <c r="AM420" s="200"/>
      <c r="AN420" s="200"/>
      <c r="AO420" s="200"/>
      <c r="AP420" s="200"/>
    </row>
    <row r="421">
      <c r="A421" s="216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  <c r="AK421" s="200"/>
      <c r="AL421" s="200"/>
      <c r="AM421" s="200"/>
      <c r="AN421" s="200"/>
      <c r="AO421" s="200"/>
      <c r="AP421" s="200"/>
    </row>
    <row r="422">
      <c r="A422" s="216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  <c r="AK422" s="200"/>
      <c r="AL422" s="200"/>
      <c r="AM422" s="200"/>
      <c r="AN422" s="200"/>
      <c r="AO422" s="200"/>
      <c r="AP422" s="200"/>
    </row>
    <row r="423">
      <c r="A423" s="216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  <c r="AK423" s="200"/>
      <c r="AL423" s="200"/>
      <c r="AM423" s="200"/>
      <c r="AN423" s="200"/>
      <c r="AO423" s="200"/>
      <c r="AP423" s="200"/>
    </row>
    <row r="424">
      <c r="A424" s="216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200"/>
    </row>
    <row r="425">
      <c r="A425" s="216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  <c r="AK425" s="200"/>
      <c r="AL425" s="200"/>
      <c r="AM425" s="200"/>
      <c r="AN425" s="200"/>
      <c r="AO425" s="200"/>
      <c r="AP425" s="200"/>
    </row>
    <row r="426">
      <c r="A426" s="216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200"/>
    </row>
    <row r="427">
      <c r="A427" s="216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  <c r="AK427" s="200"/>
      <c r="AL427" s="200"/>
      <c r="AM427" s="200"/>
      <c r="AN427" s="200"/>
      <c r="AO427" s="200"/>
      <c r="AP427" s="200"/>
    </row>
    <row r="428">
      <c r="A428" s="216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  <c r="AK428" s="200"/>
      <c r="AL428" s="200"/>
      <c r="AM428" s="200"/>
      <c r="AN428" s="200"/>
      <c r="AO428" s="200"/>
      <c r="AP428" s="200"/>
    </row>
    <row r="429">
      <c r="A429" s="216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  <c r="AK429" s="200"/>
      <c r="AL429" s="200"/>
      <c r="AM429" s="200"/>
      <c r="AN429" s="200"/>
      <c r="AO429" s="200"/>
      <c r="AP429" s="200"/>
    </row>
    <row r="430">
      <c r="A430" s="216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  <c r="AK430" s="200"/>
      <c r="AL430" s="200"/>
      <c r="AM430" s="200"/>
      <c r="AN430" s="200"/>
      <c r="AO430" s="200"/>
      <c r="AP430" s="200"/>
    </row>
    <row r="431">
      <c r="A431" s="216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  <c r="AK431" s="200"/>
      <c r="AL431" s="200"/>
      <c r="AM431" s="200"/>
      <c r="AN431" s="200"/>
      <c r="AO431" s="200"/>
      <c r="AP431" s="200"/>
    </row>
    <row r="432">
      <c r="A432" s="216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  <c r="AK432" s="200"/>
      <c r="AL432" s="200"/>
      <c r="AM432" s="200"/>
      <c r="AN432" s="200"/>
      <c r="AO432" s="200"/>
      <c r="AP432" s="200"/>
    </row>
    <row r="433">
      <c r="A433" s="216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200"/>
    </row>
    <row r="434">
      <c r="A434" s="216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200"/>
    </row>
    <row r="435">
      <c r="A435" s="216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  <c r="AK435" s="200"/>
      <c r="AL435" s="200"/>
      <c r="AM435" s="200"/>
      <c r="AN435" s="200"/>
      <c r="AO435" s="200"/>
      <c r="AP435" s="200"/>
    </row>
    <row r="436">
      <c r="A436" s="216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  <c r="AK436" s="200"/>
      <c r="AL436" s="200"/>
      <c r="AM436" s="200"/>
      <c r="AN436" s="200"/>
      <c r="AO436" s="200"/>
      <c r="AP436" s="200"/>
    </row>
    <row r="437">
      <c r="A437" s="216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  <c r="AK437" s="200"/>
      <c r="AL437" s="200"/>
      <c r="AM437" s="200"/>
      <c r="AN437" s="200"/>
      <c r="AO437" s="200"/>
      <c r="AP437" s="200"/>
    </row>
    <row r="438">
      <c r="A438" s="216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200"/>
    </row>
    <row r="439">
      <c r="A439" s="216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  <c r="AK439" s="200"/>
      <c r="AL439" s="200"/>
      <c r="AM439" s="200"/>
      <c r="AN439" s="200"/>
      <c r="AO439" s="200"/>
      <c r="AP439" s="200"/>
    </row>
    <row r="440">
      <c r="A440" s="216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  <c r="AK440" s="200"/>
      <c r="AL440" s="200"/>
      <c r="AM440" s="200"/>
      <c r="AN440" s="200"/>
      <c r="AO440" s="200"/>
      <c r="AP440" s="200"/>
    </row>
    <row r="441">
      <c r="A441" s="216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200"/>
    </row>
    <row r="442">
      <c r="A442" s="216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0"/>
      <c r="AL442" s="200"/>
      <c r="AM442" s="200"/>
      <c r="AN442" s="200"/>
      <c r="AO442" s="200"/>
      <c r="AP442" s="200"/>
    </row>
    <row r="443">
      <c r="A443" s="216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  <c r="AK443" s="200"/>
      <c r="AL443" s="200"/>
      <c r="AM443" s="200"/>
      <c r="AN443" s="200"/>
      <c r="AO443" s="200"/>
      <c r="AP443" s="200"/>
    </row>
    <row r="444">
      <c r="A444" s="216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200"/>
    </row>
    <row r="445">
      <c r="A445" s="216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  <c r="AK445" s="200"/>
      <c r="AL445" s="200"/>
      <c r="AM445" s="200"/>
      <c r="AN445" s="200"/>
      <c r="AO445" s="200"/>
      <c r="AP445" s="200"/>
    </row>
    <row r="446">
      <c r="A446" s="216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200"/>
    </row>
    <row r="447">
      <c r="A447" s="216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200"/>
    </row>
    <row r="448">
      <c r="A448" s="216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  <c r="AK448" s="200"/>
      <c r="AL448" s="200"/>
      <c r="AM448" s="200"/>
      <c r="AN448" s="200"/>
      <c r="AO448" s="200"/>
      <c r="AP448" s="200"/>
    </row>
    <row r="449">
      <c r="A449" s="216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  <c r="AK449" s="200"/>
      <c r="AL449" s="200"/>
      <c r="AM449" s="200"/>
      <c r="AN449" s="200"/>
      <c r="AO449" s="200"/>
      <c r="AP449" s="200"/>
    </row>
    <row r="450">
      <c r="A450" s="216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0"/>
      <c r="AL450" s="200"/>
      <c r="AM450" s="200"/>
      <c r="AN450" s="200"/>
      <c r="AO450" s="200"/>
      <c r="AP450" s="200"/>
    </row>
    <row r="451">
      <c r="A451" s="216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  <c r="AK451" s="200"/>
      <c r="AL451" s="200"/>
      <c r="AM451" s="200"/>
      <c r="AN451" s="200"/>
      <c r="AO451" s="200"/>
      <c r="AP451" s="200"/>
    </row>
    <row r="452">
      <c r="A452" s="216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  <c r="AK452" s="200"/>
      <c r="AL452" s="200"/>
      <c r="AM452" s="200"/>
      <c r="AN452" s="200"/>
      <c r="AO452" s="200"/>
      <c r="AP452" s="200"/>
    </row>
    <row r="453">
      <c r="A453" s="216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200"/>
    </row>
    <row r="454">
      <c r="A454" s="216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  <c r="AK454" s="200"/>
      <c r="AL454" s="200"/>
      <c r="AM454" s="200"/>
      <c r="AN454" s="200"/>
      <c r="AO454" s="200"/>
      <c r="AP454" s="200"/>
    </row>
    <row r="455">
      <c r="A455" s="216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  <c r="AK455" s="200"/>
      <c r="AL455" s="200"/>
      <c r="AM455" s="200"/>
      <c r="AN455" s="200"/>
      <c r="AO455" s="200"/>
      <c r="AP455" s="200"/>
    </row>
    <row r="456">
      <c r="A456" s="216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  <c r="AK456" s="200"/>
      <c r="AL456" s="200"/>
      <c r="AM456" s="200"/>
      <c r="AN456" s="200"/>
      <c r="AO456" s="200"/>
      <c r="AP456" s="200"/>
    </row>
    <row r="457">
      <c r="A457" s="216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  <c r="AK457" s="200"/>
      <c r="AL457" s="200"/>
      <c r="AM457" s="200"/>
      <c r="AN457" s="200"/>
      <c r="AO457" s="200"/>
      <c r="AP457" s="200"/>
    </row>
    <row r="458">
      <c r="A458" s="216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0"/>
      <c r="AL458" s="200"/>
      <c r="AM458" s="200"/>
      <c r="AN458" s="200"/>
      <c r="AO458" s="200"/>
      <c r="AP458" s="200"/>
    </row>
    <row r="459">
      <c r="A459" s="216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  <c r="AK459" s="200"/>
      <c r="AL459" s="200"/>
      <c r="AM459" s="200"/>
      <c r="AN459" s="200"/>
      <c r="AO459" s="200"/>
      <c r="AP459" s="200"/>
    </row>
    <row r="460">
      <c r="A460" s="216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200"/>
    </row>
    <row r="461">
      <c r="A461" s="216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  <c r="AK461" s="200"/>
      <c r="AL461" s="200"/>
      <c r="AM461" s="200"/>
      <c r="AN461" s="200"/>
      <c r="AO461" s="200"/>
      <c r="AP461" s="200"/>
    </row>
    <row r="462">
      <c r="A462" s="216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200"/>
    </row>
    <row r="463">
      <c r="A463" s="216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  <c r="AK463" s="200"/>
      <c r="AL463" s="200"/>
      <c r="AM463" s="200"/>
      <c r="AN463" s="200"/>
      <c r="AO463" s="200"/>
      <c r="AP463" s="200"/>
    </row>
    <row r="464">
      <c r="A464" s="216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  <c r="AK464" s="200"/>
      <c r="AL464" s="200"/>
      <c r="AM464" s="200"/>
      <c r="AN464" s="200"/>
      <c r="AO464" s="200"/>
      <c r="AP464" s="200"/>
    </row>
    <row r="465">
      <c r="A465" s="216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  <c r="AK465" s="200"/>
      <c r="AL465" s="200"/>
      <c r="AM465" s="200"/>
      <c r="AN465" s="200"/>
      <c r="AO465" s="200"/>
      <c r="AP465" s="200"/>
    </row>
    <row r="466">
      <c r="A466" s="216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200"/>
    </row>
    <row r="467">
      <c r="A467" s="216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  <c r="AK467" s="200"/>
      <c r="AL467" s="200"/>
      <c r="AM467" s="200"/>
      <c r="AN467" s="200"/>
      <c r="AO467" s="200"/>
      <c r="AP467" s="200"/>
    </row>
    <row r="468">
      <c r="A468" s="216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  <c r="AK468" s="200"/>
      <c r="AL468" s="200"/>
      <c r="AM468" s="200"/>
      <c r="AN468" s="200"/>
      <c r="AO468" s="200"/>
      <c r="AP468" s="200"/>
    </row>
    <row r="469">
      <c r="A469" s="216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200"/>
    </row>
    <row r="470">
      <c r="A470" s="216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  <c r="AK470" s="200"/>
      <c r="AL470" s="200"/>
      <c r="AM470" s="200"/>
      <c r="AN470" s="200"/>
      <c r="AO470" s="200"/>
      <c r="AP470" s="200"/>
    </row>
    <row r="471">
      <c r="A471" s="216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  <c r="AK471" s="200"/>
      <c r="AL471" s="200"/>
      <c r="AM471" s="200"/>
      <c r="AN471" s="200"/>
      <c r="AO471" s="200"/>
      <c r="AP471" s="200"/>
    </row>
    <row r="472">
      <c r="A472" s="216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200"/>
    </row>
    <row r="473">
      <c r="A473" s="216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200"/>
    </row>
    <row r="474">
      <c r="A474" s="216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200"/>
      <c r="AN474" s="200"/>
      <c r="AO474" s="200"/>
      <c r="AP474" s="200"/>
    </row>
    <row r="475">
      <c r="A475" s="216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200"/>
    </row>
    <row r="476">
      <c r="A476" s="216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  <c r="AK476" s="200"/>
      <c r="AL476" s="200"/>
      <c r="AM476" s="200"/>
      <c r="AN476" s="200"/>
      <c r="AO476" s="200"/>
      <c r="AP476" s="200"/>
    </row>
    <row r="477">
      <c r="A477" s="216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200"/>
    </row>
    <row r="478">
      <c r="A478" s="216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200"/>
    </row>
    <row r="479">
      <c r="A479" s="216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  <c r="AK479" s="200"/>
      <c r="AL479" s="200"/>
      <c r="AM479" s="200"/>
      <c r="AN479" s="200"/>
      <c r="AO479" s="200"/>
      <c r="AP479" s="200"/>
    </row>
    <row r="480">
      <c r="A480" s="216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  <c r="AK480" s="200"/>
      <c r="AL480" s="200"/>
      <c r="AM480" s="200"/>
      <c r="AN480" s="200"/>
      <c r="AO480" s="200"/>
      <c r="AP480" s="200"/>
    </row>
    <row r="481">
      <c r="A481" s="216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  <c r="AK481" s="200"/>
      <c r="AL481" s="200"/>
      <c r="AM481" s="200"/>
      <c r="AN481" s="200"/>
      <c r="AO481" s="200"/>
      <c r="AP481" s="200"/>
    </row>
    <row r="482">
      <c r="A482" s="216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0"/>
      <c r="AL482" s="200"/>
      <c r="AM482" s="200"/>
      <c r="AN482" s="200"/>
      <c r="AO482" s="200"/>
      <c r="AP482" s="200"/>
    </row>
    <row r="483">
      <c r="A483" s="216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  <c r="AK483" s="200"/>
      <c r="AL483" s="200"/>
      <c r="AM483" s="200"/>
      <c r="AN483" s="200"/>
      <c r="AO483" s="200"/>
      <c r="AP483" s="200"/>
    </row>
    <row r="484">
      <c r="A484" s="216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200"/>
    </row>
    <row r="485">
      <c r="A485" s="216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  <c r="AK485" s="200"/>
      <c r="AL485" s="200"/>
      <c r="AM485" s="200"/>
      <c r="AN485" s="200"/>
      <c r="AO485" s="200"/>
      <c r="AP485" s="200"/>
    </row>
    <row r="486">
      <c r="A486" s="216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  <c r="AK486" s="200"/>
      <c r="AL486" s="200"/>
      <c r="AM486" s="200"/>
      <c r="AN486" s="200"/>
      <c r="AO486" s="200"/>
      <c r="AP486" s="200"/>
    </row>
    <row r="487">
      <c r="A487" s="216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  <c r="AK487" s="200"/>
      <c r="AL487" s="200"/>
      <c r="AM487" s="200"/>
      <c r="AN487" s="200"/>
      <c r="AO487" s="200"/>
      <c r="AP487" s="200"/>
    </row>
    <row r="488">
      <c r="A488" s="216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  <c r="AK488" s="200"/>
      <c r="AL488" s="200"/>
      <c r="AM488" s="200"/>
      <c r="AN488" s="200"/>
      <c r="AO488" s="200"/>
      <c r="AP488" s="200"/>
    </row>
    <row r="489">
      <c r="A489" s="216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  <c r="AK489" s="200"/>
      <c r="AL489" s="200"/>
      <c r="AM489" s="200"/>
      <c r="AN489" s="200"/>
      <c r="AO489" s="200"/>
      <c r="AP489" s="200"/>
    </row>
    <row r="490">
      <c r="A490" s="216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200"/>
    </row>
    <row r="491">
      <c r="A491" s="216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  <c r="AK491" s="200"/>
      <c r="AL491" s="200"/>
      <c r="AM491" s="200"/>
      <c r="AN491" s="200"/>
      <c r="AO491" s="200"/>
      <c r="AP491" s="200"/>
    </row>
    <row r="492">
      <c r="A492" s="216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  <c r="AK492" s="200"/>
      <c r="AL492" s="200"/>
      <c r="AM492" s="200"/>
      <c r="AN492" s="200"/>
      <c r="AO492" s="200"/>
      <c r="AP492" s="200"/>
    </row>
    <row r="493">
      <c r="A493" s="216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  <c r="AK493" s="200"/>
      <c r="AL493" s="200"/>
      <c r="AM493" s="200"/>
      <c r="AN493" s="200"/>
      <c r="AO493" s="200"/>
      <c r="AP493" s="200"/>
    </row>
    <row r="494">
      <c r="A494" s="216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</row>
    <row r="495">
      <c r="A495" s="216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  <c r="AK495" s="200"/>
      <c r="AL495" s="200"/>
      <c r="AM495" s="200"/>
      <c r="AN495" s="200"/>
      <c r="AO495" s="200"/>
      <c r="AP495" s="200"/>
    </row>
    <row r="496">
      <c r="A496" s="216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  <c r="AK496" s="200"/>
      <c r="AL496" s="200"/>
      <c r="AM496" s="200"/>
      <c r="AN496" s="200"/>
      <c r="AO496" s="200"/>
      <c r="AP496" s="200"/>
    </row>
    <row r="497">
      <c r="A497" s="216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200"/>
    </row>
    <row r="498">
      <c r="A498" s="216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0"/>
      <c r="AL498" s="200"/>
      <c r="AM498" s="200"/>
      <c r="AN498" s="200"/>
      <c r="AO498" s="200"/>
      <c r="AP498" s="200"/>
    </row>
    <row r="499">
      <c r="A499" s="216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  <c r="AK499" s="200"/>
      <c r="AL499" s="200"/>
      <c r="AM499" s="200"/>
      <c r="AN499" s="200"/>
      <c r="AO499" s="200"/>
      <c r="AP499" s="200"/>
    </row>
    <row r="500">
      <c r="A500" s="216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  <c r="AK500" s="200"/>
      <c r="AL500" s="200"/>
      <c r="AM500" s="200"/>
      <c r="AN500" s="200"/>
      <c r="AO500" s="200"/>
      <c r="AP500" s="200"/>
    </row>
    <row r="501">
      <c r="A501" s="216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  <c r="AK501" s="200"/>
      <c r="AL501" s="200"/>
      <c r="AM501" s="200"/>
      <c r="AN501" s="200"/>
      <c r="AO501" s="200"/>
      <c r="AP501" s="200"/>
    </row>
    <row r="502">
      <c r="A502" s="216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  <c r="AK502" s="200"/>
      <c r="AL502" s="200"/>
      <c r="AM502" s="200"/>
      <c r="AN502" s="200"/>
      <c r="AO502" s="200"/>
      <c r="AP502" s="200"/>
    </row>
    <row r="503">
      <c r="A503" s="216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200"/>
    </row>
    <row r="504">
      <c r="A504" s="216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200"/>
    </row>
    <row r="505">
      <c r="A505" s="216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200"/>
      <c r="AN505" s="200"/>
      <c r="AO505" s="200"/>
      <c r="AP505" s="200"/>
    </row>
    <row r="506">
      <c r="A506" s="216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200"/>
      <c r="AN506" s="200"/>
      <c r="AO506" s="200"/>
      <c r="AP506" s="200"/>
    </row>
    <row r="507">
      <c r="A507" s="216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  <c r="AK507" s="200"/>
      <c r="AL507" s="200"/>
      <c r="AM507" s="200"/>
      <c r="AN507" s="200"/>
      <c r="AO507" s="200"/>
      <c r="AP507" s="200"/>
    </row>
    <row r="508">
      <c r="A508" s="216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  <c r="AK508" s="200"/>
      <c r="AL508" s="200"/>
      <c r="AM508" s="200"/>
      <c r="AN508" s="200"/>
      <c r="AO508" s="200"/>
      <c r="AP508" s="200"/>
    </row>
    <row r="509">
      <c r="A509" s="216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  <c r="AK509" s="200"/>
      <c r="AL509" s="200"/>
      <c r="AM509" s="200"/>
      <c r="AN509" s="200"/>
      <c r="AO509" s="200"/>
      <c r="AP509" s="200"/>
    </row>
    <row r="510">
      <c r="A510" s="216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200"/>
    </row>
    <row r="511">
      <c r="A511" s="216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  <c r="AK511" s="200"/>
      <c r="AL511" s="200"/>
      <c r="AM511" s="200"/>
      <c r="AN511" s="200"/>
      <c r="AO511" s="200"/>
      <c r="AP511" s="200"/>
    </row>
    <row r="512">
      <c r="A512" s="216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  <c r="AK512" s="200"/>
      <c r="AL512" s="200"/>
      <c r="AM512" s="200"/>
      <c r="AN512" s="200"/>
      <c r="AO512" s="200"/>
      <c r="AP512" s="200"/>
    </row>
    <row r="513">
      <c r="A513" s="216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  <c r="AK513" s="200"/>
      <c r="AL513" s="200"/>
      <c r="AM513" s="200"/>
      <c r="AN513" s="200"/>
      <c r="AO513" s="200"/>
      <c r="AP513" s="200"/>
    </row>
    <row r="514">
      <c r="A514" s="216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0"/>
      <c r="AL514" s="200"/>
      <c r="AM514" s="200"/>
      <c r="AN514" s="200"/>
      <c r="AO514" s="200"/>
      <c r="AP514" s="200"/>
    </row>
    <row r="515">
      <c r="A515" s="216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  <c r="AK515" s="200"/>
      <c r="AL515" s="200"/>
      <c r="AM515" s="200"/>
      <c r="AN515" s="200"/>
      <c r="AO515" s="200"/>
      <c r="AP515" s="200"/>
    </row>
    <row r="516">
      <c r="A516" s="216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  <c r="AK516" s="200"/>
      <c r="AL516" s="200"/>
      <c r="AM516" s="200"/>
      <c r="AN516" s="200"/>
      <c r="AO516" s="200"/>
      <c r="AP516" s="200"/>
    </row>
    <row r="517">
      <c r="A517" s="216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  <c r="AK517" s="200"/>
      <c r="AL517" s="200"/>
      <c r="AM517" s="200"/>
      <c r="AN517" s="200"/>
      <c r="AO517" s="200"/>
      <c r="AP517" s="200"/>
    </row>
    <row r="518">
      <c r="A518" s="216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200"/>
    </row>
    <row r="519">
      <c r="A519" s="216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200"/>
    </row>
    <row r="520">
      <c r="A520" s="216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  <c r="AK520" s="200"/>
      <c r="AL520" s="200"/>
      <c r="AM520" s="200"/>
      <c r="AN520" s="200"/>
      <c r="AO520" s="200"/>
      <c r="AP520" s="200"/>
    </row>
    <row r="521">
      <c r="A521" s="216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  <c r="AK521" s="200"/>
      <c r="AL521" s="200"/>
      <c r="AM521" s="200"/>
      <c r="AN521" s="200"/>
      <c r="AO521" s="200"/>
      <c r="AP521" s="200"/>
    </row>
    <row r="522">
      <c r="A522" s="216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200"/>
    </row>
    <row r="523">
      <c r="A523" s="216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  <c r="AK523" s="200"/>
      <c r="AL523" s="200"/>
      <c r="AM523" s="200"/>
      <c r="AN523" s="200"/>
      <c r="AO523" s="200"/>
      <c r="AP523" s="200"/>
    </row>
    <row r="524">
      <c r="A524" s="216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  <c r="AK524" s="200"/>
      <c r="AL524" s="200"/>
      <c r="AM524" s="200"/>
      <c r="AN524" s="200"/>
      <c r="AO524" s="200"/>
      <c r="AP524" s="200"/>
    </row>
    <row r="525">
      <c r="A525" s="216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200"/>
    </row>
    <row r="526">
      <c r="A526" s="216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  <c r="AK526" s="200"/>
      <c r="AL526" s="200"/>
      <c r="AM526" s="200"/>
      <c r="AN526" s="200"/>
      <c r="AO526" s="200"/>
      <c r="AP526" s="200"/>
    </row>
    <row r="527">
      <c r="A527" s="216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  <c r="AK527" s="200"/>
      <c r="AL527" s="200"/>
      <c r="AM527" s="200"/>
      <c r="AN527" s="200"/>
      <c r="AO527" s="200"/>
      <c r="AP527" s="200"/>
    </row>
    <row r="528">
      <c r="A528" s="216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  <c r="AK528" s="200"/>
      <c r="AL528" s="200"/>
      <c r="AM528" s="200"/>
      <c r="AN528" s="200"/>
      <c r="AO528" s="200"/>
      <c r="AP528" s="200"/>
    </row>
    <row r="529">
      <c r="A529" s="216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  <c r="AK529" s="200"/>
      <c r="AL529" s="200"/>
      <c r="AM529" s="200"/>
      <c r="AN529" s="200"/>
      <c r="AO529" s="200"/>
      <c r="AP529" s="200"/>
    </row>
    <row r="530">
      <c r="A530" s="216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0"/>
      <c r="AL530" s="200"/>
      <c r="AM530" s="200"/>
      <c r="AN530" s="200"/>
      <c r="AO530" s="200"/>
      <c r="AP530" s="200"/>
    </row>
    <row r="531">
      <c r="A531" s="216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  <c r="AK531" s="200"/>
      <c r="AL531" s="200"/>
      <c r="AM531" s="200"/>
      <c r="AN531" s="200"/>
      <c r="AO531" s="200"/>
      <c r="AP531" s="200"/>
    </row>
    <row r="532">
      <c r="A532" s="216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  <c r="AK532" s="200"/>
      <c r="AL532" s="200"/>
      <c r="AM532" s="200"/>
      <c r="AN532" s="200"/>
      <c r="AO532" s="200"/>
      <c r="AP532" s="200"/>
    </row>
    <row r="533">
      <c r="A533" s="216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200"/>
    </row>
    <row r="534">
      <c r="A534" s="216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  <c r="AK534" s="200"/>
      <c r="AL534" s="200"/>
      <c r="AM534" s="200"/>
      <c r="AN534" s="200"/>
      <c r="AO534" s="200"/>
      <c r="AP534" s="200"/>
    </row>
    <row r="535">
      <c r="A535" s="216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  <c r="AK535" s="200"/>
      <c r="AL535" s="200"/>
      <c r="AM535" s="200"/>
      <c r="AN535" s="200"/>
      <c r="AO535" s="200"/>
      <c r="AP535" s="200"/>
    </row>
    <row r="536">
      <c r="A536" s="216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  <c r="AK536" s="200"/>
      <c r="AL536" s="200"/>
      <c r="AM536" s="200"/>
      <c r="AN536" s="200"/>
      <c r="AO536" s="200"/>
      <c r="AP536" s="200"/>
    </row>
    <row r="537">
      <c r="A537" s="216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  <c r="AK537" s="200"/>
      <c r="AL537" s="200"/>
      <c r="AM537" s="200"/>
      <c r="AN537" s="200"/>
      <c r="AO537" s="200"/>
      <c r="AP537" s="200"/>
    </row>
    <row r="538">
      <c r="A538" s="216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0"/>
      <c r="AL538" s="200"/>
      <c r="AM538" s="200"/>
      <c r="AN538" s="200"/>
      <c r="AO538" s="200"/>
      <c r="AP538" s="200"/>
    </row>
    <row r="539">
      <c r="A539" s="216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200"/>
    </row>
    <row r="540">
      <c r="A540" s="216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  <c r="AK540" s="200"/>
      <c r="AL540" s="200"/>
      <c r="AM540" s="200"/>
      <c r="AN540" s="200"/>
      <c r="AO540" s="200"/>
      <c r="AP540" s="200"/>
    </row>
    <row r="541">
      <c r="A541" s="216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  <c r="AK541" s="200"/>
      <c r="AL541" s="200"/>
      <c r="AM541" s="200"/>
      <c r="AN541" s="200"/>
      <c r="AO541" s="200"/>
      <c r="AP541" s="200"/>
    </row>
    <row r="542">
      <c r="A542" s="216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  <c r="AK542" s="200"/>
      <c r="AL542" s="200"/>
      <c r="AM542" s="200"/>
      <c r="AN542" s="200"/>
      <c r="AO542" s="200"/>
      <c r="AP542" s="200"/>
    </row>
    <row r="543">
      <c r="A543" s="216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  <c r="AK543" s="200"/>
      <c r="AL543" s="200"/>
      <c r="AM543" s="200"/>
      <c r="AN543" s="200"/>
      <c r="AO543" s="200"/>
      <c r="AP543" s="200"/>
    </row>
    <row r="544">
      <c r="A544" s="216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  <c r="AK544" s="200"/>
      <c r="AL544" s="200"/>
      <c r="AM544" s="200"/>
      <c r="AN544" s="200"/>
      <c r="AO544" s="200"/>
      <c r="AP544" s="200"/>
    </row>
    <row r="545">
      <c r="A545" s="216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  <c r="AK545" s="200"/>
      <c r="AL545" s="200"/>
      <c r="AM545" s="200"/>
      <c r="AN545" s="200"/>
      <c r="AO545" s="200"/>
      <c r="AP545" s="200"/>
    </row>
    <row r="546">
      <c r="A546" s="216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200"/>
    </row>
    <row r="547">
      <c r="A547" s="216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  <c r="AK547" s="200"/>
      <c r="AL547" s="200"/>
      <c r="AM547" s="200"/>
      <c r="AN547" s="200"/>
      <c r="AO547" s="200"/>
      <c r="AP547" s="200"/>
    </row>
    <row r="548">
      <c r="A548" s="216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  <c r="AK548" s="200"/>
      <c r="AL548" s="200"/>
      <c r="AM548" s="200"/>
      <c r="AN548" s="200"/>
      <c r="AO548" s="200"/>
      <c r="AP548" s="200"/>
    </row>
    <row r="549">
      <c r="A549" s="216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  <c r="AK549" s="200"/>
      <c r="AL549" s="200"/>
      <c r="AM549" s="200"/>
      <c r="AN549" s="200"/>
      <c r="AO549" s="200"/>
      <c r="AP549" s="200"/>
    </row>
    <row r="550">
      <c r="A550" s="216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200"/>
    </row>
    <row r="551">
      <c r="A551" s="216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  <c r="AK551" s="200"/>
      <c r="AL551" s="200"/>
      <c r="AM551" s="200"/>
      <c r="AN551" s="200"/>
      <c r="AO551" s="200"/>
      <c r="AP551" s="200"/>
    </row>
    <row r="552">
      <c r="A552" s="216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  <c r="AK552" s="200"/>
      <c r="AL552" s="200"/>
      <c r="AM552" s="200"/>
      <c r="AN552" s="200"/>
      <c r="AO552" s="200"/>
      <c r="AP552" s="200"/>
    </row>
    <row r="553">
      <c r="A553" s="216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200"/>
    </row>
    <row r="554">
      <c r="A554" s="216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200"/>
    </row>
    <row r="555">
      <c r="A555" s="216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  <c r="AK555" s="200"/>
      <c r="AL555" s="200"/>
      <c r="AM555" s="200"/>
      <c r="AN555" s="200"/>
      <c r="AO555" s="200"/>
      <c r="AP555" s="200"/>
    </row>
    <row r="556">
      <c r="A556" s="216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  <c r="AK556" s="200"/>
      <c r="AL556" s="200"/>
      <c r="AM556" s="200"/>
      <c r="AN556" s="200"/>
      <c r="AO556" s="200"/>
      <c r="AP556" s="200"/>
    </row>
    <row r="557">
      <c r="A557" s="216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200"/>
    </row>
    <row r="558">
      <c r="A558" s="216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  <c r="AK558" s="200"/>
      <c r="AL558" s="200"/>
      <c r="AM558" s="200"/>
      <c r="AN558" s="200"/>
      <c r="AO558" s="200"/>
      <c r="AP558" s="200"/>
    </row>
    <row r="559">
      <c r="A559" s="216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  <c r="AK559" s="200"/>
      <c r="AL559" s="200"/>
      <c r="AM559" s="200"/>
      <c r="AN559" s="200"/>
      <c r="AO559" s="200"/>
      <c r="AP559" s="200"/>
    </row>
    <row r="560">
      <c r="A560" s="216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200"/>
    </row>
    <row r="561">
      <c r="A561" s="216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200"/>
      <c r="AO561" s="200"/>
      <c r="AP561" s="200"/>
    </row>
    <row r="562">
      <c r="A562" s="216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/>
      <c r="AN562" s="200"/>
      <c r="AO562" s="200"/>
      <c r="AP562" s="200"/>
    </row>
    <row r="563">
      <c r="A563" s="216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  <c r="AK563" s="200"/>
      <c r="AL563" s="200"/>
      <c r="AM563" s="200"/>
      <c r="AN563" s="200"/>
      <c r="AO563" s="200"/>
      <c r="AP563" s="200"/>
    </row>
    <row r="564">
      <c r="A564" s="216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  <c r="AK564" s="200"/>
      <c r="AL564" s="200"/>
      <c r="AM564" s="200"/>
      <c r="AN564" s="200"/>
      <c r="AO564" s="200"/>
      <c r="AP564" s="200"/>
    </row>
    <row r="565">
      <c r="A565" s="216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  <c r="AK565" s="200"/>
      <c r="AL565" s="200"/>
      <c r="AM565" s="200"/>
      <c r="AN565" s="200"/>
      <c r="AO565" s="200"/>
      <c r="AP565" s="200"/>
    </row>
    <row r="566">
      <c r="A566" s="216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200"/>
    </row>
    <row r="567">
      <c r="A567" s="216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  <c r="AK567" s="200"/>
      <c r="AL567" s="200"/>
      <c r="AM567" s="200"/>
      <c r="AN567" s="200"/>
      <c r="AO567" s="200"/>
      <c r="AP567" s="200"/>
    </row>
    <row r="568">
      <c r="A568" s="216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  <c r="AK568" s="200"/>
      <c r="AL568" s="200"/>
      <c r="AM568" s="200"/>
      <c r="AN568" s="200"/>
      <c r="AO568" s="200"/>
      <c r="AP568" s="200"/>
    </row>
    <row r="569">
      <c r="A569" s="216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  <c r="AK569" s="200"/>
      <c r="AL569" s="200"/>
      <c r="AM569" s="200"/>
      <c r="AN569" s="200"/>
      <c r="AO569" s="200"/>
      <c r="AP569" s="200"/>
    </row>
    <row r="570">
      <c r="A570" s="216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0"/>
      <c r="AL570" s="200"/>
      <c r="AM570" s="200"/>
      <c r="AN570" s="200"/>
      <c r="AO570" s="200"/>
      <c r="AP570" s="200"/>
    </row>
    <row r="571">
      <c r="A571" s="216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  <c r="AK571" s="200"/>
      <c r="AL571" s="200"/>
      <c r="AM571" s="200"/>
      <c r="AN571" s="200"/>
      <c r="AO571" s="200"/>
      <c r="AP571" s="200"/>
    </row>
    <row r="572">
      <c r="A572" s="216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  <c r="AK572" s="200"/>
      <c r="AL572" s="200"/>
      <c r="AM572" s="200"/>
      <c r="AN572" s="200"/>
      <c r="AO572" s="200"/>
      <c r="AP572" s="200"/>
    </row>
    <row r="573">
      <c r="A573" s="216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200"/>
    </row>
    <row r="574">
      <c r="A574" s="216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  <c r="AK574" s="200"/>
      <c r="AL574" s="200"/>
      <c r="AM574" s="200"/>
      <c r="AN574" s="200"/>
      <c r="AO574" s="200"/>
      <c r="AP574" s="200"/>
    </row>
    <row r="575">
      <c r="A575" s="216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  <c r="AK575" s="200"/>
      <c r="AL575" s="200"/>
      <c r="AM575" s="200"/>
      <c r="AN575" s="200"/>
      <c r="AO575" s="200"/>
      <c r="AP575" s="200"/>
    </row>
    <row r="576">
      <c r="A576" s="216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  <c r="AK576" s="200"/>
      <c r="AL576" s="200"/>
      <c r="AM576" s="200"/>
      <c r="AN576" s="200"/>
      <c r="AO576" s="200"/>
      <c r="AP576" s="200"/>
    </row>
    <row r="577">
      <c r="A577" s="216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  <c r="AK577" s="200"/>
      <c r="AL577" s="200"/>
      <c r="AM577" s="200"/>
      <c r="AN577" s="200"/>
      <c r="AO577" s="200"/>
      <c r="AP577" s="200"/>
    </row>
    <row r="578">
      <c r="A578" s="216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  <c r="AK578" s="200"/>
      <c r="AL578" s="200"/>
      <c r="AM578" s="200"/>
      <c r="AN578" s="200"/>
      <c r="AO578" s="200"/>
      <c r="AP578" s="200"/>
    </row>
    <row r="579">
      <c r="A579" s="216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  <c r="AK579" s="200"/>
      <c r="AL579" s="200"/>
      <c r="AM579" s="200"/>
      <c r="AN579" s="200"/>
      <c r="AO579" s="200"/>
      <c r="AP579" s="200"/>
    </row>
    <row r="580">
      <c r="A580" s="216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  <c r="AK580" s="200"/>
      <c r="AL580" s="200"/>
      <c r="AM580" s="200"/>
      <c r="AN580" s="200"/>
      <c r="AO580" s="200"/>
      <c r="AP580" s="200"/>
    </row>
    <row r="581">
      <c r="A581" s="216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  <c r="AK581" s="200"/>
      <c r="AL581" s="200"/>
      <c r="AM581" s="200"/>
      <c r="AN581" s="200"/>
      <c r="AO581" s="200"/>
      <c r="AP581" s="200"/>
    </row>
    <row r="582">
      <c r="A582" s="216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  <c r="AK582" s="200"/>
      <c r="AL582" s="200"/>
      <c r="AM582" s="200"/>
      <c r="AN582" s="200"/>
      <c r="AO582" s="200"/>
      <c r="AP582" s="200"/>
    </row>
    <row r="583">
      <c r="A583" s="216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  <c r="AK583" s="200"/>
      <c r="AL583" s="200"/>
      <c r="AM583" s="200"/>
      <c r="AN583" s="200"/>
      <c r="AO583" s="200"/>
      <c r="AP583" s="200"/>
    </row>
    <row r="584">
      <c r="A584" s="216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  <c r="AK584" s="200"/>
      <c r="AL584" s="200"/>
      <c r="AM584" s="200"/>
      <c r="AN584" s="200"/>
      <c r="AO584" s="200"/>
      <c r="AP584" s="200"/>
    </row>
    <row r="585">
      <c r="A585" s="216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  <c r="AK585" s="200"/>
      <c r="AL585" s="200"/>
      <c r="AM585" s="200"/>
      <c r="AN585" s="200"/>
      <c r="AO585" s="200"/>
      <c r="AP585" s="200"/>
    </row>
    <row r="586">
      <c r="A586" s="216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  <c r="AK586" s="200"/>
      <c r="AL586" s="200"/>
      <c r="AM586" s="200"/>
      <c r="AN586" s="200"/>
      <c r="AO586" s="200"/>
      <c r="AP586" s="200"/>
    </row>
    <row r="587">
      <c r="A587" s="216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  <c r="AK587" s="200"/>
      <c r="AL587" s="200"/>
      <c r="AM587" s="200"/>
      <c r="AN587" s="200"/>
      <c r="AO587" s="200"/>
      <c r="AP587" s="200"/>
    </row>
    <row r="588">
      <c r="A588" s="216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  <c r="AK588" s="200"/>
      <c r="AL588" s="200"/>
      <c r="AM588" s="200"/>
      <c r="AN588" s="200"/>
      <c r="AO588" s="200"/>
      <c r="AP588" s="200"/>
    </row>
    <row r="589">
      <c r="A589" s="216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  <c r="AK589" s="200"/>
      <c r="AL589" s="200"/>
      <c r="AM589" s="200"/>
      <c r="AN589" s="200"/>
      <c r="AO589" s="200"/>
      <c r="AP589" s="200"/>
    </row>
    <row r="590">
      <c r="A590" s="216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  <c r="AK590" s="200"/>
      <c r="AL590" s="200"/>
      <c r="AM590" s="200"/>
      <c r="AN590" s="200"/>
      <c r="AO590" s="200"/>
      <c r="AP590" s="200"/>
    </row>
    <row r="591">
      <c r="A591" s="216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  <c r="AK591" s="200"/>
      <c r="AL591" s="200"/>
      <c r="AM591" s="200"/>
      <c r="AN591" s="200"/>
      <c r="AO591" s="200"/>
      <c r="AP591" s="200"/>
    </row>
    <row r="592">
      <c r="A592" s="216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  <c r="AK592" s="200"/>
      <c r="AL592" s="200"/>
      <c r="AM592" s="200"/>
      <c r="AN592" s="200"/>
      <c r="AO592" s="200"/>
      <c r="AP592" s="200"/>
    </row>
    <row r="593">
      <c r="A593" s="216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  <c r="AK593" s="200"/>
      <c r="AL593" s="200"/>
      <c r="AM593" s="200"/>
      <c r="AN593" s="200"/>
      <c r="AO593" s="200"/>
      <c r="AP593" s="200"/>
    </row>
    <row r="594">
      <c r="A594" s="216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  <c r="AK594" s="200"/>
      <c r="AL594" s="200"/>
      <c r="AM594" s="200"/>
      <c r="AN594" s="200"/>
      <c r="AO594" s="200"/>
      <c r="AP594" s="200"/>
    </row>
    <row r="595">
      <c r="A595" s="216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00"/>
      <c r="AO595" s="200"/>
      <c r="AP595" s="200"/>
    </row>
    <row r="596">
      <c r="A596" s="216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  <c r="AK596" s="200"/>
      <c r="AL596" s="200"/>
      <c r="AM596" s="200"/>
      <c r="AN596" s="200"/>
      <c r="AO596" s="200"/>
      <c r="AP596" s="200"/>
    </row>
    <row r="597">
      <c r="A597" s="216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  <c r="AK597" s="200"/>
      <c r="AL597" s="200"/>
      <c r="AM597" s="200"/>
      <c r="AN597" s="200"/>
      <c r="AO597" s="200"/>
      <c r="AP597" s="200"/>
    </row>
    <row r="598">
      <c r="A598" s="216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  <c r="AK598" s="200"/>
      <c r="AL598" s="200"/>
      <c r="AM598" s="200"/>
      <c r="AN598" s="200"/>
      <c r="AO598" s="200"/>
      <c r="AP598" s="200"/>
    </row>
    <row r="599">
      <c r="A599" s="216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  <c r="AK599" s="200"/>
      <c r="AL599" s="200"/>
      <c r="AM599" s="200"/>
      <c r="AN599" s="200"/>
      <c r="AO599" s="200"/>
      <c r="AP599" s="200"/>
    </row>
    <row r="600">
      <c r="A600" s="216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  <c r="AK600" s="200"/>
      <c r="AL600" s="200"/>
      <c r="AM600" s="200"/>
      <c r="AN600" s="200"/>
      <c r="AO600" s="200"/>
      <c r="AP600" s="200"/>
    </row>
    <row r="601">
      <c r="A601" s="216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  <c r="AK601" s="200"/>
      <c r="AL601" s="200"/>
      <c r="AM601" s="200"/>
      <c r="AN601" s="200"/>
      <c r="AO601" s="200"/>
      <c r="AP601" s="200"/>
    </row>
    <row r="602">
      <c r="A602" s="216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  <c r="AK602" s="200"/>
      <c r="AL602" s="200"/>
      <c r="AM602" s="200"/>
      <c r="AN602" s="200"/>
      <c r="AO602" s="200"/>
      <c r="AP602" s="200"/>
    </row>
    <row r="603">
      <c r="A603" s="216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  <c r="AK603" s="200"/>
      <c r="AL603" s="200"/>
      <c r="AM603" s="200"/>
      <c r="AN603" s="200"/>
      <c r="AO603" s="200"/>
      <c r="AP603" s="200"/>
    </row>
    <row r="604">
      <c r="A604" s="216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  <c r="AK604" s="200"/>
      <c r="AL604" s="200"/>
      <c r="AM604" s="200"/>
      <c r="AN604" s="200"/>
      <c r="AO604" s="200"/>
      <c r="AP604" s="200"/>
    </row>
    <row r="605">
      <c r="A605" s="216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  <c r="AK605" s="200"/>
      <c r="AL605" s="200"/>
      <c r="AM605" s="200"/>
      <c r="AN605" s="200"/>
      <c r="AO605" s="200"/>
      <c r="AP605" s="200"/>
    </row>
    <row r="606">
      <c r="A606" s="216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  <c r="AK606" s="200"/>
      <c r="AL606" s="200"/>
      <c r="AM606" s="200"/>
      <c r="AN606" s="200"/>
      <c r="AO606" s="200"/>
      <c r="AP606" s="200"/>
    </row>
    <row r="607">
      <c r="A607" s="216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  <c r="AK607" s="200"/>
      <c r="AL607" s="200"/>
      <c r="AM607" s="200"/>
      <c r="AN607" s="200"/>
      <c r="AO607" s="200"/>
      <c r="AP607" s="200"/>
    </row>
    <row r="608">
      <c r="A608" s="216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  <c r="AK608" s="200"/>
      <c r="AL608" s="200"/>
      <c r="AM608" s="200"/>
      <c r="AN608" s="200"/>
      <c r="AO608" s="200"/>
      <c r="AP608" s="200"/>
    </row>
    <row r="609">
      <c r="A609" s="216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  <c r="AK609" s="200"/>
      <c r="AL609" s="200"/>
      <c r="AM609" s="200"/>
      <c r="AN609" s="200"/>
      <c r="AO609" s="200"/>
      <c r="AP609" s="200"/>
    </row>
    <row r="610">
      <c r="A610" s="216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  <c r="AK610" s="200"/>
      <c r="AL610" s="200"/>
      <c r="AM610" s="200"/>
      <c r="AN610" s="200"/>
      <c r="AO610" s="200"/>
      <c r="AP610" s="200"/>
    </row>
    <row r="611">
      <c r="A611" s="216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  <c r="AK611" s="200"/>
      <c r="AL611" s="200"/>
      <c r="AM611" s="200"/>
      <c r="AN611" s="200"/>
      <c r="AO611" s="200"/>
      <c r="AP611" s="200"/>
    </row>
    <row r="612">
      <c r="A612" s="216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  <c r="AK612" s="200"/>
      <c r="AL612" s="200"/>
      <c r="AM612" s="200"/>
      <c r="AN612" s="200"/>
      <c r="AO612" s="200"/>
      <c r="AP612" s="200"/>
    </row>
    <row r="613">
      <c r="A613" s="216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  <c r="AK613" s="200"/>
      <c r="AL613" s="200"/>
      <c r="AM613" s="200"/>
      <c r="AN613" s="200"/>
      <c r="AO613" s="200"/>
      <c r="AP613" s="200"/>
    </row>
    <row r="614">
      <c r="A614" s="216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  <c r="AK614" s="200"/>
      <c r="AL614" s="200"/>
      <c r="AM614" s="200"/>
      <c r="AN614" s="200"/>
      <c r="AO614" s="200"/>
      <c r="AP614" s="200"/>
    </row>
    <row r="615">
      <c r="A615" s="216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  <c r="AK615" s="200"/>
      <c r="AL615" s="200"/>
      <c r="AM615" s="200"/>
      <c r="AN615" s="200"/>
      <c r="AO615" s="200"/>
      <c r="AP615" s="200"/>
    </row>
    <row r="616">
      <c r="A616" s="216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  <c r="AK616" s="200"/>
      <c r="AL616" s="200"/>
      <c r="AM616" s="200"/>
      <c r="AN616" s="200"/>
      <c r="AO616" s="200"/>
      <c r="AP616" s="200"/>
    </row>
    <row r="617">
      <c r="A617" s="216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  <c r="AK617" s="200"/>
      <c r="AL617" s="200"/>
      <c r="AM617" s="200"/>
      <c r="AN617" s="200"/>
      <c r="AO617" s="200"/>
      <c r="AP617" s="200"/>
    </row>
    <row r="618">
      <c r="A618" s="216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  <c r="AK618" s="200"/>
      <c r="AL618" s="200"/>
      <c r="AM618" s="200"/>
      <c r="AN618" s="200"/>
      <c r="AO618" s="200"/>
      <c r="AP618" s="200"/>
    </row>
    <row r="619">
      <c r="A619" s="216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  <c r="AK619" s="200"/>
      <c r="AL619" s="200"/>
      <c r="AM619" s="200"/>
      <c r="AN619" s="200"/>
      <c r="AO619" s="200"/>
      <c r="AP619" s="200"/>
    </row>
    <row r="620">
      <c r="A620" s="216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  <c r="AK620" s="200"/>
      <c r="AL620" s="200"/>
      <c r="AM620" s="200"/>
      <c r="AN620" s="200"/>
      <c r="AO620" s="200"/>
      <c r="AP620" s="200"/>
    </row>
    <row r="621">
      <c r="A621" s="216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  <c r="AK621" s="200"/>
      <c r="AL621" s="200"/>
      <c r="AM621" s="200"/>
      <c r="AN621" s="200"/>
      <c r="AO621" s="200"/>
      <c r="AP621" s="200"/>
    </row>
    <row r="622">
      <c r="A622" s="216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  <c r="AK622" s="200"/>
      <c r="AL622" s="200"/>
      <c r="AM622" s="200"/>
      <c r="AN622" s="200"/>
      <c r="AO622" s="200"/>
      <c r="AP622" s="200"/>
    </row>
    <row r="623">
      <c r="A623" s="216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  <c r="AK623" s="200"/>
      <c r="AL623" s="200"/>
      <c r="AM623" s="200"/>
      <c r="AN623" s="200"/>
      <c r="AO623" s="200"/>
      <c r="AP623" s="200"/>
    </row>
    <row r="624">
      <c r="A624" s="216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  <c r="AK624" s="200"/>
      <c r="AL624" s="200"/>
      <c r="AM624" s="200"/>
      <c r="AN624" s="200"/>
      <c r="AO624" s="200"/>
      <c r="AP624" s="200"/>
    </row>
    <row r="625">
      <c r="A625" s="216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  <c r="AK625" s="200"/>
      <c r="AL625" s="200"/>
      <c r="AM625" s="200"/>
      <c r="AN625" s="200"/>
      <c r="AO625" s="200"/>
      <c r="AP625" s="200"/>
    </row>
    <row r="626">
      <c r="A626" s="216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  <c r="AK626" s="200"/>
      <c r="AL626" s="200"/>
      <c r="AM626" s="200"/>
      <c r="AN626" s="200"/>
      <c r="AO626" s="200"/>
      <c r="AP626" s="200"/>
    </row>
    <row r="627">
      <c r="A627" s="216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  <c r="AK627" s="200"/>
      <c r="AL627" s="200"/>
      <c r="AM627" s="200"/>
      <c r="AN627" s="200"/>
      <c r="AO627" s="200"/>
      <c r="AP627" s="200"/>
    </row>
    <row r="628">
      <c r="A628" s="216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  <c r="AK628" s="200"/>
      <c r="AL628" s="200"/>
      <c r="AM628" s="200"/>
      <c r="AN628" s="200"/>
      <c r="AO628" s="200"/>
      <c r="AP628" s="200"/>
    </row>
    <row r="629">
      <c r="A629" s="216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  <c r="AK629" s="200"/>
      <c r="AL629" s="200"/>
      <c r="AM629" s="200"/>
      <c r="AN629" s="200"/>
      <c r="AO629" s="200"/>
      <c r="AP629" s="200"/>
    </row>
    <row r="630">
      <c r="A630" s="216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  <c r="AK630" s="200"/>
      <c r="AL630" s="200"/>
      <c r="AM630" s="200"/>
      <c r="AN630" s="200"/>
      <c r="AO630" s="200"/>
      <c r="AP630" s="200"/>
    </row>
    <row r="631">
      <c r="A631" s="216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  <c r="AK631" s="200"/>
      <c r="AL631" s="200"/>
      <c r="AM631" s="200"/>
      <c r="AN631" s="200"/>
      <c r="AO631" s="200"/>
      <c r="AP631" s="200"/>
    </row>
    <row r="632">
      <c r="A632" s="216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  <c r="AK632" s="200"/>
      <c r="AL632" s="200"/>
      <c r="AM632" s="200"/>
      <c r="AN632" s="200"/>
      <c r="AO632" s="200"/>
      <c r="AP632" s="200"/>
    </row>
    <row r="633">
      <c r="A633" s="216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  <c r="AK633" s="200"/>
      <c r="AL633" s="200"/>
      <c r="AM633" s="200"/>
      <c r="AN633" s="200"/>
      <c r="AO633" s="200"/>
      <c r="AP633" s="200"/>
    </row>
    <row r="634">
      <c r="A634" s="216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  <c r="AK634" s="200"/>
      <c r="AL634" s="200"/>
      <c r="AM634" s="200"/>
      <c r="AN634" s="200"/>
      <c r="AO634" s="200"/>
      <c r="AP634" s="200"/>
    </row>
    <row r="635">
      <c r="A635" s="216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  <c r="AK635" s="200"/>
      <c r="AL635" s="200"/>
      <c r="AM635" s="200"/>
      <c r="AN635" s="200"/>
      <c r="AO635" s="200"/>
      <c r="AP635" s="200"/>
    </row>
    <row r="636">
      <c r="A636" s="216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  <c r="AK636" s="200"/>
      <c r="AL636" s="200"/>
      <c r="AM636" s="200"/>
      <c r="AN636" s="200"/>
      <c r="AO636" s="200"/>
      <c r="AP636" s="200"/>
    </row>
    <row r="637">
      <c r="A637" s="216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  <c r="AK637" s="200"/>
      <c r="AL637" s="200"/>
      <c r="AM637" s="200"/>
      <c r="AN637" s="200"/>
      <c r="AO637" s="200"/>
      <c r="AP637" s="200"/>
    </row>
    <row r="638">
      <c r="A638" s="216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  <c r="AK638" s="200"/>
      <c r="AL638" s="200"/>
      <c r="AM638" s="200"/>
      <c r="AN638" s="200"/>
      <c r="AO638" s="200"/>
      <c r="AP638" s="200"/>
    </row>
    <row r="639">
      <c r="A639" s="216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  <c r="AK639" s="200"/>
      <c r="AL639" s="200"/>
      <c r="AM639" s="200"/>
      <c r="AN639" s="200"/>
      <c r="AO639" s="200"/>
      <c r="AP639" s="200"/>
    </row>
    <row r="640">
      <c r="A640" s="216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  <c r="AK640" s="200"/>
      <c r="AL640" s="200"/>
      <c r="AM640" s="200"/>
      <c r="AN640" s="200"/>
      <c r="AO640" s="200"/>
      <c r="AP640" s="200"/>
    </row>
    <row r="641">
      <c r="A641" s="216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  <c r="AK641" s="200"/>
      <c r="AL641" s="200"/>
      <c r="AM641" s="200"/>
      <c r="AN641" s="200"/>
      <c r="AO641" s="200"/>
      <c r="AP641" s="200"/>
    </row>
    <row r="642">
      <c r="A642" s="216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  <c r="AK642" s="200"/>
      <c r="AL642" s="200"/>
      <c r="AM642" s="200"/>
      <c r="AN642" s="200"/>
      <c r="AO642" s="200"/>
      <c r="AP642" s="200"/>
    </row>
    <row r="643">
      <c r="A643" s="216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  <c r="AK643" s="200"/>
      <c r="AL643" s="200"/>
      <c r="AM643" s="200"/>
      <c r="AN643" s="200"/>
      <c r="AO643" s="200"/>
      <c r="AP643" s="200"/>
    </row>
    <row r="644">
      <c r="A644" s="216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200"/>
    </row>
    <row r="645">
      <c r="A645" s="216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  <c r="AK645" s="200"/>
      <c r="AL645" s="200"/>
      <c r="AM645" s="200"/>
      <c r="AN645" s="200"/>
      <c r="AO645" s="200"/>
      <c r="AP645" s="200"/>
    </row>
    <row r="646">
      <c r="A646" s="216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  <c r="AK646" s="200"/>
      <c r="AL646" s="200"/>
      <c r="AM646" s="200"/>
      <c r="AN646" s="200"/>
      <c r="AO646" s="200"/>
      <c r="AP646" s="200"/>
    </row>
    <row r="647">
      <c r="A647" s="216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  <c r="AK647" s="200"/>
      <c r="AL647" s="200"/>
      <c r="AM647" s="200"/>
      <c r="AN647" s="200"/>
      <c r="AO647" s="200"/>
      <c r="AP647" s="200"/>
    </row>
    <row r="648">
      <c r="A648" s="216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  <c r="AK648" s="200"/>
      <c r="AL648" s="200"/>
      <c r="AM648" s="200"/>
      <c r="AN648" s="200"/>
      <c r="AO648" s="200"/>
      <c r="AP648" s="200"/>
    </row>
    <row r="649">
      <c r="A649" s="216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  <c r="AK649" s="200"/>
      <c r="AL649" s="200"/>
      <c r="AM649" s="200"/>
      <c r="AN649" s="200"/>
      <c r="AO649" s="200"/>
      <c r="AP649" s="200"/>
    </row>
    <row r="650">
      <c r="A650" s="216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  <c r="AK650" s="200"/>
      <c r="AL650" s="200"/>
      <c r="AM650" s="200"/>
      <c r="AN650" s="200"/>
      <c r="AO650" s="200"/>
      <c r="AP650" s="200"/>
    </row>
    <row r="651">
      <c r="A651" s="216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200"/>
    </row>
    <row r="652">
      <c r="A652" s="216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  <c r="AK652" s="200"/>
      <c r="AL652" s="200"/>
      <c r="AM652" s="200"/>
      <c r="AN652" s="200"/>
      <c r="AO652" s="200"/>
      <c r="AP652" s="200"/>
    </row>
    <row r="653">
      <c r="A653" s="216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  <c r="AK653" s="200"/>
      <c r="AL653" s="200"/>
      <c r="AM653" s="200"/>
      <c r="AN653" s="200"/>
      <c r="AO653" s="200"/>
      <c r="AP653" s="200"/>
    </row>
    <row r="654">
      <c r="A654" s="216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  <c r="AK654" s="200"/>
      <c r="AL654" s="200"/>
      <c r="AM654" s="200"/>
      <c r="AN654" s="200"/>
      <c r="AO654" s="200"/>
      <c r="AP654" s="200"/>
    </row>
    <row r="655">
      <c r="A655" s="216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  <c r="AK655" s="200"/>
      <c r="AL655" s="200"/>
      <c r="AM655" s="200"/>
      <c r="AN655" s="200"/>
      <c r="AO655" s="200"/>
      <c r="AP655" s="200"/>
    </row>
    <row r="656">
      <c r="A656" s="216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  <c r="AK656" s="200"/>
      <c r="AL656" s="200"/>
      <c r="AM656" s="200"/>
      <c r="AN656" s="200"/>
      <c r="AO656" s="200"/>
      <c r="AP656" s="200"/>
    </row>
    <row r="657">
      <c r="A657" s="216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  <c r="AK657" s="200"/>
      <c r="AL657" s="200"/>
      <c r="AM657" s="200"/>
      <c r="AN657" s="200"/>
      <c r="AO657" s="200"/>
      <c r="AP657" s="200"/>
    </row>
    <row r="658">
      <c r="A658" s="216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  <c r="AK658" s="200"/>
      <c r="AL658" s="200"/>
      <c r="AM658" s="200"/>
      <c r="AN658" s="200"/>
      <c r="AO658" s="200"/>
      <c r="AP658" s="200"/>
    </row>
    <row r="659">
      <c r="A659" s="216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200"/>
    </row>
    <row r="660">
      <c r="A660" s="216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  <c r="AK660" s="200"/>
      <c r="AL660" s="200"/>
      <c r="AM660" s="200"/>
      <c r="AN660" s="200"/>
      <c r="AO660" s="200"/>
      <c r="AP660" s="200"/>
    </row>
    <row r="661">
      <c r="A661" s="216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  <c r="AK661" s="200"/>
      <c r="AL661" s="200"/>
      <c r="AM661" s="200"/>
      <c r="AN661" s="200"/>
      <c r="AO661" s="200"/>
      <c r="AP661" s="200"/>
    </row>
    <row r="662">
      <c r="A662" s="216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200"/>
    </row>
    <row r="663">
      <c r="A663" s="216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  <c r="AK663" s="200"/>
      <c r="AL663" s="200"/>
      <c r="AM663" s="200"/>
      <c r="AN663" s="200"/>
      <c r="AO663" s="200"/>
      <c r="AP663" s="200"/>
    </row>
    <row r="664">
      <c r="A664" s="216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  <c r="AK664" s="200"/>
      <c r="AL664" s="200"/>
      <c r="AM664" s="200"/>
      <c r="AN664" s="200"/>
      <c r="AO664" s="200"/>
      <c r="AP664" s="200"/>
    </row>
    <row r="665">
      <c r="A665" s="216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200"/>
    </row>
    <row r="666">
      <c r="A666" s="216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  <c r="AK666" s="200"/>
      <c r="AL666" s="200"/>
      <c r="AM666" s="200"/>
      <c r="AN666" s="200"/>
      <c r="AO666" s="200"/>
      <c r="AP666" s="200"/>
    </row>
    <row r="667">
      <c r="A667" s="216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  <c r="AK667" s="200"/>
      <c r="AL667" s="200"/>
      <c r="AM667" s="200"/>
      <c r="AN667" s="200"/>
      <c r="AO667" s="200"/>
      <c r="AP667" s="200"/>
    </row>
    <row r="668">
      <c r="A668" s="216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  <c r="AK668" s="200"/>
      <c r="AL668" s="200"/>
      <c r="AM668" s="200"/>
      <c r="AN668" s="200"/>
      <c r="AO668" s="200"/>
      <c r="AP668" s="200"/>
    </row>
    <row r="669">
      <c r="A669" s="216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  <c r="AK669" s="200"/>
      <c r="AL669" s="200"/>
      <c r="AM669" s="200"/>
      <c r="AN669" s="200"/>
      <c r="AO669" s="200"/>
      <c r="AP669" s="200"/>
    </row>
    <row r="670">
      <c r="A670" s="216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  <c r="AK670" s="200"/>
      <c r="AL670" s="200"/>
      <c r="AM670" s="200"/>
      <c r="AN670" s="200"/>
      <c r="AO670" s="200"/>
      <c r="AP670" s="200"/>
    </row>
    <row r="671">
      <c r="A671" s="216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200"/>
    </row>
    <row r="672">
      <c r="A672" s="216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  <c r="AK672" s="200"/>
      <c r="AL672" s="200"/>
      <c r="AM672" s="200"/>
      <c r="AN672" s="200"/>
      <c r="AO672" s="200"/>
      <c r="AP672" s="200"/>
    </row>
    <row r="673">
      <c r="A673" s="216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  <c r="AK673" s="200"/>
      <c r="AL673" s="200"/>
      <c r="AM673" s="200"/>
      <c r="AN673" s="200"/>
      <c r="AO673" s="200"/>
      <c r="AP673" s="200"/>
    </row>
    <row r="674">
      <c r="A674" s="216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  <c r="AK674" s="200"/>
      <c r="AL674" s="200"/>
      <c r="AM674" s="200"/>
      <c r="AN674" s="200"/>
      <c r="AO674" s="200"/>
      <c r="AP674" s="200"/>
    </row>
    <row r="675">
      <c r="A675" s="216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  <c r="AK675" s="200"/>
      <c r="AL675" s="200"/>
      <c r="AM675" s="200"/>
      <c r="AN675" s="200"/>
      <c r="AO675" s="200"/>
      <c r="AP675" s="200"/>
    </row>
    <row r="676">
      <c r="A676" s="216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  <c r="AK676" s="200"/>
      <c r="AL676" s="200"/>
      <c r="AM676" s="200"/>
      <c r="AN676" s="200"/>
      <c r="AO676" s="200"/>
      <c r="AP676" s="200"/>
    </row>
    <row r="677">
      <c r="A677" s="216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  <c r="AK677" s="200"/>
      <c r="AL677" s="200"/>
      <c r="AM677" s="200"/>
      <c r="AN677" s="200"/>
      <c r="AO677" s="200"/>
      <c r="AP677" s="200"/>
    </row>
    <row r="678">
      <c r="A678" s="216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  <c r="AK678" s="200"/>
      <c r="AL678" s="200"/>
      <c r="AM678" s="200"/>
      <c r="AN678" s="200"/>
      <c r="AO678" s="200"/>
      <c r="AP678" s="200"/>
    </row>
    <row r="679">
      <c r="A679" s="216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  <c r="AK679" s="200"/>
      <c r="AL679" s="200"/>
      <c r="AM679" s="200"/>
      <c r="AN679" s="200"/>
      <c r="AO679" s="200"/>
      <c r="AP679" s="200"/>
    </row>
    <row r="680">
      <c r="A680" s="216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  <c r="AK680" s="200"/>
      <c r="AL680" s="200"/>
      <c r="AM680" s="200"/>
      <c r="AN680" s="200"/>
      <c r="AO680" s="200"/>
      <c r="AP680" s="200"/>
    </row>
    <row r="681">
      <c r="A681" s="216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200"/>
    </row>
    <row r="682">
      <c r="A682" s="216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  <c r="AK682" s="200"/>
      <c r="AL682" s="200"/>
      <c r="AM682" s="200"/>
      <c r="AN682" s="200"/>
      <c r="AO682" s="200"/>
      <c r="AP682" s="200"/>
    </row>
    <row r="683">
      <c r="A683" s="216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  <c r="AK683" s="200"/>
      <c r="AL683" s="200"/>
      <c r="AM683" s="200"/>
      <c r="AN683" s="200"/>
      <c r="AO683" s="200"/>
      <c r="AP683" s="200"/>
    </row>
    <row r="684">
      <c r="A684" s="216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  <c r="AK684" s="200"/>
      <c r="AL684" s="200"/>
      <c r="AM684" s="200"/>
      <c r="AN684" s="200"/>
      <c r="AO684" s="200"/>
      <c r="AP684" s="200"/>
    </row>
    <row r="685">
      <c r="A685" s="216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  <c r="AK685" s="200"/>
      <c r="AL685" s="200"/>
      <c r="AM685" s="200"/>
      <c r="AN685" s="200"/>
      <c r="AO685" s="200"/>
      <c r="AP685" s="200"/>
    </row>
    <row r="686">
      <c r="A686" s="216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  <c r="AK686" s="200"/>
      <c r="AL686" s="200"/>
      <c r="AM686" s="200"/>
      <c r="AN686" s="200"/>
      <c r="AO686" s="200"/>
      <c r="AP686" s="200"/>
    </row>
    <row r="687">
      <c r="A687" s="216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  <c r="AK687" s="200"/>
      <c r="AL687" s="200"/>
      <c r="AM687" s="200"/>
      <c r="AN687" s="200"/>
      <c r="AO687" s="200"/>
      <c r="AP687" s="200"/>
    </row>
    <row r="688">
      <c r="A688" s="216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  <c r="AK688" s="200"/>
      <c r="AL688" s="200"/>
      <c r="AM688" s="200"/>
      <c r="AN688" s="200"/>
      <c r="AO688" s="200"/>
      <c r="AP688" s="200"/>
    </row>
    <row r="689">
      <c r="A689" s="216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  <c r="AK689" s="200"/>
      <c r="AL689" s="200"/>
      <c r="AM689" s="200"/>
      <c r="AN689" s="200"/>
      <c r="AO689" s="200"/>
      <c r="AP689" s="200"/>
    </row>
    <row r="690">
      <c r="A690" s="216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  <c r="AK690" s="200"/>
      <c r="AL690" s="200"/>
      <c r="AM690" s="200"/>
      <c r="AN690" s="200"/>
      <c r="AO690" s="200"/>
      <c r="AP690" s="200"/>
    </row>
    <row r="691">
      <c r="A691" s="216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  <c r="AK691" s="200"/>
      <c r="AL691" s="200"/>
      <c r="AM691" s="200"/>
      <c r="AN691" s="200"/>
      <c r="AO691" s="200"/>
      <c r="AP691" s="200"/>
    </row>
    <row r="692">
      <c r="A692" s="216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  <c r="AK692" s="200"/>
      <c r="AL692" s="200"/>
      <c r="AM692" s="200"/>
      <c r="AN692" s="200"/>
      <c r="AO692" s="200"/>
      <c r="AP692" s="200"/>
    </row>
    <row r="693">
      <c r="A693" s="216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  <c r="AK693" s="200"/>
      <c r="AL693" s="200"/>
      <c r="AM693" s="200"/>
      <c r="AN693" s="200"/>
      <c r="AO693" s="200"/>
      <c r="AP693" s="200"/>
    </row>
    <row r="694">
      <c r="A694" s="216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  <c r="AK694" s="200"/>
      <c r="AL694" s="200"/>
      <c r="AM694" s="200"/>
      <c r="AN694" s="200"/>
      <c r="AO694" s="200"/>
      <c r="AP694" s="200"/>
    </row>
    <row r="695">
      <c r="A695" s="216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  <c r="AK695" s="200"/>
      <c r="AL695" s="200"/>
      <c r="AM695" s="200"/>
      <c r="AN695" s="200"/>
      <c r="AO695" s="200"/>
      <c r="AP695" s="200"/>
    </row>
    <row r="696">
      <c r="A696" s="216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  <c r="AK696" s="200"/>
      <c r="AL696" s="200"/>
      <c r="AM696" s="200"/>
      <c r="AN696" s="200"/>
      <c r="AO696" s="200"/>
      <c r="AP696" s="200"/>
    </row>
    <row r="697">
      <c r="A697" s="216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  <c r="AK697" s="200"/>
      <c r="AL697" s="200"/>
      <c r="AM697" s="200"/>
      <c r="AN697" s="200"/>
      <c r="AO697" s="200"/>
      <c r="AP697" s="200"/>
    </row>
    <row r="698">
      <c r="A698" s="216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  <c r="AK698" s="200"/>
      <c r="AL698" s="200"/>
      <c r="AM698" s="200"/>
      <c r="AN698" s="200"/>
      <c r="AO698" s="200"/>
      <c r="AP698" s="200"/>
    </row>
    <row r="699">
      <c r="A699" s="216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  <c r="AK699" s="200"/>
      <c r="AL699" s="200"/>
      <c r="AM699" s="200"/>
      <c r="AN699" s="200"/>
      <c r="AO699" s="200"/>
      <c r="AP699" s="200"/>
    </row>
    <row r="700">
      <c r="A700" s="216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  <c r="AK700" s="200"/>
      <c r="AL700" s="200"/>
      <c r="AM700" s="200"/>
      <c r="AN700" s="200"/>
      <c r="AO700" s="200"/>
      <c r="AP700" s="200"/>
    </row>
    <row r="701">
      <c r="A701" s="216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  <c r="AK701" s="200"/>
      <c r="AL701" s="200"/>
      <c r="AM701" s="200"/>
      <c r="AN701" s="200"/>
      <c r="AO701" s="200"/>
      <c r="AP701" s="200"/>
    </row>
    <row r="702">
      <c r="A702" s="216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  <c r="AK702" s="200"/>
      <c r="AL702" s="200"/>
      <c r="AM702" s="200"/>
      <c r="AN702" s="200"/>
      <c r="AO702" s="200"/>
      <c r="AP702" s="200"/>
    </row>
    <row r="703">
      <c r="A703" s="216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  <c r="AK703" s="200"/>
      <c r="AL703" s="200"/>
      <c r="AM703" s="200"/>
      <c r="AN703" s="200"/>
      <c r="AO703" s="200"/>
      <c r="AP703" s="200"/>
    </row>
    <row r="704">
      <c r="A704" s="216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  <c r="AK704" s="200"/>
      <c r="AL704" s="200"/>
      <c r="AM704" s="200"/>
      <c r="AN704" s="200"/>
      <c r="AO704" s="200"/>
      <c r="AP704" s="200"/>
    </row>
    <row r="705">
      <c r="A705" s="216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  <c r="AK705" s="200"/>
      <c r="AL705" s="200"/>
      <c r="AM705" s="200"/>
      <c r="AN705" s="200"/>
      <c r="AO705" s="200"/>
      <c r="AP705" s="200"/>
    </row>
    <row r="706">
      <c r="A706" s="216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  <c r="AK706" s="200"/>
      <c r="AL706" s="200"/>
      <c r="AM706" s="200"/>
      <c r="AN706" s="200"/>
      <c r="AO706" s="200"/>
      <c r="AP706" s="200"/>
    </row>
    <row r="707">
      <c r="A707" s="216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  <c r="AK707" s="200"/>
      <c r="AL707" s="200"/>
      <c r="AM707" s="200"/>
      <c r="AN707" s="200"/>
      <c r="AO707" s="200"/>
      <c r="AP707" s="200"/>
    </row>
    <row r="708">
      <c r="A708" s="216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  <c r="AK708" s="200"/>
      <c r="AL708" s="200"/>
      <c r="AM708" s="200"/>
      <c r="AN708" s="200"/>
      <c r="AO708" s="200"/>
      <c r="AP708" s="200"/>
    </row>
    <row r="709">
      <c r="A709" s="216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  <c r="AK709" s="200"/>
      <c r="AL709" s="200"/>
      <c r="AM709" s="200"/>
      <c r="AN709" s="200"/>
      <c r="AO709" s="200"/>
      <c r="AP709" s="200"/>
    </row>
    <row r="710">
      <c r="A710" s="216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  <c r="AK710" s="200"/>
      <c r="AL710" s="200"/>
      <c r="AM710" s="200"/>
      <c r="AN710" s="200"/>
      <c r="AO710" s="200"/>
      <c r="AP710" s="200"/>
    </row>
    <row r="711">
      <c r="A711" s="216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  <c r="AK711" s="200"/>
      <c r="AL711" s="200"/>
      <c r="AM711" s="200"/>
      <c r="AN711" s="200"/>
      <c r="AO711" s="200"/>
      <c r="AP711" s="200"/>
    </row>
    <row r="712">
      <c r="A712" s="216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  <c r="AK712" s="200"/>
      <c r="AL712" s="200"/>
      <c r="AM712" s="200"/>
      <c r="AN712" s="200"/>
      <c r="AO712" s="200"/>
      <c r="AP712" s="200"/>
    </row>
    <row r="713">
      <c r="A713" s="216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  <c r="AK713" s="200"/>
      <c r="AL713" s="200"/>
      <c r="AM713" s="200"/>
      <c r="AN713" s="200"/>
      <c r="AO713" s="200"/>
      <c r="AP713" s="200"/>
    </row>
    <row r="714">
      <c r="A714" s="216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  <c r="AK714" s="200"/>
      <c r="AL714" s="200"/>
      <c r="AM714" s="200"/>
      <c r="AN714" s="200"/>
      <c r="AO714" s="200"/>
      <c r="AP714" s="200"/>
    </row>
    <row r="715">
      <c r="A715" s="216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  <c r="AK715" s="200"/>
      <c r="AL715" s="200"/>
      <c r="AM715" s="200"/>
      <c r="AN715" s="200"/>
      <c r="AO715" s="200"/>
      <c r="AP715" s="200"/>
    </row>
    <row r="716">
      <c r="A716" s="216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  <c r="AK716" s="200"/>
      <c r="AL716" s="200"/>
      <c r="AM716" s="200"/>
      <c r="AN716" s="200"/>
      <c r="AO716" s="200"/>
      <c r="AP716" s="200"/>
    </row>
    <row r="717">
      <c r="A717" s="216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  <c r="AK717" s="200"/>
      <c r="AL717" s="200"/>
      <c r="AM717" s="200"/>
      <c r="AN717" s="200"/>
      <c r="AO717" s="200"/>
      <c r="AP717" s="200"/>
    </row>
    <row r="718">
      <c r="A718" s="216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  <c r="AK718" s="200"/>
      <c r="AL718" s="200"/>
      <c r="AM718" s="200"/>
      <c r="AN718" s="200"/>
      <c r="AO718" s="200"/>
      <c r="AP718" s="200"/>
    </row>
    <row r="719">
      <c r="A719" s="216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  <c r="AK719" s="200"/>
      <c r="AL719" s="200"/>
      <c r="AM719" s="200"/>
      <c r="AN719" s="200"/>
      <c r="AO719" s="200"/>
      <c r="AP719" s="200"/>
    </row>
    <row r="720">
      <c r="A720" s="216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  <c r="AK720" s="200"/>
      <c r="AL720" s="200"/>
      <c r="AM720" s="200"/>
      <c r="AN720" s="200"/>
      <c r="AO720" s="200"/>
      <c r="AP720" s="200"/>
    </row>
    <row r="721">
      <c r="A721" s="216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  <c r="AK721" s="200"/>
      <c r="AL721" s="200"/>
      <c r="AM721" s="200"/>
      <c r="AN721" s="200"/>
      <c r="AO721" s="200"/>
      <c r="AP721" s="200"/>
    </row>
    <row r="722">
      <c r="A722" s="216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  <c r="AK722" s="200"/>
      <c r="AL722" s="200"/>
      <c r="AM722" s="200"/>
      <c r="AN722" s="200"/>
      <c r="AO722" s="200"/>
      <c r="AP722" s="200"/>
    </row>
    <row r="723">
      <c r="A723" s="216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  <c r="AK723" s="200"/>
      <c r="AL723" s="200"/>
      <c r="AM723" s="200"/>
      <c r="AN723" s="200"/>
      <c r="AO723" s="200"/>
      <c r="AP723" s="200"/>
    </row>
    <row r="724">
      <c r="A724" s="216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  <c r="AK724" s="200"/>
      <c r="AL724" s="200"/>
      <c r="AM724" s="200"/>
      <c r="AN724" s="200"/>
      <c r="AO724" s="200"/>
      <c r="AP724" s="200"/>
    </row>
    <row r="725">
      <c r="A725" s="216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  <c r="AK725" s="200"/>
      <c r="AL725" s="200"/>
      <c r="AM725" s="200"/>
      <c r="AN725" s="200"/>
      <c r="AO725" s="200"/>
      <c r="AP725" s="200"/>
    </row>
    <row r="726">
      <c r="A726" s="216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  <c r="AK726" s="200"/>
      <c r="AL726" s="200"/>
      <c r="AM726" s="200"/>
      <c r="AN726" s="200"/>
      <c r="AO726" s="200"/>
      <c r="AP726" s="200"/>
    </row>
    <row r="727">
      <c r="A727" s="216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  <c r="AK727" s="200"/>
      <c r="AL727" s="200"/>
      <c r="AM727" s="200"/>
      <c r="AN727" s="200"/>
      <c r="AO727" s="200"/>
      <c r="AP727" s="200"/>
    </row>
    <row r="728">
      <c r="A728" s="216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  <c r="AK728" s="200"/>
      <c r="AL728" s="200"/>
      <c r="AM728" s="200"/>
      <c r="AN728" s="200"/>
      <c r="AO728" s="200"/>
      <c r="AP728" s="200"/>
    </row>
    <row r="729">
      <c r="A729" s="216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  <c r="AK729" s="200"/>
      <c r="AL729" s="200"/>
      <c r="AM729" s="200"/>
      <c r="AN729" s="200"/>
      <c r="AO729" s="200"/>
      <c r="AP729" s="200"/>
    </row>
    <row r="730">
      <c r="A730" s="216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  <c r="AK730" s="200"/>
      <c r="AL730" s="200"/>
      <c r="AM730" s="200"/>
      <c r="AN730" s="200"/>
      <c r="AO730" s="200"/>
      <c r="AP730" s="200"/>
    </row>
    <row r="731">
      <c r="A731" s="216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  <c r="AK731" s="200"/>
      <c r="AL731" s="200"/>
      <c r="AM731" s="200"/>
      <c r="AN731" s="200"/>
      <c r="AO731" s="200"/>
      <c r="AP731" s="200"/>
    </row>
    <row r="732">
      <c r="A732" s="216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  <c r="AK732" s="200"/>
      <c r="AL732" s="200"/>
      <c r="AM732" s="200"/>
      <c r="AN732" s="200"/>
      <c r="AO732" s="200"/>
      <c r="AP732" s="200"/>
    </row>
    <row r="733">
      <c r="A733" s="216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  <c r="AK733" s="200"/>
      <c r="AL733" s="200"/>
      <c r="AM733" s="200"/>
      <c r="AN733" s="200"/>
      <c r="AO733" s="200"/>
      <c r="AP733" s="200"/>
    </row>
    <row r="734">
      <c r="A734" s="216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  <c r="AK734" s="200"/>
      <c r="AL734" s="200"/>
      <c r="AM734" s="200"/>
      <c r="AN734" s="200"/>
      <c r="AO734" s="200"/>
      <c r="AP734" s="200"/>
    </row>
    <row r="735">
      <c r="A735" s="216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  <c r="AK735" s="200"/>
      <c r="AL735" s="200"/>
      <c r="AM735" s="200"/>
      <c r="AN735" s="200"/>
      <c r="AO735" s="200"/>
      <c r="AP735" s="200"/>
    </row>
    <row r="736">
      <c r="A736" s="216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  <c r="AK736" s="200"/>
      <c r="AL736" s="200"/>
      <c r="AM736" s="200"/>
      <c r="AN736" s="200"/>
      <c r="AO736" s="200"/>
      <c r="AP736" s="200"/>
    </row>
    <row r="737">
      <c r="A737" s="216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  <c r="AK737" s="200"/>
      <c r="AL737" s="200"/>
      <c r="AM737" s="200"/>
      <c r="AN737" s="200"/>
      <c r="AO737" s="200"/>
      <c r="AP737" s="200"/>
    </row>
    <row r="738">
      <c r="A738" s="216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  <c r="AK738" s="200"/>
      <c r="AL738" s="200"/>
      <c r="AM738" s="200"/>
      <c r="AN738" s="200"/>
      <c r="AO738" s="200"/>
      <c r="AP738" s="200"/>
    </row>
    <row r="739">
      <c r="A739" s="216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  <c r="AK739" s="200"/>
      <c r="AL739" s="200"/>
      <c r="AM739" s="200"/>
      <c r="AN739" s="200"/>
      <c r="AO739" s="200"/>
      <c r="AP739" s="200"/>
    </row>
    <row r="740">
      <c r="A740" s="216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  <c r="AK740" s="200"/>
      <c r="AL740" s="200"/>
      <c r="AM740" s="200"/>
      <c r="AN740" s="200"/>
      <c r="AO740" s="200"/>
      <c r="AP740" s="200"/>
    </row>
    <row r="741">
      <c r="A741" s="216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  <c r="AK741" s="200"/>
      <c r="AL741" s="200"/>
      <c r="AM741" s="200"/>
      <c r="AN741" s="200"/>
      <c r="AO741" s="200"/>
      <c r="AP741" s="200"/>
    </row>
    <row r="742">
      <c r="A742" s="216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  <c r="AK742" s="200"/>
      <c r="AL742" s="200"/>
      <c r="AM742" s="200"/>
      <c r="AN742" s="200"/>
      <c r="AO742" s="200"/>
      <c r="AP742" s="200"/>
    </row>
    <row r="743">
      <c r="A743" s="216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  <c r="AK743" s="200"/>
      <c r="AL743" s="200"/>
      <c r="AM743" s="200"/>
      <c r="AN743" s="200"/>
      <c r="AO743" s="200"/>
      <c r="AP743" s="200"/>
    </row>
    <row r="744">
      <c r="A744" s="216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  <c r="AK744" s="200"/>
      <c r="AL744" s="200"/>
      <c r="AM744" s="200"/>
      <c r="AN744" s="200"/>
      <c r="AO744" s="200"/>
      <c r="AP744" s="200"/>
    </row>
    <row r="745">
      <c r="A745" s="216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  <c r="AK745" s="200"/>
      <c r="AL745" s="200"/>
      <c r="AM745" s="200"/>
      <c r="AN745" s="200"/>
      <c r="AO745" s="200"/>
      <c r="AP745" s="200"/>
    </row>
    <row r="746">
      <c r="A746" s="216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  <c r="AK746" s="200"/>
      <c r="AL746" s="200"/>
      <c r="AM746" s="200"/>
      <c r="AN746" s="200"/>
      <c r="AO746" s="200"/>
      <c r="AP746" s="200"/>
    </row>
    <row r="747">
      <c r="A747" s="216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  <c r="AK747" s="200"/>
      <c r="AL747" s="200"/>
      <c r="AM747" s="200"/>
      <c r="AN747" s="200"/>
      <c r="AO747" s="200"/>
      <c r="AP747" s="200"/>
    </row>
    <row r="748">
      <c r="A748" s="216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  <c r="AK748" s="200"/>
      <c r="AL748" s="200"/>
      <c r="AM748" s="200"/>
      <c r="AN748" s="200"/>
      <c r="AO748" s="200"/>
      <c r="AP748" s="200"/>
    </row>
    <row r="749">
      <c r="A749" s="216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  <c r="AK749" s="200"/>
      <c r="AL749" s="200"/>
      <c r="AM749" s="200"/>
      <c r="AN749" s="200"/>
      <c r="AO749" s="200"/>
      <c r="AP749" s="200"/>
    </row>
    <row r="750">
      <c r="A750" s="216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  <c r="AK750" s="200"/>
      <c r="AL750" s="200"/>
      <c r="AM750" s="200"/>
      <c r="AN750" s="200"/>
      <c r="AO750" s="200"/>
      <c r="AP750" s="200"/>
    </row>
    <row r="751">
      <c r="A751" s="216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  <c r="AK751" s="200"/>
      <c r="AL751" s="200"/>
      <c r="AM751" s="200"/>
      <c r="AN751" s="200"/>
      <c r="AO751" s="200"/>
      <c r="AP751" s="200"/>
    </row>
    <row r="752">
      <c r="A752" s="216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  <c r="AK752" s="200"/>
      <c r="AL752" s="200"/>
      <c r="AM752" s="200"/>
      <c r="AN752" s="200"/>
      <c r="AO752" s="200"/>
      <c r="AP752" s="200"/>
    </row>
    <row r="753">
      <c r="A753" s="216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200"/>
    </row>
    <row r="754">
      <c r="A754" s="216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  <c r="AK754" s="200"/>
      <c r="AL754" s="200"/>
      <c r="AM754" s="200"/>
      <c r="AN754" s="200"/>
      <c r="AO754" s="200"/>
      <c r="AP754" s="200"/>
    </row>
    <row r="755">
      <c r="A755" s="216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  <c r="AK755" s="200"/>
      <c r="AL755" s="200"/>
      <c r="AM755" s="200"/>
      <c r="AN755" s="200"/>
      <c r="AO755" s="200"/>
      <c r="AP755" s="200"/>
    </row>
    <row r="756">
      <c r="A756" s="216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  <c r="AK756" s="200"/>
      <c r="AL756" s="200"/>
      <c r="AM756" s="200"/>
      <c r="AN756" s="200"/>
      <c r="AO756" s="200"/>
      <c r="AP756" s="200"/>
    </row>
    <row r="757">
      <c r="A757" s="216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  <c r="AK757" s="200"/>
      <c r="AL757" s="200"/>
      <c r="AM757" s="200"/>
      <c r="AN757" s="200"/>
      <c r="AO757" s="200"/>
      <c r="AP757" s="200"/>
    </row>
    <row r="758">
      <c r="A758" s="216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  <c r="AK758" s="200"/>
      <c r="AL758" s="200"/>
      <c r="AM758" s="200"/>
      <c r="AN758" s="200"/>
      <c r="AO758" s="200"/>
      <c r="AP758" s="200"/>
    </row>
    <row r="759">
      <c r="A759" s="216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  <c r="AK759" s="200"/>
      <c r="AL759" s="200"/>
      <c r="AM759" s="200"/>
      <c r="AN759" s="200"/>
      <c r="AO759" s="200"/>
      <c r="AP759" s="200"/>
    </row>
    <row r="760">
      <c r="A760" s="216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200"/>
    </row>
    <row r="761">
      <c r="A761" s="216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  <c r="AK761" s="200"/>
      <c r="AL761" s="200"/>
      <c r="AM761" s="200"/>
      <c r="AN761" s="200"/>
      <c r="AO761" s="200"/>
      <c r="AP761" s="200"/>
    </row>
    <row r="762">
      <c r="A762" s="216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  <c r="AK762" s="200"/>
      <c r="AL762" s="200"/>
      <c r="AM762" s="200"/>
      <c r="AN762" s="200"/>
      <c r="AO762" s="200"/>
      <c r="AP762" s="200"/>
    </row>
    <row r="763">
      <c r="A763" s="216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  <c r="AK763" s="200"/>
      <c r="AL763" s="200"/>
      <c r="AM763" s="200"/>
      <c r="AN763" s="200"/>
      <c r="AO763" s="200"/>
      <c r="AP763" s="200"/>
    </row>
    <row r="764">
      <c r="A764" s="216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  <c r="AK764" s="200"/>
      <c r="AL764" s="200"/>
      <c r="AM764" s="200"/>
      <c r="AN764" s="200"/>
      <c r="AO764" s="200"/>
      <c r="AP764" s="200"/>
    </row>
    <row r="765">
      <c r="A765" s="216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  <c r="AK765" s="200"/>
      <c r="AL765" s="200"/>
      <c r="AM765" s="200"/>
      <c r="AN765" s="200"/>
      <c r="AO765" s="200"/>
      <c r="AP765" s="200"/>
    </row>
    <row r="766">
      <c r="A766" s="216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  <c r="AK766" s="200"/>
      <c r="AL766" s="200"/>
      <c r="AM766" s="200"/>
      <c r="AN766" s="200"/>
      <c r="AO766" s="200"/>
      <c r="AP766" s="200"/>
    </row>
    <row r="767">
      <c r="A767" s="216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  <c r="AK767" s="200"/>
      <c r="AL767" s="200"/>
      <c r="AM767" s="200"/>
      <c r="AN767" s="200"/>
      <c r="AO767" s="200"/>
      <c r="AP767" s="200"/>
    </row>
    <row r="768">
      <c r="A768" s="216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200"/>
    </row>
    <row r="769">
      <c r="A769" s="216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  <c r="AK769" s="200"/>
      <c r="AL769" s="200"/>
      <c r="AM769" s="200"/>
      <c r="AN769" s="200"/>
      <c r="AO769" s="200"/>
      <c r="AP769" s="200"/>
    </row>
    <row r="770">
      <c r="A770" s="216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200"/>
    </row>
    <row r="771">
      <c r="A771" s="216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200"/>
    </row>
    <row r="772">
      <c r="A772" s="216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  <c r="AK772" s="200"/>
      <c r="AL772" s="200"/>
      <c r="AM772" s="200"/>
      <c r="AN772" s="200"/>
      <c r="AO772" s="200"/>
      <c r="AP772" s="200"/>
    </row>
    <row r="773">
      <c r="A773" s="216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  <c r="AK773" s="200"/>
      <c r="AL773" s="200"/>
      <c r="AM773" s="200"/>
      <c r="AN773" s="200"/>
      <c r="AO773" s="200"/>
      <c r="AP773" s="200"/>
    </row>
    <row r="774">
      <c r="A774" s="216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200"/>
    </row>
    <row r="775">
      <c r="A775" s="216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  <c r="AK775" s="200"/>
      <c r="AL775" s="200"/>
      <c r="AM775" s="200"/>
      <c r="AN775" s="200"/>
      <c r="AO775" s="200"/>
      <c r="AP775" s="200"/>
    </row>
    <row r="776">
      <c r="A776" s="216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200"/>
    </row>
    <row r="777">
      <c r="A777" s="216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  <c r="AK777" s="200"/>
      <c r="AL777" s="200"/>
      <c r="AM777" s="200"/>
      <c r="AN777" s="200"/>
      <c r="AO777" s="200"/>
      <c r="AP777" s="200"/>
    </row>
    <row r="778">
      <c r="A778" s="216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  <c r="AK778" s="200"/>
      <c r="AL778" s="200"/>
      <c r="AM778" s="200"/>
      <c r="AN778" s="200"/>
      <c r="AO778" s="200"/>
      <c r="AP778" s="200"/>
    </row>
    <row r="779">
      <c r="A779" s="216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  <c r="AK779" s="200"/>
      <c r="AL779" s="200"/>
      <c r="AM779" s="200"/>
      <c r="AN779" s="200"/>
      <c r="AO779" s="200"/>
      <c r="AP779" s="200"/>
    </row>
    <row r="780">
      <c r="A780" s="216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200"/>
    </row>
    <row r="781">
      <c r="A781" s="216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  <c r="AK781" s="200"/>
      <c r="AL781" s="200"/>
      <c r="AM781" s="200"/>
      <c r="AN781" s="200"/>
      <c r="AO781" s="200"/>
      <c r="AP781" s="200"/>
    </row>
    <row r="782">
      <c r="A782" s="216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  <c r="AK782" s="200"/>
      <c r="AL782" s="200"/>
      <c r="AM782" s="200"/>
      <c r="AN782" s="200"/>
      <c r="AO782" s="200"/>
      <c r="AP782" s="200"/>
    </row>
    <row r="783">
      <c r="A783" s="216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  <c r="AK783" s="200"/>
      <c r="AL783" s="200"/>
      <c r="AM783" s="200"/>
      <c r="AN783" s="200"/>
      <c r="AO783" s="200"/>
      <c r="AP783" s="200"/>
    </row>
    <row r="784">
      <c r="A784" s="216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  <c r="AK784" s="200"/>
      <c r="AL784" s="200"/>
      <c r="AM784" s="200"/>
      <c r="AN784" s="200"/>
      <c r="AO784" s="200"/>
      <c r="AP784" s="200"/>
    </row>
    <row r="785">
      <c r="A785" s="216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  <c r="AK785" s="200"/>
      <c r="AL785" s="200"/>
      <c r="AM785" s="200"/>
      <c r="AN785" s="200"/>
      <c r="AO785" s="200"/>
      <c r="AP785" s="200"/>
    </row>
    <row r="786">
      <c r="A786" s="216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200"/>
    </row>
    <row r="787">
      <c r="A787" s="216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  <c r="AK787" s="200"/>
      <c r="AL787" s="200"/>
      <c r="AM787" s="200"/>
      <c r="AN787" s="200"/>
      <c r="AO787" s="200"/>
      <c r="AP787" s="200"/>
    </row>
    <row r="788">
      <c r="A788" s="216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  <c r="AK788" s="200"/>
      <c r="AL788" s="200"/>
      <c r="AM788" s="200"/>
      <c r="AN788" s="200"/>
      <c r="AO788" s="200"/>
      <c r="AP788" s="200"/>
    </row>
    <row r="789">
      <c r="A789" s="216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200"/>
    </row>
    <row r="790">
      <c r="A790" s="216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  <c r="AK790" s="200"/>
      <c r="AL790" s="200"/>
      <c r="AM790" s="200"/>
      <c r="AN790" s="200"/>
      <c r="AO790" s="200"/>
      <c r="AP790" s="200"/>
    </row>
    <row r="791">
      <c r="A791" s="216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  <c r="AK791" s="200"/>
      <c r="AL791" s="200"/>
      <c r="AM791" s="200"/>
      <c r="AN791" s="200"/>
      <c r="AO791" s="200"/>
      <c r="AP791" s="200"/>
    </row>
    <row r="792">
      <c r="A792" s="216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  <c r="AK792" s="200"/>
      <c r="AL792" s="200"/>
      <c r="AM792" s="200"/>
      <c r="AN792" s="200"/>
      <c r="AO792" s="200"/>
      <c r="AP792" s="200"/>
    </row>
    <row r="793">
      <c r="A793" s="216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200"/>
    </row>
    <row r="794">
      <c r="A794" s="216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  <c r="AK794" s="200"/>
      <c r="AL794" s="200"/>
      <c r="AM794" s="200"/>
      <c r="AN794" s="200"/>
      <c r="AO794" s="200"/>
      <c r="AP794" s="200"/>
    </row>
    <row r="795">
      <c r="A795" s="216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  <c r="AK795" s="200"/>
      <c r="AL795" s="200"/>
      <c r="AM795" s="200"/>
      <c r="AN795" s="200"/>
      <c r="AO795" s="200"/>
      <c r="AP795" s="200"/>
    </row>
    <row r="796">
      <c r="A796" s="216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  <c r="AK796" s="200"/>
      <c r="AL796" s="200"/>
      <c r="AM796" s="200"/>
      <c r="AN796" s="200"/>
      <c r="AO796" s="200"/>
      <c r="AP796" s="200"/>
    </row>
    <row r="797">
      <c r="A797" s="216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200"/>
    </row>
    <row r="798">
      <c r="A798" s="216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  <c r="AK798" s="200"/>
      <c r="AL798" s="200"/>
      <c r="AM798" s="200"/>
      <c r="AN798" s="200"/>
      <c r="AO798" s="200"/>
      <c r="AP798" s="200"/>
    </row>
    <row r="799">
      <c r="A799" s="216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  <c r="AK799" s="200"/>
      <c r="AL799" s="200"/>
      <c r="AM799" s="200"/>
      <c r="AN799" s="200"/>
      <c r="AO799" s="200"/>
      <c r="AP799" s="200"/>
    </row>
    <row r="800">
      <c r="A800" s="216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200"/>
    </row>
    <row r="801">
      <c r="A801" s="216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  <c r="AK801" s="200"/>
      <c r="AL801" s="200"/>
      <c r="AM801" s="200"/>
      <c r="AN801" s="200"/>
      <c r="AO801" s="200"/>
      <c r="AP801" s="200"/>
    </row>
    <row r="802">
      <c r="A802" s="216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  <c r="AK802" s="200"/>
      <c r="AL802" s="200"/>
      <c r="AM802" s="200"/>
      <c r="AN802" s="200"/>
      <c r="AO802" s="200"/>
      <c r="AP802" s="200"/>
    </row>
    <row r="803">
      <c r="A803" s="216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  <c r="AK803" s="200"/>
      <c r="AL803" s="200"/>
      <c r="AM803" s="200"/>
      <c r="AN803" s="200"/>
      <c r="AO803" s="200"/>
      <c r="AP803" s="200"/>
    </row>
    <row r="804">
      <c r="A804" s="216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  <c r="AK804" s="200"/>
      <c r="AL804" s="200"/>
      <c r="AM804" s="200"/>
      <c r="AN804" s="200"/>
      <c r="AO804" s="200"/>
      <c r="AP804" s="200"/>
    </row>
    <row r="805">
      <c r="A805" s="216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  <c r="AK805" s="200"/>
      <c r="AL805" s="200"/>
      <c r="AM805" s="200"/>
      <c r="AN805" s="200"/>
      <c r="AO805" s="200"/>
      <c r="AP805" s="200"/>
    </row>
    <row r="806">
      <c r="A806" s="216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  <c r="AK806" s="200"/>
      <c r="AL806" s="200"/>
      <c r="AM806" s="200"/>
      <c r="AN806" s="200"/>
      <c r="AO806" s="200"/>
      <c r="AP806" s="200"/>
    </row>
    <row r="807">
      <c r="A807" s="216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  <c r="AK807" s="200"/>
      <c r="AL807" s="200"/>
      <c r="AM807" s="200"/>
      <c r="AN807" s="200"/>
      <c r="AO807" s="200"/>
      <c r="AP807" s="200"/>
    </row>
    <row r="808">
      <c r="A808" s="216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  <c r="AK808" s="200"/>
      <c r="AL808" s="200"/>
      <c r="AM808" s="200"/>
      <c r="AN808" s="200"/>
      <c r="AO808" s="200"/>
      <c r="AP808" s="200"/>
    </row>
    <row r="809">
      <c r="A809" s="216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  <c r="AK809" s="200"/>
      <c r="AL809" s="200"/>
      <c r="AM809" s="200"/>
      <c r="AN809" s="200"/>
      <c r="AO809" s="200"/>
      <c r="AP809" s="200"/>
    </row>
    <row r="810">
      <c r="A810" s="216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  <c r="AK810" s="200"/>
      <c r="AL810" s="200"/>
      <c r="AM810" s="200"/>
      <c r="AN810" s="200"/>
      <c r="AO810" s="200"/>
      <c r="AP810" s="200"/>
    </row>
    <row r="811">
      <c r="A811" s="216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  <c r="AK811" s="200"/>
      <c r="AL811" s="200"/>
      <c r="AM811" s="200"/>
      <c r="AN811" s="200"/>
      <c r="AO811" s="200"/>
      <c r="AP811" s="200"/>
    </row>
    <row r="812">
      <c r="A812" s="216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  <c r="AK812" s="200"/>
      <c r="AL812" s="200"/>
      <c r="AM812" s="200"/>
      <c r="AN812" s="200"/>
      <c r="AO812" s="200"/>
      <c r="AP812" s="200"/>
    </row>
    <row r="813">
      <c r="A813" s="216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200"/>
    </row>
    <row r="814">
      <c r="A814" s="216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  <c r="AK814" s="200"/>
      <c r="AL814" s="200"/>
      <c r="AM814" s="200"/>
      <c r="AN814" s="200"/>
      <c r="AO814" s="200"/>
      <c r="AP814" s="200"/>
    </row>
    <row r="815">
      <c r="A815" s="216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  <c r="AK815" s="200"/>
      <c r="AL815" s="200"/>
      <c r="AM815" s="200"/>
      <c r="AN815" s="200"/>
      <c r="AO815" s="200"/>
      <c r="AP815" s="200"/>
    </row>
    <row r="816">
      <c r="A816" s="216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  <c r="AK816" s="200"/>
      <c r="AL816" s="200"/>
      <c r="AM816" s="200"/>
      <c r="AN816" s="200"/>
      <c r="AO816" s="200"/>
      <c r="AP816" s="200"/>
    </row>
    <row r="817">
      <c r="A817" s="216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  <c r="AK817" s="200"/>
      <c r="AL817" s="200"/>
      <c r="AM817" s="200"/>
      <c r="AN817" s="200"/>
      <c r="AO817" s="200"/>
      <c r="AP817" s="200"/>
    </row>
    <row r="818">
      <c r="A818" s="216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  <c r="AK818" s="200"/>
      <c r="AL818" s="200"/>
      <c r="AM818" s="200"/>
      <c r="AN818" s="200"/>
      <c r="AO818" s="200"/>
      <c r="AP818" s="200"/>
    </row>
    <row r="819">
      <c r="A819" s="216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200"/>
    </row>
    <row r="820">
      <c r="A820" s="216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  <c r="AK820" s="200"/>
      <c r="AL820" s="200"/>
      <c r="AM820" s="200"/>
      <c r="AN820" s="200"/>
      <c r="AO820" s="200"/>
      <c r="AP820" s="200"/>
    </row>
    <row r="821">
      <c r="A821" s="216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  <c r="AK821" s="200"/>
      <c r="AL821" s="200"/>
      <c r="AM821" s="200"/>
      <c r="AN821" s="200"/>
      <c r="AO821" s="200"/>
      <c r="AP821" s="200"/>
    </row>
    <row r="822">
      <c r="A822" s="216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  <c r="AK822" s="200"/>
      <c r="AL822" s="200"/>
      <c r="AM822" s="200"/>
      <c r="AN822" s="200"/>
      <c r="AO822" s="200"/>
      <c r="AP822" s="200"/>
    </row>
    <row r="823">
      <c r="A823" s="216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  <c r="AK823" s="200"/>
      <c r="AL823" s="200"/>
      <c r="AM823" s="200"/>
      <c r="AN823" s="200"/>
      <c r="AO823" s="200"/>
      <c r="AP823" s="200"/>
    </row>
    <row r="824">
      <c r="A824" s="216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  <c r="AK824" s="200"/>
      <c r="AL824" s="200"/>
      <c r="AM824" s="200"/>
      <c r="AN824" s="200"/>
      <c r="AO824" s="200"/>
      <c r="AP824" s="200"/>
    </row>
    <row r="825">
      <c r="A825" s="216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  <c r="AK825" s="200"/>
      <c r="AL825" s="200"/>
      <c r="AM825" s="200"/>
      <c r="AN825" s="200"/>
      <c r="AO825" s="200"/>
      <c r="AP825" s="200"/>
    </row>
    <row r="826">
      <c r="A826" s="216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  <c r="AK826" s="200"/>
      <c r="AL826" s="200"/>
      <c r="AM826" s="200"/>
      <c r="AN826" s="200"/>
      <c r="AO826" s="200"/>
      <c r="AP826" s="200"/>
    </row>
    <row r="827">
      <c r="A827" s="216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  <c r="AK827" s="200"/>
      <c r="AL827" s="200"/>
      <c r="AM827" s="200"/>
      <c r="AN827" s="200"/>
      <c r="AO827" s="200"/>
      <c r="AP827" s="200"/>
    </row>
    <row r="828">
      <c r="A828" s="216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  <c r="AK828" s="200"/>
      <c r="AL828" s="200"/>
      <c r="AM828" s="200"/>
      <c r="AN828" s="200"/>
      <c r="AO828" s="200"/>
      <c r="AP828" s="200"/>
    </row>
    <row r="829">
      <c r="A829" s="216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  <c r="AK829" s="200"/>
      <c r="AL829" s="200"/>
      <c r="AM829" s="200"/>
      <c r="AN829" s="200"/>
      <c r="AO829" s="200"/>
      <c r="AP829" s="200"/>
    </row>
    <row r="830">
      <c r="A830" s="216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  <c r="AK830" s="200"/>
      <c r="AL830" s="200"/>
      <c r="AM830" s="200"/>
      <c r="AN830" s="200"/>
      <c r="AO830" s="200"/>
      <c r="AP830" s="200"/>
    </row>
    <row r="831">
      <c r="A831" s="216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  <c r="AK831" s="200"/>
      <c r="AL831" s="200"/>
      <c r="AM831" s="200"/>
      <c r="AN831" s="200"/>
      <c r="AO831" s="200"/>
      <c r="AP831" s="200"/>
    </row>
    <row r="832">
      <c r="A832" s="216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  <c r="AK832" s="200"/>
      <c r="AL832" s="200"/>
      <c r="AM832" s="200"/>
      <c r="AN832" s="200"/>
      <c r="AO832" s="200"/>
      <c r="AP832" s="200"/>
    </row>
    <row r="833">
      <c r="A833" s="216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  <c r="AK833" s="200"/>
      <c r="AL833" s="200"/>
      <c r="AM833" s="200"/>
      <c r="AN833" s="200"/>
      <c r="AO833" s="200"/>
      <c r="AP833" s="200"/>
    </row>
    <row r="834">
      <c r="A834" s="216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200"/>
    </row>
    <row r="835">
      <c r="A835" s="216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  <c r="AK835" s="200"/>
      <c r="AL835" s="200"/>
      <c r="AM835" s="200"/>
      <c r="AN835" s="200"/>
      <c r="AO835" s="200"/>
      <c r="AP835" s="200"/>
    </row>
    <row r="836">
      <c r="A836" s="216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  <c r="AK836" s="200"/>
      <c r="AL836" s="200"/>
      <c r="AM836" s="200"/>
      <c r="AN836" s="200"/>
      <c r="AO836" s="200"/>
      <c r="AP836" s="200"/>
    </row>
    <row r="837">
      <c r="A837" s="216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200"/>
    </row>
    <row r="838">
      <c r="A838" s="216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  <c r="AK838" s="200"/>
      <c r="AL838" s="200"/>
      <c r="AM838" s="200"/>
      <c r="AN838" s="200"/>
      <c r="AO838" s="200"/>
      <c r="AP838" s="200"/>
    </row>
    <row r="839">
      <c r="A839" s="216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  <c r="AK839" s="200"/>
      <c r="AL839" s="200"/>
      <c r="AM839" s="200"/>
      <c r="AN839" s="200"/>
      <c r="AO839" s="200"/>
      <c r="AP839" s="200"/>
    </row>
    <row r="840">
      <c r="A840" s="216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  <c r="AK840" s="200"/>
      <c r="AL840" s="200"/>
      <c r="AM840" s="200"/>
      <c r="AN840" s="200"/>
      <c r="AO840" s="200"/>
      <c r="AP840" s="200"/>
    </row>
    <row r="841">
      <c r="A841" s="216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  <c r="AK841" s="200"/>
      <c r="AL841" s="200"/>
      <c r="AM841" s="200"/>
      <c r="AN841" s="200"/>
      <c r="AO841" s="200"/>
      <c r="AP841" s="200"/>
    </row>
    <row r="842">
      <c r="A842" s="216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  <c r="AK842" s="200"/>
      <c r="AL842" s="200"/>
      <c r="AM842" s="200"/>
      <c r="AN842" s="200"/>
      <c r="AO842" s="200"/>
      <c r="AP842" s="200"/>
    </row>
    <row r="843">
      <c r="A843" s="216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  <c r="AK843" s="200"/>
      <c r="AL843" s="200"/>
      <c r="AM843" s="200"/>
      <c r="AN843" s="200"/>
      <c r="AO843" s="200"/>
      <c r="AP843" s="200"/>
    </row>
    <row r="844">
      <c r="A844" s="216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  <c r="AK844" s="200"/>
      <c r="AL844" s="200"/>
      <c r="AM844" s="200"/>
      <c r="AN844" s="200"/>
      <c r="AO844" s="200"/>
      <c r="AP844" s="200"/>
    </row>
    <row r="845">
      <c r="A845" s="216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  <c r="AK845" s="200"/>
      <c r="AL845" s="200"/>
      <c r="AM845" s="200"/>
      <c r="AN845" s="200"/>
      <c r="AO845" s="200"/>
      <c r="AP845" s="200"/>
    </row>
    <row r="846">
      <c r="A846" s="216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  <c r="AK846" s="200"/>
      <c r="AL846" s="200"/>
      <c r="AM846" s="200"/>
      <c r="AN846" s="200"/>
      <c r="AO846" s="200"/>
      <c r="AP846" s="200"/>
    </row>
    <row r="847">
      <c r="A847" s="216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  <c r="AK847" s="200"/>
      <c r="AL847" s="200"/>
      <c r="AM847" s="200"/>
      <c r="AN847" s="200"/>
      <c r="AO847" s="200"/>
      <c r="AP847" s="200"/>
    </row>
    <row r="848">
      <c r="A848" s="216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  <c r="AK848" s="200"/>
      <c r="AL848" s="200"/>
      <c r="AM848" s="200"/>
      <c r="AN848" s="200"/>
      <c r="AO848" s="200"/>
      <c r="AP848" s="200"/>
    </row>
    <row r="849">
      <c r="A849" s="216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  <c r="AK849" s="200"/>
      <c r="AL849" s="200"/>
      <c r="AM849" s="200"/>
      <c r="AN849" s="200"/>
      <c r="AO849" s="200"/>
      <c r="AP849" s="200"/>
    </row>
    <row r="850">
      <c r="A850" s="216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  <c r="AK850" s="200"/>
      <c r="AL850" s="200"/>
      <c r="AM850" s="200"/>
      <c r="AN850" s="200"/>
      <c r="AO850" s="200"/>
      <c r="AP850" s="200"/>
    </row>
    <row r="851">
      <c r="A851" s="216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  <c r="AK851" s="200"/>
      <c r="AL851" s="200"/>
      <c r="AM851" s="200"/>
      <c r="AN851" s="200"/>
      <c r="AO851" s="200"/>
      <c r="AP851" s="200"/>
    </row>
    <row r="852">
      <c r="A852" s="216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  <c r="AK852" s="200"/>
      <c r="AL852" s="200"/>
      <c r="AM852" s="200"/>
      <c r="AN852" s="200"/>
      <c r="AO852" s="200"/>
      <c r="AP852" s="200"/>
    </row>
    <row r="853">
      <c r="A853" s="216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  <c r="AK853" s="200"/>
      <c r="AL853" s="200"/>
      <c r="AM853" s="200"/>
      <c r="AN853" s="200"/>
      <c r="AO853" s="200"/>
      <c r="AP853" s="200"/>
    </row>
    <row r="854">
      <c r="A854" s="216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  <c r="AK854" s="200"/>
      <c r="AL854" s="200"/>
      <c r="AM854" s="200"/>
      <c r="AN854" s="200"/>
      <c r="AO854" s="200"/>
      <c r="AP854" s="200"/>
    </row>
    <row r="855">
      <c r="A855" s="216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200"/>
    </row>
    <row r="856">
      <c r="A856" s="216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  <c r="AK856" s="200"/>
      <c r="AL856" s="200"/>
      <c r="AM856" s="200"/>
      <c r="AN856" s="200"/>
      <c r="AO856" s="200"/>
      <c r="AP856" s="200"/>
    </row>
    <row r="857">
      <c r="A857" s="216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  <c r="AK857" s="200"/>
      <c r="AL857" s="200"/>
      <c r="AM857" s="200"/>
      <c r="AN857" s="200"/>
      <c r="AO857" s="200"/>
      <c r="AP857" s="200"/>
    </row>
    <row r="858">
      <c r="A858" s="216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  <c r="AK858" s="200"/>
      <c r="AL858" s="200"/>
      <c r="AM858" s="200"/>
      <c r="AN858" s="200"/>
      <c r="AO858" s="200"/>
      <c r="AP858" s="200"/>
    </row>
    <row r="859">
      <c r="A859" s="216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  <c r="AK859" s="200"/>
      <c r="AL859" s="200"/>
      <c r="AM859" s="200"/>
      <c r="AN859" s="200"/>
      <c r="AO859" s="200"/>
      <c r="AP859" s="200"/>
    </row>
    <row r="860">
      <c r="A860" s="216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  <c r="AK860" s="200"/>
      <c r="AL860" s="200"/>
      <c r="AM860" s="200"/>
      <c r="AN860" s="200"/>
      <c r="AO860" s="200"/>
      <c r="AP860" s="200"/>
    </row>
    <row r="861">
      <c r="A861" s="216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200"/>
    </row>
    <row r="862">
      <c r="A862" s="216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  <c r="AK862" s="200"/>
      <c r="AL862" s="200"/>
      <c r="AM862" s="200"/>
      <c r="AN862" s="200"/>
      <c r="AO862" s="200"/>
      <c r="AP862" s="200"/>
    </row>
    <row r="863">
      <c r="A863" s="216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  <c r="AK863" s="200"/>
      <c r="AL863" s="200"/>
      <c r="AM863" s="200"/>
      <c r="AN863" s="200"/>
      <c r="AO863" s="200"/>
      <c r="AP863" s="200"/>
    </row>
    <row r="864">
      <c r="A864" s="216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  <c r="AK864" s="200"/>
      <c r="AL864" s="200"/>
      <c r="AM864" s="200"/>
      <c r="AN864" s="200"/>
      <c r="AO864" s="200"/>
      <c r="AP864" s="200"/>
    </row>
    <row r="865">
      <c r="A865" s="216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  <c r="AK865" s="200"/>
      <c r="AL865" s="200"/>
      <c r="AM865" s="200"/>
      <c r="AN865" s="200"/>
      <c r="AO865" s="200"/>
      <c r="AP865" s="200"/>
    </row>
    <row r="866">
      <c r="A866" s="216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200"/>
    </row>
    <row r="867">
      <c r="A867" s="216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  <c r="AK867" s="200"/>
      <c r="AL867" s="200"/>
      <c r="AM867" s="200"/>
      <c r="AN867" s="200"/>
      <c r="AO867" s="200"/>
      <c r="AP867" s="200"/>
    </row>
    <row r="868">
      <c r="A868" s="216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  <c r="AK868" s="200"/>
      <c r="AL868" s="200"/>
      <c r="AM868" s="200"/>
      <c r="AN868" s="200"/>
      <c r="AO868" s="200"/>
      <c r="AP868" s="200"/>
    </row>
    <row r="869">
      <c r="A869" s="216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  <c r="AK869" s="200"/>
      <c r="AL869" s="200"/>
      <c r="AM869" s="200"/>
      <c r="AN869" s="200"/>
      <c r="AO869" s="200"/>
      <c r="AP869" s="200"/>
    </row>
    <row r="870">
      <c r="A870" s="216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  <c r="AK870" s="200"/>
      <c r="AL870" s="200"/>
      <c r="AM870" s="200"/>
      <c r="AN870" s="200"/>
      <c r="AO870" s="200"/>
      <c r="AP870" s="200"/>
    </row>
    <row r="871">
      <c r="A871" s="216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  <c r="AK871" s="200"/>
      <c r="AL871" s="200"/>
      <c r="AM871" s="200"/>
      <c r="AN871" s="200"/>
      <c r="AO871" s="200"/>
      <c r="AP871" s="200"/>
    </row>
    <row r="872">
      <c r="A872" s="216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200"/>
    </row>
    <row r="873">
      <c r="A873" s="216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  <c r="AK873" s="200"/>
      <c r="AL873" s="200"/>
      <c r="AM873" s="200"/>
      <c r="AN873" s="200"/>
      <c r="AO873" s="200"/>
      <c r="AP873" s="200"/>
    </row>
    <row r="874">
      <c r="A874" s="216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  <c r="AK874" s="200"/>
      <c r="AL874" s="200"/>
      <c r="AM874" s="200"/>
      <c r="AN874" s="200"/>
      <c r="AO874" s="200"/>
      <c r="AP874" s="200"/>
    </row>
    <row r="875">
      <c r="A875" s="216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  <c r="AK875" s="200"/>
      <c r="AL875" s="200"/>
      <c r="AM875" s="200"/>
      <c r="AN875" s="200"/>
      <c r="AO875" s="200"/>
      <c r="AP875" s="200"/>
    </row>
    <row r="876">
      <c r="A876" s="216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  <c r="AK876" s="200"/>
      <c r="AL876" s="200"/>
      <c r="AM876" s="200"/>
      <c r="AN876" s="200"/>
      <c r="AO876" s="200"/>
      <c r="AP876" s="200"/>
    </row>
    <row r="877">
      <c r="A877" s="216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200"/>
    </row>
    <row r="878">
      <c r="A878" s="216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  <c r="AK878" s="200"/>
      <c r="AL878" s="200"/>
      <c r="AM878" s="200"/>
      <c r="AN878" s="200"/>
      <c r="AO878" s="200"/>
      <c r="AP878" s="200"/>
    </row>
    <row r="879">
      <c r="A879" s="216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  <c r="AK879" s="200"/>
      <c r="AL879" s="200"/>
      <c r="AM879" s="200"/>
      <c r="AN879" s="200"/>
      <c r="AO879" s="200"/>
      <c r="AP879" s="200"/>
    </row>
    <row r="880">
      <c r="A880" s="216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  <c r="AK880" s="200"/>
      <c r="AL880" s="200"/>
      <c r="AM880" s="200"/>
      <c r="AN880" s="200"/>
      <c r="AO880" s="200"/>
      <c r="AP880" s="200"/>
    </row>
    <row r="881">
      <c r="A881" s="216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  <c r="AK881" s="200"/>
      <c r="AL881" s="200"/>
      <c r="AM881" s="200"/>
      <c r="AN881" s="200"/>
      <c r="AO881" s="200"/>
      <c r="AP881" s="200"/>
    </row>
    <row r="882">
      <c r="A882" s="216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  <c r="AK882" s="200"/>
      <c r="AL882" s="200"/>
      <c r="AM882" s="200"/>
      <c r="AN882" s="200"/>
      <c r="AO882" s="200"/>
      <c r="AP882" s="200"/>
    </row>
    <row r="883">
      <c r="A883" s="216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200"/>
    </row>
    <row r="884">
      <c r="A884" s="216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  <c r="AK884" s="200"/>
      <c r="AL884" s="200"/>
      <c r="AM884" s="200"/>
      <c r="AN884" s="200"/>
      <c r="AO884" s="200"/>
      <c r="AP884" s="200"/>
    </row>
    <row r="885">
      <c r="A885" s="216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  <c r="AK885" s="200"/>
      <c r="AL885" s="200"/>
      <c r="AM885" s="200"/>
      <c r="AN885" s="200"/>
      <c r="AO885" s="200"/>
      <c r="AP885" s="200"/>
    </row>
    <row r="886">
      <c r="A886" s="216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  <c r="AK886" s="200"/>
      <c r="AL886" s="200"/>
      <c r="AM886" s="200"/>
      <c r="AN886" s="200"/>
      <c r="AO886" s="200"/>
      <c r="AP886" s="200"/>
    </row>
    <row r="887">
      <c r="A887" s="216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  <c r="AK887" s="200"/>
      <c r="AL887" s="200"/>
      <c r="AM887" s="200"/>
      <c r="AN887" s="200"/>
      <c r="AO887" s="200"/>
      <c r="AP887" s="200"/>
    </row>
    <row r="888">
      <c r="A888" s="216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200"/>
    </row>
    <row r="889">
      <c r="A889" s="216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  <c r="AK889" s="200"/>
      <c r="AL889" s="200"/>
      <c r="AM889" s="200"/>
      <c r="AN889" s="200"/>
      <c r="AO889" s="200"/>
      <c r="AP889" s="200"/>
    </row>
    <row r="890">
      <c r="A890" s="216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200"/>
    </row>
    <row r="891">
      <c r="A891" s="216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  <c r="AK891" s="200"/>
      <c r="AL891" s="200"/>
      <c r="AM891" s="200"/>
      <c r="AN891" s="200"/>
      <c r="AO891" s="200"/>
      <c r="AP891" s="200"/>
    </row>
    <row r="892">
      <c r="A892" s="216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  <c r="AK892" s="200"/>
      <c r="AL892" s="200"/>
      <c r="AM892" s="200"/>
      <c r="AN892" s="200"/>
      <c r="AO892" s="200"/>
      <c r="AP892" s="200"/>
    </row>
    <row r="893">
      <c r="A893" s="216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  <c r="AK893" s="200"/>
      <c r="AL893" s="200"/>
      <c r="AM893" s="200"/>
      <c r="AN893" s="200"/>
      <c r="AO893" s="200"/>
      <c r="AP893" s="200"/>
    </row>
    <row r="894">
      <c r="A894" s="216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200"/>
    </row>
    <row r="895">
      <c r="A895" s="216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  <c r="AK895" s="200"/>
      <c r="AL895" s="200"/>
      <c r="AM895" s="200"/>
      <c r="AN895" s="200"/>
      <c r="AO895" s="200"/>
      <c r="AP895" s="200"/>
    </row>
    <row r="896">
      <c r="A896" s="216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  <c r="AK896" s="200"/>
      <c r="AL896" s="200"/>
      <c r="AM896" s="200"/>
      <c r="AN896" s="200"/>
      <c r="AO896" s="200"/>
      <c r="AP896" s="200"/>
    </row>
    <row r="897">
      <c r="A897" s="216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  <c r="AK897" s="200"/>
      <c r="AL897" s="200"/>
      <c r="AM897" s="200"/>
      <c r="AN897" s="200"/>
      <c r="AO897" s="200"/>
      <c r="AP897" s="200"/>
    </row>
    <row r="898">
      <c r="A898" s="216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200"/>
    </row>
    <row r="899">
      <c r="A899" s="216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200"/>
    </row>
    <row r="900">
      <c r="A900" s="216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  <c r="AK900" s="200"/>
      <c r="AL900" s="200"/>
      <c r="AM900" s="200"/>
      <c r="AN900" s="200"/>
      <c r="AO900" s="200"/>
      <c r="AP900" s="200"/>
    </row>
    <row r="901">
      <c r="A901" s="216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200"/>
    </row>
    <row r="902">
      <c r="A902" s="216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  <c r="AK902" s="200"/>
      <c r="AL902" s="200"/>
      <c r="AM902" s="200"/>
      <c r="AN902" s="200"/>
      <c r="AO902" s="200"/>
      <c r="AP902" s="200"/>
    </row>
    <row r="903">
      <c r="A903" s="216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  <c r="AK903" s="200"/>
      <c r="AL903" s="200"/>
      <c r="AM903" s="200"/>
      <c r="AN903" s="200"/>
      <c r="AO903" s="200"/>
      <c r="AP903" s="200"/>
    </row>
    <row r="904">
      <c r="A904" s="216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200"/>
    </row>
    <row r="905">
      <c r="A905" s="216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200"/>
    </row>
    <row r="906">
      <c r="A906" s="216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  <c r="AK906" s="200"/>
      <c r="AL906" s="200"/>
      <c r="AM906" s="200"/>
      <c r="AN906" s="200"/>
      <c r="AO906" s="200"/>
      <c r="AP906" s="200"/>
    </row>
    <row r="907">
      <c r="A907" s="216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  <c r="AK907" s="200"/>
      <c r="AL907" s="200"/>
      <c r="AM907" s="200"/>
      <c r="AN907" s="200"/>
      <c r="AO907" s="200"/>
      <c r="AP907" s="200"/>
    </row>
    <row r="908">
      <c r="A908" s="216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  <c r="AK908" s="200"/>
      <c r="AL908" s="200"/>
      <c r="AM908" s="200"/>
      <c r="AN908" s="200"/>
      <c r="AO908" s="200"/>
      <c r="AP908" s="200"/>
    </row>
    <row r="909">
      <c r="A909" s="216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  <c r="AK909" s="200"/>
      <c r="AL909" s="200"/>
      <c r="AM909" s="200"/>
      <c r="AN909" s="200"/>
      <c r="AO909" s="200"/>
      <c r="AP909" s="200"/>
    </row>
    <row r="910">
      <c r="A910" s="216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200"/>
    </row>
    <row r="911">
      <c r="A911" s="216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  <c r="AK911" s="200"/>
      <c r="AL911" s="200"/>
      <c r="AM911" s="200"/>
      <c r="AN911" s="200"/>
      <c r="AO911" s="200"/>
      <c r="AP911" s="200"/>
    </row>
    <row r="912">
      <c r="A912" s="216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  <c r="AK912" s="200"/>
      <c r="AL912" s="200"/>
      <c r="AM912" s="200"/>
      <c r="AN912" s="200"/>
      <c r="AO912" s="200"/>
      <c r="AP912" s="200"/>
    </row>
    <row r="913">
      <c r="A913" s="216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  <c r="AK913" s="200"/>
      <c r="AL913" s="200"/>
      <c r="AM913" s="200"/>
      <c r="AN913" s="200"/>
      <c r="AO913" s="200"/>
      <c r="AP913" s="200"/>
    </row>
    <row r="914">
      <c r="A914" s="216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  <c r="AK914" s="200"/>
      <c r="AL914" s="200"/>
      <c r="AM914" s="200"/>
      <c r="AN914" s="200"/>
      <c r="AO914" s="200"/>
      <c r="AP914" s="200"/>
    </row>
    <row r="915">
      <c r="A915" s="216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  <c r="AK915" s="200"/>
      <c r="AL915" s="200"/>
      <c r="AM915" s="200"/>
      <c r="AN915" s="200"/>
      <c r="AO915" s="200"/>
      <c r="AP915" s="200"/>
    </row>
    <row r="916">
      <c r="A916" s="216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200"/>
    </row>
    <row r="917">
      <c r="A917" s="216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  <c r="AK917" s="200"/>
      <c r="AL917" s="200"/>
      <c r="AM917" s="200"/>
      <c r="AN917" s="200"/>
      <c r="AO917" s="200"/>
      <c r="AP917" s="200"/>
    </row>
    <row r="918">
      <c r="A918" s="216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  <c r="AK918" s="200"/>
      <c r="AL918" s="200"/>
      <c r="AM918" s="200"/>
      <c r="AN918" s="200"/>
      <c r="AO918" s="200"/>
      <c r="AP918" s="200"/>
    </row>
    <row r="919">
      <c r="A919" s="216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  <c r="AK919" s="200"/>
      <c r="AL919" s="200"/>
      <c r="AM919" s="200"/>
      <c r="AN919" s="200"/>
      <c r="AO919" s="200"/>
      <c r="AP919" s="200"/>
    </row>
    <row r="920">
      <c r="A920" s="216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200"/>
    </row>
    <row r="921">
      <c r="A921" s="216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  <c r="AK921" s="200"/>
      <c r="AL921" s="200"/>
      <c r="AM921" s="200"/>
      <c r="AN921" s="200"/>
      <c r="AO921" s="200"/>
      <c r="AP921" s="200"/>
    </row>
    <row r="922">
      <c r="A922" s="216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200"/>
    </row>
    <row r="923">
      <c r="A923" s="216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  <c r="AK923" s="200"/>
      <c r="AL923" s="200"/>
      <c r="AM923" s="200"/>
      <c r="AN923" s="200"/>
      <c r="AO923" s="200"/>
      <c r="AP923" s="200"/>
    </row>
    <row r="924">
      <c r="A924" s="216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  <c r="AK924" s="200"/>
      <c r="AL924" s="200"/>
      <c r="AM924" s="200"/>
      <c r="AN924" s="200"/>
      <c r="AO924" s="200"/>
      <c r="AP924" s="200"/>
    </row>
    <row r="925">
      <c r="A925" s="216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  <c r="AK925" s="200"/>
      <c r="AL925" s="200"/>
      <c r="AM925" s="200"/>
      <c r="AN925" s="200"/>
      <c r="AO925" s="200"/>
      <c r="AP925" s="200"/>
    </row>
    <row r="926">
      <c r="A926" s="216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200"/>
    </row>
    <row r="927">
      <c r="A927" s="216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  <c r="AK927" s="200"/>
      <c r="AL927" s="200"/>
      <c r="AM927" s="200"/>
      <c r="AN927" s="200"/>
      <c r="AO927" s="200"/>
      <c r="AP927" s="200"/>
    </row>
    <row r="928">
      <c r="A928" s="216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  <c r="AK928" s="200"/>
      <c r="AL928" s="200"/>
      <c r="AM928" s="200"/>
      <c r="AN928" s="200"/>
      <c r="AO928" s="200"/>
      <c r="AP928" s="200"/>
    </row>
    <row r="929">
      <c r="A929" s="216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200"/>
    </row>
    <row r="930">
      <c r="A930" s="216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  <c r="AK930" s="200"/>
      <c r="AL930" s="200"/>
      <c r="AM930" s="200"/>
      <c r="AN930" s="200"/>
      <c r="AO930" s="200"/>
      <c r="AP930" s="200"/>
    </row>
    <row r="931">
      <c r="A931" s="216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  <c r="AK931" s="200"/>
      <c r="AL931" s="200"/>
      <c r="AM931" s="200"/>
      <c r="AN931" s="200"/>
      <c r="AO931" s="200"/>
      <c r="AP931" s="200"/>
    </row>
    <row r="932">
      <c r="A932" s="216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  <c r="AK932" s="200"/>
      <c r="AL932" s="200"/>
      <c r="AM932" s="200"/>
      <c r="AN932" s="200"/>
      <c r="AO932" s="200"/>
      <c r="AP932" s="200"/>
    </row>
    <row r="933">
      <c r="A933" s="216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  <c r="AK933" s="200"/>
      <c r="AL933" s="200"/>
      <c r="AM933" s="200"/>
      <c r="AN933" s="200"/>
      <c r="AO933" s="200"/>
      <c r="AP933" s="200"/>
    </row>
    <row r="934">
      <c r="A934" s="216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  <c r="AK934" s="200"/>
      <c r="AL934" s="200"/>
      <c r="AM934" s="200"/>
      <c r="AN934" s="200"/>
      <c r="AO934" s="200"/>
      <c r="AP934" s="200"/>
    </row>
    <row r="935">
      <c r="A935" s="216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  <c r="AK935" s="200"/>
      <c r="AL935" s="200"/>
      <c r="AM935" s="200"/>
      <c r="AN935" s="200"/>
      <c r="AO935" s="200"/>
      <c r="AP935" s="200"/>
    </row>
    <row r="936">
      <c r="A936" s="216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  <c r="AK936" s="200"/>
      <c r="AL936" s="200"/>
      <c r="AM936" s="200"/>
      <c r="AN936" s="200"/>
      <c r="AO936" s="200"/>
      <c r="AP936" s="200"/>
    </row>
    <row r="937">
      <c r="A937" s="216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  <c r="AK937" s="200"/>
      <c r="AL937" s="200"/>
      <c r="AM937" s="200"/>
      <c r="AN937" s="200"/>
      <c r="AO937" s="200"/>
      <c r="AP937" s="200"/>
    </row>
    <row r="938">
      <c r="A938" s="216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  <c r="AK938" s="200"/>
      <c r="AL938" s="200"/>
      <c r="AM938" s="200"/>
      <c r="AN938" s="200"/>
      <c r="AO938" s="200"/>
      <c r="AP938" s="200"/>
    </row>
    <row r="939">
      <c r="A939" s="216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  <c r="AK939" s="200"/>
      <c r="AL939" s="200"/>
      <c r="AM939" s="200"/>
      <c r="AN939" s="200"/>
      <c r="AO939" s="200"/>
      <c r="AP939" s="200"/>
    </row>
    <row r="940">
      <c r="A940" s="216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  <c r="AK940" s="200"/>
      <c r="AL940" s="200"/>
      <c r="AM940" s="200"/>
      <c r="AN940" s="200"/>
      <c r="AO940" s="200"/>
      <c r="AP940" s="200"/>
    </row>
    <row r="941">
      <c r="A941" s="216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  <c r="AK941" s="200"/>
      <c r="AL941" s="200"/>
      <c r="AM941" s="200"/>
      <c r="AN941" s="200"/>
      <c r="AO941" s="200"/>
      <c r="AP941" s="200"/>
    </row>
    <row r="942">
      <c r="A942" s="216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  <c r="AK942" s="200"/>
      <c r="AL942" s="200"/>
      <c r="AM942" s="200"/>
      <c r="AN942" s="200"/>
      <c r="AO942" s="200"/>
      <c r="AP942" s="200"/>
    </row>
    <row r="943">
      <c r="A943" s="216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  <c r="AK943" s="200"/>
      <c r="AL943" s="200"/>
      <c r="AM943" s="200"/>
      <c r="AN943" s="200"/>
      <c r="AO943" s="200"/>
      <c r="AP943" s="200"/>
    </row>
    <row r="944">
      <c r="A944" s="216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200"/>
    </row>
    <row r="945">
      <c r="A945" s="216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  <c r="AK945" s="200"/>
      <c r="AL945" s="200"/>
      <c r="AM945" s="200"/>
      <c r="AN945" s="200"/>
      <c r="AO945" s="200"/>
      <c r="AP945" s="200"/>
    </row>
    <row r="946">
      <c r="A946" s="216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  <c r="AK946" s="200"/>
      <c r="AL946" s="200"/>
      <c r="AM946" s="200"/>
      <c r="AN946" s="200"/>
      <c r="AO946" s="200"/>
      <c r="AP946" s="200"/>
    </row>
    <row r="947">
      <c r="A947" s="216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  <c r="AK947" s="200"/>
      <c r="AL947" s="200"/>
      <c r="AM947" s="200"/>
      <c r="AN947" s="200"/>
      <c r="AO947" s="200"/>
      <c r="AP947" s="200"/>
    </row>
    <row r="948">
      <c r="A948" s="216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  <c r="AK948" s="200"/>
      <c r="AL948" s="200"/>
      <c r="AM948" s="200"/>
      <c r="AN948" s="200"/>
      <c r="AO948" s="200"/>
      <c r="AP948" s="200"/>
    </row>
    <row r="949">
      <c r="A949" s="216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  <c r="AK949" s="200"/>
      <c r="AL949" s="200"/>
      <c r="AM949" s="200"/>
      <c r="AN949" s="200"/>
      <c r="AO949" s="200"/>
      <c r="AP949" s="200"/>
    </row>
    <row r="950">
      <c r="A950" s="216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200"/>
    </row>
    <row r="951">
      <c r="A951" s="216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  <c r="AK951" s="200"/>
      <c r="AL951" s="200"/>
      <c r="AM951" s="200"/>
      <c r="AN951" s="200"/>
      <c r="AO951" s="200"/>
      <c r="AP951" s="200"/>
    </row>
    <row r="952">
      <c r="A952" s="216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  <c r="AK952" s="200"/>
      <c r="AL952" s="200"/>
      <c r="AM952" s="200"/>
      <c r="AN952" s="200"/>
      <c r="AO952" s="200"/>
      <c r="AP952" s="200"/>
    </row>
    <row r="953">
      <c r="A953" s="216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  <c r="AK953" s="200"/>
      <c r="AL953" s="200"/>
      <c r="AM953" s="200"/>
      <c r="AN953" s="200"/>
      <c r="AO953" s="200"/>
      <c r="AP953" s="200"/>
    </row>
    <row r="954">
      <c r="A954" s="216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  <c r="AK954" s="200"/>
      <c r="AL954" s="200"/>
      <c r="AM954" s="200"/>
      <c r="AN954" s="200"/>
      <c r="AO954" s="200"/>
      <c r="AP954" s="200"/>
    </row>
    <row r="955">
      <c r="A955" s="216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  <c r="AK955" s="200"/>
      <c r="AL955" s="200"/>
      <c r="AM955" s="200"/>
      <c r="AN955" s="200"/>
      <c r="AO955" s="200"/>
      <c r="AP955" s="200"/>
    </row>
    <row r="956">
      <c r="A956" s="216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  <c r="AK956" s="200"/>
      <c r="AL956" s="200"/>
      <c r="AM956" s="200"/>
      <c r="AN956" s="200"/>
      <c r="AO956" s="200"/>
      <c r="AP956" s="200"/>
    </row>
    <row r="957">
      <c r="A957" s="216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  <c r="AK957" s="200"/>
      <c r="AL957" s="200"/>
      <c r="AM957" s="200"/>
      <c r="AN957" s="200"/>
      <c r="AO957" s="200"/>
      <c r="AP957" s="200"/>
    </row>
    <row r="958">
      <c r="A958" s="216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  <c r="AK958" s="200"/>
      <c r="AL958" s="200"/>
      <c r="AM958" s="200"/>
      <c r="AN958" s="200"/>
      <c r="AO958" s="200"/>
      <c r="AP958" s="200"/>
    </row>
    <row r="959">
      <c r="A959" s="216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  <c r="AK959" s="200"/>
      <c r="AL959" s="200"/>
      <c r="AM959" s="200"/>
      <c r="AN959" s="200"/>
      <c r="AO959" s="200"/>
      <c r="AP959" s="200"/>
    </row>
    <row r="960">
      <c r="A960" s="216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  <c r="AK960" s="200"/>
      <c r="AL960" s="200"/>
      <c r="AM960" s="200"/>
      <c r="AN960" s="200"/>
      <c r="AO960" s="200"/>
      <c r="AP960" s="200"/>
    </row>
    <row r="961">
      <c r="A961" s="216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  <c r="AK961" s="200"/>
      <c r="AL961" s="200"/>
      <c r="AM961" s="200"/>
      <c r="AN961" s="200"/>
      <c r="AO961" s="200"/>
      <c r="AP961" s="200"/>
    </row>
    <row r="962">
      <c r="A962" s="216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  <c r="AK962" s="200"/>
      <c r="AL962" s="200"/>
      <c r="AM962" s="200"/>
      <c r="AN962" s="200"/>
      <c r="AO962" s="200"/>
      <c r="AP962" s="200"/>
    </row>
    <row r="963">
      <c r="A963" s="216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  <c r="AK963" s="200"/>
      <c r="AL963" s="200"/>
      <c r="AM963" s="200"/>
      <c r="AN963" s="200"/>
      <c r="AO963" s="200"/>
      <c r="AP963" s="200"/>
    </row>
    <row r="964">
      <c r="A964" s="216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  <c r="AK964" s="200"/>
      <c r="AL964" s="200"/>
      <c r="AM964" s="200"/>
      <c r="AN964" s="200"/>
      <c r="AO964" s="200"/>
      <c r="AP964" s="200"/>
    </row>
    <row r="965">
      <c r="A965" s="216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  <c r="AK965" s="200"/>
      <c r="AL965" s="200"/>
      <c r="AM965" s="200"/>
      <c r="AN965" s="200"/>
      <c r="AO965" s="200"/>
      <c r="AP965" s="200"/>
    </row>
    <row r="966">
      <c r="A966" s="216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  <c r="AK966" s="200"/>
      <c r="AL966" s="200"/>
      <c r="AM966" s="200"/>
      <c r="AN966" s="200"/>
      <c r="AO966" s="200"/>
      <c r="AP966" s="200"/>
    </row>
    <row r="967">
      <c r="A967" s="216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  <c r="AK967" s="200"/>
      <c r="AL967" s="200"/>
      <c r="AM967" s="200"/>
      <c r="AN967" s="200"/>
      <c r="AO967" s="200"/>
      <c r="AP967" s="200"/>
    </row>
    <row r="968">
      <c r="A968" s="216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  <c r="AK968" s="200"/>
      <c r="AL968" s="200"/>
      <c r="AM968" s="200"/>
      <c r="AN968" s="200"/>
      <c r="AO968" s="200"/>
      <c r="AP968" s="200"/>
    </row>
    <row r="969">
      <c r="A969" s="216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  <c r="AK969" s="200"/>
      <c r="AL969" s="200"/>
      <c r="AM969" s="200"/>
      <c r="AN969" s="200"/>
      <c r="AO969" s="200"/>
      <c r="AP969" s="200"/>
    </row>
    <row r="970">
      <c r="A970" s="216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  <c r="AK970" s="200"/>
      <c r="AL970" s="200"/>
      <c r="AM970" s="200"/>
      <c r="AN970" s="200"/>
      <c r="AO970" s="200"/>
      <c r="AP970" s="200"/>
    </row>
    <row r="971">
      <c r="A971" s="216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  <c r="AK971" s="200"/>
      <c r="AL971" s="200"/>
      <c r="AM971" s="200"/>
      <c r="AN971" s="200"/>
      <c r="AO971" s="200"/>
      <c r="AP971" s="200"/>
    </row>
    <row r="972">
      <c r="A972" s="216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  <c r="AK972" s="200"/>
      <c r="AL972" s="200"/>
      <c r="AM972" s="200"/>
      <c r="AN972" s="200"/>
      <c r="AO972" s="200"/>
      <c r="AP972" s="200"/>
    </row>
    <row r="973">
      <c r="A973" s="216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  <c r="AK973" s="200"/>
      <c r="AL973" s="200"/>
      <c r="AM973" s="200"/>
      <c r="AN973" s="200"/>
      <c r="AO973" s="200"/>
      <c r="AP973" s="200"/>
    </row>
    <row r="974">
      <c r="A974" s="216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  <c r="AK974" s="200"/>
      <c r="AL974" s="200"/>
      <c r="AM974" s="200"/>
      <c r="AN974" s="200"/>
      <c r="AO974" s="200"/>
      <c r="AP974" s="200"/>
    </row>
    <row r="975">
      <c r="A975" s="216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  <c r="AK975" s="200"/>
      <c r="AL975" s="200"/>
      <c r="AM975" s="200"/>
      <c r="AN975" s="200"/>
      <c r="AO975" s="200"/>
      <c r="AP975" s="200"/>
    </row>
    <row r="976">
      <c r="A976" s="216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  <c r="AK976" s="200"/>
      <c r="AL976" s="200"/>
      <c r="AM976" s="200"/>
      <c r="AN976" s="200"/>
      <c r="AO976" s="200"/>
      <c r="AP976" s="200"/>
    </row>
    <row r="977">
      <c r="A977" s="216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  <c r="AK977" s="200"/>
      <c r="AL977" s="200"/>
      <c r="AM977" s="200"/>
      <c r="AN977" s="200"/>
      <c r="AO977" s="200"/>
      <c r="AP977" s="200"/>
    </row>
    <row r="978">
      <c r="A978" s="216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  <c r="AK978" s="200"/>
      <c r="AL978" s="200"/>
      <c r="AM978" s="200"/>
      <c r="AN978" s="200"/>
      <c r="AO978" s="200"/>
      <c r="AP978" s="200"/>
    </row>
    <row r="979">
      <c r="A979" s="216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  <c r="AK979" s="200"/>
      <c r="AL979" s="200"/>
      <c r="AM979" s="200"/>
      <c r="AN979" s="200"/>
      <c r="AO979" s="200"/>
      <c r="AP979" s="200"/>
    </row>
    <row r="980">
      <c r="A980" s="216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  <c r="AK980" s="200"/>
      <c r="AL980" s="200"/>
      <c r="AM980" s="200"/>
      <c r="AN980" s="200"/>
      <c r="AO980" s="200"/>
      <c r="AP980" s="200"/>
    </row>
    <row r="981">
      <c r="A981" s="216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  <c r="AK981" s="200"/>
      <c r="AL981" s="200"/>
      <c r="AM981" s="200"/>
      <c r="AN981" s="200"/>
      <c r="AO981" s="200"/>
      <c r="AP981" s="200"/>
    </row>
    <row r="982">
      <c r="A982" s="216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  <c r="AK982" s="200"/>
      <c r="AL982" s="200"/>
      <c r="AM982" s="200"/>
      <c r="AN982" s="200"/>
      <c r="AO982" s="200"/>
      <c r="AP982" s="200"/>
    </row>
    <row r="983">
      <c r="A983" s="216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  <c r="AK983" s="200"/>
      <c r="AL983" s="200"/>
      <c r="AM983" s="200"/>
      <c r="AN983" s="200"/>
      <c r="AO983" s="200"/>
      <c r="AP983" s="200"/>
    </row>
    <row r="984">
      <c r="A984" s="216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  <c r="AK984" s="200"/>
      <c r="AL984" s="200"/>
      <c r="AM984" s="200"/>
      <c r="AN984" s="200"/>
      <c r="AO984" s="200"/>
      <c r="AP984" s="200"/>
    </row>
    <row r="985">
      <c r="A985" s="216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  <c r="AK985" s="200"/>
      <c r="AL985" s="200"/>
      <c r="AM985" s="200"/>
      <c r="AN985" s="200"/>
      <c r="AO985" s="200"/>
      <c r="AP985" s="200"/>
    </row>
    <row r="986">
      <c r="A986" s="216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  <c r="AK986" s="200"/>
      <c r="AL986" s="200"/>
      <c r="AM986" s="200"/>
      <c r="AN986" s="200"/>
      <c r="AO986" s="200"/>
      <c r="AP986" s="200"/>
    </row>
  </sheetData>
  <mergeCells count="5717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3:AE3"/>
    <mergeCell ref="AF3:AG3"/>
    <mergeCell ref="AD4:AE4"/>
    <mergeCell ref="AF4:AG4"/>
    <mergeCell ref="AH3:AI3"/>
    <mergeCell ref="AJ3:AK3"/>
    <mergeCell ref="AH4:AI4"/>
    <mergeCell ref="AJ4:AK4"/>
    <mergeCell ref="A1:E1"/>
    <mergeCell ref="F1:K1"/>
    <mergeCell ref="L1:Y1"/>
    <mergeCell ref="Z1:AK1"/>
    <mergeCell ref="AL1:AP1"/>
    <mergeCell ref="F3:G3"/>
    <mergeCell ref="H3:I3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X5:Y5"/>
    <mergeCell ref="Z5:AA5"/>
    <mergeCell ref="AB5:AC5"/>
    <mergeCell ref="AD5:AE5"/>
    <mergeCell ref="AF5:AG5"/>
    <mergeCell ref="AH5:AI5"/>
    <mergeCell ref="AJ5:AK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AF6:AG6"/>
    <mergeCell ref="AH6:AI6"/>
    <mergeCell ref="AJ6:AK6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F7:G7"/>
    <mergeCell ref="H7:I7"/>
    <mergeCell ref="J7:K7"/>
    <mergeCell ref="L7:M7"/>
    <mergeCell ref="N7:O7"/>
    <mergeCell ref="P7:Q7"/>
    <mergeCell ref="R7:S7"/>
    <mergeCell ref="AH10:AI10"/>
    <mergeCell ref="AJ10:AK10"/>
    <mergeCell ref="T10:U10"/>
    <mergeCell ref="V10:W10"/>
    <mergeCell ref="X10:Y10"/>
    <mergeCell ref="Z10:AA10"/>
    <mergeCell ref="AB10:AC10"/>
    <mergeCell ref="AD10:AE10"/>
    <mergeCell ref="AF10:AG10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F8:G8"/>
    <mergeCell ref="H8:I8"/>
    <mergeCell ref="J8:K8"/>
    <mergeCell ref="L8:M8"/>
    <mergeCell ref="N8:O8"/>
    <mergeCell ref="P8:Q8"/>
    <mergeCell ref="R8:S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F10:G10"/>
    <mergeCell ref="H10:I10"/>
    <mergeCell ref="J10:K10"/>
    <mergeCell ref="L10:M10"/>
    <mergeCell ref="N10:O10"/>
    <mergeCell ref="P10:Q10"/>
    <mergeCell ref="R10:S10"/>
    <mergeCell ref="AH13:AI13"/>
    <mergeCell ref="AJ13:AK13"/>
    <mergeCell ref="T13:U13"/>
    <mergeCell ref="V13:W13"/>
    <mergeCell ref="X13:Y13"/>
    <mergeCell ref="Z13:AA13"/>
    <mergeCell ref="AB13:AC13"/>
    <mergeCell ref="AD13:AE13"/>
    <mergeCell ref="AF13:AG13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F13:G13"/>
    <mergeCell ref="H13:I13"/>
    <mergeCell ref="J13:K13"/>
    <mergeCell ref="L13:M13"/>
    <mergeCell ref="N13:O13"/>
    <mergeCell ref="P13:Q13"/>
    <mergeCell ref="R13:S13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8:AI28"/>
    <mergeCell ref="AJ28:AK28"/>
    <mergeCell ref="T28:U28"/>
    <mergeCell ref="V28:W28"/>
    <mergeCell ref="X28:Y28"/>
    <mergeCell ref="Z28:AA28"/>
    <mergeCell ref="AB28:AC28"/>
    <mergeCell ref="AD28:AE28"/>
    <mergeCell ref="AF28:AG28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F26:G26"/>
    <mergeCell ref="H26:I26"/>
    <mergeCell ref="J26:K26"/>
    <mergeCell ref="L26:M26"/>
    <mergeCell ref="N26:O26"/>
    <mergeCell ref="P26:Q26"/>
    <mergeCell ref="R26:S26"/>
    <mergeCell ref="AH27:AI27"/>
    <mergeCell ref="AJ27:AK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F28:G28"/>
    <mergeCell ref="H28:I28"/>
    <mergeCell ref="J28:K28"/>
    <mergeCell ref="L28:M28"/>
    <mergeCell ref="N28:O28"/>
    <mergeCell ref="P28:Q28"/>
    <mergeCell ref="R28:S28"/>
    <mergeCell ref="AH31:AI31"/>
    <mergeCell ref="AJ31:AK31"/>
    <mergeCell ref="T31:U31"/>
    <mergeCell ref="V31:W31"/>
    <mergeCell ref="X31:Y31"/>
    <mergeCell ref="Z31:AA31"/>
    <mergeCell ref="AB31:AC31"/>
    <mergeCell ref="AD31:AE31"/>
    <mergeCell ref="AF31:AG31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AH33:AI33"/>
    <mergeCell ref="AJ33:AK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7:AI37"/>
    <mergeCell ref="AJ37:AK37"/>
    <mergeCell ref="T37:U37"/>
    <mergeCell ref="V37:W37"/>
    <mergeCell ref="X37:Y37"/>
    <mergeCell ref="Z37:AA37"/>
    <mergeCell ref="AB37:AC37"/>
    <mergeCell ref="AD37:AE37"/>
    <mergeCell ref="AF37:AG37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F37:G37"/>
    <mergeCell ref="H37:I37"/>
    <mergeCell ref="J37:K37"/>
    <mergeCell ref="L37:M37"/>
    <mergeCell ref="N37:O37"/>
    <mergeCell ref="P37:Q37"/>
    <mergeCell ref="R37:S37"/>
    <mergeCell ref="AH40:AI40"/>
    <mergeCell ref="AJ40:AK40"/>
    <mergeCell ref="T40:U40"/>
    <mergeCell ref="V40:W40"/>
    <mergeCell ref="X40:Y40"/>
    <mergeCell ref="Z40:AA40"/>
    <mergeCell ref="AB40:AC40"/>
    <mergeCell ref="AD40:AE40"/>
    <mergeCell ref="AF40:AG40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6:AI46"/>
    <mergeCell ref="AJ46:AK46"/>
    <mergeCell ref="T46:U46"/>
    <mergeCell ref="V46:W46"/>
    <mergeCell ref="X46:Y46"/>
    <mergeCell ref="Z46:AA46"/>
    <mergeCell ref="AB46:AC46"/>
    <mergeCell ref="AD46:AE46"/>
    <mergeCell ref="AF46:AG46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F44:G44"/>
    <mergeCell ref="H44:I44"/>
    <mergeCell ref="J44:K44"/>
    <mergeCell ref="L44:M44"/>
    <mergeCell ref="N44:O44"/>
    <mergeCell ref="P44:Q44"/>
    <mergeCell ref="R44:S44"/>
    <mergeCell ref="AH45:AI45"/>
    <mergeCell ref="AJ45:AK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F46:G46"/>
    <mergeCell ref="H46:I46"/>
    <mergeCell ref="J46:K46"/>
    <mergeCell ref="L46:M46"/>
    <mergeCell ref="N46:O46"/>
    <mergeCell ref="P46:Q46"/>
    <mergeCell ref="R46:S46"/>
    <mergeCell ref="AH49:AI49"/>
    <mergeCell ref="AJ49:AK49"/>
    <mergeCell ref="T49:U49"/>
    <mergeCell ref="V49:W49"/>
    <mergeCell ref="X49:Y49"/>
    <mergeCell ref="Z49:AA49"/>
    <mergeCell ref="AB49:AC49"/>
    <mergeCell ref="AD49:AE49"/>
    <mergeCell ref="AF49:AG49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H51:AI51"/>
    <mergeCell ref="AJ51:AK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5:AI55"/>
    <mergeCell ref="AJ55:AK55"/>
    <mergeCell ref="T55:U55"/>
    <mergeCell ref="V55:W55"/>
    <mergeCell ref="X55:Y55"/>
    <mergeCell ref="Z55:AA55"/>
    <mergeCell ref="AB55:AC55"/>
    <mergeCell ref="AD55:AE55"/>
    <mergeCell ref="AF55:AG55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F53:G53"/>
    <mergeCell ref="H53:I53"/>
    <mergeCell ref="J53:K53"/>
    <mergeCell ref="L53:M53"/>
    <mergeCell ref="N53:O53"/>
    <mergeCell ref="P53:Q53"/>
    <mergeCell ref="R53:S53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F55:G55"/>
    <mergeCell ref="H55:I55"/>
    <mergeCell ref="J55:K55"/>
    <mergeCell ref="L55:M55"/>
    <mergeCell ref="N55:O55"/>
    <mergeCell ref="P55:Q55"/>
    <mergeCell ref="R55:S55"/>
    <mergeCell ref="AH58:AI58"/>
    <mergeCell ref="AJ58:AK58"/>
    <mergeCell ref="T58:U58"/>
    <mergeCell ref="V58:W58"/>
    <mergeCell ref="X58:Y58"/>
    <mergeCell ref="Z58:AA58"/>
    <mergeCell ref="AB58:AC58"/>
    <mergeCell ref="AD58:AE58"/>
    <mergeCell ref="AF58:AG58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H60:AI60"/>
    <mergeCell ref="AJ60:AK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F62:G62"/>
    <mergeCell ref="H62:I62"/>
    <mergeCell ref="J62:K62"/>
    <mergeCell ref="L62:M62"/>
    <mergeCell ref="N62:O62"/>
    <mergeCell ref="P62:Q62"/>
    <mergeCell ref="R62:S62"/>
    <mergeCell ref="AH63:AI63"/>
    <mergeCell ref="AJ63:AK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F64:G64"/>
    <mergeCell ref="H64:I64"/>
    <mergeCell ref="J64:K64"/>
    <mergeCell ref="L64:M64"/>
    <mergeCell ref="N64:O64"/>
    <mergeCell ref="P64:Q64"/>
    <mergeCell ref="R64:S64"/>
    <mergeCell ref="AH67:AI67"/>
    <mergeCell ref="AJ67:AK67"/>
    <mergeCell ref="T67:U67"/>
    <mergeCell ref="V67:W67"/>
    <mergeCell ref="X67:Y67"/>
    <mergeCell ref="Z67:AA67"/>
    <mergeCell ref="AB67:AC67"/>
    <mergeCell ref="AD67:AE67"/>
    <mergeCell ref="AF67:AG67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AH69:AI69"/>
    <mergeCell ref="AJ69:AK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3:AI73"/>
    <mergeCell ref="AJ73:AK73"/>
    <mergeCell ref="T73:U73"/>
    <mergeCell ref="V73:W73"/>
    <mergeCell ref="X73:Y73"/>
    <mergeCell ref="Z73:AA73"/>
    <mergeCell ref="AB73:AC73"/>
    <mergeCell ref="AD73:AE73"/>
    <mergeCell ref="AF73:AG73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F71:G71"/>
    <mergeCell ref="H71:I71"/>
    <mergeCell ref="J71:K71"/>
    <mergeCell ref="L71:M71"/>
    <mergeCell ref="N71:O71"/>
    <mergeCell ref="P71:Q71"/>
    <mergeCell ref="R71:S71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F73:G73"/>
    <mergeCell ref="H73:I73"/>
    <mergeCell ref="J73:K73"/>
    <mergeCell ref="L73:M73"/>
    <mergeCell ref="N73:O73"/>
    <mergeCell ref="P73:Q73"/>
    <mergeCell ref="R73:S73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AH78:AI78"/>
    <mergeCell ref="AJ78:AK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F80:G80"/>
    <mergeCell ref="H80:I80"/>
    <mergeCell ref="J80:K80"/>
    <mergeCell ref="L80:M80"/>
    <mergeCell ref="N80:O80"/>
    <mergeCell ref="P80:Q80"/>
    <mergeCell ref="R80:S80"/>
    <mergeCell ref="AH81:AI81"/>
    <mergeCell ref="AJ81:AK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F82:G82"/>
    <mergeCell ref="H82:I82"/>
    <mergeCell ref="J82:K82"/>
    <mergeCell ref="L82:M82"/>
    <mergeCell ref="N82:O82"/>
    <mergeCell ref="P82:Q82"/>
    <mergeCell ref="R82:S82"/>
    <mergeCell ref="AH85:AI85"/>
    <mergeCell ref="AJ85:AK85"/>
    <mergeCell ref="T85:U85"/>
    <mergeCell ref="V85:W85"/>
    <mergeCell ref="X85:Y85"/>
    <mergeCell ref="Z85:AA85"/>
    <mergeCell ref="AB85:AC85"/>
    <mergeCell ref="AD85:AE85"/>
    <mergeCell ref="AF85:AG85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AH87:AI87"/>
    <mergeCell ref="AJ87:AK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1:AI91"/>
    <mergeCell ref="AJ91:AK91"/>
    <mergeCell ref="T91:U91"/>
    <mergeCell ref="V91:W91"/>
    <mergeCell ref="X91:Y91"/>
    <mergeCell ref="Z91:AA91"/>
    <mergeCell ref="AB91:AC91"/>
    <mergeCell ref="AD91:AE91"/>
    <mergeCell ref="AF91:AG91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F89:G89"/>
    <mergeCell ref="H89:I89"/>
    <mergeCell ref="J89:K89"/>
    <mergeCell ref="L89:M89"/>
    <mergeCell ref="N89:O89"/>
    <mergeCell ref="P89:Q89"/>
    <mergeCell ref="R89:S89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F91:G91"/>
    <mergeCell ref="H91:I91"/>
    <mergeCell ref="J91:K91"/>
    <mergeCell ref="L91:M91"/>
    <mergeCell ref="N91:O91"/>
    <mergeCell ref="P91:Q91"/>
    <mergeCell ref="R91:S91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AH96:AI96"/>
    <mergeCell ref="AJ96:AK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F98:G98"/>
    <mergeCell ref="H98:I98"/>
    <mergeCell ref="J98:K98"/>
    <mergeCell ref="L98:M98"/>
    <mergeCell ref="N98:O98"/>
    <mergeCell ref="P98:Q98"/>
    <mergeCell ref="R98:S98"/>
    <mergeCell ref="AH99:AI99"/>
    <mergeCell ref="AJ99:AK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F100:G100"/>
    <mergeCell ref="H100:I100"/>
    <mergeCell ref="J100:K100"/>
    <mergeCell ref="L100:M100"/>
    <mergeCell ref="N100:O100"/>
    <mergeCell ref="P100:Q100"/>
    <mergeCell ref="R100:S100"/>
    <mergeCell ref="AH103:AI103"/>
    <mergeCell ref="AJ103:AK103"/>
    <mergeCell ref="T103:U103"/>
    <mergeCell ref="V103:W103"/>
    <mergeCell ref="X103:Y103"/>
    <mergeCell ref="Z103:AA103"/>
    <mergeCell ref="AB103:AC103"/>
    <mergeCell ref="AD103:AE103"/>
    <mergeCell ref="AF103:AG103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AH105:AI105"/>
    <mergeCell ref="AJ105:AK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9:AI109"/>
    <mergeCell ref="AJ109:AK109"/>
    <mergeCell ref="T109:U109"/>
    <mergeCell ref="V109:W109"/>
    <mergeCell ref="X109:Y109"/>
    <mergeCell ref="Z109:AA109"/>
    <mergeCell ref="AB109:AC109"/>
    <mergeCell ref="AD109:AE109"/>
    <mergeCell ref="AF109:AG109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F107:G107"/>
    <mergeCell ref="H107:I107"/>
    <mergeCell ref="J107:K107"/>
    <mergeCell ref="L107:M107"/>
    <mergeCell ref="N107:O107"/>
    <mergeCell ref="P107:Q107"/>
    <mergeCell ref="R107:S107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F109:G109"/>
    <mergeCell ref="H109:I109"/>
    <mergeCell ref="J109:K109"/>
    <mergeCell ref="L109:M109"/>
    <mergeCell ref="N109:O109"/>
    <mergeCell ref="P109:Q109"/>
    <mergeCell ref="R109:S109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AH114:AI114"/>
    <mergeCell ref="AJ114:AK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F116:G116"/>
    <mergeCell ref="H116:I116"/>
    <mergeCell ref="J116:K116"/>
    <mergeCell ref="L116:M116"/>
    <mergeCell ref="N116:O116"/>
    <mergeCell ref="P116:Q116"/>
    <mergeCell ref="R116:S116"/>
    <mergeCell ref="AH117:AI117"/>
    <mergeCell ref="AJ117:AK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F118:G118"/>
    <mergeCell ref="H118:I118"/>
    <mergeCell ref="J118:K118"/>
    <mergeCell ref="L118:M118"/>
    <mergeCell ref="N118:O118"/>
    <mergeCell ref="P118:Q118"/>
    <mergeCell ref="R118:S118"/>
    <mergeCell ref="AH121:AI121"/>
    <mergeCell ref="AJ121:AK121"/>
    <mergeCell ref="T121:U121"/>
    <mergeCell ref="V121:W121"/>
    <mergeCell ref="X121:Y121"/>
    <mergeCell ref="Z121:AA121"/>
    <mergeCell ref="AB121:AC121"/>
    <mergeCell ref="AD121:AE121"/>
    <mergeCell ref="AF121:AG121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AH123:AI123"/>
    <mergeCell ref="AJ123:AK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7:AI127"/>
    <mergeCell ref="AJ127:AK127"/>
    <mergeCell ref="T127:U127"/>
    <mergeCell ref="V127:W127"/>
    <mergeCell ref="X127:Y127"/>
    <mergeCell ref="Z127:AA127"/>
    <mergeCell ref="AB127:AC127"/>
    <mergeCell ref="AD127:AE127"/>
    <mergeCell ref="AF127:AG127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F125:G125"/>
    <mergeCell ref="H125:I125"/>
    <mergeCell ref="J125:K125"/>
    <mergeCell ref="L125:M125"/>
    <mergeCell ref="N125:O125"/>
    <mergeCell ref="P125:Q125"/>
    <mergeCell ref="R125:S125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F127:G127"/>
    <mergeCell ref="H127:I127"/>
    <mergeCell ref="J127:K127"/>
    <mergeCell ref="L127:M127"/>
    <mergeCell ref="N127:O127"/>
    <mergeCell ref="P127:Q127"/>
    <mergeCell ref="R127:S127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AH132:AI132"/>
    <mergeCell ref="AJ132:AK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F134:G134"/>
    <mergeCell ref="H134:I134"/>
    <mergeCell ref="J134:K134"/>
    <mergeCell ref="L134:M134"/>
    <mergeCell ref="N134:O134"/>
    <mergeCell ref="P134:Q134"/>
    <mergeCell ref="R134:S134"/>
    <mergeCell ref="AH135:AI135"/>
    <mergeCell ref="AJ135:AK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F136:G136"/>
    <mergeCell ref="H136:I136"/>
    <mergeCell ref="J136:K136"/>
    <mergeCell ref="L136:M136"/>
    <mergeCell ref="N136:O136"/>
    <mergeCell ref="P136:Q136"/>
    <mergeCell ref="R136:S136"/>
    <mergeCell ref="AH139:AI139"/>
    <mergeCell ref="AJ139:AK139"/>
    <mergeCell ref="T139:U139"/>
    <mergeCell ref="V139:W139"/>
    <mergeCell ref="X139:Y139"/>
    <mergeCell ref="Z139:AA139"/>
    <mergeCell ref="AB139:AC139"/>
    <mergeCell ref="AD139:AE139"/>
    <mergeCell ref="AF139:AG139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AH141:AI141"/>
    <mergeCell ref="AJ141:AK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5:AI145"/>
    <mergeCell ref="AJ145:AK145"/>
    <mergeCell ref="T145:U145"/>
    <mergeCell ref="V145:W145"/>
    <mergeCell ref="X145:Y145"/>
    <mergeCell ref="Z145:AA145"/>
    <mergeCell ref="AB145:AC145"/>
    <mergeCell ref="AD145:AE145"/>
    <mergeCell ref="AF145:AG145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F143:G143"/>
    <mergeCell ref="H143:I143"/>
    <mergeCell ref="J143:K143"/>
    <mergeCell ref="L143:M143"/>
    <mergeCell ref="N143:O143"/>
    <mergeCell ref="P143:Q143"/>
    <mergeCell ref="R143:S143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F145:G145"/>
    <mergeCell ref="H145:I145"/>
    <mergeCell ref="J145:K145"/>
    <mergeCell ref="L145:M145"/>
    <mergeCell ref="N145:O145"/>
    <mergeCell ref="P145:Q145"/>
    <mergeCell ref="R145:S145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AH150:AI150"/>
    <mergeCell ref="AJ150:AK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F152:G152"/>
    <mergeCell ref="H152:I152"/>
    <mergeCell ref="J152:K152"/>
    <mergeCell ref="L152:M152"/>
    <mergeCell ref="N152:O152"/>
    <mergeCell ref="P152:Q152"/>
    <mergeCell ref="R152:S152"/>
    <mergeCell ref="AH153:AI153"/>
    <mergeCell ref="AJ153:AK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F154:G154"/>
    <mergeCell ref="H154:I154"/>
    <mergeCell ref="J154:K154"/>
    <mergeCell ref="L154:M154"/>
    <mergeCell ref="N154:O154"/>
    <mergeCell ref="P154:Q154"/>
    <mergeCell ref="R154:S154"/>
    <mergeCell ref="AH157:AI157"/>
    <mergeCell ref="AJ157:AK157"/>
    <mergeCell ref="T157:U157"/>
    <mergeCell ref="V157:W157"/>
    <mergeCell ref="X157:Y157"/>
    <mergeCell ref="Z157:AA157"/>
    <mergeCell ref="AB157:AC157"/>
    <mergeCell ref="AD157:AE157"/>
    <mergeCell ref="AF157:AG157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AH159:AI159"/>
    <mergeCell ref="AJ159:AK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3:AI163"/>
    <mergeCell ref="AJ163:AK163"/>
    <mergeCell ref="T163:U163"/>
    <mergeCell ref="V163:W163"/>
    <mergeCell ref="X163:Y163"/>
    <mergeCell ref="Z163:AA163"/>
    <mergeCell ref="AB163:AC163"/>
    <mergeCell ref="AD163:AE163"/>
    <mergeCell ref="AF163:AG163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F161:G161"/>
    <mergeCell ref="H161:I161"/>
    <mergeCell ref="J161:K161"/>
    <mergeCell ref="L161:M161"/>
    <mergeCell ref="N161:O161"/>
    <mergeCell ref="P161:Q161"/>
    <mergeCell ref="R161:S161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F163:G163"/>
    <mergeCell ref="H163:I163"/>
    <mergeCell ref="J163:K163"/>
    <mergeCell ref="L163:M163"/>
    <mergeCell ref="N163:O163"/>
    <mergeCell ref="P163:Q163"/>
    <mergeCell ref="R163:S163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F166:G166"/>
    <mergeCell ref="H166:I166"/>
    <mergeCell ref="J166:K166"/>
    <mergeCell ref="L166:M166"/>
    <mergeCell ref="N166:O166"/>
    <mergeCell ref="P166:Q166"/>
    <mergeCell ref="R166:S166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F314:G314"/>
    <mergeCell ref="H314:I314"/>
    <mergeCell ref="J314:K314"/>
    <mergeCell ref="L314:M314"/>
    <mergeCell ref="N314:O314"/>
    <mergeCell ref="P314:Q314"/>
    <mergeCell ref="R314:S314"/>
    <mergeCell ref="AH315:AI315"/>
    <mergeCell ref="AJ315:AK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F316:G316"/>
    <mergeCell ref="H316:I316"/>
    <mergeCell ref="J316:K316"/>
    <mergeCell ref="L316:M316"/>
    <mergeCell ref="N316:O316"/>
    <mergeCell ref="P316:Q316"/>
    <mergeCell ref="R316:S316"/>
    <mergeCell ref="AH319:AI319"/>
    <mergeCell ref="AJ319:AK319"/>
    <mergeCell ref="T319:U319"/>
    <mergeCell ref="V319:W319"/>
    <mergeCell ref="X319:Y319"/>
    <mergeCell ref="Z319:AA319"/>
    <mergeCell ref="AB319:AC319"/>
    <mergeCell ref="AD319:AE319"/>
    <mergeCell ref="AF319:AG319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AH321:AI321"/>
    <mergeCell ref="AJ321:AK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5:AI325"/>
    <mergeCell ref="AJ325:AK325"/>
    <mergeCell ref="T325:U325"/>
    <mergeCell ref="V325:W325"/>
    <mergeCell ref="X325:Y325"/>
    <mergeCell ref="Z325:AA325"/>
    <mergeCell ref="AB325:AC325"/>
    <mergeCell ref="AD325:AE325"/>
    <mergeCell ref="AF325:AG325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F323:G323"/>
    <mergeCell ref="H323:I323"/>
    <mergeCell ref="J323:K323"/>
    <mergeCell ref="L323:M323"/>
    <mergeCell ref="N323:O323"/>
    <mergeCell ref="P323:Q323"/>
    <mergeCell ref="R323:S323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F325:G325"/>
    <mergeCell ref="H325:I325"/>
    <mergeCell ref="J325:K325"/>
    <mergeCell ref="L325:M325"/>
    <mergeCell ref="N325:O325"/>
    <mergeCell ref="P325:Q325"/>
    <mergeCell ref="R325:S325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AH330:AI330"/>
    <mergeCell ref="AJ330:AK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F332:G332"/>
    <mergeCell ref="H332:I332"/>
    <mergeCell ref="J332:K332"/>
    <mergeCell ref="L332:M332"/>
    <mergeCell ref="N332:O332"/>
    <mergeCell ref="P332:Q332"/>
    <mergeCell ref="R332:S332"/>
    <mergeCell ref="AH333:AI333"/>
    <mergeCell ref="AJ333:AK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F334:G334"/>
    <mergeCell ref="H334:I334"/>
    <mergeCell ref="J334:K334"/>
    <mergeCell ref="L334:M334"/>
    <mergeCell ref="N334:O334"/>
    <mergeCell ref="P334:Q334"/>
    <mergeCell ref="R334:S334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AH357:AI357"/>
    <mergeCell ref="AJ357:AK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AH15:AI15"/>
    <mergeCell ref="AJ15:AK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9:AI19"/>
    <mergeCell ref="AJ19:AK19"/>
    <mergeCell ref="T19:U19"/>
    <mergeCell ref="V19:W19"/>
    <mergeCell ref="X19:Y19"/>
    <mergeCell ref="Z19:AA19"/>
    <mergeCell ref="AB19:AC19"/>
    <mergeCell ref="AD19:AE19"/>
    <mergeCell ref="AF19:AG19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F17:G17"/>
    <mergeCell ref="H17:I17"/>
    <mergeCell ref="J17:K17"/>
    <mergeCell ref="L17:M17"/>
    <mergeCell ref="N17:O17"/>
    <mergeCell ref="P17:Q17"/>
    <mergeCell ref="R17:S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F19:G19"/>
    <mergeCell ref="H19:I19"/>
    <mergeCell ref="J19:K19"/>
    <mergeCell ref="L19:M19"/>
    <mergeCell ref="N19:O19"/>
    <mergeCell ref="P19:Q19"/>
    <mergeCell ref="R19:S19"/>
    <mergeCell ref="AH22:AI22"/>
    <mergeCell ref="AJ22:AK22"/>
    <mergeCell ref="T22:U22"/>
    <mergeCell ref="V22:W22"/>
    <mergeCell ref="X22:Y22"/>
    <mergeCell ref="Z22:AA22"/>
    <mergeCell ref="AB22:AC22"/>
    <mergeCell ref="AD22:AE22"/>
    <mergeCell ref="AF22:AG22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F22:G22"/>
    <mergeCell ref="H22:I22"/>
    <mergeCell ref="J22:K22"/>
    <mergeCell ref="L22:M22"/>
    <mergeCell ref="N22:O22"/>
    <mergeCell ref="P22:Q22"/>
    <mergeCell ref="R22:S22"/>
    <mergeCell ref="F359:G359"/>
    <mergeCell ref="H359:I359"/>
    <mergeCell ref="J359:K359"/>
    <mergeCell ref="L359:M359"/>
    <mergeCell ref="N359:O359"/>
    <mergeCell ref="P359:Q359"/>
    <mergeCell ref="R359:S359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37:AI337"/>
    <mergeCell ref="AJ337:AK337"/>
    <mergeCell ref="T337:U337"/>
    <mergeCell ref="V337:W337"/>
    <mergeCell ref="X337:Y337"/>
    <mergeCell ref="Z337:AA337"/>
    <mergeCell ref="AB337:AC337"/>
    <mergeCell ref="AD337:AE337"/>
    <mergeCell ref="AF337:AG337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AH339:AI339"/>
    <mergeCell ref="AJ339:AK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3:AI343"/>
    <mergeCell ref="AJ343:AK343"/>
    <mergeCell ref="T343:U343"/>
    <mergeCell ref="V343:W343"/>
    <mergeCell ref="X343:Y343"/>
    <mergeCell ref="Z343:AA343"/>
    <mergeCell ref="AB343:AC343"/>
    <mergeCell ref="AD343:AE343"/>
    <mergeCell ref="AF343:AG343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F341:G341"/>
    <mergeCell ref="H341:I341"/>
    <mergeCell ref="J341:K341"/>
    <mergeCell ref="L341:M341"/>
    <mergeCell ref="N341:O341"/>
    <mergeCell ref="P341:Q341"/>
    <mergeCell ref="R341:S341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F343:G343"/>
    <mergeCell ref="H343:I343"/>
    <mergeCell ref="J343:K343"/>
    <mergeCell ref="L343:M343"/>
    <mergeCell ref="N343:O343"/>
    <mergeCell ref="P343:Q343"/>
    <mergeCell ref="R343:S343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AH348:AI348"/>
    <mergeCell ref="AJ348:AK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F350:G350"/>
    <mergeCell ref="H350:I350"/>
    <mergeCell ref="J350:K350"/>
    <mergeCell ref="L350:M350"/>
    <mergeCell ref="N350:O350"/>
    <mergeCell ref="P350:Q350"/>
    <mergeCell ref="R350:S350"/>
    <mergeCell ref="AH351:AI351"/>
    <mergeCell ref="AJ351:AK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F352:G352"/>
    <mergeCell ref="H352:I352"/>
    <mergeCell ref="J352:K352"/>
    <mergeCell ref="L352:M352"/>
    <mergeCell ref="N352:O352"/>
    <mergeCell ref="P352:Q352"/>
    <mergeCell ref="R352:S352"/>
    <mergeCell ref="AH355:AI355"/>
    <mergeCell ref="AJ355:AK355"/>
    <mergeCell ref="T355:U355"/>
    <mergeCell ref="V355:W355"/>
    <mergeCell ref="X355:Y355"/>
    <mergeCell ref="Z355:AA355"/>
    <mergeCell ref="AB355:AC355"/>
    <mergeCell ref="AD355:AE355"/>
    <mergeCell ref="AF355:AG355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F355:G355"/>
    <mergeCell ref="H355:I355"/>
    <mergeCell ref="J355:K355"/>
    <mergeCell ref="L355:M355"/>
    <mergeCell ref="N355:O355"/>
    <mergeCell ref="P355:Q355"/>
    <mergeCell ref="R355:S355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AH168:AI168"/>
    <mergeCell ref="AJ168:AK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F170:G170"/>
    <mergeCell ref="H170:I170"/>
    <mergeCell ref="J170:K170"/>
    <mergeCell ref="L170:M170"/>
    <mergeCell ref="N170:O170"/>
    <mergeCell ref="P170:Q170"/>
    <mergeCell ref="R170:S170"/>
    <mergeCell ref="AH171:AI171"/>
    <mergeCell ref="AJ171:AK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F172:G172"/>
    <mergeCell ref="H172:I172"/>
    <mergeCell ref="J172:K172"/>
    <mergeCell ref="L172:M172"/>
    <mergeCell ref="N172:O172"/>
    <mergeCell ref="P172:Q172"/>
    <mergeCell ref="R172:S172"/>
    <mergeCell ref="AH175:AI175"/>
    <mergeCell ref="AJ175:AK175"/>
    <mergeCell ref="T175:U175"/>
    <mergeCell ref="V175:W175"/>
    <mergeCell ref="X175:Y175"/>
    <mergeCell ref="Z175:AA175"/>
    <mergeCell ref="AB175:AC175"/>
    <mergeCell ref="AD175:AE175"/>
    <mergeCell ref="AF175:AG175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H177:AI177"/>
    <mergeCell ref="AJ177:AK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1:AI181"/>
    <mergeCell ref="AJ181:AK181"/>
    <mergeCell ref="T181:U181"/>
    <mergeCell ref="V181:W181"/>
    <mergeCell ref="X181:Y181"/>
    <mergeCell ref="Z181:AA181"/>
    <mergeCell ref="AB181:AC181"/>
    <mergeCell ref="AD181:AE181"/>
    <mergeCell ref="AF181:AG181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F179:G179"/>
    <mergeCell ref="H179:I179"/>
    <mergeCell ref="J179:K179"/>
    <mergeCell ref="L179:M179"/>
    <mergeCell ref="N179:O179"/>
    <mergeCell ref="P179:Q179"/>
    <mergeCell ref="R179:S179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F181:G181"/>
    <mergeCell ref="H181:I181"/>
    <mergeCell ref="J181:K181"/>
    <mergeCell ref="L181:M181"/>
    <mergeCell ref="N181:O181"/>
    <mergeCell ref="P181:Q181"/>
    <mergeCell ref="R181:S181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AH186:AI186"/>
    <mergeCell ref="AJ186:AK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F188:G188"/>
    <mergeCell ref="H188:I188"/>
    <mergeCell ref="J188:K188"/>
    <mergeCell ref="L188:M188"/>
    <mergeCell ref="N188:O188"/>
    <mergeCell ref="P188:Q188"/>
    <mergeCell ref="R188:S188"/>
    <mergeCell ref="AH189:AI189"/>
    <mergeCell ref="AJ189:AK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F190:G190"/>
    <mergeCell ref="H190:I190"/>
    <mergeCell ref="J190:K190"/>
    <mergeCell ref="L190:M190"/>
    <mergeCell ref="N190:O190"/>
    <mergeCell ref="P190:Q190"/>
    <mergeCell ref="R190:S190"/>
    <mergeCell ref="AH193:AI193"/>
    <mergeCell ref="AJ193:AK193"/>
    <mergeCell ref="T193:U193"/>
    <mergeCell ref="V193:W193"/>
    <mergeCell ref="X193:Y193"/>
    <mergeCell ref="Z193:AA193"/>
    <mergeCell ref="AB193:AC193"/>
    <mergeCell ref="AD193:AE193"/>
    <mergeCell ref="AF193:AG193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AH195:AI195"/>
    <mergeCell ref="AJ195:AK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9:AI199"/>
    <mergeCell ref="AJ199:AK199"/>
    <mergeCell ref="T199:U199"/>
    <mergeCell ref="V199:W199"/>
    <mergeCell ref="X199:Y199"/>
    <mergeCell ref="Z199:AA199"/>
    <mergeCell ref="AB199:AC199"/>
    <mergeCell ref="AD199:AE199"/>
    <mergeCell ref="AF199:AG199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F197:G197"/>
    <mergeCell ref="H197:I197"/>
    <mergeCell ref="J197:K197"/>
    <mergeCell ref="L197:M197"/>
    <mergeCell ref="N197:O197"/>
    <mergeCell ref="P197:Q197"/>
    <mergeCell ref="R197:S197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F199:G199"/>
    <mergeCell ref="H199:I199"/>
    <mergeCell ref="J199:K199"/>
    <mergeCell ref="L199:M199"/>
    <mergeCell ref="N199:O199"/>
    <mergeCell ref="P199:Q199"/>
    <mergeCell ref="R199:S199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AH204:AI204"/>
    <mergeCell ref="AJ204:AK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F206:G206"/>
    <mergeCell ref="H206:I206"/>
    <mergeCell ref="J206:K206"/>
    <mergeCell ref="L206:M206"/>
    <mergeCell ref="N206:O206"/>
    <mergeCell ref="P206:Q206"/>
    <mergeCell ref="R206:S206"/>
    <mergeCell ref="AH207:AI207"/>
    <mergeCell ref="AJ207:AK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F208:G208"/>
    <mergeCell ref="H208:I208"/>
    <mergeCell ref="J208:K208"/>
    <mergeCell ref="L208:M208"/>
    <mergeCell ref="N208:O208"/>
    <mergeCell ref="P208:Q208"/>
    <mergeCell ref="R208:S208"/>
    <mergeCell ref="AH211:AI211"/>
    <mergeCell ref="AJ211:AK211"/>
    <mergeCell ref="T211:U211"/>
    <mergeCell ref="V211:W211"/>
    <mergeCell ref="X211:Y211"/>
    <mergeCell ref="Z211:AA211"/>
    <mergeCell ref="AB211:AC211"/>
    <mergeCell ref="AD211:AE211"/>
    <mergeCell ref="AF211:AG211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AH213:AI213"/>
    <mergeCell ref="AJ213:AK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7:AI217"/>
    <mergeCell ref="AJ217:AK217"/>
    <mergeCell ref="T217:U217"/>
    <mergeCell ref="V217:W217"/>
    <mergeCell ref="X217:Y217"/>
    <mergeCell ref="Z217:AA217"/>
    <mergeCell ref="AB217:AC217"/>
    <mergeCell ref="AD217:AE217"/>
    <mergeCell ref="AF217:AG217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F215:G215"/>
    <mergeCell ref="H215:I215"/>
    <mergeCell ref="J215:K215"/>
    <mergeCell ref="L215:M215"/>
    <mergeCell ref="N215:O215"/>
    <mergeCell ref="P215:Q215"/>
    <mergeCell ref="R215:S215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F217:G217"/>
    <mergeCell ref="H217:I217"/>
    <mergeCell ref="J217:K217"/>
    <mergeCell ref="L217:M217"/>
    <mergeCell ref="N217:O217"/>
    <mergeCell ref="P217:Q217"/>
    <mergeCell ref="R217:S217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AH222:AI222"/>
    <mergeCell ref="AJ222:AK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F224:G224"/>
    <mergeCell ref="H224:I224"/>
    <mergeCell ref="J224:K224"/>
    <mergeCell ref="L224:M224"/>
    <mergeCell ref="N224:O224"/>
    <mergeCell ref="P224:Q224"/>
    <mergeCell ref="R224:S224"/>
    <mergeCell ref="AH225:AI225"/>
    <mergeCell ref="AJ225:AK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F226:G226"/>
    <mergeCell ref="H226:I226"/>
    <mergeCell ref="J226:K226"/>
    <mergeCell ref="L226:M226"/>
    <mergeCell ref="N226:O226"/>
    <mergeCell ref="P226:Q226"/>
    <mergeCell ref="R226:S226"/>
    <mergeCell ref="AH229:AI229"/>
    <mergeCell ref="AJ229:AK229"/>
    <mergeCell ref="T229:U229"/>
    <mergeCell ref="V229:W229"/>
    <mergeCell ref="X229:Y229"/>
    <mergeCell ref="Z229:AA229"/>
    <mergeCell ref="AB229:AC229"/>
    <mergeCell ref="AD229:AE229"/>
    <mergeCell ref="AF229:AG229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AH231:AI231"/>
    <mergeCell ref="AJ231:AK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5:AI235"/>
    <mergeCell ref="AJ235:AK235"/>
    <mergeCell ref="T235:U235"/>
    <mergeCell ref="V235:W235"/>
    <mergeCell ref="X235:Y235"/>
    <mergeCell ref="Z235:AA235"/>
    <mergeCell ref="AB235:AC235"/>
    <mergeCell ref="AD235:AE235"/>
    <mergeCell ref="AF235:AG235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F233:G233"/>
    <mergeCell ref="H233:I233"/>
    <mergeCell ref="J233:K233"/>
    <mergeCell ref="L233:M233"/>
    <mergeCell ref="N233:O233"/>
    <mergeCell ref="P233:Q233"/>
    <mergeCell ref="R233:S233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F235:G235"/>
    <mergeCell ref="H235:I235"/>
    <mergeCell ref="J235:K235"/>
    <mergeCell ref="L235:M235"/>
    <mergeCell ref="N235:O235"/>
    <mergeCell ref="P235:Q235"/>
    <mergeCell ref="R235:S235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H240:AI240"/>
    <mergeCell ref="AJ240:AK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F242:G242"/>
    <mergeCell ref="H242:I242"/>
    <mergeCell ref="J242:K242"/>
    <mergeCell ref="L242:M242"/>
    <mergeCell ref="N242:O242"/>
    <mergeCell ref="P242:Q242"/>
    <mergeCell ref="R242:S242"/>
    <mergeCell ref="AH243:AI243"/>
    <mergeCell ref="AJ243:AK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F244:G244"/>
    <mergeCell ref="H244:I244"/>
    <mergeCell ref="J244:K244"/>
    <mergeCell ref="L244:M244"/>
    <mergeCell ref="N244:O244"/>
    <mergeCell ref="P244:Q244"/>
    <mergeCell ref="R244:S244"/>
    <mergeCell ref="AH247:AI247"/>
    <mergeCell ref="AJ247:AK247"/>
    <mergeCell ref="T247:U247"/>
    <mergeCell ref="V247:W247"/>
    <mergeCell ref="X247:Y247"/>
    <mergeCell ref="Z247:AA247"/>
    <mergeCell ref="AB247:AC247"/>
    <mergeCell ref="AD247:AE247"/>
    <mergeCell ref="AF247:AG247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AH249:AI249"/>
    <mergeCell ref="AJ249:AK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3:AI253"/>
    <mergeCell ref="AJ253:AK253"/>
    <mergeCell ref="T253:U253"/>
    <mergeCell ref="V253:W253"/>
    <mergeCell ref="X253:Y253"/>
    <mergeCell ref="Z253:AA253"/>
    <mergeCell ref="AB253:AC253"/>
    <mergeCell ref="AD253:AE253"/>
    <mergeCell ref="AF253:AG253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F251:G251"/>
    <mergeCell ref="H251:I251"/>
    <mergeCell ref="J251:K251"/>
    <mergeCell ref="L251:M251"/>
    <mergeCell ref="N251:O251"/>
    <mergeCell ref="P251:Q251"/>
    <mergeCell ref="R251:S251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F253:G253"/>
    <mergeCell ref="H253:I253"/>
    <mergeCell ref="J253:K253"/>
    <mergeCell ref="L253:M253"/>
    <mergeCell ref="N253:O253"/>
    <mergeCell ref="P253:Q253"/>
    <mergeCell ref="R253:S253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AH258:AI258"/>
    <mergeCell ref="AJ258:AK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F260:G260"/>
    <mergeCell ref="H260:I260"/>
    <mergeCell ref="J260:K260"/>
    <mergeCell ref="L260:M260"/>
    <mergeCell ref="N260:O260"/>
    <mergeCell ref="P260:Q260"/>
    <mergeCell ref="R260:S260"/>
    <mergeCell ref="AH261:AI261"/>
    <mergeCell ref="AJ261:AK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F262:G262"/>
    <mergeCell ref="H262:I262"/>
    <mergeCell ref="J262:K262"/>
    <mergeCell ref="L262:M262"/>
    <mergeCell ref="N262:O262"/>
    <mergeCell ref="P262:Q262"/>
    <mergeCell ref="R262:S262"/>
    <mergeCell ref="AH265:AI265"/>
    <mergeCell ref="AJ265:AK265"/>
    <mergeCell ref="T265:U265"/>
    <mergeCell ref="V265:W265"/>
    <mergeCell ref="X265:Y265"/>
    <mergeCell ref="Z265:AA265"/>
    <mergeCell ref="AB265:AC265"/>
    <mergeCell ref="AD265:AE265"/>
    <mergeCell ref="AF265:AG265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AH267:AI267"/>
    <mergeCell ref="AJ267:AK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1:AI271"/>
    <mergeCell ref="AJ271:AK271"/>
    <mergeCell ref="T271:U271"/>
    <mergeCell ref="V271:W271"/>
    <mergeCell ref="X271:Y271"/>
    <mergeCell ref="Z271:AA271"/>
    <mergeCell ref="AB271:AC271"/>
    <mergeCell ref="AD271:AE271"/>
    <mergeCell ref="AF271:AG271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F269:G269"/>
    <mergeCell ref="H269:I269"/>
    <mergeCell ref="J269:K269"/>
    <mergeCell ref="L269:M269"/>
    <mergeCell ref="N269:O269"/>
    <mergeCell ref="P269:Q269"/>
    <mergeCell ref="R269:S269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F271:G271"/>
    <mergeCell ref="H271:I271"/>
    <mergeCell ref="J271:K271"/>
    <mergeCell ref="L271:M271"/>
    <mergeCell ref="N271:O271"/>
    <mergeCell ref="P271:Q271"/>
    <mergeCell ref="R271:S271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AH276:AI276"/>
    <mergeCell ref="AJ276:AK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F278:G278"/>
    <mergeCell ref="H278:I278"/>
    <mergeCell ref="J278:K278"/>
    <mergeCell ref="L278:M278"/>
    <mergeCell ref="N278:O278"/>
    <mergeCell ref="P278:Q278"/>
    <mergeCell ref="R278:S278"/>
    <mergeCell ref="AH279:AI279"/>
    <mergeCell ref="AJ279:AK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F280:G280"/>
    <mergeCell ref="H280:I280"/>
    <mergeCell ref="J280:K280"/>
    <mergeCell ref="L280:M280"/>
    <mergeCell ref="N280:O280"/>
    <mergeCell ref="P280:Q280"/>
    <mergeCell ref="R280:S280"/>
    <mergeCell ref="AH283:AI283"/>
    <mergeCell ref="AJ283:AK283"/>
    <mergeCell ref="T283:U283"/>
    <mergeCell ref="V283:W283"/>
    <mergeCell ref="X283:Y283"/>
    <mergeCell ref="Z283:AA283"/>
    <mergeCell ref="AB283:AC283"/>
    <mergeCell ref="AD283:AE283"/>
    <mergeCell ref="AF283:AG283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AH285:AI285"/>
    <mergeCell ref="AJ285:AK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9:AI289"/>
    <mergeCell ref="AJ289:AK289"/>
    <mergeCell ref="T289:U289"/>
    <mergeCell ref="V289:W289"/>
    <mergeCell ref="X289:Y289"/>
    <mergeCell ref="Z289:AA289"/>
    <mergeCell ref="AB289:AC289"/>
    <mergeCell ref="AD289:AE289"/>
    <mergeCell ref="AF289:AG289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F287:G287"/>
    <mergeCell ref="H287:I287"/>
    <mergeCell ref="J287:K287"/>
    <mergeCell ref="L287:M287"/>
    <mergeCell ref="N287:O287"/>
    <mergeCell ref="P287:Q287"/>
    <mergeCell ref="R287:S287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F289:G289"/>
    <mergeCell ref="H289:I289"/>
    <mergeCell ref="J289:K289"/>
    <mergeCell ref="L289:M289"/>
    <mergeCell ref="N289:O289"/>
    <mergeCell ref="P289:Q289"/>
    <mergeCell ref="R289:S289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H294:AI294"/>
    <mergeCell ref="AJ294:AK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F296:G296"/>
    <mergeCell ref="H296:I296"/>
    <mergeCell ref="J296:K296"/>
    <mergeCell ref="L296:M296"/>
    <mergeCell ref="N296:O296"/>
    <mergeCell ref="P296:Q296"/>
    <mergeCell ref="R296:S296"/>
    <mergeCell ref="AH297:AI297"/>
    <mergeCell ref="AJ297:AK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F298:G298"/>
    <mergeCell ref="H298:I298"/>
    <mergeCell ref="J298:K298"/>
    <mergeCell ref="L298:M298"/>
    <mergeCell ref="N298:O298"/>
    <mergeCell ref="P298:Q298"/>
    <mergeCell ref="R298:S298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AH303:AI303"/>
    <mergeCell ref="AJ303:AK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7:AI307"/>
    <mergeCell ref="AJ307:AK307"/>
    <mergeCell ref="T307:U307"/>
    <mergeCell ref="V307:W307"/>
    <mergeCell ref="X307:Y307"/>
    <mergeCell ref="Z307:AA307"/>
    <mergeCell ref="AB307:AC307"/>
    <mergeCell ref="AD307:AE307"/>
    <mergeCell ref="AF307:AG307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F305:G305"/>
    <mergeCell ref="H305:I305"/>
    <mergeCell ref="J305:K305"/>
    <mergeCell ref="L305:M305"/>
    <mergeCell ref="N305:O305"/>
    <mergeCell ref="P305:Q305"/>
    <mergeCell ref="R305:S305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F307:G307"/>
    <mergeCell ref="H307:I307"/>
    <mergeCell ref="J307:K307"/>
    <mergeCell ref="L307:M307"/>
    <mergeCell ref="N307:O307"/>
    <mergeCell ref="P307:Q307"/>
    <mergeCell ref="R307:S307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AH312:AI312"/>
    <mergeCell ref="AJ312:AK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3" width="7.25"/>
    <col customWidth="1" min="4" max="4" width="11.88"/>
    <col customWidth="1" min="5" max="5" width="13.25"/>
    <col customWidth="1" min="6" max="11" width="4.13"/>
    <col customWidth="1" min="12" max="12" width="7.38"/>
    <col customWidth="1" min="13" max="13" width="5.63"/>
    <col customWidth="1" min="14" max="24" width="4.13"/>
    <col customWidth="1" min="25" max="25" width="3.38"/>
    <col customWidth="1" min="26" max="31" width="4.13"/>
    <col customWidth="1" min="32" max="32" width="13.5"/>
    <col customWidth="1" min="33" max="33" width="11.75"/>
    <col customWidth="1" min="34" max="34" width="13.0"/>
    <col customWidth="1" min="35" max="35" width="12.88"/>
    <col customWidth="1" min="36" max="36" width="9.0"/>
  </cols>
  <sheetData>
    <row r="1">
      <c r="A1" s="51" t="s">
        <v>126</v>
      </c>
      <c r="B1" s="2"/>
      <c r="C1" s="2"/>
      <c r="D1" s="2"/>
      <c r="E1" s="3"/>
      <c r="F1" s="52" t="s">
        <v>109</v>
      </c>
      <c r="G1" s="2"/>
      <c r="H1" s="2"/>
      <c r="I1" s="2"/>
      <c r="J1" s="2"/>
      <c r="K1" s="3"/>
      <c r="L1" s="53" t="s">
        <v>110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54" t="s">
        <v>111</v>
      </c>
      <c r="AA1" s="2"/>
      <c r="AB1" s="2"/>
      <c r="AC1" s="2"/>
      <c r="AD1" s="2"/>
      <c r="AE1" s="3"/>
      <c r="AF1" s="55" t="s">
        <v>112</v>
      </c>
      <c r="AG1" s="56"/>
      <c r="AH1" s="56"/>
      <c r="AI1" s="56"/>
      <c r="AJ1" s="57"/>
    </row>
    <row r="2" ht="159.0" customHeight="1">
      <c r="A2" s="58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F2" s="95" t="s">
        <v>113</v>
      </c>
      <c r="G2" s="96">
        <v>18.7719</v>
      </c>
      <c r="H2" s="97" t="s">
        <v>114</v>
      </c>
      <c r="I2" s="96">
        <v>18.7719</v>
      </c>
      <c r="J2" s="97" t="s">
        <v>115</v>
      </c>
      <c r="K2" s="96">
        <v>18.7719</v>
      </c>
      <c r="L2" s="97" t="s">
        <v>113</v>
      </c>
      <c r="M2" s="96">
        <v>11.92</v>
      </c>
      <c r="N2" s="97" t="s">
        <v>114</v>
      </c>
      <c r="O2" s="96">
        <v>11.92</v>
      </c>
      <c r="P2" s="97" t="s">
        <v>115</v>
      </c>
      <c r="Q2" s="96">
        <v>11.92</v>
      </c>
      <c r="R2" s="98" t="s">
        <v>116</v>
      </c>
      <c r="S2" s="96">
        <v>4.73</v>
      </c>
      <c r="T2" s="97" t="s">
        <v>117</v>
      </c>
      <c r="U2" s="96">
        <v>472.5</v>
      </c>
      <c r="V2" s="97" t="s">
        <v>118</v>
      </c>
      <c r="W2" s="96">
        <v>262.5</v>
      </c>
      <c r="X2" s="97" t="s">
        <v>119</v>
      </c>
      <c r="Y2" s="96">
        <f>8.4</f>
        <v>8.4</v>
      </c>
      <c r="Z2" s="97" t="s">
        <v>113</v>
      </c>
      <c r="AA2" s="96">
        <v>11.92</v>
      </c>
      <c r="AB2" s="97" t="s">
        <v>114</v>
      </c>
      <c r="AC2" s="96">
        <v>11.92</v>
      </c>
      <c r="AD2" s="97" t="s">
        <v>115</v>
      </c>
      <c r="AE2" s="96">
        <v>11.92</v>
      </c>
      <c r="AF2" s="99" t="s">
        <v>120</v>
      </c>
      <c r="AG2" s="64" t="s">
        <v>121</v>
      </c>
      <c r="AH2" s="65" t="s">
        <v>122</v>
      </c>
      <c r="AI2" s="64" t="s">
        <v>123</v>
      </c>
      <c r="AJ2" s="64" t="s">
        <v>124</v>
      </c>
    </row>
    <row r="3">
      <c r="A3" s="66" t="s">
        <v>11</v>
      </c>
      <c r="B3" s="67">
        <v>45292.0</v>
      </c>
      <c r="C3" s="68">
        <v>1.0</v>
      </c>
      <c r="D3" s="69" t="s">
        <v>48</v>
      </c>
      <c r="E3" s="70" t="s">
        <v>125</v>
      </c>
      <c r="F3" s="100">
        <v>0.0</v>
      </c>
      <c r="H3" s="101">
        <v>0.0</v>
      </c>
      <c r="J3" s="101">
        <v>0.0</v>
      </c>
      <c r="L3" s="100">
        <v>0.0</v>
      </c>
      <c r="N3" s="101">
        <v>0.0</v>
      </c>
      <c r="P3" s="101">
        <v>0.0</v>
      </c>
      <c r="R3" s="101">
        <v>0.0</v>
      </c>
      <c r="T3" s="101">
        <v>1.0</v>
      </c>
      <c r="V3" s="101">
        <v>1.0</v>
      </c>
      <c r="X3" s="101">
        <v>0.0</v>
      </c>
      <c r="Y3" s="73"/>
      <c r="Z3" s="100">
        <v>0.0</v>
      </c>
      <c r="AB3" s="101">
        <v>0.0</v>
      </c>
      <c r="AD3" s="101">
        <v>0.0</v>
      </c>
      <c r="AF3" s="106">
        <f t="shared" ref="AF3:AF359" si="1">(F3*G$2)+(H3*I$2)+(J3*K$2)+(L3*M$2)+(N3*O$2)+(P3*Q$2)+(R3*S$2)+(T3*U$2)+(X3*Y$2)+(Z3*AA$2)+(AB3*AC$2)+(AD3*AE$2)+(V3*$W$2)</f>
        <v>735</v>
      </c>
      <c r="AG3" s="68">
        <f t="shared" ref="AG3:AG359" si="2">F3+H3+J3+L3+N3+P3+R3+X3+Z3+AB3+AD3</f>
        <v>0</v>
      </c>
      <c r="AH3" s="68">
        <f t="shared" ref="AH3:AH359" si="3">T3+V3</f>
        <v>2</v>
      </c>
      <c r="AI3" s="68">
        <f t="shared" ref="AI3:AI359" si="4">sum(F3:AE3)</f>
        <v>2</v>
      </c>
      <c r="AJ3" s="75">
        <f t="shared" ref="AJ3:AJ359" si="5">iferror(AF3/AI3,"")</f>
        <v>367.5</v>
      </c>
    </row>
    <row r="4">
      <c r="A4" s="76" t="s">
        <v>16</v>
      </c>
      <c r="B4" s="77">
        <f t="shared" ref="B4:B359" si="6">B3+1</f>
        <v>45293</v>
      </c>
      <c r="C4" s="78">
        <v>1.0</v>
      </c>
      <c r="D4" s="79" t="s">
        <v>48</v>
      </c>
      <c r="E4" s="80" t="s">
        <v>125</v>
      </c>
      <c r="F4" s="100">
        <v>0.0</v>
      </c>
      <c r="H4" s="101">
        <v>0.0</v>
      </c>
      <c r="J4" s="101">
        <v>0.0</v>
      </c>
      <c r="L4" s="100">
        <v>0.0</v>
      </c>
      <c r="N4" s="101">
        <v>0.0</v>
      </c>
      <c r="P4" s="101">
        <v>0.0</v>
      </c>
      <c r="R4" s="101">
        <v>0.0</v>
      </c>
      <c r="T4" s="101">
        <v>0.0</v>
      </c>
      <c r="V4" s="101">
        <v>0.0</v>
      </c>
      <c r="X4" s="101">
        <v>0.0</v>
      </c>
      <c r="Y4" s="73"/>
      <c r="Z4" s="100">
        <v>0.0</v>
      </c>
      <c r="AB4" s="101">
        <v>0.0</v>
      </c>
      <c r="AD4" s="101">
        <v>0.0</v>
      </c>
      <c r="AF4" s="108">
        <f t="shared" si="1"/>
        <v>0</v>
      </c>
      <c r="AG4" s="78">
        <f t="shared" si="2"/>
        <v>0</v>
      </c>
      <c r="AH4" s="78">
        <f t="shared" si="3"/>
        <v>0</v>
      </c>
      <c r="AI4" s="78">
        <f t="shared" si="4"/>
        <v>0</v>
      </c>
      <c r="AJ4" s="82" t="str">
        <f t="shared" si="5"/>
        <v/>
      </c>
    </row>
    <row r="5">
      <c r="A5" s="76" t="s">
        <v>17</v>
      </c>
      <c r="B5" s="77">
        <f t="shared" si="6"/>
        <v>45294</v>
      </c>
      <c r="C5" s="78">
        <v>1.0</v>
      </c>
      <c r="D5" s="79" t="s">
        <v>48</v>
      </c>
      <c r="E5" s="80" t="s">
        <v>125</v>
      </c>
      <c r="F5" s="100">
        <v>0.0</v>
      </c>
      <c r="H5" s="101">
        <v>0.0</v>
      </c>
      <c r="J5" s="101">
        <v>0.0</v>
      </c>
      <c r="L5" s="100">
        <v>0.0</v>
      </c>
      <c r="N5" s="101">
        <v>0.0</v>
      </c>
      <c r="P5" s="101">
        <v>0.0</v>
      </c>
      <c r="R5" s="101">
        <v>0.0</v>
      </c>
      <c r="T5" s="101">
        <v>0.0</v>
      </c>
      <c r="V5" s="101">
        <v>0.0</v>
      </c>
      <c r="X5" s="101">
        <v>0.0</v>
      </c>
      <c r="Y5" s="73"/>
      <c r="Z5" s="100">
        <v>0.0</v>
      </c>
      <c r="AB5" s="101">
        <v>0.0</v>
      </c>
      <c r="AD5" s="101">
        <v>0.0</v>
      </c>
      <c r="AF5" s="108">
        <f t="shared" si="1"/>
        <v>0</v>
      </c>
      <c r="AG5" s="78">
        <f t="shared" si="2"/>
        <v>0</v>
      </c>
      <c r="AH5" s="78">
        <f t="shared" si="3"/>
        <v>0</v>
      </c>
      <c r="AI5" s="78">
        <f t="shared" si="4"/>
        <v>0</v>
      </c>
      <c r="AJ5" s="82" t="str">
        <f t="shared" si="5"/>
        <v/>
      </c>
    </row>
    <row r="6">
      <c r="A6" s="76" t="s">
        <v>21</v>
      </c>
      <c r="B6" s="77">
        <f t="shared" si="6"/>
        <v>45295</v>
      </c>
      <c r="C6" s="78">
        <v>1.0</v>
      </c>
      <c r="D6" s="79" t="s">
        <v>48</v>
      </c>
      <c r="E6" s="80" t="s">
        <v>125</v>
      </c>
      <c r="F6" s="100">
        <v>0.0</v>
      </c>
      <c r="H6" s="101">
        <v>0.0</v>
      </c>
      <c r="J6" s="101">
        <v>0.0</v>
      </c>
      <c r="L6" s="100">
        <v>0.0</v>
      </c>
      <c r="N6" s="101">
        <v>0.0</v>
      </c>
      <c r="P6" s="101">
        <v>0.0</v>
      </c>
      <c r="R6" s="101">
        <v>0.0</v>
      </c>
      <c r="T6" s="101">
        <v>0.0</v>
      </c>
      <c r="V6" s="101">
        <v>0.0</v>
      </c>
      <c r="X6" s="101">
        <v>0.0</v>
      </c>
      <c r="Y6" s="73"/>
      <c r="Z6" s="100">
        <v>0.0</v>
      </c>
      <c r="AB6" s="101">
        <v>0.0</v>
      </c>
      <c r="AD6" s="101">
        <v>0.0</v>
      </c>
      <c r="AF6" s="108">
        <f t="shared" si="1"/>
        <v>0</v>
      </c>
      <c r="AG6" s="78">
        <f t="shared" si="2"/>
        <v>0</v>
      </c>
      <c r="AH6" s="78">
        <f t="shared" si="3"/>
        <v>0</v>
      </c>
      <c r="AI6" s="78">
        <f t="shared" si="4"/>
        <v>0</v>
      </c>
      <c r="AJ6" s="82" t="str">
        <f t="shared" si="5"/>
        <v/>
      </c>
    </row>
    <row r="7">
      <c r="A7" s="76" t="s">
        <v>24</v>
      </c>
      <c r="B7" s="77">
        <f t="shared" si="6"/>
        <v>45296</v>
      </c>
      <c r="C7" s="78">
        <v>1.0</v>
      </c>
      <c r="D7" s="79" t="s">
        <v>48</v>
      </c>
      <c r="E7" s="80" t="s">
        <v>125</v>
      </c>
      <c r="F7" s="100">
        <v>0.0</v>
      </c>
      <c r="H7" s="101">
        <v>0.0</v>
      </c>
      <c r="J7" s="101">
        <v>0.0</v>
      </c>
      <c r="L7" s="100">
        <v>0.0</v>
      </c>
      <c r="N7" s="101">
        <v>0.0</v>
      </c>
      <c r="P7" s="101">
        <v>0.0</v>
      </c>
      <c r="R7" s="101">
        <v>0.0</v>
      </c>
      <c r="T7" s="101">
        <v>0.0</v>
      </c>
      <c r="V7" s="101">
        <v>0.0</v>
      </c>
      <c r="X7" s="101">
        <v>0.0</v>
      </c>
      <c r="Y7" s="73"/>
      <c r="Z7" s="100">
        <v>0.0</v>
      </c>
      <c r="AB7" s="101">
        <v>0.0</v>
      </c>
      <c r="AD7" s="101">
        <v>0.0</v>
      </c>
      <c r="AF7" s="108">
        <f t="shared" si="1"/>
        <v>0</v>
      </c>
      <c r="AG7" s="78">
        <f t="shared" si="2"/>
        <v>0</v>
      </c>
      <c r="AH7" s="78">
        <f t="shared" si="3"/>
        <v>0</v>
      </c>
      <c r="AI7" s="78">
        <f t="shared" si="4"/>
        <v>0</v>
      </c>
      <c r="AJ7" s="82" t="str">
        <f t="shared" si="5"/>
        <v/>
      </c>
    </row>
    <row r="8">
      <c r="A8" s="76" t="s">
        <v>27</v>
      </c>
      <c r="B8" s="77">
        <f t="shared" si="6"/>
        <v>45297</v>
      </c>
      <c r="C8" s="78">
        <v>1.0</v>
      </c>
      <c r="D8" s="79" t="s">
        <v>48</v>
      </c>
      <c r="E8" s="80" t="s">
        <v>125</v>
      </c>
      <c r="F8" s="100">
        <v>0.0</v>
      </c>
      <c r="H8" s="101">
        <v>0.0</v>
      </c>
      <c r="J8" s="101">
        <v>0.0</v>
      </c>
      <c r="L8" s="100">
        <v>70.0</v>
      </c>
      <c r="N8" s="101">
        <v>70.0</v>
      </c>
      <c r="P8" s="101">
        <v>0.0</v>
      </c>
      <c r="R8" s="101">
        <v>0.0</v>
      </c>
      <c r="T8" s="101">
        <v>0.0</v>
      </c>
      <c r="V8" s="101">
        <v>0.0</v>
      </c>
      <c r="X8" s="101">
        <v>0.0</v>
      </c>
      <c r="Y8" s="73"/>
      <c r="Z8" s="100">
        <v>0.0</v>
      </c>
      <c r="AB8" s="101">
        <v>0.0</v>
      </c>
      <c r="AD8" s="101">
        <v>0.0</v>
      </c>
      <c r="AF8" s="108">
        <f t="shared" si="1"/>
        <v>1668.8</v>
      </c>
      <c r="AG8" s="78">
        <f t="shared" si="2"/>
        <v>140</v>
      </c>
      <c r="AH8" s="78">
        <f t="shared" si="3"/>
        <v>0</v>
      </c>
      <c r="AI8" s="78">
        <f t="shared" si="4"/>
        <v>140</v>
      </c>
      <c r="AJ8" s="82">
        <f t="shared" si="5"/>
        <v>11.92</v>
      </c>
    </row>
    <row r="9">
      <c r="A9" s="83" t="s">
        <v>30</v>
      </c>
      <c r="B9" s="84">
        <f t="shared" si="6"/>
        <v>45298</v>
      </c>
      <c r="C9" s="85">
        <v>1.0</v>
      </c>
      <c r="D9" s="86" t="s">
        <v>48</v>
      </c>
      <c r="E9" s="87" t="s">
        <v>125</v>
      </c>
      <c r="F9" s="114">
        <v>0.0</v>
      </c>
      <c r="G9" s="89"/>
      <c r="H9" s="115">
        <v>0.0</v>
      </c>
      <c r="I9" s="89"/>
      <c r="J9" s="115">
        <v>0.0</v>
      </c>
      <c r="K9" s="89"/>
      <c r="L9" s="114">
        <v>85.0</v>
      </c>
      <c r="M9" s="89"/>
      <c r="N9" s="115">
        <v>85.0</v>
      </c>
      <c r="O9" s="89"/>
      <c r="P9" s="115">
        <v>0.0</v>
      </c>
      <c r="Q9" s="89"/>
      <c r="R9" s="115">
        <v>0.0</v>
      </c>
      <c r="S9" s="89"/>
      <c r="T9" s="115">
        <v>0.0</v>
      </c>
      <c r="U9" s="89"/>
      <c r="V9" s="115">
        <v>0.0</v>
      </c>
      <c r="W9" s="89"/>
      <c r="X9" s="115">
        <v>0.0</v>
      </c>
      <c r="Y9" s="91"/>
      <c r="Z9" s="114">
        <v>0.0</v>
      </c>
      <c r="AA9" s="89"/>
      <c r="AB9" s="115">
        <v>0.0</v>
      </c>
      <c r="AC9" s="89"/>
      <c r="AD9" s="115">
        <v>0.0</v>
      </c>
      <c r="AE9" s="89"/>
      <c r="AF9" s="116">
        <f t="shared" si="1"/>
        <v>2026.4</v>
      </c>
      <c r="AG9" s="85">
        <f t="shared" si="2"/>
        <v>170</v>
      </c>
      <c r="AH9" s="85">
        <f t="shared" si="3"/>
        <v>0</v>
      </c>
      <c r="AI9" s="85">
        <f t="shared" si="4"/>
        <v>170</v>
      </c>
      <c r="AJ9" s="93">
        <f t="shared" si="5"/>
        <v>11.92</v>
      </c>
    </row>
    <row r="10">
      <c r="A10" s="66" t="s">
        <v>11</v>
      </c>
      <c r="B10" s="94">
        <f t="shared" si="6"/>
        <v>45299</v>
      </c>
      <c r="C10" s="68">
        <v>1.0</v>
      </c>
      <c r="D10" s="68" t="s">
        <v>59</v>
      </c>
      <c r="E10" s="70" t="s">
        <v>125</v>
      </c>
      <c r="F10" s="100">
        <v>0.0</v>
      </c>
      <c r="H10" s="101">
        <v>0.0</v>
      </c>
      <c r="J10" s="101">
        <v>0.0</v>
      </c>
      <c r="L10" s="100">
        <v>80.0</v>
      </c>
      <c r="N10" s="101">
        <v>80.0</v>
      </c>
      <c r="P10" s="101">
        <v>0.0</v>
      </c>
      <c r="R10" s="101">
        <v>0.0</v>
      </c>
      <c r="T10" s="101">
        <v>1.0</v>
      </c>
      <c r="V10" s="101">
        <v>1.0</v>
      </c>
      <c r="X10" s="101">
        <v>0.0</v>
      </c>
      <c r="Y10" s="73"/>
      <c r="Z10" s="100">
        <v>0.0</v>
      </c>
      <c r="AB10" s="101">
        <v>0.0</v>
      </c>
      <c r="AD10" s="101">
        <v>0.0</v>
      </c>
      <c r="AF10" s="106">
        <f t="shared" si="1"/>
        <v>2642.2</v>
      </c>
      <c r="AG10" s="68">
        <f t="shared" si="2"/>
        <v>160</v>
      </c>
      <c r="AH10" s="68">
        <f t="shared" si="3"/>
        <v>2</v>
      </c>
      <c r="AI10" s="68">
        <f t="shared" si="4"/>
        <v>162</v>
      </c>
      <c r="AJ10" s="75">
        <f t="shared" si="5"/>
        <v>16.30987654</v>
      </c>
    </row>
    <row r="11">
      <c r="A11" s="76" t="s">
        <v>16</v>
      </c>
      <c r="B11" s="77">
        <f t="shared" si="6"/>
        <v>45300</v>
      </c>
      <c r="C11" s="78">
        <v>1.0</v>
      </c>
      <c r="D11" s="78" t="s">
        <v>59</v>
      </c>
      <c r="E11" s="80" t="s">
        <v>125</v>
      </c>
      <c r="F11" s="100">
        <v>0.0</v>
      </c>
      <c r="H11" s="101">
        <v>0.0</v>
      </c>
      <c r="J11" s="101">
        <v>0.0</v>
      </c>
      <c r="L11" s="100">
        <v>80.0</v>
      </c>
      <c r="N11" s="101">
        <v>80.0</v>
      </c>
      <c r="P11" s="101">
        <v>0.0</v>
      </c>
      <c r="R11" s="101">
        <v>0.0</v>
      </c>
      <c r="T11" s="101">
        <v>0.0</v>
      </c>
      <c r="V11" s="101">
        <v>0.0</v>
      </c>
      <c r="X11" s="101">
        <v>0.0</v>
      </c>
      <c r="Y11" s="73"/>
      <c r="Z11" s="100">
        <v>0.0</v>
      </c>
      <c r="AB11" s="101">
        <v>0.0</v>
      </c>
      <c r="AD11" s="101">
        <v>0.0</v>
      </c>
      <c r="AF11" s="108">
        <f t="shared" si="1"/>
        <v>1907.2</v>
      </c>
      <c r="AG11" s="78">
        <f t="shared" si="2"/>
        <v>160</v>
      </c>
      <c r="AH11" s="78">
        <f t="shared" si="3"/>
        <v>0</v>
      </c>
      <c r="AI11" s="78">
        <f t="shared" si="4"/>
        <v>160</v>
      </c>
      <c r="AJ11" s="82">
        <f t="shared" si="5"/>
        <v>11.92</v>
      </c>
    </row>
    <row r="12">
      <c r="A12" s="76" t="s">
        <v>17</v>
      </c>
      <c r="B12" s="77">
        <f t="shared" si="6"/>
        <v>45301</v>
      </c>
      <c r="C12" s="78">
        <v>1.0</v>
      </c>
      <c r="D12" s="78" t="s">
        <v>59</v>
      </c>
      <c r="E12" s="80" t="s">
        <v>125</v>
      </c>
      <c r="F12" s="100">
        <v>0.0</v>
      </c>
      <c r="H12" s="101">
        <v>0.0</v>
      </c>
      <c r="J12" s="101">
        <v>0.0</v>
      </c>
      <c r="L12" s="100">
        <v>80.0</v>
      </c>
      <c r="N12" s="101">
        <v>80.0</v>
      </c>
      <c r="P12" s="101">
        <v>0.0</v>
      </c>
      <c r="R12" s="101">
        <v>0.0</v>
      </c>
      <c r="T12" s="101">
        <v>0.0</v>
      </c>
      <c r="V12" s="101">
        <v>0.0</v>
      </c>
      <c r="X12" s="101">
        <v>0.0</v>
      </c>
      <c r="Y12" s="73"/>
      <c r="Z12" s="100">
        <v>0.0</v>
      </c>
      <c r="AB12" s="101">
        <v>0.0</v>
      </c>
      <c r="AD12" s="101">
        <v>0.0</v>
      </c>
      <c r="AF12" s="108">
        <f t="shared" si="1"/>
        <v>1907.2</v>
      </c>
      <c r="AG12" s="78">
        <f t="shared" si="2"/>
        <v>160</v>
      </c>
      <c r="AH12" s="78">
        <f t="shared" si="3"/>
        <v>0</v>
      </c>
      <c r="AI12" s="78">
        <f t="shared" si="4"/>
        <v>160</v>
      </c>
      <c r="AJ12" s="82">
        <f t="shared" si="5"/>
        <v>11.92</v>
      </c>
    </row>
    <row r="13">
      <c r="A13" s="76" t="s">
        <v>21</v>
      </c>
      <c r="B13" s="77">
        <f t="shared" si="6"/>
        <v>45302</v>
      </c>
      <c r="C13" s="78">
        <v>1.0</v>
      </c>
      <c r="D13" s="78" t="s">
        <v>59</v>
      </c>
      <c r="E13" s="80" t="s">
        <v>125</v>
      </c>
      <c r="F13" s="100">
        <v>0.0</v>
      </c>
      <c r="H13" s="101">
        <v>0.0</v>
      </c>
      <c r="J13" s="101">
        <v>0.0</v>
      </c>
      <c r="L13" s="100">
        <v>80.0</v>
      </c>
      <c r="N13" s="101">
        <v>80.0</v>
      </c>
      <c r="P13" s="101">
        <v>0.0</v>
      </c>
      <c r="R13" s="101">
        <v>0.0</v>
      </c>
      <c r="T13" s="101">
        <v>0.0</v>
      </c>
      <c r="V13" s="101">
        <v>0.0</v>
      </c>
      <c r="X13" s="101">
        <v>0.0</v>
      </c>
      <c r="Y13" s="73"/>
      <c r="Z13" s="100">
        <v>0.0</v>
      </c>
      <c r="AB13" s="101">
        <v>0.0</v>
      </c>
      <c r="AD13" s="101">
        <v>0.0</v>
      </c>
      <c r="AF13" s="108">
        <f t="shared" si="1"/>
        <v>1907.2</v>
      </c>
      <c r="AG13" s="78">
        <f t="shared" si="2"/>
        <v>160</v>
      </c>
      <c r="AH13" s="78">
        <f t="shared" si="3"/>
        <v>0</v>
      </c>
      <c r="AI13" s="78">
        <f t="shared" si="4"/>
        <v>160</v>
      </c>
      <c r="AJ13" s="82">
        <f t="shared" si="5"/>
        <v>11.92</v>
      </c>
    </row>
    <row r="14">
      <c r="A14" s="76" t="s">
        <v>24</v>
      </c>
      <c r="B14" s="77">
        <f t="shared" si="6"/>
        <v>45303</v>
      </c>
      <c r="C14" s="78">
        <v>1.0</v>
      </c>
      <c r="D14" s="78" t="s">
        <v>59</v>
      </c>
      <c r="E14" s="80" t="s">
        <v>125</v>
      </c>
      <c r="F14" s="100">
        <v>0.0</v>
      </c>
      <c r="H14" s="101">
        <v>0.0</v>
      </c>
      <c r="J14" s="101">
        <v>0.0</v>
      </c>
      <c r="L14" s="100">
        <v>0.0</v>
      </c>
      <c r="N14" s="101">
        <v>0.0</v>
      </c>
      <c r="P14" s="101">
        <v>0.0</v>
      </c>
      <c r="R14" s="101">
        <v>0.0</v>
      </c>
      <c r="T14" s="101">
        <v>0.0</v>
      </c>
      <c r="V14" s="101">
        <v>0.0</v>
      </c>
      <c r="X14" s="101">
        <v>0.0</v>
      </c>
      <c r="Y14" s="73"/>
      <c r="Z14" s="100">
        <v>0.0</v>
      </c>
      <c r="AB14" s="101">
        <v>0.0</v>
      </c>
      <c r="AD14" s="101">
        <v>0.0</v>
      </c>
      <c r="AF14" s="108">
        <f t="shared" si="1"/>
        <v>0</v>
      </c>
      <c r="AG14" s="78">
        <f t="shared" si="2"/>
        <v>0</v>
      </c>
      <c r="AH14" s="78">
        <f t="shared" si="3"/>
        <v>0</v>
      </c>
      <c r="AI14" s="78">
        <f t="shared" si="4"/>
        <v>0</v>
      </c>
      <c r="AJ14" s="82" t="str">
        <f t="shared" si="5"/>
        <v/>
      </c>
    </row>
    <row r="15">
      <c r="A15" s="76" t="s">
        <v>27</v>
      </c>
      <c r="B15" s="77">
        <f t="shared" si="6"/>
        <v>45304</v>
      </c>
      <c r="C15" s="78">
        <v>1.0</v>
      </c>
      <c r="D15" s="78" t="s">
        <v>59</v>
      </c>
      <c r="E15" s="80" t="s">
        <v>125</v>
      </c>
      <c r="F15" s="100">
        <v>0.0</v>
      </c>
      <c r="H15" s="101">
        <v>0.0</v>
      </c>
      <c r="J15" s="101">
        <v>0.0</v>
      </c>
      <c r="L15" s="100">
        <v>0.0</v>
      </c>
      <c r="N15" s="101">
        <v>0.0</v>
      </c>
      <c r="P15" s="101">
        <v>0.0</v>
      </c>
      <c r="R15" s="101">
        <v>0.0</v>
      </c>
      <c r="T15" s="101">
        <v>0.0</v>
      </c>
      <c r="V15" s="101">
        <v>0.0</v>
      </c>
      <c r="X15" s="101">
        <v>0.0</v>
      </c>
      <c r="Y15" s="73"/>
      <c r="Z15" s="100">
        <v>0.0</v>
      </c>
      <c r="AB15" s="101">
        <v>0.0</v>
      </c>
      <c r="AD15" s="101">
        <v>0.0</v>
      </c>
      <c r="AF15" s="108">
        <f t="shared" si="1"/>
        <v>0</v>
      </c>
      <c r="AG15" s="78">
        <f t="shared" si="2"/>
        <v>0</v>
      </c>
      <c r="AH15" s="78">
        <f t="shared" si="3"/>
        <v>0</v>
      </c>
      <c r="AI15" s="78">
        <f t="shared" si="4"/>
        <v>0</v>
      </c>
      <c r="AJ15" s="82" t="str">
        <f t="shared" si="5"/>
        <v/>
      </c>
    </row>
    <row r="16">
      <c r="A16" s="83" t="s">
        <v>30</v>
      </c>
      <c r="B16" s="84">
        <f t="shared" si="6"/>
        <v>45305</v>
      </c>
      <c r="C16" s="85">
        <v>1.0</v>
      </c>
      <c r="D16" s="85" t="s">
        <v>59</v>
      </c>
      <c r="E16" s="87" t="s">
        <v>125</v>
      </c>
      <c r="F16" s="114">
        <v>0.0</v>
      </c>
      <c r="G16" s="89"/>
      <c r="H16" s="115">
        <v>0.0</v>
      </c>
      <c r="I16" s="89"/>
      <c r="J16" s="115">
        <v>0.0</v>
      </c>
      <c r="K16" s="89"/>
      <c r="L16" s="114">
        <v>0.0</v>
      </c>
      <c r="M16" s="89"/>
      <c r="N16" s="115">
        <v>0.0</v>
      </c>
      <c r="O16" s="89"/>
      <c r="P16" s="115">
        <v>0.0</v>
      </c>
      <c r="Q16" s="89"/>
      <c r="R16" s="115">
        <v>0.0</v>
      </c>
      <c r="S16" s="89"/>
      <c r="T16" s="115">
        <v>0.0</v>
      </c>
      <c r="U16" s="89"/>
      <c r="V16" s="115">
        <v>0.0</v>
      </c>
      <c r="W16" s="89"/>
      <c r="X16" s="115">
        <v>0.0</v>
      </c>
      <c r="Y16" s="91"/>
      <c r="Z16" s="114">
        <v>0.0</v>
      </c>
      <c r="AA16" s="89"/>
      <c r="AB16" s="115">
        <v>0.0</v>
      </c>
      <c r="AC16" s="89"/>
      <c r="AD16" s="115">
        <v>0.0</v>
      </c>
      <c r="AE16" s="89"/>
      <c r="AF16" s="116">
        <f t="shared" si="1"/>
        <v>0</v>
      </c>
      <c r="AG16" s="85">
        <f t="shared" si="2"/>
        <v>0</v>
      </c>
      <c r="AH16" s="85">
        <f t="shared" si="3"/>
        <v>0</v>
      </c>
      <c r="AI16" s="85">
        <f t="shared" si="4"/>
        <v>0</v>
      </c>
      <c r="AJ16" s="93" t="str">
        <f t="shared" si="5"/>
        <v/>
      </c>
    </row>
    <row r="17">
      <c r="A17" s="66" t="s">
        <v>11</v>
      </c>
      <c r="B17" s="94">
        <f t="shared" si="6"/>
        <v>45306</v>
      </c>
      <c r="C17" s="68">
        <v>1.0</v>
      </c>
      <c r="D17" s="68" t="s">
        <v>12</v>
      </c>
      <c r="E17" s="70" t="s">
        <v>127</v>
      </c>
      <c r="F17" s="100">
        <v>0.0</v>
      </c>
      <c r="H17" s="101">
        <v>0.0</v>
      </c>
      <c r="J17" s="101">
        <v>0.0</v>
      </c>
      <c r="L17" s="100">
        <v>0.0</v>
      </c>
      <c r="N17" s="101">
        <v>0.0</v>
      </c>
      <c r="P17" s="101">
        <v>0.0</v>
      </c>
      <c r="R17" s="101">
        <v>0.0</v>
      </c>
      <c r="T17" s="101">
        <v>0.0</v>
      </c>
      <c r="V17" s="101">
        <v>0.0</v>
      </c>
      <c r="X17" s="101">
        <v>0.0</v>
      </c>
      <c r="Y17" s="73"/>
      <c r="Z17" s="100">
        <v>0.0</v>
      </c>
      <c r="AB17" s="101">
        <v>0.0</v>
      </c>
      <c r="AD17" s="101">
        <v>0.0</v>
      </c>
      <c r="AF17" s="106">
        <f t="shared" si="1"/>
        <v>0</v>
      </c>
      <c r="AG17" s="68">
        <f t="shared" si="2"/>
        <v>0</v>
      </c>
      <c r="AH17" s="68">
        <f t="shared" si="3"/>
        <v>0</v>
      </c>
      <c r="AI17" s="68">
        <f t="shared" si="4"/>
        <v>0</v>
      </c>
      <c r="AJ17" s="75" t="str">
        <f t="shared" si="5"/>
        <v/>
      </c>
    </row>
    <row r="18">
      <c r="A18" s="76" t="s">
        <v>16</v>
      </c>
      <c r="B18" s="77">
        <f t="shared" si="6"/>
        <v>45307</v>
      </c>
      <c r="C18" s="78">
        <v>1.0</v>
      </c>
      <c r="D18" s="78" t="s">
        <v>12</v>
      </c>
      <c r="E18" s="80" t="s">
        <v>127</v>
      </c>
      <c r="F18" s="100">
        <v>0.0</v>
      </c>
      <c r="H18" s="101">
        <v>0.0</v>
      </c>
      <c r="J18" s="101">
        <v>0.0</v>
      </c>
      <c r="L18" s="100">
        <v>0.0</v>
      </c>
      <c r="N18" s="101">
        <v>0.0</v>
      </c>
      <c r="P18" s="101">
        <v>0.0</v>
      </c>
      <c r="R18" s="101">
        <v>0.0</v>
      </c>
      <c r="T18" s="101">
        <v>0.0</v>
      </c>
      <c r="V18" s="101">
        <v>0.0</v>
      </c>
      <c r="X18" s="101">
        <v>0.0</v>
      </c>
      <c r="Y18" s="73"/>
      <c r="Z18" s="100">
        <v>0.0</v>
      </c>
      <c r="AB18" s="101">
        <v>0.0</v>
      </c>
      <c r="AD18" s="101">
        <v>0.0</v>
      </c>
      <c r="AF18" s="108">
        <f t="shared" si="1"/>
        <v>0</v>
      </c>
      <c r="AG18" s="78">
        <f t="shared" si="2"/>
        <v>0</v>
      </c>
      <c r="AH18" s="78">
        <f t="shared" si="3"/>
        <v>0</v>
      </c>
      <c r="AI18" s="78">
        <f t="shared" si="4"/>
        <v>0</v>
      </c>
      <c r="AJ18" s="82" t="str">
        <f t="shared" si="5"/>
        <v/>
      </c>
    </row>
    <row r="19">
      <c r="A19" s="76" t="s">
        <v>17</v>
      </c>
      <c r="B19" s="77">
        <f t="shared" si="6"/>
        <v>45308</v>
      </c>
      <c r="C19" s="78">
        <v>1.0</v>
      </c>
      <c r="D19" s="78" t="s">
        <v>12</v>
      </c>
      <c r="E19" s="80" t="s">
        <v>127</v>
      </c>
      <c r="F19" s="100">
        <v>0.0</v>
      </c>
      <c r="H19" s="101">
        <v>0.0</v>
      </c>
      <c r="J19" s="101">
        <v>0.0</v>
      </c>
      <c r="L19" s="100">
        <v>0.0</v>
      </c>
      <c r="N19" s="101">
        <v>0.0</v>
      </c>
      <c r="P19" s="101">
        <v>0.0</v>
      </c>
      <c r="R19" s="101">
        <v>0.0</v>
      </c>
      <c r="T19" s="101">
        <v>0.0</v>
      </c>
      <c r="V19" s="101">
        <v>0.0</v>
      </c>
      <c r="X19" s="101">
        <v>0.0</v>
      </c>
      <c r="Y19" s="73"/>
      <c r="Z19" s="100">
        <v>0.0</v>
      </c>
      <c r="AB19" s="101">
        <v>0.0</v>
      </c>
      <c r="AD19" s="101">
        <v>0.0</v>
      </c>
      <c r="AF19" s="108">
        <f t="shared" si="1"/>
        <v>0</v>
      </c>
      <c r="AG19" s="78">
        <f t="shared" si="2"/>
        <v>0</v>
      </c>
      <c r="AH19" s="78">
        <f t="shared" si="3"/>
        <v>0</v>
      </c>
      <c r="AI19" s="78">
        <f t="shared" si="4"/>
        <v>0</v>
      </c>
      <c r="AJ19" s="82" t="str">
        <f t="shared" si="5"/>
        <v/>
      </c>
    </row>
    <row r="20">
      <c r="A20" s="76" t="s">
        <v>21</v>
      </c>
      <c r="B20" s="77">
        <f t="shared" si="6"/>
        <v>45309</v>
      </c>
      <c r="C20" s="78">
        <v>1.0</v>
      </c>
      <c r="D20" s="78" t="s">
        <v>12</v>
      </c>
      <c r="E20" s="80" t="s">
        <v>127</v>
      </c>
      <c r="F20" s="100">
        <v>0.0</v>
      </c>
      <c r="H20" s="101">
        <v>0.0</v>
      </c>
      <c r="J20" s="101">
        <v>0.0</v>
      </c>
      <c r="L20" s="100">
        <v>0.0</v>
      </c>
      <c r="N20" s="101">
        <v>0.0</v>
      </c>
      <c r="P20" s="101">
        <v>0.0</v>
      </c>
      <c r="R20" s="101">
        <v>0.0</v>
      </c>
      <c r="T20" s="101">
        <v>0.0</v>
      </c>
      <c r="V20" s="101">
        <v>0.0</v>
      </c>
      <c r="X20" s="101">
        <v>0.0</v>
      </c>
      <c r="Y20" s="73"/>
      <c r="Z20" s="100">
        <v>0.0</v>
      </c>
      <c r="AB20" s="101">
        <v>0.0</v>
      </c>
      <c r="AD20" s="101">
        <v>0.0</v>
      </c>
      <c r="AF20" s="108">
        <f t="shared" si="1"/>
        <v>0</v>
      </c>
      <c r="AG20" s="78">
        <f t="shared" si="2"/>
        <v>0</v>
      </c>
      <c r="AH20" s="78">
        <f t="shared" si="3"/>
        <v>0</v>
      </c>
      <c r="AI20" s="78">
        <f t="shared" si="4"/>
        <v>0</v>
      </c>
      <c r="AJ20" s="82" t="str">
        <f t="shared" si="5"/>
        <v/>
      </c>
    </row>
    <row r="21">
      <c r="A21" s="76" t="s">
        <v>24</v>
      </c>
      <c r="B21" s="77">
        <f t="shared" si="6"/>
        <v>45310</v>
      </c>
      <c r="C21" s="78">
        <v>1.0</v>
      </c>
      <c r="D21" s="78" t="s">
        <v>12</v>
      </c>
      <c r="E21" s="80" t="s">
        <v>127</v>
      </c>
      <c r="F21" s="100">
        <v>0.0</v>
      </c>
      <c r="H21" s="101">
        <v>0.0</v>
      </c>
      <c r="J21" s="101">
        <v>0.0</v>
      </c>
      <c r="L21" s="100">
        <v>0.0</v>
      </c>
      <c r="N21" s="101">
        <v>0.0</v>
      </c>
      <c r="P21" s="101">
        <v>0.0</v>
      </c>
      <c r="R21" s="101">
        <v>0.0</v>
      </c>
      <c r="T21" s="101">
        <v>0.0</v>
      </c>
      <c r="V21" s="101">
        <v>0.0</v>
      </c>
      <c r="X21" s="101">
        <v>0.0</v>
      </c>
      <c r="Y21" s="73"/>
      <c r="Z21" s="100">
        <v>0.0</v>
      </c>
      <c r="AB21" s="101">
        <v>0.0</v>
      </c>
      <c r="AD21" s="101">
        <v>0.0</v>
      </c>
      <c r="AF21" s="108">
        <f t="shared" si="1"/>
        <v>0</v>
      </c>
      <c r="AG21" s="78">
        <f t="shared" si="2"/>
        <v>0</v>
      </c>
      <c r="AH21" s="78">
        <f t="shared" si="3"/>
        <v>0</v>
      </c>
      <c r="AI21" s="78">
        <f t="shared" si="4"/>
        <v>0</v>
      </c>
      <c r="AJ21" s="82" t="str">
        <f t="shared" si="5"/>
        <v/>
      </c>
    </row>
    <row r="22">
      <c r="A22" s="76" t="s">
        <v>27</v>
      </c>
      <c r="B22" s="77">
        <f t="shared" si="6"/>
        <v>45311</v>
      </c>
      <c r="C22" s="78">
        <v>1.0</v>
      </c>
      <c r="D22" s="78" t="s">
        <v>12</v>
      </c>
      <c r="E22" s="80" t="s">
        <v>127</v>
      </c>
      <c r="F22" s="100">
        <v>0.0</v>
      </c>
      <c r="H22" s="101">
        <v>0.0</v>
      </c>
      <c r="J22" s="101">
        <v>0.0</v>
      </c>
      <c r="L22" s="100">
        <v>0.0</v>
      </c>
      <c r="N22" s="101">
        <v>0.0</v>
      </c>
      <c r="P22" s="101">
        <v>0.0</v>
      </c>
      <c r="R22" s="101">
        <v>0.0</v>
      </c>
      <c r="T22" s="101">
        <v>0.0</v>
      </c>
      <c r="V22" s="101">
        <v>0.0</v>
      </c>
      <c r="X22" s="101">
        <v>0.0</v>
      </c>
      <c r="Y22" s="73"/>
      <c r="Z22" s="100">
        <v>0.0</v>
      </c>
      <c r="AB22" s="101">
        <v>0.0</v>
      </c>
      <c r="AD22" s="101">
        <v>0.0</v>
      </c>
      <c r="AF22" s="108">
        <f t="shared" si="1"/>
        <v>0</v>
      </c>
      <c r="AG22" s="78">
        <f t="shared" si="2"/>
        <v>0</v>
      </c>
      <c r="AH22" s="78">
        <f t="shared" si="3"/>
        <v>0</v>
      </c>
      <c r="AI22" s="78">
        <f t="shared" si="4"/>
        <v>0</v>
      </c>
      <c r="AJ22" s="82" t="str">
        <f t="shared" si="5"/>
        <v/>
      </c>
    </row>
    <row r="23">
      <c r="A23" s="83" t="s">
        <v>30</v>
      </c>
      <c r="B23" s="84">
        <f t="shared" si="6"/>
        <v>45312</v>
      </c>
      <c r="C23" s="85">
        <v>1.0</v>
      </c>
      <c r="D23" s="85" t="s">
        <v>12</v>
      </c>
      <c r="E23" s="87" t="s">
        <v>127</v>
      </c>
      <c r="F23" s="114">
        <v>0.0</v>
      </c>
      <c r="G23" s="89"/>
      <c r="H23" s="115">
        <v>0.0</v>
      </c>
      <c r="I23" s="89"/>
      <c r="J23" s="115">
        <v>0.0</v>
      </c>
      <c r="K23" s="89"/>
      <c r="L23" s="114">
        <v>45.0</v>
      </c>
      <c r="M23" s="89"/>
      <c r="N23" s="115">
        <v>45.0</v>
      </c>
      <c r="O23" s="89"/>
      <c r="P23" s="115">
        <v>0.0</v>
      </c>
      <c r="Q23" s="89"/>
      <c r="R23" s="115">
        <v>0.0</v>
      </c>
      <c r="S23" s="89"/>
      <c r="T23" s="115">
        <v>0.0</v>
      </c>
      <c r="U23" s="89"/>
      <c r="V23" s="115">
        <v>0.0</v>
      </c>
      <c r="W23" s="89"/>
      <c r="X23" s="115">
        <v>0.0</v>
      </c>
      <c r="Y23" s="91"/>
      <c r="Z23" s="114">
        <v>25.0</v>
      </c>
      <c r="AA23" s="89"/>
      <c r="AB23" s="115">
        <v>25.0</v>
      </c>
      <c r="AC23" s="89"/>
      <c r="AD23" s="115">
        <v>0.0</v>
      </c>
      <c r="AE23" s="89"/>
      <c r="AF23" s="116">
        <f t="shared" si="1"/>
        <v>1668.8</v>
      </c>
      <c r="AG23" s="85">
        <f t="shared" si="2"/>
        <v>140</v>
      </c>
      <c r="AH23" s="85">
        <f t="shared" si="3"/>
        <v>0</v>
      </c>
      <c r="AI23" s="85">
        <f t="shared" si="4"/>
        <v>140</v>
      </c>
      <c r="AJ23" s="93">
        <f t="shared" si="5"/>
        <v>11.92</v>
      </c>
    </row>
    <row r="24">
      <c r="A24" s="66" t="s">
        <v>11</v>
      </c>
      <c r="B24" s="94">
        <f t="shared" si="6"/>
        <v>45313</v>
      </c>
      <c r="C24" s="68">
        <v>1.0</v>
      </c>
      <c r="D24" s="68" t="s">
        <v>33</v>
      </c>
      <c r="E24" s="70" t="s">
        <v>127</v>
      </c>
      <c r="F24" s="100">
        <v>0.0</v>
      </c>
      <c r="H24" s="101">
        <v>0.0</v>
      </c>
      <c r="J24" s="101">
        <v>0.0</v>
      </c>
      <c r="L24" s="100">
        <v>49.0</v>
      </c>
      <c r="N24" s="101">
        <v>49.0</v>
      </c>
      <c r="P24" s="101">
        <v>0.0</v>
      </c>
      <c r="R24" s="101">
        <v>0.0</v>
      </c>
      <c r="T24" s="101">
        <v>1.0</v>
      </c>
      <c r="V24" s="101">
        <v>1.0</v>
      </c>
      <c r="X24" s="101">
        <v>0.0</v>
      </c>
      <c r="Y24" s="73"/>
      <c r="Z24" s="100">
        <v>25.0</v>
      </c>
      <c r="AB24" s="101">
        <v>25.0</v>
      </c>
      <c r="AD24" s="101">
        <v>0.0</v>
      </c>
      <c r="AF24" s="106">
        <f t="shared" si="1"/>
        <v>2499.16</v>
      </c>
      <c r="AG24" s="68">
        <f t="shared" si="2"/>
        <v>148</v>
      </c>
      <c r="AH24" s="68">
        <f t="shared" si="3"/>
        <v>2</v>
      </c>
      <c r="AI24" s="68">
        <f t="shared" si="4"/>
        <v>150</v>
      </c>
      <c r="AJ24" s="75">
        <f t="shared" si="5"/>
        <v>16.66106667</v>
      </c>
    </row>
    <row r="25">
      <c r="A25" s="76" t="s">
        <v>16</v>
      </c>
      <c r="B25" s="77">
        <f t="shared" si="6"/>
        <v>45314</v>
      </c>
      <c r="C25" s="78">
        <v>1.0</v>
      </c>
      <c r="D25" s="78" t="s">
        <v>33</v>
      </c>
      <c r="E25" s="80" t="s">
        <v>127</v>
      </c>
      <c r="F25" s="100">
        <v>0.0</v>
      </c>
      <c r="H25" s="101">
        <v>0.0</v>
      </c>
      <c r="J25" s="101">
        <v>0.0</v>
      </c>
      <c r="L25" s="100">
        <v>49.0</v>
      </c>
      <c r="N25" s="101">
        <v>49.0</v>
      </c>
      <c r="P25" s="101">
        <v>0.0</v>
      </c>
      <c r="R25" s="101">
        <v>0.0</v>
      </c>
      <c r="T25" s="101">
        <v>0.0</v>
      </c>
      <c r="V25" s="101">
        <v>0.0</v>
      </c>
      <c r="X25" s="101">
        <v>0.0</v>
      </c>
      <c r="Y25" s="73"/>
      <c r="Z25" s="100">
        <v>24.0</v>
      </c>
      <c r="AB25" s="101">
        <v>24.0</v>
      </c>
      <c r="AD25" s="101">
        <v>0.0</v>
      </c>
      <c r="AF25" s="108">
        <f t="shared" si="1"/>
        <v>1740.32</v>
      </c>
      <c r="AG25" s="78">
        <f t="shared" si="2"/>
        <v>146</v>
      </c>
      <c r="AH25" s="78">
        <f t="shared" si="3"/>
        <v>0</v>
      </c>
      <c r="AI25" s="78">
        <f t="shared" si="4"/>
        <v>146</v>
      </c>
      <c r="AJ25" s="82">
        <f t="shared" si="5"/>
        <v>11.92</v>
      </c>
    </row>
    <row r="26">
      <c r="A26" s="76" t="s">
        <v>17</v>
      </c>
      <c r="B26" s="77">
        <f t="shared" si="6"/>
        <v>45315</v>
      </c>
      <c r="C26" s="78">
        <v>1.0</v>
      </c>
      <c r="D26" s="78" t="s">
        <v>33</v>
      </c>
      <c r="E26" s="80" t="s">
        <v>127</v>
      </c>
      <c r="F26" s="100">
        <v>0.0</v>
      </c>
      <c r="H26" s="101">
        <v>0.0</v>
      </c>
      <c r="J26" s="101">
        <v>0.0</v>
      </c>
      <c r="L26" s="100">
        <v>49.0</v>
      </c>
      <c r="N26" s="101">
        <v>49.0</v>
      </c>
      <c r="P26" s="101">
        <v>0.0</v>
      </c>
      <c r="R26" s="101">
        <v>0.0</v>
      </c>
      <c r="T26" s="101">
        <v>0.0</v>
      </c>
      <c r="V26" s="101">
        <v>0.0</v>
      </c>
      <c r="X26" s="101">
        <v>0.0</v>
      </c>
      <c r="Y26" s="73"/>
      <c r="Z26" s="100">
        <v>24.0</v>
      </c>
      <c r="AB26" s="101">
        <v>24.0</v>
      </c>
      <c r="AD26" s="101">
        <v>0.0</v>
      </c>
      <c r="AF26" s="108">
        <f t="shared" si="1"/>
        <v>1740.32</v>
      </c>
      <c r="AG26" s="78">
        <f t="shared" si="2"/>
        <v>146</v>
      </c>
      <c r="AH26" s="78">
        <f t="shared" si="3"/>
        <v>0</v>
      </c>
      <c r="AI26" s="78">
        <f t="shared" si="4"/>
        <v>146</v>
      </c>
      <c r="AJ26" s="82">
        <f t="shared" si="5"/>
        <v>11.92</v>
      </c>
    </row>
    <row r="27">
      <c r="A27" s="76" t="s">
        <v>21</v>
      </c>
      <c r="B27" s="77">
        <f t="shared" si="6"/>
        <v>45316</v>
      </c>
      <c r="C27" s="78">
        <v>1.0</v>
      </c>
      <c r="D27" s="78" t="s">
        <v>33</v>
      </c>
      <c r="E27" s="80" t="s">
        <v>127</v>
      </c>
      <c r="F27" s="100">
        <v>0.0</v>
      </c>
      <c r="H27" s="101">
        <v>0.0</v>
      </c>
      <c r="J27" s="101">
        <v>0.0</v>
      </c>
      <c r="L27" s="100">
        <v>49.0</v>
      </c>
      <c r="N27" s="101">
        <v>49.0</v>
      </c>
      <c r="P27" s="101">
        <v>0.0</v>
      </c>
      <c r="R27" s="101">
        <v>0.0</v>
      </c>
      <c r="T27" s="101">
        <v>0.0</v>
      </c>
      <c r="V27" s="101">
        <v>0.0</v>
      </c>
      <c r="X27" s="101">
        <v>0.0</v>
      </c>
      <c r="Y27" s="73"/>
      <c r="Z27" s="100">
        <v>24.0</v>
      </c>
      <c r="AB27" s="101">
        <v>24.0</v>
      </c>
      <c r="AD27" s="101">
        <v>0.0</v>
      </c>
      <c r="AF27" s="108">
        <f t="shared" si="1"/>
        <v>1740.32</v>
      </c>
      <c r="AG27" s="78">
        <f t="shared" si="2"/>
        <v>146</v>
      </c>
      <c r="AH27" s="78">
        <f t="shared" si="3"/>
        <v>0</v>
      </c>
      <c r="AI27" s="78">
        <f t="shared" si="4"/>
        <v>146</v>
      </c>
      <c r="AJ27" s="82">
        <f t="shared" si="5"/>
        <v>11.92</v>
      </c>
    </row>
    <row r="28">
      <c r="A28" s="76" t="s">
        <v>24</v>
      </c>
      <c r="B28" s="77">
        <f t="shared" si="6"/>
        <v>45317</v>
      </c>
      <c r="C28" s="78">
        <v>1.0</v>
      </c>
      <c r="D28" s="78" t="s">
        <v>33</v>
      </c>
      <c r="E28" s="80" t="s">
        <v>127</v>
      </c>
      <c r="F28" s="100">
        <v>0.0</v>
      </c>
      <c r="H28" s="101">
        <v>0.0</v>
      </c>
      <c r="J28" s="101">
        <v>0.0</v>
      </c>
      <c r="L28" s="100">
        <v>49.0</v>
      </c>
      <c r="N28" s="101">
        <v>49.0</v>
      </c>
      <c r="P28" s="101">
        <v>0.0</v>
      </c>
      <c r="R28" s="101">
        <v>0.0</v>
      </c>
      <c r="T28" s="101">
        <v>0.0</v>
      </c>
      <c r="V28" s="101">
        <v>0.0</v>
      </c>
      <c r="X28" s="101">
        <v>0.0</v>
      </c>
      <c r="Y28" s="73"/>
      <c r="Z28" s="100">
        <v>24.0</v>
      </c>
      <c r="AB28" s="101">
        <v>24.0</v>
      </c>
      <c r="AD28" s="101">
        <v>0.0</v>
      </c>
      <c r="AF28" s="108">
        <f t="shared" si="1"/>
        <v>1740.32</v>
      </c>
      <c r="AG28" s="78">
        <f t="shared" si="2"/>
        <v>146</v>
      </c>
      <c r="AH28" s="78">
        <f t="shared" si="3"/>
        <v>0</v>
      </c>
      <c r="AI28" s="78">
        <f t="shared" si="4"/>
        <v>146</v>
      </c>
      <c r="AJ28" s="82">
        <f t="shared" si="5"/>
        <v>11.92</v>
      </c>
    </row>
    <row r="29">
      <c r="A29" s="76" t="s">
        <v>27</v>
      </c>
      <c r="B29" s="77">
        <f t="shared" si="6"/>
        <v>45318</v>
      </c>
      <c r="C29" s="78">
        <v>1.0</v>
      </c>
      <c r="D29" s="78" t="s">
        <v>33</v>
      </c>
      <c r="E29" s="80" t="s">
        <v>127</v>
      </c>
      <c r="F29" s="100">
        <v>0.0</v>
      </c>
      <c r="H29" s="101">
        <v>0.0</v>
      </c>
      <c r="J29" s="101">
        <v>0.0</v>
      </c>
      <c r="L29" s="100">
        <v>49.0</v>
      </c>
      <c r="N29" s="101">
        <v>49.0</v>
      </c>
      <c r="P29" s="101">
        <v>0.0</v>
      </c>
      <c r="R29" s="101">
        <v>0.0</v>
      </c>
      <c r="T29" s="101">
        <v>0.0</v>
      </c>
      <c r="V29" s="101">
        <v>0.0</v>
      </c>
      <c r="X29" s="101">
        <v>0.0</v>
      </c>
      <c r="Y29" s="73"/>
      <c r="Z29" s="100">
        <v>0.0</v>
      </c>
      <c r="AB29" s="101">
        <v>0.0</v>
      </c>
      <c r="AD29" s="101">
        <v>0.0</v>
      </c>
      <c r="AF29" s="108">
        <f t="shared" si="1"/>
        <v>1168.16</v>
      </c>
      <c r="AG29" s="78">
        <f t="shared" si="2"/>
        <v>98</v>
      </c>
      <c r="AH29" s="78">
        <f t="shared" si="3"/>
        <v>0</v>
      </c>
      <c r="AI29" s="78">
        <f t="shared" si="4"/>
        <v>98</v>
      </c>
      <c r="AJ29" s="82">
        <f t="shared" si="5"/>
        <v>11.92</v>
      </c>
    </row>
    <row r="30">
      <c r="A30" s="83" t="s">
        <v>30</v>
      </c>
      <c r="B30" s="84">
        <f t="shared" si="6"/>
        <v>45319</v>
      </c>
      <c r="C30" s="85">
        <v>1.0</v>
      </c>
      <c r="D30" s="85" t="s">
        <v>33</v>
      </c>
      <c r="E30" s="87" t="s">
        <v>127</v>
      </c>
      <c r="F30" s="114">
        <v>0.0</v>
      </c>
      <c r="G30" s="89"/>
      <c r="H30" s="115">
        <v>0.0</v>
      </c>
      <c r="I30" s="89"/>
      <c r="J30" s="115">
        <v>0.0</v>
      </c>
      <c r="K30" s="89"/>
      <c r="L30" s="114">
        <v>0.0</v>
      </c>
      <c r="M30" s="89"/>
      <c r="N30" s="115">
        <v>0.0</v>
      </c>
      <c r="O30" s="89"/>
      <c r="P30" s="115">
        <v>0.0</v>
      </c>
      <c r="Q30" s="89"/>
      <c r="R30" s="115">
        <v>0.0</v>
      </c>
      <c r="S30" s="89"/>
      <c r="T30" s="115">
        <v>0.0</v>
      </c>
      <c r="U30" s="89"/>
      <c r="V30" s="115">
        <v>0.0</v>
      </c>
      <c r="W30" s="89"/>
      <c r="X30" s="115">
        <v>0.0</v>
      </c>
      <c r="Y30" s="91"/>
      <c r="Z30" s="114">
        <v>0.0</v>
      </c>
      <c r="AA30" s="89"/>
      <c r="AB30" s="115">
        <v>0.0</v>
      </c>
      <c r="AC30" s="89"/>
      <c r="AD30" s="115">
        <v>0.0</v>
      </c>
      <c r="AE30" s="89"/>
      <c r="AF30" s="116">
        <f t="shared" si="1"/>
        <v>0</v>
      </c>
      <c r="AG30" s="85">
        <f t="shared" si="2"/>
        <v>0</v>
      </c>
      <c r="AH30" s="85">
        <f t="shared" si="3"/>
        <v>0</v>
      </c>
      <c r="AI30" s="85">
        <f t="shared" si="4"/>
        <v>0</v>
      </c>
      <c r="AJ30" s="93" t="str">
        <f t="shared" si="5"/>
        <v/>
      </c>
    </row>
    <row r="31">
      <c r="A31" s="66" t="s">
        <v>11</v>
      </c>
      <c r="B31" s="94">
        <f t="shared" si="6"/>
        <v>45320</v>
      </c>
      <c r="C31" s="68">
        <v>2.0</v>
      </c>
      <c r="D31" s="68" t="s">
        <v>48</v>
      </c>
      <c r="E31" s="70" t="s">
        <v>127</v>
      </c>
      <c r="F31" s="100">
        <v>0.0</v>
      </c>
      <c r="H31" s="101">
        <v>0.0</v>
      </c>
      <c r="J31" s="101">
        <v>0.0</v>
      </c>
      <c r="L31" s="100">
        <v>51.0</v>
      </c>
      <c r="N31" s="101">
        <v>51.0</v>
      </c>
      <c r="P31" s="101">
        <v>0.0</v>
      </c>
      <c r="R31" s="101">
        <v>0.0</v>
      </c>
      <c r="T31" s="101">
        <v>1.0</v>
      </c>
      <c r="V31" s="101">
        <v>1.0</v>
      </c>
      <c r="X31" s="101">
        <v>0.0</v>
      </c>
      <c r="Y31" s="73"/>
      <c r="Z31" s="100">
        <v>24.0</v>
      </c>
      <c r="AB31" s="101">
        <v>24.0</v>
      </c>
      <c r="AD31" s="101">
        <v>0.0</v>
      </c>
      <c r="AF31" s="106">
        <f t="shared" si="1"/>
        <v>2523</v>
      </c>
      <c r="AG31" s="68">
        <f t="shared" si="2"/>
        <v>150</v>
      </c>
      <c r="AH31" s="68">
        <f t="shared" si="3"/>
        <v>2</v>
      </c>
      <c r="AI31" s="68">
        <f t="shared" si="4"/>
        <v>152</v>
      </c>
      <c r="AJ31" s="75">
        <f t="shared" si="5"/>
        <v>16.59868421</v>
      </c>
    </row>
    <row r="32">
      <c r="A32" s="76" t="s">
        <v>16</v>
      </c>
      <c r="B32" s="77">
        <f t="shared" si="6"/>
        <v>45321</v>
      </c>
      <c r="C32" s="78">
        <v>2.0</v>
      </c>
      <c r="D32" s="78" t="s">
        <v>48</v>
      </c>
      <c r="E32" s="80" t="s">
        <v>127</v>
      </c>
      <c r="F32" s="100">
        <v>0.0</v>
      </c>
      <c r="H32" s="101">
        <v>0.0</v>
      </c>
      <c r="J32" s="101">
        <v>0.0</v>
      </c>
      <c r="L32" s="100">
        <v>51.0</v>
      </c>
      <c r="N32" s="101">
        <v>51.0</v>
      </c>
      <c r="P32" s="101">
        <v>0.0</v>
      </c>
      <c r="R32" s="101">
        <v>0.0</v>
      </c>
      <c r="T32" s="101">
        <v>0.0</v>
      </c>
      <c r="V32" s="101">
        <v>0.0</v>
      </c>
      <c r="X32" s="101">
        <v>0.0</v>
      </c>
      <c r="Y32" s="73"/>
      <c r="Z32" s="100">
        <v>24.0</v>
      </c>
      <c r="AB32" s="101">
        <v>24.0</v>
      </c>
      <c r="AD32" s="101">
        <v>0.0</v>
      </c>
      <c r="AF32" s="108">
        <f t="shared" si="1"/>
        <v>1788</v>
      </c>
      <c r="AG32" s="78">
        <f t="shared" si="2"/>
        <v>150</v>
      </c>
      <c r="AH32" s="78">
        <f t="shared" si="3"/>
        <v>0</v>
      </c>
      <c r="AI32" s="78">
        <f t="shared" si="4"/>
        <v>150</v>
      </c>
      <c r="AJ32" s="82">
        <f t="shared" si="5"/>
        <v>11.92</v>
      </c>
    </row>
    <row r="33">
      <c r="A33" s="76" t="s">
        <v>17</v>
      </c>
      <c r="B33" s="77">
        <f t="shared" si="6"/>
        <v>45322</v>
      </c>
      <c r="C33" s="78">
        <v>2.0</v>
      </c>
      <c r="D33" s="78" t="s">
        <v>48</v>
      </c>
      <c r="E33" s="80" t="s">
        <v>127</v>
      </c>
      <c r="F33" s="100">
        <v>0.0</v>
      </c>
      <c r="H33" s="101">
        <v>0.0</v>
      </c>
      <c r="J33" s="101">
        <v>0.0</v>
      </c>
      <c r="L33" s="100">
        <v>51.0</v>
      </c>
      <c r="N33" s="101">
        <v>51.0</v>
      </c>
      <c r="P33" s="101">
        <v>0.0</v>
      </c>
      <c r="R33" s="101">
        <v>0.0</v>
      </c>
      <c r="T33" s="101">
        <v>0.0</v>
      </c>
      <c r="V33" s="101">
        <v>0.0</v>
      </c>
      <c r="X33" s="101">
        <v>0.0</v>
      </c>
      <c r="Y33" s="73"/>
      <c r="Z33" s="100">
        <v>24.0</v>
      </c>
      <c r="AB33" s="101">
        <v>24.0</v>
      </c>
      <c r="AD33" s="101">
        <v>0.0</v>
      </c>
      <c r="AF33" s="108">
        <f t="shared" si="1"/>
        <v>1788</v>
      </c>
      <c r="AG33" s="78">
        <f t="shared" si="2"/>
        <v>150</v>
      </c>
      <c r="AH33" s="78">
        <f t="shared" si="3"/>
        <v>0</v>
      </c>
      <c r="AI33" s="78">
        <f t="shared" si="4"/>
        <v>150</v>
      </c>
      <c r="AJ33" s="82">
        <f t="shared" si="5"/>
        <v>11.92</v>
      </c>
    </row>
    <row r="34">
      <c r="A34" s="76" t="s">
        <v>21</v>
      </c>
      <c r="B34" s="77">
        <f t="shared" si="6"/>
        <v>45323</v>
      </c>
      <c r="C34" s="78">
        <v>2.0</v>
      </c>
      <c r="D34" s="78" t="s">
        <v>48</v>
      </c>
      <c r="E34" s="80" t="s">
        <v>127</v>
      </c>
      <c r="F34" s="100">
        <v>0.0</v>
      </c>
      <c r="H34" s="101">
        <v>0.0</v>
      </c>
      <c r="J34" s="101">
        <v>0.0</v>
      </c>
      <c r="L34" s="100">
        <v>58.0</v>
      </c>
      <c r="N34" s="101">
        <v>58.0</v>
      </c>
      <c r="P34" s="101">
        <v>0.0</v>
      </c>
      <c r="R34" s="101">
        <v>0.0</v>
      </c>
      <c r="T34" s="101">
        <v>0.0</v>
      </c>
      <c r="V34" s="101">
        <v>0.0</v>
      </c>
      <c r="X34" s="101">
        <v>0.0</v>
      </c>
      <c r="Y34" s="73"/>
      <c r="Z34" s="100">
        <v>24.0</v>
      </c>
      <c r="AB34" s="101">
        <v>24.0</v>
      </c>
      <c r="AD34" s="101">
        <v>0.0</v>
      </c>
      <c r="AF34" s="108">
        <f t="shared" si="1"/>
        <v>1954.88</v>
      </c>
      <c r="AG34" s="78">
        <f t="shared" si="2"/>
        <v>164</v>
      </c>
      <c r="AH34" s="78">
        <f t="shared" si="3"/>
        <v>0</v>
      </c>
      <c r="AI34" s="78">
        <f t="shared" si="4"/>
        <v>164</v>
      </c>
      <c r="AJ34" s="82">
        <f t="shared" si="5"/>
        <v>11.92</v>
      </c>
    </row>
    <row r="35">
      <c r="A35" s="76" t="s">
        <v>24</v>
      </c>
      <c r="B35" s="77">
        <f t="shared" si="6"/>
        <v>45324</v>
      </c>
      <c r="C35" s="78">
        <v>2.0</v>
      </c>
      <c r="D35" s="78" t="s">
        <v>48</v>
      </c>
      <c r="E35" s="80" t="s">
        <v>127</v>
      </c>
      <c r="F35" s="100">
        <v>0.0</v>
      </c>
      <c r="H35" s="101">
        <v>0.0</v>
      </c>
      <c r="J35" s="101">
        <v>0.0</v>
      </c>
      <c r="L35" s="100">
        <v>58.0</v>
      </c>
      <c r="N35" s="101">
        <v>58.0</v>
      </c>
      <c r="P35" s="101">
        <v>0.0</v>
      </c>
      <c r="R35" s="101">
        <v>0.0</v>
      </c>
      <c r="T35" s="101">
        <v>0.0</v>
      </c>
      <c r="V35" s="101">
        <v>0.0</v>
      </c>
      <c r="X35" s="101">
        <v>0.0</v>
      </c>
      <c r="Y35" s="73"/>
      <c r="Z35" s="100">
        <v>24.0</v>
      </c>
      <c r="AB35" s="101">
        <v>24.0</v>
      </c>
      <c r="AD35" s="101">
        <v>0.0</v>
      </c>
      <c r="AF35" s="108">
        <f t="shared" si="1"/>
        <v>1954.88</v>
      </c>
      <c r="AG35" s="78">
        <f t="shared" si="2"/>
        <v>164</v>
      </c>
      <c r="AH35" s="78">
        <f t="shared" si="3"/>
        <v>0</v>
      </c>
      <c r="AI35" s="78">
        <f t="shared" si="4"/>
        <v>164</v>
      </c>
      <c r="AJ35" s="82">
        <f t="shared" si="5"/>
        <v>11.92</v>
      </c>
    </row>
    <row r="36">
      <c r="A36" s="76" t="s">
        <v>27</v>
      </c>
      <c r="B36" s="77">
        <f t="shared" si="6"/>
        <v>45325</v>
      </c>
      <c r="C36" s="78">
        <v>2.0</v>
      </c>
      <c r="D36" s="78" t="s">
        <v>48</v>
      </c>
      <c r="E36" s="80" t="s">
        <v>127</v>
      </c>
      <c r="F36" s="100">
        <v>0.0</v>
      </c>
      <c r="H36" s="101">
        <v>0.0</v>
      </c>
      <c r="J36" s="101">
        <v>0.0</v>
      </c>
      <c r="L36" s="100">
        <v>58.0</v>
      </c>
      <c r="N36" s="101">
        <v>58.0</v>
      </c>
      <c r="P36" s="101">
        <v>0.0</v>
      </c>
      <c r="R36" s="101">
        <v>0.0</v>
      </c>
      <c r="T36" s="101">
        <v>0.0</v>
      </c>
      <c r="V36" s="101">
        <v>0.0</v>
      </c>
      <c r="X36" s="101">
        <v>0.0</v>
      </c>
      <c r="Y36" s="73"/>
      <c r="Z36" s="100">
        <v>0.0</v>
      </c>
      <c r="AB36" s="101">
        <v>0.0</v>
      </c>
      <c r="AD36" s="101">
        <v>0.0</v>
      </c>
      <c r="AF36" s="108">
        <f t="shared" si="1"/>
        <v>1382.72</v>
      </c>
      <c r="AG36" s="78">
        <f t="shared" si="2"/>
        <v>116</v>
      </c>
      <c r="AH36" s="78">
        <f t="shared" si="3"/>
        <v>0</v>
      </c>
      <c r="AI36" s="78">
        <f t="shared" si="4"/>
        <v>116</v>
      </c>
      <c r="AJ36" s="82">
        <f t="shared" si="5"/>
        <v>11.92</v>
      </c>
    </row>
    <row r="37">
      <c r="A37" s="83" t="s">
        <v>30</v>
      </c>
      <c r="B37" s="84">
        <f t="shared" si="6"/>
        <v>45326</v>
      </c>
      <c r="C37" s="85">
        <v>2.0</v>
      </c>
      <c r="D37" s="85" t="s">
        <v>48</v>
      </c>
      <c r="E37" s="87" t="s">
        <v>127</v>
      </c>
      <c r="F37" s="114">
        <v>0.0</v>
      </c>
      <c r="G37" s="89"/>
      <c r="H37" s="115">
        <v>0.0</v>
      </c>
      <c r="I37" s="89"/>
      <c r="J37" s="115">
        <v>0.0</v>
      </c>
      <c r="K37" s="89"/>
      <c r="L37" s="114">
        <v>0.0</v>
      </c>
      <c r="M37" s="89"/>
      <c r="N37" s="115">
        <v>0.0</v>
      </c>
      <c r="O37" s="89"/>
      <c r="P37" s="115">
        <v>0.0</v>
      </c>
      <c r="Q37" s="89"/>
      <c r="R37" s="115">
        <v>0.0</v>
      </c>
      <c r="S37" s="89"/>
      <c r="T37" s="115">
        <v>0.0</v>
      </c>
      <c r="U37" s="89"/>
      <c r="V37" s="115">
        <v>0.0</v>
      </c>
      <c r="W37" s="89"/>
      <c r="X37" s="115">
        <v>0.0</v>
      </c>
      <c r="Y37" s="91"/>
      <c r="Z37" s="114">
        <v>0.0</v>
      </c>
      <c r="AA37" s="89"/>
      <c r="AB37" s="115">
        <v>0.0</v>
      </c>
      <c r="AC37" s="89"/>
      <c r="AD37" s="115">
        <v>0.0</v>
      </c>
      <c r="AE37" s="89"/>
      <c r="AF37" s="116">
        <f t="shared" si="1"/>
        <v>0</v>
      </c>
      <c r="AG37" s="85">
        <f t="shared" si="2"/>
        <v>0</v>
      </c>
      <c r="AH37" s="85">
        <f t="shared" si="3"/>
        <v>0</v>
      </c>
      <c r="AI37" s="85">
        <f t="shared" si="4"/>
        <v>0</v>
      </c>
      <c r="AJ37" s="93" t="str">
        <f t="shared" si="5"/>
        <v/>
      </c>
    </row>
    <row r="38">
      <c r="A38" s="66" t="s">
        <v>11</v>
      </c>
      <c r="B38" s="94">
        <f t="shared" si="6"/>
        <v>45327</v>
      </c>
      <c r="C38" s="68">
        <v>2.0</v>
      </c>
      <c r="D38" s="68" t="s">
        <v>59</v>
      </c>
      <c r="E38" s="70" t="s">
        <v>127</v>
      </c>
      <c r="F38" s="100">
        <v>0.0</v>
      </c>
      <c r="H38" s="101">
        <v>0.0</v>
      </c>
      <c r="J38" s="101">
        <v>0.0</v>
      </c>
      <c r="L38" s="100">
        <v>65.0</v>
      </c>
      <c r="N38" s="101">
        <v>65.0</v>
      </c>
      <c r="P38" s="101">
        <v>0.0</v>
      </c>
      <c r="R38" s="101">
        <v>0.0</v>
      </c>
      <c r="T38" s="101">
        <v>1.0</v>
      </c>
      <c r="V38" s="101">
        <v>1.0</v>
      </c>
      <c r="X38" s="101">
        <v>0.0</v>
      </c>
      <c r="Y38" s="73"/>
      <c r="Z38" s="100">
        <v>24.0</v>
      </c>
      <c r="AB38" s="101">
        <v>24.0</v>
      </c>
      <c r="AD38" s="101">
        <v>0.0</v>
      </c>
      <c r="AF38" s="106">
        <f t="shared" si="1"/>
        <v>2856.76</v>
      </c>
      <c r="AG38" s="68">
        <f t="shared" si="2"/>
        <v>178</v>
      </c>
      <c r="AH38" s="68">
        <f t="shared" si="3"/>
        <v>2</v>
      </c>
      <c r="AI38" s="68">
        <f t="shared" si="4"/>
        <v>180</v>
      </c>
      <c r="AJ38" s="75">
        <f t="shared" si="5"/>
        <v>15.87088889</v>
      </c>
    </row>
    <row r="39">
      <c r="A39" s="76" t="s">
        <v>16</v>
      </c>
      <c r="B39" s="77">
        <f t="shared" si="6"/>
        <v>45328</v>
      </c>
      <c r="C39" s="78">
        <v>2.0</v>
      </c>
      <c r="D39" s="78" t="s">
        <v>59</v>
      </c>
      <c r="E39" s="80" t="s">
        <v>127</v>
      </c>
      <c r="F39" s="100">
        <v>0.0</v>
      </c>
      <c r="H39" s="101">
        <v>0.0</v>
      </c>
      <c r="J39" s="101">
        <v>0.0</v>
      </c>
      <c r="L39" s="100">
        <v>65.0</v>
      </c>
      <c r="N39" s="101">
        <v>65.0</v>
      </c>
      <c r="P39" s="101">
        <v>0.0</v>
      </c>
      <c r="R39" s="101">
        <v>0.0</v>
      </c>
      <c r="T39" s="101">
        <v>0.0</v>
      </c>
      <c r="V39" s="101">
        <v>0.0</v>
      </c>
      <c r="X39" s="101">
        <v>0.0</v>
      </c>
      <c r="Y39" s="73"/>
      <c r="Z39" s="100">
        <v>24.0</v>
      </c>
      <c r="AB39" s="101">
        <v>24.0</v>
      </c>
      <c r="AD39" s="101">
        <v>0.0</v>
      </c>
      <c r="AF39" s="108">
        <f t="shared" si="1"/>
        <v>2121.76</v>
      </c>
      <c r="AG39" s="78">
        <f t="shared" si="2"/>
        <v>178</v>
      </c>
      <c r="AH39" s="78">
        <f t="shared" si="3"/>
        <v>0</v>
      </c>
      <c r="AI39" s="78">
        <f t="shared" si="4"/>
        <v>178</v>
      </c>
      <c r="AJ39" s="82">
        <f t="shared" si="5"/>
        <v>11.92</v>
      </c>
    </row>
    <row r="40">
      <c r="A40" s="76" t="s">
        <v>17</v>
      </c>
      <c r="B40" s="77">
        <f t="shared" si="6"/>
        <v>45329</v>
      </c>
      <c r="C40" s="78">
        <v>2.0</v>
      </c>
      <c r="D40" s="78" t="s">
        <v>59</v>
      </c>
      <c r="E40" s="80" t="s">
        <v>127</v>
      </c>
      <c r="F40" s="100">
        <v>0.0</v>
      </c>
      <c r="H40" s="101">
        <v>0.0</v>
      </c>
      <c r="J40" s="101">
        <v>0.0</v>
      </c>
      <c r="L40" s="100">
        <v>75.0</v>
      </c>
      <c r="N40" s="101">
        <v>75.0</v>
      </c>
      <c r="P40" s="101">
        <v>0.0</v>
      </c>
      <c r="R40" s="101">
        <v>0.0</v>
      </c>
      <c r="T40" s="101">
        <v>0.0</v>
      </c>
      <c r="V40" s="101">
        <v>0.0</v>
      </c>
      <c r="X40" s="101">
        <v>0.0</v>
      </c>
      <c r="Y40" s="73"/>
      <c r="Z40" s="100">
        <v>24.0</v>
      </c>
      <c r="AB40" s="101">
        <v>24.0</v>
      </c>
      <c r="AD40" s="101">
        <v>0.0</v>
      </c>
      <c r="AF40" s="108">
        <f t="shared" si="1"/>
        <v>2360.16</v>
      </c>
      <c r="AG40" s="78">
        <f t="shared" si="2"/>
        <v>198</v>
      </c>
      <c r="AH40" s="78">
        <f t="shared" si="3"/>
        <v>0</v>
      </c>
      <c r="AI40" s="78">
        <f t="shared" si="4"/>
        <v>198</v>
      </c>
      <c r="AJ40" s="82">
        <f t="shared" si="5"/>
        <v>11.92</v>
      </c>
    </row>
    <row r="41">
      <c r="A41" s="76" t="s">
        <v>21</v>
      </c>
      <c r="B41" s="77">
        <f t="shared" si="6"/>
        <v>45330</v>
      </c>
      <c r="C41" s="78">
        <v>2.0</v>
      </c>
      <c r="D41" s="78" t="s">
        <v>59</v>
      </c>
      <c r="E41" s="80" t="s">
        <v>127</v>
      </c>
      <c r="F41" s="100">
        <v>0.0</v>
      </c>
      <c r="H41" s="101">
        <v>0.0</v>
      </c>
      <c r="J41" s="101">
        <v>0.0</v>
      </c>
      <c r="L41" s="100">
        <v>75.0</v>
      </c>
      <c r="N41" s="101">
        <v>75.0</v>
      </c>
      <c r="P41" s="101">
        <v>0.0</v>
      </c>
      <c r="R41" s="101">
        <v>0.0</v>
      </c>
      <c r="T41" s="101">
        <v>0.0</v>
      </c>
      <c r="V41" s="101">
        <v>0.0</v>
      </c>
      <c r="X41" s="101">
        <v>0.0</v>
      </c>
      <c r="Y41" s="73"/>
      <c r="Z41" s="100">
        <v>24.0</v>
      </c>
      <c r="AB41" s="101">
        <v>24.0</v>
      </c>
      <c r="AD41" s="101">
        <v>0.0</v>
      </c>
      <c r="AF41" s="108">
        <f t="shared" si="1"/>
        <v>2360.16</v>
      </c>
      <c r="AG41" s="78">
        <f t="shared" si="2"/>
        <v>198</v>
      </c>
      <c r="AH41" s="78">
        <f t="shared" si="3"/>
        <v>0</v>
      </c>
      <c r="AI41" s="78">
        <f t="shared" si="4"/>
        <v>198</v>
      </c>
      <c r="AJ41" s="82">
        <f t="shared" si="5"/>
        <v>11.92</v>
      </c>
    </row>
    <row r="42">
      <c r="A42" s="76" t="s">
        <v>24</v>
      </c>
      <c r="B42" s="77">
        <f t="shared" si="6"/>
        <v>45331</v>
      </c>
      <c r="C42" s="78">
        <v>2.0</v>
      </c>
      <c r="D42" s="78" t="s">
        <v>59</v>
      </c>
      <c r="E42" s="80" t="s">
        <v>127</v>
      </c>
      <c r="F42" s="100">
        <v>0.0</v>
      </c>
      <c r="H42" s="101">
        <v>0.0</v>
      </c>
      <c r="J42" s="101">
        <v>0.0</v>
      </c>
      <c r="L42" s="100">
        <v>50.0</v>
      </c>
      <c r="N42" s="101">
        <v>50.0</v>
      </c>
      <c r="P42" s="101">
        <v>0.0</v>
      </c>
      <c r="R42" s="101">
        <v>0.0</v>
      </c>
      <c r="T42" s="101">
        <v>0.0</v>
      </c>
      <c r="V42" s="101">
        <v>0.0</v>
      </c>
      <c r="X42" s="101">
        <v>0.0</v>
      </c>
      <c r="Y42" s="73"/>
      <c r="Z42" s="100">
        <v>24.0</v>
      </c>
      <c r="AB42" s="101">
        <v>24.0</v>
      </c>
      <c r="AD42" s="101">
        <v>0.0</v>
      </c>
      <c r="AF42" s="108">
        <f t="shared" si="1"/>
        <v>1764.16</v>
      </c>
      <c r="AG42" s="78">
        <f t="shared" si="2"/>
        <v>148</v>
      </c>
      <c r="AH42" s="78">
        <f t="shared" si="3"/>
        <v>0</v>
      </c>
      <c r="AI42" s="78">
        <f t="shared" si="4"/>
        <v>148</v>
      </c>
      <c r="AJ42" s="82">
        <f t="shared" si="5"/>
        <v>11.92</v>
      </c>
    </row>
    <row r="43">
      <c r="A43" s="76" t="s">
        <v>27</v>
      </c>
      <c r="B43" s="77">
        <f t="shared" si="6"/>
        <v>45332</v>
      </c>
      <c r="C43" s="78">
        <v>2.0</v>
      </c>
      <c r="D43" s="78" t="s">
        <v>59</v>
      </c>
      <c r="E43" s="80" t="s">
        <v>127</v>
      </c>
      <c r="F43" s="100">
        <v>32.0</v>
      </c>
      <c r="H43" s="101">
        <v>32.0</v>
      </c>
      <c r="J43" s="101">
        <v>0.0</v>
      </c>
      <c r="L43" s="100">
        <v>0.0</v>
      </c>
      <c r="N43" s="101">
        <v>0.0</v>
      </c>
      <c r="P43" s="101">
        <v>0.0</v>
      </c>
      <c r="R43" s="101">
        <v>0.0</v>
      </c>
      <c r="T43" s="101">
        <v>0.0</v>
      </c>
      <c r="V43" s="101">
        <v>0.0</v>
      </c>
      <c r="X43" s="101">
        <v>0.0</v>
      </c>
      <c r="Y43" s="73"/>
      <c r="Z43" s="100">
        <v>0.0</v>
      </c>
      <c r="AB43" s="101">
        <v>0.0</v>
      </c>
      <c r="AD43" s="101">
        <v>0.0</v>
      </c>
      <c r="AF43" s="108">
        <f t="shared" si="1"/>
        <v>1201.4016</v>
      </c>
      <c r="AG43" s="78">
        <f t="shared" si="2"/>
        <v>64</v>
      </c>
      <c r="AH43" s="78">
        <f t="shared" si="3"/>
        <v>0</v>
      </c>
      <c r="AI43" s="78">
        <f t="shared" si="4"/>
        <v>64</v>
      </c>
      <c r="AJ43" s="82">
        <f t="shared" si="5"/>
        <v>18.7719</v>
      </c>
    </row>
    <row r="44">
      <c r="A44" s="83" t="s">
        <v>30</v>
      </c>
      <c r="B44" s="84">
        <f t="shared" si="6"/>
        <v>45333</v>
      </c>
      <c r="C44" s="85">
        <v>2.0</v>
      </c>
      <c r="D44" s="85" t="s">
        <v>59</v>
      </c>
      <c r="E44" s="87" t="s">
        <v>127</v>
      </c>
      <c r="F44" s="114">
        <v>32.0</v>
      </c>
      <c r="G44" s="89"/>
      <c r="H44" s="115">
        <v>32.0</v>
      </c>
      <c r="I44" s="89"/>
      <c r="J44" s="115">
        <v>0.0</v>
      </c>
      <c r="K44" s="89"/>
      <c r="L44" s="114">
        <v>0.0</v>
      </c>
      <c r="M44" s="89"/>
      <c r="N44" s="115">
        <v>0.0</v>
      </c>
      <c r="O44" s="89"/>
      <c r="P44" s="115">
        <v>0.0</v>
      </c>
      <c r="Q44" s="89"/>
      <c r="R44" s="115">
        <v>0.0</v>
      </c>
      <c r="S44" s="89"/>
      <c r="T44" s="115">
        <v>0.0</v>
      </c>
      <c r="U44" s="89"/>
      <c r="V44" s="115">
        <v>0.0</v>
      </c>
      <c r="W44" s="89"/>
      <c r="X44" s="115">
        <v>0.0</v>
      </c>
      <c r="Y44" s="91"/>
      <c r="Z44" s="114">
        <v>0.0</v>
      </c>
      <c r="AA44" s="89"/>
      <c r="AB44" s="115">
        <v>0.0</v>
      </c>
      <c r="AC44" s="89"/>
      <c r="AD44" s="115">
        <v>0.0</v>
      </c>
      <c r="AE44" s="89"/>
      <c r="AF44" s="116">
        <f t="shared" si="1"/>
        <v>1201.4016</v>
      </c>
      <c r="AG44" s="85">
        <f t="shared" si="2"/>
        <v>64</v>
      </c>
      <c r="AH44" s="85">
        <f t="shared" si="3"/>
        <v>0</v>
      </c>
      <c r="AI44" s="85">
        <f t="shared" si="4"/>
        <v>64</v>
      </c>
      <c r="AJ44" s="93">
        <f t="shared" si="5"/>
        <v>18.7719</v>
      </c>
    </row>
    <row r="45">
      <c r="A45" s="66" t="s">
        <v>11</v>
      </c>
      <c r="B45" s="94">
        <f t="shared" si="6"/>
        <v>45334</v>
      </c>
      <c r="C45" s="68">
        <v>2.0</v>
      </c>
      <c r="D45" s="68" t="s">
        <v>12</v>
      </c>
      <c r="E45" s="70" t="s">
        <v>13</v>
      </c>
      <c r="F45" s="100">
        <v>80.0</v>
      </c>
      <c r="H45" s="101">
        <v>80.0</v>
      </c>
      <c r="J45" s="101">
        <v>0.0</v>
      </c>
      <c r="L45" s="100">
        <v>50.0</v>
      </c>
      <c r="N45" s="101">
        <v>50.0</v>
      </c>
      <c r="P45" s="101">
        <v>0.0</v>
      </c>
      <c r="R45" s="101">
        <v>0.0</v>
      </c>
      <c r="T45" s="101">
        <v>1.0</v>
      </c>
      <c r="V45" s="101">
        <v>1.0</v>
      </c>
      <c r="X45" s="101">
        <v>0.0</v>
      </c>
      <c r="Y45" s="73"/>
      <c r="Z45" s="100">
        <v>24.0</v>
      </c>
      <c r="AB45" s="101">
        <v>24.0</v>
      </c>
      <c r="AD45" s="101">
        <v>0.0</v>
      </c>
      <c r="AF45" s="106">
        <f t="shared" si="1"/>
        <v>5502.664</v>
      </c>
      <c r="AG45" s="68">
        <f t="shared" si="2"/>
        <v>308</v>
      </c>
      <c r="AH45" s="68">
        <f t="shared" si="3"/>
        <v>2</v>
      </c>
      <c r="AI45" s="68">
        <f t="shared" si="4"/>
        <v>310</v>
      </c>
      <c r="AJ45" s="75">
        <f t="shared" si="5"/>
        <v>17.75052903</v>
      </c>
    </row>
    <row r="46">
      <c r="A46" s="76" t="s">
        <v>16</v>
      </c>
      <c r="B46" s="77">
        <f t="shared" si="6"/>
        <v>45335</v>
      </c>
      <c r="C46" s="78">
        <v>2.0</v>
      </c>
      <c r="D46" s="78" t="s">
        <v>12</v>
      </c>
      <c r="E46" s="80" t="s">
        <v>13</v>
      </c>
      <c r="F46" s="100">
        <v>120.0</v>
      </c>
      <c r="H46" s="101">
        <v>120.0</v>
      </c>
      <c r="J46" s="101">
        <v>0.0</v>
      </c>
      <c r="L46" s="100">
        <v>0.0</v>
      </c>
      <c r="N46" s="101">
        <v>40.0</v>
      </c>
      <c r="P46" s="101">
        <v>0.0</v>
      </c>
      <c r="R46" s="101">
        <v>40.0</v>
      </c>
      <c r="T46" s="101">
        <v>0.0</v>
      </c>
      <c r="V46" s="101">
        <v>0.0</v>
      </c>
      <c r="X46" s="101">
        <v>40.0</v>
      </c>
      <c r="Y46" s="73"/>
      <c r="Z46" s="100">
        <v>24.0</v>
      </c>
      <c r="AB46" s="101">
        <v>24.0</v>
      </c>
      <c r="AD46" s="101">
        <v>0.0</v>
      </c>
      <c r="AF46" s="108">
        <f t="shared" si="1"/>
        <v>6079.416</v>
      </c>
      <c r="AG46" s="78">
        <f t="shared" si="2"/>
        <v>408</v>
      </c>
      <c r="AH46" s="78">
        <f t="shared" si="3"/>
        <v>0</v>
      </c>
      <c r="AI46" s="78">
        <f t="shared" si="4"/>
        <v>408</v>
      </c>
      <c r="AJ46" s="82">
        <f t="shared" si="5"/>
        <v>14.90052941</v>
      </c>
    </row>
    <row r="47">
      <c r="A47" s="76" t="s">
        <v>17</v>
      </c>
      <c r="B47" s="77">
        <f t="shared" si="6"/>
        <v>45336</v>
      </c>
      <c r="C47" s="78">
        <v>2.0</v>
      </c>
      <c r="D47" s="78" t="s">
        <v>12</v>
      </c>
      <c r="E47" s="80" t="s">
        <v>13</v>
      </c>
      <c r="F47" s="100">
        <v>120.0</v>
      </c>
      <c r="H47" s="101">
        <v>120.0</v>
      </c>
      <c r="J47" s="101">
        <v>0.0</v>
      </c>
      <c r="L47" s="100">
        <v>118.0</v>
      </c>
      <c r="N47" s="101">
        <v>118.0</v>
      </c>
      <c r="P47" s="101">
        <v>0.0</v>
      </c>
      <c r="R47" s="101">
        <v>0.0</v>
      </c>
      <c r="T47" s="101">
        <v>0.0</v>
      </c>
      <c r="V47" s="101">
        <v>0.0</v>
      </c>
      <c r="X47" s="101">
        <v>0.0</v>
      </c>
      <c r="Y47" s="73"/>
      <c r="Z47" s="100">
        <v>13.0</v>
      </c>
      <c r="AB47" s="101">
        <v>13.0</v>
      </c>
      <c r="AD47" s="101">
        <v>0.0</v>
      </c>
      <c r="AF47" s="108">
        <f t="shared" si="1"/>
        <v>7628.296</v>
      </c>
      <c r="AG47" s="78">
        <f t="shared" si="2"/>
        <v>502</v>
      </c>
      <c r="AH47" s="78">
        <f t="shared" si="3"/>
        <v>0</v>
      </c>
      <c r="AI47" s="78">
        <f t="shared" si="4"/>
        <v>502</v>
      </c>
      <c r="AJ47" s="82">
        <f t="shared" si="5"/>
        <v>15.19580876</v>
      </c>
    </row>
    <row r="48">
      <c r="A48" s="76" t="s">
        <v>21</v>
      </c>
      <c r="B48" s="77">
        <f t="shared" si="6"/>
        <v>45337</v>
      </c>
      <c r="C48" s="78">
        <v>2.0</v>
      </c>
      <c r="D48" s="78" t="s">
        <v>12</v>
      </c>
      <c r="E48" s="80" t="s">
        <v>13</v>
      </c>
      <c r="F48" s="100">
        <v>120.0</v>
      </c>
      <c r="H48" s="101">
        <v>120.0</v>
      </c>
      <c r="J48" s="101">
        <v>0.0</v>
      </c>
      <c r="L48" s="100">
        <v>118.0</v>
      </c>
      <c r="N48" s="101">
        <v>118.0</v>
      </c>
      <c r="P48" s="101">
        <v>0.0</v>
      </c>
      <c r="R48" s="101">
        <v>90.0</v>
      </c>
      <c r="T48" s="101">
        <v>0.0</v>
      </c>
      <c r="V48" s="101">
        <v>0.0</v>
      </c>
      <c r="X48" s="101">
        <v>0.0</v>
      </c>
      <c r="Y48" s="73"/>
      <c r="Z48" s="100">
        <v>0.0</v>
      </c>
      <c r="AB48" s="101">
        <v>24.0</v>
      </c>
      <c r="AD48" s="101">
        <v>0.0</v>
      </c>
      <c r="AF48" s="108">
        <f t="shared" si="1"/>
        <v>8030.156</v>
      </c>
      <c r="AG48" s="78">
        <f t="shared" si="2"/>
        <v>590</v>
      </c>
      <c r="AH48" s="78">
        <f t="shared" si="3"/>
        <v>0</v>
      </c>
      <c r="AI48" s="78">
        <f t="shared" si="4"/>
        <v>590</v>
      </c>
      <c r="AJ48" s="82">
        <f t="shared" si="5"/>
        <v>13.6104339</v>
      </c>
    </row>
    <row r="49">
      <c r="A49" s="76" t="s">
        <v>24</v>
      </c>
      <c r="B49" s="77">
        <f t="shared" si="6"/>
        <v>45338</v>
      </c>
      <c r="C49" s="78">
        <v>2.0</v>
      </c>
      <c r="D49" s="78" t="s">
        <v>12</v>
      </c>
      <c r="E49" s="80" t="s">
        <v>13</v>
      </c>
      <c r="F49" s="100">
        <v>120.0</v>
      </c>
      <c r="H49" s="101">
        <v>120.0</v>
      </c>
      <c r="J49" s="101">
        <v>0.0</v>
      </c>
      <c r="L49" s="100">
        <v>118.0</v>
      </c>
      <c r="N49" s="101">
        <v>118.0</v>
      </c>
      <c r="P49" s="101">
        <v>0.0</v>
      </c>
      <c r="R49" s="101">
        <v>0.0</v>
      </c>
      <c r="T49" s="101">
        <v>0.0</v>
      </c>
      <c r="V49" s="101">
        <v>0.0</v>
      </c>
      <c r="X49" s="101">
        <v>0.0</v>
      </c>
      <c r="Y49" s="73"/>
      <c r="Z49" s="100">
        <v>23.0</v>
      </c>
      <c r="AB49" s="101">
        <v>23.0</v>
      </c>
      <c r="AD49" s="101">
        <v>0.0</v>
      </c>
      <c r="AF49" s="108">
        <f t="shared" si="1"/>
        <v>7866.696</v>
      </c>
      <c r="AG49" s="78">
        <f t="shared" si="2"/>
        <v>522</v>
      </c>
      <c r="AH49" s="78">
        <f t="shared" si="3"/>
        <v>0</v>
      </c>
      <c r="AI49" s="78">
        <f t="shared" si="4"/>
        <v>522</v>
      </c>
      <c r="AJ49" s="82">
        <f t="shared" si="5"/>
        <v>15.07029885</v>
      </c>
    </row>
    <row r="50">
      <c r="A50" s="76" t="s">
        <v>27</v>
      </c>
      <c r="B50" s="77">
        <f t="shared" si="6"/>
        <v>45339</v>
      </c>
      <c r="C50" s="78">
        <v>2.0</v>
      </c>
      <c r="D50" s="78" t="s">
        <v>12</v>
      </c>
      <c r="E50" s="80" t="s">
        <v>13</v>
      </c>
      <c r="F50" s="100">
        <v>120.0</v>
      </c>
      <c r="H50" s="101">
        <v>120.0</v>
      </c>
      <c r="J50" s="101">
        <v>0.0</v>
      </c>
      <c r="L50" s="100">
        <v>118.0</v>
      </c>
      <c r="N50" s="101">
        <v>118.0</v>
      </c>
      <c r="P50" s="101">
        <v>0.0</v>
      </c>
      <c r="R50" s="101">
        <v>0.0</v>
      </c>
      <c r="T50" s="101">
        <v>0.0</v>
      </c>
      <c r="V50" s="101">
        <v>0.0</v>
      </c>
      <c r="X50" s="101">
        <v>0.0</v>
      </c>
      <c r="Y50" s="73"/>
      <c r="Z50" s="100">
        <v>13.0</v>
      </c>
      <c r="AB50" s="101">
        <v>13.0</v>
      </c>
      <c r="AD50" s="101">
        <v>0.0</v>
      </c>
      <c r="AF50" s="108">
        <f t="shared" si="1"/>
        <v>7628.296</v>
      </c>
      <c r="AG50" s="78">
        <f t="shared" si="2"/>
        <v>502</v>
      </c>
      <c r="AH50" s="78">
        <f t="shared" si="3"/>
        <v>0</v>
      </c>
      <c r="AI50" s="78">
        <f t="shared" si="4"/>
        <v>502</v>
      </c>
      <c r="AJ50" s="82">
        <f t="shared" si="5"/>
        <v>15.19580876</v>
      </c>
    </row>
    <row r="51">
      <c r="A51" s="83" t="s">
        <v>30</v>
      </c>
      <c r="B51" s="84">
        <f t="shared" si="6"/>
        <v>45340</v>
      </c>
      <c r="C51" s="85">
        <v>2.0</v>
      </c>
      <c r="D51" s="85" t="s">
        <v>12</v>
      </c>
      <c r="E51" s="87" t="s">
        <v>13</v>
      </c>
      <c r="F51" s="114">
        <v>120.0</v>
      </c>
      <c r="G51" s="89"/>
      <c r="H51" s="115">
        <v>120.0</v>
      </c>
      <c r="I51" s="89"/>
      <c r="J51" s="115">
        <v>0.0</v>
      </c>
      <c r="K51" s="89"/>
      <c r="L51" s="114">
        <v>40.0</v>
      </c>
      <c r="M51" s="89"/>
      <c r="N51" s="115">
        <v>118.0</v>
      </c>
      <c r="O51" s="89"/>
      <c r="P51" s="115">
        <v>0.0</v>
      </c>
      <c r="Q51" s="89"/>
      <c r="R51" s="115">
        <v>90.0</v>
      </c>
      <c r="S51" s="89"/>
      <c r="T51" s="115">
        <v>0.0</v>
      </c>
      <c r="U51" s="89"/>
      <c r="V51" s="115">
        <v>0.0</v>
      </c>
      <c r="W51" s="89"/>
      <c r="X51" s="115">
        <v>0.0</v>
      </c>
      <c r="Y51" s="91"/>
      <c r="Z51" s="114">
        <v>5.0</v>
      </c>
      <c r="AA51" s="89"/>
      <c r="AB51" s="115">
        <v>5.0</v>
      </c>
      <c r="AC51" s="89"/>
      <c r="AD51" s="115">
        <v>0.0</v>
      </c>
      <c r="AE51" s="89"/>
      <c r="AF51" s="116">
        <f t="shared" si="1"/>
        <v>6933.516</v>
      </c>
      <c r="AG51" s="85">
        <f t="shared" si="2"/>
        <v>498</v>
      </c>
      <c r="AH51" s="85">
        <f t="shared" si="3"/>
        <v>0</v>
      </c>
      <c r="AI51" s="85">
        <f t="shared" si="4"/>
        <v>498</v>
      </c>
      <c r="AJ51" s="93">
        <f t="shared" si="5"/>
        <v>13.92272289</v>
      </c>
    </row>
    <row r="52">
      <c r="A52" s="66" t="s">
        <v>11</v>
      </c>
      <c r="B52" s="94">
        <f t="shared" si="6"/>
        <v>45341</v>
      </c>
      <c r="C52" s="68">
        <v>2.0</v>
      </c>
      <c r="D52" s="68" t="s">
        <v>33</v>
      </c>
      <c r="E52" s="70" t="s">
        <v>13</v>
      </c>
      <c r="F52" s="100">
        <v>140.0</v>
      </c>
      <c r="H52" s="101">
        <v>140.0</v>
      </c>
      <c r="J52" s="101">
        <v>0.0</v>
      </c>
      <c r="L52" s="100">
        <v>121.0</v>
      </c>
      <c r="N52" s="101">
        <v>121.0</v>
      </c>
      <c r="P52" s="101">
        <v>0.0</v>
      </c>
      <c r="R52" s="101">
        <v>0.0</v>
      </c>
      <c r="T52" s="101">
        <v>1.0</v>
      </c>
      <c r="V52" s="101">
        <v>1.0</v>
      </c>
      <c r="X52" s="101">
        <v>0.0</v>
      </c>
      <c r="Y52" s="73"/>
      <c r="Z52" s="100">
        <v>26.0</v>
      </c>
      <c r="AB52" s="101">
        <v>26.0</v>
      </c>
      <c r="AD52" s="101">
        <v>0.0</v>
      </c>
      <c r="AF52" s="106">
        <f t="shared" si="1"/>
        <v>9495.612</v>
      </c>
      <c r="AG52" s="152">
        <f t="shared" si="2"/>
        <v>574</v>
      </c>
      <c r="AH52" s="68">
        <f t="shared" si="3"/>
        <v>2</v>
      </c>
      <c r="AI52" s="68">
        <f t="shared" si="4"/>
        <v>576</v>
      </c>
      <c r="AJ52" s="75">
        <f t="shared" si="5"/>
        <v>16.4854375</v>
      </c>
    </row>
    <row r="53">
      <c r="A53" s="76" t="s">
        <v>16</v>
      </c>
      <c r="B53" s="77">
        <f t="shared" si="6"/>
        <v>45342</v>
      </c>
      <c r="C53" s="78">
        <v>2.0</v>
      </c>
      <c r="D53" s="78" t="s">
        <v>33</v>
      </c>
      <c r="E53" s="80" t="s">
        <v>13</v>
      </c>
      <c r="F53" s="100">
        <v>140.0</v>
      </c>
      <c r="H53" s="101">
        <v>140.0</v>
      </c>
      <c r="J53" s="101">
        <v>0.0</v>
      </c>
      <c r="L53" s="100">
        <v>141.0</v>
      </c>
      <c r="N53" s="101">
        <v>141.0</v>
      </c>
      <c r="P53" s="101">
        <v>0.0</v>
      </c>
      <c r="R53" s="101">
        <v>0.0</v>
      </c>
      <c r="T53" s="101">
        <v>0.0</v>
      </c>
      <c r="V53" s="101">
        <v>0.0</v>
      </c>
      <c r="X53" s="101">
        <v>0.0</v>
      </c>
      <c r="Y53" s="73"/>
      <c r="Z53" s="100">
        <v>25.0</v>
      </c>
      <c r="AB53" s="101">
        <v>25.0</v>
      </c>
      <c r="AD53" s="101">
        <v>0.0</v>
      </c>
      <c r="AF53" s="108">
        <f t="shared" si="1"/>
        <v>9213.572</v>
      </c>
      <c r="AG53" s="153">
        <f t="shared" si="2"/>
        <v>612</v>
      </c>
      <c r="AH53" s="78">
        <f t="shared" si="3"/>
        <v>0</v>
      </c>
      <c r="AI53" s="78">
        <f t="shared" si="4"/>
        <v>612</v>
      </c>
      <c r="AJ53" s="82">
        <f t="shared" si="5"/>
        <v>15.05485621</v>
      </c>
    </row>
    <row r="54">
      <c r="A54" s="76" t="s">
        <v>17</v>
      </c>
      <c r="B54" s="77">
        <f t="shared" si="6"/>
        <v>45343</v>
      </c>
      <c r="C54" s="78">
        <v>2.0</v>
      </c>
      <c r="D54" s="78" t="s">
        <v>33</v>
      </c>
      <c r="E54" s="80" t="s">
        <v>13</v>
      </c>
      <c r="F54" s="100">
        <v>140.0</v>
      </c>
      <c r="H54" s="101">
        <v>140.0</v>
      </c>
      <c r="J54" s="101">
        <v>0.0</v>
      </c>
      <c r="L54" s="100">
        <v>141.0</v>
      </c>
      <c r="N54" s="101">
        <v>141.0</v>
      </c>
      <c r="P54" s="101">
        <v>0.0</v>
      </c>
      <c r="R54" s="101">
        <v>0.0</v>
      </c>
      <c r="T54" s="101">
        <v>0.0</v>
      </c>
      <c r="V54" s="101">
        <v>0.0</v>
      </c>
      <c r="X54" s="101">
        <v>0.0</v>
      </c>
      <c r="Y54" s="73"/>
      <c r="Z54" s="100">
        <v>25.0</v>
      </c>
      <c r="AB54" s="101">
        <v>25.0</v>
      </c>
      <c r="AD54" s="101">
        <v>0.0</v>
      </c>
      <c r="AF54" s="108">
        <f t="shared" si="1"/>
        <v>9213.572</v>
      </c>
      <c r="AG54" s="153">
        <f t="shared" si="2"/>
        <v>612</v>
      </c>
      <c r="AH54" s="78">
        <f t="shared" si="3"/>
        <v>0</v>
      </c>
      <c r="AI54" s="78">
        <f t="shared" si="4"/>
        <v>612</v>
      </c>
      <c r="AJ54" s="82">
        <f t="shared" si="5"/>
        <v>15.05485621</v>
      </c>
    </row>
    <row r="55">
      <c r="A55" s="76" t="s">
        <v>21</v>
      </c>
      <c r="B55" s="77">
        <f t="shared" si="6"/>
        <v>45344</v>
      </c>
      <c r="C55" s="78">
        <v>2.0</v>
      </c>
      <c r="D55" s="78" t="s">
        <v>33</v>
      </c>
      <c r="E55" s="80" t="s">
        <v>13</v>
      </c>
      <c r="F55" s="100">
        <v>140.0</v>
      </c>
      <c r="H55" s="101">
        <v>140.0</v>
      </c>
      <c r="J55" s="101">
        <v>0.0</v>
      </c>
      <c r="L55" s="100">
        <v>146.0</v>
      </c>
      <c r="N55" s="101">
        <v>146.0</v>
      </c>
      <c r="P55" s="101">
        <v>0.0</v>
      </c>
      <c r="R55" s="101">
        <v>0.0</v>
      </c>
      <c r="T55" s="101">
        <v>0.0</v>
      </c>
      <c r="V55" s="101">
        <v>0.0</v>
      </c>
      <c r="X55" s="101">
        <v>0.0</v>
      </c>
      <c r="Y55" s="73"/>
      <c r="Z55" s="100">
        <v>25.0</v>
      </c>
      <c r="AB55" s="101">
        <v>25.0</v>
      </c>
      <c r="AD55" s="101">
        <v>0.0</v>
      </c>
      <c r="AF55" s="108">
        <f t="shared" si="1"/>
        <v>9332.772</v>
      </c>
      <c r="AG55" s="153">
        <f t="shared" si="2"/>
        <v>622</v>
      </c>
      <c r="AH55" s="78">
        <f t="shared" si="3"/>
        <v>0</v>
      </c>
      <c r="AI55" s="78">
        <f t="shared" si="4"/>
        <v>622</v>
      </c>
      <c r="AJ55" s="82">
        <f t="shared" si="5"/>
        <v>15.00445659</v>
      </c>
    </row>
    <row r="56">
      <c r="A56" s="76" t="s">
        <v>24</v>
      </c>
      <c r="B56" s="77">
        <f t="shared" si="6"/>
        <v>45345</v>
      </c>
      <c r="C56" s="78">
        <v>2.0</v>
      </c>
      <c r="D56" s="78" t="s">
        <v>33</v>
      </c>
      <c r="E56" s="80" t="s">
        <v>13</v>
      </c>
      <c r="F56" s="100">
        <v>140.0</v>
      </c>
      <c r="H56" s="101">
        <v>140.0</v>
      </c>
      <c r="J56" s="101">
        <v>0.0</v>
      </c>
      <c r="L56" s="100">
        <v>164.0</v>
      </c>
      <c r="N56" s="101">
        <v>164.0</v>
      </c>
      <c r="P56" s="101">
        <v>0.0</v>
      </c>
      <c r="R56" s="101">
        <v>0.0</v>
      </c>
      <c r="T56" s="101">
        <v>0.0</v>
      </c>
      <c r="V56" s="101">
        <v>0.0</v>
      </c>
      <c r="X56" s="101">
        <v>0.0</v>
      </c>
      <c r="Y56" s="73"/>
      <c r="Z56" s="100">
        <v>25.0</v>
      </c>
      <c r="AB56" s="101">
        <v>25.0</v>
      </c>
      <c r="AD56" s="101">
        <v>0.0</v>
      </c>
      <c r="AF56" s="108">
        <f t="shared" si="1"/>
        <v>9761.892</v>
      </c>
      <c r="AG56" s="153">
        <f t="shared" si="2"/>
        <v>658</v>
      </c>
      <c r="AH56" s="78">
        <f t="shared" si="3"/>
        <v>0</v>
      </c>
      <c r="AI56" s="78">
        <f t="shared" si="4"/>
        <v>658</v>
      </c>
      <c r="AJ56" s="82">
        <f t="shared" si="5"/>
        <v>14.83570213</v>
      </c>
    </row>
    <row r="57">
      <c r="A57" s="76" t="s">
        <v>27</v>
      </c>
      <c r="B57" s="77">
        <f t="shared" si="6"/>
        <v>45346</v>
      </c>
      <c r="C57" s="78">
        <v>2.0</v>
      </c>
      <c r="D57" s="78" t="s">
        <v>33</v>
      </c>
      <c r="E57" s="80" t="s">
        <v>13</v>
      </c>
      <c r="F57" s="100">
        <v>140.0</v>
      </c>
      <c r="H57" s="101">
        <v>140.0</v>
      </c>
      <c r="J57" s="101">
        <v>0.0</v>
      </c>
      <c r="L57" s="100">
        <v>110.0</v>
      </c>
      <c r="N57" s="101">
        <v>110.0</v>
      </c>
      <c r="P57" s="101">
        <v>0.0</v>
      </c>
      <c r="R57" s="101">
        <v>0.0</v>
      </c>
      <c r="T57" s="101">
        <v>0.0</v>
      </c>
      <c r="V57" s="101">
        <v>0.0</v>
      </c>
      <c r="X57" s="101">
        <v>0.0</v>
      </c>
      <c r="Y57" s="73"/>
      <c r="Z57" s="100">
        <v>13.0</v>
      </c>
      <c r="AB57" s="101">
        <v>13.0</v>
      </c>
      <c r="AD57" s="101">
        <v>0.0</v>
      </c>
      <c r="AF57" s="108">
        <f t="shared" si="1"/>
        <v>8188.452</v>
      </c>
      <c r="AG57" s="153">
        <f t="shared" si="2"/>
        <v>526</v>
      </c>
      <c r="AH57" s="78">
        <f t="shared" si="3"/>
        <v>0</v>
      </c>
      <c r="AI57" s="78">
        <f t="shared" si="4"/>
        <v>526</v>
      </c>
      <c r="AJ57" s="82">
        <f t="shared" si="5"/>
        <v>15.56739924</v>
      </c>
    </row>
    <row r="58">
      <c r="A58" s="83" t="s">
        <v>30</v>
      </c>
      <c r="B58" s="84">
        <f t="shared" si="6"/>
        <v>45347</v>
      </c>
      <c r="C58" s="85">
        <v>2.0</v>
      </c>
      <c r="D58" s="85" t="s">
        <v>33</v>
      </c>
      <c r="E58" s="87" t="s">
        <v>13</v>
      </c>
      <c r="F58" s="114">
        <v>140.0</v>
      </c>
      <c r="G58" s="89"/>
      <c r="H58" s="115">
        <v>140.0</v>
      </c>
      <c r="I58" s="89"/>
      <c r="J58" s="115">
        <v>0.0</v>
      </c>
      <c r="K58" s="89"/>
      <c r="L58" s="114">
        <v>110.0</v>
      </c>
      <c r="M58" s="89"/>
      <c r="N58" s="115">
        <v>191.0</v>
      </c>
      <c r="O58" s="89"/>
      <c r="P58" s="115">
        <v>100.0</v>
      </c>
      <c r="Q58" s="89"/>
      <c r="R58" s="115">
        <v>0.0</v>
      </c>
      <c r="S58" s="89"/>
      <c r="T58" s="115">
        <v>0.0</v>
      </c>
      <c r="U58" s="89"/>
      <c r="V58" s="115">
        <v>0.0</v>
      </c>
      <c r="W58" s="89"/>
      <c r="X58" s="115">
        <v>0.0</v>
      </c>
      <c r="Y58" s="91"/>
      <c r="Z58" s="114">
        <v>5.0</v>
      </c>
      <c r="AA58" s="89"/>
      <c r="AB58" s="115">
        <v>5.0</v>
      </c>
      <c r="AC58" s="89"/>
      <c r="AD58" s="115">
        <v>0.0</v>
      </c>
      <c r="AE58" s="89"/>
      <c r="AF58" s="116">
        <f t="shared" si="1"/>
        <v>10155.252</v>
      </c>
      <c r="AG58" s="154">
        <f t="shared" si="2"/>
        <v>691</v>
      </c>
      <c r="AH58" s="85">
        <f t="shared" si="3"/>
        <v>0</v>
      </c>
      <c r="AI58" s="85">
        <f t="shared" si="4"/>
        <v>691</v>
      </c>
      <c r="AJ58" s="93">
        <f t="shared" si="5"/>
        <v>14.69645731</v>
      </c>
    </row>
    <row r="59">
      <c r="A59" s="66" t="s">
        <v>11</v>
      </c>
      <c r="B59" s="94">
        <f t="shared" si="6"/>
        <v>45348</v>
      </c>
      <c r="C59" s="68">
        <v>3.0</v>
      </c>
      <c r="D59" s="68" t="s">
        <v>48</v>
      </c>
      <c r="E59" s="70" t="s">
        <v>13</v>
      </c>
      <c r="F59" s="100">
        <v>140.0</v>
      </c>
      <c r="H59" s="101">
        <v>140.0</v>
      </c>
      <c r="J59" s="101">
        <v>0.0</v>
      </c>
      <c r="L59" s="100">
        <v>197.0</v>
      </c>
      <c r="N59" s="101">
        <v>197.0</v>
      </c>
      <c r="P59" s="101">
        <v>0.0</v>
      </c>
      <c r="R59" s="101">
        <v>0.0</v>
      </c>
      <c r="T59" s="101">
        <v>1.0</v>
      </c>
      <c r="V59" s="101">
        <v>1.0</v>
      </c>
      <c r="X59" s="101">
        <v>0.0</v>
      </c>
      <c r="Y59" s="73"/>
      <c r="Z59" s="100">
        <v>17.0</v>
      </c>
      <c r="AB59" s="101">
        <v>17.0</v>
      </c>
      <c r="AD59" s="101">
        <v>0.0</v>
      </c>
      <c r="AF59" s="74">
        <f t="shared" si="1"/>
        <v>11092.892</v>
      </c>
      <c r="AG59" s="68">
        <f t="shared" si="2"/>
        <v>708</v>
      </c>
      <c r="AH59" s="68">
        <f t="shared" si="3"/>
        <v>2</v>
      </c>
      <c r="AI59" s="68">
        <f t="shared" si="4"/>
        <v>710</v>
      </c>
      <c r="AJ59" s="75">
        <f t="shared" si="5"/>
        <v>15.62379155</v>
      </c>
    </row>
    <row r="60">
      <c r="A60" s="76" t="s">
        <v>16</v>
      </c>
      <c r="B60" s="77">
        <f t="shared" si="6"/>
        <v>45349</v>
      </c>
      <c r="C60" s="78">
        <v>3.0</v>
      </c>
      <c r="D60" s="78" t="s">
        <v>48</v>
      </c>
      <c r="E60" s="80" t="s">
        <v>13</v>
      </c>
      <c r="F60" s="100">
        <v>140.0</v>
      </c>
      <c r="H60" s="101">
        <v>140.0</v>
      </c>
      <c r="J60" s="101">
        <v>0.0</v>
      </c>
      <c r="L60" s="100">
        <v>203.0</v>
      </c>
      <c r="N60" s="101">
        <v>203.0</v>
      </c>
      <c r="P60" s="101">
        <v>0.0</v>
      </c>
      <c r="R60" s="101">
        <v>0.0</v>
      </c>
      <c r="T60" s="101">
        <v>0.0</v>
      </c>
      <c r="V60" s="101">
        <v>0.0</v>
      </c>
      <c r="X60" s="101">
        <v>0.0</v>
      </c>
      <c r="Y60" s="73"/>
      <c r="Z60" s="100">
        <v>17.0</v>
      </c>
      <c r="AB60" s="101">
        <v>17.0</v>
      </c>
      <c r="AD60" s="101">
        <v>0.0</v>
      </c>
      <c r="AF60" s="81">
        <f t="shared" si="1"/>
        <v>10500.932</v>
      </c>
      <c r="AG60" s="78">
        <f t="shared" si="2"/>
        <v>720</v>
      </c>
      <c r="AH60" s="78">
        <f t="shared" si="3"/>
        <v>0</v>
      </c>
      <c r="AI60" s="78">
        <f t="shared" si="4"/>
        <v>720</v>
      </c>
      <c r="AJ60" s="82">
        <f t="shared" si="5"/>
        <v>14.58462778</v>
      </c>
    </row>
    <row r="61">
      <c r="A61" s="76" t="s">
        <v>17</v>
      </c>
      <c r="B61" s="77">
        <f t="shared" si="6"/>
        <v>45350</v>
      </c>
      <c r="C61" s="78">
        <v>3.0</v>
      </c>
      <c r="D61" s="78" t="s">
        <v>48</v>
      </c>
      <c r="E61" s="80" t="s">
        <v>13</v>
      </c>
      <c r="F61" s="100">
        <v>0.0</v>
      </c>
      <c r="H61" s="101">
        <v>0.0</v>
      </c>
      <c r="J61" s="101">
        <v>0.0</v>
      </c>
      <c r="L61" s="100">
        <v>140.0</v>
      </c>
      <c r="N61" s="101">
        <v>140.0</v>
      </c>
      <c r="P61" s="101">
        <v>0.0</v>
      </c>
      <c r="R61" s="101">
        <v>0.0</v>
      </c>
      <c r="T61" s="101">
        <v>0.0</v>
      </c>
      <c r="V61" s="101">
        <v>0.0</v>
      </c>
      <c r="X61" s="101">
        <v>0.0</v>
      </c>
      <c r="Y61" s="73"/>
      <c r="Z61" s="100">
        <v>17.0</v>
      </c>
      <c r="AB61" s="101">
        <v>17.0</v>
      </c>
      <c r="AD61" s="101">
        <v>0.0</v>
      </c>
      <c r="AF61" s="81">
        <f t="shared" si="1"/>
        <v>3742.88</v>
      </c>
      <c r="AG61" s="78">
        <f t="shared" si="2"/>
        <v>314</v>
      </c>
      <c r="AH61" s="78">
        <f t="shared" si="3"/>
        <v>0</v>
      </c>
      <c r="AI61" s="78">
        <f t="shared" si="4"/>
        <v>314</v>
      </c>
      <c r="AJ61" s="82">
        <f t="shared" si="5"/>
        <v>11.92</v>
      </c>
    </row>
    <row r="62">
      <c r="A62" s="76" t="s">
        <v>21</v>
      </c>
      <c r="B62" s="77">
        <f t="shared" si="6"/>
        <v>45351</v>
      </c>
      <c r="C62" s="78">
        <v>3.0</v>
      </c>
      <c r="D62" s="78" t="s">
        <v>48</v>
      </c>
      <c r="E62" s="80" t="s">
        <v>13</v>
      </c>
      <c r="F62" s="100">
        <v>0.0</v>
      </c>
      <c r="H62" s="101">
        <v>140.0</v>
      </c>
      <c r="J62" s="101">
        <v>140.0</v>
      </c>
      <c r="L62" s="100">
        <v>216.0</v>
      </c>
      <c r="N62" s="101">
        <v>216.0</v>
      </c>
      <c r="P62" s="101">
        <v>0.0</v>
      </c>
      <c r="R62" s="101">
        <v>0.0</v>
      </c>
      <c r="T62" s="101">
        <v>0.0</v>
      </c>
      <c r="V62" s="101">
        <v>0.0</v>
      </c>
      <c r="X62" s="101">
        <v>0.0</v>
      </c>
      <c r="Y62" s="73"/>
      <c r="Z62" s="100">
        <v>17.0</v>
      </c>
      <c r="AB62" s="101">
        <v>17.0</v>
      </c>
      <c r="AD62" s="101">
        <v>0.0</v>
      </c>
      <c r="AF62" s="81">
        <f t="shared" si="1"/>
        <v>10810.852</v>
      </c>
      <c r="AG62" s="78">
        <f t="shared" si="2"/>
        <v>746</v>
      </c>
      <c r="AH62" s="78">
        <f t="shared" si="3"/>
        <v>0</v>
      </c>
      <c r="AI62" s="78">
        <f t="shared" si="4"/>
        <v>746</v>
      </c>
      <c r="AJ62" s="82">
        <f t="shared" si="5"/>
        <v>14.49175871</v>
      </c>
    </row>
    <row r="63">
      <c r="A63" s="76" t="s">
        <v>24</v>
      </c>
      <c r="B63" s="77">
        <f t="shared" si="6"/>
        <v>45352</v>
      </c>
      <c r="C63" s="78">
        <v>3.0</v>
      </c>
      <c r="D63" s="78" t="s">
        <v>48</v>
      </c>
      <c r="E63" s="80" t="s">
        <v>13</v>
      </c>
      <c r="F63" s="100">
        <v>0.0</v>
      </c>
      <c r="H63" s="101">
        <v>140.0</v>
      </c>
      <c r="J63" s="101">
        <v>140.0</v>
      </c>
      <c r="L63" s="100">
        <v>216.0</v>
      </c>
      <c r="N63" s="101">
        <v>216.0</v>
      </c>
      <c r="P63" s="101">
        <v>0.0</v>
      </c>
      <c r="R63" s="101">
        <v>0.0</v>
      </c>
      <c r="T63" s="101">
        <v>0.0</v>
      </c>
      <c r="V63" s="101">
        <v>0.0</v>
      </c>
      <c r="X63" s="101">
        <v>0.0</v>
      </c>
      <c r="Y63" s="73"/>
      <c r="Z63" s="100">
        <v>17.0</v>
      </c>
      <c r="AB63" s="101">
        <v>17.0</v>
      </c>
      <c r="AD63" s="101">
        <v>0.0</v>
      </c>
      <c r="AF63" s="81">
        <f t="shared" si="1"/>
        <v>10810.852</v>
      </c>
      <c r="AG63" s="78">
        <f t="shared" si="2"/>
        <v>746</v>
      </c>
      <c r="AH63" s="78">
        <f t="shared" si="3"/>
        <v>0</v>
      </c>
      <c r="AI63" s="78">
        <f t="shared" si="4"/>
        <v>746</v>
      </c>
      <c r="AJ63" s="82">
        <f t="shared" si="5"/>
        <v>14.49175871</v>
      </c>
    </row>
    <row r="64">
      <c r="A64" s="76" t="s">
        <v>27</v>
      </c>
      <c r="B64" s="77">
        <f t="shared" si="6"/>
        <v>45353</v>
      </c>
      <c r="C64" s="78">
        <v>3.0</v>
      </c>
      <c r="D64" s="78" t="s">
        <v>48</v>
      </c>
      <c r="E64" s="80" t="s">
        <v>13</v>
      </c>
      <c r="F64" s="100">
        <v>140.0</v>
      </c>
      <c r="H64" s="101">
        <v>140.0</v>
      </c>
      <c r="J64" s="101">
        <v>0.0</v>
      </c>
      <c r="L64" s="100">
        <v>110.0</v>
      </c>
      <c r="N64" s="101">
        <v>250.0</v>
      </c>
      <c r="P64" s="101">
        <v>0.0</v>
      </c>
      <c r="R64" s="101">
        <v>150.0</v>
      </c>
      <c r="T64" s="101">
        <v>0.0</v>
      </c>
      <c r="V64" s="101">
        <v>0.0</v>
      </c>
      <c r="X64" s="101">
        <v>0.0</v>
      </c>
      <c r="Y64" s="73"/>
      <c r="Z64" s="100">
        <v>10.0</v>
      </c>
      <c r="AB64" s="101">
        <v>10.0</v>
      </c>
      <c r="AD64" s="101">
        <v>0.0</v>
      </c>
      <c r="AF64" s="81">
        <f t="shared" si="1"/>
        <v>10495.232</v>
      </c>
      <c r="AG64" s="78">
        <f t="shared" si="2"/>
        <v>810</v>
      </c>
      <c r="AH64" s="78">
        <f t="shared" si="3"/>
        <v>0</v>
      </c>
      <c r="AI64" s="78">
        <f t="shared" si="4"/>
        <v>810</v>
      </c>
      <c r="AJ64" s="82">
        <f t="shared" si="5"/>
        <v>12.95707654</v>
      </c>
    </row>
    <row r="65">
      <c r="A65" s="83" t="s">
        <v>30</v>
      </c>
      <c r="B65" s="84">
        <f t="shared" si="6"/>
        <v>45354</v>
      </c>
      <c r="C65" s="85">
        <v>3.0</v>
      </c>
      <c r="D65" s="85" t="s">
        <v>48</v>
      </c>
      <c r="E65" s="87" t="s">
        <v>13</v>
      </c>
      <c r="F65" s="114">
        <v>140.0</v>
      </c>
      <c r="G65" s="89"/>
      <c r="H65" s="115">
        <v>140.0</v>
      </c>
      <c r="I65" s="89"/>
      <c r="J65" s="115">
        <v>0.0</v>
      </c>
      <c r="K65" s="89"/>
      <c r="L65" s="114">
        <v>110.0</v>
      </c>
      <c r="M65" s="89"/>
      <c r="N65" s="115">
        <v>250.0</v>
      </c>
      <c r="O65" s="89"/>
      <c r="P65" s="115">
        <v>0.0</v>
      </c>
      <c r="Q65" s="89"/>
      <c r="R65" s="115">
        <v>150.0</v>
      </c>
      <c r="S65" s="89"/>
      <c r="T65" s="115">
        <v>0.0</v>
      </c>
      <c r="U65" s="89"/>
      <c r="V65" s="115">
        <v>0.0</v>
      </c>
      <c r="W65" s="89"/>
      <c r="X65" s="115">
        <v>0.0</v>
      </c>
      <c r="Y65" s="91"/>
      <c r="Z65" s="114">
        <v>0.0</v>
      </c>
      <c r="AA65" s="89"/>
      <c r="AB65" s="115">
        <v>0.0</v>
      </c>
      <c r="AC65" s="89"/>
      <c r="AD65" s="115">
        <v>0.0</v>
      </c>
      <c r="AE65" s="89"/>
      <c r="AF65" s="92">
        <f t="shared" si="1"/>
        <v>10256.832</v>
      </c>
      <c r="AG65" s="85">
        <f t="shared" si="2"/>
        <v>790</v>
      </c>
      <c r="AH65" s="85">
        <f t="shared" si="3"/>
        <v>0</v>
      </c>
      <c r="AI65" s="85">
        <f t="shared" si="4"/>
        <v>790</v>
      </c>
      <c r="AJ65" s="93">
        <f t="shared" si="5"/>
        <v>12.98333165</v>
      </c>
    </row>
    <row r="66">
      <c r="A66" s="66" t="s">
        <v>11</v>
      </c>
      <c r="B66" s="94">
        <f t="shared" si="6"/>
        <v>45355</v>
      </c>
      <c r="C66" s="68">
        <v>3.0</v>
      </c>
      <c r="D66" s="68" t="s">
        <v>59</v>
      </c>
      <c r="E66" s="70" t="s">
        <v>13</v>
      </c>
      <c r="F66" s="155">
        <v>121.0</v>
      </c>
      <c r="H66" s="156">
        <v>121.0</v>
      </c>
      <c r="J66" s="156">
        <v>0.0</v>
      </c>
      <c r="L66" s="155">
        <v>279.0</v>
      </c>
      <c r="N66" s="156">
        <v>279.0</v>
      </c>
      <c r="P66" s="156">
        <v>0.0</v>
      </c>
      <c r="R66" s="156">
        <v>0.0</v>
      </c>
      <c r="T66" s="156">
        <v>1.0</v>
      </c>
      <c r="V66" s="156">
        <v>1.0</v>
      </c>
      <c r="X66" s="156">
        <v>0.0</v>
      </c>
      <c r="Y66" s="73"/>
      <c r="Z66" s="155">
        <v>15.0</v>
      </c>
      <c r="AB66" s="156">
        <v>15.0</v>
      </c>
      <c r="AD66" s="156">
        <v>0.0</v>
      </c>
      <c r="AF66" s="74">
        <f t="shared" si="1"/>
        <v>12286.7598</v>
      </c>
      <c r="AG66" s="68">
        <f t="shared" si="2"/>
        <v>830</v>
      </c>
      <c r="AH66" s="68">
        <f t="shared" si="3"/>
        <v>2</v>
      </c>
      <c r="AI66" s="68">
        <f t="shared" si="4"/>
        <v>832</v>
      </c>
      <c r="AJ66" s="75">
        <f t="shared" si="5"/>
        <v>14.76774014</v>
      </c>
    </row>
    <row r="67">
      <c r="A67" s="76" t="s">
        <v>16</v>
      </c>
      <c r="B67" s="77">
        <f t="shared" si="6"/>
        <v>45356</v>
      </c>
      <c r="C67" s="78">
        <v>3.0</v>
      </c>
      <c r="D67" s="78" t="s">
        <v>59</v>
      </c>
      <c r="E67" s="80" t="s">
        <v>13</v>
      </c>
      <c r="F67" s="155">
        <v>0.0</v>
      </c>
      <c r="H67" s="156">
        <v>0.0</v>
      </c>
      <c r="J67" s="156">
        <v>0.0</v>
      </c>
      <c r="L67" s="155">
        <v>286.0</v>
      </c>
      <c r="N67" s="156">
        <v>286.0</v>
      </c>
      <c r="P67" s="156">
        <v>0.0</v>
      </c>
      <c r="R67" s="156">
        <v>0.0</v>
      </c>
      <c r="T67" s="156">
        <v>0.0</v>
      </c>
      <c r="V67" s="156">
        <v>0.0</v>
      </c>
      <c r="X67" s="156">
        <v>0.0</v>
      </c>
      <c r="Y67" s="73"/>
      <c r="Z67" s="155">
        <v>15.0</v>
      </c>
      <c r="AB67" s="156">
        <v>15.0</v>
      </c>
      <c r="AD67" s="156">
        <v>0.0</v>
      </c>
      <c r="AF67" s="81">
        <f t="shared" si="1"/>
        <v>7175.84</v>
      </c>
      <c r="AG67" s="78">
        <f t="shared" si="2"/>
        <v>602</v>
      </c>
      <c r="AH67" s="78">
        <f t="shared" si="3"/>
        <v>0</v>
      </c>
      <c r="AI67" s="78">
        <f t="shared" si="4"/>
        <v>602</v>
      </c>
      <c r="AJ67" s="82">
        <f t="shared" si="5"/>
        <v>11.92</v>
      </c>
    </row>
    <row r="68">
      <c r="A68" s="76" t="s">
        <v>17</v>
      </c>
      <c r="B68" s="77">
        <f t="shared" si="6"/>
        <v>45357</v>
      </c>
      <c r="C68" s="78">
        <v>3.0</v>
      </c>
      <c r="D68" s="78" t="s">
        <v>59</v>
      </c>
      <c r="E68" s="80" t="s">
        <v>13</v>
      </c>
      <c r="F68" s="155">
        <v>121.0</v>
      </c>
      <c r="H68" s="156">
        <v>121.0</v>
      </c>
      <c r="J68" s="156">
        <v>0.0</v>
      </c>
      <c r="L68" s="155">
        <v>279.0</v>
      </c>
      <c r="N68" s="156">
        <v>279.0</v>
      </c>
      <c r="P68" s="156">
        <v>0.0</v>
      </c>
      <c r="R68" s="156">
        <v>0.0</v>
      </c>
      <c r="T68" s="156">
        <v>0.0</v>
      </c>
      <c r="V68" s="156">
        <v>0.0</v>
      </c>
      <c r="X68" s="156">
        <v>0.0</v>
      </c>
      <c r="Y68" s="73"/>
      <c r="Z68" s="155">
        <v>15.0</v>
      </c>
      <c r="AB68" s="156">
        <v>15.0</v>
      </c>
      <c r="AD68" s="156">
        <v>0.0</v>
      </c>
      <c r="AF68" s="81">
        <f t="shared" si="1"/>
        <v>11551.7598</v>
      </c>
      <c r="AG68" s="78">
        <f t="shared" si="2"/>
        <v>830</v>
      </c>
      <c r="AH68" s="78">
        <f t="shared" si="3"/>
        <v>0</v>
      </c>
      <c r="AI68" s="78">
        <f t="shared" si="4"/>
        <v>830</v>
      </c>
      <c r="AJ68" s="82">
        <f t="shared" si="5"/>
        <v>13.91778289</v>
      </c>
    </row>
    <row r="69">
      <c r="A69" s="76" t="s">
        <v>21</v>
      </c>
      <c r="B69" s="77">
        <f t="shared" si="6"/>
        <v>45358</v>
      </c>
      <c r="C69" s="78">
        <v>3.0</v>
      </c>
      <c r="D69" s="78" t="s">
        <v>59</v>
      </c>
      <c r="E69" s="80" t="s">
        <v>13</v>
      </c>
      <c r="F69" s="155">
        <v>80.0</v>
      </c>
      <c r="H69" s="156">
        <v>120.0</v>
      </c>
      <c r="J69" s="156">
        <v>105.0</v>
      </c>
      <c r="L69" s="155">
        <v>279.0</v>
      </c>
      <c r="N69" s="156">
        <v>279.0</v>
      </c>
      <c r="P69" s="156">
        <v>0.0</v>
      </c>
      <c r="R69" s="156">
        <v>0.0</v>
      </c>
      <c r="T69" s="156">
        <v>0.0</v>
      </c>
      <c r="V69" s="156">
        <v>0.0</v>
      </c>
      <c r="X69" s="156">
        <v>0.0</v>
      </c>
      <c r="Y69" s="73"/>
      <c r="Z69" s="155">
        <v>15.0</v>
      </c>
      <c r="AB69" s="156">
        <v>15.0</v>
      </c>
      <c r="AD69" s="156">
        <v>0.0</v>
      </c>
      <c r="AF69" s="81">
        <f t="shared" si="1"/>
        <v>12734.3895</v>
      </c>
      <c r="AG69" s="78">
        <f t="shared" si="2"/>
        <v>893</v>
      </c>
      <c r="AH69" s="78">
        <f t="shared" si="3"/>
        <v>0</v>
      </c>
      <c r="AI69" s="78">
        <f t="shared" si="4"/>
        <v>893</v>
      </c>
      <c r="AJ69" s="82">
        <f t="shared" si="5"/>
        <v>14.2602346</v>
      </c>
    </row>
    <row r="70">
      <c r="A70" s="76" t="s">
        <v>24</v>
      </c>
      <c r="B70" s="77">
        <f t="shared" si="6"/>
        <v>45359</v>
      </c>
      <c r="C70" s="78">
        <v>3.0</v>
      </c>
      <c r="D70" s="78" t="s">
        <v>59</v>
      </c>
      <c r="E70" s="80" t="s">
        <v>13</v>
      </c>
      <c r="F70" s="155">
        <v>0.0</v>
      </c>
      <c r="H70" s="156">
        <v>105.0</v>
      </c>
      <c r="J70" s="156">
        <v>105.0</v>
      </c>
      <c r="L70" s="155">
        <v>297.0</v>
      </c>
      <c r="N70" s="156">
        <v>297.0</v>
      </c>
      <c r="P70" s="156">
        <v>0.0</v>
      </c>
      <c r="R70" s="156">
        <v>0.0</v>
      </c>
      <c r="T70" s="156">
        <v>0.0</v>
      </c>
      <c r="V70" s="156">
        <v>0.0</v>
      </c>
      <c r="X70" s="156">
        <v>0.0</v>
      </c>
      <c r="Y70" s="73"/>
      <c r="Z70" s="155">
        <v>16.0</v>
      </c>
      <c r="AB70" s="156">
        <v>16.0</v>
      </c>
      <c r="AD70" s="156">
        <v>0.0</v>
      </c>
      <c r="AF70" s="81">
        <f t="shared" si="1"/>
        <v>11404.019</v>
      </c>
      <c r="AG70" s="78">
        <f t="shared" si="2"/>
        <v>836</v>
      </c>
      <c r="AH70" s="78">
        <f t="shared" si="3"/>
        <v>0</v>
      </c>
      <c r="AI70" s="78">
        <f t="shared" si="4"/>
        <v>836</v>
      </c>
      <c r="AJ70" s="82">
        <f t="shared" si="5"/>
        <v>13.64117105</v>
      </c>
    </row>
    <row r="71">
      <c r="A71" s="76" t="s">
        <v>27</v>
      </c>
      <c r="B71" s="77">
        <f t="shared" si="6"/>
        <v>45360</v>
      </c>
      <c r="C71" s="78">
        <v>3.0</v>
      </c>
      <c r="D71" s="78" t="s">
        <v>59</v>
      </c>
      <c r="E71" s="80" t="s">
        <v>13</v>
      </c>
      <c r="F71" s="155">
        <v>90.0</v>
      </c>
      <c r="H71" s="156">
        <v>90.0</v>
      </c>
      <c r="J71" s="156">
        <v>0.0</v>
      </c>
      <c r="L71" s="155">
        <v>297.0</v>
      </c>
      <c r="N71" s="156">
        <v>297.0</v>
      </c>
      <c r="P71" s="156">
        <v>0.0</v>
      </c>
      <c r="R71" s="156">
        <v>0.0</v>
      </c>
      <c r="T71" s="156">
        <v>0.0</v>
      </c>
      <c r="V71" s="156">
        <v>0.0</v>
      </c>
      <c r="X71" s="156">
        <v>0.0</v>
      </c>
      <c r="Y71" s="73"/>
      <c r="Z71" s="155">
        <v>14.0</v>
      </c>
      <c r="AB71" s="156">
        <v>14.0</v>
      </c>
      <c r="AD71" s="156">
        <v>0.0</v>
      </c>
      <c r="AF71" s="81">
        <f t="shared" si="1"/>
        <v>10793.182</v>
      </c>
      <c r="AG71" s="78">
        <f t="shared" si="2"/>
        <v>802</v>
      </c>
      <c r="AH71" s="78">
        <f t="shared" si="3"/>
        <v>0</v>
      </c>
      <c r="AI71" s="78">
        <f t="shared" si="4"/>
        <v>802</v>
      </c>
      <c r="AJ71" s="82">
        <f t="shared" si="5"/>
        <v>13.45783292</v>
      </c>
    </row>
    <row r="72">
      <c r="A72" s="83" t="s">
        <v>30</v>
      </c>
      <c r="B72" s="84">
        <f t="shared" si="6"/>
        <v>45361</v>
      </c>
      <c r="C72" s="85">
        <v>3.0</v>
      </c>
      <c r="D72" s="85" t="s">
        <v>59</v>
      </c>
      <c r="E72" s="87" t="s">
        <v>13</v>
      </c>
      <c r="F72" s="157">
        <v>90.0</v>
      </c>
      <c r="G72" s="89"/>
      <c r="H72" s="158">
        <v>90.0</v>
      </c>
      <c r="I72" s="89"/>
      <c r="J72" s="158">
        <v>0.0</v>
      </c>
      <c r="K72" s="89"/>
      <c r="L72" s="157">
        <v>311.0</v>
      </c>
      <c r="M72" s="89"/>
      <c r="N72" s="158">
        <v>311.0</v>
      </c>
      <c r="O72" s="89"/>
      <c r="P72" s="158">
        <v>0.0</v>
      </c>
      <c r="Q72" s="89"/>
      <c r="R72" s="158">
        <v>0.0</v>
      </c>
      <c r="S72" s="89"/>
      <c r="T72" s="158">
        <v>0.0</v>
      </c>
      <c r="U72" s="89"/>
      <c r="V72" s="158">
        <v>0.0</v>
      </c>
      <c r="W72" s="89"/>
      <c r="X72" s="158">
        <v>0.0</v>
      </c>
      <c r="Y72" s="91"/>
      <c r="Z72" s="157">
        <v>0.0</v>
      </c>
      <c r="AA72" s="89"/>
      <c r="AB72" s="158">
        <v>0.0</v>
      </c>
      <c r="AC72" s="89"/>
      <c r="AD72" s="158">
        <v>0.0</v>
      </c>
      <c r="AE72" s="89"/>
      <c r="AF72" s="92">
        <f t="shared" si="1"/>
        <v>10793.182</v>
      </c>
      <c r="AG72" s="85">
        <f t="shared" si="2"/>
        <v>802</v>
      </c>
      <c r="AH72" s="85">
        <f t="shared" si="3"/>
        <v>0</v>
      </c>
      <c r="AI72" s="85">
        <f t="shared" si="4"/>
        <v>802</v>
      </c>
      <c r="AJ72" s="93">
        <f t="shared" si="5"/>
        <v>13.45783292</v>
      </c>
    </row>
    <row r="73">
      <c r="A73" s="66" t="s">
        <v>11</v>
      </c>
      <c r="B73" s="94">
        <f t="shared" si="6"/>
        <v>45362</v>
      </c>
      <c r="C73" s="68">
        <v>3.0</v>
      </c>
      <c r="D73" s="68" t="s">
        <v>12</v>
      </c>
      <c r="E73" s="70" t="s">
        <v>13</v>
      </c>
      <c r="F73" s="159">
        <v>0.0</v>
      </c>
      <c r="H73" s="160">
        <v>0.0</v>
      </c>
      <c r="J73" s="160">
        <v>0.0</v>
      </c>
      <c r="L73" s="159">
        <v>0.0</v>
      </c>
      <c r="N73" s="160">
        <v>0.0</v>
      </c>
      <c r="P73" s="160">
        <v>0.0</v>
      </c>
      <c r="R73" s="160">
        <v>0.0</v>
      </c>
      <c r="T73" s="160">
        <v>1.0</v>
      </c>
      <c r="V73" s="160">
        <v>1.0</v>
      </c>
      <c r="X73" s="160">
        <v>0.0</v>
      </c>
      <c r="Y73" s="73"/>
      <c r="Z73" s="159">
        <v>0.0</v>
      </c>
      <c r="AB73" s="160">
        <v>0.0</v>
      </c>
      <c r="AD73" s="160">
        <v>0.0</v>
      </c>
      <c r="AF73" s="161">
        <f t="shared" si="1"/>
        <v>735</v>
      </c>
      <c r="AG73" s="162">
        <f t="shared" si="2"/>
        <v>0</v>
      </c>
      <c r="AH73" s="162">
        <f t="shared" si="3"/>
        <v>2</v>
      </c>
      <c r="AI73" s="68">
        <f t="shared" si="4"/>
        <v>2</v>
      </c>
      <c r="AJ73" s="75">
        <f t="shared" si="5"/>
        <v>367.5</v>
      </c>
    </row>
    <row r="74">
      <c r="A74" s="76" t="s">
        <v>16</v>
      </c>
      <c r="B74" s="77">
        <f t="shared" si="6"/>
        <v>45363</v>
      </c>
      <c r="C74" s="78">
        <v>3.0</v>
      </c>
      <c r="D74" s="78" t="s">
        <v>12</v>
      </c>
      <c r="E74" s="80" t="s">
        <v>13</v>
      </c>
      <c r="F74" s="159">
        <v>0.0</v>
      </c>
      <c r="H74" s="160">
        <v>90.0</v>
      </c>
      <c r="J74" s="160">
        <v>90.0</v>
      </c>
      <c r="L74" s="159">
        <v>310.0</v>
      </c>
      <c r="N74" s="160">
        <v>310.0</v>
      </c>
      <c r="P74" s="160">
        <v>0.0</v>
      </c>
      <c r="R74" s="160">
        <v>0.0</v>
      </c>
      <c r="T74" s="160">
        <v>0.0</v>
      </c>
      <c r="V74" s="160">
        <v>0.0</v>
      </c>
      <c r="X74" s="160">
        <v>0.0</v>
      </c>
      <c r="Y74" s="73"/>
      <c r="Z74" s="159">
        <v>15.0</v>
      </c>
      <c r="AB74" s="160">
        <v>15.0</v>
      </c>
      <c r="AD74" s="160">
        <v>0.0</v>
      </c>
      <c r="AF74" s="163">
        <f t="shared" si="1"/>
        <v>11126.942</v>
      </c>
      <c r="AG74" s="164">
        <f t="shared" si="2"/>
        <v>830</v>
      </c>
      <c r="AH74" s="164">
        <f t="shared" si="3"/>
        <v>0</v>
      </c>
      <c r="AI74" s="78">
        <f t="shared" si="4"/>
        <v>830</v>
      </c>
      <c r="AJ74" s="82">
        <f t="shared" si="5"/>
        <v>13.40595422</v>
      </c>
    </row>
    <row r="75">
      <c r="A75" s="76" t="s">
        <v>17</v>
      </c>
      <c r="B75" s="77">
        <f t="shared" si="6"/>
        <v>45364</v>
      </c>
      <c r="C75" s="78">
        <v>3.0</v>
      </c>
      <c r="D75" s="78" t="s">
        <v>12</v>
      </c>
      <c r="E75" s="80" t="s">
        <v>13</v>
      </c>
      <c r="F75" s="159">
        <v>90.0</v>
      </c>
      <c r="H75" s="160">
        <v>90.0</v>
      </c>
      <c r="J75" s="160">
        <v>0.0</v>
      </c>
      <c r="L75" s="159">
        <v>310.0</v>
      </c>
      <c r="N75" s="160">
        <v>310.0</v>
      </c>
      <c r="P75" s="160">
        <v>0.0</v>
      </c>
      <c r="R75" s="160">
        <v>0.0</v>
      </c>
      <c r="T75" s="160">
        <v>0.0</v>
      </c>
      <c r="V75" s="160">
        <v>0.0</v>
      </c>
      <c r="X75" s="160">
        <v>0.0</v>
      </c>
      <c r="Y75" s="73"/>
      <c r="Z75" s="159">
        <v>15.0</v>
      </c>
      <c r="AB75" s="160">
        <v>15.0</v>
      </c>
      <c r="AD75" s="160">
        <v>0.0</v>
      </c>
      <c r="AF75" s="163">
        <f t="shared" si="1"/>
        <v>11126.942</v>
      </c>
      <c r="AG75" s="164">
        <f t="shared" si="2"/>
        <v>830</v>
      </c>
      <c r="AH75" s="164">
        <f t="shared" si="3"/>
        <v>0</v>
      </c>
      <c r="AI75" s="78">
        <f t="shared" si="4"/>
        <v>830</v>
      </c>
      <c r="AJ75" s="82">
        <f t="shared" si="5"/>
        <v>13.40595422</v>
      </c>
    </row>
    <row r="76">
      <c r="A76" s="76" t="s">
        <v>21</v>
      </c>
      <c r="B76" s="77">
        <f t="shared" si="6"/>
        <v>45365</v>
      </c>
      <c r="C76" s="78">
        <v>3.0</v>
      </c>
      <c r="D76" s="78" t="s">
        <v>12</v>
      </c>
      <c r="E76" s="80" t="s">
        <v>13</v>
      </c>
      <c r="F76" s="159">
        <v>0.0</v>
      </c>
      <c r="H76" s="160">
        <v>90.0</v>
      </c>
      <c r="J76" s="160">
        <v>90.0</v>
      </c>
      <c r="L76" s="159">
        <v>310.0</v>
      </c>
      <c r="N76" s="160">
        <v>310.0</v>
      </c>
      <c r="P76" s="160">
        <v>0.0</v>
      </c>
      <c r="R76" s="160">
        <v>0.0</v>
      </c>
      <c r="T76" s="160">
        <v>0.0</v>
      </c>
      <c r="V76" s="160">
        <v>0.0</v>
      </c>
      <c r="X76" s="160">
        <v>0.0</v>
      </c>
      <c r="Y76" s="73"/>
      <c r="Z76" s="159">
        <v>17.0</v>
      </c>
      <c r="AB76" s="160">
        <v>17.0</v>
      </c>
      <c r="AD76" s="160">
        <v>0.0</v>
      </c>
      <c r="AF76" s="163">
        <f t="shared" si="1"/>
        <v>11174.622</v>
      </c>
      <c r="AG76" s="164">
        <f t="shared" si="2"/>
        <v>834</v>
      </c>
      <c r="AH76" s="164">
        <f t="shared" si="3"/>
        <v>0</v>
      </c>
      <c r="AI76" s="78">
        <f t="shared" si="4"/>
        <v>834</v>
      </c>
      <c r="AJ76" s="82">
        <f t="shared" si="5"/>
        <v>13.39882734</v>
      </c>
    </row>
    <row r="77">
      <c r="A77" s="76" t="s">
        <v>24</v>
      </c>
      <c r="B77" s="77">
        <f t="shared" si="6"/>
        <v>45366</v>
      </c>
      <c r="C77" s="78">
        <v>3.0</v>
      </c>
      <c r="D77" s="78" t="s">
        <v>12</v>
      </c>
      <c r="E77" s="80" t="s">
        <v>13</v>
      </c>
      <c r="F77" s="159">
        <v>90.0</v>
      </c>
      <c r="H77" s="160">
        <v>90.0</v>
      </c>
      <c r="J77" s="160">
        <v>0.0</v>
      </c>
      <c r="L77" s="159">
        <v>310.0</v>
      </c>
      <c r="N77" s="160">
        <v>310.0</v>
      </c>
      <c r="P77" s="160">
        <v>0.0</v>
      </c>
      <c r="R77" s="160">
        <v>0.0</v>
      </c>
      <c r="T77" s="160">
        <v>0.0</v>
      </c>
      <c r="V77" s="160">
        <v>0.0</v>
      </c>
      <c r="X77" s="160">
        <v>0.0</v>
      </c>
      <c r="Y77" s="73"/>
      <c r="Z77" s="159">
        <v>17.0</v>
      </c>
      <c r="AB77" s="160">
        <v>17.0</v>
      </c>
      <c r="AD77" s="160">
        <v>0.0</v>
      </c>
      <c r="AF77" s="163">
        <f t="shared" si="1"/>
        <v>11174.622</v>
      </c>
      <c r="AG77" s="164">
        <f t="shared" si="2"/>
        <v>834</v>
      </c>
      <c r="AH77" s="164">
        <f t="shared" si="3"/>
        <v>0</v>
      </c>
      <c r="AI77" s="78">
        <f t="shared" si="4"/>
        <v>834</v>
      </c>
      <c r="AJ77" s="82">
        <f t="shared" si="5"/>
        <v>13.39882734</v>
      </c>
    </row>
    <row r="78">
      <c r="A78" s="76" t="s">
        <v>27</v>
      </c>
      <c r="B78" s="77">
        <f t="shared" si="6"/>
        <v>45367</v>
      </c>
      <c r="C78" s="78">
        <v>3.0</v>
      </c>
      <c r="D78" s="78" t="s">
        <v>12</v>
      </c>
      <c r="E78" s="80" t="s">
        <v>13</v>
      </c>
      <c r="F78" s="159">
        <v>90.0</v>
      </c>
      <c r="H78" s="160">
        <v>90.0</v>
      </c>
      <c r="J78" s="160">
        <v>0.0</v>
      </c>
      <c r="L78" s="159">
        <v>310.0</v>
      </c>
      <c r="N78" s="160">
        <v>310.0</v>
      </c>
      <c r="P78" s="160">
        <v>0.0</v>
      </c>
      <c r="R78" s="160">
        <v>0.0</v>
      </c>
      <c r="T78" s="160">
        <v>0.0</v>
      </c>
      <c r="V78" s="160">
        <v>0.0</v>
      </c>
      <c r="X78" s="160">
        <v>0.0</v>
      </c>
      <c r="Y78" s="73"/>
      <c r="Z78" s="159">
        <v>17.0</v>
      </c>
      <c r="AB78" s="160">
        <v>17.0</v>
      </c>
      <c r="AD78" s="160">
        <v>0.0</v>
      </c>
      <c r="AF78" s="163">
        <f t="shared" si="1"/>
        <v>11174.622</v>
      </c>
      <c r="AG78" s="164">
        <f t="shared" si="2"/>
        <v>834</v>
      </c>
      <c r="AH78" s="164">
        <f t="shared" si="3"/>
        <v>0</v>
      </c>
      <c r="AI78" s="78">
        <f t="shared" si="4"/>
        <v>834</v>
      </c>
      <c r="AJ78" s="82">
        <f t="shared" si="5"/>
        <v>13.39882734</v>
      </c>
    </row>
    <row r="79">
      <c r="A79" s="83" t="s">
        <v>30</v>
      </c>
      <c r="B79" s="84">
        <f t="shared" si="6"/>
        <v>45368</v>
      </c>
      <c r="C79" s="85">
        <v>3.0</v>
      </c>
      <c r="D79" s="85" t="s">
        <v>12</v>
      </c>
      <c r="E79" s="87" t="s">
        <v>13</v>
      </c>
      <c r="F79" s="165">
        <v>0.0</v>
      </c>
      <c r="G79" s="89"/>
      <c r="H79" s="166">
        <v>90.0</v>
      </c>
      <c r="I79" s="89"/>
      <c r="J79" s="166">
        <v>90.0</v>
      </c>
      <c r="K79" s="89"/>
      <c r="L79" s="165">
        <v>310.0</v>
      </c>
      <c r="M79" s="89"/>
      <c r="N79" s="166">
        <v>310.0</v>
      </c>
      <c r="O79" s="89"/>
      <c r="P79" s="166">
        <v>0.0</v>
      </c>
      <c r="Q79" s="89"/>
      <c r="R79" s="166">
        <v>0.0</v>
      </c>
      <c r="S79" s="89"/>
      <c r="T79" s="166">
        <v>0.0</v>
      </c>
      <c r="U79" s="89"/>
      <c r="V79" s="166">
        <v>0.0</v>
      </c>
      <c r="W79" s="89"/>
      <c r="X79" s="166">
        <v>0.0</v>
      </c>
      <c r="Y79" s="91"/>
      <c r="Z79" s="165">
        <v>0.0</v>
      </c>
      <c r="AA79" s="89"/>
      <c r="AB79" s="166">
        <v>0.0</v>
      </c>
      <c r="AC79" s="89"/>
      <c r="AD79" s="166">
        <v>0.0</v>
      </c>
      <c r="AE79" s="89"/>
      <c r="AF79" s="167">
        <f t="shared" si="1"/>
        <v>10769.342</v>
      </c>
      <c r="AG79" s="168">
        <f t="shared" si="2"/>
        <v>800</v>
      </c>
      <c r="AH79" s="168">
        <f t="shared" si="3"/>
        <v>0</v>
      </c>
      <c r="AI79" s="85">
        <f t="shared" si="4"/>
        <v>800</v>
      </c>
      <c r="AJ79" s="93">
        <f t="shared" si="5"/>
        <v>13.4616775</v>
      </c>
    </row>
    <row r="80">
      <c r="A80" s="66" t="s">
        <v>11</v>
      </c>
      <c r="B80" s="94">
        <f t="shared" si="6"/>
        <v>45369</v>
      </c>
      <c r="C80" s="68">
        <v>3.0</v>
      </c>
      <c r="D80" s="68" t="s">
        <v>33</v>
      </c>
      <c r="E80" s="70" t="s">
        <v>13</v>
      </c>
      <c r="F80" s="159">
        <v>0.0</v>
      </c>
      <c r="H80" s="160">
        <v>90.0</v>
      </c>
      <c r="J80" s="160">
        <v>90.0</v>
      </c>
      <c r="L80" s="159">
        <v>0.0</v>
      </c>
      <c r="N80" s="160">
        <v>0.0</v>
      </c>
      <c r="P80" s="160">
        <v>0.0</v>
      </c>
      <c r="R80" s="160">
        <v>0.0</v>
      </c>
      <c r="T80" s="160">
        <v>1.0</v>
      </c>
      <c r="V80" s="160">
        <v>1.0</v>
      </c>
      <c r="X80" s="160">
        <v>0.0</v>
      </c>
      <c r="Y80" s="73"/>
      <c r="Z80" s="159">
        <v>0.0</v>
      </c>
      <c r="AB80" s="160">
        <v>0.0</v>
      </c>
      <c r="AD80" s="160">
        <v>0.0</v>
      </c>
      <c r="AF80" s="161">
        <f t="shared" si="1"/>
        <v>4113.942</v>
      </c>
      <c r="AG80" s="162">
        <f t="shared" si="2"/>
        <v>180</v>
      </c>
      <c r="AH80" s="162">
        <f t="shared" si="3"/>
        <v>2</v>
      </c>
      <c r="AI80" s="68">
        <f t="shared" si="4"/>
        <v>182</v>
      </c>
      <c r="AJ80" s="75">
        <f t="shared" si="5"/>
        <v>22.60407692</v>
      </c>
    </row>
    <row r="81">
      <c r="A81" s="76" t="s">
        <v>16</v>
      </c>
      <c r="B81" s="77">
        <f t="shared" si="6"/>
        <v>45370</v>
      </c>
      <c r="C81" s="78">
        <v>3.0</v>
      </c>
      <c r="D81" s="78" t="s">
        <v>33</v>
      </c>
      <c r="E81" s="80" t="s">
        <v>13</v>
      </c>
      <c r="F81" s="159">
        <v>90.0</v>
      </c>
      <c r="H81" s="160">
        <v>90.0</v>
      </c>
      <c r="J81" s="160">
        <v>0.0</v>
      </c>
      <c r="L81" s="159">
        <v>310.0</v>
      </c>
      <c r="N81" s="160">
        <v>310.0</v>
      </c>
      <c r="P81" s="160">
        <v>0.0</v>
      </c>
      <c r="R81" s="160">
        <v>0.0</v>
      </c>
      <c r="T81" s="160">
        <v>0.0</v>
      </c>
      <c r="V81" s="160">
        <v>0.0</v>
      </c>
      <c r="X81" s="160">
        <v>0.0</v>
      </c>
      <c r="Y81" s="73"/>
      <c r="Z81" s="159">
        <v>17.0</v>
      </c>
      <c r="AB81" s="160">
        <v>17.0</v>
      </c>
      <c r="AD81" s="160">
        <v>0.0</v>
      </c>
      <c r="AF81" s="163">
        <f t="shared" si="1"/>
        <v>11174.622</v>
      </c>
      <c r="AG81" s="164">
        <f t="shared" si="2"/>
        <v>834</v>
      </c>
      <c r="AH81" s="164">
        <f t="shared" si="3"/>
        <v>0</v>
      </c>
      <c r="AI81" s="78">
        <f t="shared" si="4"/>
        <v>834</v>
      </c>
      <c r="AJ81" s="82">
        <f t="shared" si="5"/>
        <v>13.39882734</v>
      </c>
    </row>
    <row r="82">
      <c r="A82" s="76" t="s">
        <v>17</v>
      </c>
      <c r="B82" s="77">
        <f t="shared" si="6"/>
        <v>45371</v>
      </c>
      <c r="C82" s="78">
        <v>3.0</v>
      </c>
      <c r="D82" s="78" t="s">
        <v>33</v>
      </c>
      <c r="E82" s="80" t="s">
        <v>13</v>
      </c>
      <c r="F82" s="159">
        <v>82.0</v>
      </c>
      <c r="H82" s="160">
        <v>82.0</v>
      </c>
      <c r="J82" s="160">
        <v>0.0</v>
      </c>
      <c r="L82" s="159">
        <v>310.0</v>
      </c>
      <c r="N82" s="160">
        <v>310.0</v>
      </c>
      <c r="P82" s="160">
        <v>0.0</v>
      </c>
      <c r="R82" s="160">
        <v>0.0</v>
      </c>
      <c r="T82" s="160">
        <v>0.0</v>
      </c>
      <c r="V82" s="160">
        <v>0.0</v>
      </c>
      <c r="X82" s="160">
        <v>0.0</v>
      </c>
      <c r="Y82" s="73"/>
      <c r="Z82" s="159">
        <v>17.0</v>
      </c>
      <c r="AB82" s="160">
        <v>17.0</v>
      </c>
      <c r="AD82" s="160">
        <v>0.0</v>
      </c>
      <c r="AF82" s="163">
        <f t="shared" si="1"/>
        <v>10874.2716</v>
      </c>
      <c r="AG82" s="164">
        <f t="shared" si="2"/>
        <v>818</v>
      </c>
      <c r="AH82" s="164">
        <f t="shared" si="3"/>
        <v>0</v>
      </c>
      <c r="AI82" s="78">
        <f t="shared" si="4"/>
        <v>818</v>
      </c>
      <c r="AJ82" s="82">
        <f t="shared" si="5"/>
        <v>13.29373056</v>
      </c>
    </row>
    <row r="83">
      <c r="A83" s="76" t="s">
        <v>21</v>
      </c>
      <c r="B83" s="77">
        <f t="shared" si="6"/>
        <v>45372</v>
      </c>
      <c r="C83" s="78">
        <v>3.0</v>
      </c>
      <c r="D83" s="78" t="s">
        <v>33</v>
      </c>
      <c r="E83" s="80" t="s">
        <v>13</v>
      </c>
      <c r="F83" s="159">
        <v>0.0</v>
      </c>
      <c r="H83" s="160">
        <v>82.0</v>
      </c>
      <c r="J83" s="160">
        <v>82.0</v>
      </c>
      <c r="L83" s="159">
        <v>310.0</v>
      </c>
      <c r="N83" s="160">
        <v>310.0</v>
      </c>
      <c r="P83" s="160">
        <v>0.0</v>
      </c>
      <c r="R83" s="160">
        <v>0.0</v>
      </c>
      <c r="T83" s="160">
        <v>0.0</v>
      </c>
      <c r="V83" s="160">
        <v>0.0</v>
      </c>
      <c r="X83" s="160">
        <v>9.0</v>
      </c>
      <c r="Y83" s="73"/>
      <c r="Z83" s="159">
        <v>15.0</v>
      </c>
      <c r="AB83" s="160">
        <v>15.0</v>
      </c>
      <c r="AD83" s="160">
        <v>0.0</v>
      </c>
      <c r="AF83" s="163">
        <f t="shared" si="1"/>
        <v>10902.1916</v>
      </c>
      <c r="AG83" s="164">
        <f t="shared" si="2"/>
        <v>823</v>
      </c>
      <c r="AH83" s="164">
        <f t="shared" si="3"/>
        <v>0</v>
      </c>
      <c r="AI83" s="78">
        <f t="shared" si="4"/>
        <v>823</v>
      </c>
      <c r="AJ83" s="82">
        <f t="shared" si="5"/>
        <v>13.24689137</v>
      </c>
    </row>
    <row r="84">
      <c r="A84" s="76" t="s">
        <v>24</v>
      </c>
      <c r="B84" s="77">
        <f t="shared" si="6"/>
        <v>45373</v>
      </c>
      <c r="C84" s="78">
        <v>3.0</v>
      </c>
      <c r="D84" s="78" t="s">
        <v>33</v>
      </c>
      <c r="E84" s="80" t="s">
        <v>13</v>
      </c>
      <c r="F84" s="159">
        <v>80.0</v>
      </c>
      <c r="H84" s="160">
        <v>80.0</v>
      </c>
      <c r="J84" s="160">
        <v>0.0</v>
      </c>
      <c r="L84" s="159">
        <v>310.0</v>
      </c>
      <c r="N84" s="160">
        <v>310.0</v>
      </c>
      <c r="P84" s="160">
        <v>0.0</v>
      </c>
      <c r="R84" s="160">
        <v>0.0</v>
      </c>
      <c r="T84" s="160">
        <v>0.0</v>
      </c>
      <c r="V84" s="160">
        <v>0.0</v>
      </c>
      <c r="X84" s="160">
        <v>0.0</v>
      </c>
      <c r="Y84" s="73"/>
      <c r="Z84" s="159">
        <v>15.0</v>
      </c>
      <c r="AB84" s="160">
        <v>15.0</v>
      </c>
      <c r="AD84" s="160">
        <v>0.0</v>
      </c>
      <c r="AF84" s="163">
        <f t="shared" si="1"/>
        <v>10751.504</v>
      </c>
      <c r="AG84" s="164">
        <f t="shared" si="2"/>
        <v>810</v>
      </c>
      <c r="AH84" s="164">
        <f t="shared" si="3"/>
        <v>0</v>
      </c>
      <c r="AI84" s="78">
        <f t="shared" si="4"/>
        <v>810</v>
      </c>
      <c r="AJ84" s="82">
        <f t="shared" si="5"/>
        <v>13.27346173</v>
      </c>
    </row>
    <row r="85">
      <c r="A85" s="76" t="s">
        <v>27</v>
      </c>
      <c r="B85" s="77">
        <f t="shared" si="6"/>
        <v>45374</v>
      </c>
      <c r="C85" s="78">
        <v>3.0</v>
      </c>
      <c r="D85" s="78" t="s">
        <v>33</v>
      </c>
      <c r="E85" s="80" t="s">
        <v>13</v>
      </c>
      <c r="F85" s="159">
        <v>80.0</v>
      </c>
      <c r="H85" s="160">
        <v>80.0</v>
      </c>
      <c r="J85" s="160">
        <v>0.0</v>
      </c>
      <c r="L85" s="159">
        <v>310.0</v>
      </c>
      <c r="N85" s="160">
        <v>310.0</v>
      </c>
      <c r="P85" s="160">
        <v>0.0</v>
      </c>
      <c r="R85" s="160">
        <v>0.0</v>
      </c>
      <c r="T85" s="160">
        <v>0.0</v>
      </c>
      <c r="V85" s="160">
        <v>0.0</v>
      </c>
      <c r="X85" s="160">
        <v>0.0</v>
      </c>
      <c r="Y85" s="73"/>
      <c r="Z85" s="159">
        <v>15.0</v>
      </c>
      <c r="AB85" s="160">
        <v>15.0</v>
      </c>
      <c r="AD85" s="160">
        <v>0.0</v>
      </c>
      <c r="AF85" s="163">
        <f t="shared" si="1"/>
        <v>10751.504</v>
      </c>
      <c r="AG85" s="164">
        <f t="shared" si="2"/>
        <v>810</v>
      </c>
      <c r="AH85" s="164">
        <f t="shared" si="3"/>
        <v>0</v>
      </c>
      <c r="AI85" s="78">
        <f t="shared" si="4"/>
        <v>810</v>
      </c>
      <c r="AJ85" s="82">
        <f t="shared" si="5"/>
        <v>13.27346173</v>
      </c>
    </row>
    <row r="86">
      <c r="A86" s="83" t="s">
        <v>30</v>
      </c>
      <c r="B86" s="84">
        <f t="shared" si="6"/>
        <v>45375</v>
      </c>
      <c r="C86" s="85">
        <v>3.0</v>
      </c>
      <c r="D86" s="85" t="s">
        <v>33</v>
      </c>
      <c r="E86" s="87" t="s">
        <v>13</v>
      </c>
      <c r="F86" s="165">
        <v>80.0</v>
      </c>
      <c r="G86" s="89"/>
      <c r="H86" s="166">
        <v>80.0</v>
      </c>
      <c r="I86" s="89"/>
      <c r="J86" s="166">
        <v>80.0</v>
      </c>
      <c r="K86" s="89"/>
      <c r="L86" s="165">
        <v>310.0</v>
      </c>
      <c r="M86" s="89"/>
      <c r="N86" s="166">
        <v>310.0</v>
      </c>
      <c r="O86" s="89"/>
      <c r="P86" s="166">
        <v>0.0</v>
      </c>
      <c r="Q86" s="89"/>
      <c r="R86" s="166">
        <v>0.0</v>
      </c>
      <c r="S86" s="89"/>
      <c r="T86" s="166">
        <v>0.0</v>
      </c>
      <c r="U86" s="89"/>
      <c r="V86" s="166">
        <v>0.0</v>
      </c>
      <c r="W86" s="89"/>
      <c r="X86" s="166">
        <v>0.0</v>
      </c>
      <c r="Y86" s="91"/>
      <c r="Z86" s="165">
        <v>0.0</v>
      </c>
      <c r="AA86" s="89"/>
      <c r="AB86" s="166">
        <v>0.0</v>
      </c>
      <c r="AC86" s="89"/>
      <c r="AD86" s="166">
        <v>0.0</v>
      </c>
      <c r="AE86" s="89"/>
      <c r="AF86" s="167">
        <f t="shared" si="1"/>
        <v>11895.656</v>
      </c>
      <c r="AG86" s="168">
        <f t="shared" si="2"/>
        <v>860</v>
      </c>
      <c r="AH86" s="168">
        <f t="shared" si="3"/>
        <v>0</v>
      </c>
      <c r="AI86" s="85">
        <f t="shared" si="4"/>
        <v>860</v>
      </c>
      <c r="AJ86" s="93">
        <f t="shared" si="5"/>
        <v>13.83215814</v>
      </c>
    </row>
    <row r="87">
      <c r="A87" s="66" t="s">
        <v>11</v>
      </c>
      <c r="B87" s="94">
        <f t="shared" si="6"/>
        <v>45376</v>
      </c>
      <c r="C87" s="68">
        <v>4.0</v>
      </c>
      <c r="D87" s="68" t="s">
        <v>48</v>
      </c>
      <c r="E87" s="70" t="s">
        <v>129</v>
      </c>
      <c r="F87" s="71"/>
      <c r="H87" s="72"/>
      <c r="J87" s="72"/>
      <c r="L87" s="159">
        <v>310.0</v>
      </c>
      <c r="N87" s="160">
        <v>310.0</v>
      </c>
      <c r="P87" s="160">
        <v>0.0</v>
      </c>
      <c r="R87" s="160">
        <v>0.0</v>
      </c>
      <c r="T87" s="160">
        <v>1.0</v>
      </c>
      <c r="V87" s="160">
        <v>1.0</v>
      </c>
      <c r="X87" s="160">
        <v>0.0</v>
      </c>
      <c r="Y87" s="73"/>
      <c r="Z87" s="159">
        <v>18.0</v>
      </c>
      <c r="AB87" s="160">
        <v>18.0</v>
      </c>
      <c r="AD87" s="160">
        <v>0.0</v>
      </c>
      <c r="AF87" s="161">
        <f t="shared" si="1"/>
        <v>8554.52</v>
      </c>
      <c r="AG87" s="162">
        <f t="shared" si="2"/>
        <v>656</v>
      </c>
      <c r="AH87" s="162">
        <f t="shared" si="3"/>
        <v>2</v>
      </c>
      <c r="AI87" s="68">
        <f t="shared" si="4"/>
        <v>658</v>
      </c>
      <c r="AJ87" s="75">
        <f t="shared" si="5"/>
        <v>13.00079027</v>
      </c>
    </row>
    <row r="88">
      <c r="A88" s="76" t="s">
        <v>16</v>
      </c>
      <c r="B88" s="77">
        <f t="shared" si="6"/>
        <v>45377</v>
      </c>
      <c r="C88" s="78">
        <v>4.0</v>
      </c>
      <c r="D88" s="78" t="s">
        <v>48</v>
      </c>
      <c r="E88" s="80" t="s">
        <v>129</v>
      </c>
      <c r="F88" s="71"/>
      <c r="H88" s="72"/>
      <c r="J88" s="72"/>
      <c r="L88" s="159">
        <v>250.0</v>
      </c>
      <c r="N88" s="160">
        <v>250.0</v>
      </c>
      <c r="P88" s="160">
        <v>0.0</v>
      </c>
      <c r="R88" s="160">
        <v>0.0</v>
      </c>
      <c r="T88" s="160">
        <v>0.0</v>
      </c>
      <c r="V88" s="160">
        <v>0.0</v>
      </c>
      <c r="X88" s="160">
        <v>0.0</v>
      </c>
      <c r="Y88" s="73"/>
      <c r="Z88" s="159">
        <v>18.0</v>
      </c>
      <c r="AB88" s="160">
        <v>18.0</v>
      </c>
      <c r="AD88" s="160">
        <v>0.0</v>
      </c>
      <c r="AF88" s="163">
        <f t="shared" si="1"/>
        <v>6389.12</v>
      </c>
      <c r="AG88" s="164">
        <f t="shared" si="2"/>
        <v>536</v>
      </c>
      <c r="AH88" s="164">
        <f t="shared" si="3"/>
        <v>0</v>
      </c>
      <c r="AI88" s="78">
        <f t="shared" si="4"/>
        <v>536</v>
      </c>
      <c r="AJ88" s="82">
        <f t="shared" si="5"/>
        <v>11.92</v>
      </c>
    </row>
    <row r="89">
      <c r="A89" s="76" t="s">
        <v>17</v>
      </c>
      <c r="B89" s="77">
        <f t="shared" si="6"/>
        <v>45378</v>
      </c>
      <c r="C89" s="78">
        <v>4.0</v>
      </c>
      <c r="D89" s="78" t="s">
        <v>48</v>
      </c>
      <c r="E89" s="80" t="s">
        <v>129</v>
      </c>
      <c r="F89" s="71"/>
      <c r="H89" s="72"/>
      <c r="J89" s="72"/>
      <c r="L89" s="159">
        <v>250.0</v>
      </c>
      <c r="N89" s="160">
        <v>250.0</v>
      </c>
      <c r="P89" s="160">
        <v>0.0</v>
      </c>
      <c r="R89" s="160">
        <v>0.0</v>
      </c>
      <c r="T89" s="160">
        <v>0.0</v>
      </c>
      <c r="V89" s="160">
        <v>0.0</v>
      </c>
      <c r="X89" s="160">
        <v>0.0</v>
      </c>
      <c r="Y89" s="73"/>
      <c r="Z89" s="159">
        <v>18.0</v>
      </c>
      <c r="AB89" s="160">
        <v>18.0</v>
      </c>
      <c r="AD89" s="160">
        <v>0.0</v>
      </c>
      <c r="AF89" s="163">
        <f t="shared" si="1"/>
        <v>6389.12</v>
      </c>
      <c r="AG89" s="164">
        <f t="shared" si="2"/>
        <v>536</v>
      </c>
      <c r="AH89" s="164">
        <f t="shared" si="3"/>
        <v>0</v>
      </c>
      <c r="AI89" s="78">
        <f t="shared" si="4"/>
        <v>536</v>
      </c>
      <c r="AJ89" s="82">
        <f t="shared" si="5"/>
        <v>11.92</v>
      </c>
    </row>
    <row r="90">
      <c r="A90" s="76" t="s">
        <v>21</v>
      </c>
      <c r="B90" s="77">
        <f t="shared" si="6"/>
        <v>45379</v>
      </c>
      <c r="C90" s="78">
        <v>4.0</v>
      </c>
      <c r="D90" s="78" t="s">
        <v>48</v>
      </c>
      <c r="E90" s="80" t="s">
        <v>129</v>
      </c>
      <c r="F90" s="71"/>
      <c r="H90" s="72"/>
      <c r="J90" s="72"/>
      <c r="L90" s="159">
        <v>250.0</v>
      </c>
      <c r="N90" s="160">
        <v>250.0</v>
      </c>
      <c r="P90" s="160">
        <v>0.0</v>
      </c>
      <c r="R90" s="160">
        <v>0.0</v>
      </c>
      <c r="T90" s="160">
        <v>0.0</v>
      </c>
      <c r="V90" s="160">
        <v>0.0</v>
      </c>
      <c r="X90" s="160">
        <v>0.0</v>
      </c>
      <c r="Y90" s="73"/>
      <c r="Z90" s="159">
        <v>18.0</v>
      </c>
      <c r="AB90" s="160">
        <v>18.0</v>
      </c>
      <c r="AD90" s="160">
        <v>0.0</v>
      </c>
      <c r="AF90" s="163">
        <f t="shared" si="1"/>
        <v>6389.12</v>
      </c>
      <c r="AG90" s="164">
        <f t="shared" si="2"/>
        <v>536</v>
      </c>
      <c r="AH90" s="164">
        <f t="shared" si="3"/>
        <v>0</v>
      </c>
      <c r="AI90" s="78">
        <f t="shared" si="4"/>
        <v>536</v>
      </c>
      <c r="AJ90" s="82">
        <f t="shared" si="5"/>
        <v>11.92</v>
      </c>
    </row>
    <row r="91">
      <c r="A91" s="76" t="s">
        <v>24</v>
      </c>
      <c r="B91" s="77">
        <f t="shared" si="6"/>
        <v>45380</v>
      </c>
      <c r="C91" s="78">
        <v>4.0</v>
      </c>
      <c r="D91" s="78" t="s">
        <v>48</v>
      </c>
      <c r="E91" s="80" t="s">
        <v>129</v>
      </c>
      <c r="F91" s="71"/>
      <c r="H91" s="72"/>
      <c r="J91" s="72"/>
      <c r="L91" s="159">
        <v>250.0</v>
      </c>
      <c r="N91" s="160">
        <v>250.0</v>
      </c>
      <c r="P91" s="160">
        <v>0.0</v>
      </c>
      <c r="R91" s="160">
        <v>0.0</v>
      </c>
      <c r="T91" s="160">
        <v>0.0</v>
      </c>
      <c r="V91" s="160">
        <v>0.0</v>
      </c>
      <c r="X91" s="160">
        <v>0.0</v>
      </c>
      <c r="Y91" s="73"/>
      <c r="Z91" s="159">
        <v>18.0</v>
      </c>
      <c r="AB91" s="160">
        <v>18.0</v>
      </c>
      <c r="AD91" s="160">
        <v>0.0</v>
      </c>
      <c r="AF91" s="163">
        <f t="shared" si="1"/>
        <v>6389.12</v>
      </c>
      <c r="AG91" s="164">
        <f t="shared" si="2"/>
        <v>536</v>
      </c>
      <c r="AH91" s="164">
        <f t="shared" si="3"/>
        <v>0</v>
      </c>
      <c r="AI91" s="78">
        <f t="shared" si="4"/>
        <v>536</v>
      </c>
      <c r="AJ91" s="82">
        <f t="shared" si="5"/>
        <v>11.92</v>
      </c>
    </row>
    <row r="92">
      <c r="A92" s="76" t="s">
        <v>27</v>
      </c>
      <c r="B92" s="77">
        <f t="shared" si="6"/>
        <v>45381</v>
      </c>
      <c r="C92" s="78">
        <v>4.0</v>
      </c>
      <c r="D92" s="78" t="s">
        <v>48</v>
      </c>
      <c r="E92" s="80" t="s">
        <v>129</v>
      </c>
      <c r="F92" s="71"/>
      <c r="H92" s="72"/>
      <c r="J92" s="72"/>
      <c r="L92" s="159">
        <v>250.0</v>
      </c>
      <c r="N92" s="160">
        <v>250.0</v>
      </c>
      <c r="P92" s="160">
        <v>0.0</v>
      </c>
      <c r="R92" s="160">
        <v>0.0</v>
      </c>
      <c r="T92" s="160">
        <v>0.0</v>
      </c>
      <c r="V92" s="160">
        <v>0.0</v>
      </c>
      <c r="X92" s="160">
        <v>0.0</v>
      </c>
      <c r="Y92" s="73"/>
      <c r="Z92" s="159">
        <v>11.0</v>
      </c>
      <c r="AB92" s="160">
        <v>11.0</v>
      </c>
      <c r="AD92" s="160">
        <v>0.0</v>
      </c>
      <c r="AF92" s="163">
        <f t="shared" si="1"/>
        <v>6222.24</v>
      </c>
      <c r="AG92" s="164">
        <f t="shared" si="2"/>
        <v>522</v>
      </c>
      <c r="AH92" s="164">
        <f t="shared" si="3"/>
        <v>0</v>
      </c>
      <c r="AI92" s="78">
        <f t="shared" si="4"/>
        <v>522</v>
      </c>
      <c r="AJ92" s="82">
        <f t="shared" si="5"/>
        <v>11.92</v>
      </c>
    </row>
    <row r="93">
      <c r="A93" s="83" t="s">
        <v>30</v>
      </c>
      <c r="B93" s="84">
        <f t="shared" si="6"/>
        <v>45382</v>
      </c>
      <c r="C93" s="85">
        <v>4.0</v>
      </c>
      <c r="D93" s="85" t="s">
        <v>48</v>
      </c>
      <c r="E93" s="87" t="s">
        <v>129</v>
      </c>
      <c r="F93" s="88"/>
      <c r="G93" s="89"/>
      <c r="H93" s="90"/>
      <c r="I93" s="89"/>
      <c r="J93" s="90"/>
      <c r="K93" s="89"/>
      <c r="L93" s="165">
        <v>250.0</v>
      </c>
      <c r="M93" s="89"/>
      <c r="N93" s="166">
        <v>250.0</v>
      </c>
      <c r="O93" s="89"/>
      <c r="P93" s="166">
        <v>0.0</v>
      </c>
      <c r="Q93" s="89"/>
      <c r="R93" s="166">
        <v>0.0</v>
      </c>
      <c r="S93" s="89"/>
      <c r="T93" s="166">
        <v>0.0</v>
      </c>
      <c r="U93" s="89"/>
      <c r="V93" s="166">
        <v>0.0</v>
      </c>
      <c r="W93" s="89"/>
      <c r="X93" s="166">
        <v>0.0</v>
      </c>
      <c r="Y93" s="91"/>
      <c r="Z93" s="165">
        <v>0.0</v>
      </c>
      <c r="AA93" s="89"/>
      <c r="AB93" s="166">
        <v>0.0</v>
      </c>
      <c r="AC93" s="89"/>
      <c r="AD93" s="166">
        <v>0.0</v>
      </c>
      <c r="AE93" s="89"/>
      <c r="AF93" s="167">
        <f t="shared" si="1"/>
        <v>5960</v>
      </c>
      <c r="AG93" s="168">
        <f t="shared" si="2"/>
        <v>500</v>
      </c>
      <c r="AH93" s="168">
        <f t="shared" si="3"/>
        <v>0</v>
      </c>
      <c r="AI93" s="85">
        <f t="shared" si="4"/>
        <v>500</v>
      </c>
      <c r="AJ93" s="93">
        <f t="shared" si="5"/>
        <v>11.92</v>
      </c>
    </row>
    <row r="94">
      <c r="A94" s="66" t="s">
        <v>11</v>
      </c>
      <c r="B94" s="94">
        <f t="shared" si="6"/>
        <v>45383</v>
      </c>
      <c r="C94" s="68">
        <v>4.0</v>
      </c>
      <c r="D94" s="68" t="s">
        <v>59</v>
      </c>
      <c r="E94" s="70" t="s">
        <v>129</v>
      </c>
      <c r="F94" s="71"/>
      <c r="H94" s="72"/>
      <c r="J94" s="72"/>
      <c r="L94" s="159">
        <v>250.0</v>
      </c>
      <c r="N94" s="160">
        <v>250.0</v>
      </c>
      <c r="P94" s="160">
        <v>0.0</v>
      </c>
      <c r="R94" s="160">
        <v>0.0</v>
      </c>
      <c r="T94" s="160">
        <v>1.0</v>
      </c>
      <c r="V94" s="160">
        <v>1.0</v>
      </c>
      <c r="X94" s="160"/>
      <c r="Y94" s="73"/>
      <c r="Z94" s="159">
        <v>15.0</v>
      </c>
      <c r="AB94" s="160">
        <v>15.0</v>
      </c>
      <c r="AD94" s="160">
        <v>0.0</v>
      </c>
      <c r="AF94" s="161">
        <f t="shared" si="1"/>
        <v>7052.6</v>
      </c>
      <c r="AG94" s="162">
        <f t="shared" si="2"/>
        <v>530</v>
      </c>
      <c r="AH94" s="68">
        <f t="shared" si="3"/>
        <v>2</v>
      </c>
      <c r="AI94" s="68">
        <f t="shared" si="4"/>
        <v>532</v>
      </c>
      <c r="AJ94" s="75">
        <f t="shared" si="5"/>
        <v>13.25676692</v>
      </c>
    </row>
    <row r="95">
      <c r="A95" s="76" t="s">
        <v>16</v>
      </c>
      <c r="B95" s="77">
        <f t="shared" si="6"/>
        <v>45384</v>
      </c>
      <c r="C95" s="78">
        <v>4.0</v>
      </c>
      <c r="D95" s="78" t="s">
        <v>59</v>
      </c>
      <c r="E95" s="80" t="s">
        <v>129</v>
      </c>
      <c r="F95" s="71"/>
      <c r="H95" s="72"/>
      <c r="J95" s="72"/>
      <c r="L95" s="159">
        <v>0.0</v>
      </c>
      <c r="N95" s="160">
        <v>0.0</v>
      </c>
      <c r="P95" s="160">
        <v>0.0</v>
      </c>
      <c r="R95" s="160">
        <v>0.0</v>
      </c>
      <c r="T95" s="160">
        <v>0.0</v>
      </c>
      <c r="V95" s="160">
        <v>0.0</v>
      </c>
      <c r="X95" s="160">
        <v>0.0</v>
      </c>
      <c r="Y95" s="73"/>
      <c r="Z95" s="159">
        <v>0.0</v>
      </c>
      <c r="AB95" s="160">
        <v>0.0</v>
      </c>
      <c r="AD95" s="160">
        <v>0.0</v>
      </c>
      <c r="AF95" s="163">
        <f t="shared" si="1"/>
        <v>0</v>
      </c>
      <c r="AG95" s="164">
        <f t="shared" si="2"/>
        <v>0</v>
      </c>
      <c r="AH95" s="78">
        <f t="shared" si="3"/>
        <v>0</v>
      </c>
      <c r="AI95" s="78">
        <f t="shared" si="4"/>
        <v>0</v>
      </c>
      <c r="AJ95" s="82" t="str">
        <f t="shared" si="5"/>
        <v/>
      </c>
    </row>
    <row r="96">
      <c r="A96" s="76" t="s">
        <v>17</v>
      </c>
      <c r="B96" s="77">
        <f t="shared" si="6"/>
        <v>45385</v>
      </c>
      <c r="C96" s="78">
        <v>4.0</v>
      </c>
      <c r="D96" s="78" t="s">
        <v>59</v>
      </c>
      <c r="E96" s="80" t="s">
        <v>129</v>
      </c>
      <c r="F96" s="71"/>
      <c r="H96" s="72"/>
      <c r="J96" s="72"/>
      <c r="L96" s="159">
        <v>0.0</v>
      </c>
      <c r="N96" s="160">
        <v>0.0</v>
      </c>
      <c r="P96" s="160">
        <v>0.0</v>
      </c>
      <c r="R96" s="160">
        <v>0.0</v>
      </c>
      <c r="T96" s="160">
        <v>0.0</v>
      </c>
      <c r="V96" s="160">
        <v>0.0</v>
      </c>
      <c r="X96" s="160">
        <v>0.0</v>
      </c>
      <c r="Y96" s="73"/>
      <c r="Z96" s="159">
        <v>0.0</v>
      </c>
      <c r="AB96" s="160">
        <v>0.0</v>
      </c>
      <c r="AD96" s="160">
        <v>0.0</v>
      </c>
      <c r="AF96" s="163">
        <f t="shared" si="1"/>
        <v>0</v>
      </c>
      <c r="AG96" s="164">
        <f t="shared" si="2"/>
        <v>0</v>
      </c>
      <c r="AH96" s="78">
        <f t="shared" si="3"/>
        <v>0</v>
      </c>
      <c r="AI96" s="78">
        <f t="shared" si="4"/>
        <v>0</v>
      </c>
      <c r="AJ96" s="82" t="str">
        <f t="shared" si="5"/>
        <v/>
      </c>
    </row>
    <row r="97">
      <c r="A97" s="76" t="s">
        <v>21</v>
      </c>
      <c r="B97" s="77">
        <f t="shared" si="6"/>
        <v>45386</v>
      </c>
      <c r="C97" s="78">
        <v>4.0</v>
      </c>
      <c r="D97" s="78" t="s">
        <v>59</v>
      </c>
      <c r="E97" s="80" t="s">
        <v>129</v>
      </c>
      <c r="F97" s="71"/>
      <c r="H97" s="72"/>
      <c r="J97" s="72"/>
      <c r="L97" s="159">
        <v>0.0</v>
      </c>
      <c r="N97" s="160">
        <v>0.0</v>
      </c>
      <c r="P97" s="160">
        <v>0.0</v>
      </c>
      <c r="R97" s="160">
        <v>0.0</v>
      </c>
      <c r="T97" s="160">
        <v>0.0</v>
      </c>
      <c r="V97" s="160">
        <v>0.0</v>
      </c>
      <c r="X97" s="160">
        <v>0.0</v>
      </c>
      <c r="Y97" s="73"/>
      <c r="Z97" s="159">
        <v>0.0</v>
      </c>
      <c r="AB97" s="160">
        <v>0.0</v>
      </c>
      <c r="AD97" s="160">
        <v>0.0</v>
      </c>
      <c r="AF97" s="163">
        <f t="shared" si="1"/>
        <v>0</v>
      </c>
      <c r="AG97" s="164">
        <f t="shared" si="2"/>
        <v>0</v>
      </c>
      <c r="AH97" s="78">
        <f t="shared" si="3"/>
        <v>0</v>
      </c>
      <c r="AI97" s="78">
        <f t="shared" si="4"/>
        <v>0</v>
      </c>
      <c r="AJ97" s="82" t="str">
        <f t="shared" si="5"/>
        <v/>
      </c>
    </row>
    <row r="98">
      <c r="A98" s="76" t="s">
        <v>24</v>
      </c>
      <c r="B98" s="77">
        <f t="shared" si="6"/>
        <v>45387</v>
      </c>
      <c r="C98" s="78">
        <v>4.0</v>
      </c>
      <c r="D98" s="78" t="s">
        <v>59</v>
      </c>
      <c r="E98" s="80" t="s">
        <v>129</v>
      </c>
      <c r="F98" s="71"/>
      <c r="H98" s="72"/>
      <c r="J98" s="72"/>
      <c r="L98" s="159">
        <v>100.0</v>
      </c>
      <c r="N98" s="160">
        <v>100.0</v>
      </c>
      <c r="P98" s="160">
        <v>0.0</v>
      </c>
      <c r="R98" s="160">
        <v>0.0</v>
      </c>
      <c r="T98" s="160">
        <v>0.0</v>
      </c>
      <c r="V98" s="160">
        <v>0.0</v>
      </c>
      <c r="X98" s="160">
        <v>0.0</v>
      </c>
      <c r="Y98" s="73"/>
      <c r="Z98" s="159">
        <v>14.0</v>
      </c>
      <c r="AB98" s="160">
        <v>14.0</v>
      </c>
      <c r="AD98" s="160">
        <v>0.0</v>
      </c>
      <c r="AF98" s="163">
        <f t="shared" si="1"/>
        <v>2717.76</v>
      </c>
      <c r="AG98" s="164">
        <f t="shared" si="2"/>
        <v>228</v>
      </c>
      <c r="AH98" s="78">
        <f t="shared" si="3"/>
        <v>0</v>
      </c>
      <c r="AI98" s="78">
        <f t="shared" si="4"/>
        <v>228</v>
      </c>
      <c r="AJ98" s="82">
        <f t="shared" si="5"/>
        <v>11.92</v>
      </c>
    </row>
    <row r="99">
      <c r="A99" s="76" t="s">
        <v>27</v>
      </c>
      <c r="B99" s="77">
        <f t="shared" si="6"/>
        <v>45388</v>
      </c>
      <c r="C99" s="78">
        <v>4.0</v>
      </c>
      <c r="D99" s="78" t="s">
        <v>59</v>
      </c>
      <c r="E99" s="80" t="s">
        <v>129</v>
      </c>
      <c r="F99" s="71"/>
      <c r="H99" s="72"/>
      <c r="J99" s="72"/>
      <c r="L99" s="159">
        <v>80.0</v>
      </c>
      <c r="N99" s="160">
        <v>80.0</v>
      </c>
      <c r="P99" s="160">
        <v>0.0</v>
      </c>
      <c r="R99" s="160">
        <v>0.0</v>
      </c>
      <c r="T99" s="160">
        <v>0.0</v>
      </c>
      <c r="V99" s="160">
        <v>0.0</v>
      </c>
      <c r="X99" s="160">
        <v>0.0</v>
      </c>
      <c r="Y99" s="73"/>
      <c r="Z99" s="159">
        <v>0.0</v>
      </c>
      <c r="AB99" s="160">
        <v>0.0</v>
      </c>
      <c r="AD99" s="160">
        <v>0.0</v>
      </c>
      <c r="AF99" s="163">
        <f t="shared" si="1"/>
        <v>1907.2</v>
      </c>
      <c r="AG99" s="164">
        <f t="shared" si="2"/>
        <v>160</v>
      </c>
      <c r="AH99" s="78">
        <f t="shared" si="3"/>
        <v>0</v>
      </c>
      <c r="AI99" s="78">
        <f t="shared" si="4"/>
        <v>160</v>
      </c>
      <c r="AJ99" s="82">
        <f t="shared" si="5"/>
        <v>11.92</v>
      </c>
    </row>
    <row r="100">
      <c r="A100" s="83" t="s">
        <v>30</v>
      </c>
      <c r="B100" s="84">
        <f t="shared" si="6"/>
        <v>45389</v>
      </c>
      <c r="C100" s="85">
        <v>4.0</v>
      </c>
      <c r="D100" s="85" t="s">
        <v>59</v>
      </c>
      <c r="E100" s="87" t="s">
        <v>129</v>
      </c>
      <c r="F100" s="88"/>
      <c r="G100" s="89"/>
      <c r="H100" s="90"/>
      <c r="I100" s="89"/>
      <c r="J100" s="90"/>
      <c r="K100" s="89"/>
      <c r="L100" s="165">
        <v>0.0</v>
      </c>
      <c r="M100" s="89"/>
      <c r="N100" s="166">
        <v>0.0</v>
      </c>
      <c r="O100" s="89"/>
      <c r="P100" s="166">
        <v>0.0</v>
      </c>
      <c r="Q100" s="89"/>
      <c r="R100" s="166">
        <v>0.0</v>
      </c>
      <c r="S100" s="89"/>
      <c r="T100" s="166">
        <v>0.0</v>
      </c>
      <c r="U100" s="89"/>
      <c r="V100" s="166">
        <v>0.0</v>
      </c>
      <c r="W100" s="89"/>
      <c r="X100" s="166">
        <v>0.0</v>
      </c>
      <c r="Y100" s="91"/>
      <c r="Z100" s="165">
        <v>0.0</v>
      </c>
      <c r="AA100" s="89"/>
      <c r="AB100" s="166">
        <v>0.0</v>
      </c>
      <c r="AC100" s="89"/>
      <c r="AD100" s="166">
        <v>0.0</v>
      </c>
      <c r="AE100" s="89"/>
      <c r="AF100" s="167">
        <f t="shared" si="1"/>
        <v>0</v>
      </c>
      <c r="AG100" s="168">
        <f t="shared" si="2"/>
        <v>0</v>
      </c>
      <c r="AH100" s="85">
        <f t="shared" si="3"/>
        <v>0</v>
      </c>
      <c r="AI100" s="85">
        <f t="shared" si="4"/>
        <v>0</v>
      </c>
      <c r="AJ100" s="93" t="str">
        <f t="shared" si="5"/>
        <v/>
      </c>
    </row>
    <row r="101">
      <c r="A101" s="66" t="s">
        <v>11</v>
      </c>
      <c r="B101" s="94">
        <f t="shared" si="6"/>
        <v>45390</v>
      </c>
      <c r="C101" s="68">
        <v>4.0</v>
      </c>
      <c r="D101" s="68" t="s">
        <v>12</v>
      </c>
      <c r="E101" s="70" t="s">
        <v>129</v>
      </c>
      <c r="F101" s="71"/>
      <c r="H101" s="72"/>
      <c r="J101" s="72"/>
      <c r="L101" s="159">
        <v>80.0</v>
      </c>
      <c r="N101" s="160">
        <v>80.0</v>
      </c>
      <c r="P101" s="160">
        <v>0.0</v>
      </c>
      <c r="R101" s="160">
        <v>0.0</v>
      </c>
      <c r="T101" s="160">
        <v>1.0</v>
      </c>
      <c r="V101" s="160">
        <v>1.0</v>
      </c>
      <c r="X101" s="160">
        <v>0.0</v>
      </c>
      <c r="Y101" s="73"/>
      <c r="Z101" s="159">
        <v>17.0</v>
      </c>
      <c r="AB101" s="160">
        <v>17.0</v>
      </c>
      <c r="AD101" s="160">
        <v>0.0</v>
      </c>
      <c r="AF101" s="161">
        <f t="shared" si="1"/>
        <v>3047.48</v>
      </c>
      <c r="AG101" s="68">
        <f t="shared" si="2"/>
        <v>194</v>
      </c>
      <c r="AH101" s="68">
        <f t="shared" si="3"/>
        <v>2</v>
      </c>
      <c r="AI101" s="68">
        <f t="shared" si="4"/>
        <v>196</v>
      </c>
      <c r="AJ101" s="75">
        <f t="shared" si="5"/>
        <v>15.54836735</v>
      </c>
    </row>
    <row r="102">
      <c r="A102" s="76" t="s">
        <v>16</v>
      </c>
      <c r="B102" s="77">
        <f t="shared" si="6"/>
        <v>45391</v>
      </c>
      <c r="C102" s="78">
        <v>4.0</v>
      </c>
      <c r="D102" s="78" t="s">
        <v>12</v>
      </c>
      <c r="E102" s="80" t="s">
        <v>129</v>
      </c>
      <c r="F102" s="71"/>
      <c r="H102" s="72"/>
      <c r="J102" s="72"/>
      <c r="L102" s="159">
        <v>80.0</v>
      </c>
      <c r="N102" s="160">
        <v>80.0</v>
      </c>
      <c r="P102" s="160">
        <v>0.0</v>
      </c>
      <c r="R102" s="160">
        <v>0.0</v>
      </c>
      <c r="T102" s="160">
        <v>0.0</v>
      </c>
      <c r="V102" s="160">
        <v>0.0</v>
      </c>
      <c r="X102" s="160">
        <v>0.0</v>
      </c>
      <c r="Y102" s="73"/>
      <c r="Z102" s="159">
        <v>17.0</v>
      </c>
      <c r="AB102" s="160">
        <v>17.0</v>
      </c>
      <c r="AD102" s="160">
        <v>0.0</v>
      </c>
      <c r="AF102" s="163">
        <f t="shared" si="1"/>
        <v>2312.48</v>
      </c>
      <c r="AG102" s="78">
        <f t="shared" si="2"/>
        <v>194</v>
      </c>
      <c r="AH102" s="78">
        <f t="shared" si="3"/>
        <v>0</v>
      </c>
      <c r="AI102" s="78">
        <f t="shared" si="4"/>
        <v>194</v>
      </c>
      <c r="AJ102" s="82">
        <f t="shared" si="5"/>
        <v>11.92</v>
      </c>
    </row>
    <row r="103">
      <c r="A103" s="76" t="s">
        <v>17</v>
      </c>
      <c r="B103" s="77">
        <f t="shared" si="6"/>
        <v>45392</v>
      </c>
      <c r="C103" s="78">
        <v>4.0</v>
      </c>
      <c r="D103" s="78" t="s">
        <v>12</v>
      </c>
      <c r="E103" s="80" t="s">
        <v>129</v>
      </c>
      <c r="F103" s="71"/>
      <c r="H103" s="72"/>
      <c r="J103" s="72"/>
      <c r="L103" s="159">
        <v>80.0</v>
      </c>
      <c r="N103" s="160">
        <v>80.0</v>
      </c>
      <c r="P103" s="160">
        <v>0.0</v>
      </c>
      <c r="R103" s="160">
        <v>0.0</v>
      </c>
      <c r="T103" s="160">
        <v>0.0</v>
      </c>
      <c r="V103" s="160">
        <v>0.0</v>
      </c>
      <c r="X103" s="160">
        <v>0.0</v>
      </c>
      <c r="Y103" s="73"/>
      <c r="Z103" s="159">
        <v>17.0</v>
      </c>
      <c r="AB103" s="160">
        <v>17.0</v>
      </c>
      <c r="AD103" s="160">
        <v>0.0</v>
      </c>
      <c r="AF103" s="163">
        <f t="shared" si="1"/>
        <v>2312.48</v>
      </c>
      <c r="AG103" s="78">
        <f t="shared" si="2"/>
        <v>194</v>
      </c>
      <c r="AH103" s="78">
        <f t="shared" si="3"/>
        <v>0</v>
      </c>
      <c r="AI103" s="78">
        <f t="shared" si="4"/>
        <v>194</v>
      </c>
      <c r="AJ103" s="82">
        <f t="shared" si="5"/>
        <v>11.92</v>
      </c>
    </row>
    <row r="104">
      <c r="A104" s="76" t="s">
        <v>21</v>
      </c>
      <c r="B104" s="77">
        <f t="shared" si="6"/>
        <v>45393</v>
      </c>
      <c r="C104" s="78">
        <v>4.0</v>
      </c>
      <c r="D104" s="78" t="s">
        <v>12</v>
      </c>
      <c r="E104" s="80" t="s">
        <v>129</v>
      </c>
      <c r="F104" s="71"/>
      <c r="H104" s="72"/>
      <c r="J104" s="72"/>
      <c r="L104" s="159">
        <v>80.0</v>
      </c>
      <c r="N104" s="160">
        <v>80.0</v>
      </c>
      <c r="P104" s="160">
        <v>0.0</v>
      </c>
      <c r="R104" s="160">
        <v>0.0</v>
      </c>
      <c r="T104" s="160">
        <v>0.0</v>
      </c>
      <c r="V104" s="160">
        <v>0.0</v>
      </c>
      <c r="X104" s="160">
        <v>0.0</v>
      </c>
      <c r="Y104" s="73"/>
      <c r="Z104" s="159">
        <v>17.0</v>
      </c>
      <c r="AB104" s="160">
        <v>17.0</v>
      </c>
      <c r="AD104" s="160">
        <v>0.0</v>
      </c>
      <c r="AF104" s="163">
        <f t="shared" si="1"/>
        <v>2312.48</v>
      </c>
      <c r="AG104" s="78">
        <f t="shared" si="2"/>
        <v>194</v>
      </c>
      <c r="AH104" s="78">
        <f t="shared" si="3"/>
        <v>0</v>
      </c>
      <c r="AI104" s="78">
        <f t="shared" si="4"/>
        <v>194</v>
      </c>
      <c r="AJ104" s="82">
        <f t="shared" si="5"/>
        <v>11.92</v>
      </c>
    </row>
    <row r="105">
      <c r="A105" s="76" t="s">
        <v>24</v>
      </c>
      <c r="B105" s="77">
        <f t="shared" si="6"/>
        <v>45394</v>
      </c>
      <c r="C105" s="78">
        <v>4.0</v>
      </c>
      <c r="D105" s="78" t="s">
        <v>12</v>
      </c>
      <c r="E105" s="80" t="s">
        <v>129</v>
      </c>
      <c r="F105" s="71"/>
      <c r="H105" s="72"/>
      <c r="J105" s="72"/>
      <c r="L105" s="159">
        <v>80.0</v>
      </c>
      <c r="N105" s="160">
        <v>80.0</v>
      </c>
      <c r="P105" s="160">
        <v>0.0</v>
      </c>
      <c r="R105" s="160">
        <v>0.0</v>
      </c>
      <c r="T105" s="160">
        <v>0.0</v>
      </c>
      <c r="V105" s="160">
        <v>0.0</v>
      </c>
      <c r="X105" s="160">
        <v>0.0</v>
      </c>
      <c r="Y105" s="73"/>
      <c r="Z105" s="159">
        <v>17.0</v>
      </c>
      <c r="AB105" s="160">
        <v>17.0</v>
      </c>
      <c r="AD105" s="160">
        <v>0.0</v>
      </c>
      <c r="AF105" s="163">
        <f t="shared" si="1"/>
        <v>2312.48</v>
      </c>
      <c r="AG105" s="78">
        <f t="shared" si="2"/>
        <v>194</v>
      </c>
      <c r="AH105" s="78">
        <f t="shared" si="3"/>
        <v>0</v>
      </c>
      <c r="AI105" s="78">
        <f t="shared" si="4"/>
        <v>194</v>
      </c>
      <c r="AJ105" s="82">
        <f t="shared" si="5"/>
        <v>11.92</v>
      </c>
    </row>
    <row r="106">
      <c r="A106" s="76" t="s">
        <v>27</v>
      </c>
      <c r="B106" s="77">
        <f t="shared" si="6"/>
        <v>45395</v>
      </c>
      <c r="C106" s="78">
        <v>4.0</v>
      </c>
      <c r="D106" s="78" t="s">
        <v>12</v>
      </c>
      <c r="E106" s="80" t="s">
        <v>129</v>
      </c>
      <c r="F106" s="71"/>
      <c r="H106" s="72"/>
      <c r="J106" s="72"/>
      <c r="L106" s="159">
        <v>80.0</v>
      </c>
      <c r="N106" s="160">
        <v>80.0</v>
      </c>
      <c r="P106" s="160">
        <v>0.0</v>
      </c>
      <c r="R106" s="160">
        <v>0.0</v>
      </c>
      <c r="T106" s="160">
        <v>0.0</v>
      </c>
      <c r="V106" s="160">
        <v>0.0</v>
      </c>
      <c r="X106" s="160">
        <v>0.0</v>
      </c>
      <c r="Y106" s="73"/>
      <c r="Z106" s="159">
        <v>13.0</v>
      </c>
      <c r="AB106" s="160">
        <v>13.0</v>
      </c>
      <c r="AD106" s="160">
        <v>0.0</v>
      </c>
      <c r="AF106" s="163">
        <f t="shared" si="1"/>
        <v>2217.12</v>
      </c>
      <c r="AG106" s="78">
        <f t="shared" si="2"/>
        <v>186</v>
      </c>
      <c r="AH106" s="78">
        <f t="shared" si="3"/>
        <v>0</v>
      </c>
      <c r="AI106" s="78">
        <f t="shared" si="4"/>
        <v>186</v>
      </c>
      <c r="AJ106" s="82">
        <f t="shared" si="5"/>
        <v>11.92</v>
      </c>
    </row>
    <row r="107">
      <c r="A107" s="83" t="s">
        <v>30</v>
      </c>
      <c r="B107" s="84">
        <f t="shared" si="6"/>
        <v>45396</v>
      </c>
      <c r="C107" s="85">
        <v>4.0</v>
      </c>
      <c r="D107" s="85" t="s">
        <v>12</v>
      </c>
      <c r="E107" s="87" t="s">
        <v>129</v>
      </c>
      <c r="F107" s="88"/>
      <c r="G107" s="89"/>
      <c r="H107" s="90"/>
      <c r="I107" s="89"/>
      <c r="J107" s="90"/>
      <c r="K107" s="89"/>
      <c r="L107" s="165">
        <v>0.0</v>
      </c>
      <c r="M107" s="89"/>
      <c r="N107" s="166">
        <v>0.0</v>
      </c>
      <c r="O107" s="89"/>
      <c r="P107" s="166">
        <v>0.0</v>
      </c>
      <c r="Q107" s="89"/>
      <c r="R107" s="166">
        <v>0.0</v>
      </c>
      <c r="S107" s="89"/>
      <c r="T107" s="166">
        <v>0.0</v>
      </c>
      <c r="U107" s="89"/>
      <c r="V107" s="166">
        <v>0.0</v>
      </c>
      <c r="W107" s="89"/>
      <c r="X107" s="166">
        <v>0.0</v>
      </c>
      <c r="Y107" s="91"/>
      <c r="Z107" s="165">
        <v>0.0</v>
      </c>
      <c r="AA107" s="89"/>
      <c r="AB107" s="166">
        <v>0.0</v>
      </c>
      <c r="AC107" s="89"/>
      <c r="AD107" s="166">
        <v>0.0</v>
      </c>
      <c r="AE107" s="89"/>
      <c r="AF107" s="167">
        <f t="shared" si="1"/>
        <v>0</v>
      </c>
      <c r="AG107" s="85">
        <f t="shared" si="2"/>
        <v>0</v>
      </c>
      <c r="AH107" s="85">
        <f t="shared" si="3"/>
        <v>0</v>
      </c>
      <c r="AI107" s="85">
        <f t="shared" si="4"/>
        <v>0</v>
      </c>
      <c r="AJ107" s="93" t="str">
        <f t="shared" si="5"/>
        <v/>
      </c>
    </row>
    <row r="108">
      <c r="A108" s="66" t="s">
        <v>11</v>
      </c>
      <c r="B108" s="94">
        <f t="shared" si="6"/>
        <v>45397</v>
      </c>
      <c r="C108" s="68">
        <v>4.0</v>
      </c>
      <c r="D108" s="68" t="s">
        <v>33</v>
      </c>
      <c r="E108" s="70" t="s">
        <v>129</v>
      </c>
      <c r="F108" s="71"/>
      <c r="H108" s="72"/>
      <c r="J108" s="72"/>
      <c r="L108" s="159">
        <v>80.0</v>
      </c>
      <c r="N108" s="160">
        <v>80.0</v>
      </c>
      <c r="P108" s="160">
        <v>0.0</v>
      </c>
      <c r="R108" s="160">
        <v>0.0</v>
      </c>
      <c r="T108" s="160">
        <v>1.0</v>
      </c>
      <c r="V108" s="160">
        <v>1.0</v>
      </c>
      <c r="X108" s="160">
        <v>0.0</v>
      </c>
      <c r="Y108" s="73"/>
      <c r="Z108" s="159">
        <v>20.0</v>
      </c>
      <c r="AB108" s="160">
        <v>20.0</v>
      </c>
      <c r="AD108" s="160">
        <v>0.0</v>
      </c>
      <c r="AF108" s="161">
        <f t="shared" si="1"/>
        <v>3119</v>
      </c>
      <c r="AG108" s="68">
        <f t="shared" si="2"/>
        <v>200</v>
      </c>
      <c r="AH108" s="68">
        <f t="shared" si="3"/>
        <v>2</v>
      </c>
      <c r="AI108" s="68">
        <f t="shared" si="4"/>
        <v>202</v>
      </c>
      <c r="AJ108" s="75">
        <f t="shared" si="5"/>
        <v>15.44059406</v>
      </c>
    </row>
    <row r="109">
      <c r="A109" s="76" t="s">
        <v>16</v>
      </c>
      <c r="B109" s="77">
        <f t="shared" si="6"/>
        <v>45398</v>
      </c>
      <c r="C109" s="78">
        <v>4.0</v>
      </c>
      <c r="D109" s="78" t="s">
        <v>33</v>
      </c>
      <c r="E109" s="80" t="s">
        <v>129</v>
      </c>
      <c r="F109" s="71"/>
      <c r="H109" s="72"/>
      <c r="J109" s="72"/>
      <c r="L109" s="159">
        <v>80.0</v>
      </c>
      <c r="N109" s="160">
        <v>80.0</v>
      </c>
      <c r="P109" s="160">
        <v>0.0</v>
      </c>
      <c r="R109" s="160">
        <v>0.0</v>
      </c>
      <c r="T109" s="160">
        <v>0.0</v>
      </c>
      <c r="V109" s="160">
        <v>0.0</v>
      </c>
      <c r="X109" s="160">
        <v>0.0</v>
      </c>
      <c r="Y109" s="73"/>
      <c r="Z109" s="159">
        <v>20.0</v>
      </c>
      <c r="AB109" s="160">
        <v>20.0</v>
      </c>
      <c r="AD109" s="160">
        <v>0.0</v>
      </c>
      <c r="AF109" s="163">
        <f t="shared" si="1"/>
        <v>2384</v>
      </c>
      <c r="AG109" s="78">
        <f t="shared" si="2"/>
        <v>200</v>
      </c>
      <c r="AH109" s="78">
        <f t="shared" si="3"/>
        <v>0</v>
      </c>
      <c r="AI109" s="78">
        <f t="shared" si="4"/>
        <v>200</v>
      </c>
      <c r="AJ109" s="82">
        <f t="shared" si="5"/>
        <v>11.92</v>
      </c>
    </row>
    <row r="110">
      <c r="A110" s="76" t="s">
        <v>17</v>
      </c>
      <c r="B110" s="77">
        <f t="shared" si="6"/>
        <v>45399</v>
      </c>
      <c r="C110" s="78">
        <v>4.0</v>
      </c>
      <c r="D110" s="78" t="s">
        <v>33</v>
      </c>
      <c r="E110" s="80" t="s">
        <v>129</v>
      </c>
      <c r="F110" s="71"/>
      <c r="H110" s="72"/>
      <c r="J110" s="72"/>
      <c r="L110" s="159">
        <v>80.0</v>
      </c>
      <c r="N110" s="160">
        <v>80.0</v>
      </c>
      <c r="P110" s="160">
        <v>0.0</v>
      </c>
      <c r="R110" s="160">
        <v>0.0</v>
      </c>
      <c r="T110" s="160">
        <v>0.0</v>
      </c>
      <c r="V110" s="160">
        <v>0.0</v>
      </c>
      <c r="X110" s="160">
        <v>0.0</v>
      </c>
      <c r="Y110" s="73"/>
      <c r="Z110" s="159">
        <v>22.0</v>
      </c>
      <c r="AB110" s="160">
        <v>22.0</v>
      </c>
      <c r="AD110" s="160">
        <v>0.0</v>
      </c>
      <c r="AF110" s="163">
        <f t="shared" si="1"/>
        <v>2431.68</v>
      </c>
      <c r="AG110" s="78">
        <f t="shared" si="2"/>
        <v>204</v>
      </c>
      <c r="AH110" s="78">
        <f t="shared" si="3"/>
        <v>0</v>
      </c>
      <c r="AI110" s="78">
        <f t="shared" si="4"/>
        <v>204</v>
      </c>
      <c r="AJ110" s="82">
        <f t="shared" si="5"/>
        <v>11.92</v>
      </c>
    </row>
    <row r="111">
      <c r="A111" s="76" t="s">
        <v>21</v>
      </c>
      <c r="B111" s="77">
        <f t="shared" si="6"/>
        <v>45400</v>
      </c>
      <c r="C111" s="78">
        <v>4.0</v>
      </c>
      <c r="D111" s="78" t="s">
        <v>33</v>
      </c>
      <c r="E111" s="80" t="s">
        <v>129</v>
      </c>
      <c r="F111" s="71"/>
      <c r="H111" s="72"/>
      <c r="J111" s="72"/>
      <c r="L111" s="159">
        <v>80.0</v>
      </c>
      <c r="N111" s="160">
        <v>80.0</v>
      </c>
      <c r="P111" s="160">
        <v>0.0</v>
      </c>
      <c r="R111" s="160">
        <v>0.0</v>
      </c>
      <c r="T111" s="160">
        <v>0.0</v>
      </c>
      <c r="V111" s="160">
        <v>0.0</v>
      </c>
      <c r="X111" s="160">
        <v>0.0</v>
      </c>
      <c r="Y111" s="73"/>
      <c r="Z111" s="159">
        <v>22.0</v>
      </c>
      <c r="AB111" s="160">
        <v>22.0</v>
      </c>
      <c r="AD111" s="160">
        <v>0.0</v>
      </c>
      <c r="AF111" s="163">
        <f t="shared" si="1"/>
        <v>2431.68</v>
      </c>
      <c r="AG111" s="78">
        <f t="shared" si="2"/>
        <v>204</v>
      </c>
      <c r="AH111" s="78">
        <f t="shared" si="3"/>
        <v>0</v>
      </c>
      <c r="AI111" s="78">
        <f t="shared" si="4"/>
        <v>204</v>
      </c>
      <c r="AJ111" s="82">
        <f t="shared" si="5"/>
        <v>11.92</v>
      </c>
    </row>
    <row r="112">
      <c r="A112" s="76" t="s">
        <v>24</v>
      </c>
      <c r="B112" s="77">
        <f t="shared" si="6"/>
        <v>45401</v>
      </c>
      <c r="C112" s="78">
        <v>4.0</v>
      </c>
      <c r="D112" s="78" t="s">
        <v>33</v>
      </c>
      <c r="E112" s="80" t="s">
        <v>129</v>
      </c>
      <c r="F112" s="71"/>
      <c r="H112" s="72"/>
      <c r="J112" s="72"/>
      <c r="L112" s="159">
        <v>80.0</v>
      </c>
      <c r="N112" s="160">
        <v>80.0</v>
      </c>
      <c r="P112" s="160">
        <v>0.0</v>
      </c>
      <c r="R112" s="160">
        <v>0.0</v>
      </c>
      <c r="T112" s="160">
        <v>0.0</v>
      </c>
      <c r="V112" s="160">
        <v>0.0</v>
      </c>
      <c r="X112" s="160">
        <v>0.0</v>
      </c>
      <c r="Y112" s="73"/>
      <c r="Z112" s="159">
        <v>22.0</v>
      </c>
      <c r="AB112" s="160">
        <v>22.0</v>
      </c>
      <c r="AD112" s="160">
        <v>0.0</v>
      </c>
      <c r="AF112" s="163">
        <f t="shared" si="1"/>
        <v>2431.68</v>
      </c>
      <c r="AG112" s="78">
        <f t="shared" si="2"/>
        <v>204</v>
      </c>
      <c r="AH112" s="78">
        <f t="shared" si="3"/>
        <v>0</v>
      </c>
      <c r="AI112" s="78">
        <f t="shared" si="4"/>
        <v>204</v>
      </c>
      <c r="AJ112" s="82">
        <f t="shared" si="5"/>
        <v>11.92</v>
      </c>
    </row>
    <row r="113">
      <c r="A113" s="76" t="s">
        <v>27</v>
      </c>
      <c r="B113" s="77">
        <f t="shared" si="6"/>
        <v>45402</v>
      </c>
      <c r="C113" s="78">
        <v>4.0</v>
      </c>
      <c r="D113" s="78" t="s">
        <v>33</v>
      </c>
      <c r="E113" s="80" t="s">
        <v>129</v>
      </c>
      <c r="F113" s="71"/>
      <c r="H113" s="72"/>
      <c r="J113" s="72"/>
      <c r="L113" s="159">
        <v>80.0</v>
      </c>
      <c r="N113" s="160">
        <v>80.0</v>
      </c>
      <c r="P113" s="160">
        <v>0.0</v>
      </c>
      <c r="R113" s="160">
        <v>0.0</v>
      </c>
      <c r="T113" s="160">
        <v>0.0</v>
      </c>
      <c r="V113" s="160">
        <v>0.0</v>
      </c>
      <c r="X113" s="160">
        <v>0.0</v>
      </c>
      <c r="Y113" s="73"/>
      <c r="Z113" s="159">
        <v>15.0</v>
      </c>
      <c r="AB113" s="160">
        <v>15.0</v>
      </c>
      <c r="AD113" s="160">
        <v>0.0</v>
      </c>
      <c r="AF113" s="163">
        <f t="shared" si="1"/>
        <v>2264.8</v>
      </c>
      <c r="AG113" s="78">
        <f t="shared" si="2"/>
        <v>190</v>
      </c>
      <c r="AH113" s="78">
        <f t="shared" si="3"/>
        <v>0</v>
      </c>
      <c r="AI113" s="78">
        <f t="shared" si="4"/>
        <v>190</v>
      </c>
      <c r="AJ113" s="82">
        <f t="shared" si="5"/>
        <v>11.92</v>
      </c>
    </row>
    <row r="114">
      <c r="A114" s="83" t="s">
        <v>30</v>
      </c>
      <c r="B114" s="84">
        <f t="shared" si="6"/>
        <v>45403</v>
      </c>
      <c r="C114" s="85">
        <v>4.0</v>
      </c>
      <c r="D114" s="85" t="s">
        <v>33</v>
      </c>
      <c r="E114" s="87" t="s">
        <v>129</v>
      </c>
      <c r="F114" s="88"/>
      <c r="G114" s="89"/>
      <c r="H114" s="90"/>
      <c r="I114" s="89"/>
      <c r="J114" s="90"/>
      <c r="K114" s="89"/>
      <c r="L114" s="165">
        <v>0.0</v>
      </c>
      <c r="M114" s="89"/>
      <c r="N114" s="166">
        <v>0.0</v>
      </c>
      <c r="O114" s="89"/>
      <c r="P114" s="166">
        <v>0.0</v>
      </c>
      <c r="Q114" s="89"/>
      <c r="R114" s="166">
        <v>0.0</v>
      </c>
      <c r="S114" s="89"/>
      <c r="T114" s="166">
        <v>0.0</v>
      </c>
      <c r="U114" s="89"/>
      <c r="V114" s="166">
        <v>0.0</v>
      </c>
      <c r="W114" s="89"/>
      <c r="X114" s="166">
        <v>0.0</v>
      </c>
      <c r="Y114" s="91"/>
      <c r="Z114" s="165">
        <v>0.0</v>
      </c>
      <c r="AA114" s="89"/>
      <c r="AB114" s="166">
        <v>0.0</v>
      </c>
      <c r="AC114" s="89"/>
      <c r="AD114" s="166">
        <v>0.0</v>
      </c>
      <c r="AE114" s="89"/>
      <c r="AF114" s="167">
        <f t="shared" si="1"/>
        <v>0</v>
      </c>
      <c r="AG114" s="85">
        <f t="shared" si="2"/>
        <v>0</v>
      </c>
      <c r="AH114" s="85">
        <f t="shared" si="3"/>
        <v>0</v>
      </c>
      <c r="AI114" s="85">
        <f t="shared" si="4"/>
        <v>0</v>
      </c>
      <c r="AJ114" s="93" t="str">
        <f t="shared" si="5"/>
        <v/>
      </c>
    </row>
    <row r="115">
      <c r="A115" s="66" t="s">
        <v>11</v>
      </c>
      <c r="B115" s="94">
        <f t="shared" si="6"/>
        <v>45404</v>
      </c>
      <c r="C115" s="68">
        <v>5.0</v>
      </c>
      <c r="D115" s="68" t="s">
        <v>48</v>
      </c>
      <c r="E115" s="70" t="s">
        <v>129</v>
      </c>
      <c r="F115" s="71"/>
      <c r="H115" s="72"/>
      <c r="J115" s="72"/>
      <c r="L115" s="100">
        <v>80.0</v>
      </c>
      <c r="N115" s="101">
        <v>80.0</v>
      </c>
      <c r="P115" s="101">
        <v>0.0</v>
      </c>
      <c r="R115" s="101">
        <v>0.0</v>
      </c>
      <c r="T115" s="101">
        <v>1.0</v>
      </c>
      <c r="V115" s="101">
        <v>1.0</v>
      </c>
      <c r="X115" s="101">
        <v>0.0</v>
      </c>
      <c r="Y115" s="73"/>
      <c r="Z115" s="100">
        <v>21.0</v>
      </c>
      <c r="AB115" s="101">
        <v>21.0</v>
      </c>
      <c r="AD115" s="101">
        <v>0.0</v>
      </c>
      <c r="AF115" s="106">
        <f t="shared" si="1"/>
        <v>3142.84</v>
      </c>
      <c r="AG115" s="68">
        <f t="shared" si="2"/>
        <v>202</v>
      </c>
      <c r="AH115" s="68">
        <f t="shared" si="3"/>
        <v>2</v>
      </c>
      <c r="AI115" s="68">
        <f t="shared" si="4"/>
        <v>204</v>
      </c>
      <c r="AJ115" s="75">
        <f t="shared" si="5"/>
        <v>15.40607843</v>
      </c>
    </row>
    <row r="116">
      <c r="A116" s="76" t="s">
        <v>16</v>
      </c>
      <c r="B116" s="77">
        <f t="shared" si="6"/>
        <v>45405</v>
      </c>
      <c r="C116" s="78">
        <v>5.0</v>
      </c>
      <c r="D116" s="78" t="s">
        <v>48</v>
      </c>
      <c r="E116" s="80" t="s">
        <v>129</v>
      </c>
      <c r="F116" s="71"/>
      <c r="H116" s="72"/>
      <c r="J116" s="72"/>
      <c r="L116" s="100">
        <v>80.0</v>
      </c>
      <c r="N116" s="101">
        <v>78.0</v>
      </c>
      <c r="P116" s="101">
        <v>0.0</v>
      </c>
      <c r="R116" s="101">
        <v>0.0</v>
      </c>
      <c r="T116" s="101">
        <v>0.0</v>
      </c>
      <c r="V116" s="101">
        <v>0.0</v>
      </c>
      <c r="X116" s="101">
        <v>0.0</v>
      </c>
      <c r="Y116" s="73"/>
      <c r="Z116" s="100">
        <v>21.0</v>
      </c>
      <c r="AB116" s="101">
        <v>21.0</v>
      </c>
      <c r="AD116" s="101">
        <v>0.0</v>
      </c>
      <c r="AF116" s="108">
        <f t="shared" si="1"/>
        <v>2384</v>
      </c>
      <c r="AG116" s="78">
        <f t="shared" si="2"/>
        <v>200</v>
      </c>
      <c r="AH116" s="78">
        <f t="shared" si="3"/>
        <v>0</v>
      </c>
      <c r="AI116" s="78">
        <f t="shared" si="4"/>
        <v>200</v>
      </c>
      <c r="AJ116" s="82">
        <f t="shared" si="5"/>
        <v>11.92</v>
      </c>
    </row>
    <row r="117">
      <c r="A117" s="76" t="s">
        <v>17</v>
      </c>
      <c r="B117" s="77">
        <f t="shared" si="6"/>
        <v>45406</v>
      </c>
      <c r="C117" s="78">
        <v>5.0</v>
      </c>
      <c r="D117" s="78" t="s">
        <v>48</v>
      </c>
      <c r="E117" s="80" t="s">
        <v>129</v>
      </c>
      <c r="F117" s="71"/>
      <c r="H117" s="72"/>
      <c r="J117" s="72"/>
      <c r="L117" s="100">
        <v>80.0</v>
      </c>
      <c r="N117" s="101">
        <v>78.0</v>
      </c>
      <c r="P117" s="101">
        <v>0.0</v>
      </c>
      <c r="R117" s="101">
        <v>0.0</v>
      </c>
      <c r="T117" s="101">
        <v>0.0</v>
      </c>
      <c r="V117" s="101">
        <v>0.0</v>
      </c>
      <c r="X117" s="101">
        <v>0.0</v>
      </c>
      <c r="Y117" s="73"/>
      <c r="Z117" s="100">
        <v>21.0</v>
      </c>
      <c r="AB117" s="101">
        <v>21.0</v>
      </c>
      <c r="AD117" s="101">
        <v>0.0</v>
      </c>
      <c r="AF117" s="108">
        <f t="shared" si="1"/>
        <v>2384</v>
      </c>
      <c r="AG117" s="78">
        <f t="shared" si="2"/>
        <v>200</v>
      </c>
      <c r="AH117" s="78">
        <f t="shared" si="3"/>
        <v>0</v>
      </c>
      <c r="AI117" s="78">
        <f t="shared" si="4"/>
        <v>200</v>
      </c>
      <c r="AJ117" s="82">
        <f t="shared" si="5"/>
        <v>11.92</v>
      </c>
    </row>
    <row r="118">
      <c r="A118" s="76" t="s">
        <v>21</v>
      </c>
      <c r="B118" s="77">
        <f t="shared" si="6"/>
        <v>45407</v>
      </c>
      <c r="C118" s="78">
        <v>5.0</v>
      </c>
      <c r="D118" s="78" t="s">
        <v>48</v>
      </c>
      <c r="E118" s="80" t="s">
        <v>129</v>
      </c>
      <c r="F118" s="71"/>
      <c r="H118" s="72"/>
      <c r="J118" s="72"/>
      <c r="L118" s="100">
        <v>80.0</v>
      </c>
      <c r="N118" s="101">
        <v>78.0</v>
      </c>
      <c r="P118" s="101">
        <v>0.0</v>
      </c>
      <c r="R118" s="101">
        <v>0.0</v>
      </c>
      <c r="T118" s="101">
        <v>0.0</v>
      </c>
      <c r="V118" s="101">
        <v>0.0</v>
      </c>
      <c r="X118" s="101">
        <v>0.0</v>
      </c>
      <c r="Y118" s="73"/>
      <c r="Z118" s="100">
        <v>21.0</v>
      </c>
      <c r="AB118" s="101">
        <v>21.0</v>
      </c>
      <c r="AD118" s="101">
        <v>0.0</v>
      </c>
      <c r="AF118" s="108">
        <f t="shared" si="1"/>
        <v>2384</v>
      </c>
      <c r="AG118" s="78">
        <f t="shared" si="2"/>
        <v>200</v>
      </c>
      <c r="AH118" s="78">
        <f t="shared" si="3"/>
        <v>0</v>
      </c>
      <c r="AI118" s="78">
        <f t="shared" si="4"/>
        <v>200</v>
      </c>
      <c r="AJ118" s="82">
        <f t="shared" si="5"/>
        <v>11.92</v>
      </c>
    </row>
    <row r="119">
      <c r="A119" s="76" t="s">
        <v>24</v>
      </c>
      <c r="B119" s="77">
        <f t="shared" si="6"/>
        <v>45408</v>
      </c>
      <c r="C119" s="78">
        <v>5.0</v>
      </c>
      <c r="D119" s="78" t="s">
        <v>48</v>
      </c>
      <c r="E119" s="80" t="s">
        <v>129</v>
      </c>
      <c r="F119" s="71"/>
      <c r="H119" s="72"/>
      <c r="J119" s="72"/>
      <c r="L119" s="100">
        <v>80.0</v>
      </c>
      <c r="N119" s="101">
        <v>80.0</v>
      </c>
      <c r="P119" s="101">
        <v>0.0</v>
      </c>
      <c r="R119" s="101">
        <v>0.0</v>
      </c>
      <c r="T119" s="101">
        <v>0.0</v>
      </c>
      <c r="V119" s="101">
        <v>0.0</v>
      </c>
      <c r="X119" s="101">
        <v>0.0</v>
      </c>
      <c r="Y119" s="73"/>
      <c r="Z119" s="100">
        <v>21.0</v>
      </c>
      <c r="AB119" s="101">
        <v>21.0</v>
      </c>
      <c r="AD119" s="101">
        <v>0.0</v>
      </c>
      <c r="AF119" s="108">
        <f t="shared" si="1"/>
        <v>2407.84</v>
      </c>
      <c r="AG119" s="78">
        <f t="shared" si="2"/>
        <v>202</v>
      </c>
      <c r="AH119" s="78">
        <f t="shared" si="3"/>
        <v>0</v>
      </c>
      <c r="AI119" s="78">
        <f t="shared" si="4"/>
        <v>202</v>
      </c>
      <c r="AJ119" s="82">
        <f t="shared" si="5"/>
        <v>11.92</v>
      </c>
    </row>
    <row r="120">
      <c r="A120" s="76" t="s">
        <v>27</v>
      </c>
      <c r="B120" s="77">
        <f t="shared" si="6"/>
        <v>45409</v>
      </c>
      <c r="C120" s="78">
        <v>5.0</v>
      </c>
      <c r="D120" s="78" t="s">
        <v>48</v>
      </c>
      <c r="E120" s="80" t="s">
        <v>129</v>
      </c>
      <c r="F120" s="71"/>
      <c r="H120" s="72"/>
      <c r="J120" s="72"/>
      <c r="L120" s="100">
        <v>80.0</v>
      </c>
      <c r="N120" s="101">
        <v>80.0</v>
      </c>
      <c r="P120" s="101">
        <v>0.0</v>
      </c>
      <c r="R120" s="101">
        <v>0.0</v>
      </c>
      <c r="T120" s="101">
        <v>0.0</v>
      </c>
      <c r="V120" s="101">
        <v>0.0</v>
      </c>
      <c r="X120" s="101">
        <v>0.0</v>
      </c>
      <c r="Y120" s="73"/>
      <c r="Z120" s="100">
        <v>14.0</v>
      </c>
      <c r="AB120" s="101">
        <v>14.0</v>
      </c>
      <c r="AD120" s="101">
        <v>0.0</v>
      </c>
      <c r="AF120" s="108">
        <f t="shared" si="1"/>
        <v>2240.96</v>
      </c>
      <c r="AG120" s="78">
        <f t="shared" si="2"/>
        <v>188</v>
      </c>
      <c r="AH120" s="78">
        <f t="shared" si="3"/>
        <v>0</v>
      </c>
      <c r="AI120" s="78">
        <f t="shared" si="4"/>
        <v>188</v>
      </c>
      <c r="AJ120" s="82">
        <f t="shared" si="5"/>
        <v>11.92</v>
      </c>
    </row>
    <row r="121">
      <c r="A121" s="83" t="s">
        <v>30</v>
      </c>
      <c r="B121" s="84">
        <f t="shared" si="6"/>
        <v>45410</v>
      </c>
      <c r="C121" s="85">
        <v>5.0</v>
      </c>
      <c r="D121" s="85" t="s">
        <v>48</v>
      </c>
      <c r="E121" s="87" t="s">
        <v>129</v>
      </c>
      <c r="F121" s="88"/>
      <c r="G121" s="89"/>
      <c r="H121" s="90"/>
      <c r="I121" s="89"/>
      <c r="J121" s="90"/>
      <c r="K121" s="89"/>
      <c r="L121" s="114">
        <v>0.0</v>
      </c>
      <c r="M121" s="89"/>
      <c r="N121" s="115">
        <v>0.0</v>
      </c>
      <c r="O121" s="89"/>
      <c r="P121" s="115">
        <v>0.0</v>
      </c>
      <c r="Q121" s="89"/>
      <c r="R121" s="115">
        <v>0.0</v>
      </c>
      <c r="S121" s="89"/>
      <c r="T121" s="115">
        <v>0.0</v>
      </c>
      <c r="U121" s="89"/>
      <c r="V121" s="115">
        <v>0.0</v>
      </c>
      <c r="W121" s="89"/>
      <c r="X121" s="115">
        <v>0.0</v>
      </c>
      <c r="Y121" s="91"/>
      <c r="Z121" s="114">
        <v>0.0</v>
      </c>
      <c r="AA121" s="89"/>
      <c r="AB121" s="115">
        <v>0.0</v>
      </c>
      <c r="AC121" s="89"/>
      <c r="AD121" s="115">
        <v>0.0</v>
      </c>
      <c r="AE121" s="89"/>
      <c r="AF121" s="116">
        <f t="shared" si="1"/>
        <v>0</v>
      </c>
      <c r="AG121" s="85">
        <f t="shared" si="2"/>
        <v>0</v>
      </c>
      <c r="AH121" s="85">
        <f t="shared" si="3"/>
        <v>0</v>
      </c>
      <c r="AI121" s="85">
        <f t="shared" si="4"/>
        <v>0</v>
      </c>
      <c r="AJ121" s="93" t="str">
        <f t="shared" si="5"/>
        <v/>
      </c>
    </row>
    <row r="122">
      <c r="A122" s="66" t="s">
        <v>11</v>
      </c>
      <c r="B122" s="94">
        <f t="shared" si="6"/>
        <v>45411</v>
      </c>
      <c r="C122" s="68">
        <v>5.0</v>
      </c>
      <c r="D122" s="68" t="s">
        <v>59</v>
      </c>
      <c r="E122" s="70" t="s">
        <v>129</v>
      </c>
      <c r="F122" s="71"/>
      <c r="H122" s="72"/>
      <c r="J122" s="72"/>
      <c r="L122" s="159">
        <v>75.0</v>
      </c>
      <c r="N122" s="160">
        <v>75.0</v>
      </c>
      <c r="P122" s="160">
        <v>0.0</v>
      </c>
      <c r="R122" s="160">
        <v>0.0</v>
      </c>
      <c r="T122" s="160">
        <v>1.0</v>
      </c>
      <c r="V122" s="160">
        <v>1.0</v>
      </c>
      <c r="X122" s="160">
        <v>0.0</v>
      </c>
      <c r="Y122" s="73"/>
      <c r="Z122" s="159">
        <v>20.0</v>
      </c>
      <c r="AB122" s="160">
        <v>20.0</v>
      </c>
      <c r="AD122" s="160">
        <v>0.0</v>
      </c>
      <c r="AF122" s="74">
        <f t="shared" si="1"/>
        <v>2999.8</v>
      </c>
      <c r="AG122" s="68">
        <f t="shared" si="2"/>
        <v>190</v>
      </c>
      <c r="AH122" s="68">
        <f t="shared" si="3"/>
        <v>2</v>
      </c>
      <c r="AI122" s="68">
        <f t="shared" si="4"/>
        <v>192</v>
      </c>
      <c r="AJ122" s="75">
        <f t="shared" si="5"/>
        <v>15.62395833</v>
      </c>
    </row>
    <row r="123">
      <c r="A123" s="76" t="s">
        <v>16</v>
      </c>
      <c r="B123" s="77">
        <f t="shared" si="6"/>
        <v>45412</v>
      </c>
      <c r="C123" s="78">
        <v>5.0</v>
      </c>
      <c r="D123" s="78" t="s">
        <v>59</v>
      </c>
      <c r="E123" s="80" t="s">
        <v>129</v>
      </c>
      <c r="F123" s="71"/>
      <c r="H123" s="72"/>
      <c r="J123" s="72"/>
      <c r="L123" s="159">
        <v>75.0</v>
      </c>
      <c r="N123" s="160">
        <v>75.0</v>
      </c>
      <c r="P123" s="160">
        <v>0.0</v>
      </c>
      <c r="R123" s="160">
        <v>0.0</v>
      </c>
      <c r="T123" s="160">
        <v>0.0</v>
      </c>
      <c r="V123" s="160">
        <v>0.0</v>
      </c>
      <c r="X123" s="160">
        <v>0.0</v>
      </c>
      <c r="Y123" s="73"/>
      <c r="Z123" s="159">
        <v>20.0</v>
      </c>
      <c r="AB123" s="160">
        <v>20.0</v>
      </c>
      <c r="AD123" s="160">
        <v>0.0</v>
      </c>
      <c r="AF123" s="81">
        <f t="shared" si="1"/>
        <v>2264.8</v>
      </c>
      <c r="AG123" s="78">
        <f t="shared" si="2"/>
        <v>190</v>
      </c>
      <c r="AH123" s="78">
        <f t="shared" si="3"/>
        <v>0</v>
      </c>
      <c r="AI123" s="78">
        <f t="shared" si="4"/>
        <v>190</v>
      </c>
      <c r="AJ123" s="82">
        <f t="shared" si="5"/>
        <v>11.92</v>
      </c>
    </row>
    <row r="124">
      <c r="A124" s="76" t="s">
        <v>17</v>
      </c>
      <c r="B124" s="77">
        <f t="shared" si="6"/>
        <v>45413</v>
      </c>
      <c r="C124" s="78">
        <v>5.0</v>
      </c>
      <c r="D124" s="78" t="s">
        <v>59</v>
      </c>
      <c r="E124" s="80" t="s">
        <v>129</v>
      </c>
      <c r="F124" s="71"/>
      <c r="H124" s="72"/>
      <c r="J124" s="72"/>
      <c r="L124" s="159">
        <v>75.0</v>
      </c>
      <c r="N124" s="160">
        <v>75.0</v>
      </c>
      <c r="P124" s="160">
        <v>0.0</v>
      </c>
      <c r="R124" s="160">
        <v>0.0</v>
      </c>
      <c r="T124" s="160">
        <v>0.0</v>
      </c>
      <c r="V124" s="160">
        <v>0.0</v>
      </c>
      <c r="X124" s="160">
        <v>0.0</v>
      </c>
      <c r="Y124" s="73"/>
      <c r="Z124" s="159">
        <v>20.0</v>
      </c>
      <c r="AB124" s="160">
        <v>20.0</v>
      </c>
      <c r="AD124" s="160">
        <v>0.0</v>
      </c>
      <c r="AF124" s="81">
        <f t="shared" si="1"/>
        <v>2264.8</v>
      </c>
      <c r="AG124" s="78">
        <f t="shared" si="2"/>
        <v>190</v>
      </c>
      <c r="AH124" s="78">
        <f t="shared" si="3"/>
        <v>0</v>
      </c>
      <c r="AI124" s="78">
        <f t="shared" si="4"/>
        <v>190</v>
      </c>
      <c r="AJ124" s="82">
        <f t="shared" si="5"/>
        <v>11.92</v>
      </c>
    </row>
    <row r="125">
      <c r="A125" s="76" t="s">
        <v>21</v>
      </c>
      <c r="B125" s="77">
        <f t="shared" si="6"/>
        <v>45414</v>
      </c>
      <c r="C125" s="78">
        <v>5.0</v>
      </c>
      <c r="D125" s="78" t="s">
        <v>59</v>
      </c>
      <c r="E125" s="80" t="s">
        <v>129</v>
      </c>
      <c r="F125" s="71"/>
      <c r="H125" s="72"/>
      <c r="J125" s="72"/>
      <c r="L125" s="159">
        <v>75.0</v>
      </c>
      <c r="N125" s="160">
        <v>75.0</v>
      </c>
      <c r="P125" s="160">
        <v>0.0</v>
      </c>
      <c r="R125" s="160">
        <v>0.0</v>
      </c>
      <c r="T125" s="160">
        <v>0.0</v>
      </c>
      <c r="V125" s="160">
        <v>0.0</v>
      </c>
      <c r="X125" s="160">
        <v>0.0</v>
      </c>
      <c r="Y125" s="73"/>
      <c r="Z125" s="159">
        <v>20.0</v>
      </c>
      <c r="AB125" s="160">
        <v>20.0</v>
      </c>
      <c r="AD125" s="160">
        <v>0.0</v>
      </c>
      <c r="AF125" s="81">
        <f t="shared" si="1"/>
        <v>2264.8</v>
      </c>
      <c r="AG125" s="78">
        <f t="shared" si="2"/>
        <v>190</v>
      </c>
      <c r="AH125" s="78">
        <f t="shared" si="3"/>
        <v>0</v>
      </c>
      <c r="AI125" s="78">
        <f t="shared" si="4"/>
        <v>190</v>
      </c>
      <c r="AJ125" s="82">
        <f t="shared" si="5"/>
        <v>11.92</v>
      </c>
    </row>
    <row r="126">
      <c r="A126" s="76" t="s">
        <v>24</v>
      </c>
      <c r="B126" s="77">
        <f t="shared" si="6"/>
        <v>45415</v>
      </c>
      <c r="C126" s="78">
        <v>5.0</v>
      </c>
      <c r="D126" s="78" t="s">
        <v>59</v>
      </c>
      <c r="E126" s="80" t="s">
        <v>129</v>
      </c>
      <c r="F126" s="71"/>
      <c r="H126" s="72"/>
      <c r="J126" s="72"/>
      <c r="L126" s="159">
        <v>75.0</v>
      </c>
      <c r="N126" s="160">
        <v>75.0</v>
      </c>
      <c r="P126" s="160">
        <v>0.0</v>
      </c>
      <c r="R126" s="160">
        <v>0.0</v>
      </c>
      <c r="T126" s="160">
        <v>0.0</v>
      </c>
      <c r="V126" s="160">
        <v>0.0</v>
      </c>
      <c r="X126" s="160">
        <v>0.0</v>
      </c>
      <c r="Y126" s="73"/>
      <c r="Z126" s="159">
        <v>20.0</v>
      </c>
      <c r="AB126" s="160">
        <v>20.0</v>
      </c>
      <c r="AD126" s="160">
        <v>0.0</v>
      </c>
      <c r="AF126" s="81">
        <f t="shared" si="1"/>
        <v>2264.8</v>
      </c>
      <c r="AG126" s="78">
        <f t="shared" si="2"/>
        <v>190</v>
      </c>
      <c r="AH126" s="78">
        <f t="shared" si="3"/>
        <v>0</v>
      </c>
      <c r="AI126" s="78">
        <f t="shared" si="4"/>
        <v>190</v>
      </c>
      <c r="AJ126" s="82">
        <f t="shared" si="5"/>
        <v>11.92</v>
      </c>
    </row>
    <row r="127">
      <c r="A127" s="76" t="s">
        <v>27</v>
      </c>
      <c r="B127" s="77">
        <f t="shared" si="6"/>
        <v>45416</v>
      </c>
      <c r="C127" s="78">
        <v>5.0</v>
      </c>
      <c r="D127" s="78" t="s">
        <v>59</v>
      </c>
      <c r="E127" s="80" t="s">
        <v>129</v>
      </c>
      <c r="F127" s="71"/>
      <c r="H127" s="72"/>
      <c r="J127" s="72"/>
      <c r="L127" s="159">
        <v>75.0</v>
      </c>
      <c r="N127" s="160">
        <v>75.0</v>
      </c>
      <c r="P127" s="160">
        <v>0.0</v>
      </c>
      <c r="R127" s="160">
        <v>0.0</v>
      </c>
      <c r="T127" s="160">
        <v>0.0</v>
      </c>
      <c r="V127" s="160">
        <v>0.0</v>
      </c>
      <c r="X127" s="160">
        <v>0.0</v>
      </c>
      <c r="Y127" s="73"/>
      <c r="Z127" s="159">
        <v>12.0</v>
      </c>
      <c r="AB127" s="160">
        <v>12.0</v>
      </c>
      <c r="AD127" s="160">
        <v>0.0</v>
      </c>
      <c r="AF127" s="81">
        <f t="shared" si="1"/>
        <v>2074.08</v>
      </c>
      <c r="AG127" s="78">
        <f t="shared" si="2"/>
        <v>174</v>
      </c>
      <c r="AH127" s="78">
        <f t="shared" si="3"/>
        <v>0</v>
      </c>
      <c r="AI127" s="78">
        <f t="shared" si="4"/>
        <v>174</v>
      </c>
      <c r="AJ127" s="82">
        <f t="shared" si="5"/>
        <v>11.92</v>
      </c>
    </row>
    <row r="128">
      <c r="A128" s="83" t="s">
        <v>30</v>
      </c>
      <c r="B128" s="84">
        <f t="shared" si="6"/>
        <v>45417</v>
      </c>
      <c r="C128" s="85">
        <v>5.0</v>
      </c>
      <c r="D128" s="85" t="s">
        <v>59</v>
      </c>
      <c r="E128" s="87" t="s">
        <v>129</v>
      </c>
      <c r="F128" s="88"/>
      <c r="G128" s="89"/>
      <c r="H128" s="90"/>
      <c r="I128" s="89"/>
      <c r="J128" s="90"/>
      <c r="K128" s="89"/>
      <c r="L128" s="165">
        <v>0.0</v>
      </c>
      <c r="M128" s="89"/>
      <c r="N128" s="166">
        <v>0.0</v>
      </c>
      <c r="O128" s="89"/>
      <c r="P128" s="166">
        <v>0.0</v>
      </c>
      <c r="Q128" s="89"/>
      <c r="R128" s="166">
        <v>0.0</v>
      </c>
      <c r="S128" s="89"/>
      <c r="T128" s="166">
        <v>0.0</v>
      </c>
      <c r="U128" s="89"/>
      <c r="V128" s="166">
        <v>0.0</v>
      </c>
      <c r="W128" s="89"/>
      <c r="X128" s="166">
        <v>0.0</v>
      </c>
      <c r="Y128" s="91"/>
      <c r="Z128" s="165">
        <v>0.0</v>
      </c>
      <c r="AA128" s="89"/>
      <c r="AB128" s="166">
        <v>0.0</v>
      </c>
      <c r="AC128" s="89"/>
      <c r="AD128" s="166">
        <v>0.0</v>
      </c>
      <c r="AE128" s="89"/>
      <c r="AF128" s="92">
        <f t="shared" si="1"/>
        <v>0</v>
      </c>
      <c r="AG128" s="85">
        <f t="shared" si="2"/>
        <v>0</v>
      </c>
      <c r="AH128" s="85">
        <f t="shared" si="3"/>
        <v>0</v>
      </c>
      <c r="AI128" s="85">
        <f t="shared" si="4"/>
        <v>0</v>
      </c>
      <c r="AJ128" s="93" t="str">
        <f t="shared" si="5"/>
        <v/>
      </c>
    </row>
    <row r="129">
      <c r="A129" s="66" t="s">
        <v>11</v>
      </c>
      <c r="B129" s="94">
        <f t="shared" si="6"/>
        <v>45418</v>
      </c>
      <c r="C129" s="68">
        <v>5.0</v>
      </c>
      <c r="D129" s="68" t="s">
        <v>12</v>
      </c>
      <c r="E129" s="70" t="s">
        <v>129</v>
      </c>
      <c r="F129" s="71"/>
      <c r="H129" s="72"/>
      <c r="J129" s="72"/>
      <c r="L129" s="159">
        <v>0.0</v>
      </c>
      <c r="N129" s="160">
        <v>80.0</v>
      </c>
      <c r="P129" s="160">
        <v>80.0</v>
      </c>
      <c r="R129" s="160">
        <v>50.0</v>
      </c>
      <c r="T129" s="160">
        <v>1.0</v>
      </c>
      <c r="V129" s="160">
        <v>1.0</v>
      </c>
      <c r="X129" s="160">
        <v>40.0</v>
      </c>
      <c r="Y129" s="73"/>
      <c r="Z129" s="159">
        <v>0.0</v>
      </c>
      <c r="AB129" s="160">
        <v>40.0</v>
      </c>
      <c r="AD129" s="160">
        <v>0.0</v>
      </c>
      <c r="AF129" s="74">
        <f t="shared" si="1"/>
        <v>3691.5</v>
      </c>
      <c r="AG129" s="68">
        <f t="shared" si="2"/>
        <v>290</v>
      </c>
      <c r="AH129" s="68">
        <f t="shared" si="3"/>
        <v>2</v>
      </c>
      <c r="AI129" s="68">
        <f t="shared" si="4"/>
        <v>292</v>
      </c>
      <c r="AJ129" s="75">
        <f t="shared" si="5"/>
        <v>12.64212329</v>
      </c>
    </row>
    <row r="130">
      <c r="A130" s="76" t="s">
        <v>16</v>
      </c>
      <c r="B130" s="77">
        <f t="shared" si="6"/>
        <v>45419</v>
      </c>
      <c r="C130" s="78">
        <v>5.0</v>
      </c>
      <c r="D130" s="78" t="s">
        <v>12</v>
      </c>
      <c r="E130" s="80" t="s">
        <v>129</v>
      </c>
      <c r="F130" s="71"/>
      <c r="H130" s="72"/>
      <c r="J130" s="72"/>
      <c r="L130" s="159">
        <v>75.0</v>
      </c>
      <c r="N130" s="160">
        <v>75.0</v>
      </c>
      <c r="P130" s="160">
        <v>0.0</v>
      </c>
      <c r="R130" s="160">
        <v>0.0</v>
      </c>
      <c r="T130" s="160">
        <v>0.0</v>
      </c>
      <c r="V130" s="160">
        <v>0.0</v>
      </c>
      <c r="X130" s="160">
        <v>0.0</v>
      </c>
      <c r="Y130" s="73"/>
      <c r="Z130" s="159">
        <v>20.0</v>
      </c>
      <c r="AB130" s="160">
        <v>20.0</v>
      </c>
      <c r="AD130" s="160">
        <v>0.0</v>
      </c>
      <c r="AF130" s="81">
        <f t="shared" si="1"/>
        <v>2264.8</v>
      </c>
      <c r="AG130" s="78">
        <f t="shared" si="2"/>
        <v>190</v>
      </c>
      <c r="AH130" s="78">
        <f t="shared" si="3"/>
        <v>0</v>
      </c>
      <c r="AI130" s="78">
        <f t="shared" si="4"/>
        <v>190</v>
      </c>
      <c r="AJ130" s="82">
        <f t="shared" si="5"/>
        <v>11.92</v>
      </c>
    </row>
    <row r="131">
      <c r="A131" s="76" t="s">
        <v>17</v>
      </c>
      <c r="B131" s="77">
        <f t="shared" si="6"/>
        <v>45420</v>
      </c>
      <c r="C131" s="78">
        <v>5.0</v>
      </c>
      <c r="D131" s="78" t="s">
        <v>12</v>
      </c>
      <c r="E131" s="80" t="s">
        <v>129</v>
      </c>
      <c r="F131" s="71"/>
      <c r="H131" s="72"/>
      <c r="J131" s="72"/>
      <c r="L131" s="159">
        <v>0.0</v>
      </c>
      <c r="N131" s="160">
        <v>80.0</v>
      </c>
      <c r="P131" s="160">
        <v>80.0</v>
      </c>
      <c r="R131" s="160">
        <v>50.0</v>
      </c>
      <c r="T131" s="160">
        <v>0.0</v>
      </c>
      <c r="V131" s="160">
        <v>0.0</v>
      </c>
      <c r="X131" s="160">
        <v>40.0</v>
      </c>
      <c r="Y131" s="73"/>
      <c r="Z131" s="159">
        <v>0.0</v>
      </c>
      <c r="AB131" s="160">
        <v>20.0</v>
      </c>
      <c r="AD131" s="160">
        <v>0.0</v>
      </c>
      <c r="AF131" s="81">
        <f t="shared" si="1"/>
        <v>2718.1</v>
      </c>
      <c r="AG131" s="78">
        <f t="shared" si="2"/>
        <v>270</v>
      </c>
      <c r="AH131" s="78">
        <f t="shared" si="3"/>
        <v>0</v>
      </c>
      <c r="AI131" s="78">
        <f t="shared" si="4"/>
        <v>270</v>
      </c>
      <c r="AJ131" s="82">
        <f t="shared" si="5"/>
        <v>10.06703704</v>
      </c>
    </row>
    <row r="132">
      <c r="A132" s="76" t="s">
        <v>21</v>
      </c>
      <c r="B132" s="77">
        <f t="shared" si="6"/>
        <v>45421</v>
      </c>
      <c r="C132" s="78">
        <v>5.0</v>
      </c>
      <c r="D132" s="78" t="s">
        <v>12</v>
      </c>
      <c r="E132" s="80" t="s">
        <v>129</v>
      </c>
      <c r="F132" s="71"/>
      <c r="H132" s="72"/>
      <c r="J132" s="72"/>
      <c r="L132" s="159">
        <v>0.0</v>
      </c>
      <c r="N132" s="160">
        <v>80.0</v>
      </c>
      <c r="P132" s="160">
        <v>80.0</v>
      </c>
      <c r="R132" s="160">
        <v>50.0</v>
      </c>
      <c r="T132" s="160">
        <v>0.0</v>
      </c>
      <c r="V132" s="160">
        <v>0.0</v>
      </c>
      <c r="X132" s="160">
        <v>40.0</v>
      </c>
      <c r="Y132" s="73"/>
      <c r="Z132" s="159">
        <v>0.0</v>
      </c>
      <c r="AB132" s="160">
        <v>20.0</v>
      </c>
      <c r="AD132" s="160">
        <v>0.0</v>
      </c>
      <c r="AF132" s="81">
        <f t="shared" si="1"/>
        <v>2718.1</v>
      </c>
      <c r="AG132" s="78">
        <f t="shared" si="2"/>
        <v>270</v>
      </c>
      <c r="AH132" s="78">
        <f t="shared" si="3"/>
        <v>0</v>
      </c>
      <c r="AI132" s="78">
        <f t="shared" si="4"/>
        <v>270</v>
      </c>
      <c r="AJ132" s="82">
        <f t="shared" si="5"/>
        <v>10.06703704</v>
      </c>
    </row>
    <row r="133">
      <c r="A133" s="76" t="s">
        <v>24</v>
      </c>
      <c r="B133" s="77">
        <f t="shared" si="6"/>
        <v>45422</v>
      </c>
      <c r="C133" s="78">
        <v>5.0</v>
      </c>
      <c r="D133" s="78" t="s">
        <v>12</v>
      </c>
      <c r="E133" s="80" t="s">
        <v>129</v>
      </c>
      <c r="F133" s="71"/>
      <c r="H133" s="72"/>
      <c r="J133" s="72"/>
      <c r="L133" s="159">
        <v>75.0</v>
      </c>
      <c r="N133" s="160">
        <v>75.0</v>
      </c>
      <c r="P133" s="160">
        <v>0.0</v>
      </c>
      <c r="R133" s="160">
        <v>0.0</v>
      </c>
      <c r="T133" s="160">
        <v>0.0</v>
      </c>
      <c r="V133" s="160">
        <v>0.0</v>
      </c>
      <c r="X133" s="160">
        <v>0.0</v>
      </c>
      <c r="Y133" s="73"/>
      <c r="Z133" s="159">
        <v>20.0</v>
      </c>
      <c r="AB133" s="160">
        <v>20.0</v>
      </c>
      <c r="AD133" s="160">
        <v>0.0</v>
      </c>
      <c r="AF133" s="81">
        <f t="shared" si="1"/>
        <v>2264.8</v>
      </c>
      <c r="AG133" s="78">
        <f t="shared" si="2"/>
        <v>190</v>
      </c>
      <c r="AH133" s="78">
        <f t="shared" si="3"/>
        <v>0</v>
      </c>
      <c r="AI133" s="78">
        <f t="shared" si="4"/>
        <v>190</v>
      </c>
      <c r="AJ133" s="82">
        <f t="shared" si="5"/>
        <v>11.92</v>
      </c>
    </row>
    <row r="134">
      <c r="A134" s="76" t="s">
        <v>27</v>
      </c>
      <c r="B134" s="77">
        <f t="shared" si="6"/>
        <v>45423</v>
      </c>
      <c r="C134" s="78">
        <v>5.0</v>
      </c>
      <c r="D134" s="78" t="s">
        <v>12</v>
      </c>
      <c r="E134" s="80" t="s">
        <v>129</v>
      </c>
      <c r="F134" s="71"/>
      <c r="H134" s="72"/>
      <c r="J134" s="72"/>
      <c r="L134" s="159">
        <v>75.0</v>
      </c>
      <c r="N134" s="160">
        <v>75.0</v>
      </c>
      <c r="P134" s="160">
        <v>0.0</v>
      </c>
      <c r="R134" s="160">
        <v>0.0</v>
      </c>
      <c r="T134" s="160">
        <v>0.0</v>
      </c>
      <c r="V134" s="160">
        <v>0.0</v>
      </c>
      <c r="X134" s="160">
        <v>0.0</v>
      </c>
      <c r="Y134" s="73"/>
      <c r="Z134" s="159">
        <v>12.0</v>
      </c>
      <c r="AB134" s="160">
        <v>12.0</v>
      </c>
      <c r="AD134" s="160">
        <v>0.0</v>
      </c>
      <c r="AF134" s="81">
        <f t="shared" si="1"/>
        <v>2074.08</v>
      </c>
      <c r="AG134" s="78">
        <f t="shared" si="2"/>
        <v>174</v>
      </c>
      <c r="AH134" s="78">
        <f t="shared" si="3"/>
        <v>0</v>
      </c>
      <c r="AI134" s="78">
        <f t="shared" si="4"/>
        <v>174</v>
      </c>
      <c r="AJ134" s="82">
        <f t="shared" si="5"/>
        <v>11.92</v>
      </c>
    </row>
    <row r="135">
      <c r="A135" s="83" t="s">
        <v>30</v>
      </c>
      <c r="B135" s="84">
        <f t="shared" si="6"/>
        <v>45424</v>
      </c>
      <c r="C135" s="85">
        <v>5.0</v>
      </c>
      <c r="D135" s="85" t="s">
        <v>12</v>
      </c>
      <c r="E135" s="87" t="s">
        <v>129</v>
      </c>
      <c r="F135" s="88"/>
      <c r="G135" s="89"/>
      <c r="H135" s="90"/>
      <c r="I135" s="89"/>
      <c r="J135" s="90"/>
      <c r="K135" s="89"/>
      <c r="L135" s="165">
        <v>0.0</v>
      </c>
      <c r="M135" s="89"/>
      <c r="N135" s="166">
        <v>0.0</v>
      </c>
      <c r="O135" s="89"/>
      <c r="P135" s="166">
        <v>0.0</v>
      </c>
      <c r="Q135" s="89"/>
      <c r="R135" s="166">
        <v>0.0</v>
      </c>
      <c r="S135" s="89"/>
      <c r="T135" s="166">
        <v>0.0</v>
      </c>
      <c r="U135" s="89"/>
      <c r="V135" s="166">
        <v>0.0</v>
      </c>
      <c r="W135" s="89"/>
      <c r="X135" s="166">
        <v>0.0</v>
      </c>
      <c r="Y135" s="91"/>
      <c r="Z135" s="165">
        <v>0.0</v>
      </c>
      <c r="AA135" s="89"/>
      <c r="AB135" s="166">
        <v>0.0</v>
      </c>
      <c r="AC135" s="89"/>
      <c r="AD135" s="166">
        <v>0.0</v>
      </c>
      <c r="AE135" s="89"/>
      <c r="AF135" s="92">
        <f t="shared" si="1"/>
        <v>0</v>
      </c>
      <c r="AG135" s="85">
        <f t="shared" si="2"/>
        <v>0</v>
      </c>
      <c r="AH135" s="85">
        <f t="shared" si="3"/>
        <v>0</v>
      </c>
      <c r="AI135" s="85">
        <f t="shared" si="4"/>
        <v>0</v>
      </c>
      <c r="AJ135" s="93" t="str">
        <f t="shared" si="5"/>
        <v/>
      </c>
    </row>
    <row r="136">
      <c r="A136" s="66" t="s">
        <v>11</v>
      </c>
      <c r="B136" s="94">
        <f t="shared" si="6"/>
        <v>45425</v>
      </c>
      <c r="C136" s="68">
        <v>5.0</v>
      </c>
      <c r="D136" s="68" t="s">
        <v>33</v>
      </c>
      <c r="E136" s="70" t="s">
        <v>129</v>
      </c>
      <c r="F136" s="71"/>
      <c r="H136" s="72"/>
      <c r="J136" s="72"/>
      <c r="L136" s="159">
        <v>0.0</v>
      </c>
      <c r="N136" s="160">
        <v>80.0</v>
      </c>
      <c r="P136" s="160">
        <v>80.0</v>
      </c>
      <c r="R136" s="160">
        <v>50.0</v>
      </c>
      <c r="T136" s="160">
        <v>1.0</v>
      </c>
      <c r="V136" s="160">
        <v>1.0</v>
      </c>
      <c r="X136" s="160">
        <v>40.0</v>
      </c>
      <c r="Y136" s="73"/>
      <c r="Z136" s="159">
        <v>0.0</v>
      </c>
      <c r="AB136" s="160">
        <v>15.0</v>
      </c>
      <c r="AD136" s="160">
        <v>0.0</v>
      </c>
      <c r="AF136" s="74">
        <f t="shared" si="1"/>
        <v>3393.5</v>
      </c>
      <c r="AG136" s="68">
        <f t="shared" si="2"/>
        <v>265</v>
      </c>
      <c r="AH136" s="68">
        <f t="shared" si="3"/>
        <v>2</v>
      </c>
      <c r="AI136" s="68">
        <f t="shared" si="4"/>
        <v>267</v>
      </c>
      <c r="AJ136" s="75">
        <f t="shared" si="5"/>
        <v>12.70973783</v>
      </c>
    </row>
    <row r="137">
      <c r="A137" s="76" t="s">
        <v>16</v>
      </c>
      <c r="B137" s="77">
        <f t="shared" si="6"/>
        <v>45426</v>
      </c>
      <c r="C137" s="78">
        <v>5.0</v>
      </c>
      <c r="D137" s="78" t="s">
        <v>33</v>
      </c>
      <c r="E137" s="80" t="s">
        <v>129</v>
      </c>
      <c r="F137" s="71"/>
      <c r="H137" s="72"/>
      <c r="J137" s="72"/>
      <c r="L137" s="159">
        <v>0.0</v>
      </c>
      <c r="N137" s="160">
        <v>80.0</v>
      </c>
      <c r="P137" s="160">
        <v>80.0</v>
      </c>
      <c r="R137" s="160">
        <v>50.0</v>
      </c>
      <c r="T137" s="160">
        <v>0.0</v>
      </c>
      <c r="V137" s="160">
        <v>0.0</v>
      </c>
      <c r="X137" s="160">
        <v>40.0</v>
      </c>
      <c r="Y137" s="73"/>
      <c r="Z137" s="159">
        <v>0.0</v>
      </c>
      <c r="AB137" s="160">
        <v>15.0</v>
      </c>
      <c r="AD137" s="160">
        <v>0.0</v>
      </c>
      <c r="AF137" s="81">
        <f t="shared" si="1"/>
        <v>2658.5</v>
      </c>
      <c r="AG137" s="78">
        <f t="shared" si="2"/>
        <v>265</v>
      </c>
      <c r="AH137" s="78">
        <f t="shared" si="3"/>
        <v>0</v>
      </c>
      <c r="AI137" s="78">
        <f t="shared" si="4"/>
        <v>265</v>
      </c>
      <c r="AJ137" s="82">
        <f t="shared" si="5"/>
        <v>10.03207547</v>
      </c>
    </row>
    <row r="138">
      <c r="A138" s="76" t="s">
        <v>17</v>
      </c>
      <c r="B138" s="77">
        <f t="shared" si="6"/>
        <v>45427</v>
      </c>
      <c r="C138" s="78">
        <v>5.0</v>
      </c>
      <c r="D138" s="78" t="s">
        <v>33</v>
      </c>
      <c r="E138" s="80" t="s">
        <v>129</v>
      </c>
      <c r="F138" s="71"/>
      <c r="H138" s="72"/>
      <c r="J138" s="72"/>
      <c r="L138" s="159">
        <v>80.0</v>
      </c>
      <c r="N138" s="160">
        <v>80.0</v>
      </c>
      <c r="P138" s="160">
        <v>0.0</v>
      </c>
      <c r="R138" s="160">
        <v>0.0</v>
      </c>
      <c r="T138" s="160">
        <v>0.0</v>
      </c>
      <c r="V138" s="160">
        <v>0.0</v>
      </c>
      <c r="X138" s="160">
        <v>0.0</v>
      </c>
      <c r="Y138" s="73"/>
      <c r="Z138" s="159">
        <v>15.0</v>
      </c>
      <c r="AB138" s="160">
        <v>15.0</v>
      </c>
      <c r="AD138" s="160">
        <v>0.0</v>
      </c>
      <c r="AF138" s="81">
        <f t="shared" si="1"/>
        <v>2264.8</v>
      </c>
      <c r="AG138" s="78">
        <f t="shared" si="2"/>
        <v>190</v>
      </c>
      <c r="AH138" s="78">
        <f t="shared" si="3"/>
        <v>0</v>
      </c>
      <c r="AI138" s="78">
        <f t="shared" si="4"/>
        <v>190</v>
      </c>
      <c r="AJ138" s="82">
        <f t="shared" si="5"/>
        <v>11.92</v>
      </c>
    </row>
    <row r="139">
      <c r="A139" s="76" t="s">
        <v>21</v>
      </c>
      <c r="B139" s="77">
        <f t="shared" si="6"/>
        <v>45428</v>
      </c>
      <c r="C139" s="78">
        <v>5.0</v>
      </c>
      <c r="D139" s="78" t="s">
        <v>33</v>
      </c>
      <c r="E139" s="80" t="s">
        <v>129</v>
      </c>
      <c r="F139" s="71"/>
      <c r="H139" s="72"/>
      <c r="J139" s="72"/>
      <c r="L139" s="159">
        <v>0.0</v>
      </c>
      <c r="N139" s="160">
        <v>80.0</v>
      </c>
      <c r="P139" s="160">
        <v>50.0</v>
      </c>
      <c r="R139" s="160">
        <v>50.0</v>
      </c>
      <c r="T139" s="160">
        <v>0.0</v>
      </c>
      <c r="V139" s="160">
        <v>0.0</v>
      </c>
      <c r="X139" s="160">
        <v>35.0</v>
      </c>
      <c r="Y139" s="73"/>
      <c r="Z139" s="159">
        <v>0.0</v>
      </c>
      <c r="AB139" s="160">
        <v>15.0</v>
      </c>
      <c r="AD139" s="160">
        <v>0.0</v>
      </c>
      <c r="AF139" s="81">
        <f t="shared" si="1"/>
        <v>2258.9</v>
      </c>
      <c r="AG139" s="78">
        <f t="shared" si="2"/>
        <v>230</v>
      </c>
      <c r="AH139" s="78">
        <f t="shared" si="3"/>
        <v>0</v>
      </c>
      <c r="AI139" s="78">
        <f t="shared" si="4"/>
        <v>230</v>
      </c>
      <c r="AJ139" s="82">
        <f t="shared" si="5"/>
        <v>9.821304348</v>
      </c>
    </row>
    <row r="140">
      <c r="A140" s="76" t="s">
        <v>24</v>
      </c>
      <c r="B140" s="77">
        <f t="shared" si="6"/>
        <v>45429</v>
      </c>
      <c r="C140" s="78">
        <v>5.0</v>
      </c>
      <c r="D140" s="78" t="s">
        <v>33</v>
      </c>
      <c r="E140" s="80" t="s">
        <v>129</v>
      </c>
      <c r="F140" s="71"/>
      <c r="H140" s="72"/>
      <c r="J140" s="72"/>
      <c r="L140" s="159">
        <v>0.0</v>
      </c>
      <c r="N140" s="160">
        <v>80.0</v>
      </c>
      <c r="P140" s="160">
        <v>50.0</v>
      </c>
      <c r="R140" s="160">
        <v>50.0</v>
      </c>
      <c r="T140" s="160">
        <v>0.0</v>
      </c>
      <c r="V140" s="160">
        <v>0.0</v>
      </c>
      <c r="X140" s="160">
        <v>35.0</v>
      </c>
      <c r="Y140" s="73"/>
      <c r="Z140" s="159">
        <v>0.0</v>
      </c>
      <c r="AB140" s="160">
        <v>15.0</v>
      </c>
      <c r="AD140" s="160">
        <v>0.0</v>
      </c>
      <c r="AF140" s="81">
        <f t="shared" si="1"/>
        <v>2258.9</v>
      </c>
      <c r="AG140" s="78">
        <f t="shared" si="2"/>
        <v>230</v>
      </c>
      <c r="AH140" s="78">
        <f t="shared" si="3"/>
        <v>0</v>
      </c>
      <c r="AI140" s="78">
        <f t="shared" si="4"/>
        <v>230</v>
      </c>
      <c r="AJ140" s="82">
        <f t="shared" si="5"/>
        <v>9.821304348</v>
      </c>
    </row>
    <row r="141">
      <c r="A141" s="76" t="s">
        <v>27</v>
      </c>
      <c r="B141" s="77">
        <f t="shared" si="6"/>
        <v>45430</v>
      </c>
      <c r="C141" s="78">
        <v>5.0</v>
      </c>
      <c r="D141" s="78" t="s">
        <v>33</v>
      </c>
      <c r="E141" s="80" t="s">
        <v>129</v>
      </c>
      <c r="F141" s="71"/>
      <c r="H141" s="72"/>
      <c r="J141" s="72"/>
      <c r="L141" s="159">
        <v>80.0</v>
      </c>
      <c r="N141" s="160">
        <v>80.0</v>
      </c>
      <c r="P141" s="160">
        <v>0.0</v>
      </c>
      <c r="R141" s="160">
        <v>0.0</v>
      </c>
      <c r="T141" s="160">
        <v>0.0</v>
      </c>
      <c r="V141" s="160">
        <v>0.0</v>
      </c>
      <c r="X141" s="160">
        <v>0.0</v>
      </c>
      <c r="Y141" s="73"/>
      <c r="Z141" s="159">
        <v>10.0</v>
      </c>
      <c r="AB141" s="160">
        <v>10.0</v>
      </c>
      <c r="AD141" s="160">
        <v>0.0</v>
      </c>
      <c r="AF141" s="81">
        <f t="shared" si="1"/>
        <v>2145.6</v>
      </c>
      <c r="AG141" s="78">
        <f t="shared" si="2"/>
        <v>180</v>
      </c>
      <c r="AH141" s="78">
        <f t="shared" si="3"/>
        <v>0</v>
      </c>
      <c r="AI141" s="78">
        <f t="shared" si="4"/>
        <v>180</v>
      </c>
      <c r="AJ141" s="82">
        <f t="shared" si="5"/>
        <v>11.92</v>
      </c>
    </row>
    <row r="142">
      <c r="A142" s="83" t="s">
        <v>30</v>
      </c>
      <c r="B142" s="84">
        <f t="shared" si="6"/>
        <v>45431</v>
      </c>
      <c r="C142" s="85">
        <v>5.0</v>
      </c>
      <c r="D142" s="85" t="s">
        <v>33</v>
      </c>
      <c r="E142" s="87" t="s">
        <v>129</v>
      </c>
      <c r="F142" s="88"/>
      <c r="G142" s="89"/>
      <c r="H142" s="90"/>
      <c r="I142" s="89"/>
      <c r="J142" s="90"/>
      <c r="K142" s="89"/>
      <c r="L142" s="165">
        <v>0.0</v>
      </c>
      <c r="M142" s="89"/>
      <c r="N142" s="166">
        <v>0.0</v>
      </c>
      <c r="O142" s="89"/>
      <c r="P142" s="166">
        <v>0.0</v>
      </c>
      <c r="Q142" s="89"/>
      <c r="R142" s="166">
        <v>0.0</v>
      </c>
      <c r="S142" s="89"/>
      <c r="T142" s="166">
        <v>0.0</v>
      </c>
      <c r="U142" s="89"/>
      <c r="V142" s="166">
        <v>0.0</v>
      </c>
      <c r="W142" s="89"/>
      <c r="X142" s="166">
        <v>0.0</v>
      </c>
      <c r="Y142" s="91"/>
      <c r="Z142" s="165">
        <v>0.0</v>
      </c>
      <c r="AA142" s="89"/>
      <c r="AB142" s="166">
        <v>0.0</v>
      </c>
      <c r="AC142" s="89"/>
      <c r="AD142" s="166">
        <v>0.0</v>
      </c>
      <c r="AE142" s="89"/>
      <c r="AF142" s="92">
        <f t="shared" si="1"/>
        <v>0</v>
      </c>
      <c r="AG142" s="85">
        <f t="shared" si="2"/>
        <v>0</v>
      </c>
      <c r="AH142" s="85">
        <f t="shared" si="3"/>
        <v>0</v>
      </c>
      <c r="AI142" s="85">
        <f t="shared" si="4"/>
        <v>0</v>
      </c>
      <c r="AJ142" s="93" t="str">
        <f t="shared" si="5"/>
        <v/>
      </c>
    </row>
    <row r="143">
      <c r="A143" s="66" t="s">
        <v>11</v>
      </c>
      <c r="B143" s="94">
        <f t="shared" si="6"/>
        <v>45432</v>
      </c>
      <c r="C143" s="68">
        <v>6.0</v>
      </c>
      <c r="D143" s="68" t="s">
        <v>48</v>
      </c>
      <c r="E143" s="70" t="s">
        <v>129</v>
      </c>
      <c r="F143" s="71"/>
      <c r="H143" s="72"/>
      <c r="J143" s="72"/>
      <c r="L143" s="159">
        <v>0.0</v>
      </c>
      <c r="N143" s="160">
        <v>80.0</v>
      </c>
      <c r="P143" s="160">
        <v>50.0</v>
      </c>
      <c r="R143" s="160">
        <v>50.0</v>
      </c>
      <c r="T143" s="160">
        <v>1.0</v>
      </c>
      <c r="V143" s="160">
        <v>1.0</v>
      </c>
      <c r="X143" s="160">
        <v>35.0</v>
      </c>
      <c r="Y143" s="73"/>
      <c r="Z143" s="159">
        <v>0.0</v>
      </c>
      <c r="AB143" s="160">
        <v>15.0</v>
      </c>
      <c r="AD143" s="160">
        <v>0.0</v>
      </c>
      <c r="AF143" s="74">
        <f t="shared" si="1"/>
        <v>2993.9</v>
      </c>
      <c r="AG143" s="68">
        <f t="shared" si="2"/>
        <v>230</v>
      </c>
      <c r="AH143" s="68">
        <f t="shared" si="3"/>
        <v>2</v>
      </c>
      <c r="AI143" s="68">
        <f t="shared" si="4"/>
        <v>232</v>
      </c>
      <c r="AJ143" s="75">
        <f t="shared" si="5"/>
        <v>12.90474138</v>
      </c>
    </row>
    <row r="144">
      <c r="A144" s="76" t="s">
        <v>16</v>
      </c>
      <c r="B144" s="77">
        <f t="shared" si="6"/>
        <v>45433</v>
      </c>
      <c r="C144" s="78">
        <v>6.0</v>
      </c>
      <c r="D144" s="78" t="s">
        <v>48</v>
      </c>
      <c r="E144" s="80" t="s">
        <v>129</v>
      </c>
      <c r="F144" s="71"/>
      <c r="H144" s="72"/>
      <c r="J144" s="72"/>
      <c r="L144" s="159">
        <v>0.0</v>
      </c>
      <c r="N144" s="160">
        <v>80.0</v>
      </c>
      <c r="P144" s="160">
        <v>50.0</v>
      </c>
      <c r="R144" s="160">
        <v>50.0</v>
      </c>
      <c r="T144" s="160">
        <v>0.0</v>
      </c>
      <c r="V144" s="160">
        <v>0.0</v>
      </c>
      <c r="X144" s="160">
        <v>35.0</v>
      </c>
      <c r="Y144" s="73"/>
      <c r="Z144" s="159">
        <v>0.0</v>
      </c>
      <c r="AB144" s="160">
        <v>15.0</v>
      </c>
      <c r="AD144" s="160">
        <v>0.0</v>
      </c>
      <c r="AF144" s="81">
        <f t="shared" si="1"/>
        <v>2258.9</v>
      </c>
      <c r="AG144" s="78">
        <f t="shared" si="2"/>
        <v>230</v>
      </c>
      <c r="AH144" s="78">
        <f t="shared" si="3"/>
        <v>0</v>
      </c>
      <c r="AI144" s="78">
        <f t="shared" si="4"/>
        <v>230</v>
      </c>
      <c r="AJ144" s="82">
        <f t="shared" si="5"/>
        <v>9.821304348</v>
      </c>
    </row>
    <row r="145">
      <c r="A145" s="76" t="s">
        <v>17</v>
      </c>
      <c r="B145" s="77">
        <f t="shared" si="6"/>
        <v>45434</v>
      </c>
      <c r="C145" s="78">
        <v>6.0</v>
      </c>
      <c r="D145" s="78" t="s">
        <v>48</v>
      </c>
      <c r="E145" s="80" t="s">
        <v>129</v>
      </c>
      <c r="F145" s="71"/>
      <c r="H145" s="72"/>
      <c r="J145" s="72"/>
      <c r="L145" s="159">
        <v>80.0</v>
      </c>
      <c r="N145" s="160">
        <v>0.0</v>
      </c>
      <c r="P145" s="160">
        <v>0.0</v>
      </c>
      <c r="R145" s="160">
        <v>0.0</v>
      </c>
      <c r="T145" s="160">
        <v>0.0</v>
      </c>
      <c r="V145" s="160">
        <v>0.0</v>
      </c>
      <c r="X145" s="160">
        <v>0.0</v>
      </c>
      <c r="Y145" s="73"/>
      <c r="Z145" s="159">
        <v>15.0</v>
      </c>
      <c r="AB145" s="160">
        <v>0.0</v>
      </c>
      <c r="AD145" s="160">
        <v>0.0</v>
      </c>
      <c r="AF145" s="81">
        <f t="shared" si="1"/>
        <v>1132.4</v>
      </c>
      <c r="AG145" s="78">
        <f t="shared" si="2"/>
        <v>95</v>
      </c>
      <c r="AH145" s="78">
        <f t="shared" si="3"/>
        <v>0</v>
      </c>
      <c r="AI145" s="78">
        <f t="shared" si="4"/>
        <v>95</v>
      </c>
      <c r="AJ145" s="82">
        <f t="shared" si="5"/>
        <v>11.92</v>
      </c>
    </row>
    <row r="146">
      <c r="A146" s="76" t="s">
        <v>21</v>
      </c>
      <c r="B146" s="77">
        <f t="shared" si="6"/>
        <v>45435</v>
      </c>
      <c r="C146" s="78">
        <v>6.0</v>
      </c>
      <c r="D146" s="78" t="s">
        <v>48</v>
      </c>
      <c r="E146" s="80" t="s">
        <v>129</v>
      </c>
      <c r="F146" s="71"/>
      <c r="H146" s="72"/>
      <c r="J146" s="72"/>
      <c r="L146" s="159">
        <v>0.0</v>
      </c>
      <c r="N146" s="160">
        <v>80.0</v>
      </c>
      <c r="P146" s="160">
        <v>50.0</v>
      </c>
      <c r="R146" s="160">
        <v>50.0</v>
      </c>
      <c r="T146" s="160">
        <v>0.0</v>
      </c>
      <c r="V146" s="160">
        <v>0.0</v>
      </c>
      <c r="X146" s="160">
        <v>35.0</v>
      </c>
      <c r="Y146" s="73"/>
      <c r="Z146" s="159">
        <v>0.0</v>
      </c>
      <c r="AB146" s="160">
        <v>15.0</v>
      </c>
      <c r="AD146" s="160">
        <v>0.0</v>
      </c>
      <c r="AF146" s="81">
        <f t="shared" si="1"/>
        <v>2258.9</v>
      </c>
      <c r="AG146" s="78">
        <f t="shared" si="2"/>
        <v>230</v>
      </c>
      <c r="AH146" s="78">
        <f t="shared" si="3"/>
        <v>0</v>
      </c>
      <c r="AI146" s="78">
        <f t="shared" si="4"/>
        <v>230</v>
      </c>
      <c r="AJ146" s="82">
        <f t="shared" si="5"/>
        <v>9.821304348</v>
      </c>
    </row>
    <row r="147">
      <c r="A147" s="76" t="s">
        <v>24</v>
      </c>
      <c r="B147" s="77">
        <f t="shared" si="6"/>
        <v>45436</v>
      </c>
      <c r="C147" s="78">
        <v>6.0</v>
      </c>
      <c r="D147" s="78" t="s">
        <v>48</v>
      </c>
      <c r="E147" s="80" t="s">
        <v>129</v>
      </c>
      <c r="F147" s="71"/>
      <c r="H147" s="72"/>
      <c r="J147" s="72"/>
      <c r="L147" s="159">
        <v>0.0</v>
      </c>
      <c r="N147" s="160">
        <v>80.0</v>
      </c>
      <c r="P147" s="160">
        <v>50.0</v>
      </c>
      <c r="R147" s="160">
        <v>50.0</v>
      </c>
      <c r="T147" s="160">
        <v>0.0</v>
      </c>
      <c r="V147" s="160">
        <v>0.0</v>
      </c>
      <c r="X147" s="160">
        <v>35.0</v>
      </c>
      <c r="Y147" s="73"/>
      <c r="Z147" s="159">
        <v>0.0</v>
      </c>
      <c r="AB147" s="160">
        <v>15.0</v>
      </c>
      <c r="AD147" s="160">
        <v>0.0</v>
      </c>
      <c r="AF147" s="81">
        <f t="shared" si="1"/>
        <v>2258.9</v>
      </c>
      <c r="AG147" s="78">
        <f t="shared" si="2"/>
        <v>230</v>
      </c>
      <c r="AH147" s="78">
        <f t="shared" si="3"/>
        <v>0</v>
      </c>
      <c r="AI147" s="78">
        <f t="shared" si="4"/>
        <v>230</v>
      </c>
      <c r="AJ147" s="82">
        <f t="shared" si="5"/>
        <v>9.821304348</v>
      </c>
    </row>
    <row r="148">
      <c r="A148" s="76" t="s">
        <v>27</v>
      </c>
      <c r="B148" s="77">
        <f t="shared" si="6"/>
        <v>45437</v>
      </c>
      <c r="C148" s="78">
        <v>6.0</v>
      </c>
      <c r="D148" s="78" t="s">
        <v>48</v>
      </c>
      <c r="E148" s="80" t="s">
        <v>129</v>
      </c>
      <c r="F148" s="71"/>
      <c r="H148" s="72"/>
      <c r="J148" s="72"/>
      <c r="L148" s="159">
        <v>80.0</v>
      </c>
      <c r="N148" s="160">
        <v>80.0</v>
      </c>
      <c r="P148" s="160">
        <v>0.0</v>
      </c>
      <c r="R148" s="160">
        <v>50.0</v>
      </c>
      <c r="T148" s="160">
        <v>0.0</v>
      </c>
      <c r="V148" s="160">
        <v>0.0</v>
      </c>
      <c r="X148" s="160">
        <v>0.0</v>
      </c>
      <c r="Y148" s="73"/>
      <c r="Z148" s="159">
        <v>15.0</v>
      </c>
      <c r="AB148" s="160">
        <v>15.0</v>
      </c>
      <c r="AD148" s="160">
        <v>0.0</v>
      </c>
      <c r="AF148" s="81">
        <f t="shared" si="1"/>
        <v>2501.3</v>
      </c>
      <c r="AG148" s="78">
        <f t="shared" si="2"/>
        <v>240</v>
      </c>
      <c r="AH148" s="78">
        <f t="shared" si="3"/>
        <v>0</v>
      </c>
      <c r="AI148" s="78">
        <f t="shared" si="4"/>
        <v>240</v>
      </c>
      <c r="AJ148" s="82">
        <f t="shared" si="5"/>
        <v>10.42208333</v>
      </c>
    </row>
    <row r="149">
      <c r="A149" s="83" t="s">
        <v>30</v>
      </c>
      <c r="B149" s="84">
        <f t="shared" si="6"/>
        <v>45438</v>
      </c>
      <c r="C149" s="85">
        <v>6.0</v>
      </c>
      <c r="D149" s="85" t="s">
        <v>48</v>
      </c>
      <c r="E149" s="87" t="s">
        <v>129</v>
      </c>
      <c r="F149" s="88"/>
      <c r="G149" s="89"/>
      <c r="H149" s="90"/>
      <c r="I149" s="89"/>
      <c r="J149" s="90"/>
      <c r="K149" s="89"/>
      <c r="L149" s="165">
        <v>0.0</v>
      </c>
      <c r="M149" s="89"/>
      <c r="N149" s="166">
        <v>0.0</v>
      </c>
      <c r="O149" s="89"/>
      <c r="P149" s="166">
        <v>0.0</v>
      </c>
      <c r="Q149" s="89"/>
      <c r="R149" s="166">
        <v>0.0</v>
      </c>
      <c r="S149" s="89"/>
      <c r="T149" s="166">
        <v>0.0</v>
      </c>
      <c r="U149" s="89"/>
      <c r="V149" s="166">
        <v>0.0</v>
      </c>
      <c r="W149" s="89"/>
      <c r="X149" s="166">
        <v>0.0</v>
      </c>
      <c r="Y149" s="91"/>
      <c r="Z149" s="165">
        <v>0.0</v>
      </c>
      <c r="AA149" s="89"/>
      <c r="AB149" s="166">
        <v>0.0</v>
      </c>
      <c r="AC149" s="89"/>
      <c r="AD149" s="166">
        <v>0.0</v>
      </c>
      <c r="AE149" s="89"/>
      <c r="AF149" s="92">
        <f t="shared" si="1"/>
        <v>0</v>
      </c>
      <c r="AG149" s="85">
        <f t="shared" si="2"/>
        <v>0</v>
      </c>
      <c r="AH149" s="85">
        <f t="shared" si="3"/>
        <v>0</v>
      </c>
      <c r="AI149" s="85">
        <f t="shared" si="4"/>
        <v>0</v>
      </c>
      <c r="AJ149" s="93" t="str">
        <f t="shared" si="5"/>
        <v/>
      </c>
    </row>
    <row r="150">
      <c r="A150" s="66" t="s">
        <v>11</v>
      </c>
      <c r="B150" s="94">
        <f t="shared" si="6"/>
        <v>45439</v>
      </c>
      <c r="C150" s="68">
        <v>6.0</v>
      </c>
      <c r="D150" s="68" t="s">
        <v>59</v>
      </c>
      <c r="E150" s="70" t="s">
        <v>130</v>
      </c>
      <c r="F150" s="71"/>
      <c r="H150" s="72"/>
      <c r="J150" s="72"/>
      <c r="L150" s="159">
        <v>0.0</v>
      </c>
      <c r="N150" s="160">
        <v>80.0</v>
      </c>
      <c r="P150" s="160">
        <v>50.0</v>
      </c>
      <c r="R150" s="160">
        <v>50.0</v>
      </c>
      <c r="T150" s="160">
        <v>1.0</v>
      </c>
      <c r="V150" s="160">
        <v>1.0</v>
      </c>
      <c r="X150" s="160">
        <v>35.0</v>
      </c>
      <c r="Y150" s="73"/>
      <c r="Z150" s="159">
        <v>0.0</v>
      </c>
      <c r="AB150" s="160">
        <v>18.0</v>
      </c>
      <c r="AD150" s="160">
        <v>0.0</v>
      </c>
      <c r="AF150" s="74">
        <f t="shared" si="1"/>
        <v>3029.66</v>
      </c>
      <c r="AG150" s="68">
        <f t="shared" si="2"/>
        <v>233</v>
      </c>
      <c r="AH150" s="68">
        <f t="shared" si="3"/>
        <v>2</v>
      </c>
      <c r="AI150" s="68">
        <f t="shared" si="4"/>
        <v>235</v>
      </c>
      <c r="AJ150" s="75">
        <f t="shared" si="5"/>
        <v>12.89217021</v>
      </c>
    </row>
    <row r="151">
      <c r="A151" s="76" t="s">
        <v>16</v>
      </c>
      <c r="B151" s="77">
        <f t="shared" si="6"/>
        <v>45440</v>
      </c>
      <c r="C151" s="78">
        <v>6.0</v>
      </c>
      <c r="D151" s="78" t="s">
        <v>59</v>
      </c>
      <c r="E151" s="169" t="s">
        <v>130</v>
      </c>
      <c r="F151" s="71"/>
      <c r="H151" s="72"/>
      <c r="J151" s="72"/>
      <c r="L151" s="159">
        <v>0.0</v>
      </c>
      <c r="N151" s="160">
        <v>80.0</v>
      </c>
      <c r="P151" s="160">
        <v>50.0</v>
      </c>
      <c r="R151" s="160">
        <v>50.0</v>
      </c>
      <c r="T151" s="160">
        <v>0.0</v>
      </c>
      <c r="V151" s="160">
        <v>0.0</v>
      </c>
      <c r="X151" s="160">
        <v>35.0</v>
      </c>
      <c r="Y151" s="73"/>
      <c r="Z151" s="159">
        <v>0.0</v>
      </c>
      <c r="AB151" s="160">
        <v>18.0</v>
      </c>
      <c r="AD151" s="160">
        <v>0.0</v>
      </c>
      <c r="AF151" s="81">
        <f t="shared" si="1"/>
        <v>2294.66</v>
      </c>
      <c r="AG151" s="78">
        <f t="shared" si="2"/>
        <v>233</v>
      </c>
      <c r="AH151" s="78">
        <f t="shared" si="3"/>
        <v>0</v>
      </c>
      <c r="AI151" s="78">
        <f t="shared" si="4"/>
        <v>233</v>
      </c>
      <c r="AJ151" s="82">
        <f t="shared" si="5"/>
        <v>9.84832618</v>
      </c>
    </row>
    <row r="152">
      <c r="A152" s="76" t="s">
        <v>17</v>
      </c>
      <c r="B152" s="77">
        <f t="shared" si="6"/>
        <v>45441</v>
      </c>
      <c r="C152" s="78">
        <v>6.0</v>
      </c>
      <c r="D152" s="78" t="s">
        <v>59</v>
      </c>
      <c r="E152" s="169" t="s">
        <v>130</v>
      </c>
      <c r="F152" s="71"/>
      <c r="H152" s="72"/>
      <c r="J152" s="72"/>
      <c r="L152" s="159">
        <v>80.0</v>
      </c>
      <c r="N152" s="160">
        <v>80.0</v>
      </c>
      <c r="P152" s="160">
        <v>0.0</v>
      </c>
      <c r="R152" s="160">
        <v>0.0</v>
      </c>
      <c r="T152" s="160">
        <v>0.0</v>
      </c>
      <c r="V152" s="160">
        <v>0.0</v>
      </c>
      <c r="X152" s="160">
        <v>0.0</v>
      </c>
      <c r="Y152" s="73"/>
      <c r="Z152" s="159">
        <v>18.0</v>
      </c>
      <c r="AB152" s="160">
        <v>18.0</v>
      </c>
      <c r="AD152" s="160">
        <v>0.0</v>
      </c>
      <c r="AF152" s="81">
        <f t="shared" si="1"/>
        <v>2336.32</v>
      </c>
      <c r="AG152" s="78">
        <f t="shared" si="2"/>
        <v>196</v>
      </c>
      <c r="AH152" s="78">
        <f t="shared" si="3"/>
        <v>0</v>
      </c>
      <c r="AI152" s="78">
        <f t="shared" si="4"/>
        <v>196</v>
      </c>
      <c r="AJ152" s="82">
        <f t="shared" si="5"/>
        <v>11.92</v>
      </c>
    </row>
    <row r="153">
      <c r="A153" s="76" t="s">
        <v>21</v>
      </c>
      <c r="B153" s="77">
        <f t="shared" si="6"/>
        <v>45442</v>
      </c>
      <c r="C153" s="78">
        <v>6.0</v>
      </c>
      <c r="D153" s="78" t="s">
        <v>59</v>
      </c>
      <c r="E153" s="169" t="s">
        <v>130</v>
      </c>
      <c r="F153" s="71"/>
      <c r="H153" s="72"/>
      <c r="J153" s="72"/>
      <c r="L153" s="159">
        <v>0.0</v>
      </c>
      <c r="N153" s="160">
        <v>80.0</v>
      </c>
      <c r="P153" s="160">
        <v>50.0</v>
      </c>
      <c r="R153" s="160">
        <v>50.0</v>
      </c>
      <c r="T153" s="160">
        <v>0.0</v>
      </c>
      <c r="V153" s="160">
        <v>0.0</v>
      </c>
      <c r="X153" s="160">
        <v>35.0</v>
      </c>
      <c r="Y153" s="73"/>
      <c r="Z153" s="159">
        <v>0.0</v>
      </c>
      <c r="AB153" s="160">
        <v>18.0</v>
      </c>
      <c r="AD153" s="160">
        <v>0.0</v>
      </c>
      <c r="AF153" s="81">
        <f t="shared" si="1"/>
        <v>2294.66</v>
      </c>
      <c r="AG153" s="78">
        <f t="shared" si="2"/>
        <v>233</v>
      </c>
      <c r="AH153" s="78">
        <f t="shared" si="3"/>
        <v>0</v>
      </c>
      <c r="AI153" s="78">
        <f t="shared" si="4"/>
        <v>233</v>
      </c>
      <c r="AJ153" s="82">
        <f t="shared" si="5"/>
        <v>9.84832618</v>
      </c>
    </row>
    <row r="154">
      <c r="A154" s="76" t="s">
        <v>24</v>
      </c>
      <c r="B154" s="77">
        <f t="shared" si="6"/>
        <v>45443</v>
      </c>
      <c r="C154" s="78">
        <v>6.0</v>
      </c>
      <c r="D154" s="78" t="s">
        <v>59</v>
      </c>
      <c r="E154" s="169" t="s">
        <v>130</v>
      </c>
      <c r="F154" s="71"/>
      <c r="H154" s="72"/>
      <c r="J154" s="72"/>
      <c r="L154" s="159">
        <v>0.0</v>
      </c>
      <c r="N154" s="160">
        <v>80.0</v>
      </c>
      <c r="P154" s="160">
        <v>50.0</v>
      </c>
      <c r="R154" s="160">
        <v>50.0</v>
      </c>
      <c r="T154" s="160">
        <v>0.0</v>
      </c>
      <c r="V154" s="160">
        <v>0.0</v>
      </c>
      <c r="X154" s="160">
        <v>35.0</v>
      </c>
      <c r="Y154" s="73"/>
      <c r="Z154" s="159">
        <v>0.0</v>
      </c>
      <c r="AB154" s="160">
        <v>18.0</v>
      </c>
      <c r="AD154" s="160">
        <v>0.0</v>
      </c>
      <c r="AF154" s="81">
        <f t="shared" si="1"/>
        <v>2294.66</v>
      </c>
      <c r="AG154" s="78">
        <f t="shared" si="2"/>
        <v>233</v>
      </c>
      <c r="AH154" s="78">
        <f t="shared" si="3"/>
        <v>0</v>
      </c>
      <c r="AI154" s="78">
        <f t="shared" si="4"/>
        <v>233</v>
      </c>
      <c r="AJ154" s="82">
        <f t="shared" si="5"/>
        <v>9.84832618</v>
      </c>
    </row>
    <row r="155">
      <c r="A155" s="76" t="s">
        <v>27</v>
      </c>
      <c r="B155" s="77">
        <f t="shared" si="6"/>
        <v>45444</v>
      </c>
      <c r="C155" s="78">
        <v>6.0</v>
      </c>
      <c r="D155" s="78" t="s">
        <v>59</v>
      </c>
      <c r="E155" s="169" t="s">
        <v>130</v>
      </c>
      <c r="F155" s="71"/>
      <c r="H155" s="72"/>
      <c r="J155" s="72"/>
      <c r="L155" s="159">
        <v>80.0</v>
      </c>
      <c r="N155" s="160">
        <v>80.0</v>
      </c>
      <c r="P155" s="160">
        <v>0.0</v>
      </c>
      <c r="R155" s="160">
        <v>0.0</v>
      </c>
      <c r="T155" s="160">
        <v>0.0</v>
      </c>
      <c r="V155" s="160">
        <v>0.0</v>
      </c>
      <c r="X155" s="160">
        <v>0.0</v>
      </c>
      <c r="Y155" s="73"/>
      <c r="Z155" s="159">
        <v>12.0</v>
      </c>
      <c r="AB155" s="160">
        <v>12.0</v>
      </c>
      <c r="AD155" s="160">
        <v>0.0</v>
      </c>
      <c r="AF155" s="81">
        <f t="shared" si="1"/>
        <v>2193.28</v>
      </c>
      <c r="AG155" s="78">
        <f t="shared" si="2"/>
        <v>184</v>
      </c>
      <c r="AH155" s="78">
        <f t="shared" si="3"/>
        <v>0</v>
      </c>
      <c r="AI155" s="78">
        <f t="shared" si="4"/>
        <v>184</v>
      </c>
      <c r="AJ155" s="82">
        <f t="shared" si="5"/>
        <v>11.92</v>
      </c>
    </row>
    <row r="156">
      <c r="A156" s="83" t="s">
        <v>30</v>
      </c>
      <c r="B156" s="84">
        <f t="shared" si="6"/>
        <v>45445</v>
      </c>
      <c r="C156" s="85">
        <v>6.0</v>
      </c>
      <c r="D156" s="85" t="s">
        <v>59</v>
      </c>
      <c r="E156" s="170" t="s">
        <v>130</v>
      </c>
      <c r="F156" s="88"/>
      <c r="G156" s="89"/>
      <c r="H156" s="90"/>
      <c r="I156" s="89"/>
      <c r="J156" s="90"/>
      <c r="K156" s="89"/>
      <c r="L156" s="165">
        <v>0.0</v>
      </c>
      <c r="M156" s="89"/>
      <c r="N156" s="166">
        <v>0.0</v>
      </c>
      <c r="O156" s="89"/>
      <c r="P156" s="166">
        <v>0.0</v>
      </c>
      <c r="Q156" s="89"/>
      <c r="R156" s="166">
        <v>0.0</v>
      </c>
      <c r="S156" s="89"/>
      <c r="T156" s="166">
        <v>0.0</v>
      </c>
      <c r="U156" s="89"/>
      <c r="V156" s="166">
        <v>0.0</v>
      </c>
      <c r="W156" s="89"/>
      <c r="X156" s="166">
        <v>0.0</v>
      </c>
      <c r="Y156" s="91"/>
      <c r="Z156" s="165">
        <v>0.0</v>
      </c>
      <c r="AA156" s="89"/>
      <c r="AB156" s="166">
        <v>0.0</v>
      </c>
      <c r="AC156" s="89"/>
      <c r="AD156" s="166">
        <v>0.0</v>
      </c>
      <c r="AE156" s="89"/>
      <c r="AF156" s="92">
        <f t="shared" si="1"/>
        <v>0</v>
      </c>
      <c r="AG156" s="85">
        <f t="shared" si="2"/>
        <v>0</v>
      </c>
      <c r="AH156" s="85">
        <f t="shared" si="3"/>
        <v>0</v>
      </c>
      <c r="AI156" s="85">
        <f t="shared" si="4"/>
        <v>0</v>
      </c>
      <c r="AJ156" s="93" t="str">
        <f t="shared" si="5"/>
        <v/>
      </c>
    </row>
    <row r="157">
      <c r="A157" s="66" t="s">
        <v>11</v>
      </c>
      <c r="B157" s="94">
        <f t="shared" si="6"/>
        <v>45446</v>
      </c>
      <c r="C157" s="68">
        <v>6.0</v>
      </c>
      <c r="D157" s="68" t="s">
        <v>12</v>
      </c>
      <c r="E157" s="70" t="s">
        <v>130</v>
      </c>
      <c r="F157" s="71"/>
      <c r="H157" s="72"/>
      <c r="J157" s="72"/>
      <c r="L157" s="100">
        <v>0.0</v>
      </c>
      <c r="N157" s="101">
        <v>80.0</v>
      </c>
      <c r="P157" s="101">
        <v>70.0</v>
      </c>
      <c r="R157" s="101">
        <v>50.0</v>
      </c>
      <c r="T157" s="101">
        <v>1.0</v>
      </c>
      <c r="V157" s="101">
        <v>1.0</v>
      </c>
      <c r="X157" s="101">
        <v>35.0</v>
      </c>
      <c r="Y157" s="73"/>
      <c r="Z157" s="100">
        <v>0.0</v>
      </c>
      <c r="AB157" s="101">
        <v>18.0</v>
      </c>
      <c r="AD157" s="101">
        <v>0.0</v>
      </c>
      <c r="AF157" s="74">
        <f t="shared" si="1"/>
        <v>3268.06</v>
      </c>
      <c r="AG157" s="68">
        <f t="shared" si="2"/>
        <v>253</v>
      </c>
      <c r="AH157" s="68">
        <f t="shared" si="3"/>
        <v>2</v>
      </c>
      <c r="AI157" s="68">
        <f t="shared" si="4"/>
        <v>255</v>
      </c>
      <c r="AJ157" s="75">
        <f t="shared" si="5"/>
        <v>12.81592157</v>
      </c>
    </row>
    <row r="158">
      <c r="A158" s="76" t="s">
        <v>16</v>
      </c>
      <c r="B158" s="77">
        <f t="shared" si="6"/>
        <v>45447</v>
      </c>
      <c r="C158" s="78">
        <v>6.0</v>
      </c>
      <c r="D158" s="78" t="s">
        <v>12</v>
      </c>
      <c r="E158" s="169" t="s">
        <v>130</v>
      </c>
      <c r="F158" s="71"/>
      <c r="H158" s="72"/>
      <c r="J158" s="72"/>
      <c r="L158" s="100">
        <v>0.0</v>
      </c>
      <c r="N158" s="101">
        <v>80.0</v>
      </c>
      <c r="P158" s="101">
        <v>70.0</v>
      </c>
      <c r="R158" s="101">
        <v>50.0</v>
      </c>
      <c r="T158" s="101">
        <v>0.0</v>
      </c>
      <c r="V158" s="101">
        <v>0.0</v>
      </c>
      <c r="X158" s="101">
        <v>35.0</v>
      </c>
      <c r="Y158" s="73"/>
      <c r="Z158" s="100">
        <v>0.0</v>
      </c>
      <c r="AB158" s="101">
        <v>18.0</v>
      </c>
      <c r="AD158" s="101">
        <v>0.0</v>
      </c>
      <c r="AF158" s="81">
        <f t="shared" si="1"/>
        <v>2533.06</v>
      </c>
      <c r="AG158" s="78">
        <f t="shared" si="2"/>
        <v>253</v>
      </c>
      <c r="AH158" s="78">
        <f t="shared" si="3"/>
        <v>0</v>
      </c>
      <c r="AI158" s="78">
        <f t="shared" si="4"/>
        <v>253</v>
      </c>
      <c r="AJ158" s="82">
        <f t="shared" si="5"/>
        <v>10.01209486</v>
      </c>
    </row>
    <row r="159">
      <c r="A159" s="76" t="s">
        <v>17</v>
      </c>
      <c r="B159" s="77">
        <f t="shared" si="6"/>
        <v>45448</v>
      </c>
      <c r="C159" s="78">
        <v>6.0</v>
      </c>
      <c r="D159" s="78" t="s">
        <v>12</v>
      </c>
      <c r="E159" s="169" t="s">
        <v>130</v>
      </c>
      <c r="F159" s="71"/>
      <c r="H159" s="72"/>
      <c r="J159" s="72"/>
      <c r="L159" s="100">
        <v>0.0</v>
      </c>
      <c r="N159" s="101">
        <v>80.0</v>
      </c>
      <c r="P159" s="101">
        <v>70.0</v>
      </c>
      <c r="R159" s="101">
        <v>50.0</v>
      </c>
      <c r="T159" s="101">
        <v>0.0</v>
      </c>
      <c r="V159" s="101">
        <v>0.0</v>
      </c>
      <c r="X159" s="101">
        <v>35.0</v>
      </c>
      <c r="Y159" s="73"/>
      <c r="Z159" s="100">
        <v>0.0</v>
      </c>
      <c r="AB159" s="101">
        <v>22.0</v>
      </c>
      <c r="AD159" s="101">
        <v>0.0</v>
      </c>
      <c r="AF159" s="81">
        <f t="shared" si="1"/>
        <v>2580.74</v>
      </c>
      <c r="AG159" s="78">
        <f t="shared" si="2"/>
        <v>257</v>
      </c>
      <c r="AH159" s="78">
        <f t="shared" si="3"/>
        <v>0</v>
      </c>
      <c r="AI159" s="78">
        <f t="shared" si="4"/>
        <v>257</v>
      </c>
      <c r="AJ159" s="82">
        <f t="shared" si="5"/>
        <v>10.04178988</v>
      </c>
    </row>
    <row r="160">
      <c r="A160" s="76" t="s">
        <v>21</v>
      </c>
      <c r="B160" s="77">
        <f t="shared" si="6"/>
        <v>45449</v>
      </c>
      <c r="C160" s="78">
        <v>6.0</v>
      </c>
      <c r="D160" s="78" t="s">
        <v>12</v>
      </c>
      <c r="E160" s="169" t="s">
        <v>130</v>
      </c>
      <c r="F160" s="71"/>
      <c r="H160" s="72"/>
      <c r="J160" s="72"/>
      <c r="L160" s="100">
        <v>0.0</v>
      </c>
      <c r="N160" s="101">
        <v>80.0</v>
      </c>
      <c r="P160" s="101">
        <v>70.0</v>
      </c>
      <c r="R160" s="101">
        <v>50.0</v>
      </c>
      <c r="T160" s="101">
        <v>0.0</v>
      </c>
      <c r="V160" s="101">
        <v>0.0</v>
      </c>
      <c r="X160" s="101">
        <v>35.0</v>
      </c>
      <c r="Y160" s="73"/>
      <c r="Z160" s="100">
        <v>0.0</v>
      </c>
      <c r="AB160" s="101">
        <v>22.0</v>
      </c>
      <c r="AD160" s="101">
        <v>0.0</v>
      </c>
      <c r="AF160" s="81">
        <f t="shared" si="1"/>
        <v>2580.74</v>
      </c>
      <c r="AG160" s="78">
        <f t="shared" si="2"/>
        <v>257</v>
      </c>
      <c r="AH160" s="78">
        <f t="shared" si="3"/>
        <v>0</v>
      </c>
      <c r="AI160" s="78">
        <f t="shared" si="4"/>
        <v>257</v>
      </c>
      <c r="AJ160" s="82">
        <f t="shared" si="5"/>
        <v>10.04178988</v>
      </c>
    </row>
    <row r="161">
      <c r="A161" s="76" t="s">
        <v>24</v>
      </c>
      <c r="B161" s="77">
        <f t="shared" si="6"/>
        <v>45450</v>
      </c>
      <c r="C161" s="78">
        <v>6.0</v>
      </c>
      <c r="D161" s="78" t="s">
        <v>12</v>
      </c>
      <c r="E161" s="169" t="s">
        <v>130</v>
      </c>
      <c r="F161" s="71"/>
      <c r="H161" s="72"/>
      <c r="J161" s="72"/>
      <c r="L161" s="100">
        <v>0.0</v>
      </c>
      <c r="N161" s="101">
        <v>80.0</v>
      </c>
      <c r="P161" s="101">
        <v>70.0</v>
      </c>
      <c r="R161" s="101">
        <v>50.0</v>
      </c>
      <c r="T161" s="101">
        <v>0.0</v>
      </c>
      <c r="V161" s="101">
        <v>0.0</v>
      </c>
      <c r="X161" s="101">
        <v>35.0</v>
      </c>
      <c r="Y161" s="73"/>
      <c r="Z161" s="100">
        <v>0.0</v>
      </c>
      <c r="AB161" s="101">
        <v>22.0</v>
      </c>
      <c r="AD161" s="101">
        <v>0.0</v>
      </c>
      <c r="AF161" s="81">
        <f t="shared" si="1"/>
        <v>2580.74</v>
      </c>
      <c r="AG161" s="78">
        <f t="shared" si="2"/>
        <v>257</v>
      </c>
      <c r="AH161" s="78">
        <f t="shared" si="3"/>
        <v>0</v>
      </c>
      <c r="AI161" s="78">
        <f t="shared" si="4"/>
        <v>257</v>
      </c>
      <c r="AJ161" s="82">
        <f t="shared" si="5"/>
        <v>10.04178988</v>
      </c>
    </row>
    <row r="162">
      <c r="A162" s="76" t="s">
        <v>27</v>
      </c>
      <c r="B162" s="77">
        <f t="shared" si="6"/>
        <v>45451</v>
      </c>
      <c r="C162" s="78">
        <v>6.0</v>
      </c>
      <c r="D162" s="78" t="s">
        <v>12</v>
      </c>
      <c r="E162" s="169" t="s">
        <v>130</v>
      </c>
      <c r="F162" s="71"/>
      <c r="H162" s="72"/>
      <c r="J162" s="72"/>
      <c r="L162" s="100">
        <v>80.0</v>
      </c>
      <c r="N162" s="101">
        <v>80.0</v>
      </c>
      <c r="P162" s="101">
        <v>0.0</v>
      </c>
      <c r="R162" s="101">
        <v>0.0</v>
      </c>
      <c r="T162" s="101">
        <v>0.0</v>
      </c>
      <c r="V162" s="101">
        <v>0.0</v>
      </c>
      <c r="X162" s="101">
        <v>35.0</v>
      </c>
      <c r="Y162" s="73"/>
      <c r="Z162" s="100">
        <v>10.0</v>
      </c>
      <c r="AB162" s="101">
        <v>10.0</v>
      </c>
      <c r="AD162" s="101">
        <v>0.0</v>
      </c>
      <c r="AF162" s="81">
        <f t="shared" si="1"/>
        <v>2439.6</v>
      </c>
      <c r="AG162" s="78">
        <f t="shared" si="2"/>
        <v>215</v>
      </c>
      <c r="AH162" s="78">
        <f t="shared" si="3"/>
        <v>0</v>
      </c>
      <c r="AI162" s="78">
        <f t="shared" si="4"/>
        <v>215</v>
      </c>
      <c r="AJ162" s="82">
        <f t="shared" si="5"/>
        <v>11.34697674</v>
      </c>
    </row>
    <row r="163">
      <c r="A163" s="83" t="s">
        <v>30</v>
      </c>
      <c r="B163" s="84">
        <f t="shared" si="6"/>
        <v>45452</v>
      </c>
      <c r="C163" s="85">
        <v>6.0</v>
      </c>
      <c r="D163" s="85" t="s">
        <v>12</v>
      </c>
      <c r="E163" s="170" t="s">
        <v>130</v>
      </c>
      <c r="F163" s="88"/>
      <c r="G163" s="89"/>
      <c r="H163" s="90"/>
      <c r="I163" s="89"/>
      <c r="J163" s="90"/>
      <c r="K163" s="89"/>
      <c r="L163" s="114">
        <v>0.0</v>
      </c>
      <c r="M163" s="89"/>
      <c r="N163" s="115">
        <v>0.0</v>
      </c>
      <c r="O163" s="89"/>
      <c r="P163" s="115">
        <v>0.0</v>
      </c>
      <c r="Q163" s="89"/>
      <c r="R163" s="115">
        <v>0.0</v>
      </c>
      <c r="S163" s="89"/>
      <c r="T163" s="115">
        <v>0.0</v>
      </c>
      <c r="U163" s="89"/>
      <c r="V163" s="115">
        <v>0.0</v>
      </c>
      <c r="W163" s="89"/>
      <c r="X163" s="115">
        <v>0.0</v>
      </c>
      <c r="Y163" s="91"/>
      <c r="Z163" s="114">
        <v>0.0</v>
      </c>
      <c r="AA163" s="89"/>
      <c r="AB163" s="115">
        <v>0.0</v>
      </c>
      <c r="AC163" s="89"/>
      <c r="AD163" s="115">
        <v>0.0</v>
      </c>
      <c r="AE163" s="89"/>
      <c r="AF163" s="92">
        <f t="shared" si="1"/>
        <v>0</v>
      </c>
      <c r="AG163" s="85">
        <f t="shared" si="2"/>
        <v>0</v>
      </c>
      <c r="AH163" s="85">
        <f t="shared" si="3"/>
        <v>0</v>
      </c>
      <c r="AI163" s="85">
        <f t="shared" si="4"/>
        <v>0</v>
      </c>
      <c r="AJ163" s="93" t="str">
        <f t="shared" si="5"/>
        <v/>
      </c>
    </row>
    <row r="164">
      <c r="A164" s="66" t="s">
        <v>11</v>
      </c>
      <c r="B164" s="94">
        <f t="shared" si="6"/>
        <v>45453</v>
      </c>
      <c r="C164" s="68">
        <v>6.0</v>
      </c>
      <c r="D164" s="68" t="s">
        <v>33</v>
      </c>
      <c r="E164" s="171" t="s">
        <v>130</v>
      </c>
      <c r="F164" s="71"/>
      <c r="H164" s="72"/>
      <c r="J164" s="72"/>
      <c r="L164" s="173">
        <v>0.0</v>
      </c>
      <c r="N164" s="174">
        <v>80.0</v>
      </c>
      <c r="P164" s="174">
        <v>60.0</v>
      </c>
      <c r="R164" s="174">
        <v>50.0</v>
      </c>
      <c r="T164" s="174">
        <v>1.0</v>
      </c>
      <c r="V164" s="174">
        <v>1.0</v>
      </c>
      <c r="X164" s="174">
        <v>40.0</v>
      </c>
      <c r="Y164" s="73"/>
      <c r="Z164" s="173">
        <v>0.0</v>
      </c>
      <c r="AB164" s="174">
        <v>26.0</v>
      </c>
      <c r="AD164" s="174">
        <v>0.0</v>
      </c>
      <c r="AF164" s="175">
        <f t="shared" si="1"/>
        <v>3286.22</v>
      </c>
      <c r="AG164" s="176">
        <f t="shared" si="2"/>
        <v>256</v>
      </c>
      <c r="AH164" s="68">
        <f t="shared" si="3"/>
        <v>2</v>
      </c>
      <c r="AI164" s="68">
        <f t="shared" si="4"/>
        <v>258</v>
      </c>
      <c r="AJ164" s="75">
        <f t="shared" si="5"/>
        <v>12.73728682</v>
      </c>
    </row>
    <row r="165">
      <c r="A165" s="76" t="s">
        <v>16</v>
      </c>
      <c r="B165" s="77">
        <f t="shared" si="6"/>
        <v>45454</v>
      </c>
      <c r="C165" s="78">
        <v>6.0</v>
      </c>
      <c r="D165" s="78" t="s">
        <v>33</v>
      </c>
      <c r="E165" s="169" t="s">
        <v>130</v>
      </c>
      <c r="F165" s="71"/>
      <c r="H165" s="72"/>
      <c r="J165" s="72"/>
      <c r="L165" s="173">
        <v>0.0</v>
      </c>
      <c r="N165" s="174">
        <v>80.0</v>
      </c>
      <c r="P165" s="174">
        <v>60.0</v>
      </c>
      <c r="R165" s="174">
        <v>50.0</v>
      </c>
      <c r="T165" s="174">
        <v>1.0</v>
      </c>
      <c r="V165" s="174">
        <v>1.0</v>
      </c>
      <c r="X165" s="174">
        <v>40.0</v>
      </c>
      <c r="Y165" s="73"/>
      <c r="Z165" s="173">
        <v>0.0</v>
      </c>
      <c r="AB165" s="174">
        <v>26.0</v>
      </c>
      <c r="AD165" s="174">
        <v>0.0</v>
      </c>
      <c r="AF165" s="177">
        <f t="shared" si="1"/>
        <v>3286.22</v>
      </c>
      <c r="AG165" s="178">
        <f t="shared" si="2"/>
        <v>256</v>
      </c>
      <c r="AH165" s="78">
        <f t="shared" si="3"/>
        <v>2</v>
      </c>
      <c r="AI165" s="78">
        <f t="shared" si="4"/>
        <v>258</v>
      </c>
      <c r="AJ165" s="82">
        <f t="shared" si="5"/>
        <v>12.73728682</v>
      </c>
    </row>
    <row r="166">
      <c r="A166" s="76" t="s">
        <v>17</v>
      </c>
      <c r="B166" s="77">
        <f t="shared" si="6"/>
        <v>45455</v>
      </c>
      <c r="C166" s="78">
        <v>6.0</v>
      </c>
      <c r="D166" s="78" t="s">
        <v>33</v>
      </c>
      <c r="E166" s="169" t="s">
        <v>130</v>
      </c>
      <c r="F166" s="71"/>
      <c r="H166" s="72"/>
      <c r="J166" s="72"/>
      <c r="L166" s="173">
        <v>80.0</v>
      </c>
      <c r="N166" s="174">
        <v>80.0</v>
      </c>
      <c r="P166" s="174">
        <v>0.0</v>
      </c>
      <c r="R166" s="174">
        <v>0.0</v>
      </c>
      <c r="T166" s="174">
        <v>0.0</v>
      </c>
      <c r="V166" s="174">
        <v>0.0</v>
      </c>
      <c r="X166" s="174">
        <v>0.0</v>
      </c>
      <c r="Y166" s="73"/>
      <c r="Z166" s="173">
        <v>26.0</v>
      </c>
      <c r="AB166" s="174">
        <v>26.0</v>
      </c>
      <c r="AD166" s="174">
        <v>0.0</v>
      </c>
      <c r="AF166" s="177">
        <f t="shared" si="1"/>
        <v>2527.04</v>
      </c>
      <c r="AG166" s="178">
        <f t="shared" si="2"/>
        <v>212</v>
      </c>
      <c r="AH166" s="78">
        <f t="shared" si="3"/>
        <v>0</v>
      </c>
      <c r="AI166" s="78">
        <f t="shared" si="4"/>
        <v>212</v>
      </c>
      <c r="AJ166" s="82">
        <f t="shared" si="5"/>
        <v>11.92</v>
      </c>
    </row>
    <row r="167">
      <c r="A167" s="76" t="s">
        <v>21</v>
      </c>
      <c r="B167" s="77">
        <f t="shared" si="6"/>
        <v>45456</v>
      </c>
      <c r="C167" s="78">
        <v>6.0</v>
      </c>
      <c r="D167" s="78" t="s">
        <v>33</v>
      </c>
      <c r="E167" s="169" t="s">
        <v>130</v>
      </c>
      <c r="F167" s="71"/>
      <c r="H167" s="72"/>
      <c r="J167" s="72"/>
      <c r="L167" s="173">
        <v>0.0</v>
      </c>
      <c r="N167" s="174">
        <v>80.0</v>
      </c>
      <c r="P167" s="174">
        <v>60.0</v>
      </c>
      <c r="R167" s="174">
        <v>50.0</v>
      </c>
      <c r="T167" s="174">
        <v>0.0</v>
      </c>
      <c r="V167" s="174">
        <v>0.0</v>
      </c>
      <c r="X167" s="174">
        <v>40.0</v>
      </c>
      <c r="Y167" s="73"/>
      <c r="Z167" s="173">
        <v>0.0</v>
      </c>
      <c r="AB167" s="174">
        <v>26.0</v>
      </c>
      <c r="AD167" s="174">
        <v>0.0</v>
      </c>
      <c r="AF167" s="177">
        <f t="shared" si="1"/>
        <v>2551.22</v>
      </c>
      <c r="AG167" s="178">
        <f t="shared" si="2"/>
        <v>256</v>
      </c>
      <c r="AH167" s="78">
        <f t="shared" si="3"/>
        <v>0</v>
      </c>
      <c r="AI167" s="78">
        <f t="shared" si="4"/>
        <v>256</v>
      </c>
      <c r="AJ167" s="82">
        <f t="shared" si="5"/>
        <v>9.965703125</v>
      </c>
    </row>
    <row r="168">
      <c r="A168" s="76" t="s">
        <v>24</v>
      </c>
      <c r="B168" s="77">
        <f t="shared" si="6"/>
        <v>45457</v>
      </c>
      <c r="C168" s="78">
        <v>6.0</v>
      </c>
      <c r="D168" s="78" t="s">
        <v>33</v>
      </c>
      <c r="E168" s="169" t="s">
        <v>130</v>
      </c>
      <c r="F168" s="71"/>
      <c r="H168" s="72"/>
      <c r="J168" s="72"/>
      <c r="L168" s="173">
        <v>0.0</v>
      </c>
      <c r="N168" s="174">
        <v>80.0</v>
      </c>
      <c r="P168" s="174">
        <v>60.0</v>
      </c>
      <c r="R168" s="174">
        <v>50.0</v>
      </c>
      <c r="T168" s="174">
        <v>0.0</v>
      </c>
      <c r="V168" s="174">
        <v>0.0</v>
      </c>
      <c r="X168" s="174">
        <v>40.0</v>
      </c>
      <c r="Y168" s="73"/>
      <c r="Z168" s="173">
        <v>0.0</v>
      </c>
      <c r="AB168" s="174">
        <v>26.0</v>
      </c>
      <c r="AD168" s="174">
        <v>0.0</v>
      </c>
      <c r="AF168" s="177">
        <f t="shared" si="1"/>
        <v>2551.22</v>
      </c>
      <c r="AG168" s="178">
        <f t="shared" si="2"/>
        <v>256</v>
      </c>
      <c r="AH168" s="78">
        <f t="shared" si="3"/>
        <v>0</v>
      </c>
      <c r="AI168" s="78">
        <f t="shared" si="4"/>
        <v>256</v>
      </c>
      <c r="AJ168" s="82">
        <f t="shared" si="5"/>
        <v>9.965703125</v>
      </c>
    </row>
    <row r="169">
      <c r="A169" s="76" t="s">
        <v>27</v>
      </c>
      <c r="B169" s="77">
        <f t="shared" si="6"/>
        <v>45458</v>
      </c>
      <c r="C169" s="78">
        <v>6.0</v>
      </c>
      <c r="D169" s="78" t="s">
        <v>33</v>
      </c>
      <c r="E169" s="169" t="s">
        <v>130</v>
      </c>
      <c r="F169" s="71"/>
      <c r="H169" s="72"/>
      <c r="J169" s="72"/>
      <c r="L169" s="173">
        <v>80.0</v>
      </c>
      <c r="N169" s="174">
        <v>80.0</v>
      </c>
      <c r="P169" s="174">
        <v>0.0</v>
      </c>
      <c r="R169" s="174">
        <v>0.0</v>
      </c>
      <c r="T169" s="174">
        <v>0.0</v>
      </c>
      <c r="V169" s="174">
        <v>0.0</v>
      </c>
      <c r="X169" s="174">
        <v>0.0</v>
      </c>
      <c r="Y169" s="73"/>
      <c r="Z169" s="173">
        <v>15.0</v>
      </c>
      <c r="AB169" s="174">
        <v>15.0</v>
      </c>
      <c r="AD169" s="174">
        <v>0.0</v>
      </c>
      <c r="AF169" s="177">
        <f t="shared" si="1"/>
        <v>2264.8</v>
      </c>
      <c r="AG169" s="178">
        <f t="shared" si="2"/>
        <v>190</v>
      </c>
      <c r="AH169" s="78">
        <f t="shared" si="3"/>
        <v>0</v>
      </c>
      <c r="AI169" s="78">
        <f t="shared" si="4"/>
        <v>190</v>
      </c>
      <c r="AJ169" s="82">
        <f t="shared" si="5"/>
        <v>11.92</v>
      </c>
    </row>
    <row r="170">
      <c r="A170" s="83" t="s">
        <v>30</v>
      </c>
      <c r="B170" s="84">
        <f t="shared" si="6"/>
        <v>45459</v>
      </c>
      <c r="C170" s="85">
        <v>6.0</v>
      </c>
      <c r="D170" s="85" t="s">
        <v>33</v>
      </c>
      <c r="E170" s="170" t="s">
        <v>130</v>
      </c>
      <c r="F170" s="88"/>
      <c r="G170" s="89"/>
      <c r="H170" s="90"/>
      <c r="I170" s="89"/>
      <c r="J170" s="90"/>
      <c r="K170" s="89"/>
      <c r="L170" s="179">
        <v>0.0</v>
      </c>
      <c r="M170" s="89"/>
      <c r="N170" s="180">
        <v>0.0</v>
      </c>
      <c r="O170" s="89"/>
      <c r="P170" s="180">
        <v>0.0</v>
      </c>
      <c r="Q170" s="89"/>
      <c r="R170" s="180">
        <v>0.0</v>
      </c>
      <c r="S170" s="89"/>
      <c r="T170" s="180">
        <v>0.0</v>
      </c>
      <c r="U170" s="89"/>
      <c r="V170" s="180">
        <v>0.0</v>
      </c>
      <c r="W170" s="89"/>
      <c r="X170" s="180">
        <v>0.0</v>
      </c>
      <c r="Y170" s="91"/>
      <c r="Z170" s="179">
        <v>0.0</v>
      </c>
      <c r="AA170" s="89"/>
      <c r="AB170" s="180">
        <v>0.0</v>
      </c>
      <c r="AC170" s="89"/>
      <c r="AD170" s="180">
        <v>0.0</v>
      </c>
      <c r="AE170" s="89"/>
      <c r="AF170" s="181">
        <f t="shared" si="1"/>
        <v>0</v>
      </c>
      <c r="AG170" s="182">
        <f t="shared" si="2"/>
        <v>0</v>
      </c>
      <c r="AH170" s="85">
        <f t="shared" si="3"/>
        <v>0</v>
      </c>
      <c r="AI170" s="85">
        <f t="shared" si="4"/>
        <v>0</v>
      </c>
      <c r="AJ170" s="93" t="str">
        <f t="shared" si="5"/>
        <v/>
      </c>
    </row>
    <row r="171">
      <c r="A171" s="66" t="s">
        <v>11</v>
      </c>
      <c r="B171" s="94">
        <f t="shared" si="6"/>
        <v>45460</v>
      </c>
      <c r="C171" s="68">
        <v>7.0</v>
      </c>
      <c r="D171" s="68" t="s">
        <v>48</v>
      </c>
      <c r="E171" s="171" t="s">
        <v>130</v>
      </c>
      <c r="F171" s="71"/>
      <c r="H171" s="72"/>
      <c r="J171" s="72"/>
      <c r="L171" s="159">
        <v>0.0</v>
      </c>
      <c r="N171" s="160">
        <v>80.0</v>
      </c>
      <c r="P171" s="160">
        <v>60.0</v>
      </c>
      <c r="R171" s="160">
        <v>50.0</v>
      </c>
      <c r="T171" s="160">
        <v>1.0</v>
      </c>
      <c r="V171" s="160">
        <v>1.0</v>
      </c>
      <c r="X171" s="160">
        <v>40.0</v>
      </c>
      <c r="Y171" s="73"/>
      <c r="Z171" s="159">
        <v>0.0</v>
      </c>
      <c r="AB171" s="160">
        <v>25.0</v>
      </c>
      <c r="AD171" s="160">
        <v>0.0</v>
      </c>
      <c r="AF171" s="74">
        <f t="shared" si="1"/>
        <v>3274.3</v>
      </c>
      <c r="AG171" s="68">
        <f t="shared" si="2"/>
        <v>255</v>
      </c>
      <c r="AH171" s="68">
        <f t="shared" si="3"/>
        <v>2</v>
      </c>
      <c r="AI171" s="68">
        <f t="shared" si="4"/>
        <v>257</v>
      </c>
      <c r="AJ171" s="75">
        <f t="shared" si="5"/>
        <v>12.74046693</v>
      </c>
    </row>
    <row r="172">
      <c r="A172" s="76" t="s">
        <v>16</v>
      </c>
      <c r="B172" s="77">
        <f t="shared" si="6"/>
        <v>45461</v>
      </c>
      <c r="C172" s="78">
        <v>7.0</v>
      </c>
      <c r="D172" s="78" t="s">
        <v>48</v>
      </c>
      <c r="E172" s="169" t="s">
        <v>130</v>
      </c>
      <c r="F172" s="71"/>
      <c r="H172" s="72"/>
      <c r="J172" s="72"/>
      <c r="L172" s="159">
        <v>0.0</v>
      </c>
      <c r="N172" s="160">
        <v>80.0</v>
      </c>
      <c r="P172" s="160">
        <v>60.0</v>
      </c>
      <c r="R172" s="160">
        <v>50.0</v>
      </c>
      <c r="T172" s="160">
        <v>0.0</v>
      </c>
      <c r="V172" s="160">
        <v>0.0</v>
      </c>
      <c r="X172" s="160">
        <v>40.0</v>
      </c>
      <c r="Y172" s="73"/>
      <c r="Z172" s="159">
        <v>0.0</v>
      </c>
      <c r="AB172" s="160">
        <v>25.0</v>
      </c>
      <c r="AD172" s="160">
        <v>0.0</v>
      </c>
      <c r="AF172" s="81">
        <f t="shared" si="1"/>
        <v>2539.3</v>
      </c>
      <c r="AG172" s="78">
        <f t="shared" si="2"/>
        <v>255</v>
      </c>
      <c r="AH172" s="78">
        <f t="shared" si="3"/>
        <v>0</v>
      </c>
      <c r="AI172" s="78">
        <f t="shared" si="4"/>
        <v>255</v>
      </c>
      <c r="AJ172" s="82">
        <f t="shared" si="5"/>
        <v>9.958039216</v>
      </c>
    </row>
    <row r="173">
      <c r="A173" s="76" t="s">
        <v>17</v>
      </c>
      <c r="B173" s="77">
        <f t="shared" si="6"/>
        <v>45462</v>
      </c>
      <c r="C173" s="78">
        <v>7.0</v>
      </c>
      <c r="D173" s="78" t="s">
        <v>48</v>
      </c>
      <c r="E173" s="169" t="s">
        <v>130</v>
      </c>
      <c r="F173" s="71"/>
      <c r="H173" s="72"/>
      <c r="J173" s="72"/>
      <c r="L173" s="159">
        <v>0.0</v>
      </c>
      <c r="N173" s="160">
        <v>80.0</v>
      </c>
      <c r="P173" s="160">
        <v>60.0</v>
      </c>
      <c r="R173" s="160">
        <v>50.0</v>
      </c>
      <c r="T173" s="160">
        <v>0.0</v>
      </c>
      <c r="V173" s="160">
        <v>0.0</v>
      </c>
      <c r="X173" s="160">
        <v>40.0</v>
      </c>
      <c r="Y173" s="73"/>
      <c r="Z173" s="159">
        <v>0.0</v>
      </c>
      <c r="AB173" s="160">
        <v>25.0</v>
      </c>
      <c r="AD173" s="160">
        <v>0.0</v>
      </c>
      <c r="AF173" s="81">
        <f t="shared" si="1"/>
        <v>2539.3</v>
      </c>
      <c r="AG173" s="78">
        <f t="shared" si="2"/>
        <v>255</v>
      </c>
      <c r="AH173" s="78">
        <f t="shared" si="3"/>
        <v>0</v>
      </c>
      <c r="AI173" s="78">
        <f t="shared" si="4"/>
        <v>255</v>
      </c>
      <c r="AJ173" s="82">
        <f t="shared" si="5"/>
        <v>9.958039216</v>
      </c>
    </row>
    <row r="174">
      <c r="A174" s="76" t="s">
        <v>21</v>
      </c>
      <c r="B174" s="77">
        <f t="shared" si="6"/>
        <v>45463</v>
      </c>
      <c r="C174" s="78">
        <v>7.0</v>
      </c>
      <c r="D174" s="78" t="s">
        <v>48</v>
      </c>
      <c r="E174" s="169" t="s">
        <v>130</v>
      </c>
      <c r="F174" s="71"/>
      <c r="H174" s="72"/>
      <c r="J174" s="72"/>
      <c r="L174" s="159">
        <v>0.0</v>
      </c>
      <c r="N174" s="160">
        <v>80.0</v>
      </c>
      <c r="P174" s="160">
        <v>60.0</v>
      </c>
      <c r="R174" s="160">
        <v>50.0</v>
      </c>
      <c r="T174" s="160">
        <v>0.0</v>
      </c>
      <c r="V174" s="160">
        <v>0.0</v>
      </c>
      <c r="X174" s="160">
        <v>40.0</v>
      </c>
      <c r="Y174" s="73"/>
      <c r="Z174" s="159">
        <v>0.0</v>
      </c>
      <c r="AB174" s="160">
        <v>25.0</v>
      </c>
      <c r="AD174" s="160">
        <v>0.0</v>
      </c>
      <c r="AF174" s="81">
        <f t="shared" si="1"/>
        <v>2539.3</v>
      </c>
      <c r="AG174" s="78">
        <f t="shared" si="2"/>
        <v>255</v>
      </c>
      <c r="AH174" s="78">
        <f t="shared" si="3"/>
        <v>0</v>
      </c>
      <c r="AI174" s="78">
        <f t="shared" si="4"/>
        <v>255</v>
      </c>
      <c r="AJ174" s="82">
        <f t="shared" si="5"/>
        <v>9.958039216</v>
      </c>
    </row>
    <row r="175">
      <c r="A175" s="76" t="s">
        <v>24</v>
      </c>
      <c r="B175" s="77">
        <f t="shared" si="6"/>
        <v>45464</v>
      </c>
      <c r="C175" s="78">
        <v>7.0</v>
      </c>
      <c r="D175" s="78" t="s">
        <v>48</v>
      </c>
      <c r="E175" s="169" t="s">
        <v>130</v>
      </c>
      <c r="F175" s="71"/>
      <c r="H175" s="72"/>
      <c r="J175" s="72"/>
      <c r="L175" s="159">
        <v>0.0</v>
      </c>
      <c r="N175" s="160">
        <v>80.0</v>
      </c>
      <c r="P175" s="160">
        <v>60.0</v>
      </c>
      <c r="R175" s="160">
        <v>50.0</v>
      </c>
      <c r="T175" s="160">
        <v>0.0</v>
      </c>
      <c r="V175" s="160">
        <v>0.0</v>
      </c>
      <c r="X175" s="160">
        <v>40.0</v>
      </c>
      <c r="Y175" s="73"/>
      <c r="Z175" s="159">
        <v>0.0</v>
      </c>
      <c r="AB175" s="160">
        <v>25.0</v>
      </c>
      <c r="AD175" s="160">
        <v>0.0</v>
      </c>
      <c r="AF175" s="81">
        <f t="shared" si="1"/>
        <v>2539.3</v>
      </c>
      <c r="AG175" s="78">
        <f t="shared" si="2"/>
        <v>255</v>
      </c>
      <c r="AH175" s="78">
        <f t="shared" si="3"/>
        <v>0</v>
      </c>
      <c r="AI175" s="78">
        <f t="shared" si="4"/>
        <v>255</v>
      </c>
      <c r="AJ175" s="82">
        <f t="shared" si="5"/>
        <v>9.958039216</v>
      </c>
    </row>
    <row r="176">
      <c r="A176" s="76" t="s">
        <v>27</v>
      </c>
      <c r="B176" s="77">
        <f t="shared" si="6"/>
        <v>45465</v>
      </c>
      <c r="C176" s="78">
        <v>7.0</v>
      </c>
      <c r="D176" s="78" t="s">
        <v>48</v>
      </c>
      <c r="E176" s="169" t="s">
        <v>130</v>
      </c>
      <c r="F176" s="71"/>
      <c r="H176" s="72"/>
      <c r="J176" s="72"/>
      <c r="L176" s="159">
        <v>80.0</v>
      </c>
      <c r="N176" s="160">
        <v>80.0</v>
      </c>
      <c r="P176" s="160">
        <v>0.0</v>
      </c>
      <c r="R176" s="160">
        <v>0.0</v>
      </c>
      <c r="T176" s="160">
        <v>0.0</v>
      </c>
      <c r="V176" s="160">
        <v>0.0</v>
      </c>
      <c r="X176" s="160">
        <v>0.0</v>
      </c>
      <c r="Y176" s="73"/>
      <c r="Z176" s="159">
        <v>15.0</v>
      </c>
      <c r="AB176" s="160">
        <v>15.0</v>
      </c>
      <c r="AD176" s="160">
        <v>0.0</v>
      </c>
      <c r="AF176" s="81">
        <f t="shared" si="1"/>
        <v>2264.8</v>
      </c>
      <c r="AG176" s="78">
        <f t="shared" si="2"/>
        <v>190</v>
      </c>
      <c r="AH176" s="78">
        <f t="shared" si="3"/>
        <v>0</v>
      </c>
      <c r="AI176" s="78">
        <f t="shared" si="4"/>
        <v>190</v>
      </c>
      <c r="AJ176" s="82">
        <f t="shared" si="5"/>
        <v>11.92</v>
      </c>
    </row>
    <row r="177">
      <c r="A177" s="83" t="s">
        <v>30</v>
      </c>
      <c r="B177" s="84">
        <f t="shared" si="6"/>
        <v>45466</v>
      </c>
      <c r="C177" s="85">
        <v>7.0</v>
      </c>
      <c r="D177" s="85" t="s">
        <v>48</v>
      </c>
      <c r="E177" s="170" t="s">
        <v>130</v>
      </c>
      <c r="F177" s="88"/>
      <c r="G177" s="89"/>
      <c r="H177" s="90"/>
      <c r="I177" s="89"/>
      <c r="J177" s="90"/>
      <c r="K177" s="89"/>
      <c r="L177" s="165">
        <v>0.0</v>
      </c>
      <c r="M177" s="89"/>
      <c r="N177" s="166">
        <v>0.0</v>
      </c>
      <c r="O177" s="89"/>
      <c r="P177" s="166">
        <v>0.0</v>
      </c>
      <c r="Q177" s="89"/>
      <c r="R177" s="166">
        <v>0.0</v>
      </c>
      <c r="S177" s="89"/>
      <c r="T177" s="166">
        <v>0.0</v>
      </c>
      <c r="U177" s="89"/>
      <c r="V177" s="166">
        <v>0.0</v>
      </c>
      <c r="W177" s="89"/>
      <c r="X177" s="166">
        <v>0.0</v>
      </c>
      <c r="Y177" s="91"/>
      <c r="Z177" s="165">
        <v>0.0</v>
      </c>
      <c r="AA177" s="89"/>
      <c r="AB177" s="166">
        <v>0.0</v>
      </c>
      <c r="AC177" s="89"/>
      <c r="AD177" s="166">
        <v>0.0</v>
      </c>
      <c r="AE177" s="89"/>
      <c r="AF177" s="92">
        <f t="shared" si="1"/>
        <v>0</v>
      </c>
      <c r="AG177" s="85">
        <f t="shared" si="2"/>
        <v>0</v>
      </c>
      <c r="AH177" s="85">
        <f t="shared" si="3"/>
        <v>0</v>
      </c>
      <c r="AI177" s="85">
        <f t="shared" si="4"/>
        <v>0</v>
      </c>
      <c r="AJ177" s="93" t="str">
        <f t="shared" si="5"/>
        <v/>
      </c>
    </row>
    <row r="178">
      <c r="A178" s="66" t="s">
        <v>11</v>
      </c>
      <c r="B178" s="94">
        <f t="shared" si="6"/>
        <v>45467</v>
      </c>
      <c r="C178" s="68">
        <v>7.0</v>
      </c>
      <c r="D178" s="68" t="s">
        <v>59</v>
      </c>
      <c r="E178" s="171" t="s">
        <v>130</v>
      </c>
      <c r="F178" s="71"/>
      <c r="H178" s="72"/>
      <c r="J178" s="72"/>
      <c r="L178" s="159">
        <v>0.0</v>
      </c>
      <c r="N178" s="160">
        <v>80.0</v>
      </c>
      <c r="P178" s="160">
        <v>60.0</v>
      </c>
      <c r="R178" s="160">
        <v>50.0</v>
      </c>
      <c r="T178" s="160">
        <v>1.0</v>
      </c>
      <c r="V178" s="160">
        <v>1.0</v>
      </c>
      <c r="X178" s="160">
        <v>40.0</v>
      </c>
      <c r="Y178" s="73"/>
      <c r="Z178" s="159">
        <v>0.0</v>
      </c>
      <c r="AB178" s="160">
        <v>25.0</v>
      </c>
      <c r="AD178" s="160">
        <v>0.0</v>
      </c>
      <c r="AF178" s="74">
        <f t="shared" si="1"/>
        <v>3274.3</v>
      </c>
      <c r="AG178" s="68">
        <f t="shared" si="2"/>
        <v>255</v>
      </c>
      <c r="AH178" s="68">
        <f t="shared" si="3"/>
        <v>2</v>
      </c>
      <c r="AI178" s="68">
        <f t="shared" si="4"/>
        <v>257</v>
      </c>
      <c r="AJ178" s="75">
        <f t="shared" si="5"/>
        <v>12.74046693</v>
      </c>
    </row>
    <row r="179">
      <c r="A179" s="76" t="s">
        <v>16</v>
      </c>
      <c r="B179" s="77">
        <f t="shared" si="6"/>
        <v>45468</v>
      </c>
      <c r="C179" s="78">
        <v>7.0</v>
      </c>
      <c r="D179" s="78" t="s">
        <v>59</v>
      </c>
      <c r="E179" s="169" t="s">
        <v>130</v>
      </c>
      <c r="F179" s="71"/>
      <c r="H179" s="72"/>
      <c r="J179" s="72"/>
      <c r="L179" s="159">
        <v>0.0</v>
      </c>
      <c r="N179" s="160">
        <v>80.0</v>
      </c>
      <c r="P179" s="160">
        <v>60.0</v>
      </c>
      <c r="R179" s="160">
        <v>50.0</v>
      </c>
      <c r="T179" s="160">
        <v>0.0</v>
      </c>
      <c r="V179" s="160">
        <v>0.0</v>
      </c>
      <c r="X179" s="160">
        <v>40.0</v>
      </c>
      <c r="Y179" s="73"/>
      <c r="Z179" s="159">
        <v>0.0</v>
      </c>
      <c r="AB179" s="160">
        <v>25.0</v>
      </c>
      <c r="AD179" s="160">
        <v>0.0</v>
      </c>
      <c r="AF179" s="81">
        <f t="shared" si="1"/>
        <v>2539.3</v>
      </c>
      <c r="AG179" s="78">
        <f t="shared" si="2"/>
        <v>255</v>
      </c>
      <c r="AH179" s="78">
        <f t="shared" si="3"/>
        <v>0</v>
      </c>
      <c r="AI179" s="78">
        <f t="shared" si="4"/>
        <v>255</v>
      </c>
      <c r="AJ179" s="82">
        <f t="shared" si="5"/>
        <v>9.958039216</v>
      </c>
    </row>
    <row r="180">
      <c r="A180" s="76" t="s">
        <v>17</v>
      </c>
      <c r="B180" s="77">
        <f t="shared" si="6"/>
        <v>45469</v>
      </c>
      <c r="C180" s="78">
        <v>7.0</v>
      </c>
      <c r="D180" s="78" t="s">
        <v>59</v>
      </c>
      <c r="E180" s="169" t="s">
        <v>130</v>
      </c>
      <c r="F180" s="71"/>
      <c r="H180" s="72"/>
      <c r="J180" s="72"/>
      <c r="L180" s="159">
        <v>0.0</v>
      </c>
      <c r="N180" s="160">
        <v>80.0</v>
      </c>
      <c r="P180" s="160">
        <v>60.0</v>
      </c>
      <c r="R180" s="160">
        <v>50.0</v>
      </c>
      <c r="T180" s="160">
        <v>0.0</v>
      </c>
      <c r="V180" s="160">
        <v>0.0</v>
      </c>
      <c r="X180" s="160">
        <v>40.0</v>
      </c>
      <c r="Y180" s="73"/>
      <c r="Z180" s="159">
        <v>0.0</v>
      </c>
      <c r="AB180" s="160">
        <v>25.0</v>
      </c>
      <c r="AD180" s="160">
        <v>0.0</v>
      </c>
      <c r="AF180" s="81">
        <f t="shared" si="1"/>
        <v>2539.3</v>
      </c>
      <c r="AG180" s="78">
        <f t="shared" si="2"/>
        <v>255</v>
      </c>
      <c r="AH180" s="78">
        <f t="shared" si="3"/>
        <v>0</v>
      </c>
      <c r="AI180" s="78">
        <f t="shared" si="4"/>
        <v>255</v>
      </c>
      <c r="AJ180" s="82">
        <f t="shared" si="5"/>
        <v>9.958039216</v>
      </c>
    </row>
    <row r="181">
      <c r="A181" s="76" t="s">
        <v>21</v>
      </c>
      <c r="B181" s="77">
        <f t="shared" si="6"/>
        <v>45470</v>
      </c>
      <c r="C181" s="78">
        <v>7.0</v>
      </c>
      <c r="D181" s="78" t="s">
        <v>59</v>
      </c>
      <c r="E181" s="169" t="s">
        <v>130</v>
      </c>
      <c r="F181" s="71"/>
      <c r="H181" s="72"/>
      <c r="J181" s="72"/>
      <c r="L181" s="159">
        <v>0.0</v>
      </c>
      <c r="N181" s="160">
        <v>80.0</v>
      </c>
      <c r="P181" s="160">
        <v>60.0</v>
      </c>
      <c r="R181" s="160">
        <v>50.0</v>
      </c>
      <c r="T181" s="160">
        <v>0.0</v>
      </c>
      <c r="V181" s="160">
        <v>0.0</v>
      </c>
      <c r="X181" s="160">
        <v>40.0</v>
      </c>
      <c r="Y181" s="73"/>
      <c r="Z181" s="159">
        <v>0.0</v>
      </c>
      <c r="AB181" s="160">
        <v>25.0</v>
      </c>
      <c r="AD181" s="160">
        <v>0.0</v>
      </c>
      <c r="AF181" s="81">
        <f t="shared" si="1"/>
        <v>2539.3</v>
      </c>
      <c r="AG181" s="78">
        <f t="shared" si="2"/>
        <v>255</v>
      </c>
      <c r="AH181" s="78">
        <f t="shared" si="3"/>
        <v>0</v>
      </c>
      <c r="AI181" s="78">
        <f t="shared" si="4"/>
        <v>255</v>
      </c>
      <c r="AJ181" s="82">
        <f t="shared" si="5"/>
        <v>9.958039216</v>
      </c>
    </row>
    <row r="182">
      <c r="A182" s="76" t="s">
        <v>24</v>
      </c>
      <c r="B182" s="77">
        <f t="shared" si="6"/>
        <v>45471</v>
      </c>
      <c r="C182" s="78">
        <v>7.0</v>
      </c>
      <c r="D182" s="78" t="s">
        <v>59</v>
      </c>
      <c r="E182" s="169" t="s">
        <v>130</v>
      </c>
      <c r="F182" s="71"/>
      <c r="H182" s="72"/>
      <c r="J182" s="72"/>
      <c r="L182" s="159">
        <v>80.0</v>
      </c>
      <c r="N182" s="160">
        <v>80.0</v>
      </c>
      <c r="P182" s="160">
        <v>0.0</v>
      </c>
      <c r="R182" s="160">
        <v>0.0</v>
      </c>
      <c r="T182" s="160">
        <v>0.0</v>
      </c>
      <c r="V182" s="160">
        <v>0.0</v>
      </c>
      <c r="X182" s="160">
        <v>0.0</v>
      </c>
      <c r="Y182" s="73"/>
      <c r="Z182" s="159">
        <v>25.0</v>
      </c>
      <c r="AB182" s="160">
        <v>25.0</v>
      </c>
      <c r="AD182" s="160">
        <v>0.0</v>
      </c>
      <c r="AF182" s="81">
        <f t="shared" si="1"/>
        <v>2503.2</v>
      </c>
      <c r="AG182" s="78">
        <f t="shared" si="2"/>
        <v>210</v>
      </c>
      <c r="AH182" s="78">
        <f t="shared" si="3"/>
        <v>0</v>
      </c>
      <c r="AI182" s="78">
        <f t="shared" si="4"/>
        <v>210</v>
      </c>
      <c r="AJ182" s="82">
        <f t="shared" si="5"/>
        <v>11.92</v>
      </c>
    </row>
    <row r="183">
      <c r="A183" s="76" t="s">
        <v>27</v>
      </c>
      <c r="B183" s="77">
        <f t="shared" si="6"/>
        <v>45472</v>
      </c>
      <c r="C183" s="78">
        <v>7.0</v>
      </c>
      <c r="D183" s="78" t="s">
        <v>59</v>
      </c>
      <c r="E183" s="169" t="s">
        <v>130</v>
      </c>
      <c r="F183" s="71"/>
      <c r="H183" s="72"/>
      <c r="J183" s="72"/>
      <c r="L183" s="159">
        <v>80.0</v>
      </c>
      <c r="N183" s="160">
        <v>80.0</v>
      </c>
      <c r="P183" s="160">
        <v>0.0</v>
      </c>
      <c r="R183" s="160">
        <v>0.0</v>
      </c>
      <c r="T183" s="160">
        <v>0.0</v>
      </c>
      <c r="V183" s="160">
        <v>0.0</v>
      </c>
      <c r="X183" s="160">
        <v>0.0</v>
      </c>
      <c r="Y183" s="73"/>
      <c r="Z183" s="159">
        <v>15.0</v>
      </c>
      <c r="AB183" s="160">
        <v>15.0</v>
      </c>
      <c r="AD183" s="160">
        <v>0.0</v>
      </c>
      <c r="AF183" s="81">
        <f t="shared" si="1"/>
        <v>2264.8</v>
      </c>
      <c r="AG183" s="78">
        <f t="shared" si="2"/>
        <v>190</v>
      </c>
      <c r="AH183" s="78">
        <f t="shared" si="3"/>
        <v>0</v>
      </c>
      <c r="AI183" s="78">
        <f t="shared" si="4"/>
        <v>190</v>
      </c>
      <c r="AJ183" s="82">
        <f t="shared" si="5"/>
        <v>11.92</v>
      </c>
    </row>
    <row r="184">
      <c r="A184" s="83" t="s">
        <v>30</v>
      </c>
      <c r="B184" s="84">
        <f t="shared" si="6"/>
        <v>45473</v>
      </c>
      <c r="C184" s="85">
        <v>7.0</v>
      </c>
      <c r="D184" s="85" t="s">
        <v>59</v>
      </c>
      <c r="E184" s="170" t="s">
        <v>130</v>
      </c>
      <c r="F184" s="88"/>
      <c r="G184" s="89"/>
      <c r="H184" s="90"/>
      <c r="I184" s="89"/>
      <c r="J184" s="90"/>
      <c r="K184" s="89"/>
      <c r="L184" s="165">
        <v>0.0</v>
      </c>
      <c r="M184" s="89"/>
      <c r="N184" s="166">
        <v>0.0</v>
      </c>
      <c r="O184" s="89"/>
      <c r="P184" s="166">
        <v>0.0</v>
      </c>
      <c r="Q184" s="89"/>
      <c r="R184" s="166">
        <v>0.0</v>
      </c>
      <c r="S184" s="89"/>
      <c r="T184" s="166">
        <v>0.0</v>
      </c>
      <c r="U184" s="89"/>
      <c r="V184" s="166">
        <v>0.0</v>
      </c>
      <c r="W184" s="89"/>
      <c r="X184" s="166">
        <v>0.0</v>
      </c>
      <c r="Y184" s="91"/>
      <c r="Z184" s="165">
        <v>0.0</v>
      </c>
      <c r="AA184" s="89"/>
      <c r="AB184" s="166">
        <v>0.0</v>
      </c>
      <c r="AC184" s="89"/>
      <c r="AD184" s="166">
        <v>0.0</v>
      </c>
      <c r="AE184" s="89"/>
      <c r="AF184" s="92">
        <f t="shared" si="1"/>
        <v>0</v>
      </c>
      <c r="AG184" s="85">
        <f t="shared" si="2"/>
        <v>0</v>
      </c>
      <c r="AH184" s="85">
        <f t="shared" si="3"/>
        <v>0</v>
      </c>
      <c r="AI184" s="85">
        <f t="shared" si="4"/>
        <v>0</v>
      </c>
      <c r="AJ184" s="93" t="str">
        <f t="shared" si="5"/>
        <v/>
      </c>
    </row>
    <row r="185">
      <c r="A185" s="66" t="s">
        <v>11</v>
      </c>
      <c r="B185" s="94">
        <f t="shared" si="6"/>
        <v>45474</v>
      </c>
      <c r="C185" s="68">
        <v>7.0</v>
      </c>
      <c r="D185" s="68" t="s">
        <v>12</v>
      </c>
      <c r="E185" s="171" t="s">
        <v>130</v>
      </c>
      <c r="F185" s="71"/>
      <c r="H185" s="72"/>
      <c r="J185" s="72"/>
      <c r="L185" s="159">
        <v>0.0</v>
      </c>
      <c r="N185" s="160">
        <v>80.0</v>
      </c>
      <c r="P185" s="160">
        <v>60.0</v>
      </c>
      <c r="R185" s="160">
        <v>50.0</v>
      </c>
      <c r="T185" s="160">
        <v>1.0</v>
      </c>
      <c r="V185" s="160">
        <v>1.0</v>
      </c>
      <c r="X185" s="160">
        <v>40.0</v>
      </c>
      <c r="Y185" s="73"/>
      <c r="Z185" s="159">
        <v>0.0</v>
      </c>
      <c r="AB185" s="160">
        <v>0.0</v>
      </c>
      <c r="AD185" s="160">
        <v>0.0</v>
      </c>
      <c r="AF185" s="74">
        <f t="shared" si="1"/>
        <v>2976.3</v>
      </c>
      <c r="AG185" s="68">
        <f t="shared" si="2"/>
        <v>230</v>
      </c>
      <c r="AH185" s="68">
        <f t="shared" si="3"/>
        <v>2</v>
      </c>
      <c r="AI185" s="68">
        <f t="shared" si="4"/>
        <v>232</v>
      </c>
      <c r="AJ185" s="75">
        <f t="shared" si="5"/>
        <v>12.82887931</v>
      </c>
    </row>
    <row r="186">
      <c r="A186" s="76" t="s">
        <v>16</v>
      </c>
      <c r="B186" s="77">
        <f t="shared" si="6"/>
        <v>45475</v>
      </c>
      <c r="C186" s="78">
        <v>7.0</v>
      </c>
      <c r="D186" s="78" t="s">
        <v>12</v>
      </c>
      <c r="E186" s="169" t="s">
        <v>130</v>
      </c>
      <c r="F186" s="71"/>
      <c r="H186" s="72"/>
      <c r="J186" s="72"/>
      <c r="L186" s="159">
        <v>0.0</v>
      </c>
      <c r="N186" s="160">
        <v>80.0</v>
      </c>
      <c r="P186" s="160">
        <v>60.0</v>
      </c>
      <c r="R186" s="160">
        <v>50.0</v>
      </c>
      <c r="T186" s="160">
        <v>0.0</v>
      </c>
      <c r="V186" s="160">
        <v>0.0</v>
      </c>
      <c r="X186" s="160">
        <v>40.0</v>
      </c>
      <c r="Y186" s="73"/>
      <c r="Z186" s="159">
        <v>0.0</v>
      </c>
      <c r="AB186" s="160">
        <v>0.0</v>
      </c>
      <c r="AD186" s="160">
        <v>0.0</v>
      </c>
      <c r="AF186" s="81">
        <f t="shared" si="1"/>
        <v>2241.3</v>
      </c>
      <c r="AG186" s="78">
        <f t="shared" si="2"/>
        <v>230</v>
      </c>
      <c r="AH186" s="78">
        <f t="shared" si="3"/>
        <v>0</v>
      </c>
      <c r="AI186" s="78">
        <f t="shared" si="4"/>
        <v>230</v>
      </c>
      <c r="AJ186" s="82">
        <f t="shared" si="5"/>
        <v>9.744782609</v>
      </c>
    </row>
    <row r="187">
      <c r="A187" s="76" t="s">
        <v>17</v>
      </c>
      <c r="B187" s="77">
        <f t="shared" si="6"/>
        <v>45476</v>
      </c>
      <c r="C187" s="78">
        <v>7.0</v>
      </c>
      <c r="D187" s="78" t="s">
        <v>12</v>
      </c>
      <c r="E187" s="169" t="s">
        <v>130</v>
      </c>
      <c r="F187" s="71"/>
      <c r="H187" s="72"/>
      <c r="J187" s="72"/>
      <c r="L187" s="159">
        <v>0.0</v>
      </c>
      <c r="N187" s="160">
        <v>80.0</v>
      </c>
      <c r="P187" s="160">
        <v>0.0</v>
      </c>
      <c r="R187" s="160">
        <v>0.0</v>
      </c>
      <c r="T187" s="160">
        <v>0.0</v>
      </c>
      <c r="V187" s="160">
        <v>0.0</v>
      </c>
      <c r="X187" s="160">
        <v>0.0</v>
      </c>
      <c r="Y187" s="73"/>
      <c r="Z187" s="159">
        <v>29.0</v>
      </c>
      <c r="AB187" s="160">
        <v>29.0</v>
      </c>
      <c r="AD187" s="160">
        <v>0.0</v>
      </c>
      <c r="AF187" s="81">
        <f t="shared" si="1"/>
        <v>1644.96</v>
      </c>
      <c r="AG187" s="78">
        <f t="shared" si="2"/>
        <v>138</v>
      </c>
      <c r="AH187" s="78">
        <f t="shared" si="3"/>
        <v>0</v>
      </c>
      <c r="AI187" s="78">
        <f t="shared" si="4"/>
        <v>138</v>
      </c>
      <c r="AJ187" s="82">
        <f t="shared" si="5"/>
        <v>11.92</v>
      </c>
    </row>
    <row r="188">
      <c r="A188" s="76" t="s">
        <v>21</v>
      </c>
      <c r="B188" s="77">
        <f t="shared" si="6"/>
        <v>45477</v>
      </c>
      <c r="C188" s="78">
        <v>7.0</v>
      </c>
      <c r="D188" s="78" t="s">
        <v>12</v>
      </c>
      <c r="E188" s="169" t="s">
        <v>130</v>
      </c>
      <c r="F188" s="71"/>
      <c r="H188" s="72"/>
      <c r="J188" s="72"/>
      <c r="L188" s="159">
        <v>80.0</v>
      </c>
      <c r="N188" s="160">
        <v>80.0</v>
      </c>
      <c r="P188" s="160">
        <v>0.0</v>
      </c>
      <c r="R188" s="160">
        <v>0.0</v>
      </c>
      <c r="T188" s="160">
        <v>0.0</v>
      </c>
      <c r="V188" s="160">
        <v>0.0</v>
      </c>
      <c r="X188" s="160">
        <v>0.0</v>
      </c>
      <c r="Y188" s="73"/>
      <c r="Z188" s="159">
        <v>29.0</v>
      </c>
      <c r="AB188" s="160">
        <v>29.0</v>
      </c>
      <c r="AD188" s="160">
        <v>0.0</v>
      </c>
      <c r="AF188" s="81">
        <f t="shared" si="1"/>
        <v>2598.56</v>
      </c>
      <c r="AG188" s="78">
        <f t="shared" si="2"/>
        <v>218</v>
      </c>
      <c r="AH188" s="78">
        <f t="shared" si="3"/>
        <v>0</v>
      </c>
      <c r="AI188" s="78">
        <f t="shared" si="4"/>
        <v>218</v>
      </c>
      <c r="AJ188" s="82">
        <f t="shared" si="5"/>
        <v>11.92</v>
      </c>
    </row>
    <row r="189">
      <c r="A189" s="76" t="s">
        <v>24</v>
      </c>
      <c r="B189" s="77">
        <f t="shared" si="6"/>
        <v>45478</v>
      </c>
      <c r="C189" s="78">
        <v>7.0</v>
      </c>
      <c r="D189" s="78" t="s">
        <v>12</v>
      </c>
      <c r="E189" s="169" t="s">
        <v>130</v>
      </c>
      <c r="F189" s="71"/>
      <c r="H189" s="72"/>
      <c r="J189" s="72"/>
      <c r="L189" s="159">
        <v>0.0</v>
      </c>
      <c r="N189" s="160">
        <v>80.0</v>
      </c>
      <c r="P189" s="160">
        <v>60.0</v>
      </c>
      <c r="R189" s="160">
        <v>50.0</v>
      </c>
      <c r="T189" s="160">
        <v>0.0</v>
      </c>
      <c r="V189" s="160">
        <v>0.0</v>
      </c>
      <c r="X189" s="160">
        <v>40.0</v>
      </c>
      <c r="Y189" s="73"/>
      <c r="Z189" s="159">
        <v>0.0</v>
      </c>
      <c r="AB189" s="160">
        <v>0.0</v>
      </c>
      <c r="AD189" s="160">
        <v>0.0</v>
      </c>
      <c r="AF189" s="81">
        <f t="shared" si="1"/>
        <v>2241.3</v>
      </c>
      <c r="AG189" s="78">
        <f t="shared" si="2"/>
        <v>230</v>
      </c>
      <c r="AH189" s="78">
        <f t="shared" si="3"/>
        <v>0</v>
      </c>
      <c r="AI189" s="78">
        <f t="shared" si="4"/>
        <v>230</v>
      </c>
      <c r="AJ189" s="82">
        <f t="shared" si="5"/>
        <v>9.744782609</v>
      </c>
    </row>
    <row r="190">
      <c r="A190" s="76" t="s">
        <v>27</v>
      </c>
      <c r="B190" s="77">
        <f t="shared" si="6"/>
        <v>45479</v>
      </c>
      <c r="C190" s="78">
        <v>7.0</v>
      </c>
      <c r="D190" s="78" t="s">
        <v>12</v>
      </c>
      <c r="E190" s="169" t="s">
        <v>130</v>
      </c>
      <c r="F190" s="71"/>
      <c r="H190" s="72"/>
      <c r="J190" s="72"/>
      <c r="L190" s="159">
        <v>80.0</v>
      </c>
      <c r="N190" s="160">
        <v>80.0</v>
      </c>
      <c r="P190" s="160">
        <v>0.0</v>
      </c>
      <c r="R190" s="160">
        <v>0.0</v>
      </c>
      <c r="T190" s="160">
        <v>0.0</v>
      </c>
      <c r="V190" s="160">
        <v>0.0</v>
      </c>
      <c r="X190" s="160">
        <v>0.0</v>
      </c>
      <c r="Y190" s="73"/>
      <c r="Z190" s="159">
        <v>15.0</v>
      </c>
      <c r="AB190" s="160">
        <v>15.0</v>
      </c>
      <c r="AD190" s="160">
        <v>0.0</v>
      </c>
      <c r="AF190" s="81">
        <f t="shared" si="1"/>
        <v>2264.8</v>
      </c>
      <c r="AG190" s="78">
        <f t="shared" si="2"/>
        <v>190</v>
      </c>
      <c r="AH190" s="78">
        <f t="shared" si="3"/>
        <v>0</v>
      </c>
      <c r="AI190" s="78">
        <f t="shared" si="4"/>
        <v>190</v>
      </c>
      <c r="AJ190" s="82">
        <f t="shared" si="5"/>
        <v>11.92</v>
      </c>
    </row>
    <row r="191">
      <c r="A191" s="83" t="s">
        <v>30</v>
      </c>
      <c r="B191" s="84">
        <f t="shared" si="6"/>
        <v>45480</v>
      </c>
      <c r="C191" s="85">
        <v>7.0</v>
      </c>
      <c r="D191" s="85" t="s">
        <v>12</v>
      </c>
      <c r="E191" s="170" t="s">
        <v>130</v>
      </c>
      <c r="F191" s="88"/>
      <c r="G191" s="89"/>
      <c r="H191" s="90"/>
      <c r="I191" s="89"/>
      <c r="J191" s="90"/>
      <c r="K191" s="89"/>
      <c r="L191" s="165">
        <v>0.0</v>
      </c>
      <c r="M191" s="89"/>
      <c r="N191" s="166">
        <v>0.0</v>
      </c>
      <c r="O191" s="89"/>
      <c r="P191" s="166">
        <v>0.0</v>
      </c>
      <c r="Q191" s="89"/>
      <c r="R191" s="166">
        <v>0.0</v>
      </c>
      <c r="S191" s="89"/>
      <c r="T191" s="166">
        <v>0.0</v>
      </c>
      <c r="U191" s="89"/>
      <c r="V191" s="166">
        <v>0.0</v>
      </c>
      <c r="W191" s="89"/>
      <c r="X191" s="166">
        <v>0.0</v>
      </c>
      <c r="Y191" s="91"/>
      <c r="Z191" s="165">
        <v>0.0</v>
      </c>
      <c r="AA191" s="89"/>
      <c r="AB191" s="166">
        <v>0.0</v>
      </c>
      <c r="AC191" s="89"/>
      <c r="AD191" s="166">
        <v>0.0</v>
      </c>
      <c r="AE191" s="89"/>
      <c r="AF191" s="92">
        <f t="shared" si="1"/>
        <v>0</v>
      </c>
      <c r="AG191" s="85">
        <f t="shared" si="2"/>
        <v>0</v>
      </c>
      <c r="AH191" s="85">
        <f t="shared" si="3"/>
        <v>0</v>
      </c>
      <c r="AI191" s="85">
        <f t="shared" si="4"/>
        <v>0</v>
      </c>
      <c r="AJ191" s="93" t="str">
        <f t="shared" si="5"/>
        <v/>
      </c>
    </row>
    <row r="192">
      <c r="A192" s="66" t="s">
        <v>11</v>
      </c>
      <c r="B192" s="94">
        <f t="shared" si="6"/>
        <v>45481</v>
      </c>
      <c r="C192" s="68">
        <v>7.0</v>
      </c>
      <c r="D192" s="68" t="s">
        <v>33</v>
      </c>
      <c r="E192" s="171" t="s">
        <v>130</v>
      </c>
      <c r="F192" s="71"/>
      <c r="H192" s="72"/>
      <c r="J192" s="72"/>
      <c r="L192" s="159">
        <v>0.0</v>
      </c>
      <c r="N192" s="160">
        <v>80.0</v>
      </c>
      <c r="P192" s="160">
        <v>60.0</v>
      </c>
      <c r="R192" s="160">
        <v>50.0</v>
      </c>
      <c r="T192" s="160">
        <v>1.0</v>
      </c>
      <c r="V192" s="160">
        <v>1.0</v>
      </c>
      <c r="X192" s="160">
        <v>40.0</v>
      </c>
      <c r="Y192" s="73"/>
      <c r="Z192" s="159">
        <v>0.0</v>
      </c>
      <c r="AB192" s="160">
        <v>27.0</v>
      </c>
      <c r="AD192" s="160">
        <v>0.0</v>
      </c>
      <c r="AF192" s="74">
        <f t="shared" si="1"/>
        <v>3298.14</v>
      </c>
      <c r="AG192" s="68">
        <f t="shared" si="2"/>
        <v>257</v>
      </c>
      <c r="AH192" s="68">
        <f t="shared" si="3"/>
        <v>2</v>
      </c>
      <c r="AI192" s="68">
        <f t="shared" si="4"/>
        <v>259</v>
      </c>
      <c r="AJ192" s="75">
        <f t="shared" si="5"/>
        <v>12.73413127</v>
      </c>
    </row>
    <row r="193">
      <c r="A193" s="76" t="s">
        <v>16</v>
      </c>
      <c r="B193" s="77">
        <f t="shared" si="6"/>
        <v>45482</v>
      </c>
      <c r="C193" s="78">
        <v>7.0</v>
      </c>
      <c r="D193" s="78" t="s">
        <v>33</v>
      </c>
      <c r="E193" s="169" t="s">
        <v>130</v>
      </c>
      <c r="F193" s="71"/>
      <c r="H193" s="72"/>
      <c r="J193" s="72"/>
      <c r="L193" s="159">
        <v>0.0</v>
      </c>
      <c r="N193" s="160">
        <v>80.0</v>
      </c>
      <c r="P193" s="160">
        <v>60.0</v>
      </c>
      <c r="R193" s="160">
        <v>50.0</v>
      </c>
      <c r="T193" s="160">
        <v>0.0</v>
      </c>
      <c r="V193" s="160">
        <v>0.0</v>
      </c>
      <c r="X193" s="160">
        <v>40.0</v>
      </c>
      <c r="Y193" s="73"/>
      <c r="Z193" s="159">
        <v>0.0</v>
      </c>
      <c r="AB193" s="160">
        <v>27.0</v>
      </c>
      <c r="AD193" s="160">
        <v>0.0</v>
      </c>
      <c r="AF193" s="81">
        <f t="shared" si="1"/>
        <v>2563.14</v>
      </c>
      <c r="AG193" s="78">
        <f t="shared" si="2"/>
        <v>257</v>
      </c>
      <c r="AH193" s="78">
        <f t="shared" si="3"/>
        <v>0</v>
      </c>
      <c r="AI193" s="78">
        <f t="shared" si="4"/>
        <v>257</v>
      </c>
      <c r="AJ193" s="82">
        <f t="shared" si="5"/>
        <v>9.973307393</v>
      </c>
    </row>
    <row r="194">
      <c r="A194" s="76" t="s">
        <v>17</v>
      </c>
      <c r="B194" s="77">
        <f t="shared" si="6"/>
        <v>45483</v>
      </c>
      <c r="C194" s="78">
        <v>7.0</v>
      </c>
      <c r="D194" s="78" t="s">
        <v>33</v>
      </c>
      <c r="E194" s="169" t="s">
        <v>130</v>
      </c>
      <c r="F194" s="71"/>
      <c r="H194" s="72"/>
      <c r="J194" s="72"/>
      <c r="L194" s="159">
        <v>80.0</v>
      </c>
      <c r="N194" s="160">
        <v>80.0</v>
      </c>
      <c r="P194" s="160">
        <v>0.0</v>
      </c>
      <c r="R194" s="160">
        <v>0.0</v>
      </c>
      <c r="T194" s="160">
        <v>0.0</v>
      </c>
      <c r="V194" s="160">
        <v>0.0</v>
      </c>
      <c r="X194" s="160">
        <v>0.0</v>
      </c>
      <c r="Y194" s="73"/>
      <c r="Z194" s="159">
        <v>27.0</v>
      </c>
      <c r="AB194" s="160">
        <v>27.0</v>
      </c>
      <c r="AD194" s="160">
        <v>0.0</v>
      </c>
      <c r="AF194" s="81">
        <f t="shared" si="1"/>
        <v>2550.88</v>
      </c>
      <c r="AG194" s="78">
        <f t="shared" si="2"/>
        <v>214</v>
      </c>
      <c r="AH194" s="78">
        <f t="shared" si="3"/>
        <v>0</v>
      </c>
      <c r="AI194" s="78">
        <f t="shared" si="4"/>
        <v>214</v>
      </c>
      <c r="AJ194" s="82">
        <f t="shared" si="5"/>
        <v>11.92</v>
      </c>
    </row>
    <row r="195">
      <c r="A195" s="76" t="s">
        <v>21</v>
      </c>
      <c r="B195" s="77">
        <f t="shared" si="6"/>
        <v>45484</v>
      </c>
      <c r="C195" s="78">
        <v>7.0</v>
      </c>
      <c r="D195" s="78" t="s">
        <v>33</v>
      </c>
      <c r="E195" s="169" t="s">
        <v>130</v>
      </c>
      <c r="F195" s="71"/>
      <c r="H195" s="72"/>
      <c r="J195" s="72"/>
      <c r="L195" s="159">
        <v>0.0</v>
      </c>
      <c r="N195" s="160">
        <v>80.0</v>
      </c>
      <c r="P195" s="160">
        <v>60.0</v>
      </c>
      <c r="R195" s="160">
        <v>50.0</v>
      </c>
      <c r="T195" s="160">
        <v>0.0</v>
      </c>
      <c r="V195" s="160">
        <v>0.0</v>
      </c>
      <c r="X195" s="160">
        <v>40.0</v>
      </c>
      <c r="Y195" s="73"/>
      <c r="Z195" s="159">
        <v>0.0</v>
      </c>
      <c r="AB195" s="160">
        <v>27.0</v>
      </c>
      <c r="AD195" s="160">
        <v>0.0</v>
      </c>
      <c r="AF195" s="81">
        <f t="shared" si="1"/>
        <v>2563.14</v>
      </c>
      <c r="AG195" s="78">
        <f t="shared" si="2"/>
        <v>257</v>
      </c>
      <c r="AH195" s="78">
        <f t="shared" si="3"/>
        <v>0</v>
      </c>
      <c r="AI195" s="78">
        <f t="shared" si="4"/>
        <v>257</v>
      </c>
      <c r="AJ195" s="82">
        <f t="shared" si="5"/>
        <v>9.973307393</v>
      </c>
    </row>
    <row r="196">
      <c r="A196" s="76" t="s">
        <v>24</v>
      </c>
      <c r="B196" s="77">
        <f t="shared" si="6"/>
        <v>45485</v>
      </c>
      <c r="C196" s="78">
        <v>7.0</v>
      </c>
      <c r="D196" s="78" t="s">
        <v>33</v>
      </c>
      <c r="E196" s="169" t="s">
        <v>130</v>
      </c>
      <c r="F196" s="71"/>
      <c r="H196" s="72"/>
      <c r="J196" s="72"/>
      <c r="L196" s="159">
        <v>0.0</v>
      </c>
      <c r="N196" s="160">
        <v>80.0</v>
      </c>
      <c r="P196" s="160">
        <v>60.0</v>
      </c>
      <c r="R196" s="160">
        <v>50.0</v>
      </c>
      <c r="T196" s="160">
        <v>0.0</v>
      </c>
      <c r="V196" s="160">
        <v>0.0</v>
      </c>
      <c r="X196" s="160">
        <v>40.0</v>
      </c>
      <c r="Y196" s="73"/>
      <c r="Z196" s="159">
        <v>0.0</v>
      </c>
      <c r="AB196" s="160">
        <v>27.0</v>
      </c>
      <c r="AD196" s="160">
        <v>0.0</v>
      </c>
      <c r="AF196" s="81">
        <f t="shared" si="1"/>
        <v>2563.14</v>
      </c>
      <c r="AG196" s="78">
        <f t="shared" si="2"/>
        <v>257</v>
      </c>
      <c r="AH196" s="78">
        <f t="shared" si="3"/>
        <v>0</v>
      </c>
      <c r="AI196" s="78">
        <f t="shared" si="4"/>
        <v>257</v>
      </c>
      <c r="AJ196" s="82">
        <f t="shared" si="5"/>
        <v>9.973307393</v>
      </c>
    </row>
    <row r="197">
      <c r="A197" s="76" t="s">
        <v>27</v>
      </c>
      <c r="B197" s="77">
        <f t="shared" si="6"/>
        <v>45486</v>
      </c>
      <c r="C197" s="78">
        <v>7.0</v>
      </c>
      <c r="D197" s="78" t="s">
        <v>33</v>
      </c>
      <c r="E197" s="169" t="s">
        <v>130</v>
      </c>
      <c r="F197" s="71"/>
      <c r="H197" s="72"/>
      <c r="J197" s="72"/>
      <c r="L197" s="159">
        <v>80.0</v>
      </c>
      <c r="N197" s="160">
        <v>80.0</v>
      </c>
      <c r="P197" s="160">
        <v>0.0</v>
      </c>
      <c r="R197" s="160">
        <v>0.0</v>
      </c>
      <c r="T197" s="160">
        <v>0.0</v>
      </c>
      <c r="V197" s="160">
        <v>0.0</v>
      </c>
      <c r="X197" s="160">
        <v>0.0</v>
      </c>
      <c r="Y197" s="73"/>
      <c r="Z197" s="159">
        <v>0.0</v>
      </c>
      <c r="AB197" s="160">
        <v>0.0</v>
      </c>
      <c r="AD197" s="160">
        <v>0.0</v>
      </c>
      <c r="AF197" s="81">
        <f t="shared" si="1"/>
        <v>1907.2</v>
      </c>
      <c r="AG197" s="78">
        <f t="shared" si="2"/>
        <v>160</v>
      </c>
      <c r="AH197" s="78">
        <f t="shared" si="3"/>
        <v>0</v>
      </c>
      <c r="AI197" s="78">
        <f t="shared" si="4"/>
        <v>160</v>
      </c>
      <c r="AJ197" s="82">
        <f t="shared" si="5"/>
        <v>11.92</v>
      </c>
    </row>
    <row r="198">
      <c r="A198" s="83" t="s">
        <v>30</v>
      </c>
      <c r="B198" s="84">
        <f t="shared" si="6"/>
        <v>45487</v>
      </c>
      <c r="C198" s="85">
        <v>7.0</v>
      </c>
      <c r="D198" s="85" t="s">
        <v>33</v>
      </c>
      <c r="E198" s="170" t="s">
        <v>130</v>
      </c>
      <c r="F198" s="88"/>
      <c r="G198" s="89"/>
      <c r="H198" s="90"/>
      <c r="I198" s="89"/>
      <c r="J198" s="90"/>
      <c r="K198" s="89"/>
      <c r="L198" s="165">
        <v>0.0</v>
      </c>
      <c r="M198" s="89"/>
      <c r="N198" s="166">
        <v>0.0</v>
      </c>
      <c r="O198" s="89"/>
      <c r="P198" s="166">
        <v>0.0</v>
      </c>
      <c r="Q198" s="89"/>
      <c r="R198" s="166">
        <v>0.0</v>
      </c>
      <c r="S198" s="89"/>
      <c r="T198" s="166">
        <v>0.0</v>
      </c>
      <c r="U198" s="89"/>
      <c r="V198" s="166">
        <v>0.0</v>
      </c>
      <c r="W198" s="89"/>
      <c r="X198" s="166">
        <v>0.0</v>
      </c>
      <c r="Y198" s="91"/>
      <c r="Z198" s="165">
        <v>0.0</v>
      </c>
      <c r="AA198" s="89"/>
      <c r="AB198" s="166">
        <v>0.0</v>
      </c>
      <c r="AC198" s="89"/>
      <c r="AD198" s="166">
        <v>0.0</v>
      </c>
      <c r="AE198" s="89"/>
      <c r="AF198" s="92">
        <f t="shared" si="1"/>
        <v>0</v>
      </c>
      <c r="AG198" s="85">
        <f t="shared" si="2"/>
        <v>0</v>
      </c>
      <c r="AH198" s="85">
        <f t="shared" si="3"/>
        <v>0</v>
      </c>
      <c r="AI198" s="85">
        <f t="shared" si="4"/>
        <v>0</v>
      </c>
      <c r="AJ198" s="93" t="str">
        <f t="shared" si="5"/>
        <v/>
      </c>
    </row>
    <row r="199">
      <c r="A199" s="66" t="s">
        <v>11</v>
      </c>
      <c r="B199" s="94">
        <f t="shared" si="6"/>
        <v>45488</v>
      </c>
      <c r="C199" s="68">
        <v>8.0</v>
      </c>
      <c r="D199" s="68" t="s">
        <v>48</v>
      </c>
      <c r="E199" s="171" t="s">
        <v>130</v>
      </c>
      <c r="F199" s="71"/>
      <c r="H199" s="72"/>
      <c r="J199" s="72"/>
      <c r="L199" s="159">
        <v>0.0</v>
      </c>
      <c r="N199" s="160">
        <v>80.0</v>
      </c>
      <c r="P199" s="160">
        <v>60.0</v>
      </c>
      <c r="R199" s="160">
        <v>50.0</v>
      </c>
      <c r="T199" s="160">
        <v>1.0</v>
      </c>
      <c r="V199" s="160">
        <v>1.0</v>
      </c>
      <c r="X199" s="160">
        <v>40.0</v>
      </c>
      <c r="Y199" s="73"/>
      <c r="Z199" s="159">
        <v>0.0</v>
      </c>
      <c r="AB199" s="160">
        <v>27.0</v>
      </c>
      <c r="AD199" s="160">
        <v>0.0</v>
      </c>
      <c r="AF199" s="74">
        <f t="shared" si="1"/>
        <v>3298.14</v>
      </c>
      <c r="AG199" s="68">
        <f t="shared" si="2"/>
        <v>257</v>
      </c>
      <c r="AH199" s="68">
        <f t="shared" si="3"/>
        <v>2</v>
      </c>
      <c r="AI199" s="68">
        <f t="shared" si="4"/>
        <v>259</v>
      </c>
      <c r="AJ199" s="75">
        <f t="shared" si="5"/>
        <v>12.73413127</v>
      </c>
    </row>
    <row r="200">
      <c r="A200" s="76" t="s">
        <v>16</v>
      </c>
      <c r="B200" s="77">
        <f t="shared" si="6"/>
        <v>45489</v>
      </c>
      <c r="C200" s="78">
        <v>8.0</v>
      </c>
      <c r="D200" s="78" t="s">
        <v>48</v>
      </c>
      <c r="E200" s="169" t="s">
        <v>130</v>
      </c>
      <c r="F200" s="71"/>
      <c r="H200" s="72"/>
      <c r="J200" s="72"/>
      <c r="L200" s="159">
        <v>0.0</v>
      </c>
      <c r="N200" s="160">
        <v>80.0</v>
      </c>
      <c r="P200" s="160">
        <v>60.0</v>
      </c>
      <c r="R200" s="160">
        <v>50.0</v>
      </c>
      <c r="T200" s="160">
        <v>0.0</v>
      </c>
      <c r="V200" s="160">
        <v>0.0</v>
      </c>
      <c r="X200" s="160">
        <v>40.0</v>
      </c>
      <c r="Y200" s="73"/>
      <c r="Z200" s="159">
        <v>0.0</v>
      </c>
      <c r="AB200" s="160">
        <v>27.0</v>
      </c>
      <c r="AD200" s="160">
        <v>0.0</v>
      </c>
      <c r="AF200" s="81">
        <f t="shared" si="1"/>
        <v>2563.14</v>
      </c>
      <c r="AG200" s="78">
        <f t="shared" si="2"/>
        <v>257</v>
      </c>
      <c r="AH200" s="78">
        <f t="shared" si="3"/>
        <v>0</v>
      </c>
      <c r="AI200" s="78">
        <f t="shared" si="4"/>
        <v>257</v>
      </c>
      <c r="AJ200" s="82">
        <f t="shared" si="5"/>
        <v>9.973307393</v>
      </c>
    </row>
    <row r="201">
      <c r="A201" s="76" t="s">
        <v>17</v>
      </c>
      <c r="B201" s="77">
        <f t="shared" si="6"/>
        <v>45490</v>
      </c>
      <c r="C201" s="78">
        <v>8.0</v>
      </c>
      <c r="D201" s="78" t="s">
        <v>48</v>
      </c>
      <c r="E201" s="169" t="s">
        <v>130</v>
      </c>
      <c r="F201" s="71"/>
      <c r="H201" s="72"/>
      <c r="J201" s="72"/>
      <c r="L201" s="159">
        <v>80.0</v>
      </c>
      <c r="N201" s="160">
        <v>80.0</v>
      </c>
      <c r="P201" s="160">
        <v>0.0</v>
      </c>
      <c r="R201" s="160">
        <v>0.0</v>
      </c>
      <c r="T201" s="160">
        <v>0.0</v>
      </c>
      <c r="V201" s="160">
        <v>0.0</v>
      </c>
      <c r="X201" s="160">
        <v>0.0</v>
      </c>
      <c r="Y201" s="73"/>
      <c r="Z201" s="159">
        <v>27.0</v>
      </c>
      <c r="AB201" s="160">
        <v>27.0</v>
      </c>
      <c r="AD201" s="160">
        <v>0.0</v>
      </c>
      <c r="AF201" s="81">
        <f t="shared" si="1"/>
        <v>2550.88</v>
      </c>
      <c r="AG201" s="78">
        <f t="shared" si="2"/>
        <v>214</v>
      </c>
      <c r="AH201" s="78">
        <f t="shared" si="3"/>
        <v>0</v>
      </c>
      <c r="AI201" s="78">
        <f t="shared" si="4"/>
        <v>214</v>
      </c>
      <c r="AJ201" s="82">
        <f t="shared" si="5"/>
        <v>11.92</v>
      </c>
    </row>
    <row r="202">
      <c r="A202" s="76" t="s">
        <v>21</v>
      </c>
      <c r="B202" s="77">
        <f t="shared" si="6"/>
        <v>45491</v>
      </c>
      <c r="C202" s="78">
        <v>8.0</v>
      </c>
      <c r="D202" s="78" t="s">
        <v>48</v>
      </c>
      <c r="E202" s="169" t="s">
        <v>130</v>
      </c>
      <c r="F202" s="71"/>
      <c r="H202" s="72"/>
      <c r="J202" s="72"/>
      <c r="L202" s="159">
        <v>0.0</v>
      </c>
      <c r="N202" s="160">
        <v>80.0</v>
      </c>
      <c r="P202" s="160">
        <v>60.0</v>
      </c>
      <c r="R202" s="160">
        <v>50.0</v>
      </c>
      <c r="T202" s="160">
        <v>0.0</v>
      </c>
      <c r="V202" s="160">
        <v>0.0</v>
      </c>
      <c r="X202" s="160">
        <v>40.0</v>
      </c>
      <c r="Y202" s="73"/>
      <c r="Z202" s="159">
        <v>0.0</v>
      </c>
      <c r="AB202" s="160">
        <v>27.0</v>
      </c>
      <c r="AD202" s="160">
        <v>0.0</v>
      </c>
      <c r="AF202" s="81">
        <f t="shared" si="1"/>
        <v>2563.14</v>
      </c>
      <c r="AG202" s="78">
        <f t="shared" si="2"/>
        <v>257</v>
      </c>
      <c r="AH202" s="78">
        <f t="shared" si="3"/>
        <v>0</v>
      </c>
      <c r="AI202" s="78">
        <f t="shared" si="4"/>
        <v>257</v>
      </c>
      <c r="AJ202" s="82">
        <f t="shared" si="5"/>
        <v>9.973307393</v>
      </c>
    </row>
    <row r="203">
      <c r="A203" s="76" t="s">
        <v>24</v>
      </c>
      <c r="B203" s="77">
        <f t="shared" si="6"/>
        <v>45492</v>
      </c>
      <c r="C203" s="78">
        <v>8.0</v>
      </c>
      <c r="D203" s="78" t="s">
        <v>48</v>
      </c>
      <c r="E203" s="169" t="s">
        <v>130</v>
      </c>
      <c r="F203" s="71"/>
      <c r="H203" s="72"/>
      <c r="J203" s="72"/>
      <c r="L203" s="159">
        <v>0.0</v>
      </c>
      <c r="N203" s="160">
        <v>80.0</v>
      </c>
      <c r="P203" s="160">
        <v>60.0</v>
      </c>
      <c r="R203" s="160">
        <v>50.0</v>
      </c>
      <c r="T203" s="160">
        <v>0.0</v>
      </c>
      <c r="V203" s="160">
        <v>0.0</v>
      </c>
      <c r="X203" s="160">
        <v>40.0</v>
      </c>
      <c r="Y203" s="73"/>
      <c r="Z203" s="159">
        <v>0.0</v>
      </c>
      <c r="AB203" s="160">
        <v>27.0</v>
      </c>
      <c r="AD203" s="160">
        <v>0.0</v>
      </c>
      <c r="AF203" s="81">
        <f t="shared" si="1"/>
        <v>2563.14</v>
      </c>
      <c r="AG203" s="78">
        <f t="shared" si="2"/>
        <v>257</v>
      </c>
      <c r="AH203" s="78">
        <f t="shared" si="3"/>
        <v>0</v>
      </c>
      <c r="AI203" s="78">
        <f t="shared" si="4"/>
        <v>257</v>
      </c>
      <c r="AJ203" s="82">
        <f t="shared" si="5"/>
        <v>9.973307393</v>
      </c>
    </row>
    <row r="204">
      <c r="A204" s="76" t="s">
        <v>27</v>
      </c>
      <c r="B204" s="77">
        <f t="shared" si="6"/>
        <v>45493</v>
      </c>
      <c r="C204" s="78">
        <v>8.0</v>
      </c>
      <c r="D204" s="78" t="s">
        <v>48</v>
      </c>
      <c r="E204" s="169" t="s">
        <v>130</v>
      </c>
      <c r="F204" s="71"/>
      <c r="H204" s="72"/>
      <c r="J204" s="72"/>
      <c r="L204" s="159">
        <v>80.0</v>
      </c>
      <c r="N204" s="160">
        <v>80.0</v>
      </c>
      <c r="P204" s="160">
        <v>0.0</v>
      </c>
      <c r="R204" s="160">
        <v>0.0</v>
      </c>
      <c r="T204" s="160">
        <v>0.0</v>
      </c>
      <c r="V204" s="160">
        <v>0.0</v>
      </c>
      <c r="X204" s="160">
        <v>0.0</v>
      </c>
      <c r="Y204" s="73"/>
      <c r="Z204" s="159">
        <v>0.0</v>
      </c>
      <c r="AB204" s="160">
        <v>0.0</v>
      </c>
      <c r="AD204" s="160">
        <v>0.0</v>
      </c>
      <c r="AF204" s="81">
        <f t="shared" si="1"/>
        <v>1907.2</v>
      </c>
      <c r="AG204" s="78">
        <f t="shared" si="2"/>
        <v>160</v>
      </c>
      <c r="AH204" s="78">
        <f t="shared" si="3"/>
        <v>0</v>
      </c>
      <c r="AI204" s="78">
        <f t="shared" si="4"/>
        <v>160</v>
      </c>
      <c r="AJ204" s="82">
        <f t="shared" si="5"/>
        <v>11.92</v>
      </c>
    </row>
    <row r="205">
      <c r="A205" s="83" t="s">
        <v>30</v>
      </c>
      <c r="B205" s="84">
        <f t="shared" si="6"/>
        <v>45494</v>
      </c>
      <c r="C205" s="85">
        <v>8.0</v>
      </c>
      <c r="D205" s="85" t="s">
        <v>48</v>
      </c>
      <c r="E205" s="170" t="s">
        <v>130</v>
      </c>
      <c r="F205" s="88"/>
      <c r="G205" s="89"/>
      <c r="H205" s="90"/>
      <c r="I205" s="89"/>
      <c r="J205" s="90"/>
      <c r="K205" s="89"/>
      <c r="L205" s="165">
        <v>0.0</v>
      </c>
      <c r="M205" s="89"/>
      <c r="N205" s="166">
        <v>0.0</v>
      </c>
      <c r="O205" s="89"/>
      <c r="P205" s="166">
        <v>0.0</v>
      </c>
      <c r="Q205" s="89"/>
      <c r="R205" s="166">
        <v>0.0</v>
      </c>
      <c r="S205" s="89"/>
      <c r="T205" s="166">
        <v>0.0</v>
      </c>
      <c r="U205" s="89"/>
      <c r="V205" s="166">
        <v>0.0</v>
      </c>
      <c r="W205" s="89"/>
      <c r="X205" s="166">
        <v>0.0</v>
      </c>
      <c r="Y205" s="91"/>
      <c r="Z205" s="165">
        <v>0.0</v>
      </c>
      <c r="AA205" s="89"/>
      <c r="AB205" s="166">
        <v>0.0</v>
      </c>
      <c r="AC205" s="89"/>
      <c r="AD205" s="166">
        <v>0.0</v>
      </c>
      <c r="AE205" s="89"/>
      <c r="AF205" s="92">
        <f t="shared" si="1"/>
        <v>0</v>
      </c>
      <c r="AG205" s="85">
        <f t="shared" si="2"/>
        <v>0</v>
      </c>
      <c r="AH205" s="85">
        <f t="shared" si="3"/>
        <v>0</v>
      </c>
      <c r="AI205" s="85">
        <f t="shared" si="4"/>
        <v>0</v>
      </c>
      <c r="AJ205" s="93" t="str">
        <f t="shared" si="5"/>
        <v/>
      </c>
    </row>
    <row r="206">
      <c r="A206" s="66" t="s">
        <v>11</v>
      </c>
      <c r="B206" s="94">
        <f t="shared" si="6"/>
        <v>45495</v>
      </c>
      <c r="C206" s="68">
        <v>8.0</v>
      </c>
      <c r="D206" s="68" t="s">
        <v>59</v>
      </c>
      <c r="E206" s="171" t="s">
        <v>130</v>
      </c>
      <c r="F206" s="71"/>
      <c r="H206" s="72"/>
      <c r="J206" s="72"/>
      <c r="L206" s="159">
        <v>0.0</v>
      </c>
      <c r="N206" s="160">
        <v>80.0</v>
      </c>
      <c r="P206" s="160">
        <v>60.0</v>
      </c>
      <c r="R206" s="160">
        <v>50.0</v>
      </c>
      <c r="T206" s="160">
        <v>1.0</v>
      </c>
      <c r="V206" s="160">
        <v>1.0</v>
      </c>
      <c r="X206" s="160">
        <v>40.0</v>
      </c>
      <c r="Y206" s="73"/>
      <c r="Z206" s="159">
        <v>0.0</v>
      </c>
      <c r="AB206" s="160">
        <v>29.0</v>
      </c>
      <c r="AD206" s="160"/>
      <c r="AF206" s="74">
        <f t="shared" si="1"/>
        <v>3321.98</v>
      </c>
      <c r="AG206" s="68">
        <f t="shared" si="2"/>
        <v>259</v>
      </c>
      <c r="AH206" s="68">
        <f t="shared" si="3"/>
        <v>2</v>
      </c>
      <c r="AI206" s="68">
        <f t="shared" si="4"/>
        <v>261</v>
      </c>
      <c r="AJ206" s="75">
        <f t="shared" si="5"/>
        <v>12.72789272</v>
      </c>
    </row>
    <row r="207">
      <c r="A207" s="76" t="s">
        <v>16</v>
      </c>
      <c r="B207" s="77">
        <f t="shared" si="6"/>
        <v>45496</v>
      </c>
      <c r="C207" s="78">
        <v>8.0</v>
      </c>
      <c r="D207" s="78" t="s">
        <v>59</v>
      </c>
      <c r="E207" s="169" t="s">
        <v>130</v>
      </c>
      <c r="F207" s="71"/>
      <c r="H207" s="72"/>
      <c r="J207" s="72"/>
      <c r="L207" s="159">
        <v>0.0</v>
      </c>
      <c r="N207" s="160">
        <v>80.0</v>
      </c>
      <c r="P207" s="160">
        <v>60.0</v>
      </c>
      <c r="R207" s="160">
        <v>50.0</v>
      </c>
      <c r="T207" s="160">
        <v>0.0</v>
      </c>
      <c r="V207" s="160">
        <v>0.0</v>
      </c>
      <c r="X207" s="160">
        <v>40.0</v>
      </c>
      <c r="Y207" s="73"/>
      <c r="Z207" s="159">
        <v>0.0</v>
      </c>
      <c r="AB207" s="160">
        <v>27.0</v>
      </c>
      <c r="AD207" s="160"/>
      <c r="AF207" s="81">
        <f t="shared" si="1"/>
        <v>2563.14</v>
      </c>
      <c r="AG207" s="78">
        <f t="shared" si="2"/>
        <v>257</v>
      </c>
      <c r="AH207" s="78">
        <f t="shared" si="3"/>
        <v>0</v>
      </c>
      <c r="AI207" s="78">
        <f t="shared" si="4"/>
        <v>257</v>
      </c>
      <c r="AJ207" s="82">
        <f t="shared" si="5"/>
        <v>9.973307393</v>
      </c>
    </row>
    <row r="208">
      <c r="A208" s="76" t="s">
        <v>17</v>
      </c>
      <c r="B208" s="77">
        <f t="shared" si="6"/>
        <v>45497</v>
      </c>
      <c r="C208" s="78">
        <v>8.0</v>
      </c>
      <c r="D208" s="78" t="s">
        <v>59</v>
      </c>
      <c r="E208" s="169" t="s">
        <v>130</v>
      </c>
      <c r="F208" s="71"/>
      <c r="H208" s="72"/>
      <c r="J208" s="72"/>
      <c r="L208" s="159">
        <v>80.0</v>
      </c>
      <c r="N208" s="160">
        <v>80.0</v>
      </c>
      <c r="P208" s="160">
        <v>0.0</v>
      </c>
      <c r="R208" s="160">
        <v>0.0</v>
      </c>
      <c r="T208" s="160">
        <v>0.0</v>
      </c>
      <c r="V208" s="160">
        <v>0.0</v>
      </c>
      <c r="X208" s="160">
        <v>0.0</v>
      </c>
      <c r="Y208" s="73"/>
      <c r="Z208" s="159">
        <v>27.0</v>
      </c>
      <c r="AB208" s="160">
        <v>27.0</v>
      </c>
      <c r="AD208" s="160">
        <v>0.0</v>
      </c>
      <c r="AF208" s="81">
        <f t="shared" si="1"/>
        <v>2550.88</v>
      </c>
      <c r="AG208" s="78">
        <f t="shared" si="2"/>
        <v>214</v>
      </c>
      <c r="AH208" s="78">
        <f t="shared" si="3"/>
        <v>0</v>
      </c>
      <c r="AI208" s="78">
        <f t="shared" si="4"/>
        <v>214</v>
      </c>
      <c r="AJ208" s="82">
        <f t="shared" si="5"/>
        <v>11.92</v>
      </c>
    </row>
    <row r="209">
      <c r="A209" s="76" t="s">
        <v>21</v>
      </c>
      <c r="B209" s="77">
        <f t="shared" si="6"/>
        <v>45498</v>
      </c>
      <c r="C209" s="78">
        <v>8.0</v>
      </c>
      <c r="D209" s="78" t="s">
        <v>59</v>
      </c>
      <c r="E209" s="169" t="s">
        <v>130</v>
      </c>
      <c r="F209" s="71"/>
      <c r="H209" s="72"/>
      <c r="J209" s="72"/>
      <c r="L209" s="159">
        <v>0.0</v>
      </c>
      <c r="N209" s="160">
        <v>80.0</v>
      </c>
      <c r="P209" s="160">
        <v>60.0</v>
      </c>
      <c r="R209" s="160">
        <v>50.0</v>
      </c>
      <c r="T209" s="160">
        <v>0.0</v>
      </c>
      <c r="V209" s="160">
        <v>0.0</v>
      </c>
      <c r="X209" s="160">
        <v>40.0</v>
      </c>
      <c r="Y209" s="73"/>
      <c r="Z209" s="159">
        <v>27.0</v>
      </c>
      <c r="AB209" s="160">
        <v>27.0</v>
      </c>
      <c r="AD209" s="160">
        <v>0.0</v>
      </c>
      <c r="AF209" s="81">
        <f t="shared" si="1"/>
        <v>2884.98</v>
      </c>
      <c r="AG209" s="78">
        <f t="shared" si="2"/>
        <v>284</v>
      </c>
      <c r="AH209" s="78">
        <f t="shared" si="3"/>
        <v>0</v>
      </c>
      <c r="AI209" s="78">
        <f t="shared" si="4"/>
        <v>284</v>
      </c>
      <c r="AJ209" s="82">
        <f t="shared" si="5"/>
        <v>10.15838028</v>
      </c>
    </row>
    <row r="210">
      <c r="A210" s="76" t="s">
        <v>24</v>
      </c>
      <c r="B210" s="77">
        <f t="shared" si="6"/>
        <v>45499</v>
      </c>
      <c r="C210" s="78">
        <v>8.0</v>
      </c>
      <c r="D210" s="78" t="s">
        <v>59</v>
      </c>
      <c r="E210" s="169" t="s">
        <v>130</v>
      </c>
      <c r="F210" s="71"/>
      <c r="H210" s="72"/>
      <c r="J210" s="72"/>
      <c r="L210" s="159">
        <v>75.0</v>
      </c>
      <c r="N210" s="160">
        <v>130.0</v>
      </c>
      <c r="P210" s="160">
        <v>60.0</v>
      </c>
      <c r="R210" s="160">
        <v>50.0</v>
      </c>
      <c r="T210" s="160">
        <v>0.0</v>
      </c>
      <c r="V210" s="160">
        <v>0.0</v>
      </c>
      <c r="X210" s="160">
        <v>40.0</v>
      </c>
      <c r="Y210" s="73"/>
      <c r="Z210" s="159">
        <v>0.0</v>
      </c>
      <c r="AB210" s="160">
        <v>27.0</v>
      </c>
      <c r="AD210" s="160">
        <v>0.0</v>
      </c>
      <c r="AF210" s="81">
        <f t="shared" si="1"/>
        <v>4053.14</v>
      </c>
      <c r="AG210" s="78">
        <f t="shared" si="2"/>
        <v>382</v>
      </c>
      <c r="AH210" s="78">
        <f t="shared" si="3"/>
        <v>0</v>
      </c>
      <c r="AI210" s="78">
        <f t="shared" si="4"/>
        <v>382</v>
      </c>
      <c r="AJ210" s="82">
        <f t="shared" si="5"/>
        <v>10.61031414</v>
      </c>
    </row>
    <row r="211">
      <c r="A211" s="76" t="s">
        <v>27</v>
      </c>
      <c r="B211" s="77">
        <f t="shared" si="6"/>
        <v>45500</v>
      </c>
      <c r="C211" s="78">
        <v>8.0</v>
      </c>
      <c r="D211" s="78" t="s">
        <v>59</v>
      </c>
      <c r="E211" s="169" t="s">
        <v>130</v>
      </c>
      <c r="F211" s="71"/>
      <c r="H211" s="72"/>
      <c r="J211" s="72"/>
      <c r="L211" s="159">
        <v>130.0</v>
      </c>
      <c r="N211" s="160">
        <v>130.0</v>
      </c>
      <c r="P211" s="160">
        <v>0.0</v>
      </c>
      <c r="R211" s="160">
        <v>0.0</v>
      </c>
      <c r="T211" s="160">
        <v>0.0</v>
      </c>
      <c r="V211" s="160">
        <v>0.0</v>
      </c>
      <c r="X211" s="160">
        <v>0.0</v>
      </c>
      <c r="Y211" s="73"/>
      <c r="Z211" s="159">
        <v>15.0</v>
      </c>
      <c r="AB211" s="160">
        <v>15.0</v>
      </c>
      <c r="AD211" s="160">
        <v>0.0</v>
      </c>
      <c r="AF211" s="81">
        <f t="shared" si="1"/>
        <v>3456.8</v>
      </c>
      <c r="AG211" s="78">
        <f t="shared" si="2"/>
        <v>290</v>
      </c>
      <c r="AH211" s="78">
        <f t="shared" si="3"/>
        <v>0</v>
      </c>
      <c r="AI211" s="78">
        <f t="shared" si="4"/>
        <v>290</v>
      </c>
      <c r="AJ211" s="82">
        <f t="shared" si="5"/>
        <v>11.92</v>
      </c>
    </row>
    <row r="212">
      <c r="A212" s="83" t="s">
        <v>30</v>
      </c>
      <c r="B212" s="84">
        <f t="shared" si="6"/>
        <v>45501</v>
      </c>
      <c r="C212" s="85">
        <v>8.0</v>
      </c>
      <c r="D212" s="85" t="s">
        <v>59</v>
      </c>
      <c r="E212" s="170" t="s">
        <v>130</v>
      </c>
      <c r="F212" s="88"/>
      <c r="G212" s="89"/>
      <c r="H212" s="90"/>
      <c r="I212" s="89"/>
      <c r="J212" s="90"/>
      <c r="K212" s="89"/>
      <c r="L212" s="165">
        <v>35.0</v>
      </c>
      <c r="M212" s="89"/>
      <c r="N212" s="166">
        <v>35.0</v>
      </c>
      <c r="O212" s="89"/>
      <c r="P212" s="166">
        <v>0.0</v>
      </c>
      <c r="Q212" s="89"/>
      <c r="R212" s="166">
        <v>0.0</v>
      </c>
      <c r="S212" s="89"/>
      <c r="T212" s="166">
        <v>0.0</v>
      </c>
      <c r="U212" s="89"/>
      <c r="V212" s="166">
        <v>0.0</v>
      </c>
      <c r="W212" s="89"/>
      <c r="X212" s="166">
        <v>0.0</v>
      </c>
      <c r="Y212" s="91"/>
      <c r="Z212" s="165">
        <v>0.0</v>
      </c>
      <c r="AA212" s="89"/>
      <c r="AB212" s="166">
        <v>0.0</v>
      </c>
      <c r="AC212" s="89"/>
      <c r="AD212" s="166">
        <v>0.0</v>
      </c>
      <c r="AE212" s="89"/>
      <c r="AF212" s="92">
        <f t="shared" si="1"/>
        <v>834.4</v>
      </c>
      <c r="AG212" s="85">
        <f t="shared" si="2"/>
        <v>70</v>
      </c>
      <c r="AH212" s="85">
        <f t="shared" si="3"/>
        <v>0</v>
      </c>
      <c r="AI212" s="85">
        <f t="shared" si="4"/>
        <v>70</v>
      </c>
      <c r="AJ212" s="93">
        <f t="shared" si="5"/>
        <v>11.92</v>
      </c>
    </row>
    <row r="213">
      <c r="A213" s="66" t="s">
        <v>11</v>
      </c>
      <c r="B213" s="94">
        <f t="shared" si="6"/>
        <v>45502</v>
      </c>
      <c r="C213" s="68">
        <v>8.0</v>
      </c>
      <c r="D213" s="68" t="s">
        <v>12</v>
      </c>
      <c r="E213" s="171" t="s">
        <v>130</v>
      </c>
      <c r="F213" s="71"/>
      <c r="H213" s="72"/>
      <c r="J213" s="72"/>
      <c r="L213" s="159">
        <v>100.0</v>
      </c>
      <c r="N213" s="160">
        <v>100.0</v>
      </c>
      <c r="P213" s="160">
        <v>0.0</v>
      </c>
      <c r="R213" s="160">
        <v>0.0</v>
      </c>
      <c r="T213" s="160">
        <v>1.0</v>
      </c>
      <c r="V213" s="160">
        <v>1.0</v>
      </c>
      <c r="X213" s="160">
        <v>0.0</v>
      </c>
      <c r="Y213" s="73"/>
      <c r="Z213" s="159">
        <v>26.0</v>
      </c>
      <c r="AB213" s="160">
        <v>26.0</v>
      </c>
      <c r="AD213" s="160">
        <v>0.0</v>
      </c>
      <c r="AF213" s="74">
        <f t="shared" si="1"/>
        <v>3738.84</v>
      </c>
      <c r="AG213" s="68">
        <f t="shared" si="2"/>
        <v>252</v>
      </c>
      <c r="AH213" s="68">
        <f t="shared" si="3"/>
        <v>2</v>
      </c>
      <c r="AI213" s="68">
        <f t="shared" si="4"/>
        <v>254</v>
      </c>
      <c r="AJ213" s="75">
        <f t="shared" si="5"/>
        <v>14.71984252</v>
      </c>
    </row>
    <row r="214">
      <c r="A214" s="76" t="s">
        <v>16</v>
      </c>
      <c r="B214" s="77">
        <f t="shared" si="6"/>
        <v>45503</v>
      </c>
      <c r="C214" s="78">
        <v>8.0</v>
      </c>
      <c r="D214" s="78" t="s">
        <v>12</v>
      </c>
      <c r="E214" s="169" t="s">
        <v>130</v>
      </c>
      <c r="F214" s="71"/>
      <c r="H214" s="72"/>
      <c r="J214" s="72"/>
      <c r="L214" s="159">
        <v>0.0</v>
      </c>
      <c r="N214" s="160">
        <v>100.0</v>
      </c>
      <c r="P214" s="160">
        <v>60.0</v>
      </c>
      <c r="R214" s="160">
        <v>50.0</v>
      </c>
      <c r="T214" s="160">
        <v>0.0</v>
      </c>
      <c r="V214" s="160">
        <v>0.0</v>
      </c>
      <c r="X214" s="160">
        <v>40.0</v>
      </c>
      <c r="Y214" s="73"/>
      <c r="Z214" s="159">
        <v>0.0</v>
      </c>
      <c r="AB214" s="160">
        <v>26.0</v>
      </c>
      <c r="AD214" s="160">
        <v>0.0</v>
      </c>
      <c r="AF214" s="81">
        <f t="shared" si="1"/>
        <v>2789.62</v>
      </c>
      <c r="AG214" s="78">
        <f t="shared" si="2"/>
        <v>276</v>
      </c>
      <c r="AH214" s="78">
        <f t="shared" si="3"/>
        <v>0</v>
      </c>
      <c r="AI214" s="78">
        <f t="shared" si="4"/>
        <v>276</v>
      </c>
      <c r="AJ214" s="82">
        <f t="shared" si="5"/>
        <v>10.10731884</v>
      </c>
    </row>
    <row r="215">
      <c r="A215" s="76" t="s">
        <v>17</v>
      </c>
      <c r="B215" s="77">
        <f t="shared" si="6"/>
        <v>45504</v>
      </c>
      <c r="C215" s="78">
        <v>8.0</v>
      </c>
      <c r="D215" s="78" t="s">
        <v>12</v>
      </c>
      <c r="E215" s="169" t="s">
        <v>130</v>
      </c>
      <c r="F215" s="71"/>
      <c r="H215" s="72"/>
      <c r="J215" s="72"/>
      <c r="L215" s="159">
        <v>100.0</v>
      </c>
      <c r="N215" s="160">
        <v>100.0</v>
      </c>
      <c r="P215" s="160">
        <v>0.0</v>
      </c>
      <c r="R215" s="160">
        <v>0.0</v>
      </c>
      <c r="T215" s="160">
        <v>0.0</v>
      </c>
      <c r="V215" s="160">
        <v>0.0</v>
      </c>
      <c r="X215" s="160">
        <v>0.0</v>
      </c>
      <c r="Y215" s="73"/>
      <c r="Z215" s="159">
        <v>26.0</v>
      </c>
      <c r="AB215" s="160">
        <v>26.0</v>
      </c>
      <c r="AD215" s="160">
        <v>0.0</v>
      </c>
      <c r="AF215" s="81">
        <f t="shared" si="1"/>
        <v>3003.84</v>
      </c>
      <c r="AG215" s="78">
        <f t="shared" si="2"/>
        <v>252</v>
      </c>
      <c r="AH215" s="78">
        <f t="shared" si="3"/>
        <v>0</v>
      </c>
      <c r="AI215" s="78">
        <f t="shared" si="4"/>
        <v>252</v>
      </c>
      <c r="AJ215" s="82">
        <f t="shared" si="5"/>
        <v>11.92</v>
      </c>
    </row>
    <row r="216">
      <c r="A216" s="76" t="s">
        <v>21</v>
      </c>
      <c r="B216" s="77">
        <f t="shared" si="6"/>
        <v>45505</v>
      </c>
      <c r="C216" s="78">
        <v>8.0</v>
      </c>
      <c r="D216" s="78" t="s">
        <v>12</v>
      </c>
      <c r="E216" s="169" t="s">
        <v>130</v>
      </c>
      <c r="F216" s="71"/>
      <c r="H216" s="72"/>
      <c r="J216" s="72"/>
      <c r="L216" s="159">
        <v>100.0</v>
      </c>
      <c r="N216" s="160">
        <v>100.0</v>
      </c>
      <c r="P216" s="160">
        <v>0.0</v>
      </c>
      <c r="R216" s="160">
        <v>0.0</v>
      </c>
      <c r="T216" s="160">
        <v>0.0</v>
      </c>
      <c r="V216" s="160">
        <v>0.0</v>
      </c>
      <c r="X216" s="160">
        <v>0.0</v>
      </c>
      <c r="Y216" s="73"/>
      <c r="Z216" s="159">
        <v>26.0</v>
      </c>
      <c r="AB216" s="160">
        <v>26.0</v>
      </c>
      <c r="AD216" s="160">
        <v>0.0</v>
      </c>
      <c r="AF216" s="81">
        <f t="shared" si="1"/>
        <v>3003.84</v>
      </c>
      <c r="AG216" s="78">
        <f t="shared" si="2"/>
        <v>252</v>
      </c>
      <c r="AH216" s="78">
        <f t="shared" si="3"/>
        <v>0</v>
      </c>
      <c r="AI216" s="78">
        <f t="shared" si="4"/>
        <v>252</v>
      </c>
      <c r="AJ216" s="82">
        <f t="shared" si="5"/>
        <v>11.92</v>
      </c>
    </row>
    <row r="217">
      <c r="A217" s="76" t="s">
        <v>24</v>
      </c>
      <c r="B217" s="77">
        <f t="shared" si="6"/>
        <v>45506</v>
      </c>
      <c r="C217" s="78">
        <v>8.0</v>
      </c>
      <c r="D217" s="78" t="s">
        <v>12</v>
      </c>
      <c r="E217" s="169" t="s">
        <v>130</v>
      </c>
      <c r="F217" s="71"/>
      <c r="H217" s="72"/>
      <c r="J217" s="72"/>
      <c r="L217" s="159">
        <v>100.0</v>
      </c>
      <c r="N217" s="160">
        <v>100.0</v>
      </c>
      <c r="P217" s="160">
        <v>0.0</v>
      </c>
      <c r="R217" s="160">
        <v>0.0</v>
      </c>
      <c r="T217" s="160">
        <v>0.0</v>
      </c>
      <c r="V217" s="160">
        <v>0.0</v>
      </c>
      <c r="X217" s="160">
        <v>0.0</v>
      </c>
      <c r="Y217" s="73"/>
      <c r="Z217" s="159">
        <v>26.0</v>
      </c>
      <c r="AB217" s="160">
        <v>26.0</v>
      </c>
      <c r="AD217" s="160">
        <v>0.0</v>
      </c>
      <c r="AF217" s="81">
        <f t="shared" si="1"/>
        <v>3003.84</v>
      </c>
      <c r="AG217" s="78">
        <f t="shared" si="2"/>
        <v>252</v>
      </c>
      <c r="AH217" s="78">
        <f t="shared" si="3"/>
        <v>0</v>
      </c>
      <c r="AI217" s="78">
        <f t="shared" si="4"/>
        <v>252</v>
      </c>
      <c r="AJ217" s="82">
        <f t="shared" si="5"/>
        <v>11.92</v>
      </c>
    </row>
    <row r="218">
      <c r="A218" s="76" t="s">
        <v>27</v>
      </c>
      <c r="B218" s="77">
        <f t="shared" si="6"/>
        <v>45507</v>
      </c>
      <c r="C218" s="78">
        <v>8.0</v>
      </c>
      <c r="D218" s="78" t="s">
        <v>12</v>
      </c>
      <c r="E218" s="169" t="s">
        <v>130</v>
      </c>
      <c r="F218" s="71"/>
      <c r="H218" s="72"/>
      <c r="J218" s="72"/>
      <c r="L218" s="159">
        <v>100.0</v>
      </c>
      <c r="N218" s="160">
        <v>100.0</v>
      </c>
      <c r="P218" s="160">
        <v>0.0</v>
      </c>
      <c r="R218" s="160">
        <v>0.0</v>
      </c>
      <c r="T218" s="160">
        <v>0.0</v>
      </c>
      <c r="V218" s="160">
        <v>0.0</v>
      </c>
      <c r="X218" s="160">
        <v>0.0</v>
      </c>
      <c r="Y218" s="73"/>
      <c r="Z218" s="159">
        <v>15.0</v>
      </c>
      <c r="AB218" s="160">
        <v>15.0</v>
      </c>
      <c r="AD218" s="160">
        <v>0.0</v>
      </c>
      <c r="AF218" s="81">
        <f t="shared" si="1"/>
        <v>2741.6</v>
      </c>
      <c r="AG218" s="78">
        <f t="shared" si="2"/>
        <v>230</v>
      </c>
      <c r="AH218" s="78">
        <f t="shared" si="3"/>
        <v>0</v>
      </c>
      <c r="AI218" s="78">
        <f t="shared" si="4"/>
        <v>230</v>
      </c>
      <c r="AJ218" s="82">
        <f t="shared" si="5"/>
        <v>11.92</v>
      </c>
    </row>
    <row r="219">
      <c r="A219" s="83" t="s">
        <v>30</v>
      </c>
      <c r="B219" s="84">
        <f t="shared" si="6"/>
        <v>45508</v>
      </c>
      <c r="C219" s="85">
        <v>8.0</v>
      </c>
      <c r="D219" s="85" t="s">
        <v>12</v>
      </c>
      <c r="E219" s="170" t="s">
        <v>130</v>
      </c>
      <c r="F219" s="88"/>
      <c r="G219" s="89"/>
      <c r="H219" s="90"/>
      <c r="I219" s="89"/>
      <c r="J219" s="90"/>
      <c r="K219" s="89"/>
      <c r="L219" s="165">
        <v>0.0</v>
      </c>
      <c r="M219" s="89"/>
      <c r="N219" s="166">
        <v>0.0</v>
      </c>
      <c r="O219" s="89"/>
      <c r="P219" s="166">
        <v>0.0</v>
      </c>
      <c r="Q219" s="89"/>
      <c r="R219" s="166">
        <v>0.0</v>
      </c>
      <c r="S219" s="89"/>
      <c r="T219" s="166">
        <v>0.0</v>
      </c>
      <c r="U219" s="89"/>
      <c r="V219" s="166">
        <v>0.0</v>
      </c>
      <c r="W219" s="89"/>
      <c r="X219" s="166">
        <v>0.0</v>
      </c>
      <c r="Y219" s="91"/>
      <c r="Z219" s="165">
        <v>0.0</v>
      </c>
      <c r="AA219" s="89"/>
      <c r="AB219" s="166">
        <v>0.0</v>
      </c>
      <c r="AC219" s="89"/>
      <c r="AD219" s="166">
        <v>0.0</v>
      </c>
      <c r="AE219" s="89"/>
      <c r="AF219" s="92">
        <f t="shared" si="1"/>
        <v>0</v>
      </c>
      <c r="AG219" s="85">
        <f t="shared" si="2"/>
        <v>0</v>
      </c>
      <c r="AH219" s="85">
        <f t="shared" si="3"/>
        <v>0</v>
      </c>
      <c r="AI219" s="85">
        <f t="shared" si="4"/>
        <v>0</v>
      </c>
      <c r="AJ219" s="93" t="str">
        <f t="shared" si="5"/>
        <v/>
      </c>
    </row>
    <row r="220">
      <c r="A220" s="66" t="s">
        <v>11</v>
      </c>
      <c r="B220" s="94">
        <f t="shared" si="6"/>
        <v>45509</v>
      </c>
      <c r="C220" s="68">
        <v>8.0</v>
      </c>
      <c r="D220" s="68" t="s">
        <v>33</v>
      </c>
      <c r="E220" s="171" t="s">
        <v>130</v>
      </c>
      <c r="F220" s="71"/>
      <c r="H220" s="72"/>
      <c r="J220" s="72"/>
      <c r="L220" s="159">
        <v>100.0</v>
      </c>
      <c r="N220" s="160">
        <v>100.0</v>
      </c>
      <c r="P220" s="160">
        <v>0.0</v>
      </c>
      <c r="R220" s="160">
        <v>0.0</v>
      </c>
      <c r="T220" s="160">
        <v>1.0</v>
      </c>
      <c r="V220" s="160">
        <v>1.0</v>
      </c>
      <c r="X220" s="160">
        <v>0.0</v>
      </c>
      <c r="Y220" s="73"/>
      <c r="Z220" s="159">
        <v>26.0</v>
      </c>
      <c r="AB220" s="160">
        <v>26.0</v>
      </c>
      <c r="AD220" s="160">
        <v>0.0</v>
      </c>
      <c r="AF220" s="74">
        <f t="shared" si="1"/>
        <v>3738.84</v>
      </c>
      <c r="AG220" s="68">
        <f t="shared" si="2"/>
        <v>252</v>
      </c>
      <c r="AH220" s="68">
        <f t="shared" si="3"/>
        <v>2</v>
      </c>
      <c r="AI220" s="68">
        <f t="shared" si="4"/>
        <v>254</v>
      </c>
      <c r="AJ220" s="75">
        <f t="shared" si="5"/>
        <v>14.71984252</v>
      </c>
    </row>
    <row r="221">
      <c r="A221" s="76" t="s">
        <v>16</v>
      </c>
      <c r="B221" s="77">
        <f t="shared" si="6"/>
        <v>45510</v>
      </c>
      <c r="C221" s="78">
        <v>8.0</v>
      </c>
      <c r="D221" s="78" t="s">
        <v>33</v>
      </c>
      <c r="E221" s="169" t="s">
        <v>130</v>
      </c>
      <c r="F221" s="71"/>
      <c r="H221" s="72"/>
      <c r="J221" s="72"/>
      <c r="L221" s="159">
        <v>0.0</v>
      </c>
      <c r="N221" s="160">
        <v>100.0</v>
      </c>
      <c r="P221" s="160">
        <v>60.0</v>
      </c>
      <c r="R221" s="160">
        <v>50.0</v>
      </c>
      <c r="T221" s="160">
        <v>0.0</v>
      </c>
      <c r="V221" s="160">
        <v>0.0</v>
      </c>
      <c r="X221" s="160">
        <v>40.0</v>
      </c>
      <c r="Y221" s="73"/>
      <c r="Z221" s="159">
        <v>0.0</v>
      </c>
      <c r="AB221" s="160">
        <v>26.0</v>
      </c>
      <c r="AD221" s="160">
        <v>0.0</v>
      </c>
      <c r="AF221" s="81">
        <f t="shared" si="1"/>
        <v>2789.62</v>
      </c>
      <c r="AG221" s="78">
        <f t="shared" si="2"/>
        <v>276</v>
      </c>
      <c r="AH221" s="78">
        <f t="shared" si="3"/>
        <v>0</v>
      </c>
      <c r="AI221" s="78">
        <f t="shared" si="4"/>
        <v>276</v>
      </c>
      <c r="AJ221" s="82">
        <f t="shared" si="5"/>
        <v>10.10731884</v>
      </c>
    </row>
    <row r="222">
      <c r="A222" s="76" t="s">
        <v>17</v>
      </c>
      <c r="B222" s="77">
        <f t="shared" si="6"/>
        <v>45511</v>
      </c>
      <c r="C222" s="78">
        <v>8.0</v>
      </c>
      <c r="D222" s="78" t="s">
        <v>33</v>
      </c>
      <c r="E222" s="169" t="s">
        <v>130</v>
      </c>
      <c r="F222" s="71"/>
      <c r="H222" s="72"/>
      <c r="J222" s="72"/>
      <c r="L222" s="159">
        <v>100.0</v>
      </c>
      <c r="N222" s="160">
        <v>100.0</v>
      </c>
      <c r="P222" s="160">
        <v>0.0</v>
      </c>
      <c r="R222" s="160">
        <v>0.0</v>
      </c>
      <c r="T222" s="160">
        <v>0.0</v>
      </c>
      <c r="V222" s="160">
        <v>0.0</v>
      </c>
      <c r="X222" s="160">
        <v>0.0</v>
      </c>
      <c r="Y222" s="73"/>
      <c r="Z222" s="159">
        <v>26.0</v>
      </c>
      <c r="AB222" s="160">
        <v>26.0</v>
      </c>
      <c r="AD222" s="160">
        <v>0.0</v>
      </c>
      <c r="AF222" s="81">
        <f t="shared" si="1"/>
        <v>3003.84</v>
      </c>
      <c r="AG222" s="78">
        <f t="shared" si="2"/>
        <v>252</v>
      </c>
      <c r="AH222" s="78">
        <f t="shared" si="3"/>
        <v>0</v>
      </c>
      <c r="AI222" s="78">
        <f t="shared" si="4"/>
        <v>252</v>
      </c>
      <c r="AJ222" s="82">
        <f t="shared" si="5"/>
        <v>11.92</v>
      </c>
    </row>
    <row r="223">
      <c r="A223" s="76" t="s">
        <v>21</v>
      </c>
      <c r="B223" s="77">
        <f t="shared" si="6"/>
        <v>45512</v>
      </c>
      <c r="C223" s="78">
        <v>8.0</v>
      </c>
      <c r="D223" s="78" t="s">
        <v>33</v>
      </c>
      <c r="E223" s="169" t="s">
        <v>130</v>
      </c>
      <c r="F223" s="71"/>
      <c r="H223" s="72"/>
      <c r="J223" s="72"/>
      <c r="L223" s="159">
        <v>100.0</v>
      </c>
      <c r="N223" s="160">
        <v>100.0</v>
      </c>
      <c r="P223" s="160">
        <v>0.0</v>
      </c>
      <c r="R223" s="160">
        <v>0.0</v>
      </c>
      <c r="T223" s="160">
        <v>0.0</v>
      </c>
      <c r="V223" s="160">
        <v>0.0</v>
      </c>
      <c r="X223" s="160">
        <v>0.0</v>
      </c>
      <c r="Y223" s="73"/>
      <c r="Z223" s="159">
        <v>26.0</v>
      </c>
      <c r="AB223" s="160">
        <v>26.0</v>
      </c>
      <c r="AD223" s="160">
        <v>0.0</v>
      </c>
      <c r="AF223" s="81">
        <f t="shared" si="1"/>
        <v>3003.84</v>
      </c>
      <c r="AG223" s="78">
        <f t="shared" si="2"/>
        <v>252</v>
      </c>
      <c r="AH223" s="78">
        <f t="shared" si="3"/>
        <v>0</v>
      </c>
      <c r="AI223" s="78">
        <f t="shared" si="4"/>
        <v>252</v>
      </c>
      <c r="AJ223" s="82">
        <f t="shared" si="5"/>
        <v>11.92</v>
      </c>
    </row>
    <row r="224">
      <c r="A224" s="76" t="s">
        <v>24</v>
      </c>
      <c r="B224" s="77">
        <f t="shared" si="6"/>
        <v>45513</v>
      </c>
      <c r="C224" s="78">
        <v>8.0</v>
      </c>
      <c r="D224" s="78" t="s">
        <v>33</v>
      </c>
      <c r="E224" s="169" t="s">
        <v>130</v>
      </c>
      <c r="F224" s="71"/>
      <c r="H224" s="72"/>
      <c r="J224" s="72"/>
      <c r="L224" s="159">
        <v>0.0</v>
      </c>
      <c r="N224" s="160">
        <v>100.0</v>
      </c>
      <c r="P224" s="160">
        <v>60.0</v>
      </c>
      <c r="R224" s="160">
        <v>50.0</v>
      </c>
      <c r="T224" s="160">
        <v>0.0</v>
      </c>
      <c r="V224" s="160">
        <v>0.0</v>
      </c>
      <c r="X224" s="160">
        <v>40.0</v>
      </c>
      <c r="Y224" s="73"/>
      <c r="Z224" s="159">
        <v>0.0</v>
      </c>
      <c r="AB224" s="160">
        <v>26.0</v>
      </c>
      <c r="AD224" s="160">
        <v>0.0</v>
      </c>
      <c r="AF224" s="81">
        <f t="shared" si="1"/>
        <v>2789.62</v>
      </c>
      <c r="AG224" s="78">
        <f t="shared" si="2"/>
        <v>276</v>
      </c>
      <c r="AH224" s="78">
        <f t="shared" si="3"/>
        <v>0</v>
      </c>
      <c r="AI224" s="78">
        <f t="shared" si="4"/>
        <v>276</v>
      </c>
      <c r="AJ224" s="82">
        <f t="shared" si="5"/>
        <v>10.10731884</v>
      </c>
    </row>
    <row r="225">
      <c r="A225" s="76" t="s">
        <v>27</v>
      </c>
      <c r="B225" s="77">
        <f t="shared" si="6"/>
        <v>45514</v>
      </c>
      <c r="C225" s="78">
        <v>8.0</v>
      </c>
      <c r="D225" s="78" t="s">
        <v>33</v>
      </c>
      <c r="E225" s="169" t="s">
        <v>130</v>
      </c>
      <c r="F225" s="71"/>
      <c r="H225" s="72"/>
      <c r="J225" s="72"/>
      <c r="L225" s="183">
        <v>100.0</v>
      </c>
      <c r="N225" s="184">
        <v>100.0</v>
      </c>
      <c r="P225" s="184">
        <v>0.0</v>
      </c>
      <c r="R225" s="184">
        <v>0.0</v>
      </c>
      <c r="T225" s="184">
        <v>0.0</v>
      </c>
      <c r="V225" s="184">
        <v>0.0</v>
      </c>
      <c r="X225" s="184">
        <v>0.0</v>
      </c>
      <c r="Y225" s="73"/>
      <c r="Z225" s="183">
        <v>10.0</v>
      </c>
      <c r="AB225" s="184">
        <v>10.0</v>
      </c>
      <c r="AD225" s="184">
        <v>0.0</v>
      </c>
      <c r="AF225" s="81">
        <f t="shared" si="1"/>
        <v>2622.4</v>
      </c>
      <c r="AG225" s="78">
        <f t="shared" si="2"/>
        <v>220</v>
      </c>
      <c r="AH225" s="78">
        <f t="shared" si="3"/>
        <v>0</v>
      </c>
      <c r="AI225" s="78">
        <f t="shared" si="4"/>
        <v>220</v>
      </c>
      <c r="AJ225" s="82">
        <f t="shared" si="5"/>
        <v>11.92</v>
      </c>
    </row>
    <row r="226">
      <c r="A226" s="83" t="s">
        <v>30</v>
      </c>
      <c r="B226" s="84">
        <f t="shared" si="6"/>
        <v>45515</v>
      </c>
      <c r="C226" s="85">
        <v>8.0</v>
      </c>
      <c r="D226" s="85" t="s">
        <v>33</v>
      </c>
      <c r="E226" s="170" t="s">
        <v>130</v>
      </c>
      <c r="F226" s="88"/>
      <c r="G226" s="89"/>
      <c r="H226" s="90"/>
      <c r="I226" s="89"/>
      <c r="J226" s="90"/>
      <c r="K226" s="89"/>
      <c r="L226" s="185">
        <v>0.0</v>
      </c>
      <c r="M226" s="89"/>
      <c r="N226" s="186">
        <v>0.0</v>
      </c>
      <c r="O226" s="89"/>
      <c r="P226" s="186">
        <v>0.0</v>
      </c>
      <c r="Q226" s="89"/>
      <c r="R226" s="186">
        <v>0.0</v>
      </c>
      <c r="S226" s="89"/>
      <c r="T226" s="186">
        <v>0.0</v>
      </c>
      <c r="U226" s="89"/>
      <c r="V226" s="186">
        <v>0.0</v>
      </c>
      <c r="W226" s="89"/>
      <c r="X226" s="186">
        <v>0.0</v>
      </c>
      <c r="Y226" s="91"/>
      <c r="Z226" s="185">
        <v>0.0</v>
      </c>
      <c r="AA226" s="89"/>
      <c r="AB226" s="186">
        <v>0.0</v>
      </c>
      <c r="AC226" s="89"/>
      <c r="AD226" s="186">
        <v>0.0</v>
      </c>
      <c r="AE226" s="89"/>
      <c r="AF226" s="92">
        <f t="shared" si="1"/>
        <v>0</v>
      </c>
      <c r="AG226" s="85">
        <f t="shared" si="2"/>
        <v>0</v>
      </c>
      <c r="AH226" s="85">
        <f t="shared" si="3"/>
        <v>0</v>
      </c>
      <c r="AI226" s="85">
        <f t="shared" si="4"/>
        <v>0</v>
      </c>
      <c r="AJ226" s="93" t="str">
        <f t="shared" si="5"/>
        <v/>
      </c>
    </row>
    <row r="227">
      <c r="A227" s="66" t="s">
        <v>11</v>
      </c>
      <c r="B227" s="94">
        <f t="shared" si="6"/>
        <v>45516</v>
      </c>
      <c r="C227" s="68">
        <v>9.0</v>
      </c>
      <c r="D227" s="68" t="s">
        <v>48</v>
      </c>
      <c r="E227" s="171" t="s">
        <v>130</v>
      </c>
      <c r="F227" s="71"/>
      <c r="H227" s="72"/>
      <c r="J227" s="72"/>
      <c r="L227" s="173">
        <v>100.0</v>
      </c>
      <c r="N227" s="174">
        <v>100.0</v>
      </c>
      <c r="P227" s="174">
        <v>0.0</v>
      </c>
      <c r="R227" s="174">
        <v>0.0</v>
      </c>
      <c r="T227" s="174">
        <v>1.0</v>
      </c>
      <c r="V227" s="174">
        <v>1.0</v>
      </c>
      <c r="X227" s="174">
        <v>0.0</v>
      </c>
      <c r="Y227" s="73"/>
      <c r="Z227" s="173">
        <v>28.0</v>
      </c>
      <c r="AB227" s="174">
        <v>28.0</v>
      </c>
      <c r="AD227" s="174">
        <v>0.0</v>
      </c>
      <c r="AF227" s="74">
        <f t="shared" si="1"/>
        <v>3786.52</v>
      </c>
      <c r="AG227" s="68">
        <f t="shared" si="2"/>
        <v>256</v>
      </c>
      <c r="AH227" s="68">
        <f t="shared" si="3"/>
        <v>2</v>
      </c>
      <c r="AI227" s="68">
        <f t="shared" si="4"/>
        <v>258</v>
      </c>
      <c r="AJ227" s="75">
        <f t="shared" si="5"/>
        <v>14.67643411</v>
      </c>
    </row>
    <row r="228">
      <c r="A228" s="76" t="s">
        <v>16</v>
      </c>
      <c r="B228" s="77">
        <f t="shared" si="6"/>
        <v>45517</v>
      </c>
      <c r="C228" s="78">
        <v>9.0</v>
      </c>
      <c r="D228" s="78" t="s">
        <v>48</v>
      </c>
      <c r="E228" s="169" t="s">
        <v>130</v>
      </c>
      <c r="F228" s="71"/>
      <c r="H228" s="72"/>
      <c r="J228" s="72"/>
      <c r="L228" s="173">
        <v>0.0</v>
      </c>
      <c r="N228" s="174">
        <v>100.0</v>
      </c>
      <c r="P228" s="174">
        <v>60.0</v>
      </c>
      <c r="R228" s="174">
        <v>50.0</v>
      </c>
      <c r="T228" s="174">
        <v>0.0</v>
      </c>
      <c r="V228" s="174">
        <v>0.0</v>
      </c>
      <c r="X228" s="174">
        <v>40.0</v>
      </c>
      <c r="Y228" s="73"/>
      <c r="Z228" s="173">
        <v>0.0</v>
      </c>
      <c r="AB228" s="174">
        <v>28.0</v>
      </c>
      <c r="AD228" s="174">
        <v>0.0</v>
      </c>
      <c r="AF228" s="81">
        <f t="shared" si="1"/>
        <v>2813.46</v>
      </c>
      <c r="AG228" s="78">
        <f t="shared" si="2"/>
        <v>278</v>
      </c>
      <c r="AH228" s="78">
        <f t="shared" si="3"/>
        <v>0</v>
      </c>
      <c r="AI228" s="78">
        <f t="shared" si="4"/>
        <v>278</v>
      </c>
      <c r="AJ228" s="82">
        <f t="shared" si="5"/>
        <v>10.12035971</v>
      </c>
    </row>
    <row r="229">
      <c r="A229" s="76" t="s">
        <v>17</v>
      </c>
      <c r="B229" s="77">
        <f t="shared" si="6"/>
        <v>45518</v>
      </c>
      <c r="C229" s="78">
        <v>9.0</v>
      </c>
      <c r="D229" s="78" t="s">
        <v>48</v>
      </c>
      <c r="E229" s="169" t="s">
        <v>130</v>
      </c>
      <c r="F229" s="71"/>
      <c r="H229" s="72"/>
      <c r="J229" s="72"/>
      <c r="L229" s="173">
        <v>100.0</v>
      </c>
      <c r="N229" s="174">
        <v>100.0</v>
      </c>
      <c r="P229" s="174">
        <v>0.0</v>
      </c>
      <c r="R229" s="174">
        <v>0.0</v>
      </c>
      <c r="T229" s="174">
        <v>0.0</v>
      </c>
      <c r="V229" s="174">
        <v>0.0</v>
      </c>
      <c r="X229" s="174">
        <v>0.0</v>
      </c>
      <c r="Y229" s="73"/>
      <c r="Z229" s="173">
        <v>28.0</v>
      </c>
      <c r="AB229" s="174">
        <v>28.0</v>
      </c>
      <c r="AD229" s="174">
        <v>0.0</v>
      </c>
      <c r="AF229" s="81">
        <f t="shared" si="1"/>
        <v>3051.52</v>
      </c>
      <c r="AG229" s="78">
        <f t="shared" si="2"/>
        <v>256</v>
      </c>
      <c r="AH229" s="78">
        <f t="shared" si="3"/>
        <v>0</v>
      </c>
      <c r="AI229" s="78">
        <f t="shared" si="4"/>
        <v>256</v>
      </c>
      <c r="AJ229" s="82">
        <f t="shared" si="5"/>
        <v>11.92</v>
      </c>
    </row>
    <row r="230">
      <c r="A230" s="76" t="s">
        <v>21</v>
      </c>
      <c r="B230" s="77">
        <f t="shared" si="6"/>
        <v>45519</v>
      </c>
      <c r="C230" s="78">
        <v>9.0</v>
      </c>
      <c r="D230" s="78" t="s">
        <v>48</v>
      </c>
      <c r="E230" s="169" t="s">
        <v>130</v>
      </c>
      <c r="F230" s="71"/>
      <c r="H230" s="72"/>
      <c r="J230" s="72"/>
      <c r="L230" s="173">
        <v>0.0</v>
      </c>
      <c r="N230" s="174">
        <v>100.0</v>
      </c>
      <c r="P230" s="174">
        <v>60.0</v>
      </c>
      <c r="R230" s="174">
        <v>50.0</v>
      </c>
      <c r="T230" s="174">
        <v>0.0</v>
      </c>
      <c r="V230" s="174">
        <v>0.0</v>
      </c>
      <c r="X230" s="174">
        <v>40.0</v>
      </c>
      <c r="Y230" s="73"/>
      <c r="Z230" s="173">
        <v>0.0</v>
      </c>
      <c r="AB230" s="174">
        <v>28.0</v>
      </c>
      <c r="AD230" s="174">
        <v>0.0</v>
      </c>
      <c r="AF230" s="81">
        <f t="shared" si="1"/>
        <v>2813.46</v>
      </c>
      <c r="AG230" s="78">
        <f t="shared" si="2"/>
        <v>278</v>
      </c>
      <c r="AH230" s="78">
        <f t="shared" si="3"/>
        <v>0</v>
      </c>
      <c r="AI230" s="78">
        <f t="shared" si="4"/>
        <v>278</v>
      </c>
      <c r="AJ230" s="82">
        <f t="shared" si="5"/>
        <v>10.12035971</v>
      </c>
    </row>
    <row r="231">
      <c r="A231" s="76" t="s">
        <v>24</v>
      </c>
      <c r="B231" s="77">
        <f t="shared" si="6"/>
        <v>45520</v>
      </c>
      <c r="C231" s="78">
        <v>9.0</v>
      </c>
      <c r="D231" s="78" t="s">
        <v>48</v>
      </c>
      <c r="E231" s="169" t="s">
        <v>130</v>
      </c>
      <c r="F231" s="71"/>
      <c r="H231" s="72"/>
      <c r="J231" s="72"/>
      <c r="L231" s="173">
        <v>100.0</v>
      </c>
      <c r="N231" s="174">
        <v>100.0</v>
      </c>
      <c r="P231" s="174">
        <v>0.0</v>
      </c>
      <c r="R231" s="174">
        <v>0.0</v>
      </c>
      <c r="T231" s="174">
        <v>0.0</v>
      </c>
      <c r="V231" s="174">
        <v>0.0</v>
      </c>
      <c r="X231" s="174">
        <v>0.0</v>
      </c>
      <c r="Y231" s="73"/>
      <c r="Z231" s="173">
        <v>28.0</v>
      </c>
      <c r="AB231" s="174">
        <v>28.0</v>
      </c>
      <c r="AD231" s="174">
        <v>0.0</v>
      </c>
      <c r="AF231" s="81">
        <f t="shared" si="1"/>
        <v>3051.52</v>
      </c>
      <c r="AG231" s="78">
        <f t="shared" si="2"/>
        <v>256</v>
      </c>
      <c r="AH231" s="78">
        <f t="shared" si="3"/>
        <v>0</v>
      </c>
      <c r="AI231" s="78">
        <f t="shared" si="4"/>
        <v>256</v>
      </c>
      <c r="AJ231" s="82">
        <f t="shared" si="5"/>
        <v>11.92</v>
      </c>
    </row>
    <row r="232">
      <c r="A232" s="76" t="s">
        <v>27</v>
      </c>
      <c r="B232" s="77">
        <f t="shared" si="6"/>
        <v>45521</v>
      </c>
      <c r="C232" s="78">
        <v>9.0</v>
      </c>
      <c r="D232" s="78" t="s">
        <v>48</v>
      </c>
      <c r="E232" s="169" t="s">
        <v>130</v>
      </c>
      <c r="F232" s="71"/>
      <c r="H232" s="72"/>
      <c r="J232" s="72"/>
      <c r="L232" s="173">
        <v>100.0</v>
      </c>
      <c r="N232" s="174">
        <v>100.0</v>
      </c>
      <c r="P232" s="174">
        <v>0.0</v>
      </c>
      <c r="R232" s="174">
        <v>0.0</v>
      </c>
      <c r="T232" s="174">
        <v>0.0</v>
      </c>
      <c r="V232" s="174">
        <v>0.0</v>
      </c>
      <c r="X232" s="174">
        <v>0.0</v>
      </c>
      <c r="Y232" s="73"/>
      <c r="Z232" s="173">
        <v>10.0</v>
      </c>
      <c r="AB232" s="174">
        <v>10.0</v>
      </c>
      <c r="AD232" s="174">
        <v>0.0</v>
      </c>
      <c r="AF232" s="81">
        <f t="shared" si="1"/>
        <v>2622.4</v>
      </c>
      <c r="AG232" s="78">
        <f t="shared" si="2"/>
        <v>220</v>
      </c>
      <c r="AH232" s="78">
        <f t="shared" si="3"/>
        <v>0</v>
      </c>
      <c r="AI232" s="78">
        <f t="shared" si="4"/>
        <v>220</v>
      </c>
      <c r="AJ232" s="82">
        <f t="shared" si="5"/>
        <v>11.92</v>
      </c>
    </row>
    <row r="233">
      <c r="A233" s="83" t="s">
        <v>30</v>
      </c>
      <c r="B233" s="84">
        <f t="shared" si="6"/>
        <v>45522</v>
      </c>
      <c r="C233" s="85">
        <v>9.0</v>
      </c>
      <c r="D233" s="85" t="s">
        <v>48</v>
      </c>
      <c r="E233" s="170" t="s">
        <v>130</v>
      </c>
      <c r="F233" s="88"/>
      <c r="G233" s="89"/>
      <c r="H233" s="90"/>
      <c r="I233" s="89"/>
      <c r="J233" s="90"/>
      <c r="K233" s="89"/>
      <c r="L233" s="179">
        <v>0.0</v>
      </c>
      <c r="M233" s="89"/>
      <c r="N233" s="180">
        <v>0.0</v>
      </c>
      <c r="O233" s="89"/>
      <c r="P233" s="180">
        <v>0.0</v>
      </c>
      <c r="Q233" s="89"/>
      <c r="R233" s="180">
        <v>0.0</v>
      </c>
      <c r="S233" s="89"/>
      <c r="T233" s="180">
        <v>0.0</v>
      </c>
      <c r="U233" s="89"/>
      <c r="V233" s="180">
        <v>0.0</v>
      </c>
      <c r="W233" s="89"/>
      <c r="X233" s="180">
        <v>0.0</v>
      </c>
      <c r="Y233" s="91"/>
      <c r="Z233" s="179">
        <v>0.0</v>
      </c>
      <c r="AA233" s="89"/>
      <c r="AB233" s="180">
        <v>0.0</v>
      </c>
      <c r="AC233" s="89"/>
      <c r="AD233" s="180">
        <v>0.0</v>
      </c>
      <c r="AE233" s="89"/>
      <c r="AF233" s="92">
        <f t="shared" si="1"/>
        <v>0</v>
      </c>
      <c r="AG233" s="85">
        <f t="shared" si="2"/>
        <v>0</v>
      </c>
      <c r="AH233" s="85">
        <f t="shared" si="3"/>
        <v>0</v>
      </c>
      <c r="AI233" s="85">
        <f t="shared" si="4"/>
        <v>0</v>
      </c>
      <c r="AJ233" s="93" t="str">
        <f t="shared" si="5"/>
        <v/>
      </c>
    </row>
    <row r="234">
      <c r="A234" s="66" t="s">
        <v>11</v>
      </c>
      <c r="B234" s="94">
        <f t="shared" si="6"/>
        <v>45523</v>
      </c>
      <c r="C234" s="68">
        <v>9.0</v>
      </c>
      <c r="D234" s="68" t="s">
        <v>59</v>
      </c>
      <c r="E234" s="171" t="s">
        <v>130</v>
      </c>
      <c r="F234" s="71"/>
      <c r="H234" s="72"/>
      <c r="J234" s="72"/>
      <c r="L234" s="159">
        <v>100.0</v>
      </c>
      <c r="N234" s="160">
        <v>100.0</v>
      </c>
      <c r="P234" s="160">
        <v>0.0</v>
      </c>
      <c r="R234" s="160">
        <v>0.0</v>
      </c>
      <c r="T234" s="160">
        <v>1.0</v>
      </c>
      <c r="V234" s="160">
        <v>1.0</v>
      </c>
      <c r="X234" s="160">
        <v>0.0</v>
      </c>
      <c r="Y234" s="73"/>
      <c r="Z234" s="159">
        <v>28.0</v>
      </c>
      <c r="AB234" s="160">
        <v>28.0</v>
      </c>
      <c r="AD234" s="160">
        <v>0.0</v>
      </c>
      <c r="AF234" s="74">
        <f t="shared" si="1"/>
        <v>3786.52</v>
      </c>
      <c r="AG234" s="68">
        <f t="shared" si="2"/>
        <v>256</v>
      </c>
      <c r="AH234" s="68">
        <f t="shared" si="3"/>
        <v>2</v>
      </c>
      <c r="AI234" s="68">
        <f t="shared" si="4"/>
        <v>258</v>
      </c>
      <c r="AJ234" s="75">
        <f t="shared" si="5"/>
        <v>14.67643411</v>
      </c>
    </row>
    <row r="235">
      <c r="A235" s="76" t="s">
        <v>16</v>
      </c>
      <c r="B235" s="77">
        <f t="shared" si="6"/>
        <v>45524</v>
      </c>
      <c r="C235" s="78">
        <v>9.0</v>
      </c>
      <c r="D235" s="78" t="s">
        <v>59</v>
      </c>
      <c r="E235" s="169" t="s">
        <v>130</v>
      </c>
      <c r="F235" s="71"/>
      <c r="H235" s="72"/>
      <c r="J235" s="72"/>
      <c r="L235" s="159">
        <v>100.0</v>
      </c>
      <c r="N235" s="160">
        <v>100.0</v>
      </c>
      <c r="P235" s="160">
        <v>0.0</v>
      </c>
      <c r="R235" s="160">
        <v>0.0</v>
      </c>
      <c r="T235" s="160">
        <v>0.0</v>
      </c>
      <c r="V235" s="160">
        <v>0.0</v>
      </c>
      <c r="X235" s="160">
        <v>0.0</v>
      </c>
      <c r="Y235" s="73"/>
      <c r="Z235" s="159">
        <v>28.0</v>
      </c>
      <c r="AB235" s="160">
        <v>28.0</v>
      </c>
      <c r="AD235" s="160">
        <v>0.0</v>
      </c>
      <c r="AF235" s="81">
        <f t="shared" si="1"/>
        <v>3051.52</v>
      </c>
      <c r="AG235" s="78">
        <f t="shared" si="2"/>
        <v>256</v>
      </c>
      <c r="AH235" s="78">
        <f t="shared" si="3"/>
        <v>0</v>
      </c>
      <c r="AI235" s="78">
        <f t="shared" si="4"/>
        <v>256</v>
      </c>
      <c r="AJ235" s="82">
        <f t="shared" si="5"/>
        <v>11.92</v>
      </c>
    </row>
    <row r="236">
      <c r="A236" s="76" t="s">
        <v>17</v>
      </c>
      <c r="B236" s="77">
        <f t="shared" si="6"/>
        <v>45525</v>
      </c>
      <c r="C236" s="78">
        <v>9.0</v>
      </c>
      <c r="D236" s="78" t="s">
        <v>59</v>
      </c>
      <c r="E236" s="169" t="s">
        <v>130</v>
      </c>
      <c r="F236" s="71"/>
      <c r="H236" s="72"/>
      <c r="J236" s="72"/>
      <c r="L236" s="159">
        <v>100.0</v>
      </c>
      <c r="N236" s="160">
        <v>100.0</v>
      </c>
      <c r="P236" s="160">
        <v>0.0</v>
      </c>
      <c r="R236" s="160">
        <v>0.0</v>
      </c>
      <c r="T236" s="160">
        <v>0.0</v>
      </c>
      <c r="V236" s="160">
        <v>0.0</v>
      </c>
      <c r="X236" s="160">
        <v>0.0</v>
      </c>
      <c r="Y236" s="73"/>
      <c r="Z236" s="159">
        <v>28.0</v>
      </c>
      <c r="AB236" s="160">
        <v>28.0</v>
      </c>
      <c r="AD236" s="160">
        <v>0.0</v>
      </c>
      <c r="AF236" s="81">
        <f t="shared" si="1"/>
        <v>3051.52</v>
      </c>
      <c r="AG236" s="78">
        <f t="shared" si="2"/>
        <v>256</v>
      </c>
      <c r="AH236" s="78">
        <f t="shared" si="3"/>
        <v>0</v>
      </c>
      <c r="AI236" s="78">
        <f t="shared" si="4"/>
        <v>256</v>
      </c>
      <c r="AJ236" s="82">
        <f t="shared" si="5"/>
        <v>11.92</v>
      </c>
    </row>
    <row r="237">
      <c r="A237" s="76" t="s">
        <v>21</v>
      </c>
      <c r="B237" s="77">
        <f t="shared" si="6"/>
        <v>45526</v>
      </c>
      <c r="C237" s="78">
        <v>9.0</v>
      </c>
      <c r="D237" s="78" t="s">
        <v>59</v>
      </c>
      <c r="E237" s="169" t="s">
        <v>130</v>
      </c>
      <c r="F237" s="71"/>
      <c r="H237" s="72"/>
      <c r="J237" s="72"/>
      <c r="L237" s="159">
        <v>0.0</v>
      </c>
      <c r="N237" s="160">
        <v>100.0</v>
      </c>
      <c r="P237" s="160">
        <v>60.0</v>
      </c>
      <c r="R237" s="160">
        <v>60.0</v>
      </c>
      <c r="T237" s="160">
        <v>0.0</v>
      </c>
      <c r="V237" s="160">
        <v>0.0</v>
      </c>
      <c r="X237" s="160">
        <v>40.0</v>
      </c>
      <c r="Y237" s="73"/>
      <c r="Z237" s="159">
        <v>0.0</v>
      </c>
      <c r="AB237" s="160">
        <v>28.0</v>
      </c>
      <c r="AD237" s="160">
        <v>0.0</v>
      </c>
      <c r="AF237" s="81">
        <f t="shared" si="1"/>
        <v>2860.76</v>
      </c>
      <c r="AG237" s="78">
        <f t="shared" si="2"/>
        <v>288</v>
      </c>
      <c r="AH237" s="78">
        <f t="shared" si="3"/>
        <v>0</v>
      </c>
      <c r="AI237" s="78">
        <f t="shared" si="4"/>
        <v>288</v>
      </c>
      <c r="AJ237" s="82">
        <f t="shared" si="5"/>
        <v>9.933194444</v>
      </c>
    </row>
    <row r="238">
      <c r="A238" s="76" t="s">
        <v>24</v>
      </c>
      <c r="B238" s="77">
        <f t="shared" si="6"/>
        <v>45527</v>
      </c>
      <c r="C238" s="78">
        <v>9.0</v>
      </c>
      <c r="D238" s="78" t="s">
        <v>59</v>
      </c>
      <c r="E238" s="169" t="s">
        <v>130</v>
      </c>
      <c r="F238" s="71"/>
      <c r="H238" s="72"/>
      <c r="J238" s="72"/>
      <c r="L238" s="159">
        <v>100.0</v>
      </c>
      <c r="N238" s="160">
        <v>100.0</v>
      </c>
      <c r="P238" s="160">
        <v>0.0</v>
      </c>
      <c r="R238" s="160">
        <v>0.0</v>
      </c>
      <c r="T238" s="160">
        <v>0.0</v>
      </c>
      <c r="V238" s="160">
        <v>0.0</v>
      </c>
      <c r="X238" s="160">
        <v>0.0</v>
      </c>
      <c r="Y238" s="73"/>
      <c r="Z238" s="159">
        <v>29.0</v>
      </c>
      <c r="AB238" s="160">
        <v>28.0</v>
      </c>
      <c r="AD238" s="160">
        <v>0.0</v>
      </c>
      <c r="AF238" s="81">
        <f t="shared" si="1"/>
        <v>3063.44</v>
      </c>
      <c r="AG238" s="78">
        <f t="shared" si="2"/>
        <v>257</v>
      </c>
      <c r="AH238" s="78">
        <f t="shared" si="3"/>
        <v>0</v>
      </c>
      <c r="AI238" s="78">
        <f t="shared" si="4"/>
        <v>257</v>
      </c>
      <c r="AJ238" s="82">
        <f t="shared" si="5"/>
        <v>11.92</v>
      </c>
    </row>
    <row r="239">
      <c r="A239" s="76" t="s">
        <v>27</v>
      </c>
      <c r="B239" s="77">
        <f t="shared" si="6"/>
        <v>45528</v>
      </c>
      <c r="C239" s="78">
        <v>9.0</v>
      </c>
      <c r="D239" s="78" t="s">
        <v>59</v>
      </c>
      <c r="E239" s="169" t="s">
        <v>130</v>
      </c>
      <c r="F239" s="71"/>
      <c r="H239" s="72"/>
      <c r="J239" s="72"/>
      <c r="L239" s="159">
        <v>100.0</v>
      </c>
      <c r="N239" s="160">
        <v>100.0</v>
      </c>
      <c r="P239" s="160">
        <v>0.0</v>
      </c>
      <c r="R239" s="160">
        <v>0.0</v>
      </c>
      <c r="T239" s="160">
        <v>0.0</v>
      </c>
      <c r="V239" s="160">
        <v>0.0</v>
      </c>
      <c r="X239" s="160">
        <v>0.0</v>
      </c>
      <c r="Y239" s="73"/>
      <c r="Z239" s="159">
        <v>10.0</v>
      </c>
      <c r="AB239" s="160">
        <v>10.0</v>
      </c>
      <c r="AD239" s="160">
        <v>0.0</v>
      </c>
      <c r="AF239" s="81">
        <f t="shared" si="1"/>
        <v>2622.4</v>
      </c>
      <c r="AG239" s="78">
        <f t="shared" si="2"/>
        <v>220</v>
      </c>
      <c r="AH239" s="78">
        <f t="shared" si="3"/>
        <v>0</v>
      </c>
      <c r="AI239" s="78">
        <f t="shared" si="4"/>
        <v>220</v>
      </c>
      <c r="AJ239" s="82">
        <f t="shared" si="5"/>
        <v>11.92</v>
      </c>
    </row>
    <row r="240">
      <c r="A240" s="83" t="s">
        <v>30</v>
      </c>
      <c r="B240" s="84">
        <f t="shared" si="6"/>
        <v>45529</v>
      </c>
      <c r="C240" s="85">
        <v>9.0</v>
      </c>
      <c r="D240" s="85" t="s">
        <v>59</v>
      </c>
      <c r="E240" s="170" t="s">
        <v>130</v>
      </c>
      <c r="F240" s="88"/>
      <c r="G240" s="89"/>
      <c r="H240" s="90"/>
      <c r="I240" s="89"/>
      <c r="J240" s="90"/>
      <c r="K240" s="89"/>
      <c r="L240" s="165">
        <v>0.0</v>
      </c>
      <c r="M240" s="89"/>
      <c r="N240" s="166">
        <v>0.0</v>
      </c>
      <c r="O240" s="89"/>
      <c r="P240" s="166">
        <v>0.0</v>
      </c>
      <c r="Q240" s="89"/>
      <c r="R240" s="166">
        <v>0.0</v>
      </c>
      <c r="S240" s="89"/>
      <c r="T240" s="166">
        <v>0.0</v>
      </c>
      <c r="U240" s="89"/>
      <c r="V240" s="166">
        <v>0.0</v>
      </c>
      <c r="W240" s="89"/>
      <c r="X240" s="166">
        <v>0.0</v>
      </c>
      <c r="Y240" s="91"/>
      <c r="Z240" s="165">
        <v>0.0</v>
      </c>
      <c r="AA240" s="89"/>
      <c r="AB240" s="166">
        <v>0.0</v>
      </c>
      <c r="AC240" s="89"/>
      <c r="AD240" s="166">
        <v>0.0</v>
      </c>
      <c r="AE240" s="89"/>
      <c r="AF240" s="92">
        <f t="shared" si="1"/>
        <v>0</v>
      </c>
      <c r="AG240" s="85">
        <f t="shared" si="2"/>
        <v>0</v>
      </c>
      <c r="AH240" s="85">
        <f t="shared" si="3"/>
        <v>0</v>
      </c>
      <c r="AI240" s="85">
        <f t="shared" si="4"/>
        <v>0</v>
      </c>
      <c r="AJ240" s="93" t="str">
        <f t="shared" si="5"/>
        <v/>
      </c>
    </row>
    <row r="241">
      <c r="A241" s="66" t="s">
        <v>11</v>
      </c>
      <c r="B241" s="94">
        <f t="shared" si="6"/>
        <v>45530</v>
      </c>
      <c r="C241" s="68">
        <v>9.0</v>
      </c>
      <c r="D241" s="68" t="s">
        <v>12</v>
      </c>
      <c r="E241" s="70" t="s">
        <v>131</v>
      </c>
      <c r="F241" s="71"/>
      <c r="H241" s="72"/>
      <c r="J241" s="72"/>
      <c r="L241" s="159">
        <v>100.0</v>
      </c>
      <c r="N241" s="160">
        <v>100.0</v>
      </c>
      <c r="P241" s="160">
        <v>0.0</v>
      </c>
      <c r="R241" s="160">
        <v>0.0</v>
      </c>
      <c r="T241" s="160">
        <v>1.0</v>
      </c>
      <c r="V241" s="160">
        <v>1.0</v>
      </c>
      <c r="X241" s="160"/>
      <c r="Y241" s="73"/>
      <c r="Z241" s="159">
        <v>27.0</v>
      </c>
      <c r="AB241" s="160">
        <v>27.0</v>
      </c>
      <c r="AD241" s="160">
        <v>0.0</v>
      </c>
      <c r="AF241" s="74">
        <f t="shared" si="1"/>
        <v>3762.68</v>
      </c>
      <c r="AG241" s="68">
        <f t="shared" si="2"/>
        <v>254</v>
      </c>
      <c r="AH241" s="68">
        <f t="shared" si="3"/>
        <v>2</v>
      </c>
      <c r="AI241" s="68">
        <f t="shared" si="4"/>
        <v>256</v>
      </c>
      <c r="AJ241" s="75">
        <f t="shared" si="5"/>
        <v>14.69796875</v>
      </c>
    </row>
    <row r="242">
      <c r="A242" s="76" t="s">
        <v>16</v>
      </c>
      <c r="B242" s="77">
        <f t="shared" si="6"/>
        <v>45531</v>
      </c>
      <c r="C242" s="78">
        <v>9.0</v>
      </c>
      <c r="D242" s="78" t="s">
        <v>12</v>
      </c>
      <c r="E242" s="80" t="s">
        <v>131</v>
      </c>
      <c r="F242" s="71"/>
      <c r="H242" s="72"/>
      <c r="J242" s="72"/>
      <c r="L242" s="159">
        <v>0.0</v>
      </c>
      <c r="N242" s="160">
        <v>100.0</v>
      </c>
      <c r="P242" s="160">
        <v>60.0</v>
      </c>
      <c r="R242" s="160">
        <v>60.0</v>
      </c>
      <c r="T242" s="160">
        <v>0.0</v>
      </c>
      <c r="V242" s="160">
        <v>0.0</v>
      </c>
      <c r="X242" s="160">
        <v>40.0</v>
      </c>
      <c r="Y242" s="73"/>
      <c r="Z242" s="159">
        <v>0.0</v>
      </c>
      <c r="AB242" s="160">
        <v>27.0</v>
      </c>
      <c r="AD242" s="160">
        <v>0.0</v>
      </c>
      <c r="AF242" s="81">
        <f t="shared" si="1"/>
        <v>2848.84</v>
      </c>
      <c r="AG242" s="78">
        <f t="shared" si="2"/>
        <v>287</v>
      </c>
      <c r="AH242" s="78">
        <f t="shared" si="3"/>
        <v>0</v>
      </c>
      <c r="AI242" s="78">
        <f t="shared" si="4"/>
        <v>287</v>
      </c>
      <c r="AJ242" s="82">
        <f t="shared" si="5"/>
        <v>9.926271777</v>
      </c>
    </row>
    <row r="243">
      <c r="A243" s="76" t="s">
        <v>17</v>
      </c>
      <c r="B243" s="77">
        <f t="shared" si="6"/>
        <v>45532</v>
      </c>
      <c r="C243" s="78">
        <v>9.0</v>
      </c>
      <c r="D243" s="78" t="s">
        <v>12</v>
      </c>
      <c r="E243" s="80" t="s">
        <v>131</v>
      </c>
      <c r="F243" s="71"/>
      <c r="H243" s="72"/>
      <c r="J243" s="72"/>
      <c r="L243" s="159">
        <v>100.0</v>
      </c>
      <c r="N243" s="160">
        <v>100.0</v>
      </c>
      <c r="P243" s="160">
        <v>0.0</v>
      </c>
      <c r="R243" s="160">
        <v>0.0</v>
      </c>
      <c r="T243" s="160">
        <v>0.0</v>
      </c>
      <c r="V243" s="160">
        <v>0.0</v>
      </c>
      <c r="X243" s="160">
        <v>0.0</v>
      </c>
      <c r="Y243" s="73"/>
      <c r="Z243" s="159">
        <v>27.0</v>
      </c>
      <c r="AB243" s="160">
        <v>27.0</v>
      </c>
      <c r="AD243" s="160">
        <v>0.0</v>
      </c>
      <c r="AF243" s="81">
        <f t="shared" si="1"/>
        <v>3027.68</v>
      </c>
      <c r="AG243" s="78">
        <f t="shared" si="2"/>
        <v>254</v>
      </c>
      <c r="AH243" s="78">
        <f t="shared" si="3"/>
        <v>0</v>
      </c>
      <c r="AI243" s="78">
        <f t="shared" si="4"/>
        <v>254</v>
      </c>
      <c r="AJ243" s="82">
        <f t="shared" si="5"/>
        <v>11.92</v>
      </c>
    </row>
    <row r="244">
      <c r="A244" s="76" t="s">
        <v>21</v>
      </c>
      <c r="B244" s="77">
        <f t="shared" si="6"/>
        <v>45533</v>
      </c>
      <c r="C244" s="78">
        <v>9.0</v>
      </c>
      <c r="D244" s="78" t="s">
        <v>12</v>
      </c>
      <c r="E244" s="80" t="s">
        <v>131</v>
      </c>
      <c r="F244" s="71"/>
      <c r="H244" s="72"/>
      <c r="J244" s="72"/>
      <c r="L244" s="159">
        <v>0.0</v>
      </c>
      <c r="N244" s="160">
        <v>100.0</v>
      </c>
      <c r="P244" s="160">
        <v>60.0</v>
      </c>
      <c r="R244" s="160">
        <v>60.0</v>
      </c>
      <c r="T244" s="160">
        <v>0.0</v>
      </c>
      <c r="V244" s="160">
        <v>0.0</v>
      </c>
      <c r="X244" s="160">
        <v>40.0</v>
      </c>
      <c r="Y244" s="73"/>
      <c r="Z244" s="159">
        <v>0.0</v>
      </c>
      <c r="AB244" s="160">
        <v>27.0</v>
      </c>
      <c r="AD244" s="160">
        <v>0.0</v>
      </c>
      <c r="AF244" s="81">
        <f t="shared" si="1"/>
        <v>2848.84</v>
      </c>
      <c r="AG244" s="78">
        <f t="shared" si="2"/>
        <v>287</v>
      </c>
      <c r="AH244" s="78">
        <f t="shared" si="3"/>
        <v>0</v>
      </c>
      <c r="AI244" s="78">
        <f t="shared" si="4"/>
        <v>287</v>
      </c>
      <c r="AJ244" s="82">
        <f t="shared" si="5"/>
        <v>9.926271777</v>
      </c>
    </row>
    <row r="245">
      <c r="A245" s="76" t="s">
        <v>24</v>
      </c>
      <c r="B245" s="77">
        <f t="shared" si="6"/>
        <v>45534</v>
      </c>
      <c r="C245" s="78">
        <v>9.0</v>
      </c>
      <c r="D245" s="78" t="s">
        <v>12</v>
      </c>
      <c r="E245" s="80" t="s">
        <v>131</v>
      </c>
      <c r="F245" s="71"/>
      <c r="H245" s="72"/>
      <c r="J245" s="72"/>
      <c r="L245" s="159">
        <v>0.0</v>
      </c>
      <c r="N245" s="160">
        <v>100.0</v>
      </c>
      <c r="P245" s="160">
        <v>60.0</v>
      </c>
      <c r="R245" s="160">
        <v>60.0</v>
      </c>
      <c r="T245" s="160">
        <v>0.0</v>
      </c>
      <c r="V245" s="160">
        <v>0.0</v>
      </c>
      <c r="X245" s="160">
        <v>40.0</v>
      </c>
      <c r="Y245" s="73"/>
      <c r="Z245" s="159">
        <v>0.0</v>
      </c>
      <c r="AB245" s="160">
        <v>27.0</v>
      </c>
      <c r="AD245" s="160">
        <v>0.0</v>
      </c>
      <c r="AF245" s="81">
        <f t="shared" si="1"/>
        <v>2848.84</v>
      </c>
      <c r="AG245" s="78">
        <f t="shared" si="2"/>
        <v>287</v>
      </c>
      <c r="AH245" s="78">
        <f t="shared" si="3"/>
        <v>0</v>
      </c>
      <c r="AI245" s="78">
        <f t="shared" si="4"/>
        <v>287</v>
      </c>
      <c r="AJ245" s="82">
        <f t="shared" si="5"/>
        <v>9.926271777</v>
      </c>
    </row>
    <row r="246">
      <c r="A246" s="76" t="s">
        <v>27</v>
      </c>
      <c r="B246" s="77">
        <f t="shared" si="6"/>
        <v>45535</v>
      </c>
      <c r="C246" s="78">
        <v>9.0</v>
      </c>
      <c r="D246" s="78" t="s">
        <v>12</v>
      </c>
      <c r="E246" s="80" t="s">
        <v>131</v>
      </c>
      <c r="F246" s="71"/>
      <c r="H246" s="72"/>
      <c r="J246" s="72"/>
      <c r="L246" s="159">
        <v>100.0</v>
      </c>
      <c r="N246" s="160">
        <v>100.0</v>
      </c>
      <c r="P246" s="160">
        <v>0.0</v>
      </c>
      <c r="R246" s="160">
        <v>0.0</v>
      </c>
      <c r="T246" s="160">
        <v>0.0</v>
      </c>
      <c r="V246" s="160">
        <v>0.0</v>
      </c>
      <c r="X246" s="160">
        <v>0.0</v>
      </c>
      <c r="Y246" s="73"/>
      <c r="Z246" s="159">
        <v>10.0</v>
      </c>
      <c r="AB246" s="160">
        <v>10.0</v>
      </c>
      <c r="AD246" s="160">
        <v>0.0</v>
      </c>
      <c r="AF246" s="81">
        <f t="shared" si="1"/>
        <v>2622.4</v>
      </c>
      <c r="AG246" s="78">
        <f t="shared" si="2"/>
        <v>220</v>
      </c>
      <c r="AH246" s="78">
        <f t="shared" si="3"/>
        <v>0</v>
      </c>
      <c r="AI246" s="78">
        <f t="shared" si="4"/>
        <v>220</v>
      </c>
      <c r="AJ246" s="82">
        <f t="shared" si="5"/>
        <v>11.92</v>
      </c>
    </row>
    <row r="247">
      <c r="A247" s="83" t="s">
        <v>30</v>
      </c>
      <c r="B247" s="84">
        <f t="shared" si="6"/>
        <v>45536</v>
      </c>
      <c r="C247" s="85">
        <v>9.0</v>
      </c>
      <c r="D247" s="85" t="s">
        <v>12</v>
      </c>
      <c r="E247" s="87" t="s">
        <v>131</v>
      </c>
      <c r="F247" s="88"/>
      <c r="G247" s="89"/>
      <c r="H247" s="90"/>
      <c r="I247" s="89"/>
      <c r="J247" s="90"/>
      <c r="K247" s="89"/>
      <c r="L247" s="165">
        <v>0.0</v>
      </c>
      <c r="M247" s="89"/>
      <c r="N247" s="166">
        <v>0.0</v>
      </c>
      <c r="O247" s="89"/>
      <c r="P247" s="166">
        <v>0.0</v>
      </c>
      <c r="Q247" s="89"/>
      <c r="R247" s="166">
        <v>0.0</v>
      </c>
      <c r="S247" s="89"/>
      <c r="T247" s="166">
        <v>0.0</v>
      </c>
      <c r="U247" s="89"/>
      <c r="V247" s="166">
        <v>0.0</v>
      </c>
      <c r="W247" s="89"/>
      <c r="X247" s="166">
        <v>0.0</v>
      </c>
      <c r="Y247" s="91"/>
      <c r="Z247" s="165">
        <v>0.0</v>
      </c>
      <c r="AA247" s="89"/>
      <c r="AB247" s="166">
        <v>0.0</v>
      </c>
      <c r="AC247" s="89"/>
      <c r="AD247" s="166">
        <v>0.0</v>
      </c>
      <c r="AE247" s="89"/>
      <c r="AF247" s="92">
        <f t="shared" si="1"/>
        <v>0</v>
      </c>
      <c r="AG247" s="85">
        <f t="shared" si="2"/>
        <v>0</v>
      </c>
      <c r="AH247" s="85">
        <f t="shared" si="3"/>
        <v>0</v>
      </c>
      <c r="AI247" s="85">
        <f t="shared" si="4"/>
        <v>0</v>
      </c>
      <c r="AJ247" s="93" t="str">
        <f t="shared" si="5"/>
        <v/>
      </c>
    </row>
    <row r="248">
      <c r="A248" s="66" t="s">
        <v>11</v>
      </c>
      <c r="B248" s="94">
        <f t="shared" si="6"/>
        <v>45537</v>
      </c>
      <c r="C248" s="68">
        <v>9.0</v>
      </c>
      <c r="D248" s="68" t="s">
        <v>33</v>
      </c>
      <c r="E248" s="70" t="s">
        <v>131</v>
      </c>
      <c r="F248" s="71"/>
      <c r="H248" s="72"/>
      <c r="J248" s="72"/>
      <c r="L248" s="159">
        <v>100.0</v>
      </c>
      <c r="N248" s="160">
        <v>100.0</v>
      </c>
      <c r="P248" s="160">
        <v>0.0</v>
      </c>
      <c r="R248" s="160">
        <v>0.0</v>
      </c>
      <c r="T248" s="160">
        <v>1.0</v>
      </c>
      <c r="V248" s="160">
        <v>1.0</v>
      </c>
      <c r="X248" s="160">
        <v>0.0</v>
      </c>
      <c r="Y248" s="73"/>
      <c r="Z248" s="159">
        <v>29.0</v>
      </c>
      <c r="AB248" s="160">
        <v>29.0</v>
      </c>
      <c r="AD248" s="160">
        <v>0.0</v>
      </c>
      <c r="AF248" s="161">
        <f t="shared" si="1"/>
        <v>3810.36</v>
      </c>
      <c r="AG248" s="162">
        <f t="shared" si="2"/>
        <v>258</v>
      </c>
      <c r="AH248" s="162">
        <f t="shared" si="3"/>
        <v>2</v>
      </c>
      <c r="AI248" s="162">
        <f t="shared" si="4"/>
        <v>260</v>
      </c>
      <c r="AJ248" s="187">
        <f t="shared" si="5"/>
        <v>14.65523077</v>
      </c>
    </row>
    <row r="249">
      <c r="A249" s="76" t="s">
        <v>16</v>
      </c>
      <c r="B249" s="77">
        <f t="shared" si="6"/>
        <v>45538</v>
      </c>
      <c r="C249" s="78">
        <v>9.0</v>
      </c>
      <c r="D249" s="78" t="s">
        <v>33</v>
      </c>
      <c r="E249" s="80" t="s">
        <v>131</v>
      </c>
      <c r="F249" s="71"/>
      <c r="H249" s="72"/>
      <c r="J249" s="72"/>
      <c r="L249" s="159">
        <v>0.0</v>
      </c>
      <c r="N249" s="160">
        <v>100.0</v>
      </c>
      <c r="P249" s="160">
        <v>60.0</v>
      </c>
      <c r="R249" s="160">
        <v>60.0</v>
      </c>
      <c r="T249" s="160">
        <v>0.0</v>
      </c>
      <c r="V249" s="160">
        <v>0.0</v>
      </c>
      <c r="X249" s="160">
        <v>40.0</v>
      </c>
      <c r="Y249" s="73"/>
      <c r="Z249" s="159">
        <v>0.0</v>
      </c>
      <c r="AB249" s="160">
        <v>29.0</v>
      </c>
      <c r="AD249" s="160">
        <v>0.0</v>
      </c>
      <c r="AF249" s="163">
        <f t="shared" si="1"/>
        <v>2872.68</v>
      </c>
      <c r="AG249" s="164">
        <f t="shared" si="2"/>
        <v>289</v>
      </c>
      <c r="AH249" s="164">
        <f t="shared" si="3"/>
        <v>0</v>
      </c>
      <c r="AI249" s="164">
        <f t="shared" si="4"/>
        <v>289</v>
      </c>
      <c r="AJ249" s="188">
        <f t="shared" si="5"/>
        <v>9.940069204</v>
      </c>
    </row>
    <row r="250">
      <c r="A250" s="76" t="s">
        <v>17</v>
      </c>
      <c r="B250" s="77">
        <f t="shared" si="6"/>
        <v>45539</v>
      </c>
      <c r="C250" s="78">
        <v>9.0</v>
      </c>
      <c r="D250" s="78" t="s">
        <v>33</v>
      </c>
      <c r="E250" s="80" t="s">
        <v>131</v>
      </c>
      <c r="F250" s="71"/>
      <c r="H250" s="72"/>
      <c r="J250" s="72"/>
      <c r="L250" s="159">
        <v>100.0</v>
      </c>
      <c r="N250" s="160">
        <v>100.0</v>
      </c>
      <c r="P250" s="160">
        <v>0.0</v>
      </c>
      <c r="R250" s="160">
        <v>0.0</v>
      </c>
      <c r="T250" s="160">
        <v>0.0</v>
      </c>
      <c r="V250" s="160">
        <v>0.0</v>
      </c>
      <c r="X250" s="160">
        <v>0.0</v>
      </c>
      <c r="Y250" s="73"/>
      <c r="Z250" s="159">
        <v>29.0</v>
      </c>
      <c r="AB250" s="160">
        <v>29.0</v>
      </c>
      <c r="AD250" s="160">
        <v>0.0</v>
      </c>
      <c r="AF250" s="163">
        <f t="shared" si="1"/>
        <v>3075.36</v>
      </c>
      <c r="AG250" s="164">
        <f t="shared" si="2"/>
        <v>258</v>
      </c>
      <c r="AH250" s="164">
        <f t="shared" si="3"/>
        <v>0</v>
      </c>
      <c r="AI250" s="164">
        <f t="shared" si="4"/>
        <v>258</v>
      </c>
      <c r="AJ250" s="188">
        <f t="shared" si="5"/>
        <v>11.92</v>
      </c>
    </row>
    <row r="251">
      <c r="A251" s="76" t="s">
        <v>21</v>
      </c>
      <c r="B251" s="77">
        <f t="shared" si="6"/>
        <v>45540</v>
      </c>
      <c r="C251" s="78">
        <v>9.0</v>
      </c>
      <c r="D251" s="78" t="s">
        <v>33</v>
      </c>
      <c r="E251" s="80" t="s">
        <v>131</v>
      </c>
      <c r="F251" s="71"/>
      <c r="H251" s="72"/>
      <c r="J251" s="72"/>
      <c r="L251" s="159">
        <v>0.0</v>
      </c>
      <c r="N251" s="160">
        <v>100.0</v>
      </c>
      <c r="P251" s="160">
        <v>60.0</v>
      </c>
      <c r="R251" s="160">
        <v>60.0</v>
      </c>
      <c r="T251" s="160">
        <v>0.0</v>
      </c>
      <c r="V251" s="160">
        <v>0.0</v>
      </c>
      <c r="X251" s="160">
        <v>40.0</v>
      </c>
      <c r="Y251" s="73"/>
      <c r="Z251" s="159">
        <v>0.0</v>
      </c>
      <c r="AB251" s="160">
        <v>29.0</v>
      </c>
      <c r="AD251" s="160">
        <v>0.0</v>
      </c>
      <c r="AF251" s="163">
        <f t="shared" si="1"/>
        <v>2872.68</v>
      </c>
      <c r="AG251" s="164">
        <f t="shared" si="2"/>
        <v>289</v>
      </c>
      <c r="AH251" s="164">
        <f t="shared" si="3"/>
        <v>0</v>
      </c>
      <c r="AI251" s="164">
        <f t="shared" si="4"/>
        <v>289</v>
      </c>
      <c r="AJ251" s="188">
        <f t="shared" si="5"/>
        <v>9.940069204</v>
      </c>
    </row>
    <row r="252">
      <c r="A252" s="76" t="s">
        <v>24</v>
      </c>
      <c r="B252" s="77">
        <f t="shared" si="6"/>
        <v>45541</v>
      </c>
      <c r="C252" s="78">
        <v>9.0</v>
      </c>
      <c r="D252" s="78" t="s">
        <v>33</v>
      </c>
      <c r="E252" s="80" t="s">
        <v>131</v>
      </c>
      <c r="F252" s="71"/>
      <c r="H252" s="72"/>
      <c r="J252" s="72"/>
      <c r="L252" s="159">
        <v>100.0</v>
      </c>
      <c r="N252" s="160">
        <v>100.0</v>
      </c>
      <c r="P252" s="160">
        <v>0.0</v>
      </c>
      <c r="R252" s="160">
        <v>0.0</v>
      </c>
      <c r="T252" s="160">
        <v>0.0</v>
      </c>
      <c r="V252" s="160">
        <v>0.0</v>
      </c>
      <c r="X252" s="160">
        <v>0.0</v>
      </c>
      <c r="Y252" s="73"/>
      <c r="Z252" s="159">
        <v>29.0</v>
      </c>
      <c r="AB252" s="160">
        <v>29.0</v>
      </c>
      <c r="AD252" s="160">
        <v>0.0</v>
      </c>
      <c r="AF252" s="163">
        <f t="shared" si="1"/>
        <v>3075.36</v>
      </c>
      <c r="AG252" s="164">
        <f t="shared" si="2"/>
        <v>258</v>
      </c>
      <c r="AH252" s="164">
        <f t="shared" si="3"/>
        <v>0</v>
      </c>
      <c r="AI252" s="164">
        <f t="shared" si="4"/>
        <v>258</v>
      </c>
      <c r="AJ252" s="188">
        <f t="shared" si="5"/>
        <v>11.92</v>
      </c>
    </row>
    <row r="253">
      <c r="A253" s="76" t="s">
        <v>27</v>
      </c>
      <c r="B253" s="77">
        <f t="shared" si="6"/>
        <v>45542</v>
      </c>
      <c r="C253" s="78">
        <v>9.0</v>
      </c>
      <c r="D253" s="78" t="s">
        <v>33</v>
      </c>
      <c r="E253" s="80" t="s">
        <v>131</v>
      </c>
      <c r="F253" s="71"/>
      <c r="H253" s="72"/>
      <c r="J253" s="72"/>
      <c r="L253" s="159">
        <v>100.0</v>
      </c>
      <c r="N253" s="160">
        <v>100.0</v>
      </c>
      <c r="P253" s="160">
        <v>0.0</v>
      </c>
      <c r="R253" s="160">
        <v>0.0</v>
      </c>
      <c r="T253" s="160">
        <v>0.0</v>
      </c>
      <c r="V253" s="160">
        <v>0.0</v>
      </c>
      <c r="X253" s="160">
        <v>0.0</v>
      </c>
      <c r="Y253" s="73"/>
      <c r="Z253" s="159">
        <v>10.0</v>
      </c>
      <c r="AB253" s="160">
        <v>10.0</v>
      </c>
      <c r="AD253" s="160">
        <v>0.0</v>
      </c>
      <c r="AF253" s="163">
        <f t="shared" si="1"/>
        <v>2622.4</v>
      </c>
      <c r="AG253" s="164">
        <f t="shared" si="2"/>
        <v>220</v>
      </c>
      <c r="AH253" s="164">
        <f t="shared" si="3"/>
        <v>0</v>
      </c>
      <c r="AI253" s="164">
        <f t="shared" si="4"/>
        <v>220</v>
      </c>
      <c r="AJ253" s="188">
        <f t="shared" si="5"/>
        <v>11.92</v>
      </c>
    </row>
    <row r="254">
      <c r="A254" s="83" t="s">
        <v>30</v>
      </c>
      <c r="B254" s="84">
        <f t="shared" si="6"/>
        <v>45543</v>
      </c>
      <c r="C254" s="85">
        <v>9.0</v>
      </c>
      <c r="D254" s="85" t="s">
        <v>33</v>
      </c>
      <c r="E254" s="87" t="s">
        <v>131</v>
      </c>
      <c r="F254" s="88"/>
      <c r="G254" s="89"/>
      <c r="H254" s="90"/>
      <c r="I254" s="89"/>
      <c r="J254" s="90"/>
      <c r="K254" s="89"/>
      <c r="L254" s="165">
        <v>0.0</v>
      </c>
      <c r="M254" s="89"/>
      <c r="N254" s="166">
        <v>0.0</v>
      </c>
      <c r="O254" s="89"/>
      <c r="P254" s="166">
        <v>0.0</v>
      </c>
      <c r="Q254" s="89"/>
      <c r="R254" s="166">
        <v>0.0</v>
      </c>
      <c r="S254" s="89"/>
      <c r="T254" s="166">
        <v>0.0</v>
      </c>
      <c r="U254" s="89"/>
      <c r="V254" s="166">
        <v>0.0</v>
      </c>
      <c r="W254" s="89"/>
      <c r="X254" s="166">
        <v>0.0</v>
      </c>
      <c r="Y254" s="91"/>
      <c r="Z254" s="165">
        <v>0.0</v>
      </c>
      <c r="AA254" s="89"/>
      <c r="AB254" s="166">
        <v>0.0</v>
      </c>
      <c r="AC254" s="89"/>
      <c r="AD254" s="166">
        <v>0.0</v>
      </c>
      <c r="AE254" s="89"/>
      <c r="AF254" s="167">
        <f t="shared" si="1"/>
        <v>0</v>
      </c>
      <c r="AG254" s="168">
        <f t="shared" si="2"/>
        <v>0</v>
      </c>
      <c r="AH254" s="168">
        <f t="shared" si="3"/>
        <v>0</v>
      </c>
      <c r="AI254" s="168">
        <f t="shared" si="4"/>
        <v>0</v>
      </c>
      <c r="AJ254" s="189" t="str">
        <f t="shared" si="5"/>
        <v/>
      </c>
    </row>
    <row r="255">
      <c r="A255" s="66" t="s">
        <v>11</v>
      </c>
      <c r="B255" s="94">
        <f t="shared" si="6"/>
        <v>45544</v>
      </c>
      <c r="C255" s="68">
        <v>10.0</v>
      </c>
      <c r="D255" s="68" t="s">
        <v>48</v>
      </c>
      <c r="E255" s="70" t="s">
        <v>131</v>
      </c>
      <c r="F255" s="71"/>
      <c r="H255" s="72"/>
      <c r="J255" s="72"/>
      <c r="L255" s="100">
        <v>0.0</v>
      </c>
      <c r="N255" s="101">
        <v>0.0</v>
      </c>
      <c r="P255" s="101">
        <v>0.0</v>
      </c>
      <c r="R255" s="101">
        <v>0.0</v>
      </c>
      <c r="T255" s="101">
        <v>1.0</v>
      </c>
      <c r="V255" s="101">
        <v>1.0</v>
      </c>
      <c r="X255" s="101">
        <v>0.0</v>
      </c>
      <c r="Y255" s="73"/>
      <c r="Z255" s="100">
        <v>0.0</v>
      </c>
      <c r="AB255" s="101">
        <v>0.0</v>
      </c>
      <c r="AD255" s="101">
        <v>0.0</v>
      </c>
      <c r="AF255" s="106">
        <f t="shared" si="1"/>
        <v>735</v>
      </c>
      <c r="AG255" s="68">
        <f t="shared" si="2"/>
        <v>0</v>
      </c>
      <c r="AH255" s="68">
        <f t="shared" si="3"/>
        <v>2</v>
      </c>
      <c r="AI255" s="68">
        <f t="shared" si="4"/>
        <v>2</v>
      </c>
      <c r="AJ255" s="75">
        <f t="shared" si="5"/>
        <v>367.5</v>
      </c>
    </row>
    <row r="256">
      <c r="A256" s="76" t="s">
        <v>16</v>
      </c>
      <c r="B256" s="77">
        <f t="shared" si="6"/>
        <v>45545</v>
      </c>
      <c r="C256" s="78">
        <v>10.0</v>
      </c>
      <c r="D256" s="78" t="s">
        <v>48</v>
      </c>
      <c r="E256" s="80" t="s">
        <v>131</v>
      </c>
      <c r="F256" s="71"/>
      <c r="H256" s="72"/>
      <c r="J256" s="72"/>
      <c r="L256" s="100">
        <v>86.0</v>
      </c>
      <c r="N256" s="101">
        <v>86.0</v>
      </c>
      <c r="P256" s="101">
        <v>0.0</v>
      </c>
      <c r="R256" s="101">
        <v>0.0</v>
      </c>
      <c r="T256" s="101">
        <v>0.0</v>
      </c>
      <c r="V256" s="101">
        <v>0.0</v>
      </c>
      <c r="X256" s="101">
        <v>0.0</v>
      </c>
      <c r="Y256" s="73"/>
      <c r="Z256" s="100">
        <v>24.0</v>
      </c>
      <c r="AB256" s="101">
        <v>24.0</v>
      </c>
      <c r="AD256" s="101">
        <v>0.0</v>
      </c>
      <c r="AF256" s="108">
        <f t="shared" si="1"/>
        <v>2622.4</v>
      </c>
      <c r="AG256" s="78">
        <f t="shared" si="2"/>
        <v>220</v>
      </c>
      <c r="AH256" s="78">
        <f t="shared" si="3"/>
        <v>0</v>
      </c>
      <c r="AI256" s="78">
        <f t="shared" si="4"/>
        <v>220</v>
      </c>
      <c r="AJ256" s="82">
        <f t="shared" si="5"/>
        <v>11.92</v>
      </c>
    </row>
    <row r="257">
      <c r="A257" s="76" t="s">
        <v>17</v>
      </c>
      <c r="B257" s="77">
        <f t="shared" si="6"/>
        <v>45546</v>
      </c>
      <c r="C257" s="78">
        <v>10.0</v>
      </c>
      <c r="D257" s="78" t="s">
        <v>48</v>
      </c>
      <c r="E257" s="80" t="s">
        <v>131</v>
      </c>
      <c r="F257" s="71"/>
      <c r="H257" s="72"/>
      <c r="J257" s="72"/>
      <c r="L257" s="100">
        <v>86.0</v>
      </c>
      <c r="N257" s="101">
        <v>86.0</v>
      </c>
      <c r="P257" s="101">
        <v>0.0</v>
      </c>
      <c r="R257" s="101">
        <v>0.0</v>
      </c>
      <c r="T257" s="101">
        <v>0.0</v>
      </c>
      <c r="V257" s="101">
        <v>0.0</v>
      </c>
      <c r="X257" s="101">
        <v>0.0</v>
      </c>
      <c r="Y257" s="73"/>
      <c r="Z257" s="100">
        <v>24.0</v>
      </c>
      <c r="AB257" s="101">
        <v>24.0</v>
      </c>
      <c r="AD257" s="101">
        <v>0.0</v>
      </c>
      <c r="AF257" s="108">
        <f t="shared" si="1"/>
        <v>2622.4</v>
      </c>
      <c r="AG257" s="78">
        <f t="shared" si="2"/>
        <v>220</v>
      </c>
      <c r="AH257" s="78">
        <f t="shared" si="3"/>
        <v>0</v>
      </c>
      <c r="AI257" s="78">
        <f t="shared" si="4"/>
        <v>220</v>
      </c>
      <c r="AJ257" s="82">
        <f t="shared" si="5"/>
        <v>11.92</v>
      </c>
    </row>
    <row r="258">
      <c r="A258" s="76" t="s">
        <v>21</v>
      </c>
      <c r="B258" s="77">
        <f t="shared" si="6"/>
        <v>45547</v>
      </c>
      <c r="C258" s="78">
        <v>10.0</v>
      </c>
      <c r="D258" s="78" t="s">
        <v>48</v>
      </c>
      <c r="E258" s="80" t="s">
        <v>131</v>
      </c>
      <c r="F258" s="71"/>
      <c r="H258" s="72"/>
      <c r="J258" s="72"/>
      <c r="L258" s="100">
        <v>86.0</v>
      </c>
      <c r="N258" s="101">
        <v>86.0</v>
      </c>
      <c r="P258" s="101">
        <v>0.0</v>
      </c>
      <c r="R258" s="101">
        <v>0.0</v>
      </c>
      <c r="T258" s="101">
        <v>0.0</v>
      </c>
      <c r="V258" s="101">
        <v>0.0</v>
      </c>
      <c r="X258" s="101">
        <v>0.0</v>
      </c>
      <c r="Y258" s="73"/>
      <c r="Z258" s="100">
        <v>24.0</v>
      </c>
      <c r="AB258" s="101">
        <v>24.0</v>
      </c>
      <c r="AD258" s="101">
        <v>0.0</v>
      </c>
      <c r="AF258" s="108">
        <f t="shared" si="1"/>
        <v>2622.4</v>
      </c>
      <c r="AG258" s="78">
        <f t="shared" si="2"/>
        <v>220</v>
      </c>
      <c r="AH258" s="78">
        <f t="shared" si="3"/>
        <v>0</v>
      </c>
      <c r="AI258" s="78">
        <f t="shared" si="4"/>
        <v>220</v>
      </c>
      <c r="AJ258" s="82">
        <f t="shared" si="5"/>
        <v>11.92</v>
      </c>
    </row>
    <row r="259">
      <c r="A259" s="76" t="s">
        <v>24</v>
      </c>
      <c r="B259" s="77">
        <f t="shared" si="6"/>
        <v>45548</v>
      </c>
      <c r="C259" s="78">
        <v>10.0</v>
      </c>
      <c r="D259" s="78" t="s">
        <v>48</v>
      </c>
      <c r="E259" s="80" t="s">
        <v>131</v>
      </c>
      <c r="F259" s="71"/>
      <c r="H259" s="72"/>
      <c r="J259" s="72"/>
      <c r="L259" s="100">
        <v>86.0</v>
      </c>
      <c r="N259" s="101">
        <v>86.0</v>
      </c>
      <c r="P259" s="101">
        <v>0.0</v>
      </c>
      <c r="R259" s="101">
        <v>0.0</v>
      </c>
      <c r="T259" s="101">
        <v>0.0</v>
      </c>
      <c r="V259" s="101">
        <v>0.0</v>
      </c>
      <c r="X259" s="101">
        <v>0.0</v>
      </c>
      <c r="Y259" s="73"/>
      <c r="Z259" s="100">
        <v>24.0</v>
      </c>
      <c r="AB259" s="101">
        <v>24.0</v>
      </c>
      <c r="AD259" s="101">
        <v>0.0</v>
      </c>
      <c r="AF259" s="108">
        <f t="shared" si="1"/>
        <v>2622.4</v>
      </c>
      <c r="AG259" s="78">
        <f t="shared" si="2"/>
        <v>220</v>
      </c>
      <c r="AH259" s="78">
        <f t="shared" si="3"/>
        <v>0</v>
      </c>
      <c r="AI259" s="78">
        <f t="shared" si="4"/>
        <v>220</v>
      </c>
      <c r="AJ259" s="82">
        <f t="shared" si="5"/>
        <v>11.92</v>
      </c>
    </row>
    <row r="260">
      <c r="A260" s="76" t="s">
        <v>27</v>
      </c>
      <c r="B260" s="77">
        <f t="shared" si="6"/>
        <v>45549</v>
      </c>
      <c r="C260" s="78">
        <v>10.0</v>
      </c>
      <c r="D260" s="78" t="s">
        <v>48</v>
      </c>
      <c r="E260" s="80" t="s">
        <v>131</v>
      </c>
      <c r="F260" s="71"/>
      <c r="H260" s="72"/>
      <c r="J260" s="72"/>
      <c r="L260" s="100">
        <v>86.0</v>
      </c>
      <c r="N260" s="101">
        <v>86.0</v>
      </c>
      <c r="P260" s="101">
        <v>0.0</v>
      </c>
      <c r="R260" s="101">
        <v>0.0</v>
      </c>
      <c r="T260" s="101">
        <v>0.0</v>
      </c>
      <c r="V260" s="101">
        <v>0.0</v>
      </c>
      <c r="X260" s="101">
        <v>0.0</v>
      </c>
      <c r="Y260" s="73"/>
      <c r="Z260" s="100">
        <v>10.0</v>
      </c>
      <c r="AB260" s="101">
        <v>10.0</v>
      </c>
      <c r="AD260" s="101">
        <v>0.0</v>
      </c>
      <c r="AF260" s="108">
        <f t="shared" si="1"/>
        <v>2288.64</v>
      </c>
      <c r="AG260" s="78">
        <f t="shared" si="2"/>
        <v>192</v>
      </c>
      <c r="AH260" s="78">
        <f t="shared" si="3"/>
        <v>0</v>
      </c>
      <c r="AI260" s="78">
        <f t="shared" si="4"/>
        <v>192</v>
      </c>
      <c r="AJ260" s="82">
        <f t="shared" si="5"/>
        <v>11.92</v>
      </c>
    </row>
    <row r="261">
      <c r="A261" s="83" t="s">
        <v>30</v>
      </c>
      <c r="B261" s="84">
        <f t="shared" si="6"/>
        <v>45550</v>
      </c>
      <c r="C261" s="85">
        <v>10.0</v>
      </c>
      <c r="D261" s="85" t="s">
        <v>48</v>
      </c>
      <c r="E261" s="87" t="s">
        <v>131</v>
      </c>
      <c r="F261" s="88"/>
      <c r="G261" s="89"/>
      <c r="H261" s="90"/>
      <c r="I261" s="89"/>
      <c r="J261" s="90"/>
      <c r="K261" s="89"/>
      <c r="L261" s="114">
        <v>0.0</v>
      </c>
      <c r="M261" s="89"/>
      <c r="N261" s="115">
        <v>0.0</v>
      </c>
      <c r="O261" s="89"/>
      <c r="P261" s="115">
        <v>0.0</v>
      </c>
      <c r="Q261" s="89"/>
      <c r="R261" s="115">
        <v>0.0</v>
      </c>
      <c r="S261" s="89"/>
      <c r="T261" s="115">
        <v>0.0</v>
      </c>
      <c r="U261" s="89"/>
      <c r="V261" s="115">
        <v>0.0</v>
      </c>
      <c r="W261" s="89"/>
      <c r="X261" s="115">
        <v>0.0</v>
      </c>
      <c r="Y261" s="91"/>
      <c r="Z261" s="114">
        <v>0.0</v>
      </c>
      <c r="AA261" s="89"/>
      <c r="AB261" s="115">
        <v>0.0</v>
      </c>
      <c r="AC261" s="89"/>
      <c r="AD261" s="115">
        <v>0.0</v>
      </c>
      <c r="AE261" s="89"/>
      <c r="AF261" s="116">
        <f t="shared" si="1"/>
        <v>0</v>
      </c>
      <c r="AG261" s="85">
        <f t="shared" si="2"/>
        <v>0</v>
      </c>
      <c r="AH261" s="85">
        <f t="shared" si="3"/>
        <v>0</v>
      </c>
      <c r="AI261" s="85">
        <f t="shared" si="4"/>
        <v>0</v>
      </c>
      <c r="AJ261" s="93" t="str">
        <f t="shared" si="5"/>
        <v/>
      </c>
    </row>
    <row r="262">
      <c r="A262" s="66" t="s">
        <v>11</v>
      </c>
      <c r="B262" s="94">
        <f t="shared" si="6"/>
        <v>45551</v>
      </c>
      <c r="C262" s="68">
        <v>10.0</v>
      </c>
      <c r="D262" s="68" t="s">
        <v>59</v>
      </c>
      <c r="E262" s="70" t="s">
        <v>131</v>
      </c>
      <c r="F262" s="71"/>
      <c r="H262" s="72"/>
      <c r="J262" s="72"/>
      <c r="L262" s="100">
        <v>86.0</v>
      </c>
      <c r="N262" s="101">
        <v>86.0</v>
      </c>
      <c r="P262" s="101">
        <v>0.0</v>
      </c>
      <c r="R262" s="101">
        <v>0.0</v>
      </c>
      <c r="T262" s="101">
        <v>1.0</v>
      </c>
      <c r="V262" s="101">
        <v>1.0</v>
      </c>
      <c r="X262" s="101">
        <v>0.0</v>
      </c>
      <c r="Y262" s="73"/>
      <c r="Z262" s="100">
        <v>22.0</v>
      </c>
      <c r="AB262" s="101">
        <v>22.0</v>
      </c>
      <c r="AD262" s="101">
        <v>0.0</v>
      </c>
      <c r="AF262" s="106">
        <f t="shared" si="1"/>
        <v>3309.72</v>
      </c>
      <c r="AG262" s="68">
        <f t="shared" si="2"/>
        <v>216</v>
      </c>
      <c r="AH262" s="68">
        <f t="shared" si="3"/>
        <v>2</v>
      </c>
      <c r="AI262" s="68">
        <f t="shared" si="4"/>
        <v>218</v>
      </c>
      <c r="AJ262" s="75">
        <f t="shared" si="5"/>
        <v>15.18220183</v>
      </c>
    </row>
    <row r="263">
      <c r="A263" s="76" t="s">
        <v>16</v>
      </c>
      <c r="B263" s="77">
        <f t="shared" si="6"/>
        <v>45552</v>
      </c>
      <c r="C263" s="78">
        <v>10.0</v>
      </c>
      <c r="D263" s="78" t="s">
        <v>59</v>
      </c>
      <c r="E263" s="80" t="s">
        <v>131</v>
      </c>
      <c r="F263" s="71"/>
      <c r="H263" s="72"/>
      <c r="J263" s="72"/>
      <c r="L263" s="100">
        <v>86.0</v>
      </c>
      <c r="N263" s="101">
        <v>86.0</v>
      </c>
      <c r="P263" s="101">
        <v>0.0</v>
      </c>
      <c r="R263" s="101">
        <v>0.0</v>
      </c>
      <c r="T263" s="101">
        <v>0.0</v>
      </c>
      <c r="V263" s="101">
        <v>0.0</v>
      </c>
      <c r="X263" s="101">
        <v>0.0</v>
      </c>
      <c r="Y263" s="73"/>
      <c r="Z263" s="100">
        <v>22.0</v>
      </c>
      <c r="AB263" s="101">
        <v>22.0</v>
      </c>
      <c r="AD263" s="101">
        <v>0.0</v>
      </c>
      <c r="AF263" s="108">
        <f t="shared" si="1"/>
        <v>2574.72</v>
      </c>
      <c r="AG263" s="78">
        <f t="shared" si="2"/>
        <v>216</v>
      </c>
      <c r="AH263" s="78">
        <f t="shared" si="3"/>
        <v>0</v>
      </c>
      <c r="AI263" s="78">
        <f t="shared" si="4"/>
        <v>216</v>
      </c>
      <c r="AJ263" s="82">
        <f t="shared" si="5"/>
        <v>11.92</v>
      </c>
    </row>
    <row r="264">
      <c r="A264" s="76" t="s">
        <v>17</v>
      </c>
      <c r="B264" s="77">
        <f t="shared" si="6"/>
        <v>45553</v>
      </c>
      <c r="C264" s="78">
        <v>10.0</v>
      </c>
      <c r="D264" s="78" t="s">
        <v>59</v>
      </c>
      <c r="E264" s="80" t="s">
        <v>131</v>
      </c>
      <c r="F264" s="71"/>
      <c r="H264" s="72"/>
      <c r="J264" s="72"/>
      <c r="L264" s="100">
        <v>86.0</v>
      </c>
      <c r="N264" s="101">
        <v>86.0</v>
      </c>
      <c r="P264" s="101">
        <v>0.0</v>
      </c>
      <c r="R264" s="101">
        <v>0.0</v>
      </c>
      <c r="T264" s="101">
        <v>0.0</v>
      </c>
      <c r="V264" s="101">
        <v>0.0</v>
      </c>
      <c r="X264" s="101">
        <v>0.0</v>
      </c>
      <c r="Y264" s="73"/>
      <c r="Z264" s="100">
        <v>22.0</v>
      </c>
      <c r="AB264" s="101">
        <v>22.0</v>
      </c>
      <c r="AD264" s="101">
        <v>0.0</v>
      </c>
      <c r="AF264" s="108">
        <f t="shared" si="1"/>
        <v>2574.72</v>
      </c>
      <c r="AG264" s="78">
        <f t="shared" si="2"/>
        <v>216</v>
      </c>
      <c r="AH264" s="78">
        <f t="shared" si="3"/>
        <v>0</v>
      </c>
      <c r="AI264" s="78">
        <f t="shared" si="4"/>
        <v>216</v>
      </c>
      <c r="AJ264" s="82">
        <f t="shared" si="5"/>
        <v>11.92</v>
      </c>
    </row>
    <row r="265">
      <c r="A265" s="76" t="s">
        <v>21</v>
      </c>
      <c r="B265" s="77">
        <f t="shared" si="6"/>
        <v>45554</v>
      </c>
      <c r="C265" s="78">
        <v>10.0</v>
      </c>
      <c r="D265" s="78" t="s">
        <v>59</v>
      </c>
      <c r="E265" s="80" t="s">
        <v>131</v>
      </c>
      <c r="F265" s="71"/>
      <c r="H265" s="72"/>
      <c r="J265" s="72"/>
      <c r="L265" s="100">
        <v>86.0</v>
      </c>
      <c r="N265" s="101">
        <v>86.0</v>
      </c>
      <c r="P265" s="101">
        <v>0.0</v>
      </c>
      <c r="R265" s="101">
        <v>0.0</v>
      </c>
      <c r="T265" s="101">
        <v>0.0</v>
      </c>
      <c r="V265" s="101">
        <v>0.0</v>
      </c>
      <c r="X265" s="101">
        <v>0.0</v>
      </c>
      <c r="Y265" s="73"/>
      <c r="Z265" s="100">
        <v>22.0</v>
      </c>
      <c r="AB265" s="101">
        <v>22.0</v>
      </c>
      <c r="AD265" s="101">
        <v>0.0</v>
      </c>
      <c r="AF265" s="108">
        <f t="shared" si="1"/>
        <v>2574.72</v>
      </c>
      <c r="AG265" s="78">
        <f t="shared" si="2"/>
        <v>216</v>
      </c>
      <c r="AH265" s="78">
        <f t="shared" si="3"/>
        <v>0</v>
      </c>
      <c r="AI265" s="78">
        <f t="shared" si="4"/>
        <v>216</v>
      </c>
      <c r="AJ265" s="82">
        <f t="shared" si="5"/>
        <v>11.92</v>
      </c>
    </row>
    <row r="266">
      <c r="A266" s="76" t="s">
        <v>24</v>
      </c>
      <c r="B266" s="77">
        <f t="shared" si="6"/>
        <v>45555</v>
      </c>
      <c r="C266" s="78">
        <v>10.0</v>
      </c>
      <c r="D266" s="78" t="s">
        <v>59</v>
      </c>
      <c r="E266" s="80" t="s">
        <v>131</v>
      </c>
      <c r="F266" s="71"/>
      <c r="H266" s="72"/>
      <c r="J266" s="72"/>
      <c r="L266" s="100">
        <v>86.0</v>
      </c>
      <c r="N266" s="101">
        <v>86.0</v>
      </c>
      <c r="P266" s="101">
        <v>0.0</v>
      </c>
      <c r="R266" s="101">
        <v>60.0</v>
      </c>
      <c r="T266" s="101">
        <v>0.0</v>
      </c>
      <c r="V266" s="101">
        <v>0.0</v>
      </c>
      <c r="X266" s="101">
        <v>0.0</v>
      </c>
      <c r="Y266" s="73"/>
      <c r="Z266" s="100">
        <v>22.0</v>
      </c>
      <c r="AB266" s="101">
        <v>22.0</v>
      </c>
      <c r="AD266" s="101">
        <v>0.0</v>
      </c>
      <c r="AF266" s="108">
        <f t="shared" si="1"/>
        <v>2858.52</v>
      </c>
      <c r="AG266" s="78">
        <f t="shared" si="2"/>
        <v>276</v>
      </c>
      <c r="AH266" s="78">
        <f t="shared" si="3"/>
        <v>0</v>
      </c>
      <c r="AI266" s="78">
        <f t="shared" si="4"/>
        <v>276</v>
      </c>
      <c r="AJ266" s="82">
        <f t="shared" si="5"/>
        <v>10.35695652</v>
      </c>
    </row>
    <row r="267">
      <c r="A267" s="76" t="s">
        <v>27</v>
      </c>
      <c r="B267" s="77">
        <f t="shared" si="6"/>
        <v>45556</v>
      </c>
      <c r="C267" s="78">
        <v>10.0</v>
      </c>
      <c r="D267" s="78" t="s">
        <v>59</v>
      </c>
      <c r="E267" s="80" t="s">
        <v>131</v>
      </c>
      <c r="F267" s="71"/>
      <c r="H267" s="72"/>
      <c r="J267" s="72"/>
      <c r="L267" s="100">
        <v>86.0</v>
      </c>
      <c r="N267" s="101">
        <v>86.0</v>
      </c>
      <c r="P267" s="101">
        <v>0.0</v>
      </c>
      <c r="R267" s="101">
        <v>0.0</v>
      </c>
      <c r="T267" s="101">
        <v>0.0</v>
      </c>
      <c r="V267" s="101">
        <v>0.0</v>
      </c>
      <c r="X267" s="101">
        <v>0.0</v>
      </c>
      <c r="Y267" s="73"/>
      <c r="Z267" s="100">
        <v>10.0</v>
      </c>
      <c r="AB267" s="101">
        <v>10.0</v>
      </c>
      <c r="AD267" s="101">
        <v>0.0</v>
      </c>
      <c r="AF267" s="108">
        <f t="shared" si="1"/>
        <v>2288.64</v>
      </c>
      <c r="AG267" s="78">
        <f t="shared" si="2"/>
        <v>192</v>
      </c>
      <c r="AH267" s="78">
        <f t="shared" si="3"/>
        <v>0</v>
      </c>
      <c r="AI267" s="78">
        <f t="shared" si="4"/>
        <v>192</v>
      </c>
      <c r="AJ267" s="82">
        <f t="shared" si="5"/>
        <v>11.92</v>
      </c>
    </row>
    <row r="268">
      <c r="A268" s="83" t="s">
        <v>30</v>
      </c>
      <c r="B268" s="84">
        <f t="shared" si="6"/>
        <v>45557</v>
      </c>
      <c r="C268" s="85">
        <v>10.0</v>
      </c>
      <c r="D268" s="85" t="s">
        <v>59</v>
      </c>
      <c r="E268" s="87" t="s">
        <v>131</v>
      </c>
      <c r="F268" s="88"/>
      <c r="G268" s="89"/>
      <c r="H268" s="90"/>
      <c r="I268" s="89"/>
      <c r="J268" s="90"/>
      <c r="K268" s="89"/>
      <c r="L268" s="114">
        <v>0.0</v>
      </c>
      <c r="M268" s="89"/>
      <c r="N268" s="115">
        <v>0.0</v>
      </c>
      <c r="O268" s="89"/>
      <c r="P268" s="115">
        <v>0.0</v>
      </c>
      <c r="Q268" s="89"/>
      <c r="R268" s="115">
        <v>0.0</v>
      </c>
      <c r="S268" s="89"/>
      <c r="T268" s="115">
        <v>0.0</v>
      </c>
      <c r="U268" s="89"/>
      <c r="V268" s="115">
        <v>0.0</v>
      </c>
      <c r="W268" s="89"/>
      <c r="X268" s="115">
        <v>0.0</v>
      </c>
      <c r="Y268" s="91"/>
      <c r="Z268" s="114">
        <v>0.0</v>
      </c>
      <c r="AA268" s="89"/>
      <c r="AB268" s="115">
        <v>0.0</v>
      </c>
      <c r="AC268" s="89"/>
      <c r="AD268" s="115">
        <v>0.0</v>
      </c>
      <c r="AE268" s="89"/>
      <c r="AF268" s="116">
        <f t="shared" si="1"/>
        <v>0</v>
      </c>
      <c r="AG268" s="85">
        <f t="shared" si="2"/>
        <v>0</v>
      </c>
      <c r="AH268" s="85">
        <f t="shared" si="3"/>
        <v>0</v>
      </c>
      <c r="AI268" s="85">
        <f t="shared" si="4"/>
        <v>0</v>
      </c>
      <c r="AJ268" s="93" t="str">
        <f t="shared" si="5"/>
        <v/>
      </c>
    </row>
    <row r="269">
      <c r="A269" s="66" t="s">
        <v>11</v>
      </c>
      <c r="B269" s="94">
        <f t="shared" si="6"/>
        <v>45558</v>
      </c>
      <c r="C269" s="68">
        <v>10.0</v>
      </c>
      <c r="D269" s="68" t="s">
        <v>12</v>
      </c>
      <c r="E269" s="70" t="s">
        <v>131</v>
      </c>
      <c r="F269" s="71"/>
      <c r="H269" s="72"/>
      <c r="J269" s="72"/>
      <c r="L269" s="159">
        <v>86.0</v>
      </c>
      <c r="N269" s="159">
        <v>86.0</v>
      </c>
      <c r="P269" s="160">
        <v>0.0</v>
      </c>
      <c r="R269" s="160">
        <v>0.0</v>
      </c>
      <c r="T269" s="160">
        <v>1.0</v>
      </c>
      <c r="V269" s="160">
        <v>1.0</v>
      </c>
      <c r="X269" s="160">
        <v>0.0</v>
      </c>
      <c r="Y269" s="73"/>
      <c r="Z269" s="159">
        <v>24.0</v>
      </c>
      <c r="AB269" s="160">
        <v>24.0</v>
      </c>
      <c r="AD269" s="160">
        <v>0.0</v>
      </c>
      <c r="AF269" s="161">
        <f t="shared" si="1"/>
        <v>3357.4</v>
      </c>
      <c r="AG269" s="68">
        <f t="shared" si="2"/>
        <v>220</v>
      </c>
      <c r="AH269" s="68">
        <f t="shared" si="3"/>
        <v>2</v>
      </c>
      <c r="AI269" s="68">
        <f t="shared" si="4"/>
        <v>222</v>
      </c>
      <c r="AJ269" s="75">
        <f t="shared" si="5"/>
        <v>15.12342342</v>
      </c>
    </row>
    <row r="270">
      <c r="A270" s="76" t="s">
        <v>16</v>
      </c>
      <c r="B270" s="77">
        <f t="shared" si="6"/>
        <v>45559</v>
      </c>
      <c r="C270" s="78">
        <v>10.0</v>
      </c>
      <c r="D270" s="78" t="s">
        <v>12</v>
      </c>
      <c r="E270" s="80" t="s">
        <v>131</v>
      </c>
      <c r="F270" s="71"/>
      <c r="H270" s="72"/>
      <c r="J270" s="72"/>
      <c r="L270" s="159">
        <v>86.0</v>
      </c>
      <c r="N270" s="159">
        <v>86.0</v>
      </c>
      <c r="P270" s="160">
        <v>0.0</v>
      </c>
      <c r="R270" s="160">
        <v>0.0</v>
      </c>
      <c r="T270" s="160">
        <v>0.0</v>
      </c>
      <c r="V270" s="160">
        <v>0.0</v>
      </c>
      <c r="X270" s="160">
        <v>0.0</v>
      </c>
      <c r="Y270" s="73"/>
      <c r="Z270" s="159">
        <v>24.0</v>
      </c>
      <c r="AB270" s="160">
        <v>24.0</v>
      </c>
      <c r="AD270" s="160">
        <v>0.0</v>
      </c>
      <c r="AF270" s="163">
        <f t="shared" si="1"/>
        <v>2622.4</v>
      </c>
      <c r="AG270" s="78">
        <f t="shared" si="2"/>
        <v>220</v>
      </c>
      <c r="AH270" s="78">
        <f t="shared" si="3"/>
        <v>0</v>
      </c>
      <c r="AI270" s="78">
        <f t="shared" si="4"/>
        <v>220</v>
      </c>
      <c r="AJ270" s="82">
        <f t="shared" si="5"/>
        <v>11.92</v>
      </c>
    </row>
    <row r="271">
      <c r="A271" s="76" t="s">
        <v>17</v>
      </c>
      <c r="B271" s="77">
        <f t="shared" si="6"/>
        <v>45560</v>
      </c>
      <c r="C271" s="78">
        <v>10.0</v>
      </c>
      <c r="D271" s="78" t="s">
        <v>12</v>
      </c>
      <c r="E271" s="80" t="s">
        <v>131</v>
      </c>
      <c r="F271" s="71"/>
      <c r="H271" s="72"/>
      <c r="J271" s="72"/>
      <c r="L271" s="159">
        <v>86.0</v>
      </c>
      <c r="N271" s="159">
        <v>86.0</v>
      </c>
      <c r="P271" s="160">
        <v>0.0</v>
      </c>
      <c r="R271" s="160">
        <v>0.0</v>
      </c>
      <c r="T271" s="160">
        <v>0.0</v>
      </c>
      <c r="V271" s="160">
        <v>0.0</v>
      </c>
      <c r="X271" s="160">
        <v>0.0</v>
      </c>
      <c r="Y271" s="73"/>
      <c r="Z271" s="159">
        <v>24.0</v>
      </c>
      <c r="AB271" s="160">
        <v>24.0</v>
      </c>
      <c r="AD271" s="160">
        <v>0.0</v>
      </c>
      <c r="AF271" s="163">
        <f t="shared" si="1"/>
        <v>2622.4</v>
      </c>
      <c r="AG271" s="78">
        <f t="shared" si="2"/>
        <v>220</v>
      </c>
      <c r="AH271" s="78">
        <f t="shared" si="3"/>
        <v>0</v>
      </c>
      <c r="AI271" s="78">
        <f t="shared" si="4"/>
        <v>220</v>
      </c>
      <c r="AJ271" s="82">
        <f t="shared" si="5"/>
        <v>11.92</v>
      </c>
    </row>
    <row r="272">
      <c r="A272" s="76" t="s">
        <v>21</v>
      </c>
      <c r="B272" s="77">
        <f t="shared" si="6"/>
        <v>45561</v>
      </c>
      <c r="C272" s="78">
        <v>10.0</v>
      </c>
      <c r="D272" s="78" t="s">
        <v>12</v>
      </c>
      <c r="E272" s="80" t="s">
        <v>131</v>
      </c>
      <c r="F272" s="71"/>
      <c r="H272" s="72"/>
      <c r="J272" s="72"/>
      <c r="L272" s="159">
        <v>86.0</v>
      </c>
      <c r="N272" s="159">
        <v>86.0</v>
      </c>
      <c r="P272" s="160">
        <v>0.0</v>
      </c>
      <c r="R272" s="160">
        <v>0.0</v>
      </c>
      <c r="T272" s="160">
        <v>0.0</v>
      </c>
      <c r="V272" s="160">
        <v>0.0</v>
      </c>
      <c r="X272" s="160">
        <v>0.0</v>
      </c>
      <c r="Y272" s="73"/>
      <c r="Z272" s="159">
        <v>24.0</v>
      </c>
      <c r="AB272" s="160">
        <v>24.0</v>
      </c>
      <c r="AD272" s="160">
        <v>0.0</v>
      </c>
      <c r="AF272" s="163">
        <f t="shared" si="1"/>
        <v>2622.4</v>
      </c>
      <c r="AG272" s="78">
        <f t="shared" si="2"/>
        <v>220</v>
      </c>
      <c r="AH272" s="78">
        <f t="shared" si="3"/>
        <v>0</v>
      </c>
      <c r="AI272" s="78">
        <f t="shared" si="4"/>
        <v>220</v>
      </c>
      <c r="AJ272" s="82">
        <f t="shared" si="5"/>
        <v>11.92</v>
      </c>
    </row>
    <row r="273">
      <c r="A273" s="76" t="s">
        <v>24</v>
      </c>
      <c r="B273" s="77">
        <f t="shared" si="6"/>
        <v>45562</v>
      </c>
      <c r="C273" s="78">
        <v>10.0</v>
      </c>
      <c r="D273" s="78" t="s">
        <v>12</v>
      </c>
      <c r="E273" s="80" t="s">
        <v>131</v>
      </c>
      <c r="F273" s="71"/>
      <c r="H273" s="72"/>
      <c r="J273" s="72"/>
      <c r="L273" s="159">
        <v>86.0</v>
      </c>
      <c r="N273" s="159">
        <v>86.0</v>
      </c>
      <c r="P273" s="160">
        <v>0.0</v>
      </c>
      <c r="R273" s="160">
        <v>0.0</v>
      </c>
      <c r="T273" s="160">
        <v>0.0</v>
      </c>
      <c r="V273" s="160">
        <v>0.0</v>
      </c>
      <c r="X273" s="160">
        <v>0.0</v>
      </c>
      <c r="Y273" s="73"/>
      <c r="Z273" s="159">
        <v>24.0</v>
      </c>
      <c r="AB273" s="160">
        <v>24.0</v>
      </c>
      <c r="AD273" s="160">
        <v>0.0</v>
      </c>
      <c r="AF273" s="163">
        <f t="shared" si="1"/>
        <v>2622.4</v>
      </c>
      <c r="AG273" s="78">
        <f t="shared" si="2"/>
        <v>220</v>
      </c>
      <c r="AH273" s="78">
        <f t="shared" si="3"/>
        <v>0</v>
      </c>
      <c r="AI273" s="78">
        <f t="shared" si="4"/>
        <v>220</v>
      </c>
      <c r="AJ273" s="82">
        <f t="shared" si="5"/>
        <v>11.92</v>
      </c>
    </row>
    <row r="274">
      <c r="A274" s="76" t="s">
        <v>27</v>
      </c>
      <c r="B274" s="77">
        <f t="shared" si="6"/>
        <v>45563</v>
      </c>
      <c r="C274" s="78">
        <v>10.0</v>
      </c>
      <c r="D274" s="78" t="s">
        <v>12</v>
      </c>
      <c r="E274" s="80" t="s">
        <v>131</v>
      </c>
      <c r="F274" s="71"/>
      <c r="H274" s="72"/>
      <c r="J274" s="72"/>
      <c r="L274" s="159">
        <v>86.0</v>
      </c>
      <c r="N274" s="159">
        <v>86.0</v>
      </c>
      <c r="P274" s="160">
        <v>0.0</v>
      </c>
      <c r="R274" s="160">
        <v>0.0</v>
      </c>
      <c r="T274" s="160">
        <v>0.0</v>
      </c>
      <c r="V274" s="160">
        <v>0.0</v>
      </c>
      <c r="X274" s="160">
        <v>0.0</v>
      </c>
      <c r="Y274" s="73"/>
      <c r="Z274" s="159">
        <v>10.0</v>
      </c>
      <c r="AB274" s="160">
        <v>10.0</v>
      </c>
      <c r="AD274" s="160">
        <v>0.0</v>
      </c>
      <c r="AF274" s="163">
        <f t="shared" si="1"/>
        <v>2288.64</v>
      </c>
      <c r="AG274" s="78">
        <f t="shared" si="2"/>
        <v>192</v>
      </c>
      <c r="AH274" s="78">
        <f t="shared" si="3"/>
        <v>0</v>
      </c>
      <c r="AI274" s="78">
        <f t="shared" si="4"/>
        <v>192</v>
      </c>
      <c r="AJ274" s="82">
        <f t="shared" si="5"/>
        <v>11.92</v>
      </c>
    </row>
    <row r="275">
      <c r="A275" s="83" t="s">
        <v>30</v>
      </c>
      <c r="B275" s="84">
        <f t="shared" si="6"/>
        <v>45564</v>
      </c>
      <c r="C275" s="85">
        <v>10.0</v>
      </c>
      <c r="D275" s="85" t="s">
        <v>12</v>
      </c>
      <c r="E275" s="87" t="s">
        <v>131</v>
      </c>
      <c r="F275" s="88"/>
      <c r="G275" s="89"/>
      <c r="H275" s="90"/>
      <c r="I275" s="89"/>
      <c r="J275" s="90"/>
      <c r="K275" s="89"/>
      <c r="L275" s="165">
        <v>0.0</v>
      </c>
      <c r="M275" s="89"/>
      <c r="N275" s="166">
        <v>0.0</v>
      </c>
      <c r="O275" s="89"/>
      <c r="P275" s="166">
        <v>0.0</v>
      </c>
      <c r="Q275" s="89"/>
      <c r="R275" s="166">
        <v>0.0</v>
      </c>
      <c r="S275" s="89"/>
      <c r="T275" s="166">
        <v>0.0</v>
      </c>
      <c r="U275" s="89"/>
      <c r="V275" s="166">
        <v>0.0</v>
      </c>
      <c r="W275" s="89"/>
      <c r="X275" s="166">
        <v>0.0</v>
      </c>
      <c r="Y275" s="91"/>
      <c r="Z275" s="165">
        <v>0.0</v>
      </c>
      <c r="AA275" s="89"/>
      <c r="AB275" s="166">
        <v>0.0</v>
      </c>
      <c r="AC275" s="89"/>
      <c r="AD275" s="166">
        <v>0.0</v>
      </c>
      <c r="AE275" s="89"/>
      <c r="AF275" s="167">
        <f t="shared" si="1"/>
        <v>0</v>
      </c>
      <c r="AG275" s="85">
        <f t="shared" si="2"/>
        <v>0</v>
      </c>
      <c r="AH275" s="85">
        <f t="shared" si="3"/>
        <v>0</v>
      </c>
      <c r="AI275" s="85">
        <f t="shared" si="4"/>
        <v>0</v>
      </c>
      <c r="AJ275" s="93" t="str">
        <f t="shared" si="5"/>
        <v/>
      </c>
    </row>
    <row r="276">
      <c r="A276" s="66" t="s">
        <v>11</v>
      </c>
      <c r="B276" s="94">
        <f t="shared" si="6"/>
        <v>45565</v>
      </c>
      <c r="C276" s="68">
        <v>10.0</v>
      </c>
      <c r="D276" s="68" t="s">
        <v>33</v>
      </c>
      <c r="E276" s="70" t="s">
        <v>131</v>
      </c>
      <c r="F276" s="71"/>
      <c r="H276" s="72"/>
      <c r="J276" s="72"/>
      <c r="L276" s="159">
        <v>0.0</v>
      </c>
      <c r="N276" s="160">
        <v>0.0</v>
      </c>
      <c r="P276" s="160">
        <v>0.0</v>
      </c>
      <c r="R276" s="160">
        <v>0.0</v>
      </c>
      <c r="T276" s="160">
        <v>1.0</v>
      </c>
      <c r="V276" s="160">
        <v>1.0</v>
      </c>
      <c r="X276" s="160">
        <v>0.0</v>
      </c>
      <c r="Y276" s="73"/>
      <c r="Z276" s="159">
        <v>50.0</v>
      </c>
      <c r="AB276" s="160">
        <v>50.0</v>
      </c>
      <c r="AD276" s="160">
        <v>0.0</v>
      </c>
      <c r="AF276" s="161">
        <f t="shared" si="1"/>
        <v>1927</v>
      </c>
      <c r="AG276" s="68">
        <f t="shared" si="2"/>
        <v>100</v>
      </c>
      <c r="AH276" s="68">
        <f t="shared" si="3"/>
        <v>2</v>
      </c>
      <c r="AI276" s="68">
        <f t="shared" si="4"/>
        <v>102</v>
      </c>
      <c r="AJ276" s="75">
        <f t="shared" si="5"/>
        <v>18.89215686</v>
      </c>
    </row>
    <row r="277">
      <c r="A277" s="76" t="s">
        <v>16</v>
      </c>
      <c r="B277" s="77">
        <f t="shared" si="6"/>
        <v>45566</v>
      </c>
      <c r="C277" s="78">
        <v>10.0</v>
      </c>
      <c r="D277" s="78" t="s">
        <v>33</v>
      </c>
      <c r="E277" s="80" t="s">
        <v>131</v>
      </c>
      <c r="F277" s="71"/>
      <c r="H277" s="72"/>
      <c r="J277" s="72"/>
      <c r="L277" s="159">
        <v>54.0</v>
      </c>
      <c r="N277" s="160">
        <v>54.0</v>
      </c>
      <c r="P277" s="160">
        <v>0.0</v>
      </c>
      <c r="R277" s="160">
        <v>0.0</v>
      </c>
      <c r="T277" s="160">
        <v>0.0</v>
      </c>
      <c r="V277" s="160">
        <v>0.0</v>
      </c>
      <c r="X277" s="160">
        <v>0.0</v>
      </c>
      <c r="Y277" s="73"/>
      <c r="Z277" s="159">
        <v>34.0</v>
      </c>
      <c r="AB277" s="160">
        <v>34.0</v>
      </c>
      <c r="AD277" s="160">
        <v>0.0</v>
      </c>
      <c r="AF277" s="163">
        <f t="shared" si="1"/>
        <v>2097.92</v>
      </c>
      <c r="AG277" s="78">
        <f t="shared" si="2"/>
        <v>176</v>
      </c>
      <c r="AH277" s="78">
        <f t="shared" si="3"/>
        <v>0</v>
      </c>
      <c r="AI277" s="78">
        <f t="shared" si="4"/>
        <v>176</v>
      </c>
      <c r="AJ277" s="82">
        <f t="shared" si="5"/>
        <v>11.92</v>
      </c>
    </row>
    <row r="278">
      <c r="A278" s="76" t="s">
        <v>17</v>
      </c>
      <c r="B278" s="77">
        <f t="shared" si="6"/>
        <v>45567</v>
      </c>
      <c r="C278" s="78">
        <v>10.0</v>
      </c>
      <c r="D278" s="78" t="s">
        <v>33</v>
      </c>
      <c r="E278" s="80" t="s">
        <v>131</v>
      </c>
      <c r="F278" s="71"/>
      <c r="H278" s="72"/>
      <c r="J278" s="72"/>
      <c r="L278" s="159">
        <v>54.0</v>
      </c>
      <c r="N278" s="160">
        <v>54.0</v>
      </c>
      <c r="P278" s="160">
        <v>0.0</v>
      </c>
      <c r="R278" s="160">
        <v>0.0</v>
      </c>
      <c r="T278" s="160">
        <v>0.0</v>
      </c>
      <c r="V278" s="160">
        <v>0.0</v>
      </c>
      <c r="X278" s="160">
        <v>0.0</v>
      </c>
      <c r="Y278" s="73"/>
      <c r="Z278" s="159">
        <v>34.0</v>
      </c>
      <c r="AB278" s="160">
        <v>34.0</v>
      </c>
      <c r="AD278" s="160">
        <v>0.0</v>
      </c>
      <c r="AF278" s="163">
        <f t="shared" si="1"/>
        <v>2097.92</v>
      </c>
      <c r="AG278" s="78">
        <f t="shared" si="2"/>
        <v>176</v>
      </c>
      <c r="AH278" s="78">
        <f t="shared" si="3"/>
        <v>0</v>
      </c>
      <c r="AI278" s="78">
        <f t="shared" si="4"/>
        <v>176</v>
      </c>
      <c r="AJ278" s="82">
        <f t="shared" si="5"/>
        <v>11.92</v>
      </c>
    </row>
    <row r="279">
      <c r="A279" s="76" t="s">
        <v>21</v>
      </c>
      <c r="B279" s="77">
        <f t="shared" si="6"/>
        <v>45568</v>
      </c>
      <c r="C279" s="78">
        <v>10.0</v>
      </c>
      <c r="D279" s="78" t="s">
        <v>33</v>
      </c>
      <c r="E279" s="80" t="s">
        <v>131</v>
      </c>
      <c r="F279" s="71"/>
      <c r="H279" s="72"/>
      <c r="J279" s="72"/>
      <c r="L279" s="159">
        <v>54.0</v>
      </c>
      <c r="N279" s="160">
        <v>54.0</v>
      </c>
      <c r="P279" s="160">
        <v>0.0</v>
      </c>
      <c r="R279" s="160">
        <v>0.0</v>
      </c>
      <c r="T279" s="160">
        <v>0.0</v>
      </c>
      <c r="V279" s="160">
        <v>0.0</v>
      </c>
      <c r="X279" s="160">
        <v>0.0</v>
      </c>
      <c r="Y279" s="73"/>
      <c r="Z279" s="159">
        <v>34.0</v>
      </c>
      <c r="AB279" s="160">
        <v>34.0</v>
      </c>
      <c r="AD279" s="160">
        <v>0.0</v>
      </c>
      <c r="AF279" s="163">
        <f t="shared" si="1"/>
        <v>2097.92</v>
      </c>
      <c r="AG279" s="78">
        <f t="shared" si="2"/>
        <v>176</v>
      </c>
      <c r="AH279" s="78">
        <f t="shared" si="3"/>
        <v>0</v>
      </c>
      <c r="AI279" s="78">
        <f t="shared" si="4"/>
        <v>176</v>
      </c>
      <c r="AJ279" s="82">
        <f t="shared" si="5"/>
        <v>11.92</v>
      </c>
    </row>
    <row r="280">
      <c r="A280" s="76" t="s">
        <v>24</v>
      </c>
      <c r="B280" s="77">
        <f t="shared" si="6"/>
        <v>45569</v>
      </c>
      <c r="C280" s="78">
        <v>10.0</v>
      </c>
      <c r="D280" s="78" t="s">
        <v>33</v>
      </c>
      <c r="E280" s="80" t="s">
        <v>131</v>
      </c>
      <c r="F280" s="71"/>
      <c r="H280" s="72"/>
      <c r="J280" s="72"/>
      <c r="L280" s="159">
        <v>54.0</v>
      </c>
      <c r="N280" s="160">
        <v>54.0</v>
      </c>
      <c r="P280" s="160">
        <v>0.0</v>
      </c>
      <c r="R280" s="160">
        <v>0.0</v>
      </c>
      <c r="T280" s="160">
        <v>0.0</v>
      </c>
      <c r="V280" s="160">
        <v>0.0</v>
      </c>
      <c r="X280" s="160">
        <v>0.0</v>
      </c>
      <c r="Y280" s="73"/>
      <c r="Z280" s="159">
        <v>34.0</v>
      </c>
      <c r="AB280" s="160">
        <v>34.0</v>
      </c>
      <c r="AD280" s="160">
        <v>0.0</v>
      </c>
      <c r="AF280" s="163">
        <f t="shared" si="1"/>
        <v>2097.92</v>
      </c>
      <c r="AG280" s="78">
        <f t="shared" si="2"/>
        <v>176</v>
      </c>
      <c r="AH280" s="78">
        <f t="shared" si="3"/>
        <v>0</v>
      </c>
      <c r="AI280" s="78">
        <f t="shared" si="4"/>
        <v>176</v>
      </c>
      <c r="AJ280" s="82">
        <f t="shared" si="5"/>
        <v>11.92</v>
      </c>
    </row>
    <row r="281">
      <c r="A281" s="76" t="s">
        <v>27</v>
      </c>
      <c r="B281" s="77">
        <f t="shared" si="6"/>
        <v>45570</v>
      </c>
      <c r="C281" s="78">
        <v>10.0</v>
      </c>
      <c r="D281" s="78" t="s">
        <v>33</v>
      </c>
      <c r="E281" s="80" t="s">
        <v>131</v>
      </c>
      <c r="F281" s="71"/>
      <c r="H281" s="72"/>
      <c r="J281" s="72"/>
      <c r="L281" s="159">
        <v>50.0</v>
      </c>
      <c r="N281" s="160">
        <v>50.0</v>
      </c>
      <c r="P281" s="160">
        <v>0.0</v>
      </c>
      <c r="R281" s="160">
        <v>0.0</v>
      </c>
      <c r="T281" s="160">
        <v>0.0</v>
      </c>
      <c r="V281" s="160">
        <v>0.0</v>
      </c>
      <c r="X281" s="160">
        <v>0.0</v>
      </c>
      <c r="Y281" s="73"/>
      <c r="Z281" s="159">
        <v>0.0</v>
      </c>
      <c r="AB281" s="160">
        <v>0.0</v>
      </c>
      <c r="AD281" s="160">
        <v>0.0</v>
      </c>
      <c r="AF281" s="163">
        <f t="shared" si="1"/>
        <v>1192</v>
      </c>
      <c r="AG281" s="78">
        <f t="shared" si="2"/>
        <v>100</v>
      </c>
      <c r="AH281" s="78">
        <f t="shared" si="3"/>
        <v>0</v>
      </c>
      <c r="AI281" s="78">
        <f t="shared" si="4"/>
        <v>100</v>
      </c>
      <c r="AJ281" s="82">
        <f t="shared" si="5"/>
        <v>11.92</v>
      </c>
    </row>
    <row r="282">
      <c r="A282" s="83" t="s">
        <v>30</v>
      </c>
      <c r="B282" s="84">
        <f t="shared" si="6"/>
        <v>45571</v>
      </c>
      <c r="C282" s="85">
        <v>10.0</v>
      </c>
      <c r="D282" s="85" t="s">
        <v>33</v>
      </c>
      <c r="E282" s="87" t="s">
        <v>131</v>
      </c>
      <c r="F282" s="88"/>
      <c r="G282" s="89"/>
      <c r="H282" s="90"/>
      <c r="I282" s="89"/>
      <c r="J282" s="90"/>
      <c r="K282" s="89"/>
      <c r="L282" s="165">
        <v>0.0</v>
      </c>
      <c r="M282" s="89"/>
      <c r="N282" s="166">
        <v>0.0</v>
      </c>
      <c r="O282" s="89"/>
      <c r="P282" s="166">
        <v>0.0</v>
      </c>
      <c r="Q282" s="89"/>
      <c r="R282" s="166">
        <v>0.0</v>
      </c>
      <c r="S282" s="89"/>
      <c r="T282" s="166">
        <v>0.0</v>
      </c>
      <c r="U282" s="89"/>
      <c r="V282" s="166">
        <v>0.0</v>
      </c>
      <c r="W282" s="89"/>
      <c r="X282" s="166">
        <v>0.0</v>
      </c>
      <c r="Y282" s="91"/>
      <c r="Z282" s="165">
        <v>0.0</v>
      </c>
      <c r="AA282" s="89"/>
      <c r="AB282" s="166">
        <v>0.0</v>
      </c>
      <c r="AC282" s="89"/>
      <c r="AD282" s="166">
        <v>0.0</v>
      </c>
      <c r="AE282" s="89"/>
      <c r="AF282" s="167">
        <f t="shared" si="1"/>
        <v>0</v>
      </c>
      <c r="AG282" s="85">
        <f t="shared" si="2"/>
        <v>0</v>
      </c>
      <c r="AH282" s="85">
        <f t="shared" si="3"/>
        <v>0</v>
      </c>
      <c r="AI282" s="85">
        <f t="shared" si="4"/>
        <v>0</v>
      </c>
      <c r="AJ282" s="93" t="str">
        <f t="shared" si="5"/>
        <v/>
      </c>
    </row>
    <row r="283">
      <c r="A283" s="66" t="s">
        <v>11</v>
      </c>
      <c r="B283" s="94">
        <f t="shared" si="6"/>
        <v>45572</v>
      </c>
      <c r="C283" s="68">
        <v>11.0</v>
      </c>
      <c r="D283" s="68" t="s">
        <v>48</v>
      </c>
      <c r="E283" s="70" t="s">
        <v>131</v>
      </c>
      <c r="F283" s="71"/>
      <c r="H283" s="72"/>
      <c r="J283" s="72"/>
      <c r="L283" s="159">
        <v>54.0</v>
      </c>
      <c r="N283" s="160">
        <v>54.0</v>
      </c>
      <c r="P283" s="160">
        <v>0.0</v>
      </c>
      <c r="R283" s="160">
        <v>0.0</v>
      </c>
      <c r="T283" s="160">
        <v>1.0</v>
      </c>
      <c r="V283" s="160">
        <v>1.0</v>
      </c>
      <c r="X283" s="160">
        <v>0.0</v>
      </c>
      <c r="Y283" s="73"/>
      <c r="Z283" s="159">
        <v>26.0</v>
      </c>
      <c r="AB283" s="160">
        <v>26.0</v>
      </c>
      <c r="AD283" s="160">
        <v>0.0</v>
      </c>
      <c r="AF283" s="161">
        <f t="shared" si="1"/>
        <v>2642.2</v>
      </c>
      <c r="AG283" s="68">
        <f t="shared" si="2"/>
        <v>160</v>
      </c>
      <c r="AH283" s="68">
        <f t="shared" si="3"/>
        <v>2</v>
      </c>
      <c r="AI283" s="68">
        <f t="shared" si="4"/>
        <v>162</v>
      </c>
      <c r="AJ283" s="75">
        <f t="shared" si="5"/>
        <v>16.30987654</v>
      </c>
    </row>
    <row r="284">
      <c r="A284" s="76" t="s">
        <v>16</v>
      </c>
      <c r="B284" s="77">
        <f t="shared" si="6"/>
        <v>45573</v>
      </c>
      <c r="C284" s="78">
        <v>11.0</v>
      </c>
      <c r="D284" s="78" t="s">
        <v>48</v>
      </c>
      <c r="E284" s="80" t="s">
        <v>131</v>
      </c>
      <c r="F284" s="71"/>
      <c r="H284" s="72"/>
      <c r="J284" s="72"/>
      <c r="L284" s="159">
        <v>54.0</v>
      </c>
      <c r="N284" s="160">
        <v>54.0</v>
      </c>
      <c r="P284" s="160">
        <v>0.0</v>
      </c>
      <c r="R284" s="160">
        <v>0.0</v>
      </c>
      <c r="T284" s="160">
        <v>0.0</v>
      </c>
      <c r="V284" s="160">
        <v>0.0</v>
      </c>
      <c r="X284" s="160">
        <v>0.0</v>
      </c>
      <c r="Y284" s="73"/>
      <c r="Z284" s="159">
        <v>26.0</v>
      </c>
      <c r="AB284" s="160">
        <v>26.0</v>
      </c>
      <c r="AD284" s="160">
        <v>0.0</v>
      </c>
      <c r="AF284" s="163">
        <f t="shared" si="1"/>
        <v>1907.2</v>
      </c>
      <c r="AG284" s="78">
        <f t="shared" si="2"/>
        <v>160</v>
      </c>
      <c r="AH284" s="78">
        <f t="shared" si="3"/>
        <v>0</v>
      </c>
      <c r="AI284" s="78">
        <f t="shared" si="4"/>
        <v>160</v>
      </c>
      <c r="AJ284" s="82">
        <f t="shared" si="5"/>
        <v>11.92</v>
      </c>
    </row>
    <row r="285">
      <c r="A285" s="76" t="s">
        <v>17</v>
      </c>
      <c r="B285" s="77">
        <f t="shared" si="6"/>
        <v>45574</v>
      </c>
      <c r="C285" s="78">
        <v>11.0</v>
      </c>
      <c r="D285" s="78" t="s">
        <v>48</v>
      </c>
      <c r="E285" s="80" t="s">
        <v>131</v>
      </c>
      <c r="F285" s="71"/>
      <c r="H285" s="72"/>
      <c r="J285" s="72"/>
      <c r="L285" s="159">
        <v>54.0</v>
      </c>
      <c r="N285" s="160">
        <v>54.0</v>
      </c>
      <c r="P285" s="160">
        <v>0.0</v>
      </c>
      <c r="R285" s="160">
        <v>0.0</v>
      </c>
      <c r="T285" s="160">
        <v>0.0</v>
      </c>
      <c r="V285" s="160">
        <v>0.0</v>
      </c>
      <c r="X285" s="160">
        <v>0.0</v>
      </c>
      <c r="Y285" s="73"/>
      <c r="Z285" s="159">
        <v>26.0</v>
      </c>
      <c r="AB285" s="160">
        <v>26.0</v>
      </c>
      <c r="AD285" s="160">
        <v>0.0</v>
      </c>
      <c r="AF285" s="163">
        <f t="shared" si="1"/>
        <v>1907.2</v>
      </c>
      <c r="AG285" s="78">
        <f t="shared" si="2"/>
        <v>160</v>
      </c>
      <c r="AH285" s="78">
        <f t="shared" si="3"/>
        <v>0</v>
      </c>
      <c r="AI285" s="78">
        <f t="shared" si="4"/>
        <v>160</v>
      </c>
      <c r="AJ285" s="82">
        <f t="shared" si="5"/>
        <v>11.92</v>
      </c>
    </row>
    <row r="286">
      <c r="A286" s="76" t="s">
        <v>21</v>
      </c>
      <c r="B286" s="77">
        <f t="shared" si="6"/>
        <v>45575</v>
      </c>
      <c r="C286" s="78">
        <v>11.0</v>
      </c>
      <c r="D286" s="78" t="s">
        <v>48</v>
      </c>
      <c r="E286" s="80" t="s">
        <v>131</v>
      </c>
      <c r="F286" s="71"/>
      <c r="H286" s="72"/>
      <c r="J286" s="72"/>
      <c r="L286" s="159">
        <v>54.0</v>
      </c>
      <c r="N286" s="160">
        <v>54.0</v>
      </c>
      <c r="P286" s="160">
        <v>0.0</v>
      </c>
      <c r="R286" s="160">
        <v>0.0</v>
      </c>
      <c r="T286" s="160">
        <v>0.0</v>
      </c>
      <c r="V286" s="160">
        <v>0.0</v>
      </c>
      <c r="X286" s="160">
        <v>0.0</v>
      </c>
      <c r="Y286" s="73"/>
      <c r="Z286" s="159">
        <v>26.0</v>
      </c>
      <c r="AB286" s="160">
        <v>26.0</v>
      </c>
      <c r="AD286" s="160">
        <v>0.0</v>
      </c>
      <c r="AF286" s="163">
        <f t="shared" si="1"/>
        <v>1907.2</v>
      </c>
      <c r="AG286" s="78">
        <f t="shared" si="2"/>
        <v>160</v>
      </c>
      <c r="AH286" s="78">
        <f t="shared" si="3"/>
        <v>0</v>
      </c>
      <c r="AI286" s="78">
        <f t="shared" si="4"/>
        <v>160</v>
      </c>
      <c r="AJ286" s="82">
        <f t="shared" si="5"/>
        <v>11.92</v>
      </c>
    </row>
    <row r="287">
      <c r="A287" s="76" t="s">
        <v>24</v>
      </c>
      <c r="B287" s="77">
        <f t="shared" si="6"/>
        <v>45576</v>
      </c>
      <c r="C287" s="78">
        <v>11.0</v>
      </c>
      <c r="D287" s="78" t="s">
        <v>48</v>
      </c>
      <c r="E287" s="80" t="s">
        <v>131</v>
      </c>
      <c r="F287" s="71"/>
      <c r="H287" s="72"/>
      <c r="J287" s="72"/>
      <c r="L287" s="159">
        <v>54.0</v>
      </c>
      <c r="N287" s="160">
        <v>54.0</v>
      </c>
      <c r="P287" s="160">
        <v>0.0</v>
      </c>
      <c r="R287" s="160">
        <v>0.0</v>
      </c>
      <c r="T287" s="160">
        <v>0.0</v>
      </c>
      <c r="V287" s="160">
        <v>0.0</v>
      </c>
      <c r="X287" s="160">
        <v>0.0</v>
      </c>
      <c r="Y287" s="73"/>
      <c r="Z287" s="159">
        <v>26.0</v>
      </c>
      <c r="AB287" s="160">
        <v>26.0</v>
      </c>
      <c r="AD287" s="160">
        <v>0.0</v>
      </c>
      <c r="AF287" s="163">
        <f t="shared" si="1"/>
        <v>1907.2</v>
      </c>
      <c r="AG287" s="78">
        <f t="shared" si="2"/>
        <v>160</v>
      </c>
      <c r="AH287" s="78">
        <f t="shared" si="3"/>
        <v>0</v>
      </c>
      <c r="AI287" s="78">
        <f t="shared" si="4"/>
        <v>160</v>
      </c>
      <c r="AJ287" s="82">
        <f t="shared" si="5"/>
        <v>11.92</v>
      </c>
    </row>
    <row r="288">
      <c r="A288" s="76" t="s">
        <v>27</v>
      </c>
      <c r="B288" s="77">
        <f t="shared" si="6"/>
        <v>45577</v>
      </c>
      <c r="C288" s="78">
        <v>11.0</v>
      </c>
      <c r="D288" s="78" t="s">
        <v>48</v>
      </c>
      <c r="E288" s="80" t="s">
        <v>131</v>
      </c>
      <c r="F288" s="71"/>
      <c r="H288" s="72"/>
      <c r="J288" s="72"/>
      <c r="L288" s="159">
        <v>50.0</v>
      </c>
      <c r="N288" s="160">
        <v>50.0</v>
      </c>
      <c r="P288" s="160">
        <v>0.0</v>
      </c>
      <c r="R288" s="160">
        <v>0.0</v>
      </c>
      <c r="T288" s="160">
        <v>0.0</v>
      </c>
      <c r="V288" s="160">
        <v>0.0</v>
      </c>
      <c r="X288" s="160">
        <v>0.0</v>
      </c>
      <c r="Y288" s="73"/>
      <c r="Z288" s="159">
        <v>0.0</v>
      </c>
      <c r="AB288" s="160">
        <v>0.0</v>
      </c>
      <c r="AD288" s="160">
        <v>0.0</v>
      </c>
      <c r="AF288" s="163">
        <f t="shared" si="1"/>
        <v>1192</v>
      </c>
      <c r="AG288" s="78">
        <f t="shared" si="2"/>
        <v>100</v>
      </c>
      <c r="AH288" s="78">
        <f t="shared" si="3"/>
        <v>0</v>
      </c>
      <c r="AI288" s="78">
        <f t="shared" si="4"/>
        <v>100</v>
      </c>
      <c r="AJ288" s="82">
        <f t="shared" si="5"/>
        <v>11.92</v>
      </c>
    </row>
    <row r="289">
      <c r="A289" s="83" t="s">
        <v>30</v>
      </c>
      <c r="B289" s="84">
        <f t="shared" si="6"/>
        <v>45578</v>
      </c>
      <c r="C289" s="85">
        <v>11.0</v>
      </c>
      <c r="D289" s="85" t="s">
        <v>48</v>
      </c>
      <c r="E289" s="87" t="s">
        <v>131</v>
      </c>
      <c r="F289" s="88"/>
      <c r="G289" s="89"/>
      <c r="H289" s="90"/>
      <c r="I289" s="89"/>
      <c r="J289" s="90"/>
      <c r="K289" s="89"/>
      <c r="L289" s="165">
        <v>0.0</v>
      </c>
      <c r="M289" s="89"/>
      <c r="N289" s="166">
        <v>0.0</v>
      </c>
      <c r="O289" s="89"/>
      <c r="P289" s="166">
        <v>0.0</v>
      </c>
      <c r="Q289" s="89"/>
      <c r="R289" s="166">
        <v>0.0</v>
      </c>
      <c r="S289" s="89"/>
      <c r="T289" s="166">
        <v>0.0</v>
      </c>
      <c r="U289" s="89"/>
      <c r="V289" s="166">
        <v>0.0</v>
      </c>
      <c r="W289" s="89"/>
      <c r="X289" s="166">
        <v>0.0</v>
      </c>
      <c r="Y289" s="91"/>
      <c r="Z289" s="165">
        <v>0.0</v>
      </c>
      <c r="AA289" s="89"/>
      <c r="AB289" s="166">
        <v>0.0</v>
      </c>
      <c r="AC289" s="89"/>
      <c r="AD289" s="166">
        <v>0.0</v>
      </c>
      <c r="AE289" s="89"/>
      <c r="AF289" s="167">
        <f t="shared" si="1"/>
        <v>0</v>
      </c>
      <c r="AG289" s="85">
        <f t="shared" si="2"/>
        <v>0</v>
      </c>
      <c r="AH289" s="85">
        <f t="shared" si="3"/>
        <v>0</v>
      </c>
      <c r="AI289" s="85">
        <f t="shared" si="4"/>
        <v>0</v>
      </c>
      <c r="AJ289" s="93" t="str">
        <f t="shared" si="5"/>
        <v/>
      </c>
    </row>
    <row r="290">
      <c r="A290" s="66" t="s">
        <v>11</v>
      </c>
      <c r="B290" s="94">
        <f t="shared" si="6"/>
        <v>45579</v>
      </c>
      <c r="C290" s="68">
        <v>11.0</v>
      </c>
      <c r="D290" s="68" t="s">
        <v>59</v>
      </c>
      <c r="E290" s="70" t="s">
        <v>131</v>
      </c>
      <c r="F290" s="71"/>
      <c r="H290" s="72"/>
      <c r="J290" s="72"/>
      <c r="L290" s="159">
        <v>54.0</v>
      </c>
      <c r="N290" s="160">
        <v>54.0</v>
      </c>
      <c r="P290" s="160">
        <v>0.0</v>
      </c>
      <c r="R290" s="160">
        <v>0.0</v>
      </c>
      <c r="T290" s="160">
        <v>1.0</v>
      </c>
      <c r="V290" s="160">
        <v>1.0</v>
      </c>
      <c r="X290" s="160">
        <v>0.0</v>
      </c>
      <c r="Y290" s="73"/>
      <c r="Z290" s="159">
        <v>15.0</v>
      </c>
      <c r="AB290" s="160">
        <v>15.0</v>
      </c>
      <c r="AD290" s="160">
        <v>0.0</v>
      </c>
      <c r="AF290" s="161">
        <f t="shared" si="1"/>
        <v>2379.96</v>
      </c>
      <c r="AG290" s="68">
        <f t="shared" si="2"/>
        <v>138</v>
      </c>
      <c r="AH290" s="68">
        <f t="shared" si="3"/>
        <v>2</v>
      </c>
      <c r="AI290" s="68">
        <f t="shared" si="4"/>
        <v>140</v>
      </c>
      <c r="AJ290" s="75">
        <f t="shared" si="5"/>
        <v>16.99971429</v>
      </c>
    </row>
    <row r="291">
      <c r="A291" s="76" t="s">
        <v>16</v>
      </c>
      <c r="B291" s="77">
        <f t="shared" si="6"/>
        <v>45580</v>
      </c>
      <c r="C291" s="78">
        <v>11.0</v>
      </c>
      <c r="D291" s="78" t="s">
        <v>59</v>
      </c>
      <c r="E291" s="80" t="s">
        <v>131</v>
      </c>
      <c r="F291" s="71"/>
      <c r="H291" s="72"/>
      <c r="J291" s="72"/>
      <c r="L291" s="159">
        <v>54.0</v>
      </c>
      <c r="N291" s="160">
        <v>54.0</v>
      </c>
      <c r="P291" s="160">
        <v>0.0</v>
      </c>
      <c r="R291" s="160">
        <v>0.0</v>
      </c>
      <c r="T291" s="160">
        <v>0.0</v>
      </c>
      <c r="V291" s="160">
        <v>0.0</v>
      </c>
      <c r="X291" s="160">
        <v>0.0</v>
      </c>
      <c r="Y291" s="73"/>
      <c r="Z291" s="159">
        <v>15.0</v>
      </c>
      <c r="AB291" s="160">
        <v>15.0</v>
      </c>
      <c r="AD291" s="160">
        <v>0.0</v>
      </c>
      <c r="AF291" s="163">
        <f t="shared" si="1"/>
        <v>1644.96</v>
      </c>
      <c r="AG291" s="78">
        <f t="shared" si="2"/>
        <v>138</v>
      </c>
      <c r="AH291" s="78">
        <f t="shared" si="3"/>
        <v>0</v>
      </c>
      <c r="AI291" s="78">
        <f t="shared" si="4"/>
        <v>138</v>
      </c>
      <c r="AJ291" s="82">
        <f t="shared" si="5"/>
        <v>11.92</v>
      </c>
    </row>
    <row r="292">
      <c r="A292" s="76" t="s">
        <v>17</v>
      </c>
      <c r="B292" s="77">
        <f t="shared" si="6"/>
        <v>45581</v>
      </c>
      <c r="C292" s="78">
        <v>11.0</v>
      </c>
      <c r="D292" s="78" t="s">
        <v>59</v>
      </c>
      <c r="E292" s="80" t="s">
        <v>131</v>
      </c>
      <c r="F292" s="71"/>
      <c r="H292" s="72"/>
      <c r="J292" s="72"/>
      <c r="L292" s="159">
        <v>54.0</v>
      </c>
      <c r="N292" s="160">
        <v>54.0</v>
      </c>
      <c r="P292" s="160">
        <v>0.0</v>
      </c>
      <c r="R292" s="160">
        <v>0.0</v>
      </c>
      <c r="T292" s="160">
        <v>0.0</v>
      </c>
      <c r="V292" s="160">
        <v>0.0</v>
      </c>
      <c r="X292" s="160">
        <v>0.0</v>
      </c>
      <c r="Y292" s="73"/>
      <c r="Z292" s="159">
        <v>15.0</v>
      </c>
      <c r="AB292" s="160">
        <v>15.0</v>
      </c>
      <c r="AD292" s="160">
        <v>0.0</v>
      </c>
      <c r="AF292" s="163">
        <f t="shared" si="1"/>
        <v>1644.96</v>
      </c>
      <c r="AG292" s="78">
        <f t="shared" si="2"/>
        <v>138</v>
      </c>
      <c r="AH292" s="78">
        <f t="shared" si="3"/>
        <v>0</v>
      </c>
      <c r="AI292" s="78">
        <f t="shared" si="4"/>
        <v>138</v>
      </c>
      <c r="AJ292" s="82">
        <f t="shared" si="5"/>
        <v>11.92</v>
      </c>
    </row>
    <row r="293">
      <c r="A293" s="76" t="s">
        <v>21</v>
      </c>
      <c r="B293" s="77">
        <f t="shared" si="6"/>
        <v>45582</v>
      </c>
      <c r="C293" s="78">
        <v>11.0</v>
      </c>
      <c r="D293" s="78" t="s">
        <v>59</v>
      </c>
      <c r="E293" s="80" t="s">
        <v>131</v>
      </c>
      <c r="F293" s="71"/>
      <c r="H293" s="72"/>
      <c r="J293" s="72"/>
      <c r="L293" s="159">
        <v>54.0</v>
      </c>
      <c r="N293" s="160">
        <v>54.0</v>
      </c>
      <c r="P293" s="160">
        <v>0.0</v>
      </c>
      <c r="R293" s="160">
        <v>0.0</v>
      </c>
      <c r="T293" s="160">
        <v>0.0</v>
      </c>
      <c r="V293" s="160">
        <v>0.0</v>
      </c>
      <c r="X293" s="160">
        <v>0.0</v>
      </c>
      <c r="Y293" s="73"/>
      <c r="Z293" s="159">
        <v>15.0</v>
      </c>
      <c r="AB293" s="160">
        <v>15.0</v>
      </c>
      <c r="AD293" s="160">
        <v>0.0</v>
      </c>
      <c r="AF293" s="163">
        <f t="shared" si="1"/>
        <v>1644.96</v>
      </c>
      <c r="AG293" s="78">
        <f t="shared" si="2"/>
        <v>138</v>
      </c>
      <c r="AH293" s="78">
        <f t="shared" si="3"/>
        <v>0</v>
      </c>
      <c r="AI293" s="78">
        <f t="shared" si="4"/>
        <v>138</v>
      </c>
      <c r="AJ293" s="82">
        <f t="shared" si="5"/>
        <v>11.92</v>
      </c>
    </row>
    <row r="294">
      <c r="A294" s="76" t="s">
        <v>24</v>
      </c>
      <c r="B294" s="77">
        <f t="shared" si="6"/>
        <v>45583</v>
      </c>
      <c r="C294" s="78">
        <v>11.0</v>
      </c>
      <c r="D294" s="78" t="s">
        <v>59</v>
      </c>
      <c r="E294" s="80" t="s">
        <v>131</v>
      </c>
      <c r="F294" s="71"/>
      <c r="H294" s="72"/>
      <c r="J294" s="72"/>
      <c r="L294" s="159">
        <v>54.0</v>
      </c>
      <c r="N294" s="160">
        <v>54.0</v>
      </c>
      <c r="P294" s="160">
        <v>0.0</v>
      </c>
      <c r="R294" s="160">
        <v>0.0</v>
      </c>
      <c r="T294" s="160">
        <v>0.0</v>
      </c>
      <c r="V294" s="160">
        <v>0.0</v>
      </c>
      <c r="X294" s="160">
        <v>0.0</v>
      </c>
      <c r="Y294" s="73"/>
      <c r="Z294" s="159">
        <v>15.0</v>
      </c>
      <c r="AB294" s="160">
        <v>15.0</v>
      </c>
      <c r="AD294" s="160">
        <v>0.0</v>
      </c>
      <c r="AF294" s="163">
        <f t="shared" si="1"/>
        <v>1644.96</v>
      </c>
      <c r="AG294" s="78">
        <f t="shared" si="2"/>
        <v>138</v>
      </c>
      <c r="AH294" s="78">
        <f t="shared" si="3"/>
        <v>0</v>
      </c>
      <c r="AI294" s="78">
        <f t="shared" si="4"/>
        <v>138</v>
      </c>
      <c r="AJ294" s="82">
        <f t="shared" si="5"/>
        <v>11.92</v>
      </c>
    </row>
    <row r="295">
      <c r="A295" s="76" t="s">
        <v>27</v>
      </c>
      <c r="B295" s="77">
        <f t="shared" si="6"/>
        <v>45584</v>
      </c>
      <c r="C295" s="78">
        <v>11.0</v>
      </c>
      <c r="D295" s="78" t="s">
        <v>59</v>
      </c>
      <c r="E295" s="80" t="s">
        <v>131</v>
      </c>
      <c r="F295" s="71"/>
      <c r="H295" s="72"/>
      <c r="J295" s="72"/>
      <c r="L295" s="159">
        <v>50.0</v>
      </c>
      <c r="N295" s="160">
        <v>50.0</v>
      </c>
      <c r="P295" s="160">
        <v>0.0</v>
      </c>
      <c r="R295" s="160">
        <v>0.0</v>
      </c>
      <c r="T295" s="160">
        <v>0.0</v>
      </c>
      <c r="V295" s="160">
        <v>0.0</v>
      </c>
      <c r="X295" s="160">
        <v>0.0</v>
      </c>
      <c r="Y295" s="73"/>
      <c r="Z295" s="159">
        <v>0.0</v>
      </c>
      <c r="AB295" s="160">
        <v>15.0</v>
      </c>
      <c r="AD295" s="160">
        <v>0.0</v>
      </c>
      <c r="AF295" s="163">
        <f t="shared" si="1"/>
        <v>1370.8</v>
      </c>
      <c r="AG295" s="78">
        <f t="shared" si="2"/>
        <v>115</v>
      </c>
      <c r="AH295" s="78">
        <f t="shared" si="3"/>
        <v>0</v>
      </c>
      <c r="AI295" s="78">
        <f t="shared" si="4"/>
        <v>115</v>
      </c>
      <c r="AJ295" s="82">
        <f t="shared" si="5"/>
        <v>11.92</v>
      </c>
    </row>
    <row r="296">
      <c r="A296" s="83" t="s">
        <v>30</v>
      </c>
      <c r="B296" s="84">
        <f t="shared" si="6"/>
        <v>45585</v>
      </c>
      <c r="C296" s="85">
        <v>11.0</v>
      </c>
      <c r="D296" s="85" t="s">
        <v>59</v>
      </c>
      <c r="E296" s="87" t="s">
        <v>131</v>
      </c>
      <c r="F296" s="88"/>
      <c r="G296" s="89"/>
      <c r="H296" s="90"/>
      <c r="I296" s="89"/>
      <c r="J296" s="90"/>
      <c r="K296" s="89"/>
      <c r="L296" s="165">
        <v>0.0</v>
      </c>
      <c r="M296" s="89"/>
      <c r="N296" s="166">
        <v>0.0</v>
      </c>
      <c r="O296" s="89"/>
      <c r="P296" s="166">
        <v>0.0</v>
      </c>
      <c r="Q296" s="89"/>
      <c r="R296" s="166">
        <v>0.0</v>
      </c>
      <c r="S296" s="89"/>
      <c r="T296" s="166">
        <v>0.0</v>
      </c>
      <c r="U296" s="89"/>
      <c r="V296" s="166">
        <v>0.0</v>
      </c>
      <c r="W296" s="89"/>
      <c r="X296" s="166">
        <v>0.0</v>
      </c>
      <c r="Y296" s="91"/>
      <c r="Z296" s="165">
        <v>0.0</v>
      </c>
      <c r="AA296" s="89"/>
      <c r="AB296" s="166">
        <v>0.0</v>
      </c>
      <c r="AC296" s="89"/>
      <c r="AD296" s="166">
        <v>0.0</v>
      </c>
      <c r="AE296" s="89"/>
      <c r="AF296" s="167">
        <f t="shared" si="1"/>
        <v>0</v>
      </c>
      <c r="AG296" s="85">
        <f t="shared" si="2"/>
        <v>0</v>
      </c>
      <c r="AH296" s="85">
        <f t="shared" si="3"/>
        <v>0</v>
      </c>
      <c r="AI296" s="85">
        <f t="shared" si="4"/>
        <v>0</v>
      </c>
      <c r="AJ296" s="93" t="str">
        <f t="shared" si="5"/>
        <v/>
      </c>
    </row>
    <row r="297">
      <c r="A297" s="66" t="s">
        <v>11</v>
      </c>
      <c r="B297" s="94">
        <f t="shared" si="6"/>
        <v>45586</v>
      </c>
      <c r="C297" s="68">
        <v>11.0</v>
      </c>
      <c r="D297" s="68" t="s">
        <v>12</v>
      </c>
      <c r="E297" s="70" t="s">
        <v>131</v>
      </c>
      <c r="F297" s="71"/>
      <c r="H297" s="72"/>
      <c r="J297" s="72"/>
      <c r="L297" s="159">
        <v>54.0</v>
      </c>
      <c r="N297" s="160">
        <v>54.0</v>
      </c>
      <c r="P297" s="160">
        <v>0.0</v>
      </c>
      <c r="R297" s="160">
        <v>0.0</v>
      </c>
      <c r="T297" s="160">
        <v>1.0</v>
      </c>
      <c r="V297" s="160">
        <v>1.0</v>
      </c>
      <c r="X297" s="160">
        <v>0.0</v>
      </c>
      <c r="Y297" s="73"/>
      <c r="Z297" s="159">
        <v>13.0</v>
      </c>
      <c r="AB297" s="160">
        <v>13.0</v>
      </c>
      <c r="AD297" s="160">
        <v>0.0</v>
      </c>
      <c r="AF297" s="161">
        <f t="shared" si="1"/>
        <v>2332.28</v>
      </c>
      <c r="AG297" s="68">
        <f t="shared" si="2"/>
        <v>134</v>
      </c>
      <c r="AH297" s="68">
        <f t="shared" si="3"/>
        <v>2</v>
      </c>
      <c r="AI297" s="68">
        <f t="shared" si="4"/>
        <v>136</v>
      </c>
      <c r="AJ297" s="75">
        <f t="shared" si="5"/>
        <v>17.14911765</v>
      </c>
    </row>
    <row r="298">
      <c r="A298" s="76" t="s">
        <v>16</v>
      </c>
      <c r="B298" s="77">
        <f t="shared" si="6"/>
        <v>45587</v>
      </c>
      <c r="C298" s="78">
        <v>11.0</v>
      </c>
      <c r="D298" s="78" t="s">
        <v>12</v>
      </c>
      <c r="E298" s="80" t="s">
        <v>131</v>
      </c>
      <c r="F298" s="71"/>
      <c r="H298" s="72"/>
      <c r="J298" s="72"/>
      <c r="L298" s="159">
        <v>54.0</v>
      </c>
      <c r="N298" s="160">
        <v>54.0</v>
      </c>
      <c r="P298" s="160">
        <v>0.0</v>
      </c>
      <c r="R298" s="160">
        <v>0.0</v>
      </c>
      <c r="T298" s="160">
        <v>0.0</v>
      </c>
      <c r="V298" s="160">
        <v>0.0</v>
      </c>
      <c r="X298" s="160">
        <v>0.0</v>
      </c>
      <c r="Y298" s="73"/>
      <c r="Z298" s="159">
        <v>13.0</v>
      </c>
      <c r="AB298" s="160">
        <v>13.0</v>
      </c>
      <c r="AD298" s="160"/>
      <c r="AF298" s="163">
        <f t="shared" si="1"/>
        <v>1597.28</v>
      </c>
      <c r="AG298" s="78">
        <f t="shared" si="2"/>
        <v>134</v>
      </c>
      <c r="AH298" s="78">
        <f t="shared" si="3"/>
        <v>0</v>
      </c>
      <c r="AI298" s="78">
        <f t="shared" si="4"/>
        <v>134</v>
      </c>
      <c r="AJ298" s="82">
        <f t="shared" si="5"/>
        <v>11.92</v>
      </c>
    </row>
    <row r="299">
      <c r="A299" s="76" t="s">
        <v>17</v>
      </c>
      <c r="B299" s="77">
        <f t="shared" si="6"/>
        <v>45588</v>
      </c>
      <c r="C299" s="78">
        <v>11.0</v>
      </c>
      <c r="D299" s="78" t="s">
        <v>12</v>
      </c>
      <c r="E299" s="80" t="s">
        <v>131</v>
      </c>
      <c r="F299" s="71"/>
      <c r="H299" s="72"/>
      <c r="J299" s="72"/>
      <c r="L299" s="159">
        <v>54.0</v>
      </c>
      <c r="N299" s="160">
        <v>54.0</v>
      </c>
      <c r="P299" s="160">
        <v>0.0</v>
      </c>
      <c r="R299" s="160">
        <v>0.0</v>
      </c>
      <c r="T299" s="160">
        <v>0.0</v>
      </c>
      <c r="V299" s="160">
        <v>0.0</v>
      </c>
      <c r="X299" s="160">
        <v>0.0</v>
      </c>
      <c r="Y299" s="73"/>
      <c r="Z299" s="159">
        <v>13.0</v>
      </c>
      <c r="AB299" s="160">
        <v>13.0</v>
      </c>
      <c r="AD299" s="160">
        <v>0.0</v>
      </c>
      <c r="AF299" s="163">
        <f t="shared" si="1"/>
        <v>1597.28</v>
      </c>
      <c r="AG299" s="78">
        <f t="shared" si="2"/>
        <v>134</v>
      </c>
      <c r="AH299" s="78">
        <f t="shared" si="3"/>
        <v>0</v>
      </c>
      <c r="AI299" s="78">
        <f t="shared" si="4"/>
        <v>134</v>
      </c>
      <c r="AJ299" s="82">
        <f t="shared" si="5"/>
        <v>11.92</v>
      </c>
    </row>
    <row r="300">
      <c r="A300" s="76" t="s">
        <v>21</v>
      </c>
      <c r="B300" s="77">
        <f t="shared" si="6"/>
        <v>45589</v>
      </c>
      <c r="C300" s="78">
        <v>11.0</v>
      </c>
      <c r="D300" s="78" t="s">
        <v>12</v>
      </c>
      <c r="E300" s="80" t="s">
        <v>131</v>
      </c>
      <c r="F300" s="71"/>
      <c r="H300" s="72"/>
      <c r="J300" s="72"/>
      <c r="L300" s="159">
        <v>54.0</v>
      </c>
      <c r="N300" s="160">
        <v>54.0</v>
      </c>
      <c r="P300" s="160">
        <v>0.0</v>
      </c>
      <c r="R300" s="160">
        <v>0.0</v>
      </c>
      <c r="T300" s="160">
        <v>0.0</v>
      </c>
      <c r="V300" s="160">
        <v>0.0</v>
      </c>
      <c r="X300" s="160">
        <v>0.0</v>
      </c>
      <c r="Y300" s="73"/>
      <c r="Z300" s="159">
        <v>13.0</v>
      </c>
      <c r="AB300" s="160">
        <v>13.0</v>
      </c>
      <c r="AD300" s="160">
        <v>0.0</v>
      </c>
      <c r="AF300" s="163">
        <f t="shared" si="1"/>
        <v>1597.28</v>
      </c>
      <c r="AG300" s="78">
        <f t="shared" si="2"/>
        <v>134</v>
      </c>
      <c r="AH300" s="78">
        <f t="shared" si="3"/>
        <v>0</v>
      </c>
      <c r="AI300" s="78">
        <f t="shared" si="4"/>
        <v>134</v>
      </c>
      <c r="AJ300" s="82">
        <f t="shared" si="5"/>
        <v>11.92</v>
      </c>
    </row>
    <row r="301">
      <c r="A301" s="76" t="s">
        <v>24</v>
      </c>
      <c r="B301" s="77">
        <f t="shared" si="6"/>
        <v>45590</v>
      </c>
      <c r="C301" s="78">
        <v>11.0</v>
      </c>
      <c r="D301" s="78" t="s">
        <v>12</v>
      </c>
      <c r="E301" s="80" t="s">
        <v>131</v>
      </c>
      <c r="F301" s="71"/>
      <c r="H301" s="72"/>
      <c r="J301" s="72"/>
      <c r="L301" s="159">
        <v>54.0</v>
      </c>
      <c r="N301" s="160">
        <v>54.0</v>
      </c>
      <c r="P301" s="160">
        <v>0.0</v>
      </c>
      <c r="R301" s="160">
        <v>0.0</v>
      </c>
      <c r="T301" s="160">
        <v>0.0</v>
      </c>
      <c r="V301" s="160">
        <v>0.0</v>
      </c>
      <c r="X301" s="160">
        <v>0.0</v>
      </c>
      <c r="Y301" s="73"/>
      <c r="Z301" s="159">
        <v>13.0</v>
      </c>
      <c r="AB301" s="160">
        <v>13.0</v>
      </c>
      <c r="AD301" s="160">
        <v>0.0</v>
      </c>
      <c r="AF301" s="163">
        <f t="shared" si="1"/>
        <v>1597.28</v>
      </c>
      <c r="AG301" s="78">
        <f t="shared" si="2"/>
        <v>134</v>
      </c>
      <c r="AH301" s="78">
        <f t="shared" si="3"/>
        <v>0</v>
      </c>
      <c r="AI301" s="78">
        <f t="shared" si="4"/>
        <v>134</v>
      </c>
      <c r="AJ301" s="82">
        <f t="shared" si="5"/>
        <v>11.92</v>
      </c>
    </row>
    <row r="302">
      <c r="A302" s="76" t="s">
        <v>27</v>
      </c>
      <c r="B302" s="77">
        <f t="shared" si="6"/>
        <v>45591</v>
      </c>
      <c r="C302" s="78">
        <v>11.0</v>
      </c>
      <c r="D302" s="78" t="s">
        <v>12</v>
      </c>
      <c r="E302" s="80" t="s">
        <v>131</v>
      </c>
      <c r="F302" s="71"/>
      <c r="H302" s="72"/>
      <c r="J302" s="72"/>
      <c r="L302" s="159">
        <v>50.0</v>
      </c>
      <c r="N302" s="160">
        <v>50.0</v>
      </c>
      <c r="P302" s="160">
        <v>0.0</v>
      </c>
      <c r="R302" s="160">
        <v>0.0</v>
      </c>
      <c r="T302" s="160">
        <v>0.0</v>
      </c>
      <c r="V302" s="160">
        <v>0.0</v>
      </c>
      <c r="X302" s="160">
        <v>0.0</v>
      </c>
      <c r="Y302" s="73"/>
      <c r="Z302" s="159">
        <v>0.0</v>
      </c>
      <c r="AB302" s="160">
        <v>0.0</v>
      </c>
      <c r="AD302" s="160">
        <v>0.0</v>
      </c>
      <c r="AF302" s="163">
        <f t="shared" si="1"/>
        <v>1192</v>
      </c>
      <c r="AG302" s="78">
        <f t="shared" si="2"/>
        <v>100</v>
      </c>
      <c r="AH302" s="78">
        <f t="shared" si="3"/>
        <v>0</v>
      </c>
      <c r="AI302" s="78">
        <f t="shared" si="4"/>
        <v>100</v>
      </c>
      <c r="AJ302" s="82">
        <f t="shared" si="5"/>
        <v>11.92</v>
      </c>
    </row>
    <row r="303">
      <c r="A303" s="83" t="s">
        <v>30</v>
      </c>
      <c r="B303" s="84">
        <f t="shared" si="6"/>
        <v>45592</v>
      </c>
      <c r="C303" s="85">
        <v>11.0</v>
      </c>
      <c r="D303" s="85" t="s">
        <v>12</v>
      </c>
      <c r="E303" s="87" t="s">
        <v>131</v>
      </c>
      <c r="F303" s="88"/>
      <c r="G303" s="89"/>
      <c r="H303" s="90"/>
      <c r="I303" s="89"/>
      <c r="J303" s="90"/>
      <c r="K303" s="89"/>
      <c r="L303" s="165">
        <v>0.0</v>
      </c>
      <c r="M303" s="89"/>
      <c r="N303" s="166">
        <v>0.0</v>
      </c>
      <c r="O303" s="89"/>
      <c r="P303" s="166">
        <v>0.0</v>
      </c>
      <c r="Q303" s="89"/>
      <c r="R303" s="166">
        <v>0.0</v>
      </c>
      <c r="S303" s="89"/>
      <c r="T303" s="166">
        <v>0.0</v>
      </c>
      <c r="U303" s="89"/>
      <c r="V303" s="166">
        <v>0.0</v>
      </c>
      <c r="W303" s="89"/>
      <c r="X303" s="166">
        <v>0.0</v>
      </c>
      <c r="Y303" s="91"/>
      <c r="Z303" s="165">
        <v>0.0</v>
      </c>
      <c r="AA303" s="89"/>
      <c r="AB303" s="166">
        <v>0.0</v>
      </c>
      <c r="AC303" s="89"/>
      <c r="AD303" s="166">
        <v>0.0</v>
      </c>
      <c r="AE303" s="89"/>
      <c r="AF303" s="167">
        <f t="shared" si="1"/>
        <v>0</v>
      </c>
      <c r="AG303" s="85">
        <f t="shared" si="2"/>
        <v>0</v>
      </c>
      <c r="AH303" s="85">
        <f t="shared" si="3"/>
        <v>0</v>
      </c>
      <c r="AI303" s="85">
        <f t="shared" si="4"/>
        <v>0</v>
      </c>
      <c r="AJ303" s="93" t="str">
        <f t="shared" si="5"/>
        <v/>
      </c>
    </row>
    <row r="304">
      <c r="A304" s="66" t="s">
        <v>11</v>
      </c>
      <c r="B304" s="94">
        <f t="shared" si="6"/>
        <v>45593</v>
      </c>
      <c r="C304" s="68">
        <v>11.0</v>
      </c>
      <c r="D304" s="68" t="s">
        <v>33</v>
      </c>
      <c r="E304" s="70" t="s">
        <v>131</v>
      </c>
      <c r="F304" s="71"/>
      <c r="H304" s="72"/>
      <c r="J304" s="72"/>
      <c r="L304" s="159">
        <v>54.0</v>
      </c>
      <c r="N304" s="160">
        <v>54.0</v>
      </c>
      <c r="P304" s="160">
        <v>0.0</v>
      </c>
      <c r="R304" s="160">
        <v>0.0</v>
      </c>
      <c r="T304" s="160">
        <v>1.0</v>
      </c>
      <c r="V304" s="160">
        <v>1.0</v>
      </c>
      <c r="X304" s="160">
        <v>0.0</v>
      </c>
      <c r="Y304" s="73"/>
      <c r="Z304" s="159">
        <v>13.0</v>
      </c>
      <c r="AB304" s="160">
        <v>13.0</v>
      </c>
      <c r="AD304" s="160">
        <v>0.0</v>
      </c>
      <c r="AF304" s="161">
        <f t="shared" si="1"/>
        <v>2332.28</v>
      </c>
      <c r="AG304" s="68">
        <f t="shared" si="2"/>
        <v>134</v>
      </c>
      <c r="AH304" s="68">
        <f t="shared" si="3"/>
        <v>2</v>
      </c>
      <c r="AI304" s="68">
        <f t="shared" si="4"/>
        <v>136</v>
      </c>
      <c r="AJ304" s="75">
        <f t="shared" si="5"/>
        <v>17.14911765</v>
      </c>
    </row>
    <row r="305">
      <c r="A305" s="76" t="s">
        <v>16</v>
      </c>
      <c r="B305" s="77">
        <f t="shared" si="6"/>
        <v>45594</v>
      </c>
      <c r="C305" s="78">
        <v>11.0</v>
      </c>
      <c r="D305" s="78" t="s">
        <v>33</v>
      </c>
      <c r="E305" s="80" t="s">
        <v>131</v>
      </c>
      <c r="F305" s="71"/>
      <c r="H305" s="72"/>
      <c r="J305" s="72"/>
      <c r="L305" s="159">
        <v>54.0</v>
      </c>
      <c r="N305" s="160">
        <v>54.0</v>
      </c>
      <c r="P305" s="160">
        <v>0.0</v>
      </c>
      <c r="R305" s="160">
        <v>0.0</v>
      </c>
      <c r="T305" s="160">
        <v>0.0</v>
      </c>
      <c r="V305" s="160">
        <v>0.0</v>
      </c>
      <c r="X305" s="160">
        <v>0.0</v>
      </c>
      <c r="Y305" s="73"/>
      <c r="Z305" s="159">
        <v>13.0</v>
      </c>
      <c r="AB305" s="160">
        <v>13.0</v>
      </c>
      <c r="AD305" s="160">
        <v>0.0</v>
      </c>
      <c r="AF305" s="163">
        <f t="shared" si="1"/>
        <v>1597.28</v>
      </c>
      <c r="AG305" s="78">
        <f t="shared" si="2"/>
        <v>134</v>
      </c>
      <c r="AH305" s="78">
        <f t="shared" si="3"/>
        <v>0</v>
      </c>
      <c r="AI305" s="78">
        <f t="shared" si="4"/>
        <v>134</v>
      </c>
      <c r="AJ305" s="82">
        <f t="shared" si="5"/>
        <v>11.92</v>
      </c>
    </row>
    <row r="306">
      <c r="A306" s="76" t="s">
        <v>17</v>
      </c>
      <c r="B306" s="77">
        <f t="shared" si="6"/>
        <v>45595</v>
      </c>
      <c r="C306" s="78">
        <v>11.0</v>
      </c>
      <c r="D306" s="78" t="s">
        <v>33</v>
      </c>
      <c r="E306" s="80" t="s">
        <v>131</v>
      </c>
      <c r="F306" s="71"/>
      <c r="H306" s="72"/>
      <c r="J306" s="72"/>
      <c r="L306" s="159">
        <v>0.0</v>
      </c>
      <c r="N306" s="160">
        <v>0.0</v>
      </c>
      <c r="P306" s="160">
        <v>0.0</v>
      </c>
      <c r="R306" s="160">
        <v>0.0</v>
      </c>
      <c r="T306" s="160">
        <v>0.0</v>
      </c>
      <c r="V306" s="160">
        <v>0.0</v>
      </c>
      <c r="X306" s="160">
        <v>0.0</v>
      </c>
      <c r="Y306" s="73"/>
      <c r="Z306" s="159">
        <v>0.0</v>
      </c>
      <c r="AB306" s="160">
        <v>0.0</v>
      </c>
      <c r="AD306" s="160">
        <v>0.0</v>
      </c>
      <c r="AF306" s="163">
        <f t="shared" si="1"/>
        <v>0</v>
      </c>
      <c r="AG306" s="78">
        <f t="shared" si="2"/>
        <v>0</v>
      </c>
      <c r="AH306" s="78">
        <f t="shared" si="3"/>
        <v>0</v>
      </c>
      <c r="AI306" s="78">
        <f t="shared" si="4"/>
        <v>0</v>
      </c>
      <c r="AJ306" s="82" t="str">
        <f t="shared" si="5"/>
        <v/>
      </c>
    </row>
    <row r="307">
      <c r="A307" s="76" t="s">
        <v>21</v>
      </c>
      <c r="B307" s="77">
        <f t="shared" si="6"/>
        <v>45596</v>
      </c>
      <c r="C307" s="78">
        <v>11.0</v>
      </c>
      <c r="D307" s="78" t="s">
        <v>33</v>
      </c>
      <c r="E307" s="80" t="s">
        <v>131</v>
      </c>
      <c r="F307" s="71"/>
      <c r="H307" s="72"/>
      <c r="J307" s="72"/>
      <c r="L307" s="159">
        <v>0.0</v>
      </c>
      <c r="N307" s="160">
        <v>0.0</v>
      </c>
      <c r="P307" s="160">
        <v>0.0</v>
      </c>
      <c r="R307" s="160">
        <v>0.0</v>
      </c>
      <c r="T307" s="160">
        <v>0.0</v>
      </c>
      <c r="V307" s="160">
        <v>0.0</v>
      </c>
      <c r="X307" s="160">
        <v>0.0</v>
      </c>
      <c r="Y307" s="73"/>
      <c r="Z307" s="159">
        <v>0.0</v>
      </c>
      <c r="AB307" s="160">
        <v>0.0</v>
      </c>
      <c r="AD307" s="160">
        <v>0.0</v>
      </c>
      <c r="AF307" s="163">
        <f t="shared" si="1"/>
        <v>0</v>
      </c>
      <c r="AG307" s="78">
        <f t="shared" si="2"/>
        <v>0</v>
      </c>
      <c r="AH307" s="78">
        <f t="shared" si="3"/>
        <v>0</v>
      </c>
      <c r="AI307" s="78">
        <f t="shared" si="4"/>
        <v>0</v>
      </c>
      <c r="AJ307" s="82" t="str">
        <f t="shared" si="5"/>
        <v/>
      </c>
    </row>
    <row r="308">
      <c r="A308" s="76" t="s">
        <v>24</v>
      </c>
      <c r="B308" s="77">
        <f t="shared" si="6"/>
        <v>45597</v>
      </c>
      <c r="C308" s="78">
        <v>11.0</v>
      </c>
      <c r="D308" s="78" t="s">
        <v>33</v>
      </c>
      <c r="E308" s="80" t="s">
        <v>131</v>
      </c>
      <c r="F308" s="71"/>
      <c r="H308" s="72"/>
      <c r="J308" s="72"/>
      <c r="L308" s="159">
        <v>0.0</v>
      </c>
      <c r="N308" s="160">
        <v>0.0</v>
      </c>
      <c r="P308" s="160">
        <v>0.0</v>
      </c>
      <c r="R308" s="160">
        <v>0.0</v>
      </c>
      <c r="T308" s="160">
        <v>0.0</v>
      </c>
      <c r="V308" s="160">
        <v>0.0</v>
      </c>
      <c r="X308" s="160">
        <v>0.0</v>
      </c>
      <c r="Y308" s="73"/>
      <c r="Z308" s="159">
        <v>0.0</v>
      </c>
      <c r="AB308" s="160">
        <v>0.0</v>
      </c>
      <c r="AD308" s="160">
        <v>0.0</v>
      </c>
      <c r="AF308" s="163">
        <f t="shared" si="1"/>
        <v>0</v>
      </c>
      <c r="AG308" s="78">
        <f t="shared" si="2"/>
        <v>0</v>
      </c>
      <c r="AH308" s="78">
        <f t="shared" si="3"/>
        <v>0</v>
      </c>
      <c r="AI308" s="78">
        <f t="shared" si="4"/>
        <v>0</v>
      </c>
      <c r="AJ308" s="82" t="str">
        <f t="shared" si="5"/>
        <v/>
      </c>
    </row>
    <row r="309">
      <c r="A309" s="76" t="s">
        <v>27</v>
      </c>
      <c r="B309" s="77">
        <f t="shared" si="6"/>
        <v>45598</v>
      </c>
      <c r="C309" s="78">
        <v>11.0</v>
      </c>
      <c r="D309" s="78" t="s">
        <v>33</v>
      </c>
      <c r="E309" s="80" t="s">
        <v>131</v>
      </c>
      <c r="F309" s="71"/>
      <c r="H309" s="72"/>
      <c r="J309" s="72"/>
      <c r="L309" s="159">
        <v>0.0</v>
      </c>
      <c r="N309" s="160">
        <v>0.0</v>
      </c>
      <c r="P309" s="160">
        <v>0.0</v>
      </c>
      <c r="R309" s="160">
        <v>0.0</v>
      </c>
      <c r="T309" s="160">
        <v>0.0</v>
      </c>
      <c r="V309" s="160">
        <v>0.0</v>
      </c>
      <c r="X309" s="160">
        <v>0.0</v>
      </c>
      <c r="Y309" s="73"/>
      <c r="Z309" s="159">
        <v>0.0</v>
      </c>
      <c r="AB309" s="160">
        <v>0.0</v>
      </c>
      <c r="AD309" s="160">
        <v>0.0</v>
      </c>
      <c r="AF309" s="163">
        <f t="shared" si="1"/>
        <v>0</v>
      </c>
      <c r="AG309" s="78">
        <f t="shared" si="2"/>
        <v>0</v>
      </c>
      <c r="AH309" s="78">
        <f t="shared" si="3"/>
        <v>0</v>
      </c>
      <c r="AI309" s="78">
        <f t="shared" si="4"/>
        <v>0</v>
      </c>
      <c r="AJ309" s="82" t="str">
        <f t="shared" si="5"/>
        <v/>
      </c>
    </row>
    <row r="310">
      <c r="A310" s="83" t="s">
        <v>30</v>
      </c>
      <c r="B310" s="84">
        <f t="shared" si="6"/>
        <v>45599</v>
      </c>
      <c r="C310" s="85">
        <v>11.0</v>
      </c>
      <c r="D310" s="85" t="s">
        <v>33</v>
      </c>
      <c r="E310" s="87" t="s">
        <v>131</v>
      </c>
      <c r="F310" s="88"/>
      <c r="G310" s="89"/>
      <c r="H310" s="90"/>
      <c r="I310" s="89"/>
      <c r="J310" s="90"/>
      <c r="K310" s="89"/>
      <c r="L310" s="165"/>
      <c r="M310" s="89"/>
      <c r="N310" s="166">
        <v>0.0</v>
      </c>
      <c r="O310" s="89"/>
      <c r="P310" s="166">
        <v>0.0</v>
      </c>
      <c r="Q310" s="89"/>
      <c r="R310" s="166">
        <v>0.0</v>
      </c>
      <c r="S310" s="89"/>
      <c r="T310" s="166">
        <v>0.0</v>
      </c>
      <c r="U310" s="89"/>
      <c r="V310" s="166">
        <v>0.0</v>
      </c>
      <c r="W310" s="89"/>
      <c r="X310" s="166">
        <v>0.0</v>
      </c>
      <c r="Y310" s="91"/>
      <c r="Z310" s="165">
        <v>0.0</v>
      </c>
      <c r="AA310" s="89"/>
      <c r="AB310" s="166">
        <v>0.0</v>
      </c>
      <c r="AC310" s="89"/>
      <c r="AD310" s="166">
        <v>0.0</v>
      </c>
      <c r="AE310" s="89"/>
      <c r="AF310" s="167">
        <f t="shared" si="1"/>
        <v>0</v>
      </c>
      <c r="AG310" s="85">
        <f t="shared" si="2"/>
        <v>0</v>
      </c>
      <c r="AH310" s="85">
        <f t="shared" si="3"/>
        <v>0</v>
      </c>
      <c r="AI310" s="85">
        <f t="shared" si="4"/>
        <v>0</v>
      </c>
      <c r="AJ310" s="93" t="str">
        <f t="shared" si="5"/>
        <v/>
      </c>
    </row>
    <row r="311">
      <c r="A311" s="66" t="s">
        <v>11</v>
      </c>
      <c r="B311" s="94">
        <f t="shared" si="6"/>
        <v>45600</v>
      </c>
      <c r="C311" s="68">
        <v>12.0</v>
      </c>
      <c r="D311" s="68" t="s">
        <v>48</v>
      </c>
      <c r="E311" s="70" t="s">
        <v>131</v>
      </c>
      <c r="F311" s="71"/>
      <c r="H311" s="72"/>
      <c r="J311" s="72"/>
      <c r="L311" s="183">
        <v>37.0</v>
      </c>
      <c r="N311" s="184">
        <v>37.0</v>
      </c>
      <c r="P311" s="184">
        <v>0.0</v>
      </c>
      <c r="R311" s="184">
        <v>0.0</v>
      </c>
      <c r="T311" s="184">
        <v>1.0</v>
      </c>
      <c r="V311" s="184">
        <v>1.0</v>
      </c>
      <c r="X311" s="184">
        <v>0.0</v>
      </c>
      <c r="Y311" s="73"/>
      <c r="Z311" s="183">
        <v>13.0</v>
      </c>
      <c r="AB311" s="184">
        <v>13.0</v>
      </c>
      <c r="AD311" s="184">
        <v>0.0</v>
      </c>
      <c r="AF311" s="190">
        <f t="shared" si="1"/>
        <v>1927</v>
      </c>
      <c r="AG311" s="68">
        <f t="shared" si="2"/>
        <v>100</v>
      </c>
      <c r="AH311" s="68">
        <f t="shared" si="3"/>
        <v>2</v>
      </c>
      <c r="AI311" s="68">
        <f t="shared" si="4"/>
        <v>102</v>
      </c>
      <c r="AJ311" s="75">
        <f t="shared" si="5"/>
        <v>18.89215686</v>
      </c>
    </row>
    <row r="312">
      <c r="A312" s="76" t="s">
        <v>16</v>
      </c>
      <c r="B312" s="77">
        <f t="shared" si="6"/>
        <v>45601</v>
      </c>
      <c r="C312" s="78">
        <v>12.0</v>
      </c>
      <c r="D312" s="78" t="s">
        <v>48</v>
      </c>
      <c r="E312" s="80" t="s">
        <v>131</v>
      </c>
      <c r="F312" s="71"/>
      <c r="H312" s="72"/>
      <c r="J312" s="72"/>
      <c r="L312" s="183">
        <v>37.0</v>
      </c>
      <c r="N312" s="184">
        <v>37.0</v>
      </c>
      <c r="P312" s="184">
        <v>0.0</v>
      </c>
      <c r="R312" s="184">
        <v>0.0</v>
      </c>
      <c r="T312" s="184">
        <v>0.0</v>
      </c>
      <c r="V312" s="184">
        <v>0.0</v>
      </c>
      <c r="X312" s="184">
        <v>0.0</v>
      </c>
      <c r="Y312" s="73"/>
      <c r="Z312" s="183">
        <v>13.0</v>
      </c>
      <c r="AB312" s="184">
        <v>13.0</v>
      </c>
      <c r="AD312" s="184">
        <v>0.0</v>
      </c>
      <c r="AF312" s="191">
        <f t="shared" si="1"/>
        <v>1192</v>
      </c>
      <c r="AG312" s="78">
        <f t="shared" si="2"/>
        <v>100</v>
      </c>
      <c r="AH312" s="78">
        <f t="shared" si="3"/>
        <v>0</v>
      </c>
      <c r="AI312" s="78">
        <f t="shared" si="4"/>
        <v>100</v>
      </c>
      <c r="AJ312" s="82">
        <f t="shared" si="5"/>
        <v>11.92</v>
      </c>
    </row>
    <row r="313">
      <c r="A313" s="76" t="s">
        <v>17</v>
      </c>
      <c r="B313" s="77">
        <f t="shared" si="6"/>
        <v>45602</v>
      </c>
      <c r="C313" s="78">
        <v>12.0</v>
      </c>
      <c r="D313" s="78" t="s">
        <v>48</v>
      </c>
      <c r="E313" s="80" t="s">
        <v>131</v>
      </c>
      <c r="F313" s="71"/>
      <c r="H313" s="72"/>
      <c r="J313" s="72"/>
      <c r="L313" s="183">
        <v>37.0</v>
      </c>
      <c r="N313" s="184">
        <v>37.0</v>
      </c>
      <c r="P313" s="184">
        <v>0.0</v>
      </c>
      <c r="R313" s="184">
        <v>0.0</v>
      </c>
      <c r="T313" s="184">
        <v>0.0</v>
      </c>
      <c r="V313" s="184">
        <v>0.0</v>
      </c>
      <c r="X313" s="184">
        <v>0.0</v>
      </c>
      <c r="Y313" s="73"/>
      <c r="Z313" s="183">
        <v>13.0</v>
      </c>
      <c r="AB313" s="184">
        <v>13.0</v>
      </c>
      <c r="AD313" s="184">
        <v>0.0</v>
      </c>
      <c r="AF313" s="191">
        <f t="shared" si="1"/>
        <v>1192</v>
      </c>
      <c r="AG313" s="78">
        <f t="shared" si="2"/>
        <v>100</v>
      </c>
      <c r="AH313" s="78">
        <f t="shared" si="3"/>
        <v>0</v>
      </c>
      <c r="AI313" s="78">
        <f t="shared" si="4"/>
        <v>100</v>
      </c>
      <c r="AJ313" s="82">
        <f t="shared" si="5"/>
        <v>11.92</v>
      </c>
    </row>
    <row r="314">
      <c r="A314" s="76" t="s">
        <v>21</v>
      </c>
      <c r="B314" s="77">
        <f t="shared" si="6"/>
        <v>45603</v>
      </c>
      <c r="C314" s="78">
        <v>12.0</v>
      </c>
      <c r="D314" s="78" t="s">
        <v>48</v>
      </c>
      <c r="E314" s="80" t="s">
        <v>131</v>
      </c>
      <c r="F314" s="71"/>
      <c r="H314" s="72"/>
      <c r="J314" s="72"/>
      <c r="L314" s="183">
        <v>37.0</v>
      </c>
      <c r="N314" s="184">
        <v>37.0</v>
      </c>
      <c r="P314" s="184">
        <v>0.0</v>
      </c>
      <c r="R314" s="184">
        <v>0.0</v>
      </c>
      <c r="T314" s="184">
        <v>0.0</v>
      </c>
      <c r="V314" s="184">
        <v>0.0</v>
      </c>
      <c r="X314" s="184">
        <v>0.0</v>
      </c>
      <c r="Y314" s="73"/>
      <c r="Z314" s="183">
        <v>13.0</v>
      </c>
      <c r="AB314" s="184">
        <v>13.0</v>
      </c>
      <c r="AD314" s="184">
        <v>0.0</v>
      </c>
      <c r="AF314" s="191">
        <f t="shared" si="1"/>
        <v>1192</v>
      </c>
      <c r="AG314" s="78">
        <f t="shared" si="2"/>
        <v>100</v>
      </c>
      <c r="AH314" s="78">
        <f t="shared" si="3"/>
        <v>0</v>
      </c>
      <c r="AI314" s="78">
        <f t="shared" si="4"/>
        <v>100</v>
      </c>
      <c r="AJ314" s="82">
        <f t="shared" si="5"/>
        <v>11.92</v>
      </c>
    </row>
    <row r="315">
      <c r="A315" s="76" t="s">
        <v>24</v>
      </c>
      <c r="B315" s="77">
        <f t="shared" si="6"/>
        <v>45604</v>
      </c>
      <c r="C315" s="78">
        <v>12.0</v>
      </c>
      <c r="D315" s="78" t="s">
        <v>48</v>
      </c>
      <c r="E315" s="80" t="s">
        <v>131</v>
      </c>
      <c r="F315" s="71"/>
      <c r="H315" s="72"/>
      <c r="J315" s="72"/>
      <c r="L315" s="183">
        <v>37.0</v>
      </c>
      <c r="N315" s="184">
        <v>37.0</v>
      </c>
      <c r="P315" s="184">
        <v>0.0</v>
      </c>
      <c r="R315" s="184">
        <v>0.0</v>
      </c>
      <c r="T315" s="184">
        <v>0.0</v>
      </c>
      <c r="V315" s="184">
        <v>0.0</v>
      </c>
      <c r="X315" s="184">
        <v>0.0</v>
      </c>
      <c r="Y315" s="73"/>
      <c r="Z315" s="183">
        <v>13.0</v>
      </c>
      <c r="AB315" s="184">
        <v>13.0</v>
      </c>
      <c r="AD315" s="184">
        <v>0.0</v>
      </c>
      <c r="AF315" s="191">
        <f t="shared" si="1"/>
        <v>1192</v>
      </c>
      <c r="AG315" s="78">
        <f t="shared" si="2"/>
        <v>100</v>
      </c>
      <c r="AH315" s="78">
        <f t="shared" si="3"/>
        <v>0</v>
      </c>
      <c r="AI315" s="78">
        <f t="shared" si="4"/>
        <v>100</v>
      </c>
      <c r="AJ315" s="82">
        <f t="shared" si="5"/>
        <v>11.92</v>
      </c>
    </row>
    <row r="316">
      <c r="A316" s="76" t="s">
        <v>27</v>
      </c>
      <c r="B316" s="77">
        <f t="shared" si="6"/>
        <v>45605</v>
      </c>
      <c r="C316" s="78">
        <v>12.0</v>
      </c>
      <c r="D316" s="78" t="s">
        <v>48</v>
      </c>
      <c r="E316" s="80" t="s">
        <v>131</v>
      </c>
      <c r="F316" s="71"/>
      <c r="H316" s="72"/>
      <c r="J316" s="72"/>
      <c r="L316" s="183">
        <v>37.0</v>
      </c>
      <c r="N316" s="184">
        <v>37.0</v>
      </c>
      <c r="P316" s="184">
        <v>0.0</v>
      </c>
      <c r="R316" s="184">
        <v>0.0</v>
      </c>
      <c r="T316" s="184">
        <v>0.0</v>
      </c>
      <c r="V316" s="184">
        <v>0.0</v>
      </c>
      <c r="X316" s="184">
        <v>0.0</v>
      </c>
      <c r="Y316" s="73"/>
      <c r="Z316" s="183">
        <v>0.0</v>
      </c>
      <c r="AB316" s="184">
        <v>0.0</v>
      </c>
      <c r="AD316" s="184">
        <v>0.0</v>
      </c>
      <c r="AF316" s="191">
        <f t="shared" si="1"/>
        <v>882.08</v>
      </c>
      <c r="AG316" s="78">
        <f t="shared" si="2"/>
        <v>74</v>
      </c>
      <c r="AH316" s="78">
        <f t="shared" si="3"/>
        <v>0</v>
      </c>
      <c r="AI316" s="78">
        <f t="shared" si="4"/>
        <v>74</v>
      </c>
      <c r="AJ316" s="82">
        <f t="shared" si="5"/>
        <v>11.92</v>
      </c>
    </row>
    <row r="317">
      <c r="A317" s="83" t="s">
        <v>30</v>
      </c>
      <c r="B317" s="84">
        <f t="shared" si="6"/>
        <v>45606</v>
      </c>
      <c r="C317" s="85">
        <v>12.0</v>
      </c>
      <c r="D317" s="85" t="s">
        <v>48</v>
      </c>
      <c r="E317" s="87" t="s">
        <v>131</v>
      </c>
      <c r="F317" s="88"/>
      <c r="G317" s="89"/>
      <c r="H317" s="90"/>
      <c r="I317" s="89"/>
      <c r="J317" s="90"/>
      <c r="K317" s="89"/>
      <c r="L317" s="185">
        <v>0.0</v>
      </c>
      <c r="M317" s="89"/>
      <c r="N317" s="186">
        <v>0.0</v>
      </c>
      <c r="O317" s="89"/>
      <c r="P317" s="186">
        <v>0.0</v>
      </c>
      <c r="Q317" s="89"/>
      <c r="R317" s="186">
        <v>0.0</v>
      </c>
      <c r="S317" s="89"/>
      <c r="T317" s="186">
        <v>0.0</v>
      </c>
      <c r="U317" s="89"/>
      <c r="V317" s="186">
        <v>0.0</v>
      </c>
      <c r="W317" s="89"/>
      <c r="X317" s="186">
        <v>0.0</v>
      </c>
      <c r="Y317" s="91"/>
      <c r="Z317" s="185">
        <v>0.0</v>
      </c>
      <c r="AA317" s="89"/>
      <c r="AB317" s="186">
        <v>0.0</v>
      </c>
      <c r="AC317" s="89"/>
      <c r="AD317" s="186">
        <v>0.0</v>
      </c>
      <c r="AE317" s="89"/>
      <c r="AF317" s="192">
        <f t="shared" si="1"/>
        <v>0</v>
      </c>
      <c r="AG317" s="85">
        <f t="shared" si="2"/>
        <v>0</v>
      </c>
      <c r="AH317" s="85">
        <f t="shared" si="3"/>
        <v>0</v>
      </c>
      <c r="AI317" s="85">
        <f t="shared" si="4"/>
        <v>0</v>
      </c>
      <c r="AJ317" s="93" t="str">
        <f t="shared" si="5"/>
        <v/>
      </c>
    </row>
    <row r="318">
      <c r="A318" s="66" t="s">
        <v>11</v>
      </c>
      <c r="B318" s="94">
        <f t="shared" si="6"/>
        <v>45607</v>
      </c>
      <c r="C318" s="68">
        <v>12.0</v>
      </c>
      <c r="D318" s="68" t="s">
        <v>59</v>
      </c>
      <c r="E318" s="70" t="s">
        <v>131</v>
      </c>
      <c r="F318" s="71"/>
      <c r="H318" s="72"/>
      <c r="J318" s="72"/>
      <c r="L318" s="183">
        <v>37.0</v>
      </c>
      <c r="N318" s="184">
        <v>37.0</v>
      </c>
      <c r="P318" s="184">
        <v>0.0</v>
      </c>
      <c r="R318" s="184">
        <v>0.0</v>
      </c>
      <c r="T318" s="184">
        <v>1.0</v>
      </c>
      <c r="V318" s="184">
        <v>1.0</v>
      </c>
      <c r="X318" s="184">
        <v>0.0</v>
      </c>
      <c r="Y318" s="73"/>
      <c r="Z318" s="183">
        <v>13.0</v>
      </c>
      <c r="AB318" s="184">
        <v>13.0</v>
      </c>
      <c r="AD318" s="184">
        <v>0.0</v>
      </c>
      <c r="AF318" s="190">
        <f t="shared" si="1"/>
        <v>1927</v>
      </c>
      <c r="AG318" s="68">
        <f t="shared" si="2"/>
        <v>100</v>
      </c>
      <c r="AH318" s="68">
        <f t="shared" si="3"/>
        <v>2</v>
      </c>
      <c r="AI318" s="68">
        <f t="shared" si="4"/>
        <v>102</v>
      </c>
      <c r="AJ318" s="75">
        <f t="shared" si="5"/>
        <v>18.89215686</v>
      </c>
    </row>
    <row r="319">
      <c r="A319" s="76" t="s">
        <v>16</v>
      </c>
      <c r="B319" s="77">
        <f t="shared" si="6"/>
        <v>45608</v>
      </c>
      <c r="C319" s="78">
        <v>12.0</v>
      </c>
      <c r="D319" s="78" t="s">
        <v>59</v>
      </c>
      <c r="E319" s="80" t="s">
        <v>131</v>
      </c>
      <c r="F319" s="71"/>
      <c r="H319" s="72"/>
      <c r="J319" s="72"/>
      <c r="L319" s="183">
        <v>37.0</v>
      </c>
      <c r="N319" s="184">
        <v>37.0</v>
      </c>
      <c r="P319" s="184">
        <v>0.0</v>
      </c>
      <c r="R319" s="184">
        <v>0.0</v>
      </c>
      <c r="T319" s="184">
        <v>0.0</v>
      </c>
      <c r="V319" s="184">
        <v>0.0</v>
      </c>
      <c r="X319" s="184">
        <v>0.0</v>
      </c>
      <c r="Y319" s="73"/>
      <c r="Z319" s="183">
        <v>13.0</v>
      </c>
      <c r="AB319" s="184">
        <v>13.0</v>
      </c>
      <c r="AD319" s="184">
        <v>0.0</v>
      </c>
      <c r="AF319" s="191">
        <f t="shared" si="1"/>
        <v>1192</v>
      </c>
      <c r="AG319" s="78">
        <f t="shared" si="2"/>
        <v>100</v>
      </c>
      <c r="AH319" s="78">
        <f t="shared" si="3"/>
        <v>0</v>
      </c>
      <c r="AI319" s="78">
        <f t="shared" si="4"/>
        <v>100</v>
      </c>
      <c r="AJ319" s="82">
        <f t="shared" si="5"/>
        <v>11.92</v>
      </c>
    </row>
    <row r="320">
      <c r="A320" s="76" t="s">
        <v>17</v>
      </c>
      <c r="B320" s="77">
        <f t="shared" si="6"/>
        <v>45609</v>
      </c>
      <c r="C320" s="78">
        <v>12.0</v>
      </c>
      <c r="D320" s="78" t="s">
        <v>59</v>
      </c>
      <c r="E320" s="80" t="s">
        <v>131</v>
      </c>
      <c r="F320" s="71"/>
      <c r="H320" s="72"/>
      <c r="J320" s="72"/>
      <c r="L320" s="183">
        <v>37.0</v>
      </c>
      <c r="N320" s="184">
        <v>37.0</v>
      </c>
      <c r="P320" s="184">
        <v>0.0</v>
      </c>
      <c r="R320" s="184">
        <v>0.0</v>
      </c>
      <c r="T320" s="184">
        <v>0.0</v>
      </c>
      <c r="V320" s="184">
        <v>0.0</v>
      </c>
      <c r="X320" s="184">
        <v>0.0</v>
      </c>
      <c r="Y320" s="73"/>
      <c r="Z320" s="183">
        <v>13.0</v>
      </c>
      <c r="AB320" s="184">
        <v>13.0</v>
      </c>
      <c r="AD320" s="184">
        <v>0.0</v>
      </c>
      <c r="AF320" s="191">
        <f t="shared" si="1"/>
        <v>1192</v>
      </c>
      <c r="AG320" s="78">
        <f t="shared" si="2"/>
        <v>100</v>
      </c>
      <c r="AH320" s="78">
        <f t="shared" si="3"/>
        <v>0</v>
      </c>
      <c r="AI320" s="78">
        <f t="shared" si="4"/>
        <v>100</v>
      </c>
      <c r="AJ320" s="82">
        <f t="shared" si="5"/>
        <v>11.92</v>
      </c>
    </row>
    <row r="321">
      <c r="A321" s="76" t="s">
        <v>21</v>
      </c>
      <c r="B321" s="77">
        <f t="shared" si="6"/>
        <v>45610</v>
      </c>
      <c r="C321" s="78">
        <v>12.0</v>
      </c>
      <c r="D321" s="78" t="s">
        <v>59</v>
      </c>
      <c r="E321" s="80" t="s">
        <v>131</v>
      </c>
      <c r="F321" s="71"/>
      <c r="H321" s="72"/>
      <c r="J321" s="72"/>
      <c r="L321" s="183">
        <v>37.0</v>
      </c>
      <c r="N321" s="184">
        <v>37.0</v>
      </c>
      <c r="P321" s="184">
        <v>0.0</v>
      </c>
      <c r="R321" s="184">
        <v>0.0</v>
      </c>
      <c r="T321" s="184">
        <v>0.0</v>
      </c>
      <c r="V321" s="184">
        <v>0.0</v>
      </c>
      <c r="X321" s="184">
        <v>0.0</v>
      </c>
      <c r="Y321" s="73"/>
      <c r="Z321" s="183">
        <v>13.0</v>
      </c>
      <c r="AB321" s="184">
        <v>13.0</v>
      </c>
      <c r="AD321" s="184">
        <v>0.0</v>
      </c>
      <c r="AF321" s="191">
        <f t="shared" si="1"/>
        <v>1192</v>
      </c>
      <c r="AG321" s="78">
        <f t="shared" si="2"/>
        <v>100</v>
      </c>
      <c r="AH321" s="78">
        <f t="shared" si="3"/>
        <v>0</v>
      </c>
      <c r="AI321" s="78">
        <f t="shared" si="4"/>
        <v>100</v>
      </c>
      <c r="AJ321" s="82">
        <f t="shared" si="5"/>
        <v>11.92</v>
      </c>
    </row>
    <row r="322">
      <c r="A322" s="76" t="s">
        <v>24</v>
      </c>
      <c r="B322" s="77">
        <f t="shared" si="6"/>
        <v>45611</v>
      </c>
      <c r="C322" s="78">
        <v>12.0</v>
      </c>
      <c r="D322" s="78" t="s">
        <v>59</v>
      </c>
      <c r="E322" s="80" t="s">
        <v>131</v>
      </c>
      <c r="F322" s="71"/>
      <c r="H322" s="72"/>
      <c r="J322" s="72"/>
      <c r="L322" s="183">
        <v>0.0</v>
      </c>
      <c r="N322" s="184">
        <v>0.0</v>
      </c>
      <c r="P322" s="184">
        <v>0.0</v>
      </c>
      <c r="R322" s="184">
        <v>0.0</v>
      </c>
      <c r="T322" s="184">
        <v>0.0</v>
      </c>
      <c r="V322" s="184">
        <v>0.0</v>
      </c>
      <c r="X322" s="184">
        <v>0.0</v>
      </c>
      <c r="Y322" s="73"/>
      <c r="Z322" s="183">
        <v>30.0</v>
      </c>
      <c r="AB322" s="184">
        <v>30.0</v>
      </c>
      <c r="AD322" s="184">
        <v>0.0</v>
      </c>
      <c r="AF322" s="191">
        <f t="shared" si="1"/>
        <v>715.2</v>
      </c>
      <c r="AG322" s="78">
        <f t="shared" si="2"/>
        <v>60</v>
      </c>
      <c r="AH322" s="78">
        <f t="shared" si="3"/>
        <v>0</v>
      </c>
      <c r="AI322" s="78">
        <f t="shared" si="4"/>
        <v>60</v>
      </c>
      <c r="AJ322" s="82">
        <f t="shared" si="5"/>
        <v>11.92</v>
      </c>
    </row>
    <row r="323">
      <c r="A323" s="76" t="s">
        <v>27</v>
      </c>
      <c r="B323" s="77">
        <f t="shared" si="6"/>
        <v>45612</v>
      </c>
      <c r="C323" s="78">
        <v>12.0</v>
      </c>
      <c r="D323" s="78" t="s">
        <v>59</v>
      </c>
      <c r="E323" s="80" t="s">
        <v>131</v>
      </c>
      <c r="F323" s="71"/>
      <c r="H323" s="72"/>
      <c r="J323" s="72"/>
      <c r="L323" s="183">
        <v>0.0</v>
      </c>
      <c r="N323" s="184">
        <v>0.0</v>
      </c>
      <c r="P323" s="184">
        <v>0.0</v>
      </c>
      <c r="R323" s="184">
        <v>0.0</v>
      </c>
      <c r="T323" s="184">
        <v>0.0</v>
      </c>
      <c r="V323" s="184">
        <v>0.0</v>
      </c>
      <c r="X323" s="184">
        <v>0.0</v>
      </c>
      <c r="Y323" s="73"/>
      <c r="Z323" s="183">
        <v>0.0</v>
      </c>
      <c r="AB323" s="184">
        <v>0.0</v>
      </c>
      <c r="AD323" s="184">
        <v>0.0</v>
      </c>
      <c r="AF323" s="191">
        <f t="shared" si="1"/>
        <v>0</v>
      </c>
      <c r="AG323" s="78">
        <f t="shared" si="2"/>
        <v>0</v>
      </c>
      <c r="AH323" s="78">
        <f t="shared" si="3"/>
        <v>0</v>
      </c>
      <c r="AI323" s="78">
        <f t="shared" si="4"/>
        <v>0</v>
      </c>
      <c r="AJ323" s="82" t="str">
        <f t="shared" si="5"/>
        <v/>
      </c>
    </row>
    <row r="324">
      <c r="A324" s="83" t="s">
        <v>30</v>
      </c>
      <c r="B324" s="84">
        <f t="shared" si="6"/>
        <v>45613</v>
      </c>
      <c r="C324" s="85">
        <v>12.0</v>
      </c>
      <c r="D324" s="85" t="s">
        <v>59</v>
      </c>
      <c r="E324" s="87" t="s">
        <v>131</v>
      </c>
      <c r="F324" s="88"/>
      <c r="G324" s="89"/>
      <c r="H324" s="90"/>
      <c r="I324" s="89"/>
      <c r="J324" s="90"/>
      <c r="K324" s="89"/>
      <c r="L324" s="185">
        <v>0.0</v>
      </c>
      <c r="M324" s="89"/>
      <c r="N324" s="186">
        <v>0.0</v>
      </c>
      <c r="O324" s="89"/>
      <c r="P324" s="186">
        <v>0.0</v>
      </c>
      <c r="Q324" s="89"/>
      <c r="R324" s="186">
        <v>0.0</v>
      </c>
      <c r="S324" s="89"/>
      <c r="T324" s="186">
        <v>0.0</v>
      </c>
      <c r="U324" s="89"/>
      <c r="V324" s="186">
        <v>0.0</v>
      </c>
      <c r="W324" s="89"/>
      <c r="X324" s="186">
        <v>0.0</v>
      </c>
      <c r="Y324" s="91"/>
      <c r="Z324" s="185">
        <v>0.0</v>
      </c>
      <c r="AA324" s="89"/>
      <c r="AB324" s="186">
        <v>0.0</v>
      </c>
      <c r="AC324" s="89"/>
      <c r="AD324" s="186">
        <v>0.0</v>
      </c>
      <c r="AE324" s="89"/>
      <c r="AF324" s="192">
        <f t="shared" si="1"/>
        <v>0</v>
      </c>
      <c r="AG324" s="85">
        <f t="shared" si="2"/>
        <v>0</v>
      </c>
      <c r="AH324" s="85">
        <f t="shared" si="3"/>
        <v>0</v>
      </c>
      <c r="AI324" s="85">
        <f t="shared" si="4"/>
        <v>0</v>
      </c>
      <c r="AJ324" s="93" t="str">
        <f t="shared" si="5"/>
        <v/>
      </c>
    </row>
    <row r="325">
      <c r="A325" s="66" t="s">
        <v>11</v>
      </c>
      <c r="B325" s="94">
        <f t="shared" si="6"/>
        <v>45614</v>
      </c>
      <c r="C325" s="68">
        <v>12.0</v>
      </c>
      <c r="D325" s="68" t="s">
        <v>12</v>
      </c>
      <c r="E325" s="70" t="s">
        <v>125</v>
      </c>
      <c r="F325" s="71"/>
      <c r="H325" s="72"/>
      <c r="J325" s="72"/>
      <c r="L325" s="71"/>
      <c r="N325" s="72"/>
      <c r="P325" s="72"/>
      <c r="R325" s="72"/>
      <c r="T325" s="72"/>
      <c r="V325" s="72"/>
      <c r="X325" s="72"/>
      <c r="Y325" s="73"/>
      <c r="Z325" s="71"/>
      <c r="AB325" s="72"/>
      <c r="AD325" s="72"/>
      <c r="AF325" s="74">
        <f t="shared" si="1"/>
        <v>0</v>
      </c>
      <c r="AG325" s="68">
        <f t="shared" si="2"/>
        <v>0</v>
      </c>
      <c r="AH325" s="68">
        <f t="shared" si="3"/>
        <v>0</v>
      </c>
      <c r="AI325" s="68">
        <f t="shared" si="4"/>
        <v>0</v>
      </c>
      <c r="AJ325" s="75" t="str">
        <f t="shared" si="5"/>
        <v/>
      </c>
    </row>
    <row r="326">
      <c r="A326" s="76" t="s">
        <v>16</v>
      </c>
      <c r="B326" s="77">
        <f t="shared" si="6"/>
        <v>45615</v>
      </c>
      <c r="C326" s="78">
        <v>12.0</v>
      </c>
      <c r="D326" s="78" t="s">
        <v>12</v>
      </c>
      <c r="E326" s="80" t="s">
        <v>125</v>
      </c>
      <c r="F326" s="71"/>
      <c r="H326" s="72"/>
      <c r="J326" s="72"/>
      <c r="L326" s="71"/>
      <c r="N326" s="72"/>
      <c r="P326" s="72"/>
      <c r="R326" s="72"/>
      <c r="T326" s="72"/>
      <c r="V326" s="72"/>
      <c r="X326" s="72"/>
      <c r="Y326" s="73"/>
      <c r="Z326" s="71"/>
      <c r="AB326" s="72"/>
      <c r="AD326" s="72"/>
      <c r="AF326" s="81">
        <f t="shared" si="1"/>
        <v>0</v>
      </c>
      <c r="AG326" s="78">
        <f t="shared" si="2"/>
        <v>0</v>
      </c>
      <c r="AH326" s="78">
        <f t="shared" si="3"/>
        <v>0</v>
      </c>
      <c r="AI326" s="78">
        <f t="shared" si="4"/>
        <v>0</v>
      </c>
      <c r="AJ326" s="82" t="str">
        <f t="shared" si="5"/>
        <v/>
      </c>
    </row>
    <row r="327">
      <c r="A327" s="76" t="s">
        <v>17</v>
      </c>
      <c r="B327" s="77">
        <f t="shared" si="6"/>
        <v>45616</v>
      </c>
      <c r="C327" s="78">
        <v>12.0</v>
      </c>
      <c r="D327" s="78" t="s">
        <v>12</v>
      </c>
      <c r="E327" s="80" t="s">
        <v>125</v>
      </c>
      <c r="F327" s="71"/>
      <c r="H327" s="72"/>
      <c r="J327" s="72"/>
      <c r="L327" s="71"/>
      <c r="N327" s="72"/>
      <c r="P327" s="72"/>
      <c r="R327" s="72"/>
      <c r="T327" s="72"/>
      <c r="V327" s="72"/>
      <c r="X327" s="72"/>
      <c r="Y327" s="73"/>
      <c r="Z327" s="71"/>
      <c r="AB327" s="72"/>
      <c r="AD327" s="72"/>
      <c r="AF327" s="81">
        <f t="shared" si="1"/>
        <v>0</v>
      </c>
      <c r="AG327" s="78">
        <f t="shared" si="2"/>
        <v>0</v>
      </c>
      <c r="AH327" s="78">
        <f t="shared" si="3"/>
        <v>0</v>
      </c>
      <c r="AI327" s="78">
        <f t="shared" si="4"/>
        <v>0</v>
      </c>
      <c r="AJ327" s="82" t="str">
        <f t="shared" si="5"/>
        <v/>
      </c>
    </row>
    <row r="328">
      <c r="A328" s="76" t="s">
        <v>21</v>
      </c>
      <c r="B328" s="77">
        <f t="shared" si="6"/>
        <v>45617</v>
      </c>
      <c r="C328" s="78">
        <v>12.0</v>
      </c>
      <c r="D328" s="78" t="s">
        <v>12</v>
      </c>
      <c r="E328" s="80" t="s">
        <v>125</v>
      </c>
      <c r="F328" s="71"/>
      <c r="H328" s="72"/>
      <c r="J328" s="72"/>
      <c r="L328" s="71"/>
      <c r="N328" s="72"/>
      <c r="P328" s="72"/>
      <c r="R328" s="72"/>
      <c r="T328" s="72"/>
      <c r="V328" s="72"/>
      <c r="X328" s="72"/>
      <c r="Y328" s="73"/>
      <c r="Z328" s="71"/>
      <c r="AB328" s="72"/>
      <c r="AD328" s="72"/>
      <c r="AF328" s="81">
        <f t="shared" si="1"/>
        <v>0</v>
      </c>
      <c r="AG328" s="78">
        <f t="shared" si="2"/>
        <v>0</v>
      </c>
      <c r="AH328" s="78">
        <f t="shared" si="3"/>
        <v>0</v>
      </c>
      <c r="AI328" s="78">
        <f t="shared" si="4"/>
        <v>0</v>
      </c>
      <c r="AJ328" s="82" t="str">
        <f t="shared" si="5"/>
        <v/>
      </c>
    </row>
    <row r="329">
      <c r="A329" s="76" t="s">
        <v>24</v>
      </c>
      <c r="B329" s="77">
        <f t="shared" si="6"/>
        <v>45618</v>
      </c>
      <c r="C329" s="78">
        <v>12.0</v>
      </c>
      <c r="D329" s="78" t="s">
        <v>12</v>
      </c>
      <c r="E329" s="80" t="s">
        <v>125</v>
      </c>
      <c r="F329" s="71"/>
      <c r="H329" s="72"/>
      <c r="J329" s="72"/>
      <c r="L329" s="71"/>
      <c r="N329" s="72"/>
      <c r="P329" s="72"/>
      <c r="R329" s="72"/>
      <c r="T329" s="72"/>
      <c r="V329" s="72"/>
      <c r="X329" s="72"/>
      <c r="Y329" s="73"/>
      <c r="Z329" s="71"/>
      <c r="AB329" s="72"/>
      <c r="AD329" s="72"/>
      <c r="AF329" s="81">
        <f t="shared" si="1"/>
        <v>0</v>
      </c>
      <c r="AG329" s="78">
        <f t="shared" si="2"/>
        <v>0</v>
      </c>
      <c r="AH329" s="78">
        <f t="shared" si="3"/>
        <v>0</v>
      </c>
      <c r="AI329" s="78">
        <f t="shared" si="4"/>
        <v>0</v>
      </c>
      <c r="AJ329" s="82" t="str">
        <f t="shared" si="5"/>
        <v/>
      </c>
    </row>
    <row r="330">
      <c r="A330" s="76" t="s">
        <v>27</v>
      </c>
      <c r="B330" s="77">
        <f t="shared" si="6"/>
        <v>45619</v>
      </c>
      <c r="C330" s="78">
        <v>12.0</v>
      </c>
      <c r="D330" s="78" t="s">
        <v>12</v>
      </c>
      <c r="E330" s="80" t="s">
        <v>125</v>
      </c>
      <c r="F330" s="71"/>
      <c r="H330" s="72"/>
      <c r="J330" s="72"/>
      <c r="L330" s="71"/>
      <c r="N330" s="72"/>
      <c r="P330" s="72"/>
      <c r="R330" s="72"/>
      <c r="T330" s="72"/>
      <c r="V330" s="72"/>
      <c r="X330" s="72"/>
      <c r="Y330" s="73"/>
      <c r="Z330" s="71"/>
      <c r="AB330" s="72"/>
      <c r="AD330" s="72"/>
      <c r="AF330" s="81">
        <f t="shared" si="1"/>
        <v>0</v>
      </c>
      <c r="AG330" s="78">
        <f t="shared" si="2"/>
        <v>0</v>
      </c>
      <c r="AH330" s="78">
        <f t="shared" si="3"/>
        <v>0</v>
      </c>
      <c r="AI330" s="78">
        <f t="shared" si="4"/>
        <v>0</v>
      </c>
      <c r="AJ330" s="82" t="str">
        <f t="shared" si="5"/>
        <v/>
      </c>
    </row>
    <row r="331">
      <c r="A331" s="83" t="s">
        <v>30</v>
      </c>
      <c r="B331" s="84">
        <f t="shared" si="6"/>
        <v>45620</v>
      </c>
      <c r="C331" s="85">
        <v>12.0</v>
      </c>
      <c r="D331" s="85" t="s">
        <v>12</v>
      </c>
      <c r="E331" s="87" t="s">
        <v>125</v>
      </c>
      <c r="F331" s="88"/>
      <c r="G331" s="89"/>
      <c r="H331" s="90"/>
      <c r="I331" s="89"/>
      <c r="J331" s="90"/>
      <c r="K331" s="89"/>
      <c r="L331" s="88"/>
      <c r="M331" s="89"/>
      <c r="N331" s="90"/>
      <c r="O331" s="89"/>
      <c r="P331" s="90"/>
      <c r="Q331" s="89"/>
      <c r="R331" s="90"/>
      <c r="S331" s="89"/>
      <c r="T331" s="90"/>
      <c r="U331" s="89"/>
      <c r="V331" s="90"/>
      <c r="W331" s="89"/>
      <c r="X331" s="90"/>
      <c r="Y331" s="91"/>
      <c r="Z331" s="88"/>
      <c r="AA331" s="89"/>
      <c r="AB331" s="90"/>
      <c r="AC331" s="89"/>
      <c r="AD331" s="90"/>
      <c r="AE331" s="89"/>
      <c r="AF331" s="92">
        <f t="shared" si="1"/>
        <v>0</v>
      </c>
      <c r="AG331" s="85">
        <f t="shared" si="2"/>
        <v>0</v>
      </c>
      <c r="AH331" s="85">
        <f t="shared" si="3"/>
        <v>0</v>
      </c>
      <c r="AI331" s="85">
        <f t="shared" si="4"/>
        <v>0</v>
      </c>
      <c r="AJ331" s="93" t="str">
        <f t="shared" si="5"/>
        <v/>
      </c>
    </row>
    <row r="332">
      <c r="A332" s="66" t="s">
        <v>11</v>
      </c>
      <c r="B332" s="94">
        <f t="shared" si="6"/>
        <v>45621</v>
      </c>
      <c r="C332" s="68">
        <v>12.0</v>
      </c>
      <c r="D332" s="68" t="s">
        <v>33</v>
      </c>
      <c r="E332" s="70" t="s">
        <v>125</v>
      </c>
      <c r="F332" s="71"/>
      <c r="H332" s="72"/>
      <c r="J332" s="72"/>
      <c r="L332" s="71"/>
      <c r="N332" s="72"/>
      <c r="P332" s="72"/>
      <c r="R332" s="72"/>
      <c r="T332" s="72"/>
      <c r="V332" s="72"/>
      <c r="X332" s="72"/>
      <c r="Y332" s="73"/>
      <c r="Z332" s="71"/>
      <c r="AB332" s="72"/>
      <c r="AD332" s="72"/>
      <c r="AF332" s="74">
        <f t="shared" si="1"/>
        <v>0</v>
      </c>
      <c r="AG332" s="68">
        <f t="shared" si="2"/>
        <v>0</v>
      </c>
      <c r="AH332" s="68">
        <f t="shared" si="3"/>
        <v>0</v>
      </c>
      <c r="AI332" s="68">
        <f t="shared" si="4"/>
        <v>0</v>
      </c>
      <c r="AJ332" s="75" t="str">
        <f t="shared" si="5"/>
        <v/>
      </c>
    </row>
    <row r="333">
      <c r="A333" s="76" t="s">
        <v>16</v>
      </c>
      <c r="B333" s="77">
        <f t="shared" si="6"/>
        <v>45622</v>
      </c>
      <c r="C333" s="78">
        <v>12.0</v>
      </c>
      <c r="D333" s="78" t="s">
        <v>33</v>
      </c>
      <c r="E333" s="80" t="s">
        <v>125</v>
      </c>
      <c r="F333" s="71"/>
      <c r="H333" s="72"/>
      <c r="J333" s="72"/>
      <c r="L333" s="71"/>
      <c r="N333" s="72"/>
      <c r="P333" s="72"/>
      <c r="R333" s="72"/>
      <c r="T333" s="72"/>
      <c r="V333" s="72"/>
      <c r="X333" s="72"/>
      <c r="Y333" s="73"/>
      <c r="Z333" s="71"/>
      <c r="AB333" s="72"/>
      <c r="AD333" s="72"/>
      <c r="AF333" s="81">
        <f t="shared" si="1"/>
        <v>0</v>
      </c>
      <c r="AG333" s="78">
        <f t="shared" si="2"/>
        <v>0</v>
      </c>
      <c r="AH333" s="78">
        <f t="shared" si="3"/>
        <v>0</v>
      </c>
      <c r="AI333" s="78">
        <f t="shared" si="4"/>
        <v>0</v>
      </c>
      <c r="AJ333" s="82" t="str">
        <f t="shared" si="5"/>
        <v/>
      </c>
    </row>
    <row r="334">
      <c r="A334" s="76" t="s">
        <v>17</v>
      </c>
      <c r="B334" s="77">
        <f t="shared" si="6"/>
        <v>45623</v>
      </c>
      <c r="C334" s="78">
        <v>12.0</v>
      </c>
      <c r="D334" s="78" t="s">
        <v>33</v>
      </c>
      <c r="E334" s="80" t="s">
        <v>125</v>
      </c>
      <c r="F334" s="71"/>
      <c r="H334" s="72"/>
      <c r="J334" s="72"/>
      <c r="L334" s="71"/>
      <c r="N334" s="72"/>
      <c r="P334" s="72"/>
      <c r="R334" s="72"/>
      <c r="T334" s="72"/>
      <c r="V334" s="72"/>
      <c r="X334" s="72"/>
      <c r="Y334" s="73"/>
      <c r="Z334" s="71"/>
      <c r="AB334" s="72"/>
      <c r="AD334" s="72"/>
      <c r="AF334" s="81">
        <f t="shared" si="1"/>
        <v>0</v>
      </c>
      <c r="AG334" s="78">
        <f t="shared" si="2"/>
        <v>0</v>
      </c>
      <c r="AH334" s="78">
        <f t="shared" si="3"/>
        <v>0</v>
      </c>
      <c r="AI334" s="78">
        <f t="shared" si="4"/>
        <v>0</v>
      </c>
      <c r="AJ334" s="82" t="str">
        <f t="shared" si="5"/>
        <v/>
      </c>
    </row>
    <row r="335">
      <c r="A335" s="76" t="s">
        <v>21</v>
      </c>
      <c r="B335" s="77">
        <f t="shared" si="6"/>
        <v>45624</v>
      </c>
      <c r="C335" s="78">
        <v>12.0</v>
      </c>
      <c r="D335" s="78" t="s">
        <v>33</v>
      </c>
      <c r="E335" s="80" t="s">
        <v>125</v>
      </c>
      <c r="F335" s="71"/>
      <c r="H335" s="72"/>
      <c r="J335" s="72"/>
      <c r="L335" s="71"/>
      <c r="N335" s="72"/>
      <c r="P335" s="72"/>
      <c r="R335" s="72"/>
      <c r="T335" s="72"/>
      <c r="V335" s="72"/>
      <c r="X335" s="72"/>
      <c r="Y335" s="73"/>
      <c r="Z335" s="71"/>
      <c r="AB335" s="72"/>
      <c r="AD335" s="72"/>
      <c r="AF335" s="81">
        <f t="shared" si="1"/>
        <v>0</v>
      </c>
      <c r="AG335" s="78">
        <f t="shared" si="2"/>
        <v>0</v>
      </c>
      <c r="AH335" s="78">
        <f t="shared" si="3"/>
        <v>0</v>
      </c>
      <c r="AI335" s="78">
        <f t="shared" si="4"/>
        <v>0</v>
      </c>
      <c r="AJ335" s="82" t="str">
        <f t="shared" si="5"/>
        <v/>
      </c>
    </row>
    <row r="336">
      <c r="A336" s="76" t="s">
        <v>24</v>
      </c>
      <c r="B336" s="77">
        <f t="shared" si="6"/>
        <v>45625</v>
      </c>
      <c r="C336" s="78">
        <v>12.0</v>
      </c>
      <c r="D336" s="78" t="s">
        <v>33</v>
      </c>
      <c r="E336" s="80" t="s">
        <v>125</v>
      </c>
      <c r="F336" s="71"/>
      <c r="H336" s="72"/>
      <c r="J336" s="72"/>
      <c r="L336" s="71"/>
      <c r="N336" s="72"/>
      <c r="P336" s="72"/>
      <c r="R336" s="72"/>
      <c r="T336" s="72"/>
      <c r="V336" s="72"/>
      <c r="X336" s="72"/>
      <c r="Y336" s="73"/>
      <c r="Z336" s="71"/>
      <c r="AB336" s="72"/>
      <c r="AD336" s="72"/>
      <c r="AF336" s="81">
        <f t="shared" si="1"/>
        <v>0</v>
      </c>
      <c r="AG336" s="78">
        <f t="shared" si="2"/>
        <v>0</v>
      </c>
      <c r="AH336" s="78">
        <f t="shared" si="3"/>
        <v>0</v>
      </c>
      <c r="AI336" s="78">
        <f t="shared" si="4"/>
        <v>0</v>
      </c>
      <c r="AJ336" s="82" t="str">
        <f t="shared" si="5"/>
        <v/>
      </c>
    </row>
    <row r="337">
      <c r="A337" s="76" t="s">
        <v>27</v>
      </c>
      <c r="B337" s="77">
        <f t="shared" si="6"/>
        <v>45626</v>
      </c>
      <c r="C337" s="78">
        <v>12.0</v>
      </c>
      <c r="D337" s="78" t="s">
        <v>33</v>
      </c>
      <c r="E337" s="80" t="s">
        <v>125</v>
      </c>
      <c r="F337" s="71"/>
      <c r="H337" s="72"/>
      <c r="J337" s="72"/>
      <c r="L337" s="71"/>
      <c r="N337" s="72"/>
      <c r="P337" s="72"/>
      <c r="R337" s="72"/>
      <c r="T337" s="72"/>
      <c r="V337" s="72"/>
      <c r="X337" s="72"/>
      <c r="Y337" s="73"/>
      <c r="Z337" s="71"/>
      <c r="AB337" s="72"/>
      <c r="AD337" s="72"/>
      <c r="AF337" s="81">
        <f t="shared" si="1"/>
        <v>0</v>
      </c>
      <c r="AG337" s="78">
        <f t="shared" si="2"/>
        <v>0</v>
      </c>
      <c r="AH337" s="78">
        <f t="shared" si="3"/>
        <v>0</v>
      </c>
      <c r="AI337" s="78">
        <f t="shared" si="4"/>
        <v>0</v>
      </c>
      <c r="AJ337" s="82" t="str">
        <f t="shared" si="5"/>
        <v/>
      </c>
    </row>
    <row r="338">
      <c r="A338" s="83" t="s">
        <v>30</v>
      </c>
      <c r="B338" s="84">
        <f t="shared" si="6"/>
        <v>45627</v>
      </c>
      <c r="C338" s="85">
        <v>12.0</v>
      </c>
      <c r="D338" s="85" t="s">
        <v>33</v>
      </c>
      <c r="E338" s="87" t="s">
        <v>125</v>
      </c>
      <c r="F338" s="88"/>
      <c r="G338" s="89"/>
      <c r="H338" s="90"/>
      <c r="I338" s="89"/>
      <c r="J338" s="90"/>
      <c r="K338" s="89"/>
      <c r="L338" s="88"/>
      <c r="M338" s="89"/>
      <c r="N338" s="90"/>
      <c r="O338" s="89"/>
      <c r="P338" s="90"/>
      <c r="Q338" s="89"/>
      <c r="R338" s="90"/>
      <c r="S338" s="89"/>
      <c r="T338" s="90"/>
      <c r="U338" s="89"/>
      <c r="V338" s="90"/>
      <c r="W338" s="89"/>
      <c r="X338" s="90"/>
      <c r="Y338" s="91"/>
      <c r="Z338" s="88"/>
      <c r="AA338" s="89"/>
      <c r="AB338" s="90"/>
      <c r="AC338" s="89"/>
      <c r="AD338" s="90"/>
      <c r="AE338" s="89"/>
      <c r="AF338" s="92">
        <f t="shared" si="1"/>
        <v>0</v>
      </c>
      <c r="AG338" s="85">
        <f t="shared" si="2"/>
        <v>0</v>
      </c>
      <c r="AH338" s="85">
        <f t="shared" si="3"/>
        <v>0</v>
      </c>
      <c r="AI338" s="85">
        <f t="shared" si="4"/>
        <v>0</v>
      </c>
      <c r="AJ338" s="93" t="str">
        <f t="shared" si="5"/>
        <v/>
      </c>
    </row>
    <row r="339">
      <c r="A339" s="66" t="s">
        <v>11</v>
      </c>
      <c r="B339" s="94">
        <f t="shared" si="6"/>
        <v>45628</v>
      </c>
      <c r="C339" s="68">
        <v>13.0</v>
      </c>
      <c r="D339" s="68" t="s">
        <v>48</v>
      </c>
      <c r="E339" s="70" t="s">
        <v>125</v>
      </c>
      <c r="F339" s="71"/>
      <c r="H339" s="72"/>
      <c r="J339" s="72"/>
      <c r="L339" s="71"/>
      <c r="N339" s="72"/>
      <c r="P339" s="72"/>
      <c r="R339" s="72"/>
      <c r="T339" s="72"/>
      <c r="V339" s="72"/>
      <c r="X339" s="72"/>
      <c r="Y339" s="73"/>
      <c r="Z339" s="71"/>
      <c r="AB339" s="72"/>
      <c r="AD339" s="72"/>
      <c r="AF339" s="74">
        <f t="shared" si="1"/>
        <v>0</v>
      </c>
      <c r="AG339" s="68">
        <f t="shared" si="2"/>
        <v>0</v>
      </c>
      <c r="AH339" s="68">
        <f t="shared" si="3"/>
        <v>0</v>
      </c>
      <c r="AI339" s="68">
        <f t="shared" si="4"/>
        <v>0</v>
      </c>
      <c r="AJ339" s="75" t="str">
        <f t="shared" si="5"/>
        <v/>
      </c>
    </row>
    <row r="340">
      <c r="A340" s="76" t="s">
        <v>16</v>
      </c>
      <c r="B340" s="77">
        <f t="shared" si="6"/>
        <v>45629</v>
      </c>
      <c r="C340" s="78">
        <v>13.0</v>
      </c>
      <c r="D340" s="78" t="s">
        <v>48</v>
      </c>
      <c r="E340" s="80" t="s">
        <v>125</v>
      </c>
      <c r="F340" s="71"/>
      <c r="H340" s="72"/>
      <c r="J340" s="72"/>
      <c r="L340" s="71"/>
      <c r="N340" s="72"/>
      <c r="P340" s="72"/>
      <c r="R340" s="72"/>
      <c r="T340" s="72"/>
      <c r="V340" s="72"/>
      <c r="X340" s="72"/>
      <c r="Y340" s="73"/>
      <c r="Z340" s="71"/>
      <c r="AB340" s="72"/>
      <c r="AD340" s="72"/>
      <c r="AF340" s="81">
        <f t="shared" si="1"/>
        <v>0</v>
      </c>
      <c r="AG340" s="78">
        <f t="shared" si="2"/>
        <v>0</v>
      </c>
      <c r="AH340" s="78">
        <f t="shared" si="3"/>
        <v>0</v>
      </c>
      <c r="AI340" s="78">
        <f t="shared" si="4"/>
        <v>0</v>
      </c>
      <c r="AJ340" s="82" t="str">
        <f t="shared" si="5"/>
        <v/>
      </c>
    </row>
    <row r="341">
      <c r="A341" s="76" t="s">
        <v>17</v>
      </c>
      <c r="B341" s="77">
        <f t="shared" si="6"/>
        <v>45630</v>
      </c>
      <c r="C341" s="78">
        <v>13.0</v>
      </c>
      <c r="D341" s="78" t="s">
        <v>48</v>
      </c>
      <c r="E341" s="80" t="s">
        <v>125</v>
      </c>
      <c r="F341" s="71"/>
      <c r="H341" s="72"/>
      <c r="J341" s="72"/>
      <c r="L341" s="71"/>
      <c r="N341" s="72"/>
      <c r="P341" s="72"/>
      <c r="R341" s="72"/>
      <c r="T341" s="72"/>
      <c r="V341" s="72"/>
      <c r="X341" s="72"/>
      <c r="Y341" s="73"/>
      <c r="Z341" s="71"/>
      <c r="AB341" s="72"/>
      <c r="AD341" s="72"/>
      <c r="AF341" s="81">
        <f t="shared" si="1"/>
        <v>0</v>
      </c>
      <c r="AG341" s="78">
        <f t="shared" si="2"/>
        <v>0</v>
      </c>
      <c r="AH341" s="78">
        <f t="shared" si="3"/>
        <v>0</v>
      </c>
      <c r="AI341" s="78">
        <f t="shared" si="4"/>
        <v>0</v>
      </c>
      <c r="AJ341" s="82" t="str">
        <f t="shared" si="5"/>
        <v/>
      </c>
    </row>
    <row r="342">
      <c r="A342" s="76" t="s">
        <v>21</v>
      </c>
      <c r="B342" s="77">
        <f t="shared" si="6"/>
        <v>45631</v>
      </c>
      <c r="C342" s="78">
        <v>13.0</v>
      </c>
      <c r="D342" s="78" t="s">
        <v>48</v>
      </c>
      <c r="E342" s="80" t="s">
        <v>125</v>
      </c>
      <c r="F342" s="71"/>
      <c r="H342" s="72"/>
      <c r="J342" s="72"/>
      <c r="L342" s="71"/>
      <c r="N342" s="72"/>
      <c r="P342" s="72"/>
      <c r="R342" s="72"/>
      <c r="T342" s="72"/>
      <c r="V342" s="72"/>
      <c r="X342" s="72"/>
      <c r="Y342" s="73"/>
      <c r="Z342" s="71"/>
      <c r="AB342" s="72"/>
      <c r="AD342" s="72"/>
      <c r="AF342" s="81">
        <f t="shared" si="1"/>
        <v>0</v>
      </c>
      <c r="AG342" s="78">
        <f t="shared" si="2"/>
        <v>0</v>
      </c>
      <c r="AH342" s="78">
        <f t="shared" si="3"/>
        <v>0</v>
      </c>
      <c r="AI342" s="78">
        <f t="shared" si="4"/>
        <v>0</v>
      </c>
      <c r="AJ342" s="82" t="str">
        <f t="shared" si="5"/>
        <v/>
      </c>
    </row>
    <row r="343">
      <c r="A343" s="76" t="s">
        <v>24</v>
      </c>
      <c r="B343" s="77">
        <f t="shared" si="6"/>
        <v>45632</v>
      </c>
      <c r="C343" s="78">
        <v>13.0</v>
      </c>
      <c r="D343" s="78" t="s">
        <v>48</v>
      </c>
      <c r="E343" s="80" t="s">
        <v>125</v>
      </c>
      <c r="F343" s="71"/>
      <c r="H343" s="72"/>
      <c r="J343" s="72"/>
      <c r="L343" s="71"/>
      <c r="N343" s="72"/>
      <c r="P343" s="72"/>
      <c r="R343" s="72"/>
      <c r="T343" s="72"/>
      <c r="V343" s="72"/>
      <c r="X343" s="72"/>
      <c r="Y343" s="73"/>
      <c r="Z343" s="71"/>
      <c r="AB343" s="72"/>
      <c r="AD343" s="72"/>
      <c r="AF343" s="81">
        <f t="shared" si="1"/>
        <v>0</v>
      </c>
      <c r="AG343" s="78">
        <f t="shared" si="2"/>
        <v>0</v>
      </c>
      <c r="AH343" s="78">
        <f t="shared" si="3"/>
        <v>0</v>
      </c>
      <c r="AI343" s="78">
        <f t="shared" si="4"/>
        <v>0</v>
      </c>
      <c r="AJ343" s="82" t="str">
        <f t="shared" si="5"/>
        <v/>
      </c>
    </row>
    <row r="344">
      <c r="A344" s="76" t="s">
        <v>27</v>
      </c>
      <c r="B344" s="77">
        <f t="shared" si="6"/>
        <v>45633</v>
      </c>
      <c r="C344" s="78">
        <v>13.0</v>
      </c>
      <c r="D344" s="78" t="s">
        <v>48</v>
      </c>
      <c r="E344" s="80" t="s">
        <v>125</v>
      </c>
      <c r="F344" s="71"/>
      <c r="H344" s="72"/>
      <c r="J344" s="72"/>
      <c r="L344" s="71"/>
      <c r="N344" s="72"/>
      <c r="P344" s="72"/>
      <c r="R344" s="72"/>
      <c r="T344" s="72"/>
      <c r="V344" s="72"/>
      <c r="X344" s="72"/>
      <c r="Y344" s="73"/>
      <c r="Z344" s="71"/>
      <c r="AB344" s="72"/>
      <c r="AD344" s="72"/>
      <c r="AF344" s="81">
        <f t="shared" si="1"/>
        <v>0</v>
      </c>
      <c r="AG344" s="78">
        <f t="shared" si="2"/>
        <v>0</v>
      </c>
      <c r="AH344" s="78">
        <f t="shared" si="3"/>
        <v>0</v>
      </c>
      <c r="AI344" s="78">
        <f t="shared" si="4"/>
        <v>0</v>
      </c>
      <c r="AJ344" s="82" t="str">
        <f t="shared" si="5"/>
        <v/>
      </c>
    </row>
    <row r="345">
      <c r="A345" s="83" t="s">
        <v>30</v>
      </c>
      <c r="B345" s="84">
        <f t="shared" si="6"/>
        <v>45634</v>
      </c>
      <c r="C345" s="85">
        <v>13.0</v>
      </c>
      <c r="D345" s="85" t="s">
        <v>48</v>
      </c>
      <c r="E345" s="87" t="s">
        <v>125</v>
      </c>
      <c r="F345" s="88"/>
      <c r="G345" s="89"/>
      <c r="H345" s="90"/>
      <c r="I345" s="89"/>
      <c r="J345" s="90"/>
      <c r="K345" s="89"/>
      <c r="L345" s="88"/>
      <c r="M345" s="89"/>
      <c r="N345" s="90"/>
      <c r="O345" s="89"/>
      <c r="P345" s="90"/>
      <c r="Q345" s="89"/>
      <c r="R345" s="90"/>
      <c r="S345" s="89"/>
      <c r="T345" s="90"/>
      <c r="U345" s="89"/>
      <c r="V345" s="90"/>
      <c r="W345" s="89"/>
      <c r="X345" s="90"/>
      <c r="Y345" s="91"/>
      <c r="Z345" s="88"/>
      <c r="AA345" s="89"/>
      <c r="AB345" s="90"/>
      <c r="AC345" s="89"/>
      <c r="AD345" s="90"/>
      <c r="AE345" s="89"/>
      <c r="AF345" s="92">
        <f t="shared" si="1"/>
        <v>0</v>
      </c>
      <c r="AG345" s="85">
        <f t="shared" si="2"/>
        <v>0</v>
      </c>
      <c r="AH345" s="85">
        <f t="shared" si="3"/>
        <v>0</v>
      </c>
      <c r="AI345" s="85">
        <f t="shared" si="4"/>
        <v>0</v>
      </c>
      <c r="AJ345" s="93" t="str">
        <f t="shared" si="5"/>
        <v/>
      </c>
    </row>
    <row r="346">
      <c r="A346" s="66" t="s">
        <v>11</v>
      </c>
      <c r="B346" s="94">
        <f t="shared" si="6"/>
        <v>45635</v>
      </c>
      <c r="C346" s="68">
        <v>13.0</v>
      </c>
      <c r="D346" s="68" t="s">
        <v>59</v>
      </c>
      <c r="E346" s="70" t="s">
        <v>125</v>
      </c>
      <c r="F346" s="71"/>
      <c r="H346" s="72"/>
      <c r="J346" s="72"/>
      <c r="L346" s="71"/>
      <c r="N346" s="72"/>
      <c r="P346" s="72"/>
      <c r="R346" s="72"/>
      <c r="T346" s="72"/>
      <c r="V346" s="72"/>
      <c r="X346" s="72"/>
      <c r="Y346" s="73"/>
      <c r="Z346" s="71"/>
      <c r="AB346" s="72"/>
      <c r="AD346" s="72"/>
      <c r="AF346" s="74">
        <f t="shared" si="1"/>
        <v>0</v>
      </c>
      <c r="AG346" s="68">
        <f t="shared" si="2"/>
        <v>0</v>
      </c>
      <c r="AH346" s="68">
        <f t="shared" si="3"/>
        <v>0</v>
      </c>
      <c r="AI346" s="68">
        <f t="shared" si="4"/>
        <v>0</v>
      </c>
      <c r="AJ346" s="75" t="str">
        <f t="shared" si="5"/>
        <v/>
      </c>
    </row>
    <row r="347">
      <c r="A347" s="76" t="s">
        <v>16</v>
      </c>
      <c r="B347" s="77">
        <f t="shared" si="6"/>
        <v>45636</v>
      </c>
      <c r="C347" s="78">
        <v>13.0</v>
      </c>
      <c r="D347" s="78" t="s">
        <v>59</v>
      </c>
      <c r="E347" s="80" t="s">
        <v>125</v>
      </c>
      <c r="F347" s="71"/>
      <c r="H347" s="72"/>
      <c r="J347" s="72"/>
      <c r="L347" s="71"/>
      <c r="N347" s="72"/>
      <c r="P347" s="72"/>
      <c r="R347" s="72"/>
      <c r="T347" s="72"/>
      <c r="V347" s="72"/>
      <c r="X347" s="72"/>
      <c r="Y347" s="73"/>
      <c r="Z347" s="71"/>
      <c r="AB347" s="72"/>
      <c r="AD347" s="72"/>
      <c r="AF347" s="81">
        <f t="shared" si="1"/>
        <v>0</v>
      </c>
      <c r="AG347" s="78">
        <f t="shared" si="2"/>
        <v>0</v>
      </c>
      <c r="AH347" s="78">
        <f t="shared" si="3"/>
        <v>0</v>
      </c>
      <c r="AI347" s="78">
        <f t="shared" si="4"/>
        <v>0</v>
      </c>
      <c r="AJ347" s="82" t="str">
        <f t="shared" si="5"/>
        <v/>
      </c>
    </row>
    <row r="348">
      <c r="A348" s="76" t="s">
        <v>17</v>
      </c>
      <c r="B348" s="77">
        <f t="shared" si="6"/>
        <v>45637</v>
      </c>
      <c r="C348" s="78">
        <v>13.0</v>
      </c>
      <c r="D348" s="78" t="s">
        <v>59</v>
      </c>
      <c r="E348" s="80" t="s">
        <v>125</v>
      </c>
      <c r="F348" s="71"/>
      <c r="H348" s="72"/>
      <c r="J348" s="72"/>
      <c r="L348" s="71"/>
      <c r="N348" s="72"/>
      <c r="P348" s="72"/>
      <c r="R348" s="72"/>
      <c r="T348" s="72"/>
      <c r="V348" s="72"/>
      <c r="X348" s="72"/>
      <c r="Y348" s="73"/>
      <c r="Z348" s="71"/>
      <c r="AB348" s="72"/>
      <c r="AD348" s="72"/>
      <c r="AF348" s="81">
        <f t="shared" si="1"/>
        <v>0</v>
      </c>
      <c r="AG348" s="78">
        <f t="shared" si="2"/>
        <v>0</v>
      </c>
      <c r="AH348" s="78">
        <f t="shared" si="3"/>
        <v>0</v>
      </c>
      <c r="AI348" s="78">
        <f t="shared" si="4"/>
        <v>0</v>
      </c>
      <c r="AJ348" s="82" t="str">
        <f t="shared" si="5"/>
        <v/>
      </c>
    </row>
    <row r="349">
      <c r="A349" s="76" t="s">
        <v>21</v>
      </c>
      <c r="B349" s="77">
        <f t="shared" si="6"/>
        <v>45638</v>
      </c>
      <c r="C349" s="78">
        <v>13.0</v>
      </c>
      <c r="D349" s="78" t="s">
        <v>59</v>
      </c>
      <c r="E349" s="80" t="s">
        <v>125</v>
      </c>
      <c r="F349" s="71"/>
      <c r="H349" s="72"/>
      <c r="J349" s="72"/>
      <c r="L349" s="71"/>
      <c r="N349" s="72"/>
      <c r="P349" s="72"/>
      <c r="R349" s="72"/>
      <c r="T349" s="72"/>
      <c r="V349" s="72"/>
      <c r="X349" s="72"/>
      <c r="Y349" s="73"/>
      <c r="Z349" s="71"/>
      <c r="AB349" s="72"/>
      <c r="AD349" s="72"/>
      <c r="AF349" s="81">
        <f t="shared" si="1"/>
        <v>0</v>
      </c>
      <c r="AG349" s="78">
        <f t="shared" si="2"/>
        <v>0</v>
      </c>
      <c r="AH349" s="78">
        <f t="shared" si="3"/>
        <v>0</v>
      </c>
      <c r="AI349" s="78">
        <f t="shared" si="4"/>
        <v>0</v>
      </c>
      <c r="AJ349" s="82" t="str">
        <f t="shared" si="5"/>
        <v/>
      </c>
    </row>
    <row r="350">
      <c r="A350" s="76" t="s">
        <v>24</v>
      </c>
      <c r="B350" s="77">
        <f t="shared" si="6"/>
        <v>45639</v>
      </c>
      <c r="C350" s="78">
        <v>13.0</v>
      </c>
      <c r="D350" s="78" t="s">
        <v>59</v>
      </c>
      <c r="E350" s="80" t="s">
        <v>125</v>
      </c>
      <c r="F350" s="71"/>
      <c r="H350" s="72"/>
      <c r="J350" s="72"/>
      <c r="L350" s="71"/>
      <c r="N350" s="72"/>
      <c r="P350" s="72"/>
      <c r="R350" s="72"/>
      <c r="T350" s="72"/>
      <c r="V350" s="72"/>
      <c r="X350" s="72"/>
      <c r="Y350" s="73"/>
      <c r="Z350" s="71"/>
      <c r="AB350" s="72"/>
      <c r="AD350" s="72"/>
      <c r="AF350" s="81">
        <f t="shared" si="1"/>
        <v>0</v>
      </c>
      <c r="AG350" s="78">
        <f t="shared" si="2"/>
        <v>0</v>
      </c>
      <c r="AH350" s="78">
        <f t="shared" si="3"/>
        <v>0</v>
      </c>
      <c r="AI350" s="78">
        <f t="shared" si="4"/>
        <v>0</v>
      </c>
      <c r="AJ350" s="82" t="str">
        <f t="shared" si="5"/>
        <v/>
      </c>
    </row>
    <row r="351">
      <c r="A351" s="76" t="s">
        <v>27</v>
      </c>
      <c r="B351" s="77">
        <f t="shared" si="6"/>
        <v>45640</v>
      </c>
      <c r="C351" s="78">
        <v>13.0</v>
      </c>
      <c r="D351" s="78" t="s">
        <v>59</v>
      </c>
      <c r="E351" s="80" t="s">
        <v>125</v>
      </c>
      <c r="F351" s="71"/>
      <c r="H351" s="72"/>
      <c r="J351" s="72"/>
      <c r="L351" s="71"/>
      <c r="N351" s="72"/>
      <c r="P351" s="72"/>
      <c r="R351" s="72"/>
      <c r="T351" s="72"/>
      <c r="V351" s="72"/>
      <c r="X351" s="72"/>
      <c r="Y351" s="73"/>
      <c r="Z351" s="71"/>
      <c r="AB351" s="72"/>
      <c r="AD351" s="72"/>
      <c r="AF351" s="81">
        <f t="shared" si="1"/>
        <v>0</v>
      </c>
      <c r="AG351" s="78">
        <f t="shared" si="2"/>
        <v>0</v>
      </c>
      <c r="AH351" s="78">
        <f t="shared" si="3"/>
        <v>0</v>
      </c>
      <c r="AI351" s="78">
        <f t="shared" si="4"/>
        <v>0</v>
      </c>
      <c r="AJ351" s="82" t="str">
        <f t="shared" si="5"/>
        <v/>
      </c>
    </row>
    <row r="352">
      <c r="A352" s="83" t="s">
        <v>30</v>
      </c>
      <c r="B352" s="84">
        <f t="shared" si="6"/>
        <v>45641</v>
      </c>
      <c r="C352" s="85">
        <v>13.0</v>
      </c>
      <c r="D352" s="85" t="s">
        <v>59</v>
      </c>
      <c r="E352" s="87" t="s">
        <v>125</v>
      </c>
      <c r="F352" s="88"/>
      <c r="G352" s="89"/>
      <c r="H352" s="90"/>
      <c r="I352" s="89"/>
      <c r="J352" s="90"/>
      <c r="K352" s="89"/>
      <c r="L352" s="88"/>
      <c r="M352" s="89"/>
      <c r="N352" s="90"/>
      <c r="O352" s="89"/>
      <c r="P352" s="90"/>
      <c r="Q352" s="89"/>
      <c r="R352" s="90"/>
      <c r="S352" s="89"/>
      <c r="T352" s="90"/>
      <c r="U352" s="89"/>
      <c r="V352" s="90"/>
      <c r="W352" s="89"/>
      <c r="X352" s="90"/>
      <c r="Y352" s="91"/>
      <c r="Z352" s="88"/>
      <c r="AA352" s="89"/>
      <c r="AB352" s="90"/>
      <c r="AC352" s="89"/>
      <c r="AD352" s="90"/>
      <c r="AE352" s="89"/>
      <c r="AF352" s="92">
        <f t="shared" si="1"/>
        <v>0</v>
      </c>
      <c r="AG352" s="85">
        <f t="shared" si="2"/>
        <v>0</v>
      </c>
      <c r="AH352" s="85">
        <f t="shared" si="3"/>
        <v>0</v>
      </c>
      <c r="AI352" s="85">
        <f t="shared" si="4"/>
        <v>0</v>
      </c>
      <c r="AJ352" s="93" t="str">
        <f t="shared" si="5"/>
        <v/>
      </c>
    </row>
    <row r="353">
      <c r="A353" s="66" t="s">
        <v>11</v>
      </c>
      <c r="B353" s="94">
        <f t="shared" si="6"/>
        <v>45642</v>
      </c>
      <c r="C353" s="68">
        <v>13.0</v>
      </c>
      <c r="D353" s="68" t="s">
        <v>12</v>
      </c>
      <c r="E353" s="70" t="s">
        <v>125</v>
      </c>
      <c r="F353" s="71"/>
      <c r="H353" s="72"/>
      <c r="J353" s="72"/>
      <c r="L353" s="71"/>
      <c r="N353" s="72"/>
      <c r="P353" s="72"/>
      <c r="R353" s="72"/>
      <c r="T353" s="72"/>
      <c r="V353" s="72"/>
      <c r="X353" s="72"/>
      <c r="Y353" s="73"/>
      <c r="Z353" s="71"/>
      <c r="AB353" s="72"/>
      <c r="AD353" s="72"/>
      <c r="AF353" s="74">
        <f t="shared" si="1"/>
        <v>0</v>
      </c>
      <c r="AG353" s="68">
        <f t="shared" si="2"/>
        <v>0</v>
      </c>
      <c r="AH353" s="68">
        <f t="shared" si="3"/>
        <v>0</v>
      </c>
      <c r="AI353" s="68">
        <f t="shared" si="4"/>
        <v>0</v>
      </c>
      <c r="AJ353" s="75" t="str">
        <f t="shared" si="5"/>
        <v/>
      </c>
    </row>
    <row r="354">
      <c r="A354" s="76" t="s">
        <v>16</v>
      </c>
      <c r="B354" s="77">
        <f t="shared" si="6"/>
        <v>45643</v>
      </c>
      <c r="C354" s="78">
        <v>13.0</v>
      </c>
      <c r="D354" s="78" t="s">
        <v>12</v>
      </c>
      <c r="E354" s="80" t="s">
        <v>125</v>
      </c>
      <c r="F354" s="71"/>
      <c r="H354" s="72"/>
      <c r="J354" s="72"/>
      <c r="L354" s="71"/>
      <c r="N354" s="72"/>
      <c r="P354" s="72"/>
      <c r="R354" s="72"/>
      <c r="T354" s="72"/>
      <c r="V354" s="72"/>
      <c r="X354" s="72"/>
      <c r="Y354" s="73"/>
      <c r="Z354" s="71"/>
      <c r="AB354" s="72"/>
      <c r="AD354" s="72"/>
      <c r="AF354" s="81">
        <f t="shared" si="1"/>
        <v>0</v>
      </c>
      <c r="AG354" s="78">
        <f t="shared" si="2"/>
        <v>0</v>
      </c>
      <c r="AH354" s="78">
        <f t="shared" si="3"/>
        <v>0</v>
      </c>
      <c r="AI354" s="78">
        <f t="shared" si="4"/>
        <v>0</v>
      </c>
      <c r="AJ354" s="82" t="str">
        <f t="shared" si="5"/>
        <v/>
      </c>
    </row>
    <row r="355">
      <c r="A355" s="76" t="s">
        <v>17</v>
      </c>
      <c r="B355" s="77">
        <f t="shared" si="6"/>
        <v>45644</v>
      </c>
      <c r="C355" s="78">
        <v>13.0</v>
      </c>
      <c r="D355" s="78" t="s">
        <v>12</v>
      </c>
      <c r="E355" s="80" t="s">
        <v>125</v>
      </c>
      <c r="F355" s="71"/>
      <c r="H355" s="72"/>
      <c r="J355" s="72"/>
      <c r="L355" s="71"/>
      <c r="N355" s="72"/>
      <c r="P355" s="72"/>
      <c r="R355" s="72"/>
      <c r="T355" s="72"/>
      <c r="V355" s="72"/>
      <c r="X355" s="72"/>
      <c r="Y355" s="73"/>
      <c r="Z355" s="71"/>
      <c r="AB355" s="72"/>
      <c r="AD355" s="72"/>
      <c r="AF355" s="81">
        <f t="shared" si="1"/>
        <v>0</v>
      </c>
      <c r="AG355" s="78">
        <f t="shared" si="2"/>
        <v>0</v>
      </c>
      <c r="AH355" s="78">
        <f t="shared" si="3"/>
        <v>0</v>
      </c>
      <c r="AI355" s="78">
        <f t="shared" si="4"/>
        <v>0</v>
      </c>
      <c r="AJ355" s="82" t="str">
        <f t="shared" si="5"/>
        <v/>
      </c>
    </row>
    <row r="356">
      <c r="A356" s="76" t="s">
        <v>21</v>
      </c>
      <c r="B356" s="77">
        <f t="shared" si="6"/>
        <v>45645</v>
      </c>
      <c r="C356" s="78">
        <v>13.0</v>
      </c>
      <c r="D356" s="78" t="s">
        <v>12</v>
      </c>
      <c r="E356" s="80" t="s">
        <v>125</v>
      </c>
      <c r="F356" s="71"/>
      <c r="H356" s="72"/>
      <c r="J356" s="72"/>
      <c r="L356" s="71"/>
      <c r="N356" s="72"/>
      <c r="P356" s="72"/>
      <c r="R356" s="72"/>
      <c r="T356" s="72"/>
      <c r="V356" s="72"/>
      <c r="X356" s="72"/>
      <c r="Y356" s="73"/>
      <c r="Z356" s="71"/>
      <c r="AB356" s="72"/>
      <c r="AD356" s="72"/>
      <c r="AF356" s="81">
        <f t="shared" si="1"/>
        <v>0</v>
      </c>
      <c r="AG356" s="78">
        <f t="shared" si="2"/>
        <v>0</v>
      </c>
      <c r="AH356" s="78">
        <f t="shared" si="3"/>
        <v>0</v>
      </c>
      <c r="AI356" s="78">
        <f t="shared" si="4"/>
        <v>0</v>
      </c>
      <c r="AJ356" s="82" t="str">
        <f t="shared" si="5"/>
        <v/>
      </c>
    </row>
    <row r="357">
      <c r="A357" s="76" t="s">
        <v>24</v>
      </c>
      <c r="B357" s="77">
        <f t="shared" si="6"/>
        <v>45646</v>
      </c>
      <c r="C357" s="78">
        <v>13.0</v>
      </c>
      <c r="D357" s="78" t="s">
        <v>12</v>
      </c>
      <c r="E357" s="80" t="s">
        <v>125</v>
      </c>
      <c r="F357" s="71"/>
      <c r="H357" s="72"/>
      <c r="J357" s="72"/>
      <c r="L357" s="71"/>
      <c r="N357" s="72"/>
      <c r="P357" s="72"/>
      <c r="R357" s="72"/>
      <c r="T357" s="72"/>
      <c r="V357" s="72"/>
      <c r="X357" s="72"/>
      <c r="Y357" s="73"/>
      <c r="Z357" s="71"/>
      <c r="AB357" s="72"/>
      <c r="AD357" s="72"/>
      <c r="AF357" s="81">
        <f t="shared" si="1"/>
        <v>0</v>
      </c>
      <c r="AG357" s="78">
        <f t="shared" si="2"/>
        <v>0</v>
      </c>
      <c r="AH357" s="78">
        <f t="shared" si="3"/>
        <v>0</v>
      </c>
      <c r="AI357" s="78">
        <f t="shared" si="4"/>
        <v>0</v>
      </c>
      <c r="AJ357" s="82" t="str">
        <f t="shared" si="5"/>
        <v/>
      </c>
    </row>
    <row r="358">
      <c r="A358" s="76" t="s">
        <v>27</v>
      </c>
      <c r="B358" s="77">
        <f t="shared" si="6"/>
        <v>45647</v>
      </c>
      <c r="C358" s="78">
        <v>13.0</v>
      </c>
      <c r="D358" s="78" t="s">
        <v>12</v>
      </c>
      <c r="E358" s="80" t="s">
        <v>125</v>
      </c>
      <c r="F358" s="71"/>
      <c r="H358" s="72"/>
      <c r="J358" s="72"/>
      <c r="L358" s="71"/>
      <c r="N358" s="72"/>
      <c r="P358" s="72"/>
      <c r="R358" s="72"/>
      <c r="T358" s="72"/>
      <c r="V358" s="72"/>
      <c r="X358" s="72"/>
      <c r="Y358" s="73"/>
      <c r="Z358" s="71"/>
      <c r="AB358" s="72"/>
      <c r="AD358" s="72"/>
      <c r="AF358" s="81">
        <f t="shared" si="1"/>
        <v>0</v>
      </c>
      <c r="AG358" s="78">
        <f t="shared" si="2"/>
        <v>0</v>
      </c>
      <c r="AH358" s="78">
        <f t="shared" si="3"/>
        <v>0</v>
      </c>
      <c r="AI358" s="78">
        <f t="shared" si="4"/>
        <v>0</v>
      </c>
      <c r="AJ358" s="82" t="str">
        <f t="shared" si="5"/>
        <v/>
      </c>
    </row>
    <row r="359">
      <c r="A359" s="83" t="s">
        <v>30</v>
      </c>
      <c r="B359" s="84">
        <f t="shared" si="6"/>
        <v>45648</v>
      </c>
      <c r="C359" s="85">
        <v>13.0</v>
      </c>
      <c r="D359" s="85" t="s">
        <v>12</v>
      </c>
      <c r="E359" s="87" t="s">
        <v>125</v>
      </c>
      <c r="F359" s="88"/>
      <c r="G359" s="89"/>
      <c r="H359" s="90"/>
      <c r="I359" s="89"/>
      <c r="J359" s="90"/>
      <c r="K359" s="89"/>
      <c r="L359" s="88"/>
      <c r="M359" s="89"/>
      <c r="N359" s="90"/>
      <c r="O359" s="89"/>
      <c r="P359" s="90"/>
      <c r="Q359" s="89"/>
      <c r="R359" s="90"/>
      <c r="S359" s="89"/>
      <c r="T359" s="90"/>
      <c r="U359" s="89"/>
      <c r="V359" s="90"/>
      <c r="W359" s="89"/>
      <c r="X359" s="90"/>
      <c r="Y359" s="91"/>
      <c r="Z359" s="88"/>
      <c r="AA359" s="89"/>
      <c r="AB359" s="90"/>
      <c r="AC359" s="89"/>
      <c r="AD359" s="90"/>
      <c r="AE359" s="89"/>
      <c r="AF359" s="92">
        <f t="shared" si="1"/>
        <v>0</v>
      </c>
      <c r="AG359" s="85">
        <f t="shared" si="2"/>
        <v>0</v>
      </c>
      <c r="AH359" s="85">
        <f t="shared" si="3"/>
        <v>0</v>
      </c>
      <c r="AI359" s="85">
        <f t="shared" si="4"/>
        <v>0</v>
      </c>
      <c r="AJ359" s="93" t="str">
        <f t="shared" si="5"/>
        <v/>
      </c>
    </row>
    <row r="360">
      <c r="A360" s="193"/>
      <c r="B360" s="194"/>
      <c r="C360" s="195"/>
      <c r="D360" s="195"/>
      <c r="E360" s="195"/>
      <c r="F360" s="196"/>
      <c r="G360" s="196">
        <f>sum(F3:G359)*G$2</f>
        <v>67353.5772</v>
      </c>
      <c r="H360" s="196"/>
      <c r="I360" s="196">
        <f>sum(H3:I359)*I$2</f>
        <v>83628.8145</v>
      </c>
      <c r="J360" s="196"/>
      <c r="K360" s="196">
        <f>sum(J3:K359)*K$2</f>
        <v>18997.1628</v>
      </c>
      <c r="L360" s="196"/>
      <c r="M360" s="196">
        <f>sum(L3:M359)*M$2</f>
        <v>258509.04</v>
      </c>
      <c r="N360" s="196"/>
      <c r="O360" s="196">
        <f>sum(N3:O359)*O$2</f>
        <v>322734</v>
      </c>
      <c r="P360" s="196"/>
      <c r="Q360" s="196">
        <f>sum(P3:Q359)*Q$2</f>
        <v>43984.8</v>
      </c>
      <c r="R360" s="196"/>
      <c r="S360" s="196">
        <f>sum(R3:S359)*S$2</f>
        <v>17217.2</v>
      </c>
      <c r="T360" s="196"/>
      <c r="U360" s="196">
        <f>sum(T3:U359)*U$2</f>
        <v>21735</v>
      </c>
      <c r="V360" s="196"/>
      <c r="W360" s="196">
        <f>sum(V3:W359)*W$2</f>
        <v>12075</v>
      </c>
      <c r="X360" s="196"/>
      <c r="Y360" s="196">
        <f>sum(X3:Y359)*Y$2</f>
        <v>19899.6</v>
      </c>
      <c r="Z360" s="196"/>
      <c r="AA360" s="196">
        <f>sum(Z3:AA359)*AA$2</f>
        <v>42506.72</v>
      </c>
      <c r="AB360" s="196"/>
      <c r="AC360" s="196">
        <f>sum(AB3:AC359)*AC$2</f>
        <v>58312.64</v>
      </c>
      <c r="AD360" s="196"/>
      <c r="AE360" s="196">
        <f>sum(AD3:AE359)*AE$2</f>
        <v>0</v>
      </c>
      <c r="AF360" s="194">
        <f t="shared" ref="AF360:AI360" si="7">SUM(AF3:AF359)</f>
        <v>966953.5545</v>
      </c>
      <c r="AG360" s="197">
        <f t="shared" si="7"/>
        <v>75974</v>
      </c>
      <c r="AH360" s="197">
        <f t="shared" si="7"/>
        <v>92</v>
      </c>
      <c r="AI360" s="197">
        <f t="shared" si="7"/>
        <v>76066</v>
      </c>
      <c r="AJ360" s="195"/>
    </row>
    <row r="361">
      <c r="A361" s="198"/>
      <c r="B361" s="199"/>
      <c r="C361" s="200"/>
      <c r="D361" s="201"/>
      <c r="E361" s="202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194"/>
      <c r="AG361" s="197"/>
      <c r="AH361" s="197"/>
      <c r="AI361" s="197"/>
      <c r="AJ361" s="200"/>
    </row>
    <row r="362">
      <c r="A362" s="198"/>
      <c r="B362" s="199"/>
      <c r="C362" s="200"/>
      <c r="D362" s="201"/>
      <c r="E362" s="202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14"/>
      <c r="AG362" s="197"/>
      <c r="AH362" s="197"/>
      <c r="AI362" s="197"/>
      <c r="AJ362" s="200"/>
    </row>
    <row r="363">
      <c r="A363" s="198"/>
      <c r="B363" s="199"/>
      <c r="C363" s="200"/>
      <c r="D363" s="205" t="s">
        <v>132</v>
      </c>
      <c r="E363" s="206">
        <v>0.05</v>
      </c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G363" s="217"/>
      <c r="AJ363" s="200"/>
    </row>
    <row r="364">
      <c r="A364" s="198"/>
      <c r="B364" s="199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195"/>
      <c r="AG364" s="218"/>
      <c r="AH364" s="200"/>
      <c r="AI364" s="200"/>
      <c r="AJ364" s="200"/>
    </row>
    <row r="365">
      <c r="A365" s="198"/>
      <c r="B365" s="199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10"/>
      <c r="S365" s="210"/>
      <c r="T365" s="211"/>
      <c r="U365" s="211"/>
      <c r="V365" s="211"/>
      <c r="W365" s="211"/>
      <c r="X365" s="211"/>
      <c r="Y365" s="212"/>
      <c r="Z365" s="211"/>
      <c r="AA365" s="211"/>
      <c r="AB365" s="211"/>
      <c r="AC365" s="211"/>
      <c r="AD365" s="211"/>
      <c r="AE365" s="211"/>
      <c r="AF365" s="211"/>
      <c r="AG365" s="103"/>
      <c r="AH365" s="103"/>
      <c r="AI365" s="200"/>
      <c r="AJ365" s="200"/>
    </row>
    <row r="366">
      <c r="A366" s="198"/>
      <c r="B366" s="199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10"/>
      <c r="S366" s="210"/>
      <c r="T366" s="211"/>
      <c r="U366" s="211"/>
      <c r="V366" s="211"/>
      <c r="W366" s="211"/>
      <c r="X366" s="211"/>
      <c r="Y366" s="212"/>
      <c r="Z366" s="211"/>
      <c r="AA366" s="211"/>
      <c r="AB366" s="211"/>
      <c r="AC366" s="211"/>
      <c r="AD366" s="211"/>
      <c r="AE366" s="211"/>
      <c r="AF366" s="221"/>
      <c r="AG366" s="103"/>
      <c r="AH366" s="103"/>
      <c r="AI366" s="200"/>
      <c r="AJ366" s="200"/>
    </row>
    <row r="367">
      <c r="A367" s="216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22"/>
      <c r="AH367" s="200"/>
      <c r="AI367" s="200"/>
      <c r="AJ367" s="200"/>
    </row>
    <row r="368">
      <c r="A368" s="216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22"/>
      <c r="AH368" s="200"/>
      <c r="AI368" s="200"/>
      <c r="AJ368" s="200"/>
    </row>
    <row r="369">
      <c r="A369" s="216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00"/>
      <c r="AH369" s="200"/>
      <c r="AI369" s="200"/>
      <c r="AJ369" s="200"/>
    </row>
    <row r="370">
      <c r="A370" s="216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22"/>
      <c r="AH370" s="200"/>
      <c r="AI370" s="200"/>
      <c r="AJ370" s="200"/>
    </row>
    <row r="371">
      <c r="A371" s="216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22"/>
      <c r="AH371" s="200"/>
      <c r="AI371" s="200"/>
      <c r="AJ371" s="200"/>
    </row>
    <row r="372">
      <c r="A372" s="216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</row>
    <row r="373">
      <c r="A373" s="216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22"/>
      <c r="AH373" s="200"/>
      <c r="AI373" s="200"/>
      <c r="AJ373" s="200"/>
    </row>
    <row r="374">
      <c r="A374" s="216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22"/>
      <c r="AH374" s="200"/>
      <c r="AI374" s="200"/>
      <c r="AJ374" s="200"/>
    </row>
    <row r="375">
      <c r="A375" s="216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0"/>
    </row>
    <row r="376">
      <c r="A376" s="216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22"/>
      <c r="AH376" s="200"/>
      <c r="AI376" s="200"/>
      <c r="AJ376" s="200"/>
    </row>
    <row r="377">
      <c r="A377" s="216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22"/>
      <c r="AH377" s="200"/>
      <c r="AI377" s="200"/>
      <c r="AJ377" s="200"/>
    </row>
    <row r="378">
      <c r="A378" s="216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</row>
    <row r="379">
      <c r="A379" s="216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22"/>
      <c r="AH379" s="200"/>
      <c r="AI379" s="200"/>
      <c r="AJ379" s="200"/>
    </row>
    <row r="380">
      <c r="A380" s="216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22"/>
      <c r="AH380" s="200"/>
      <c r="AI380" s="200"/>
      <c r="AJ380" s="200"/>
    </row>
    <row r="381">
      <c r="A381" s="216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</row>
    <row r="382">
      <c r="A382" s="216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24"/>
      <c r="AG382" s="200"/>
      <c r="AH382" s="200"/>
      <c r="AI382" s="200"/>
      <c r="AJ382" s="200"/>
    </row>
    <row r="383">
      <c r="A383" s="216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22"/>
      <c r="AH383" s="200"/>
      <c r="AI383" s="200"/>
      <c r="AJ383" s="200"/>
    </row>
    <row r="384">
      <c r="A384" s="216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22"/>
      <c r="AH384" s="200"/>
      <c r="AI384" s="200"/>
      <c r="AJ384" s="200"/>
    </row>
    <row r="385">
      <c r="A385" s="216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</row>
    <row r="386">
      <c r="A386" s="216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25"/>
      <c r="AG386" s="200"/>
      <c r="AH386" s="200"/>
      <c r="AI386" s="200"/>
      <c r="AJ386" s="200"/>
    </row>
    <row r="387">
      <c r="A387" s="216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22"/>
      <c r="AH387" s="200"/>
      <c r="AI387" s="200"/>
      <c r="AJ387" s="200"/>
    </row>
    <row r="388">
      <c r="A388" s="216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22"/>
      <c r="AH388" s="200"/>
      <c r="AI388" s="200"/>
      <c r="AJ388" s="200"/>
    </row>
    <row r="389">
      <c r="A389" s="216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</row>
    <row r="390">
      <c r="A390" s="216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22"/>
      <c r="AH390" s="200"/>
      <c r="AI390" s="200"/>
      <c r="AJ390" s="200"/>
    </row>
    <row r="391">
      <c r="A391" s="216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</row>
    <row r="392">
      <c r="A392" s="216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22"/>
      <c r="AH392" s="200"/>
      <c r="AI392" s="200"/>
      <c r="AJ392" s="200"/>
    </row>
    <row r="393">
      <c r="A393" s="216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</row>
    <row r="394">
      <c r="A394" s="216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22"/>
      <c r="AH394" s="200"/>
      <c r="AI394" s="200"/>
      <c r="AJ394" s="200"/>
    </row>
    <row r="395">
      <c r="A395" s="216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</row>
    <row r="396">
      <c r="A396" s="216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</row>
    <row r="397">
      <c r="A397" s="216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25"/>
      <c r="AG397" s="200"/>
      <c r="AH397" s="200"/>
      <c r="AI397" s="200"/>
      <c r="AJ397" s="200"/>
    </row>
    <row r="398">
      <c r="A398" s="216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22"/>
      <c r="AG398" s="200"/>
      <c r="AH398" s="200"/>
      <c r="AI398" s="200"/>
      <c r="AJ398" s="200"/>
    </row>
    <row r="399">
      <c r="A399" s="216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195"/>
      <c r="AG399" s="222"/>
      <c r="AH399" s="200"/>
      <c r="AI399" s="222"/>
      <c r="AJ399" s="200"/>
    </row>
    <row r="400">
      <c r="A400" s="216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18"/>
      <c r="AG400" s="200"/>
      <c r="AH400" s="200"/>
      <c r="AI400" s="200"/>
      <c r="AJ400" s="200"/>
    </row>
    <row r="401">
      <c r="A401" s="216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195"/>
      <c r="AG401" s="222"/>
      <c r="AH401" s="200"/>
      <c r="AI401" s="222"/>
      <c r="AJ401" s="200"/>
    </row>
    <row r="402">
      <c r="A402" s="216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195"/>
      <c r="AG402" s="222"/>
      <c r="AH402" s="200"/>
      <c r="AI402" s="222"/>
      <c r="AJ402" s="200"/>
    </row>
    <row r="403">
      <c r="A403" s="216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195"/>
      <c r="AG403" s="222"/>
      <c r="AH403" s="200"/>
      <c r="AI403" s="222"/>
      <c r="AJ403" s="200"/>
    </row>
    <row r="404">
      <c r="A404" s="216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195"/>
      <c r="AG404" s="222"/>
      <c r="AH404" s="200"/>
      <c r="AI404" s="222"/>
      <c r="AJ404" s="200"/>
    </row>
    <row r="405">
      <c r="A405" s="216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195"/>
      <c r="AG405" s="200"/>
      <c r="AH405" s="200"/>
      <c r="AI405" s="200"/>
      <c r="AJ405" s="200"/>
    </row>
    <row r="406">
      <c r="A406" s="216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18"/>
      <c r="AG406" s="200"/>
      <c r="AH406" s="200"/>
      <c r="AI406" s="200"/>
      <c r="AJ406" s="200"/>
    </row>
    <row r="407">
      <c r="A407" s="216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195"/>
      <c r="AG407" s="222"/>
      <c r="AH407" s="200"/>
      <c r="AI407" s="222"/>
      <c r="AJ407" s="200"/>
    </row>
    <row r="408">
      <c r="A408" s="216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195"/>
      <c r="AG408" s="222"/>
      <c r="AH408" s="200"/>
      <c r="AI408" s="222"/>
      <c r="AJ408" s="200"/>
    </row>
    <row r="409">
      <c r="A409" s="216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</row>
    <row r="410">
      <c r="A410" s="216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</row>
    <row r="411">
      <c r="A411" s="216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</row>
    <row r="412">
      <c r="A412" s="216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</row>
    <row r="413">
      <c r="A413" s="216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</row>
    <row r="414">
      <c r="A414" s="216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</row>
    <row r="415">
      <c r="A415" s="216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</row>
    <row r="416">
      <c r="A416" s="216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</row>
    <row r="417">
      <c r="A417" s="216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</row>
    <row r="418">
      <c r="A418" s="216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</row>
    <row r="419">
      <c r="A419" s="216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</row>
    <row r="420">
      <c r="A420" s="216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</row>
    <row r="421">
      <c r="A421" s="216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</row>
    <row r="422">
      <c r="A422" s="216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</row>
    <row r="423">
      <c r="A423" s="216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</row>
    <row r="424">
      <c r="A424" s="216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</row>
    <row r="425">
      <c r="A425" s="216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</row>
    <row r="426">
      <c r="A426" s="216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</row>
    <row r="427">
      <c r="A427" s="216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</row>
    <row r="428">
      <c r="A428" s="216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</row>
    <row r="429">
      <c r="A429" s="216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</row>
    <row r="430">
      <c r="A430" s="216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</row>
    <row r="431">
      <c r="A431" s="216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</row>
    <row r="432">
      <c r="A432" s="216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</row>
    <row r="433">
      <c r="A433" s="216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</row>
    <row r="434">
      <c r="A434" s="216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</row>
    <row r="435">
      <c r="A435" s="216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</row>
    <row r="436">
      <c r="A436" s="216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</row>
    <row r="437">
      <c r="A437" s="216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</row>
    <row r="438">
      <c r="A438" s="216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</row>
    <row r="439">
      <c r="A439" s="216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</row>
    <row r="440">
      <c r="A440" s="216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</row>
    <row r="441">
      <c r="A441" s="216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</row>
    <row r="442">
      <c r="A442" s="216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</row>
    <row r="443">
      <c r="A443" s="216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</row>
    <row r="444">
      <c r="A444" s="216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</row>
    <row r="445">
      <c r="A445" s="216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</row>
    <row r="446">
      <c r="A446" s="216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</row>
    <row r="447">
      <c r="A447" s="216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</row>
    <row r="448">
      <c r="A448" s="216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</row>
    <row r="449">
      <c r="A449" s="216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</row>
    <row r="450">
      <c r="A450" s="216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</row>
    <row r="451">
      <c r="A451" s="216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</row>
    <row r="452">
      <c r="A452" s="216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</row>
    <row r="453">
      <c r="A453" s="216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</row>
    <row r="454">
      <c r="A454" s="216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</row>
    <row r="455">
      <c r="A455" s="216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</row>
    <row r="456">
      <c r="A456" s="216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</row>
    <row r="457">
      <c r="A457" s="216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</row>
    <row r="458">
      <c r="A458" s="216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</row>
    <row r="459">
      <c r="A459" s="216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</row>
    <row r="460">
      <c r="A460" s="216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</row>
    <row r="461">
      <c r="A461" s="216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</row>
    <row r="462">
      <c r="A462" s="216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</row>
    <row r="463">
      <c r="A463" s="216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</row>
    <row r="464">
      <c r="A464" s="216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</row>
    <row r="465">
      <c r="A465" s="216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</row>
    <row r="466">
      <c r="A466" s="216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</row>
    <row r="467">
      <c r="A467" s="216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</row>
    <row r="468">
      <c r="A468" s="216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</row>
    <row r="469">
      <c r="A469" s="216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</row>
    <row r="470">
      <c r="A470" s="216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</row>
    <row r="471">
      <c r="A471" s="216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</row>
    <row r="472">
      <c r="A472" s="216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</row>
    <row r="473">
      <c r="A473" s="216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</row>
    <row r="474">
      <c r="A474" s="216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</row>
    <row r="475">
      <c r="A475" s="216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</row>
    <row r="476">
      <c r="A476" s="216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</row>
    <row r="477">
      <c r="A477" s="216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</row>
    <row r="478">
      <c r="A478" s="216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</row>
    <row r="479">
      <c r="A479" s="216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</row>
    <row r="480">
      <c r="A480" s="216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</row>
    <row r="481">
      <c r="A481" s="216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</row>
    <row r="482">
      <c r="A482" s="216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</row>
    <row r="483">
      <c r="A483" s="216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</row>
    <row r="484">
      <c r="A484" s="216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</row>
    <row r="485">
      <c r="A485" s="216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</row>
    <row r="486">
      <c r="A486" s="216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</row>
    <row r="487">
      <c r="A487" s="216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</row>
    <row r="488">
      <c r="A488" s="216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</row>
    <row r="489">
      <c r="A489" s="216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</row>
    <row r="490">
      <c r="A490" s="216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</row>
    <row r="491">
      <c r="A491" s="216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</row>
    <row r="492">
      <c r="A492" s="216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</row>
    <row r="493">
      <c r="A493" s="216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</row>
    <row r="494">
      <c r="A494" s="216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</row>
    <row r="495">
      <c r="A495" s="216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</row>
    <row r="496">
      <c r="A496" s="216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</row>
    <row r="497">
      <c r="A497" s="216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</row>
    <row r="498">
      <c r="A498" s="216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</row>
    <row r="499">
      <c r="A499" s="216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</row>
    <row r="500">
      <c r="A500" s="216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</row>
    <row r="501">
      <c r="A501" s="216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</row>
    <row r="502">
      <c r="A502" s="216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</row>
    <row r="503">
      <c r="A503" s="216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</row>
    <row r="504">
      <c r="A504" s="216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</row>
    <row r="505">
      <c r="A505" s="216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</row>
    <row r="506">
      <c r="A506" s="216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</row>
    <row r="507">
      <c r="A507" s="216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</row>
    <row r="508">
      <c r="A508" s="216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</row>
    <row r="509">
      <c r="A509" s="216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</row>
    <row r="510">
      <c r="A510" s="216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</row>
    <row r="511">
      <c r="A511" s="216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</row>
    <row r="512">
      <c r="A512" s="216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</row>
    <row r="513">
      <c r="A513" s="216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</row>
    <row r="514">
      <c r="A514" s="216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</row>
    <row r="515">
      <c r="A515" s="216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</row>
    <row r="516">
      <c r="A516" s="216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</row>
    <row r="517">
      <c r="A517" s="216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</row>
    <row r="518">
      <c r="A518" s="216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</row>
    <row r="519">
      <c r="A519" s="216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</row>
    <row r="520">
      <c r="A520" s="216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</row>
    <row r="521">
      <c r="A521" s="216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</row>
    <row r="522">
      <c r="A522" s="216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</row>
    <row r="523">
      <c r="A523" s="216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</row>
    <row r="524">
      <c r="A524" s="216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</row>
    <row r="525">
      <c r="A525" s="216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</row>
    <row r="526">
      <c r="A526" s="216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</row>
    <row r="527">
      <c r="A527" s="216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</row>
    <row r="528">
      <c r="A528" s="216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</row>
    <row r="529">
      <c r="A529" s="216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</row>
    <row r="530">
      <c r="A530" s="216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</row>
    <row r="531">
      <c r="A531" s="216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</row>
    <row r="532">
      <c r="A532" s="216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</row>
    <row r="533">
      <c r="A533" s="216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</row>
    <row r="534">
      <c r="A534" s="216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</row>
    <row r="535">
      <c r="A535" s="216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</row>
    <row r="536">
      <c r="A536" s="216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</row>
    <row r="537">
      <c r="A537" s="216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</row>
    <row r="538">
      <c r="A538" s="216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</row>
    <row r="539">
      <c r="A539" s="216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</row>
    <row r="540">
      <c r="A540" s="216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</row>
    <row r="541">
      <c r="A541" s="216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</row>
    <row r="542">
      <c r="A542" s="216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</row>
    <row r="543">
      <c r="A543" s="216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</row>
    <row r="544">
      <c r="A544" s="216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</row>
    <row r="545">
      <c r="A545" s="216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</row>
    <row r="546">
      <c r="A546" s="216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</row>
    <row r="547">
      <c r="A547" s="216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</row>
    <row r="548">
      <c r="A548" s="216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</row>
    <row r="549">
      <c r="A549" s="216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</row>
    <row r="550">
      <c r="A550" s="216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</row>
    <row r="551">
      <c r="A551" s="216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</row>
    <row r="552">
      <c r="A552" s="216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</row>
    <row r="553">
      <c r="A553" s="216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</row>
    <row r="554">
      <c r="A554" s="216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</row>
    <row r="555">
      <c r="A555" s="216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</row>
    <row r="556">
      <c r="A556" s="216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</row>
    <row r="557">
      <c r="A557" s="216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</row>
    <row r="558">
      <c r="A558" s="216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</row>
    <row r="559">
      <c r="A559" s="216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</row>
    <row r="560">
      <c r="A560" s="216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</row>
    <row r="561">
      <c r="A561" s="216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</row>
    <row r="562">
      <c r="A562" s="216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</row>
    <row r="563">
      <c r="A563" s="216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</row>
    <row r="564">
      <c r="A564" s="216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</row>
    <row r="565">
      <c r="A565" s="216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</row>
    <row r="566">
      <c r="A566" s="216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</row>
    <row r="567">
      <c r="A567" s="216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</row>
    <row r="568">
      <c r="A568" s="216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</row>
    <row r="569">
      <c r="A569" s="216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</row>
    <row r="570">
      <c r="A570" s="216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</row>
    <row r="571">
      <c r="A571" s="216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</row>
    <row r="572">
      <c r="A572" s="216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</row>
    <row r="573">
      <c r="A573" s="216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</row>
    <row r="574">
      <c r="A574" s="216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</row>
    <row r="575">
      <c r="A575" s="216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</row>
    <row r="576">
      <c r="A576" s="216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</row>
    <row r="577">
      <c r="A577" s="216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</row>
    <row r="578">
      <c r="A578" s="216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</row>
    <row r="579">
      <c r="A579" s="216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</row>
    <row r="580">
      <c r="A580" s="216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</row>
    <row r="581">
      <c r="A581" s="216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</row>
    <row r="582">
      <c r="A582" s="216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</row>
    <row r="583">
      <c r="A583" s="216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</row>
    <row r="584">
      <c r="A584" s="216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</row>
    <row r="585">
      <c r="A585" s="216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</row>
    <row r="586">
      <c r="A586" s="216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</row>
    <row r="587">
      <c r="A587" s="216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</row>
    <row r="588">
      <c r="A588" s="216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</row>
    <row r="589">
      <c r="A589" s="216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</row>
    <row r="590">
      <c r="A590" s="216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</row>
    <row r="591">
      <c r="A591" s="216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</row>
    <row r="592">
      <c r="A592" s="216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</row>
    <row r="593">
      <c r="A593" s="216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</row>
    <row r="594">
      <c r="A594" s="216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</row>
    <row r="595">
      <c r="A595" s="216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</row>
    <row r="596">
      <c r="A596" s="216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</row>
    <row r="597">
      <c r="A597" s="216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</row>
    <row r="598">
      <c r="A598" s="216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</row>
    <row r="599">
      <c r="A599" s="216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</row>
    <row r="600">
      <c r="A600" s="216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</row>
    <row r="601">
      <c r="A601" s="216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</row>
    <row r="602">
      <c r="A602" s="216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</row>
    <row r="603">
      <c r="A603" s="216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</row>
    <row r="604">
      <c r="A604" s="216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</row>
    <row r="605">
      <c r="A605" s="216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</row>
    <row r="606">
      <c r="A606" s="216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</row>
    <row r="607">
      <c r="A607" s="216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</row>
    <row r="608">
      <c r="A608" s="216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</row>
    <row r="609">
      <c r="A609" s="216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</row>
    <row r="610">
      <c r="A610" s="216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</row>
    <row r="611">
      <c r="A611" s="216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</row>
    <row r="612">
      <c r="A612" s="216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</row>
    <row r="613">
      <c r="A613" s="216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</row>
    <row r="614">
      <c r="A614" s="216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</row>
    <row r="615">
      <c r="A615" s="216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</row>
    <row r="616">
      <c r="A616" s="216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</row>
    <row r="617">
      <c r="A617" s="216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</row>
    <row r="618">
      <c r="A618" s="216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</row>
    <row r="619">
      <c r="A619" s="216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</row>
    <row r="620">
      <c r="A620" s="216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</row>
    <row r="621">
      <c r="A621" s="216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</row>
    <row r="622">
      <c r="A622" s="216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</row>
    <row r="623">
      <c r="A623" s="216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</row>
    <row r="624">
      <c r="A624" s="216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</row>
    <row r="625">
      <c r="A625" s="216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</row>
    <row r="626">
      <c r="A626" s="216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</row>
    <row r="627">
      <c r="A627" s="216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</row>
    <row r="628">
      <c r="A628" s="216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</row>
    <row r="629">
      <c r="A629" s="216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</row>
    <row r="630">
      <c r="A630" s="216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</row>
    <row r="631">
      <c r="A631" s="216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</row>
    <row r="632">
      <c r="A632" s="216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</row>
    <row r="633">
      <c r="A633" s="216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</row>
    <row r="634">
      <c r="A634" s="216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</row>
    <row r="635">
      <c r="A635" s="216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</row>
    <row r="636">
      <c r="A636" s="216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</row>
    <row r="637">
      <c r="A637" s="216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</row>
    <row r="638">
      <c r="A638" s="216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</row>
    <row r="639">
      <c r="A639" s="216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</row>
    <row r="640">
      <c r="A640" s="216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</row>
    <row r="641">
      <c r="A641" s="216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</row>
    <row r="642">
      <c r="A642" s="216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</row>
    <row r="643">
      <c r="A643" s="216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</row>
    <row r="644">
      <c r="A644" s="216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</row>
    <row r="645">
      <c r="A645" s="216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</row>
    <row r="646">
      <c r="A646" s="216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</row>
    <row r="647">
      <c r="A647" s="216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</row>
    <row r="648">
      <c r="A648" s="216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</row>
    <row r="649">
      <c r="A649" s="216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</row>
    <row r="650">
      <c r="A650" s="216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</row>
    <row r="651">
      <c r="A651" s="216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</row>
    <row r="652">
      <c r="A652" s="216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</row>
    <row r="653">
      <c r="A653" s="216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</row>
    <row r="654">
      <c r="A654" s="216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</row>
    <row r="655">
      <c r="A655" s="216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</row>
    <row r="656">
      <c r="A656" s="216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</row>
    <row r="657">
      <c r="A657" s="216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</row>
    <row r="658">
      <c r="A658" s="216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</row>
    <row r="659">
      <c r="A659" s="216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</row>
    <row r="660">
      <c r="A660" s="216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</row>
    <row r="661">
      <c r="A661" s="216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</row>
    <row r="662">
      <c r="A662" s="216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</row>
    <row r="663">
      <c r="A663" s="216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</row>
    <row r="664">
      <c r="A664" s="216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</row>
    <row r="665">
      <c r="A665" s="216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</row>
    <row r="666">
      <c r="A666" s="216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</row>
    <row r="667">
      <c r="A667" s="216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</row>
    <row r="668">
      <c r="A668" s="216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</row>
    <row r="669">
      <c r="A669" s="216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</row>
    <row r="670">
      <c r="A670" s="216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</row>
    <row r="671">
      <c r="A671" s="216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</row>
    <row r="672">
      <c r="A672" s="216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</row>
    <row r="673">
      <c r="A673" s="216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</row>
    <row r="674">
      <c r="A674" s="216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</row>
    <row r="675">
      <c r="A675" s="216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</row>
    <row r="676">
      <c r="A676" s="216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</row>
    <row r="677">
      <c r="A677" s="216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</row>
    <row r="678">
      <c r="A678" s="216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</row>
    <row r="679">
      <c r="A679" s="216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</row>
    <row r="680">
      <c r="A680" s="216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</row>
    <row r="681">
      <c r="A681" s="216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</row>
    <row r="682">
      <c r="A682" s="216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</row>
    <row r="683">
      <c r="A683" s="216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</row>
    <row r="684">
      <c r="A684" s="216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</row>
    <row r="685">
      <c r="A685" s="216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</row>
    <row r="686">
      <c r="A686" s="216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</row>
    <row r="687">
      <c r="A687" s="216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</row>
    <row r="688">
      <c r="A688" s="216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</row>
    <row r="689">
      <c r="A689" s="216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</row>
    <row r="690">
      <c r="A690" s="216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</row>
    <row r="691">
      <c r="A691" s="216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</row>
    <row r="692">
      <c r="A692" s="216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</row>
    <row r="693">
      <c r="A693" s="216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</row>
    <row r="694">
      <c r="A694" s="216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</row>
    <row r="695">
      <c r="A695" s="216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</row>
    <row r="696">
      <c r="A696" s="216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</row>
    <row r="697">
      <c r="A697" s="216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</row>
    <row r="698">
      <c r="A698" s="216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</row>
    <row r="699">
      <c r="A699" s="216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</row>
    <row r="700">
      <c r="A700" s="216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</row>
    <row r="701">
      <c r="A701" s="216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</row>
    <row r="702">
      <c r="A702" s="216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</row>
    <row r="703">
      <c r="A703" s="216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</row>
    <row r="704">
      <c r="A704" s="216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</row>
    <row r="705">
      <c r="A705" s="216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</row>
    <row r="706">
      <c r="A706" s="216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</row>
    <row r="707">
      <c r="A707" s="216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</row>
    <row r="708">
      <c r="A708" s="216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</row>
    <row r="709">
      <c r="A709" s="216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</row>
    <row r="710">
      <c r="A710" s="216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</row>
    <row r="711">
      <c r="A711" s="216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</row>
    <row r="712">
      <c r="A712" s="216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</row>
    <row r="713">
      <c r="A713" s="216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</row>
    <row r="714">
      <c r="A714" s="216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</row>
    <row r="715">
      <c r="A715" s="216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</row>
    <row r="716">
      <c r="A716" s="216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</row>
    <row r="717">
      <c r="A717" s="216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</row>
    <row r="718">
      <c r="A718" s="216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</row>
    <row r="719">
      <c r="A719" s="216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</row>
    <row r="720">
      <c r="A720" s="216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</row>
    <row r="721">
      <c r="A721" s="216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</row>
    <row r="722">
      <c r="A722" s="216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</row>
    <row r="723">
      <c r="A723" s="216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</row>
    <row r="724">
      <c r="A724" s="216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</row>
    <row r="725">
      <c r="A725" s="216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</row>
    <row r="726">
      <c r="A726" s="216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</row>
    <row r="727">
      <c r="A727" s="216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</row>
    <row r="728">
      <c r="A728" s="216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</row>
    <row r="729">
      <c r="A729" s="216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</row>
    <row r="730">
      <c r="A730" s="216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</row>
    <row r="731">
      <c r="A731" s="216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</row>
    <row r="732">
      <c r="A732" s="216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</row>
    <row r="733">
      <c r="A733" s="216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</row>
    <row r="734">
      <c r="A734" s="216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</row>
    <row r="735">
      <c r="A735" s="216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</row>
    <row r="736">
      <c r="A736" s="216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</row>
    <row r="737">
      <c r="A737" s="216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</row>
    <row r="738">
      <c r="A738" s="216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</row>
    <row r="739">
      <c r="A739" s="216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</row>
    <row r="740">
      <c r="A740" s="216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</row>
    <row r="741">
      <c r="A741" s="216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</row>
    <row r="742">
      <c r="A742" s="216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</row>
    <row r="743">
      <c r="A743" s="216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</row>
    <row r="744">
      <c r="A744" s="216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</row>
    <row r="745">
      <c r="A745" s="216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</row>
    <row r="746">
      <c r="A746" s="216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</row>
    <row r="747">
      <c r="A747" s="216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</row>
    <row r="748">
      <c r="A748" s="216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</row>
    <row r="749">
      <c r="A749" s="216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</row>
    <row r="750">
      <c r="A750" s="216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</row>
    <row r="751">
      <c r="A751" s="216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</row>
    <row r="752">
      <c r="A752" s="216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</row>
    <row r="753">
      <c r="A753" s="216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</row>
    <row r="754">
      <c r="A754" s="216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</row>
    <row r="755">
      <c r="A755" s="216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</row>
    <row r="756">
      <c r="A756" s="216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</row>
    <row r="757">
      <c r="A757" s="216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</row>
    <row r="758">
      <c r="A758" s="216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</row>
    <row r="759">
      <c r="A759" s="216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</row>
    <row r="760">
      <c r="A760" s="216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</row>
    <row r="761">
      <c r="A761" s="216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</row>
    <row r="762">
      <c r="A762" s="216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</row>
    <row r="763">
      <c r="A763" s="216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</row>
    <row r="764">
      <c r="A764" s="216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</row>
    <row r="765">
      <c r="A765" s="216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</row>
    <row r="766">
      <c r="A766" s="216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</row>
    <row r="767">
      <c r="A767" s="216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</row>
    <row r="768">
      <c r="A768" s="216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</row>
    <row r="769">
      <c r="A769" s="216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</row>
    <row r="770">
      <c r="A770" s="216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</row>
    <row r="771">
      <c r="A771" s="216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</row>
    <row r="772">
      <c r="A772" s="216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</row>
    <row r="773">
      <c r="A773" s="216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</row>
    <row r="774">
      <c r="A774" s="216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</row>
    <row r="775">
      <c r="A775" s="216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</row>
    <row r="776">
      <c r="A776" s="216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</row>
    <row r="777">
      <c r="A777" s="216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</row>
    <row r="778">
      <c r="A778" s="216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</row>
    <row r="779">
      <c r="A779" s="216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</row>
    <row r="780">
      <c r="A780" s="216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</row>
    <row r="781">
      <c r="A781" s="216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</row>
    <row r="782">
      <c r="A782" s="216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</row>
    <row r="783">
      <c r="A783" s="216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</row>
    <row r="784">
      <c r="A784" s="216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</row>
    <row r="785">
      <c r="A785" s="216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</row>
    <row r="786">
      <c r="A786" s="216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</row>
    <row r="787">
      <c r="A787" s="216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</row>
    <row r="788">
      <c r="A788" s="216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</row>
    <row r="789">
      <c r="A789" s="216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</row>
    <row r="790">
      <c r="A790" s="216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</row>
    <row r="791">
      <c r="A791" s="216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</row>
    <row r="792">
      <c r="A792" s="216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</row>
    <row r="793">
      <c r="A793" s="216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</row>
    <row r="794">
      <c r="A794" s="216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</row>
    <row r="795">
      <c r="A795" s="216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</row>
    <row r="796">
      <c r="A796" s="216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</row>
    <row r="797">
      <c r="A797" s="216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</row>
    <row r="798">
      <c r="A798" s="216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</row>
    <row r="799">
      <c r="A799" s="216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</row>
    <row r="800">
      <c r="A800" s="216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</row>
    <row r="801">
      <c r="A801" s="216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</row>
    <row r="802">
      <c r="A802" s="216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</row>
    <row r="803">
      <c r="A803" s="216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</row>
    <row r="804">
      <c r="A804" s="216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</row>
    <row r="805">
      <c r="A805" s="216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</row>
    <row r="806">
      <c r="A806" s="216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</row>
    <row r="807">
      <c r="A807" s="216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</row>
    <row r="808">
      <c r="A808" s="216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</row>
    <row r="809">
      <c r="A809" s="216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</row>
    <row r="810">
      <c r="A810" s="216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</row>
    <row r="811">
      <c r="A811" s="216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</row>
    <row r="812">
      <c r="A812" s="216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</row>
    <row r="813">
      <c r="A813" s="216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</row>
    <row r="814">
      <c r="A814" s="216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</row>
    <row r="815">
      <c r="A815" s="216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</row>
    <row r="816">
      <c r="A816" s="216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</row>
    <row r="817">
      <c r="A817" s="216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</row>
    <row r="818">
      <c r="A818" s="216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</row>
    <row r="819">
      <c r="A819" s="216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</row>
    <row r="820">
      <c r="A820" s="216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</row>
    <row r="821">
      <c r="A821" s="216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</row>
    <row r="822">
      <c r="A822" s="216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</row>
    <row r="823">
      <c r="A823" s="216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</row>
    <row r="824">
      <c r="A824" s="216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</row>
    <row r="825">
      <c r="A825" s="216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</row>
    <row r="826">
      <c r="A826" s="216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</row>
    <row r="827">
      <c r="A827" s="216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</row>
    <row r="828">
      <c r="A828" s="216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</row>
    <row r="829">
      <c r="A829" s="216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</row>
    <row r="830">
      <c r="A830" s="216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</row>
    <row r="831">
      <c r="A831" s="216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</row>
    <row r="832">
      <c r="A832" s="216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</row>
    <row r="833">
      <c r="A833" s="216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</row>
    <row r="834">
      <c r="A834" s="216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</row>
    <row r="835">
      <c r="A835" s="216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</row>
    <row r="836">
      <c r="A836" s="216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</row>
    <row r="837">
      <c r="A837" s="216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</row>
    <row r="838">
      <c r="A838" s="216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</row>
    <row r="839">
      <c r="A839" s="216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</row>
    <row r="840">
      <c r="A840" s="216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</row>
    <row r="841">
      <c r="A841" s="216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</row>
    <row r="842">
      <c r="A842" s="216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</row>
    <row r="843">
      <c r="A843" s="216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</row>
    <row r="844">
      <c r="A844" s="216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</row>
    <row r="845">
      <c r="A845" s="216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</row>
    <row r="846">
      <c r="A846" s="216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</row>
    <row r="847">
      <c r="A847" s="216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</row>
    <row r="848">
      <c r="A848" s="216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</row>
    <row r="849">
      <c r="A849" s="216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</row>
    <row r="850">
      <c r="A850" s="216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</row>
    <row r="851">
      <c r="A851" s="216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</row>
    <row r="852">
      <c r="A852" s="216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</row>
    <row r="853">
      <c r="A853" s="216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</row>
    <row r="854">
      <c r="A854" s="216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</row>
    <row r="855">
      <c r="A855" s="216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</row>
    <row r="856">
      <c r="A856" s="216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</row>
    <row r="857">
      <c r="A857" s="216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</row>
    <row r="858">
      <c r="A858" s="216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</row>
    <row r="859">
      <c r="A859" s="216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</row>
    <row r="860">
      <c r="A860" s="216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</row>
    <row r="861">
      <c r="A861" s="216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</row>
    <row r="862">
      <c r="A862" s="216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</row>
    <row r="863">
      <c r="A863" s="216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</row>
    <row r="864">
      <c r="A864" s="216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</row>
    <row r="865">
      <c r="A865" s="216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</row>
    <row r="866">
      <c r="A866" s="216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</row>
    <row r="867">
      <c r="A867" s="216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</row>
    <row r="868">
      <c r="A868" s="216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</row>
    <row r="869">
      <c r="A869" s="216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</row>
    <row r="870">
      <c r="A870" s="216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</row>
    <row r="871">
      <c r="A871" s="216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</row>
    <row r="872">
      <c r="A872" s="216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</row>
    <row r="873">
      <c r="A873" s="216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</row>
    <row r="874">
      <c r="A874" s="216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</row>
    <row r="875">
      <c r="A875" s="216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</row>
    <row r="876">
      <c r="A876" s="216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</row>
    <row r="877">
      <c r="A877" s="216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</row>
    <row r="878">
      <c r="A878" s="216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</row>
    <row r="879">
      <c r="A879" s="216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</row>
    <row r="880">
      <c r="A880" s="216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</row>
    <row r="881">
      <c r="A881" s="216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</row>
    <row r="882">
      <c r="A882" s="216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</row>
    <row r="883">
      <c r="A883" s="216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</row>
    <row r="884">
      <c r="A884" s="216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</row>
    <row r="885">
      <c r="A885" s="216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</row>
    <row r="886">
      <c r="A886" s="216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</row>
    <row r="887">
      <c r="A887" s="216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</row>
    <row r="888">
      <c r="A888" s="216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</row>
    <row r="889">
      <c r="A889" s="216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</row>
    <row r="890">
      <c r="A890" s="216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</row>
    <row r="891">
      <c r="A891" s="216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</row>
    <row r="892">
      <c r="A892" s="216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</row>
    <row r="893">
      <c r="A893" s="216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</row>
    <row r="894">
      <c r="A894" s="216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</row>
    <row r="895">
      <c r="A895" s="216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</row>
    <row r="896">
      <c r="A896" s="216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</row>
    <row r="897">
      <c r="A897" s="216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</row>
    <row r="898">
      <c r="A898" s="216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</row>
    <row r="899">
      <c r="A899" s="216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</row>
    <row r="900">
      <c r="A900" s="216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</row>
    <row r="901">
      <c r="A901" s="216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</row>
    <row r="902">
      <c r="A902" s="216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</row>
    <row r="903">
      <c r="A903" s="216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</row>
    <row r="904">
      <c r="A904" s="216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</row>
    <row r="905">
      <c r="A905" s="216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</row>
    <row r="906">
      <c r="A906" s="216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</row>
    <row r="907">
      <c r="A907" s="216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</row>
    <row r="908">
      <c r="A908" s="216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</row>
    <row r="909">
      <c r="A909" s="216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</row>
    <row r="910">
      <c r="A910" s="216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</row>
    <row r="911">
      <c r="A911" s="216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</row>
    <row r="912">
      <c r="A912" s="216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</row>
    <row r="913">
      <c r="A913" s="216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</row>
    <row r="914">
      <c r="A914" s="216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</row>
    <row r="915">
      <c r="A915" s="216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</row>
    <row r="916">
      <c r="A916" s="216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</row>
    <row r="917">
      <c r="A917" s="216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</row>
    <row r="918">
      <c r="A918" s="216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</row>
    <row r="919">
      <c r="A919" s="216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</row>
    <row r="920">
      <c r="A920" s="216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</row>
    <row r="921">
      <c r="A921" s="216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</row>
    <row r="922">
      <c r="A922" s="216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</row>
    <row r="923">
      <c r="A923" s="216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</row>
    <row r="924">
      <c r="A924" s="216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</row>
    <row r="925">
      <c r="A925" s="216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</row>
    <row r="926">
      <c r="A926" s="216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</row>
    <row r="927">
      <c r="A927" s="216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</row>
    <row r="928">
      <c r="A928" s="216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</row>
    <row r="929">
      <c r="A929" s="216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</row>
    <row r="930">
      <c r="A930" s="216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</row>
    <row r="931">
      <c r="A931" s="216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</row>
    <row r="932">
      <c r="A932" s="216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</row>
    <row r="933">
      <c r="A933" s="216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</row>
    <row r="934">
      <c r="A934" s="216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</row>
    <row r="935">
      <c r="A935" s="216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</row>
    <row r="936">
      <c r="A936" s="216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</row>
    <row r="937">
      <c r="A937" s="216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</row>
    <row r="938">
      <c r="A938" s="216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</row>
    <row r="939">
      <c r="A939" s="216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</row>
    <row r="940">
      <c r="A940" s="216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</row>
    <row r="941">
      <c r="A941" s="216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</row>
    <row r="942">
      <c r="A942" s="216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</row>
    <row r="943">
      <c r="A943" s="216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</row>
    <row r="944">
      <c r="A944" s="216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</row>
    <row r="945">
      <c r="A945" s="216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</row>
    <row r="946">
      <c r="A946" s="216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</row>
    <row r="947">
      <c r="A947" s="216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</row>
    <row r="948">
      <c r="A948" s="216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</row>
    <row r="949">
      <c r="A949" s="216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</row>
    <row r="950">
      <c r="A950" s="216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</row>
    <row r="951">
      <c r="A951" s="216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</row>
    <row r="952">
      <c r="A952" s="216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</row>
    <row r="953">
      <c r="A953" s="216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</row>
    <row r="954">
      <c r="A954" s="216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</row>
    <row r="955">
      <c r="A955" s="216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</row>
    <row r="956">
      <c r="A956" s="216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</row>
    <row r="957">
      <c r="A957" s="216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</row>
    <row r="958">
      <c r="A958" s="216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</row>
    <row r="959">
      <c r="A959" s="216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</row>
    <row r="960">
      <c r="A960" s="216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</row>
    <row r="961">
      <c r="A961" s="216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</row>
    <row r="962">
      <c r="A962" s="216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</row>
    <row r="963">
      <c r="A963" s="216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</row>
    <row r="964">
      <c r="A964" s="216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</row>
    <row r="965">
      <c r="A965" s="216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</row>
    <row r="966">
      <c r="A966" s="216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</row>
    <row r="967">
      <c r="A967" s="216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</row>
    <row r="968">
      <c r="A968" s="216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</row>
    <row r="969">
      <c r="A969" s="216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</row>
    <row r="970">
      <c r="A970" s="216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</row>
    <row r="971">
      <c r="A971" s="216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</row>
    <row r="972">
      <c r="A972" s="216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</row>
    <row r="973">
      <c r="A973" s="216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</row>
    <row r="974">
      <c r="A974" s="216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</row>
    <row r="975">
      <c r="A975" s="216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</row>
    <row r="976">
      <c r="A976" s="216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</row>
    <row r="977">
      <c r="A977" s="216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</row>
    <row r="978">
      <c r="A978" s="216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</row>
    <row r="979">
      <c r="A979" s="216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</row>
    <row r="980">
      <c r="A980" s="216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</row>
    <row r="981">
      <c r="A981" s="216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</row>
    <row r="982">
      <c r="A982" s="216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</row>
    <row r="983">
      <c r="A983" s="216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</row>
    <row r="984">
      <c r="A984" s="216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</row>
    <row r="985">
      <c r="A985" s="216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</row>
    <row r="986">
      <c r="A986" s="216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</row>
  </sheetData>
  <mergeCells count="4646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4:AE4"/>
    <mergeCell ref="A1:E1"/>
    <mergeCell ref="F1:K1"/>
    <mergeCell ref="L1:Y1"/>
    <mergeCell ref="Z1:AE1"/>
    <mergeCell ref="AF1:AJ1"/>
    <mergeCell ref="F3:G3"/>
    <mergeCell ref="H3:I3"/>
    <mergeCell ref="AD3:AE3"/>
    <mergeCell ref="X5:Y5"/>
    <mergeCell ref="Z5:AA5"/>
    <mergeCell ref="AB5:AC5"/>
    <mergeCell ref="AD5:AE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AD8:AE8"/>
    <mergeCell ref="F8:G8"/>
    <mergeCell ref="H8:I8"/>
    <mergeCell ref="J8:K8"/>
    <mergeCell ref="L8:M8"/>
    <mergeCell ref="N8:O8"/>
    <mergeCell ref="P8:Q8"/>
    <mergeCell ref="R8:S8"/>
    <mergeCell ref="T12:U12"/>
    <mergeCell ref="V12:W12"/>
    <mergeCell ref="X12:Y12"/>
    <mergeCell ref="Z12:AA12"/>
    <mergeCell ref="AB12:AC12"/>
    <mergeCell ref="AD12:AE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F254:G254"/>
    <mergeCell ref="H254:I254"/>
    <mergeCell ref="J254:K254"/>
    <mergeCell ref="L254:M254"/>
    <mergeCell ref="N254:O254"/>
    <mergeCell ref="P254:Q254"/>
    <mergeCell ref="R254:S254"/>
    <mergeCell ref="T304:U304"/>
    <mergeCell ref="V304:W304"/>
    <mergeCell ref="X304:Y304"/>
    <mergeCell ref="Z304:AA304"/>
    <mergeCell ref="AB304:AC304"/>
    <mergeCell ref="AD304:AE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F345:G345"/>
    <mergeCell ref="H345:I345"/>
    <mergeCell ref="J345:K345"/>
    <mergeCell ref="L345:M345"/>
    <mergeCell ref="N345:O345"/>
    <mergeCell ref="P345:Q345"/>
    <mergeCell ref="R345:S345"/>
    <mergeCell ref="T353:U353"/>
    <mergeCell ref="V353:W353"/>
    <mergeCell ref="X353:Y353"/>
    <mergeCell ref="Z353:AA353"/>
    <mergeCell ref="AB353:AC353"/>
    <mergeCell ref="AD353:AE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F358:G358"/>
    <mergeCell ref="H358:I358"/>
    <mergeCell ref="J358:K358"/>
    <mergeCell ref="L358:M358"/>
    <mergeCell ref="N358:O358"/>
    <mergeCell ref="P358:Q358"/>
    <mergeCell ref="R358:S358"/>
    <mergeCell ref="T9:U9"/>
    <mergeCell ref="V9:W9"/>
    <mergeCell ref="X9:Y9"/>
    <mergeCell ref="Z9:AA9"/>
    <mergeCell ref="AB9:AC9"/>
    <mergeCell ref="AD9:AE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F11:G11"/>
    <mergeCell ref="H11:I11"/>
    <mergeCell ref="J11:K11"/>
    <mergeCell ref="L11:M11"/>
    <mergeCell ref="N11:O11"/>
    <mergeCell ref="P11:Q11"/>
    <mergeCell ref="R11:S11"/>
    <mergeCell ref="T359:U359"/>
    <mergeCell ref="V359:W359"/>
    <mergeCell ref="X359:Y359"/>
    <mergeCell ref="Z359:AA359"/>
    <mergeCell ref="AB359:AC359"/>
    <mergeCell ref="AD359:AE359"/>
    <mergeCell ref="F359:G359"/>
    <mergeCell ref="H359:I359"/>
    <mergeCell ref="J359:K359"/>
    <mergeCell ref="L359:M359"/>
    <mergeCell ref="N359:O359"/>
    <mergeCell ref="P359:Q359"/>
    <mergeCell ref="R359:S359"/>
    <mergeCell ref="T346:U346"/>
    <mergeCell ref="V346:W346"/>
    <mergeCell ref="X346:Y346"/>
    <mergeCell ref="Z346:AA346"/>
    <mergeCell ref="AB346:AC346"/>
    <mergeCell ref="AD346:AE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F352:G352"/>
    <mergeCell ref="H352:I352"/>
    <mergeCell ref="J352:K352"/>
    <mergeCell ref="L352:M352"/>
    <mergeCell ref="N352:O352"/>
    <mergeCell ref="P352:Q352"/>
    <mergeCell ref="R352:S352"/>
    <mergeCell ref="T255:U255"/>
    <mergeCell ref="V255:W255"/>
    <mergeCell ref="X255:Y255"/>
    <mergeCell ref="Z255:AA255"/>
    <mergeCell ref="AB255:AC255"/>
    <mergeCell ref="AD255:AE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AD301:AE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F303:G303"/>
    <mergeCell ref="H303:I303"/>
    <mergeCell ref="J303:K303"/>
    <mergeCell ref="L303:M303"/>
    <mergeCell ref="N303:O303"/>
    <mergeCell ref="P303:Q303"/>
    <mergeCell ref="R303:S30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5.38"/>
    <col customWidth="1" min="3" max="3" width="15.5"/>
    <col customWidth="1" min="4" max="4" width="27.38"/>
    <col customWidth="1" min="8" max="8" width="15.0"/>
  </cols>
  <sheetData>
    <row r="2">
      <c r="A2" s="26" t="s">
        <v>83</v>
      </c>
      <c r="B2" s="27"/>
      <c r="C2" s="27"/>
      <c r="D2" s="27"/>
      <c r="E2" s="28"/>
    </row>
    <row r="3">
      <c r="A3" s="29"/>
      <c r="B3" s="30"/>
      <c r="C3" s="30"/>
      <c r="D3" s="30"/>
      <c r="E3" s="31"/>
    </row>
    <row r="4">
      <c r="A4" s="32" t="s">
        <v>84</v>
      </c>
      <c r="B4" s="30"/>
      <c r="C4" s="30" t="s">
        <v>85</v>
      </c>
      <c r="D4" s="30" t="s">
        <v>86</v>
      </c>
      <c r="E4" s="31"/>
    </row>
    <row r="5">
      <c r="A5" s="33" t="s">
        <v>87</v>
      </c>
      <c r="B5" s="34">
        <v>8885.0</v>
      </c>
      <c r="C5" s="35">
        <v>26.82</v>
      </c>
      <c r="D5" s="36" t="s">
        <v>88</v>
      </c>
      <c r="E5" s="37">
        <v>8698.0</v>
      </c>
    </row>
    <row r="6">
      <c r="A6" s="33" t="s">
        <v>89</v>
      </c>
      <c r="B6" s="34">
        <v>52443.0</v>
      </c>
      <c r="C6" s="35">
        <v>17.03</v>
      </c>
      <c r="D6" s="36" t="s">
        <v>90</v>
      </c>
      <c r="E6" s="37">
        <v>52272.0</v>
      </c>
    </row>
    <row r="7">
      <c r="A7" s="33" t="s">
        <v>91</v>
      </c>
      <c r="B7" s="34">
        <v>3720.0</v>
      </c>
      <c r="C7" s="35">
        <v>6.76</v>
      </c>
      <c r="D7" s="36" t="s">
        <v>92</v>
      </c>
      <c r="E7" s="37">
        <v>3900.0</v>
      </c>
    </row>
    <row r="8">
      <c r="A8" s="33" t="s">
        <v>93</v>
      </c>
      <c r="B8" s="34">
        <v>2369.0</v>
      </c>
      <c r="C8" s="35">
        <v>8.4</v>
      </c>
      <c r="D8" s="36" t="s">
        <v>94</v>
      </c>
      <c r="E8" s="37">
        <v>1170.0</v>
      </c>
    </row>
    <row r="9">
      <c r="A9" s="33" t="s">
        <v>95</v>
      </c>
      <c r="B9" s="34">
        <v>10855.0</v>
      </c>
      <c r="C9" s="35">
        <v>17.03</v>
      </c>
      <c r="D9" s="36" t="s">
        <v>96</v>
      </c>
      <c r="E9" s="37">
        <v>14170.0</v>
      </c>
    </row>
    <row r="10">
      <c r="A10" s="38" t="s">
        <v>97</v>
      </c>
      <c r="B10" s="39">
        <f>sum(B5:B9)</f>
        <v>78272</v>
      </c>
      <c r="C10" s="40"/>
      <c r="D10" s="41" t="s">
        <v>98</v>
      </c>
      <c r="E10" s="42">
        <f>sum(E5:E9)</f>
        <v>80210</v>
      </c>
      <c r="G10" s="43" t="s">
        <v>99</v>
      </c>
      <c r="H10" s="43" t="s">
        <v>100</v>
      </c>
    </row>
    <row r="11">
      <c r="A11" s="36"/>
      <c r="B11" s="44">
        <f>sumproduct(B5:B9, C5:C9)</f>
        <v>1361307.44</v>
      </c>
      <c r="C11" s="34"/>
      <c r="D11" s="36"/>
      <c r="E11" s="45">
        <f>SUMPRODUCT(E5:E9, C5:C9)</f>
        <v>1400979.62</v>
      </c>
      <c r="G11" s="46">
        <f>E11-B11</f>
        <v>39672.18</v>
      </c>
      <c r="H11" s="46">
        <f>G11*0.3</f>
        <v>11901.654</v>
      </c>
    </row>
    <row r="12">
      <c r="A12" s="36"/>
      <c r="B12" s="30"/>
      <c r="C12" s="34"/>
      <c r="D12" s="36"/>
      <c r="E12" s="47"/>
    </row>
    <row r="16">
      <c r="A16" s="26" t="s">
        <v>101</v>
      </c>
      <c r="B16" s="27"/>
      <c r="C16" s="27"/>
      <c r="D16" s="27"/>
      <c r="E16" s="28"/>
    </row>
    <row r="17">
      <c r="A17" s="29"/>
      <c r="E17" s="31"/>
    </row>
    <row r="18">
      <c r="A18" s="32" t="s">
        <v>84</v>
      </c>
      <c r="B18" s="30"/>
      <c r="C18" s="30" t="s">
        <v>85</v>
      </c>
      <c r="D18" s="30" t="s">
        <v>86</v>
      </c>
      <c r="E18" s="31"/>
    </row>
    <row r="19">
      <c r="A19" s="33" t="s">
        <v>102</v>
      </c>
      <c r="B19" s="48">
        <v>9055.0</v>
      </c>
      <c r="C19" s="35">
        <v>26.82</v>
      </c>
      <c r="D19" s="36" t="s">
        <v>102</v>
      </c>
      <c r="E19" s="37">
        <v>8696.0</v>
      </c>
    </row>
    <row r="20">
      <c r="A20" s="33" t="s">
        <v>103</v>
      </c>
      <c r="B20" s="48">
        <v>52452.0</v>
      </c>
      <c r="C20" s="35">
        <v>17.03</v>
      </c>
      <c r="D20" s="36" t="s">
        <v>103</v>
      </c>
      <c r="E20" s="37">
        <v>52272.0</v>
      </c>
    </row>
    <row r="21">
      <c r="A21" s="33" t="s">
        <v>104</v>
      </c>
      <c r="B21" s="48">
        <v>3640.0</v>
      </c>
      <c r="C21" s="35">
        <v>6.76</v>
      </c>
      <c r="D21" s="36" t="s">
        <v>104</v>
      </c>
      <c r="E21" s="37">
        <v>3900.0</v>
      </c>
    </row>
    <row r="22">
      <c r="A22" s="33" t="s">
        <v>105</v>
      </c>
      <c r="B22" s="48">
        <v>2369.0</v>
      </c>
      <c r="C22" s="35">
        <v>8.4</v>
      </c>
      <c r="D22" s="36" t="s">
        <v>105</v>
      </c>
      <c r="E22" s="37">
        <v>1170.0</v>
      </c>
    </row>
    <row r="23">
      <c r="A23" s="33" t="s">
        <v>106</v>
      </c>
      <c r="B23" s="48">
        <v>8458.0</v>
      </c>
      <c r="C23" s="35">
        <v>17.03</v>
      </c>
      <c r="D23" s="36" t="s">
        <v>106</v>
      </c>
      <c r="E23" s="37">
        <v>14170.0</v>
      </c>
    </row>
    <row r="24">
      <c r="A24" s="49" t="s">
        <v>107</v>
      </c>
      <c r="B24" s="50">
        <f>sum(B19:B23)</f>
        <v>75974</v>
      </c>
      <c r="C24" s="41"/>
      <c r="D24" s="39" t="s">
        <v>107</v>
      </c>
      <c r="E24" s="42">
        <f>sum(E19:E23)</f>
        <v>80208</v>
      </c>
      <c r="G24" s="43" t="s">
        <v>99</v>
      </c>
      <c r="H24" s="43" t="s">
        <v>100</v>
      </c>
    </row>
    <row r="25">
      <c r="A25" s="30"/>
      <c r="B25" s="44">
        <f>sumproduct(B19:B23, C19:C23)</f>
        <v>1324658.4</v>
      </c>
      <c r="C25" s="36"/>
      <c r="D25" s="30"/>
      <c r="E25" s="45">
        <f>sumproduct(E19:E23, C19:C23)</f>
        <v>1400925.98</v>
      </c>
      <c r="G25" s="46">
        <f>E25-B25</f>
        <v>76267.58</v>
      </c>
      <c r="H25" s="46">
        <f>G25*0.3</f>
        <v>22880.274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3" width="7.25"/>
    <col customWidth="1" min="4" max="4" width="11.88"/>
    <col customWidth="1" min="5" max="5" width="13.25"/>
    <col customWidth="1" min="6" max="11" width="4.13"/>
    <col customWidth="1" min="12" max="12" width="7.38"/>
    <col customWidth="1" min="13" max="13" width="5.63"/>
    <col customWidth="1" min="14" max="24" width="4.13"/>
    <col customWidth="1" min="25" max="25" width="3.38"/>
    <col customWidth="1" min="26" max="31" width="4.13"/>
    <col customWidth="1" min="32" max="32" width="13.5"/>
    <col customWidth="1" min="33" max="33" width="11.75"/>
    <col customWidth="1" min="34" max="34" width="13.0"/>
    <col customWidth="1" min="35" max="35" width="12.88"/>
    <col customWidth="1" min="36" max="36" width="9.0"/>
  </cols>
  <sheetData>
    <row r="1">
      <c r="A1" s="51" t="s">
        <v>108</v>
      </c>
      <c r="B1" s="2"/>
      <c r="C1" s="2"/>
      <c r="D1" s="2"/>
      <c r="E1" s="3"/>
      <c r="F1" s="52" t="s">
        <v>109</v>
      </c>
      <c r="G1" s="2"/>
      <c r="H1" s="2"/>
      <c r="I1" s="2"/>
      <c r="J1" s="2"/>
      <c r="K1" s="3"/>
      <c r="L1" s="53" t="s">
        <v>110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54" t="s">
        <v>111</v>
      </c>
      <c r="AA1" s="2"/>
      <c r="AB1" s="2"/>
      <c r="AC1" s="2"/>
      <c r="AD1" s="2"/>
      <c r="AE1" s="3"/>
      <c r="AF1" s="55" t="s">
        <v>112</v>
      </c>
      <c r="AG1" s="56"/>
      <c r="AH1" s="56"/>
      <c r="AI1" s="56"/>
      <c r="AJ1" s="57"/>
    </row>
    <row r="2" ht="159.0" customHeight="1">
      <c r="A2" s="58" t="s">
        <v>1</v>
      </c>
      <c r="B2" s="59" t="s">
        <v>2</v>
      </c>
      <c r="C2" s="59" t="s">
        <v>3</v>
      </c>
      <c r="D2" s="59" t="s">
        <v>4</v>
      </c>
      <c r="E2" s="59" t="s">
        <v>5</v>
      </c>
      <c r="F2" s="60" t="s">
        <v>113</v>
      </c>
      <c r="G2" s="61">
        <v>26.817</v>
      </c>
      <c r="H2" s="62" t="s">
        <v>114</v>
      </c>
      <c r="I2" s="61">
        <v>26.817</v>
      </c>
      <c r="J2" s="62" t="s">
        <v>115</v>
      </c>
      <c r="K2" s="61">
        <v>26.817</v>
      </c>
      <c r="L2" s="62" t="s">
        <v>113</v>
      </c>
      <c r="M2" s="61">
        <v>17.031</v>
      </c>
      <c r="N2" s="62" t="s">
        <v>114</v>
      </c>
      <c r="O2" s="61">
        <v>17.031</v>
      </c>
      <c r="P2" s="62" t="s">
        <v>115</v>
      </c>
      <c r="Q2" s="61">
        <v>17.031</v>
      </c>
      <c r="R2" s="63" t="s">
        <v>116</v>
      </c>
      <c r="S2" s="61">
        <v>6.7620000000000005</v>
      </c>
      <c r="T2" s="62" t="s">
        <v>117</v>
      </c>
      <c r="U2" s="61">
        <v>472.5</v>
      </c>
      <c r="V2" s="62" t="s">
        <v>118</v>
      </c>
      <c r="W2" s="61">
        <v>262.5</v>
      </c>
      <c r="X2" s="62" t="s">
        <v>119</v>
      </c>
      <c r="Y2" s="61">
        <v>8.4</v>
      </c>
      <c r="Z2" s="62" t="s">
        <v>113</v>
      </c>
      <c r="AA2" s="61">
        <v>17.031</v>
      </c>
      <c r="AB2" s="62" t="s">
        <v>114</v>
      </c>
      <c r="AC2" s="61">
        <v>17.031</v>
      </c>
      <c r="AD2" s="62" t="s">
        <v>115</v>
      </c>
      <c r="AE2" s="61">
        <v>17.031</v>
      </c>
      <c r="AF2" s="64" t="s">
        <v>120</v>
      </c>
      <c r="AG2" s="64" t="s">
        <v>121</v>
      </c>
      <c r="AH2" s="65" t="s">
        <v>122</v>
      </c>
      <c r="AI2" s="64" t="s">
        <v>123</v>
      </c>
      <c r="AJ2" s="64" t="s">
        <v>124</v>
      </c>
    </row>
    <row r="3">
      <c r="A3" s="66" t="s">
        <v>11</v>
      </c>
      <c r="B3" s="67">
        <v>44562.0</v>
      </c>
      <c r="C3" s="68">
        <v>1.0</v>
      </c>
      <c r="D3" s="69" t="s">
        <v>48</v>
      </c>
      <c r="E3" s="70" t="s">
        <v>125</v>
      </c>
      <c r="F3" s="71"/>
      <c r="H3" s="72"/>
      <c r="J3" s="72"/>
      <c r="L3" s="71"/>
      <c r="N3" s="72"/>
      <c r="P3" s="72"/>
      <c r="R3" s="72"/>
      <c r="T3" s="72"/>
      <c r="V3" s="72"/>
      <c r="X3" s="72"/>
      <c r="Y3" s="73"/>
      <c r="Z3" s="71"/>
      <c r="AB3" s="72"/>
      <c r="AD3" s="72"/>
      <c r="AF3" s="74">
        <f t="shared" ref="AF3:AF359" si="1">(F3*G$2)+(H3*I$2)+(J3*K$2)+(L3*M$2)+(N3*O$2)+(P3*Q$2)+(R3*S$2)+(T3*U$2)+(X3*Y$2)+(Z3*AA$2)+(AB3*AC$2)+(AD3*AE$2)+(V3*$W$2)</f>
        <v>0</v>
      </c>
      <c r="AG3" s="68">
        <f t="shared" ref="AG3:AG359" si="2">F3+H3+J3+L3+N3+P3+R3+X3+Z3+AB3+AD3</f>
        <v>0</v>
      </c>
      <c r="AH3" s="68">
        <f t="shared" ref="AH3:AH359" si="3">T3+V3</f>
        <v>0</v>
      </c>
      <c r="AI3" s="68">
        <f t="shared" ref="AI3:AI359" si="4">sum(F3:AE3)</f>
        <v>0</v>
      </c>
      <c r="AJ3" s="75" t="str">
        <f t="shared" ref="AJ3:AJ359" si="5">iferror(AF3/AI3,"")</f>
        <v/>
      </c>
    </row>
    <row r="4">
      <c r="A4" s="76" t="s">
        <v>16</v>
      </c>
      <c r="B4" s="77">
        <f t="shared" ref="B4:B359" si="6">B3+1</f>
        <v>44563</v>
      </c>
      <c r="C4" s="78">
        <v>1.0</v>
      </c>
      <c r="D4" s="79" t="s">
        <v>48</v>
      </c>
      <c r="E4" s="80" t="s">
        <v>125</v>
      </c>
      <c r="F4" s="71"/>
      <c r="H4" s="72"/>
      <c r="J4" s="72"/>
      <c r="L4" s="71"/>
      <c r="N4" s="72"/>
      <c r="P4" s="72"/>
      <c r="R4" s="72"/>
      <c r="T4" s="72"/>
      <c r="V4" s="72"/>
      <c r="X4" s="72"/>
      <c r="Y4" s="73"/>
      <c r="Z4" s="71"/>
      <c r="AB4" s="72"/>
      <c r="AD4" s="72"/>
      <c r="AF4" s="81">
        <f t="shared" si="1"/>
        <v>0</v>
      </c>
      <c r="AG4" s="78">
        <f t="shared" si="2"/>
        <v>0</v>
      </c>
      <c r="AH4" s="78">
        <f t="shared" si="3"/>
        <v>0</v>
      </c>
      <c r="AI4" s="78">
        <f t="shared" si="4"/>
        <v>0</v>
      </c>
      <c r="AJ4" s="82" t="str">
        <f t="shared" si="5"/>
        <v/>
      </c>
    </row>
    <row r="5">
      <c r="A5" s="76" t="s">
        <v>17</v>
      </c>
      <c r="B5" s="77">
        <f t="shared" si="6"/>
        <v>44564</v>
      </c>
      <c r="C5" s="78">
        <v>1.0</v>
      </c>
      <c r="D5" s="79" t="s">
        <v>48</v>
      </c>
      <c r="E5" s="80" t="s">
        <v>125</v>
      </c>
      <c r="F5" s="71"/>
      <c r="H5" s="72"/>
      <c r="J5" s="72"/>
      <c r="L5" s="71"/>
      <c r="N5" s="72"/>
      <c r="P5" s="72"/>
      <c r="R5" s="72"/>
      <c r="T5" s="72"/>
      <c r="V5" s="72"/>
      <c r="X5" s="72"/>
      <c r="Y5" s="73"/>
      <c r="Z5" s="71"/>
      <c r="AB5" s="72"/>
      <c r="AD5" s="72"/>
      <c r="AF5" s="81">
        <f t="shared" si="1"/>
        <v>0</v>
      </c>
      <c r="AG5" s="78">
        <f t="shared" si="2"/>
        <v>0</v>
      </c>
      <c r="AH5" s="78">
        <f t="shared" si="3"/>
        <v>0</v>
      </c>
      <c r="AI5" s="78">
        <f t="shared" si="4"/>
        <v>0</v>
      </c>
      <c r="AJ5" s="82" t="str">
        <f t="shared" si="5"/>
        <v/>
      </c>
    </row>
    <row r="6">
      <c r="A6" s="76" t="s">
        <v>21</v>
      </c>
      <c r="B6" s="77">
        <f t="shared" si="6"/>
        <v>44565</v>
      </c>
      <c r="C6" s="78">
        <v>1.0</v>
      </c>
      <c r="D6" s="79" t="s">
        <v>48</v>
      </c>
      <c r="E6" s="80" t="s">
        <v>125</v>
      </c>
      <c r="F6" s="71"/>
      <c r="H6" s="72"/>
      <c r="J6" s="72"/>
      <c r="L6" s="71"/>
      <c r="N6" s="72"/>
      <c r="P6" s="72"/>
      <c r="R6" s="72"/>
      <c r="T6" s="72"/>
      <c r="V6" s="72"/>
      <c r="X6" s="72"/>
      <c r="Y6" s="73"/>
      <c r="Z6" s="71"/>
      <c r="AB6" s="72"/>
      <c r="AD6" s="72"/>
      <c r="AF6" s="81">
        <f t="shared" si="1"/>
        <v>0</v>
      </c>
      <c r="AG6" s="78">
        <f t="shared" si="2"/>
        <v>0</v>
      </c>
      <c r="AH6" s="78">
        <f t="shared" si="3"/>
        <v>0</v>
      </c>
      <c r="AI6" s="78">
        <f t="shared" si="4"/>
        <v>0</v>
      </c>
      <c r="AJ6" s="82" t="str">
        <f t="shared" si="5"/>
        <v/>
      </c>
    </row>
    <row r="7">
      <c r="A7" s="76" t="s">
        <v>24</v>
      </c>
      <c r="B7" s="77">
        <f t="shared" si="6"/>
        <v>44566</v>
      </c>
      <c r="C7" s="78">
        <v>1.0</v>
      </c>
      <c r="D7" s="79" t="s">
        <v>48</v>
      </c>
      <c r="E7" s="80" t="s">
        <v>125</v>
      </c>
      <c r="F7" s="71"/>
      <c r="H7" s="72"/>
      <c r="J7" s="72"/>
      <c r="L7" s="71"/>
      <c r="N7" s="72"/>
      <c r="P7" s="72"/>
      <c r="R7" s="72"/>
      <c r="T7" s="72"/>
      <c r="V7" s="72"/>
      <c r="X7" s="72"/>
      <c r="Y7" s="73"/>
      <c r="Z7" s="71"/>
      <c r="AB7" s="72"/>
      <c r="AD7" s="72"/>
      <c r="AF7" s="81">
        <f t="shared" si="1"/>
        <v>0</v>
      </c>
      <c r="AG7" s="78">
        <f t="shared" si="2"/>
        <v>0</v>
      </c>
      <c r="AH7" s="78">
        <f t="shared" si="3"/>
        <v>0</v>
      </c>
      <c r="AI7" s="78">
        <f t="shared" si="4"/>
        <v>0</v>
      </c>
      <c r="AJ7" s="82" t="str">
        <f t="shared" si="5"/>
        <v/>
      </c>
    </row>
    <row r="8">
      <c r="A8" s="76" t="s">
        <v>27</v>
      </c>
      <c r="B8" s="77">
        <f t="shared" si="6"/>
        <v>44567</v>
      </c>
      <c r="C8" s="78">
        <v>1.0</v>
      </c>
      <c r="D8" s="79" t="s">
        <v>48</v>
      </c>
      <c r="E8" s="80" t="s">
        <v>125</v>
      </c>
      <c r="F8" s="71"/>
      <c r="H8" s="72"/>
      <c r="J8" s="72"/>
      <c r="L8" s="71">
        <v>86.0</v>
      </c>
      <c r="N8" s="72">
        <v>92.0</v>
      </c>
      <c r="P8" s="72"/>
      <c r="R8" s="72"/>
      <c r="T8" s="72"/>
      <c r="V8" s="72"/>
      <c r="X8" s="72"/>
      <c r="Y8" s="73"/>
      <c r="Z8" s="71"/>
      <c r="AB8" s="72"/>
      <c r="AD8" s="72"/>
      <c r="AF8" s="81">
        <f t="shared" si="1"/>
        <v>3031.518</v>
      </c>
      <c r="AG8" s="78">
        <f t="shared" si="2"/>
        <v>178</v>
      </c>
      <c r="AH8" s="78">
        <f t="shared" si="3"/>
        <v>0</v>
      </c>
      <c r="AI8" s="78">
        <f t="shared" si="4"/>
        <v>178</v>
      </c>
      <c r="AJ8" s="82">
        <f t="shared" si="5"/>
        <v>17.031</v>
      </c>
    </row>
    <row r="9">
      <c r="A9" s="83" t="s">
        <v>30</v>
      </c>
      <c r="B9" s="84">
        <f t="shared" si="6"/>
        <v>44568</v>
      </c>
      <c r="C9" s="85">
        <v>1.0</v>
      </c>
      <c r="D9" s="86" t="s">
        <v>48</v>
      </c>
      <c r="E9" s="87" t="s">
        <v>125</v>
      </c>
      <c r="F9" s="88"/>
      <c r="G9" s="89"/>
      <c r="H9" s="90"/>
      <c r="I9" s="89"/>
      <c r="J9" s="90"/>
      <c r="K9" s="89"/>
      <c r="L9" s="88">
        <v>77.0</v>
      </c>
      <c r="M9" s="89"/>
      <c r="N9" s="90">
        <v>84.0</v>
      </c>
      <c r="O9" s="89"/>
      <c r="P9" s="90"/>
      <c r="Q9" s="89"/>
      <c r="R9" s="90"/>
      <c r="S9" s="89"/>
      <c r="T9" s="90"/>
      <c r="U9" s="89"/>
      <c r="V9" s="90"/>
      <c r="W9" s="89"/>
      <c r="X9" s="90"/>
      <c r="Y9" s="91"/>
      <c r="Z9" s="88"/>
      <c r="AA9" s="89"/>
      <c r="AB9" s="90"/>
      <c r="AC9" s="89"/>
      <c r="AD9" s="90"/>
      <c r="AE9" s="89"/>
      <c r="AF9" s="92">
        <f t="shared" si="1"/>
        <v>2741.991</v>
      </c>
      <c r="AG9" s="85">
        <f t="shared" si="2"/>
        <v>161</v>
      </c>
      <c r="AH9" s="85">
        <f t="shared" si="3"/>
        <v>0</v>
      </c>
      <c r="AI9" s="85">
        <f t="shared" si="4"/>
        <v>161</v>
      </c>
      <c r="AJ9" s="93">
        <f t="shared" si="5"/>
        <v>17.031</v>
      </c>
    </row>
    <row r="10">
      <c r="A10" s="66" t="s">
        <v>11</v>
      </c>
      <c r="B10" s="94">
        <f t="shared" si="6"/>
        <v>44569</v>
      </c>
      <c r="C10" s="68">
        <v>1.0</v>
      </c>
      <c r="D10" s="68" t="s">
        <v>59</v>
      </c>
      <c r="E10" s="70" t="s">
        <v>125</v>
      </c>
      <c r="F10" s="71"/>
      <c r="H10" s="72"/>
      <c r="J10" s="72"/>
      <c r="L10" s="71">
        <v>77.0</v>
      </c>
      <c r="N10" s="72">
        <v>89.0</v>
      </c>
      <c r="P10" s="72"/>
      <c r="R10" s="72"/>
      <c r="T10" s="72"/>
      <c r="V10" s="72"/>
      <c r="X10" s="72"/>
      <c r="Y10" s="73"/>
      <c r="Z10" s="71"/>
      <c r="AB10" s="72"/>
      <c r="AD10" s="72"/>
      <c r="AF10" s="74">
        <f t="shared" si="1"/>
        <v>2827.146</v>
      </c>
      <c r="AG10" s="68">
        <f t="shared" si="2"/>
        <v>166</v>
      </c>
      <c r="AH10" s="68">
        <f t="shared" si="3"/>
        <v>0</v>
      </c>
      <c r="AI10" s="68">
        <f t="shared" si="4"/>
        <v>166</v>
      </c>
      <c r="AJ10" s="75">
        <f t="shared" si="5"/>
        <v>17.031</v>
      </c>
    </row>
    <row r="11">
      <c r="A11" s="76" t="s">
        <v>16</v>
      </c>
      <c r="B11" s="77">
        <f t="shared" si="6"/>
        <v>44570</v>
      </c>
      <c r="C11" s="78">
        <v>1.0</v>
      </c>
      <c r="D11" s="78" t="s">
        <v>59</v>
      </c>
      <c r="E11" s="80" t="s">
        <v>125</v>
      </c>
      <c r="F11" s="71"/>
      <c r="H11" s="72"/>
      <c r="J11" s="72"/>
      <c r="L11" s="71">
        <v>75.0</v>
      </c>
      <c r="N11" s="72">
        <v>82.0</v>
      </c>
      <c r="P11" s="72"/>
      <c r="R11" s="72"/>
      <c r="T11" s="72"/>
      <c r="V11" s="72"/>
      <c r="X11" s="72"/>
      <c r="Y11" s="73"/>
      <c r="Z11" s="71"/>
      <c r="AB11" s="72"/>
      <c r="AD11" s="72"/>
      <c r="AF11" s="81">
        <f t="shared" si="1"/>
        <v>2673.867</v>
      </c>
      <c r="AG11" s="78">
        <f t="shared" si="2"/>
        <v>157</v>
      </c>
      <c r="AH11" s="78">
        <f t="shared" si="3"/>
        <v>0</v>
      </c>
      <c r="AI11" s="78">
        <f t="shared" si="4"/>
        <v>157</v>
      </c>
      <c r="AJ11" s="82">
        <f t="shared" si="5"/>
        <v>17.031</v>
      </c>
    </row>
    <row r="12">
      <c r="A12" s="76" t="s">
        <v>17</v>
      </c>
      <c r="B12" s="77">
        <f t="shared" si="6"/>
        <v>44571</v>
      </c>
      <c r="C12" s="78">
        <v>1.0</v>
      </c>
      <c r="D12" s="78" t="s">
        <v>59</v>
      </c>
      <c r="E12" s="80" t="s">
        <v>125</v>
      </c>
      <c r="F12" s="71"/>
      <c r="H12" s="72"/>
      <c r="J12" s="72"/>
      <c r="L12" s="71">
        <v>92.0</v>
      </c>
      <c r="N12" s="72">
        <v>96.0</v>
      </c>
      <c r="P12" s="72"/>
      <c r="R12" s="72"/>
      <c r="T12" s="72"/>
      <c r="V12" s="72"/>
      <c r="X12" s="72"/>
      <c r="Y12" s="73"/>
      <c r="Z12" s="71"/>
      <c r="AB12" s="72"/>
      <c r="AD12" s="72"/>
      <c r="AF12" s="81">
        <f t="shared" si="1"/>
        <v>3201.828</v>
      </c>
      <c r="AG12" s="78">
        <f t="shared" si="2"/>
        <v>188</v>
      </c>
      <c r="AH12" s="78">
        <f t="shared" si="3"/>
        <v>0</v>
      </c>
      <c r="AI12" s="78">
        <f t="shared" si="4"/>
        <v>188</v>
      </c>
      <c r="AJ12" s="82">
        <f t="shared" si="5"/>
        <v>17.031</v>
      </c>
    </row>
    <row r="13">
      <c r="A13" s="76" t="s">
        <v>21</v>
      </c>
      <c r="B13" s="77">
        <f t="shared" si="6"/>
        <v>44572</v>
      </c>
      <c r="C13" s="78">
        <v>1.0</v>
      </c>
      <c r="D13" s="78" t="s">
        <v>59</v>
      </c>
      <c r="E13" s="80" t="s">
        <v>125</v>
      </c>
      <c r="F13" s="71"/>
      <c r="H13" s="72"/>
      <c r="J13" s="72"/>
      <c r="L13" s="71">
        <v>78.0</v>
      </c>
      <c r="N13" s="72">
        <v>78.0</v>
      </c>
      <c r="P13" s="72"/>
      <c r="R13" s="72"/>
      <c r="T13" s="72"/>
      <c r="V13" s="72"/>
      <c r="X13" s="72"/>
      <c r="Y13" s="73"/>
      <c r="Z13" s="71"/>
      <c r="AB13" s="72"/>
      <c r="AD13" s="72"/>
      <c r="AF13" s="81">
        <f t="shared" si="1"/>
        <v>2656.836</v>
      </c>
      <c r="AG13" s="78">
        <f t="shared" si="2"/>
        <v>156</v>
      </c>
      <c r="AH13" s="78">
        <f t="shared" si="3"/>
        <v>0</v>
      </c>
      <c r="AI13" s="78">
        <f t="shared" si="4"/>
        <v>156</v>
      </c>
      <c r="AJ13" s="82">
        <f t="shared" si="5"/>
        <v>17.031</v>
      </c>
    </row>
    <row r="14">
      <c r="A14" s="76" t="s">
        <v>24</v>
      </c>
      <c r="B14" s="77">
        <f t="shared" si="6"/>
        <v>44573</v>
      </c>
      <c r="C14" s="78">
        <v>1.0</v>
      </c>
      <c r="D14" s="78" t="s">
        <v>59</v>
      </c>
      <c r="E14" s="80" t="s">
        <v>125</v>
      </c>
      <c r="F14" s="71"/>
      <c r="H14" s="72"/>
      <c r="J14" s="72"/>
      <c r="L14" s="71">
        <v>0.0</v>
      </c>
      <c r="N14" s="72">
        <v>0.0</v>
      </c>
      <c r="P14" s="72"/>
      <c r="R14" s="72"/>
      <c r="T14" s="72"/>
      <c r="V14" s="72"/>
      <c r="X14" s="72"/>
      <c r="Y14" s="73"/>
      <c r="Z14" s="71"/>
      <c r="AB14" s="72"/>
      <c r="AD14" s="72"/>
      <c r="AF14" s="81">
        <f t="shared" si="1"/>
        <v>0</v>
      </c>
      <c r="AG14" s="78">
        <f t="shared" si="2"/>
        <v>0</v>
      </c>
      <c r="AH14" s="78">
        <f t="shared" si="3"/>
        <v>0</v>
      </c>
      <c r="AI14" s="78">
        <f t="shared" si="4"/>
        <v>0</v>
      </c>
      <c r="AJ14" s="82" t="str">
        <f t="shared" si="5"/>
        <v/>
      </c>
    </row>
    <row r="15">
      <c r="A15" s="76" t="s">
        <v>27</v>
      </c>
      <c r="B15" s="77">
        <f t="shared" si="6"/>
        <v>44574</v>
      </c>
      <c r="C15" s="78">
        <v>1.0</v>
      </c>
      <c r="D15" s="78" t="s">
        <v>59</v>
      </c>
      <c r="E15" s="80" t="s">
        <v>125</v>
      </c>
      <c r="F15" s="71"/>
      <c r="H15" s="72"/>
      <c r="J15" s="72"/>
      <c r="L15" s="71">
        <v>0.0</v>
      </c>
      <c r="N15" s="72">
        <v>0.0</v>
      </c>
      <c r="P15" s="72"/>
      <c r="R15" s="72"/>
      <c r="T15" s="72"/>
      <c r="V15" s="72"/>
      <c r="X15" s="72"/>
      <c r="Y15" s="73"/>
      <c r="Z15" s="71"/>
      <c r="AB15" s="72"/>
      <c r="AD15" s="72"/>
      <c r="AF15" s="81">
        <f t="shared" si="1"/>
        <v>0</v>
      </c>
      <c r="AG15" s="78">
        <f t="shared" si="2"/>
        <v>0</v>
      </c>
      <c r="AH15" s="78">
        <f t="shared" si="3"/>
        <v>0</v>
      </c>
      <c r="AI15" s="78">
        <f t="shared" si="4"/>
        <v>0</v>
      </c>
      <c r="AJ15" s="82" t="str">
        <f t="shared" si="5"/>
        <v/>
      </c>
    </row>
    <row r="16">
      <c r="A16" s="83" t="s">
        <v>30</v>
      </c>
      <c r="B16" s="84">
        <f t="shared" si="6"/>
        <v>44575</v>
      </c>
      <c r="C16" s="85">
        <v>1.0</v>
      </c>
      <c r="D16" s="85" t="s">
        <v>59</v>
      </c>
      <c r="E16" s="87" t="s">
        <v>125</v>
      </c>
      <c r="F16" s="88"/>
      <c r="G16" s="89"/>
      <c r="H16" s="90"/>
      <c r="I16" s="89"/>
      <c r="J16" s="90"/>
      <c r="K16" s="89"/>
      <c r="L16" s="88">
        <v>0.0</v>
      </c>
      <c r="M16" s="89"/>
      <c r="N16" s="90">
        <v>0.0</v>
      </c>
      <c r="O16" s="89"/>
      <c r="P16" s="90"/>
      <c r="Q16" s="89"/>
      <c r="R16" s="90"/>
      <c r="S16" s="89"/>
      <c r="T16" s="90"/>
      <c r="U16" s="89"/>
      <c r="V16" s="90"/>
      <c r="W16" s="89"/>
      <c r="X16" s="90"/>
      <c r="Y16" s="91"/>
      <c r="Z16" s="88"/>
      <c r="AA16" s="89"/>
      <c r="AB16" s="90"/>
      <c r="AC16" s="89"/>
      <c r="AD16" s="90"/>
      <c r="AE16" s="89"/>
      <c r="AF16" s="92">
        <f t="shared" si="1"/>
        <v>0</v>
      </c>
      <c r="AG16" s="85">
        <f t="shared" si="2"/>
        <v>0</v>
      </c>
      <c r="AH16" s="85">
        <f t="shared" si="3"/>
        <v>0</v>
      </c>
      <c r="AI16" s="85">
        <f t="shared" si="4"/>
        <v>0</v>
      </c>
      <c r="AJ16" s="93" t="str">
        <f t="shared" si="5"/>
        <v/>
      </c>
    </row>
    <row r="17">
      <c r="A17" s="66" t="s">
        <v>11</v>
      </c>
      <c r="B17" s="94">
        <f t="shared" si="6"/>
        <v>44576</v>
      </c>
      <c r="C17" s="68">
        <v>1.0</v>
      </c>
      <c r="D17" s="68" t="s">
        <v>12</v>
      </c>
      <c r="E17" s="70" t="s">
        <v>127</v>
      </c>
      <c r="F17" s="71"/>
      <c r="H17" s="72"/>
      <c r="J17" s="72"/>
      <c r="L17" s="102"/>
      <c r="N17" s="103"/>
      <c r="P17" s="104"/>
      <c r="R17" s="104"/>
      <c r="T17" s="104"/>
      <c r="V17" s="104"/>
      <c r="X17" s="104"/>
      <c r="Y17" s="73"/>
      <c r="Z17" s="105"/>
      <c r="AB17" s="104"/>
      <c r="AD17" s="104"/>
      <c r="AF17" s="74">
        <f t="shared" si="1"/>
        <v>0</v>
      </c>
      <c r="AG17" s="68">
        <f t="shared" si="2"/>
        <v>0</v>
      </c>
      <c r="AH17" s="68">
        <f t="shared" si="3"/>
        <v>0</v>
      </c>
      <c r="AI17" s="68">
        <f t="shared" si="4"/>
        <v>0</v>
      </c>
      <c r="AJ17" s="75" t="str">
        <f t="shared" si="5"/>
        <v/>
      </c>
    </row>
    <row r="18">
      <c r="A18" s="76" t="s">
        <v>16</v>
      </c>
      <c r="B18" s="77">
        <f t="shared" si="6"/>
        <v>44577</v>
      </c>
      <c r="C18" s="78">
        <v>1.0</v>
      </c>
      <c r="D18" s="78" t="s">
        <v>12</v>
      </c>
      <c r="E18" s="80" t="s">
        <v>127</v>
      </c>
      <c r="F18" s="71"/>
      <c r="H18" s="72"/>
      <c r="J18" s="72"/>
      <c r="L18" s="102"/>
      <c r="N18" s="103"/>
      <c r="P18" s="104"/>
      <c r="R18" s="104"/>
      <c r="T18" s="104"/>
      <c r="V18" s="104"/>
      <c r="X18" s="104"/>
      <c r="Y18" s="73"/>
      <c r="Z18" s="105"/>
      <c r="AB18" s="104"/>
      <c r="AD18" s="104"/>
      <c r="AF18" s="81">
        <f t="shared" si="1"/>
        <v>0</v>
      </c>
      <c r="AG18" s="78">
        <f t="shared" si="2"/>
        <v>0</v>
      </c>
      <c r="AH18" s="78">
        <f t="shared" si="3"/>
        <v>0</v>
      </c>
      <c r="AI18" s="78">
        <f t="shared" si="4"/>
        <v>0</v>
      </c>
      <c r="AJ18" s="82" t="str">
        <f t="shared" si="5"/>
        <v/>
      </c>
    </row>
    <row r="19">
      <c r="A19" s="76" t="s">
        <v>17</v>
      </c>
      <c r="B19" s="77">
        <f t="shared" si="6"/>
        <v>44578</v>
      </c>
      <c r="C19" s="78">
        <v>1.0</v>
      </c>
      <c r="D19" s="78" t="s">
        <v>12</v>
      </c>
      <c r="E19" s="80" t="s">
        <v>127</v>
      </c>
      <c r="F19" s="71"/>
      <c r="H19" s="72"/>
      <c r="J19" s="72"/>
      <c r="L19" s="102"/>
      <c r="N19" s="103"/>
      <c r="P19" s="104"/>
      <c r="R19" s="104"/>
      <c r="T19" s="104"/>
      <c r="V19" s="104"/>
      <c r="X19" s="104"/>
      <c r="Y19" s="73"/>
      <c r="Z19" s="105"/>
      <c r="AB19" s="104"/>
      <c r="AD19" s="104"/>
      <c r="AF19" s="81">
        <f t="shared" si="1"/>
        <v>0</v>
      </c>
      <c r="AG19" s="78">
        <f t="shared" si="2"/>
        <v>0</v>
      </c>
      <c r="AH19" s="78">
        <f t="shared" si="3"/>
        <v>0</v>
      </c>
      <c r="AI19" s="78">
        <f t="shared" si="4"/>
        <v>0</v>
      </c>
      <c r="AJ19" s="82" t="str">
        <f t="shared" si="5"/>
        <v/>
      </c>
    </row>
    <row r="20">
      <c r="A20" s="76" t="s">
        <v>21</v>
      </c>
      <c r="B20" s="77">
        <f t="shared" si="6"/>
        <v>44579</v>
      </c>
      <c r="C20" s="78">
        <v>1.0</v>
      </c>
      <c r="D20" s="78" t="s">
        <v>12</v>
      </c>
      <c r="E20" s="80" t="s">
        <v>127</v>
      </c>
      <c r="F20" s="71"/>
      <c r="H20" s="72"/>
      <c r="J20" s="72"/>
      <c r="L20" s="102"/>
      <c r="N20" s="103"/>
      <c r="P20" s="104"/>
      <c r="R20" s="104"/>
      <c r="T20" s="104"/>
      <c r="V20" s="104"/>
      <c r="X20" s="104"/>
      <c r="Y20" s="73"/>
      <c r="Z20" s="105"/>
      <c r="AB20" s="104"/>
      <c r="AD20" s="104"/>
      <c r="AF20" s="81">
        <f t="shared" si="1"/>
        <v>0</v>
      </c>
      <c r="AG20" s="78">
        <f t="shared" si="2"/>
        <v>0</v>
      </c>
      <c r="AH20" s="78">
        <f t="shared" si="3"/>
        <v>0</v>
      </c>
      <c r="AI20" s="78">
        <f t="shared" si="4"/>
        <v>0</v>
      </c>
      <c r="AJ20" s="82" t="str">
        <f t="shared" si="5"/>
        <v/>
      </c>
    </row>
    <row r="21">
      <c r="A21" s="76" t="s">
        <v>24</v>
      </c>
      <c r="B21" s="77">
        <f t="shared" si="6"/>
        <v>44580</v>
      </c>
      <c r="C21" s="78">
        <v>1.0</v>
      </c>
      <c r="D21" s="78" t="s">
        <v>12</v>
      </c>
      <c r="E21" s="80" t="s">
        <v>127</v>
      </c>
      <c r="F21" s="71"/>
      <c r="H21" s="72"/>
      <c r="J21" s="72"/>
      <c r="L21" s="102"/>
      <c r="N21" s="103"/>
      <c r="P21" s="104"/>
      <c r="R21" s="104"/>
      <c r="T21" s="104"/>
      <c r="V21" s="104"/>
      <c r="X21" s="104"/>
      <c r="Y21" s="73"/>
      <c r="Z21" s="105"/>
      <c r="AB21" s="104"/>
      <c r="AD21" s="104"/>
      <c r="AF21" s="81">
        <f t="shared" si="1"/>
        <v>0</v>
      </c>
      <c r="AG21" s="78">
        <f t="shared" si="2"/>
        <v>0</v>
      </c>
      <c r="AH21" s="78">
        <f t="shared" si="3"/>
        <v>0</v>
      </c>
      <c r="AI21" s="78">
        <f t="shared" si="4"/>
        <v>0</v>
      </c>
      <c r="AJ21" s="82" t="str">
        <f t="shared" si="5"/>
        <v/>
      </c>
    </row>
    <row r="22">
      <c r="A22" s="76" t="s">
        <v>27</v>
      </c>
      <c r="B22" s="77">
        <f t="shared" si="6"/>
        <v>44581</v>
      </c>
      <c r="C22" s="78">
        <v>1.0</v>
      </c>
      <c r="D22" s="78" t="s">
        <v>12</v>
      </c>
      <c r="E22" s="80" t="s">
        <v>127</v>
      </c>
      <c r="F22" s="71"/>
      <c r="H22" s="72"/>
      <c r="J22" s="72"/>
      <c r="L22" s="102"/>
      <c r="N22" s="103"/>
      <c r="P22" s="104"/>
      <c r="R22" s="104"/>
      <c r="T22" s="104"/>
      <c r="V22" s="104"/>
      <c r="X22" s="104"/>
      <c r="Y22" s="73"/>
      <c r="Z22" s="105"/>
      <c r="AB22" s="104"/>
      <c r="AD22" s="104"/>
      <c r="AF22" s="81">
        <f t="shared" si="1"/>
        <v>0</v>
      </c>
      <c r="AG22" s="78">
        <f t="shared" si="2"/>
        <v>0</v>
      </c>
      <c r="AH22" s="78">
        <f t="shared" si="3"/>
        <v>0</v>
      </c>
      <c r="AI22" s="78">
        <f t="shared" si="4"/>
        <v>0</v>
      </c>
      <c r="AJ22" s="82" t="str">
        <f t="shared" si="5"/>
        <v/>
      </c>
    </row>
    <row r="23">
      <c r="A23" s="83" t="s">
        <v>30</v>
      </c>
      <c r="B23" s="84">
        <f t="shared" si="6"/>
        <v>44582</v>
      </c>
      <c r="C23" s="85">
        <v>1.0</v>
      </c>
      <c r="D23" s="85" t="s">
        <v>12</v>
      </c>
      <c r="E23" s="87" t="s">
        <v>127</v>
      </c>
      <c r="F23" s="88"/>
      <c r="G23" s="89"/>
      <c r="H23" s="90"/>
      <c r="I23" s="89"/>
      <c r="J23" s="90"/>
      <c r="K23" s="89"/>
      <c r="L23" s="109">
        <v>68.0</v>
      </c>
      <c r="M23" s="89"/>
      <c r="N23" s="110">
        <v>59.0</v>
      </c>
      <c r="O23" s="89"/>
      <c r="P23" s="111"/>
      <c r="Q23" s="89"/>
      <c r="R23" s="111"/>
      <c r="S23" s="89"/>
      <c r="T23" s="111"/>
      <c r="U23" s="89"/>
      <c r="V23" s="111"/>
      <c r="W23" s="89"/>
      <c r="X23" s="111"/>
      <c r="Y23" s="91"/>
      <c r="Z23" s="112"/>
      <c r="AA23" s="89"/>
      <c r="AB23" s="111"/>
      <c r="AC23" s="89"/>
      <c r="AD23" s="111"/>
      <c r="AE23" s="89"/>
      <c r="AF23" s="92">
        <f t="shared" si="1"/>
        <v>2162.937</v>
      </c>
      <c r="AG23" s="85">
        <f t="shared" si="2"/>
        <v>127</v>
      </c>
      <c r="AH23" s="85">
        <f t="shared" si="3"/>
        <v>0</v>
      </c>
      <c r="AI23" s="85">
        <f t="shared" si="4"/>
        <v>127</v>
      </c>
      <c r="AJ23" s="93">
        <f t="shared" si="5"/>
        <v>17.031</v>
      </c>
    </row>
    <row r="24">
      <c r="A24" s="66" t="s">
        <v>11</v>
      </c>
      <c r="B24" s="94">
        <f t="shared" si="6"/>
        <v>44583</v>
      </c>
      <c r="C24" s="68">
        <v>1.0</v>
      </c>
      <c r="D24" s="68" t="s">
        <v>33</v>
      </c>
      <c r="E24" s="70" t="s">
        <v>127</v>
      </c>
      <c r="F24" s="71"/>
      <c r="H24" s="72"/>
      <c r="J24" s="72"/>
      <c r="L24" s="105">
        <v>75.0</v>
      </c>
      <c r="N24" s="104">
        <v>85.0</v>
      </c>
      <c r="P24" s="104"/>
      <c r="R24" s="104"/>
      <c r="T24" s="104"/>
      <c r="V24" s="104"/>
      <c r="X24" s="104"/>
      <c r="Y24" s="73"/>
      <c r="Z24" s="105"/>
      <c r="AB24" s="104"/>
      <c r="AD24" s="104"/>
      <c r="AF24" s="74">
        <f t="shared" si="1"/>
        <v>2724.96</v>
      </c>
      <c r="AG24" s="68">
        <f t="shared" si="2"/>
        <v>160</v>
      </c>
      <c r="AH24" s="68">
        <f t="shared" si="3"/>
        <v>0</v>
      </c>
      <c r="AI24" s="68">
        <f t="shared" si="4"/>
        <v>160</v>
      </c>
      <c r="AJ24" s="75">
        <f t="shared" si="5"/>
        <v>17.031</v>
      </c>
    </row>
    <row r="25">
      <c r="A25" s="76" t="s">
        <v>16</v>
      </c>
      <c r="B25" s="77">
        <f t="shared" si="6"/>
        <v>44584</v>
      </c>
      <c r="C25" s="78">
        <v>1.0</v>
      </c>
      <c r="D25" s="78" t="s">
        <v>33</v>
      </c>
      <c r="E25" s="80" t="s">
        <v>127</v>
      </c>
      <c r="F25" s="71"/>
      <c r="H25" s="72"/>
      <c r="J25" s="72"/>
      <c r="L25" s="105">
        <v>73.0</v>
      </c>
      <c r="N25" s="104">
        <v>70.0</v>
      </c>
      <c r="P25" s="104"/>
      <c r="R25" s="104"/>
      <c r="T25" s="104"/>
      <c r="V25" s="104"/>
      <c r="X25" s="104"/>
      <c r="Y25" s="73"/>
      <c r="Z25" s="105"/>
      <c r="AB25" s="104"/>
      <c r="AD25" s="104"/>
      <c r="AF25" s="81">
        <f t="shared" si="1"/>
        <v>2435.433</v>
      </c>
      <c r="AG25" s="78">
        <f t="shared" si="2"/>
        <v>143</v>
      </c>
      <c r="AH25" s="78">
        <f t="shared" si="3"/>
        <v>0</v>
      </c>
      <c r="AI25" s="78">
        <f t="shared" si="4"/>
        <v>143</v>
      </c>
      <c r="AJ25" s="82">
        <f t="shared" si="5"/>
        <v>17.031</v>
      </c>
    </row>
    <row r="26">
      <c r="A26" s="76" t="s">
        <v>17</v>
      </c>
      <c r="B26" s="77">
        <f t="shared" si="6"/>
        <v>44585</v>
      </c>
      <c r="C26" s="78">
        <v>1.0</v>
      </c>
      <c r="D26" s="78" t="s">
        <v>33</v>
      </c>
      <c r="E26" s="80" t="s">
        <v>127</v>
      </c>
      <c r="F26" s="71"/>
      <c r="H26" s="72"/>
      <c r="J26" s="72"/>
      <c r="L26" s="105">
        <v>72.0</v>
      </c>
      <c r="N26" s="104">
        <v>85.0</v>
      </c>
      <c r="P26" s="104"/>
      <c r="R26" s="104"/>
      <c r="T26" s="104"/>
      <c r="V26" s="104"/>
      <c r="X26" s="104"/>
      <c r="Y26" s="73"/>
      <c r="Z26" s="105"/>
      <c r="AB26" s="104"/>
      <c r="AD26" s="104"/>
      <c r="AF26" s="81">
        <f t="shared" si="1"/>
        <v>2673.867</v>
      </c>
      <c r="AG26" s="78">
        <f t="shared" si="2"/>
        <v>157</v>
      </c>
      <c r="AH26" s="78">
        <f t="shared" si="3"/>
        <v>0</v>
      </c>
      <c r="AI26" s="78">
        <f t="shared" si="4"/>
        <v>157</v>
      </c>
      <c r="AJ26" s="82">
        <f t="shared" si="5"/>
        <v>17.031</v>
      </c>
    </row>
    <row r="27">
      <c r="A27" s="76" t="s">
        <v>21</v>
      </c>
      <c r="B27" s="77">
        <f t="shared" si="6"/>
        <v>44586</v>
      </c>
      <c r="C27" s="78">
        <v>1.0</v>
      </c>
      <c r="D27" s="78" t="s">
        <v>33</v>
      </c>
      <c r="E27" s="80" t="s">
        <v>127</v>
      </c>
      <c r="F27" s="71"/>
      <c r="H27" s="72"/>
      <c r="J27" s="72"/>
      <c r="L27" s="105">
        <v>78.0</v>
      </c>
      <c r="N27" s="104">
        <v>78.0</v>
      </c>
      <c r="P27" s="104"/>
      <c r="R27" s="104"/>
      <c r="T27" s="104"/>
      <c r="V27" s="104"/>
      <c r="X27" s="104"/>
      <c r="Y27" s="73"/>
      <c r="Z27" s="105"/>
      <c r="AB27" s="104"/>
      <c r="AD27" s="104"/>
      <c r="AF27" s="81">
        <f t="shared" si="1"/>
        <v>2656.836</v>
      </c>
      <c r="AG27" s="78">
        <f t="shared" si="2"/>
        <v>156</v>
      </c>
      <c r="AH27" s="78">
        <f t="shared" si="3"/>
        <v>0</v>
      </c>
      <c r="AI27" s="78">
        <f t="shared" si="4"/>
        <v>156</v>
      </c>
      <c r="AJ27" s="82">
        <f t="shared" si="5"/>
        <v>17.031</v>
      </c>
    </row>
    <row r="28">
      <c r="A28" s="76" t="s">
        <v>24</v>
      </c>
      <c r="B28" s="77">
        <f t="shared" si="6"/>
        <v>44587</v>
      </c>
      <c r="C28" s="78">
        <v>1.0</v>
      </c>
      <c r="D28" s="78" t="s">
        <v>33</v>
      </c>
      <c r="E28" s="80" t="s">
        <v>127</v>
      </c>
      <c r="F28" s="71"/>
      <c r="H28" s="72"/>
      <c r="J28" s="72"/>
      <c r="L28" s="105">
        <v>80.0</v>
      </c>
      <c r="N28" s="104">
        <v>78.0</v>
      </c>
      <c r="P28" s="104"/>
      <c r="R28" s="104"/>
      <c r="T28" s="104"/>
      <c r="V28" s="104"/>
      <c r="X28" s="104"/>
      <c r="Y28" s="73"/>
      <c r="Z28" s="105"/>
      <c r="AB28" s="104"/>
      <c r="AD28" s="104"/>
      <c r="AF28" s="81">
        <f t="shared" si="1"/>
        <v>2690.898</v>
      </c>
      <c r="AG28" s="78">
        <f t="shared" si="2"/>
        <v>158</v>
      </c>
      <c r="AH28" s="78">
        <f t="shared" si="3"/>
        <v>0</v>
      </c>
      <c r="AI28" s="78">
        <f t="shared" si="4"/>
        <v>158</v>
      </c>
      <c r="AJ28" s="82">
        <f t="shared" si="5"/>
        <v>17.031</v>
      </c>
    </row>
    <row r="29">
      <c r="A29" s="76" t="s">
        <v>27</v>
      </c>
      <c r="B29" s="77">
        <f t="shared" si="6"/>
        <v>44588</v>
      </c>
      <c r="C29" s="78">
        <v>1.0</v>
      </c>
      <c r="D29" s="78" t="s">
        <v>33</v>
      </c>
      <c r="E29" s="80" t="s">
        <v>127</v>
      </c>
      <c r="F29" s="71"/>
      <c r="H29" s="72"/>
      <c r="J29" s="72"/>
      <c r="L29" s="105">
        <v>49.0</v>
      </c>
      <c r="N29" s="104">
        <v>49.0</v>
      </c>
      <c r="P29" s="104"/>
      <c r="R29" s="104"/>
      <c r="T29" s="104"/>
      <c r="V29" s="104"/>
      <c r="X29" s="104"/>
      <c r="Y29" s="73"/>
      <c r="Z29" s="105"/>
      <c r="AB29" s="104"/>
      <c r="AD29" s="104"/>
      <c r="AF29" s="81">
        <f t="shared" si="1"/>
        <v>1669.038</v>
      </c>
      <c r="AG29" s="78">
        <f t="shared" si="2"/>
        <v>98</v>
      </c>
      <c r="AH29" s="78">
        <f t="shared" si="3"/>
        <v>0</v>
      </c>
      <c r="AI29" s="78">
        <f t="shared" si="4"/>
        <v>98</v>
      </c>
      <c r="AJ29" s="82">
        <f t="shared" si="5"/>
        <v>17.031</v>
      </c>
    </row>
    <row r="30">
      <c r="A30" s="83" t="s">
        <v>30</v>
      </c>
      <c r="B30" s="84">
        <f t="shared" si="6"/>
        <v>44589</v>
      </c>
      <c r="C30" s="85">
        <v>1.0</v>
      </c>
      <c r="D30" s="85" t="s">
        <v>33</v>
      </c>
      <c r="E30" s="87" t="s">
        <v>127</v>
      </c>
      <c r="F30" s="88"/>
      <c r="G30" s="89"/>
      <c r="H30" s="90"/>
      <c r="I30" s="89"/>
      <c r="J30" s="90"/>
      <c r="K30" s="89"/>
      <c r="L30" s="112">
        <v>0.0</v>
      </c>
      <c r="M30" s="89"/>
      <c r="N30" s="111">
        <v>0.0</v>
      </c>
      <c r="O30" s="89"/>
      <c r="P30" s="111"/>
      <c r="Q30" s="89"/>
      <c r="R30" s="111"/>
      <c r="S30" s="89"/>
      <c r="T30" s="111"/>
      <c r="U30" s="89"/>
      <c r="V30" s="111"/>
      <c r="W30" s="89"/>
      <c r="X30" s="111"/>
      <c r="Y30" s="91"/>
      <c r="Z30" s="112"/>
      <c r="AA30" s="89"/>
      <c r="AB30" s="111"/>
      <c r="AC30" s="89"/>
      <c r="AD30" s="111"/>
      <c r="AE30" s="89"/>
      <c r="AF30" s="92">
        <f t="shared" si="1"/>
        <v>0</v>
      </c>
      <c r="AG30" s="85">
        <f t="shared" si="2"/>
        <v>0</v>
      </c>
      <c r="AH30" s="85">
        <f t="shared" si="3"/>
        <v>0</v>
      </c>
      <c r="AI30" s="85">
        <f t="shared" si="4"/>
        <v>0</v>
      </c>
      <c r="AJ30" s="93" t="str">
        <f t="shared" si="5"/>
        <v/>
      </c>
    </row>
    <row r="31">
      <c r="A31" s="66" t="s">
        <v>11</v>
      </c>
      <c r="B31" s="94">
        <f t="shared" si="6"/>
        <v>44590</v>
      </c>
      <c r="C31" s="68">
        <v>2.0</v>
      </c>
      <c r="D31" s="68" t="s">
        <v>48</v>
      </c>
      <c r="E31" s="70" t="s">
        <v>127</v>
      </c>
      <c r="F31" s="71"/>
      <c r="H31" s="72"/>
      <c r="J31" s="72"/>
      <c r="L31" s="105">
        <v>79.0</v>
      </c>
      <c r="N31" s="104">
        <v>84.0</v>
      </c>
      <c r="P31" s="104"/>
      <c r="R31" s="104"/>
      <c r="T31" s="104"/>
      <c r="V31" s="104"/>
      <c r="X31" s="104"/>
      <c r="Y31" s="73"/>
      <c r="Z31" s="105"/>
      <c r="AB31" s="104"/>
      <c r="AD31" s="104"/>
      <c r="AF31" s="74">
        <f t="shared" si="1"/>
        <v>2776.053</v>
      </c>
      <c r="AG31" s="68">
        <f t="shared" si="2"/>
        <v>163</v>
      </c>
      <c r="AH31" s="68">
        <f t="shared" si="3"/>
        <v>0</v>
      </c>
      <c r="AI31" s="68">
        <f t="shared" si="4"/>
        <v>163</v>
      </c>
      <c r="AJ31" s="75">
        <f t="shared" si="5"/>
        <v>17.031</v>
      </c>
    </row>
    <row r="32">
      <c r="A32" s="76" t="s">
        <v>16</v>
      </c>
      <c r="B32" s="77">
        <f t="shared" si="6"/>
        <v>44591</v>
      </c>
      <c r="C32" s="78">
        <v>2.0</v>
      </c>
      <c r="D32" s="78" t="s">
        <v>48</v>
      </c>
      <c r="E32" s="80" t="s">
        <v>127</v>
      </c>
      <c r="F32" s="71"/>
      <c r="H32" s="72"/>
      <c r="J32" s="72"/>
      <c r="L32" s="105">
        <v>79.0</v>
      </c>
      <c r="N32" s="104">
        <v>90.0</v>
      </c>
      <c r="P32" s="104"/>
      <c r="R32" s="104"/>
      <c r="T32" s="104"/>
      <c r="V32" s="104"/>
      <c r="X32" s="104"/>
      <c r="Y32" s="73"/>
      <c r="Z32" s="105"/>
      <c r="AB32" s="104"/>
      <c r="AD32" s="104"/>
      <c r="AF32" s="81">
        <f t="shared" si="1"/>
        <v>2878.239</v>
      </c>
      <c r="AG32" s="78">
        <f t="shared" si="2"/>
        <v>169</v>
      </c>
      <c r="AH32" s="78">
        <f t="shared" si="3"/>
        <v>0</v>
      </c>
      <c r="AI32" s="78">
        <f t="shared" si="4"/>
        <v>169</v>
      </c>
      <c r="AJ32" s="82">
        <f t="shared" si="5"/>
        <v>17.031</v>
      </c>
    </row>
    <row r="33">
      <c r="A33" s="76" t="s">
        <v>17</v>
      </c>
      <c r="B33" s="77">
        <f t="shared" si="6"/>
        <v>44592</v>
      </c>
      <c r="C33" s="78">
        <v>2.0</v>
      </c>
      <c r="D33" s="78" t="s">
        <v>48</v>
      </c>
      <c r="E33" s="80" t="s">
        <v>127</v>
      </c>
      <c r="F33" s="71"/>
      <c r="H33" s="72"/>
      <c r="J33" s="72"/>
      <c r="L33" s="105">
        <v>85.0</v>
      </c>
      <c r="N33" s="104">
        <v>89.0</v>
      </c>
      <c r="P33" s="104"/>
      <c r="R33" s="104"/>
      <c r="T33" s="104"/>
      <c r="V33" s="104"/>
      <c r="X33" s="104"/>
      <c r="Y33" s="73"/>
      <c r="Z33" s="105"/>
      <c r="AB33" s="104"/>
      <c r="AD33" s="104"/>
      <c r="AF33" s="81">
        <f t="shared" si="1"/>
        <v>2963.394</v>
      </c>
      <c r="AG33" s="78">
        <f t="shared" si="2"/>
        <v>174</v>
      </c>
      <c r="AH33" s="78">
        <f t="shared" si="3"/>
        <v>0</v>
      </c>
      <c r="AI33" s="78">
        <f t="shared" si="4"/>
        <v>174</v>
      </c>
      <c r="AJ33" s="82">
        <f t="shared" si="5"/>
        <v>17.031</v>
      </c>
    </row>
    <row r="34">
      <c r="A34" s="76" t="s">
        <v>21</v>
      </c>
      <c r="B34" s="77">
        <f t="shared" si="6"/>
        <v>44593</v>
      </c>
      <c r="C34" s="78">
        <v>2.0</v>
      </c>
      <c r="D34" s="78" t="s">
        <v>48</v>
      </c>
      <c r="E34" s="80" t="s">
        <v>127</v>
      </c>
      <c r="F34" s="71"/>
      <c r="H34" s="72"/>
      <c r="J34" s="72"/>
      <c r="L34" s="105">
        <v>81.0</v>
      </c>
      <c r="N34" s="104">
        <v>78.0</v>
      </c>
      <c r="P34" s="104"/>
      <c r="R34" s="104"/>
      <c r="T34" s="104"/>
      <c r="V34" s="104"/>
      <c r="X34" s="104"/>
      <c r="Y34" s="73"/>
      <c r="Z34" s="105"/>
      <c r="AB34" s="104"/>
      <c r="AD34" s="104"/>
      <c r="AF34" s="81">
        <f t="shared" si="1"/>
        <v>2707.929</v>
      </c>
      <c r="AG34" s="78">
        <f t="shared" si="2"/>
        <v>159</v>
      </c>
      <c r="AH34" s="78">
        <f t="shared" si="3"/>
        <v>0</v>
      </c>
      <c r="AI34" s="78">
        <f t="shared" si="4"/>
        <v>159</v>
      </c>
      <c r="AJ34" s="82">
        <f t="shared" si="5"/>
        <v>17.031</v>
      </c>
    </row>
    <row r="35">
      <c r="A35" s="76" t="s">
        <v>24</v>
      </c>
      <c r="B35" s="77">
        <f t="shared" si="6"/>
        <v>44594</v>
      </c>
      <c r="C35" s="78">
        <v>2.0</v>
      </c>
      <c r="D35" s="78" t="s">
        <v>48</v>
      </c>
      <c r="E35" s="80" t="s">
        <v>127</v>
      </c>
      <c r="F35" s="71"/>
      <c r="H35" s="72"/>
      <c r="J35" s="72"/>
      <c r="L35" s="105">
        <v>79.0</v>
      </c>
      <c r="N35" s="104">
        <v>83.0</v>
      </c>
      <c r="P35" s="104"/>
      <c r="R35" s="104"/>
      <c r="T35" s="104"/>
      <c r="V35" s="104"/>
      <c r="X35" s="104"/>
      <c r="Y35" s="73"/>
      <c r="Z35" s="105"/>
      <c r="AB35" s="104"/>
      <c r="AD35" s="104"/>
      <c r="AF35" s="81">
        <f t="shared" si="1"/>
        <v>2759.022</v>
      </c>
      <c r="AG35" s="78">
        <f t="shared" si="2"/>
        <v>162</v>
      </c>
      <c r="AH35" s="78">
        <f t="shared" si="3"/>
        <v>0</v>
      </c>
      <c r="AI35" s="78">
        <f t="shared" si="4"/>
        <v>162</v>
      </c>
      <c r="AJ35" s="82">
        <f t="shared" si="5"/>
        <v>17.031</v>
      </c>
    </row>
    <row r="36">
      <c r="A36" s="76" t="s">
        <v>27</v>
      </c>
      <c r="B36" s="77">
        <f t="shared" si="6"/>
        <v>44595</v>
      </c>
      <c r="C36" s="78">
        <v>2.0</v>
      </c>
      <c r="D36" s="78" t="s">
        <v>48</v>
      </c>
      <c r="E36" s="80" t="s">
        <v>127</v>
      </c>
      <c r="F36" s="71"/>
      <c r="H36" s="72"/>
      <c r="J36" s="72"/>
      <c r="L36" s="105">
        <v>45.0</v>
      </c>
      <c r="N36" s="104">
        <v>56.0</v>
      </c>
      <c r="P36" s="104"/>
      <c r="R36" s="104"/>
      <c r="T36" s="104"/>
      <c r="V36" s="104"/>
      <c r="X36" s="104"/>
      <c r="Y36" s="73"/>
      <c r="Z36" s="105"/>
      <c r="AB36" s="104"/>
      <c r="AD36" s="104"/>
      <c r="AF36" s="81">
        <f t="shared" si="1"/>
        <v>1720.131</v>
      </c>
      <c r="AG36" s="78">
        <f t="shared" si="2"/>
        <v>101</v>
      </c>
      <c r="AH36" s="78">
        <f t="shared" si="3"/>
        <v>0</v>
      </c>
      <c r="AI36" s="78">
        <f t="shared" si="4"/>
        <v>101</v>
      </c>
      <c r="AJ36" s="82">
        <f t="shared" si="5"/>
        <v>17.031</v>
      </c>
    </row>
    <row r="37">
      <c r="A37" s="83" t="s">
        <v>30</v>
      </c>
      <c r="B37" s="84">
        <f t="shared" si="6"/>
        <v>44596</v>
      </c>
      <c r="C37" s="85">
        <v>2.0</v>
      </c>
      <c r="D37" s="85" t="s">
        <v>48</v>
      </c>
      <c r="E37" s="87" t="s">
        <v>127</v>
      </c>
      <c r="F37" s="88"/>
      <c r="G37" s="89"/>
      <c r="H37" s="90"/>
      <c r="I37" s="89"/>
      <c r="J37" s="90"/>
      <c r="K37" s="89"/>
      <c r="L37" s="112">
        <v>0.0</v>
      </c>
      <c r="M37" s="89"/>
      <c r="N37" s="111">
        <v>0.0</v>
      </c>
      <c r="O37" s="89"/>
      <c r="P37" s="111"/>
      <c r="Q37" s="89"/>
      <c r="R37" s="111"/>
      <c r="S37" s="89"/>
      <c r="T37" s="111"/>
      <c r="U37" s="89"/>
      <c r="V37" s="111"/>
      <c r="W37" s="89"/>
      <c r="X37" s="111"/>
      <c r="Y37" s="91"/>
      <c r="Z37" s="112"/>
      <c r="AA37" s="89"/>
      <c r="AB37" s="111"/>
      <c r="AC37" s="89"/>
      <c r="AD37" s="111"/>
      <c r="AE37" s="89"/>
      <c r="AF37" s="92">
        <f t="shared" si="1"/>
        <v>0</v>
      </c>
      <c r="AG37" s="85">
        <f t="shared" si="2"/>
        <v>0</v>
      </c>
      <c r="AH37" s="85">
        <f t="shared" si="3"/>
        <v>0</v>
      </c>
      <c r="AI37" s="85">
        <f t="shared" si="4"/>
        <v>0</v>
      </c>
      <c r="AJ37" s="93" t="str">
        <f t="shared" si="5"/>
        <v/>
      </c>
    </row>
    <row r="38">
      <c r="A38" s="66" t="s">
        <v>11</v>
      </c>
      <c r="B38" s="94">
        <f t="shared" si="6"/>
        <v>44597</v>
      </c>
      <c r="C38" s="68">
        <v>2.0</v>
      </c>
      <c r="D38" s="68" t="s">
        <v>59</v>
      </c>
      <c r="E38" s="70" t="s">
        <v>127</v>
      </c>
      <c r="F38" s="102">
        <v>0.0</v>
      </c>
      <c r="H38" s="103">
        <v>0.0</v>
      </c>
      <c r="J38" s="103">
        <v>0.0</v>
      </c>
      <c r="L38" s="105">
        <v>77.0</v>
      </c>
      <c r="N38" s="104">
        <v>93.0</v>
      </c>
      <c r="P38" s="104"/>
      <c r="R38" s="104"/>
      <c r="T38" s="104"/>
      <c r="V38" s="104"/>
      <c r="X38" s="104"/>
      <c r="Y38" s="73"/>
      <c r="Z38" s="105"/>
      <c r="AB38" s="104"/>
      <c r="AD38" s="104"/>
      <c r="AF38" s="74">
        <f t="shared" si="1"/>
        <v>2895.27</v>
      </c>
      <c r="AG38" s="68">
        <f t="shared" si="2"/>
        <v>170</v>
      </c>
      <c r="AH38" s="68">
        <f t="shared" si="3"/>
        <v>0</v>
      </c>
      <c r="AI38" s="68">
        <f t="shared" si="4"/>
        <v>170</v>
      </c>
      <c r="AJ38" s="75">
        <f t="shared" si="5"/>
        <v>17.031</v>
      </c>
    </row>
    <row r="39">
      <c r="A39" s="76" t="s">
        <v>16</v>
      </c>
      <c r="B39" s="77">
        <f t="shared" si="6"/>
        <v>44598</v>
      </c>
      <c r="C39" s="78">
        <v>2.0</v>
      </c>
      <c r="D39" s="78" t="s">
        <v>59</v>
      </c>
      <c r="E39" s="80" t="s">
        <v>127</v>
      </c>
      <c r="F39" s="102">
        <v>0.0</v>
      </c>
      <c r="H39" s="103">
        <v>0.0</v>
      </c>
      <c r="J39" s="103">
        <v>0.0</v>
      </c>
      <c r="L39" s="105">
        <v>101.0</v>
      </c>
      <c r="N39" s="104">
        <v>125.0</v>
      </c>
      <c r="P39" s="104"/>
      <c r="R39" s="104"/>
      <c r="T39" s="104"/>
      <c r="V39" s="104"/>
      <c r="X39" s="104"/>
      <c r="Y39" s="73"/>
      <c r="Z39" s="105"/>
      <c r="AB39" s="104"/>
      <c r="AD39" s="104"/>
      <c r="AF39" s="81">
        <f t="shared" si="1"/>
        <v>3849.006</v>
      </c>
      <c r="AG39" s="78">
        <f t="shared" si="2"/>
        <v>226</v>
      </c>
      <c r="AH39" s="78">
        <f t="shared" si="3"/>
        <v>0</v>
      </c>
      <c r="AI39" s="78">
        <f t="shared" si="4"/>
        <v>226</v>
      </c>
      <c r="AJ39" s="82">
        <f t="shared" si="5"/>
        <v>17.031</v>
      </c>
    </row>
    <row r="40">
      <c r="A40" s="76" t="s">
        <v>17</v>
      </c>
      <c r="B40" s="77">
        <f t="shared" si="6"/>
        <v>44599</v>
      </c>
      <c r="C40" s="78">
        <v>2.0</v>
      </c>
      <c r="D40" s="78" t="s">
        <v>59</v>
      </c>
      <c r="E40" s="80" t="s">
        <v>127</v>
      </c>
      <c r="F40" s="102">
        <v>0.0</v>
      </c>
      <c r="H40" s="103">
        <v>0.0</v>
      </c>
      <c r="J40" s="103">
        <v>0.0</v>
      </c>
      <c r="L40" s="105">
        <v>103.0</v>
      </c>
      <c r="N40" s="104">
        <v>105.0</v>
      </c>
      <c r="P40" s="104"/>
      <c r="R40" s="104"/>
      <c r="T40" s="104"/>
      <c r="V40" s="104"/>
      <c r="X40" s="104"/>
      <c r="Y40" s="73"/>
      <c r="Z40" s="105"/>
      <c r="AB40" s="104"/>
      <c r="AD40" s="104"/>
      <c r="AF40" s="81">
        <f t="shared" si="1"/>
        <v>3542.448</v>
      </c>
      <c r="AG40" s="78">
        <f t="shared" si="2"/>
        <v>208</v>
      </c>
      <c r="AH40" s="78">
        <f t="shared" si="3"/>
        <v>0</v>
      </c>
      <c r="AI40" s="78">
        <f t="shared" si="4"/>
        <v>208</v>
      </c>
      <c r="AJ40" s="82">
        <f t="shared" si="5"/>
        <v>17.031</v>
      </c>
    </row>
    <row r="41">
      <c r="A41" s="76" t="s">
        <v>21</v>
      </c>
      <c r="B41" s="77">
        <f t="shared" si="6"/>
        <v>44600</v>
      </c>
      <c r="C41" s="78">
        <v>2.0</v>
      </c>
      <c r="D41" s="78" t="s">
        <v>59</v>
      </c>
      <c r="E41" s="80" t="s">
        <v>127</v>
      </c>
      <c r="F41" s="102">
        <v>0.0</v>
      </c>
      <c r="H41" s="103">
        <v>0.0</v>
      </c>
      <c r="J41" s="103">
        <v>0.0</v>
      </c>
      <c r="L41" s="105">
        <v>101.0</v>
      </c>
      <c r="N41" s="104">
        <v>106.0</v>
      </c>
      <c r="P41" s="104"/>
      <c r="R41" s="104"/>
      <c r="T41" s="104"/>
      <c r="V41" s="104"/>
      <c r="X41" s="104"/>
      <c r="Y41" s="73"/>
      <c r="Z41" s="105"/>
      <c r="AB41" s="104"/>
      <c r="AD41" s="104"/>
      <c r="AF41" s="81">
        <f t="shared" si="1"/>
        <v>3525.417</v>
      </c>
      <c r="AG41" s="78">
        <f t="shared" si="2"/>
        <v>207</v>
      </c>
      <c r="AH41" s="78">
        <f t="shared" si="3"/>
        <v>0</v>
      </c>
      <c r="AI41" s="78">
        <f t="shared" si="4"/>
        <v>207</v>
      </c>
      <c r="AJ41" s="82">
        <f t="shared" si="5"/>
        <v>17.031</v>
      </c>
    </row>
    <row r="42">
      <c r="A42" s="76" t="s">
        <v>24</v>
      </c>
      <c r="B42" s="77">
        <f t="shared" si="6"/>
        <v>44601</v>
      </c>
      <c r="C42" s="78">
        <v>2.0</v>
      </c>
      <c r="D42" s="78" t="s">
        <v>59</v>
      </c>
      <c r="E42" s="80" t="s">
        <v>127</v>
      </c>
      <c r="F42" s="102">
        <v>0.0</v>
      </c>
      <c r="H42" s="103">
        <v>0.0</v>
      </c>
      <c r="J42" s="103">
        <v>0.0</v>
      </c>
      <c r="L42" s="105">
        <v>83.0</v>
      </c>
      <c r="N42" s="104">
        <v>90.0</v>
      </c>
      <c r="P42" s="104"/>
      <c r="R42" s="104"/>
      <c r="T42" s="104"/>
      <c r="V42" s="104"/>
      <c r="X42" s="104"/>
      <c r="Y42" s="73"/>
      <c r="Z42" s="105"/>
      <c r="AB42" s="104"/>
      <c r="AD42" s="104"/>
      <c r="AF42" s="81">
        <f t="shared" si="1"/>
        <v>2946.363</v>
      </c>
      <c r="AG42" s="78">
        <f t="shared" si="2"/>
        <v>173</v>
      </c>
      <c r="AH42" s="78">
        <f t="shared" si="3"/>
        <v>0</v>
      </c>
      <c r="AI42" s="78">
        <f t="shared" si="4"/>
        <v>173</v>
      </c>
      <c r="AJ42" s="82">
        <f t="shared" si="5"/>
        <v>17.031</v>
      </c>
    </row>
    <row r="43">
      <c r="A43" s="76" t="s">
        <v>27</v>
      </c>
      <c r="B43" s="77">
        <f t="shared" si="6"/>
        <v>44602</v>
      </c>
      <c r="C43" s="78">
        <v>2.0</v>
      </c>
      <c r="D43" s="78" t="s">
        <v>59</v>
      </c>
      <c r="E43" s="80" t="s">
        <v>127</v>
      </c>
      <c r="F43" s="102">
        <v>21.0</v>
      </c>
      <c r="H43" s="103">
        <v>28.0</v>
      </c>
      <c r="J43" s="103">
        <v>0.0</v>
      </c>
      <c r="L43" s="105">
        <v>51.0</v>
      </c>
      <c r="N43" s="104">
        <v>81.0</v>
      </c>
      <c r="P43" s="104"/>
      <c r="R43" s="104"/>
      <c r="T43" s="104"/>
      <c r="V43" s="104"/>
      <c r="X43" s="104"/>
      <c r="Y43" s="73"/>
      <c r="Z43" s="105"/>
      <c r="AB43" s="104"/>
      <c r="AD43" s="104"/>
      <c r="AF43" s="81">
        <f t="shared" si="1"/>
        <v>3562.125</v>
      </c>
      <c r="AG43" s="78">
        <f t="shared" si="2"/>
        <v>181</v>
      </c>
      <c r="AH43" s="78">
        <f t="shared" si="3"/>
        <v>0</v>
      </c>
      <c r="AI43" s="78">
        <f t="shared" si="4"/>
        <v>181</v>
      </c>
      <c r="AJ43" s="82">
        <f t="shared" si="5"/>
        <v>19.68024862</v>
      </c>
    </row>
    <row r="44">
      <c r="A44" s="83" t="s">
        <v>30</v>
      </c>
      <c r="B44" s="84">
        <f t="shared" si="6"/>
        <v>44603</v>
      </c>
      <c r="C44" s="85">
        <v>2.0</v>
      </c>
      <c r="D44" s="85" t="s">
        <v>59</v>
      </c>
      <c r="E44" s="87" t="s">
        <v>127</v>
      </c>
      <c r="F44" s="109">
        <v>19.0</v>
      </c>
      <c r="G44" s="89"/>
      <c r="H44" s="110">
        <v>20.0</v>
      </c>
      <c r="I44" s="89"/>
      <c r="J44" s="110">
        <v>0.0</v>
      </c>
      <c r="K44" s="89"/>
      <c r="L44" s="112">
        <v>0.0</v>
      </c>
      <c r="M44" s="89"/>
      <c r="N44" s="111">
        <v>0.0</v>
      </c>
      <c r="O44" s="89"/>
      <c r="P44" s="111"/>
      <c r="Q44" s="89"/>
      <c r="R44" s="111"/>
      <c r="S44" s="89"/>
      <c r="T44" s="111"/>
      <c r="U44" s="89"/>
      <c r="V44" s="111"/>
      <c r="W44" s="89"/>
      <c r="X44" s="111"/>
      <c r="Y44" s="91"/>
      <c r="Z44" s="112"/>
      <c r="AA44" s="89"/>
      <c r="AB44" s="111"/>
      <c r="AC44" s="89"/>
      <c r="AD44" s="111"/>
      <c r="AE44" s="89"/>
      <c r="AF44" s="92">
        <f t="shared" si="1"/>
        <v>1045.863</v>
      </c>
      <c r="AG44" s="85">
        <f t="shared" si="2"/>
        <v>39</v>
      </c>
      <c r="AH44" s="85">
        <f t="shared" si="3"/>
        <v>0</v>
      </c>
      <c r="AI44" s="85">
        <f t="shared" si="4"/>
        <v>39</v>
      </c>
      <c r="AJ44" s="93">
        <f t="shared" si="5"/>
        <v>26.817</v>
      </c>
    </row>
    <row r="45">
      <c r="A45" s="66" t="s">
        <v>11</v>
      </c>
      <c r="B45" s="94">
        <f t="shared" si="6"/>
        <v>44604</v>
      </c>
      <c r="C45" s="68">
        <v>2.0</v>
      </c>
      <c r="D45" s="68" t="s">
        <v>12</v>
      </c>
      <c r="E45" s="70" t="s">
        <v>13</v>
      </c>
      <c r="F45" s="105">
        <v>41.0</v>
      </c>
      <c r="H45" s="104">
        <v>79.0</v>
      </c>
      <c r="J45" s="104">
        <v>0.0</v>
      </c>
      <c r="L45" s="105">
        <v>51.0</v>
      </c>
      <c r="N45" s="104">
        <v>81.0</v>
      </c>
      <c r="P45" s="104"/>
      <c r="R45" s="104"/>
      <c r="T45" s="104"/>
      <c r="V45" s="104"/>
      <c r="X45" s="104"/>
      <c r="Y45" s="73"/>
      <c r="Z45" s="105"/>
      <c r="AB45" s="104"/>
      <c r="AD45" s="104"/>
      <c r="AF45" s="74">
        <f t="shared" si="1"/>
        <v>5466.132</v>
      </c>
      <c r="AG45" s="68">
        <f t="shared" si="2"/>
        <v>252</v>
      </c>
      <c r="AH45" s="68">
        <f t="shared" si="3"/>
        <v>0</v>
      </c>
      <c r="AI45" s="68">
        <f t="shared" si="4"/>
        <v>252</v>
      </c>
      <c r="AJ45" s="75">
        <f t="shared" si="5"/>
        <v>21.691</v>
      </c>
    </row>
    <row r="46">
      <c r="A46" s="76" t="s">
        <v>16</v>
      </c>
      <c r="B46" s="77">
        <f t="shared" si="6"/>
        <v>44605</v>
      </c>
      <c r="C46" s="78">
        <v>2.0</v>
      </c>
      <c r="D46" s="78" t="s">
        <v>12</v>
      </c>
      <c r="E46" s="80" t="s">
        <v>13</v>
      </c>
      <c r="F46" s="105">
        <v>114.0</v>
      </c>
      <c r="H46" s="104">
        <v>111.0</v>
      </c>
      <c r="J46" s="104">
        <v>0.0</v>
      </c>
      <c r="L46" s="105">
        <v>38.0</v>
      </c>
      <c r="N46" s="104">
        <v>37.0</v>
      </c>
      <c r="P46" s="104"/>
      <c r="R46" s="104"/>
      <c r="T46" s="104"/>
      <c r="V46" s="104"/>
      <c r="X46" s="104"/>
      <c r="Y46" s="73"/>
      <c r="Z46" s="105"/>
      <c r="AB46" s="104"/>
      <c r="AD46" s="104"/>
      <c r="AF46" s="81">
        <f t="shared" si="1"/>
        <v>7311.15</v>
      </c>
      <c r="AG46" s="78">
        <f t="shared" si="2"/>
        <v>300</v>
      </c>
      <c r="AH46" s="78">
        <f t="shared" si="3"/>
        <v>0</v>
      </c>
      <c r="AI46" s="78">
        <f t="shared" si="4"/>
        <v>300</v>
      </c>
      <c r="AJ46" s="82">
        <f t="shared" si="5"/>
        <v>24.3705</v>
      </c>
    </row>
    <row r="47">
      <c r="A47" s="76" t="s">
        <v>17</v>
      </c>
      <c r="B47" s="77">
        <f t="shared" si="6"/>
        <v>44606</v>
      </c>
      <c r="C47" s="78">
        <v>2.0</v>
      </c>
      <c r="D47" s="78" t="s">
        <v>12</v>
      </c>
      <c r="E47" s="80" t="s">
        <v>13</v>
      </c>
      <c r="F47" s="105">
        <v>124.0</v>
      </c>
      <c r="H47" s="104">
        <v>114.0</v>
      </c>
      <c r="J47" s="104">
        <v>0.0</v>
      </c>
      <c r="L47" s="105">
        <v>75.0</v>
      </c>
      <c r="N47" s="104">
        <v>88.0</v>
      </c>
      <c r="P47" s="104"/>
      <c r="R47" s="104"/>
      <c r="T47" s="104"/>
      <c r="V47" s="104"/>
      <c r="X47" s="104"/>
      <c r="Y47" s="73"/>
      <c r="Z47" s="105"/>
      <c r="AB47" s="104"/>
      <c r="AD47" s="104"/>
      <c r="AF47" s="81">
        <f t="shared" si="1"/>
        <v>9158.499</v>
      </c>
      <c r="AG47" s="78">
        <f t="shared" si="2"/>
        <v>401</v>
      </c>
      <c r="AH47" s="78">
        <f t="shared" si="3"/>
        <v>0</v>
      </c>
      <c r="AI47" s="78">
        <f t="shared" si="4"/>
        <v>401</v>
      </c>
      <c r="AJ47" s="82">
        <f t="shared" si="5"/>
        <v>22.83914963</v>
      </c>
    </row>
    <row r="48">
      <c r="A48" s="76" t="s">
        <v>21</v>
      </c>
      <c r="B48" s="77">
        <f t="shared" si="6"/>
        <v>44607</v>
      </c>
      <c r="C48" s="78">
        <v>2.0</v>
      </c>
      <c r="D48" s="78" t="s">
        <v>12</v>
      </c>
      <c r="E48" s="80" t="s">
        <v>13</v>
      </c>
      <c r="F48" s="105">
        <v>113.0</v>
      </c>
      <c r="H48" s="104">
        <v>120.0</v>
      </c>
      <c r="J48" s="104">
        <v>0.0</v>
      </c>
      <c r="L48" s="105">
        <v>101.0</v>
      </c>
      <c r="N48" s="104">
        <v>122.0</v>
      </c>
      <c r="P48" s="104"/>
      <c r="R48" s="104"/>
      <c r="T48" s="104"/>
      <c r="V48" s="104"/>
      <c r="X48" s="104"/>
      <c r="Y48" s="73"/>
      <c r="Z48" s="105"/>
      <c r="AB48" s="104"/>
      <c r="AD48" s="104"/>
      <c r="AF48" s="81">
        <f t="shared" si="1"/>
        <v>10046.274</v>
      </c>
      <c r="AG48" s="78">
        <f t="shared" si="2"/>
        <v>456</v>
      </c>
      <c r="AH48" s="78">
        <f t="shared" si="3"/>
        <v>0</v>
      </c>
      <c r="AI48" s="78">
        <f t="shared" si="4"/>
        <v>456</v>
      </c>
      <c r="AJ48" s="82">
        <f t="shared" si="5"/>
        <v>22.03130263</v>
      </c>
    </row>
    <row r="49">
      <c r="A49" s="76" t="s">
        <v>24</v>
      </c>
      <c r="B49" s="77">
        <f t="shared" si="6"/>
        <v>44608</v>
      </c>
      <c r="C49" s="78">
        <v>2.0</v>
      </c>
      <c r="D49" s="78" t="s">
        <v>12</v>
      </c>
      <c r="E49" s="80" t="s">
        <v>13</v>
      </c>
      <c r="F49" s="105">
        <v>145.0</v>
      </c>
      <c r="H49" s="104">
        <v>117.0</v>
      </c>
      <c r="J49" s="104">
        <v>0.0</v>
      </c>
      <c r="L49" s="105">
        <v>128.0</v>
      </c>
      <c r="N49" s="104">
        <v>134.0</v>
      </c>
      <c r="P49" s="104"/>
      <c r="R49" s="104"/>
      <c r="T49" s="104"/>
      <c r="V49" s="104"/>
      <c r="X49" s="104"/>
      <c r="Y49" s="73"/>
      <c r="Z49" s="105"/>
      <c r="AB49" s="104"/>
      <c r="AD49" s="104"/>
      <c r="AF49" s="81">
        <f t="shared" si="1"/>
        <v>11488.176</v>
      </c>
      <c r="AG49" s="78">
        <f t="shared" si="2"/>
        <v>524</v>
      </c>
      <c r="AH49" s="78">
        <f t="shared" si="3"/>
        <v>0</v>
      </c>
      <c r="AI49" s="78">
        <f t="shared" si="4"/>
        <v>524</v>
      </c>
      <c r="AJ49" s="82">
        <f t="shared" si="5"/>
        <v>21.924</v>
      </c>
    </row>
    <row r="50">
      <c r="A50" s="76" t="s">
        <v>27</v>
      </c>
      <c r="B50" s="77">
        <f t="shared" si="6"/>
        <v>44609</v>
      </c>
      <c r="C50" s="78">
        <v>2.0</v>
      </c>
      <c r="D50" s="78" t="s">
        <v>12</v>
      </c>
      <c r="E50" s="80" t="s">
        <v>13</v>
      </c>
      <c r="F50" s="105">
        <v>118.0</v>
      </c>
      <c r="H50" s="104">
        <v>119.0</v>
      </c>
      <c r="J50" s="104">
        <v>0.0</v>
      </c>
      <c r="L50" s="105">
        <v>117.0</v>
      </c>
      <c r="N50" s="104">
        <v>123.0</v>
      </c>
      <c r="P50" s="104"/>
      <c r="R50" s="104"/>
      <c r="T50" s="104"/>
      <c r="V50" s="104"/>
      <c r="X50" s="104"/>
      <c r="Y50" s="73"/>
      <c r="Z50" s="105"/>
      <c r="AB50" s="104"/>
      <c r="AD50" s="104"/>
      <c r="AF50" s="81">
        <f t="shared" si="1"/>
        <v>10443.069</v>
      </c>
      <c r="AG50" s="78">
        <f t="shared" si="2"/>
        <v>477</v>
      </c>
      <c r="AH50" s="78">
        <f t="shared" si="3"/>
        <v>0</v>
      </c>
      <c r="AI50" s="78">
        <f t="shared" si="4"/>
        <v>477</v>
      </c>
      <c r="AJ50" s="82">
        <f t="shared" si="5"/>
        <v>21.89322642</v>
      </c>
    </row>
    <row r="51">
      <c r="A51" s="83" t="s">
        <v>30</v>
      </c>
      <c r="B51" s="84">
        <f t="shared" si="6"/>
        <v>44610</v>
      </c>
      <c r="C51" s="85">
        <v>2.0</v>
      </c>
      <c r="D51" s="85" t="s">
        <v>12</v>
      </c>
      <c r="E51" s="87" t="s">
        <v>13</v>
      </c>
      <c r="F51" s="112">
        <v>98.0</v>
      </c>
      <c r="G51" s="89"/>
      <c r="H51" s="111">
        <v>61.0</v>
      </c>
      <c r="I51" s="89"/>
      <c r="J51" s="111">
        <v>0.0</v>
      </c>
      <c r="K51" s="89"/>
      <c r="L51" s="112">
        <v>26.0</v>
      </c>
      <c r="M51" s="89"/>
      <c r="N51" s="111">
        <v>64.0</v>
      </c>
      <c r="O51" s="89"/>
      <c r="P51" s="111"/>
      <c r="Q51" s="89"/>
      <c r="R51" s="111"/>
      <c r="S51" s="89"/>
      <c r="T51" s="111"/>
      <c r="U51" s="89"/>
      <c r="V51" s="111"/>
      <c r="W51" s="89"/>
      <c r="X51" s="111"/>
      <c r="Y51" s="91"/>
      <c r="Z51" s="112"/>
      <c r="AA51" s="89"/>
      <c r="AB51" s="111"/>
      <c r="AC51" s="89"/>
      <c r="AD51" s="111"/>
      <c r="AE51" s="89"/>
      <c r="AF51" s="92">
        <f t="shared" si="1"/>
        <v>5796.693</v>
      </c>
      <c r="AG51" s="85">
        <f t="shared" si="2"/>
        <v>249</v>
      </c>
      <c r="AH51" s="85">
        <f t="shared" si="3"/>
        <v>0</v>
      </c>
      <c r="AI51" s="85">
        <f t="shared" si="4"/>
        <v>249</v>
      </c>
      <c r="AJ51" s="93">
        <f t="shared" si="5"/>
        <v>23.27989157</v>
      </c>
    </row>
    <row r="52">
      <c r="A52" s="66" t="s">
        <v>11</v>
      </c>
      <c r="B52" s="94">
        <f t="shared" si="6"/>
        <v>44611</v>
      </c>
      <c r="C52" s="68">
        <v>2.0</v>
      </c>
      <c r="D52" s="68" t="s">
        <v>33</v>
      </c>
      <c r="E52" s="70" t="s">
        <v>13</v>
      </c>
      <c r="F52" s="105">
        <v>136.0</v>
      </c>
      <c r="H52" s="104">
        <v>132.0</v>
      </c>
      <c r="J52" s="104">
        <v>0.0</v>
      </c>
      <c r="L52" s="105">
        <v>143.0</v>
      </c>
      <c r="N52" s="104">
        <v>140.0</v>
      </c>
      <c r="P52" s="104"/>
      <c r="R52" s="104"/>
      <c r="T52" s="104"/>
      <c r="V52" s="104"/>
      <c r="X52" s="104"/>
      <c r="Y52" s="73"/>
      <c r="Z52" s="105"/>
      <c r="AB52" s="104"/>
      <c r="AD52" s="104"/>
      <c r="AF52" s="74">
        <f t="shared" si="1"/>
        <v>12006.729</v>
      </c>
      <c r="AG52" s="68">
        <f t="shared" si="2"/>
        <v>551</v>
      </c>
      <c r="AH52" s="68">
        <f t="shared" si="3"/>
        <v>0</v>
      </c>
      <c r="AI52" s="68">
        <f t="shared" si="4"/>
        <v>551</v>
      </c>
      <c r="AJ52" s="75">
        <f t="shared" si="5"/>
        <v>21.79079673</v>
      </c>
    </row>
    <row r="53">
      <c r="A53" s="76" t="s">
        <v>16</v>
      </c>
      <c r="B53" s="77">
        <f t="shared" si="6"/>
        <v>44612</v>
      </c>
      <c r="C53" s="78">
        <v>2.0</v>
      </c>
      <c r="D53" s="78" t="s">
        <v>33</v>
      </c>
      <c r="E53" s="80" t="s">
        <v>13</v>
      </c>
      <c r="F53" s="105">
        <v>110.0</v>
      </c>
      <c r="H53" s="104">
        <v>127.0</v>
      </c>
      <c r="J53" s="104">
        <v>0.0</v>
      </c>
      <c r="L53" s="105">
        <v>138.0</v>
      </c>
      <c r="N53" s="104">
        <v>167.0</v>
      </c>
      <c r="P53" s="104"/>
      <c r="R53" s="104"/>
      <c r="T53" s="104"/>
      <c r="V53" s="104"/>
      <c r="X53" s="104"/>
      <c r="Y53" s="73"/>
      <c r="Z53" s="105"/>
      <c r="AB53" s="104"/>
      <c r="AD53" s="104"/>
      <c r="AF53" s="81">
        <f t="shared" si="1"/>
        <v>11550.084</v>
      </c>
      <c r="AG53" s="78">
        <f t="shared" si="2"/>
        <v>542</v>
      </c>
      <c r="AH53" s="78">
        <f t="shared" si="3"/>
        <v>0</v>
      </c>
      <c r="AI53" s="78">
        <f t="shared" si="4"/>
        <v>542</v>
      </c>
      <c r="AJ53" s="82">
        <f t="shared" si="5"/>
        <v>21.31011808</v>
      </c>
    </row>
    <row r="54">
      <c r="A54" s="76" t="s">
        <v>17</v>
      </c>
      <c r="B54" s="77">
        <f t="shared" si="6"/>
        <v>44613</v>
      </c>
      <c r="C54" s="78">
        <v>2.0</v>
      </c>
      <c r="D54" s="78" t="s">
        <v>33</v>
      </c>
      <c r="E54" s="80" t="s">
        <v>13</v>
      </c>
      <c r="F54" s="105">
        <v>126.0</v>
      </c>
      <c r="H54" s="104">
        <v>119.0</v>
      </c>
      <c r="J54" s="104">
        <v>0.0</v>
      </c>
      <c r="L54" s="105">
        <v>145.0</v>
      </c>
      <c r="N54" s="104">
        <v>160.0</v>
      </c>
      <c r="P54" s="104"/>
      <c r="R54" s="104"/>
      <c r="T54" s="104"/>
      <c r="V54" s="104"/>
      <c r="X54" s="104"/>
      <c r="Y54" s="73"/>
      <c r="Z54" s="105"/>
      <c r="AB54" s="104"/>
      <c r="AD54" s="104"/>
      <c r="AF54" s="81">
        <f t="shared" si="1"/>
        <v>11764.62</v>
      </c>
      <c r="AG54" s="78">
        <f t="shared" si="2"/>
        <v>550</v>
      </c>
      <c r="AH54" s="78">
        <f t="shared" si="3"/>
        <v>0</v>
      </c>
      <c r="AI54" s="78">
        <f t="shared" si="4"/>
        <v>550</v>
      </c>
      <c r="AJ54" s="82">
        <f t="shared" si="5"/>
        <v>21.39021818</v>
      </c>
    </row>
    <row r="55">
      <c r="A55" s="76" t="s">
        <v>21</v>
      </c>
      <c r="B55" s="77">
        <f t="shared" si="6"/>
        <v>44614</v>
      </c>
      <c r="C55" s="78">
        <v>2.0</v>
      </c>
      <c r="D55" s="78" t="s">
        <v>33</v>
      </c>
      <c r="E55" s="80" t="s">
        <v>13</v>
      </c>
      <c r="F55" s="105">
        <v>131.0</v>
      </c>
      <c r="H55" s="104">
        <v>127.0</v>
      </c>
      <c r="J55" s="104">
        <v>0.0</v>
      </c>
      <c r="L55" s="105">
        <v>125.0</v>
      </c>
      <c r="N55" s="104">
        <v>168.0</v>
      </c>
      <c r="P55" s="104"/>
      <c r="R55" s="104"/>
      <c r="T55" s="104"/>
      <c r="V55" s="104"/>
      <c r="X55" s="104"/>
      <c r="Y55" s="73"/>
      <c r="Z55" s="105"/>
      <c r="AB55" s="104"/>
      <c r="AD55" s="104"/>
      <c r="AF55" s="81">
        <f t="shared" si="1"/>
        <v>11908.869</v>
      </c>
      <c r="AG55" s="78">
        <f t="shared" si="2"/>
        <v>551</v>
      </c>
      <c r="AH55" s="78">
        <f t="shared" si="3"/>
        <v>0</v>
      </c>
      <c r="AI55" s="78">
        <f t="shared" si="4"/>
        <v>551</v>
      </c>
      <c r="AJ55" s="82">
        <f t="shared" si="5"/>
        <v>21.61319238</v>
      </c>
    </row>
    <row r="56">
      <c r="A56" s="76" t="s">
        <v>24</v>
      </c>
      <c r="B56" s="77">
        <f t="shared" si="6"/>
        <v>44615</v>
      </c>
      <c r="C56" s="78">
        <v>2.0</v>
      </c>
      <c r="D56" s="78" t="s">
        <v>33</v>
      </c>
      <c r="E56" s="80" t="s">
        <v>13</v>
      </c>
      <c r="F56" s="105">
        <v>142.0</v>
      </c>
      <c r="H56" s="104">
        <v>112.0</v>
      </c>
      <c r="J56" s="104">
        <v>0.0</v>
      </c>
      <c r="L56" s="105">
        <v>149.0</v>
      </c>
      <c r="N56" s="104">
        <v>178.0</v>
      </c>
      <c r="P56" s="104"/>
      <c r="R56" s="104"/>
      <c r="T56" s="104"/>
      <c r="V56" s="104"/>
      <c r="X56" s="104"/>
      <c r="Y56" s="73"/>
      <c r="Z56" s="105"/>
      <c r="AB56" s="104"/>
      <c r="AD56" s="104"/>
      <c r="AF56" s="81">
        <f t="shared" si="1"/>
        <v>12380.655</v>
      </c>
      <c r="AG56" s="78">
        <f t="shared" si="2"/>
        <v>581</v>
      </c>
      <c r="AH56" s="78">
        <f t="shared" si="3"/>
        <v>0</v>
      </c>
      <c r="AI56" s="78">
        <f t="shared" si="4"/>
        <v>581</v>
      </c>
      <c r="AJ56" s="82">
        <f t="shared" si="5"/>
        <v>21.30921687</v>
      </c>
    </row>
    <row r="57">
      <c r="A57" s="76" t="s">
        <v>27</v>
      </c>
      <c r="B57" s="77">
        <f t="shared" si="6"/>
        <v>44616</v>
      </c>
      <c r="C57" s="78">
        <v>2.0</v>
      </c>
      <c r="D57" s="78" t="s">
        <v>33</v>
      </c>
      <c r="E57" s="80" t="s">
        <v>13</v>
      </c>
      <c r="F57" s="105">
        <v>109.0</v>
      </c>
      <c r="H57" s="104">
        <v>124.0</v>
      </c>
      <c r="J57" s="104">
        <v>0.0</v>
      </c>
      <c r="L57" s="105">
        <v>93.0</v>
      </c>
      <c r="N57" s="104">
        <v>158.0</v>
      </c>
      <c r="P57" s="104"/>
      <c r="R57" s="104"/>
      <c r="T57" s="104"/>
      <c r="V57" s="104"/>
      <c r="X57" s="104"/>
      <c r="Y57" s="73"/>
      <c r="Z57" s="105"/>
      <c r="AB57" s="104"/>
      <c r="AD57" s="104"/>
      <c r="AF57" s="81">
        <f t="shared" si="1"/>
        <v>10523.142</v>
      </c>
      <c r="AG57" s="78">
        <f t="shared" si="2"/>
        <v>484</v>
      </c>
      <c r="AH57" s="78">
        <f t="shared" si="3"/>
        <v>0</v>
      </c>
      <c r="AI57" s="78">
        <f t="shared" si="4"/>
        <v>484</v>
      </c>
      <c r="AJ57" s="82">
        <f t="shared" si="5"/>
        <v>21.74202893</v>
      </c>
    </row>
    <row r="58">
      <c r="A58" s="83" t="s">
        <v>30</v>
      </c>
      <c r="B58" s="84">
        <f t="shared" si="6"/>
        <v>44617</v>
      </c>
      <c r="C58" s="85">
        <v>2.0</v>
      </c>
      <c r="D58" s="85" t="s">
        <v>33</v>
      </c>
      <c r="E58" s="87" t="s">
        <v>13</v>
      </c>
      <c r="F58" s="112">
        <v>113.0</v>
      </c>
      <c r="G58" s="89"/>
      <c r="H58" s="111">
        <v>126.0</v>
      </c>
      <c r="I58" s="89"/>
      <c r="J58" s="111">
        <v>0.0</v>
      </c>
      <c r="K58" s="89"/>
      <c r="L58" s="112">
        <v>100.0</v>
      </c>
      <c r="M58" s="89"/>
      <c r="N58" s="111">
        <v>164.0</v>
      </c>
      <c r="O58" s="89"/>
      <c r="P58" s="111"/>
      <c r="Q58" s="89"/>
      <c r="R58" s="111"/>
      <c r="S58" s="89"/>
      <c r="T58" s="111"/>
      <c r="U58" s="89"/>
      <c r="V58" s="111"/>
      <c r="W58" s="89"/>
      <c r="X58" s="111"/>
      <c r="Y58" s="91"/>
      <c r="Z58" s="112"/>
      <c r="AA58" s="89"/>
      <c r="AB58" s="111"/>
      <c r="AC58" s="89"/>
      <c r="AD58" s="111"/>
      <c r="AE58" s="89"/>
      <c r="AF58" s="92">
        <f t="shared" si="1"/>
        <v>10905.447</v>
      </c>
      <c r="AG58" s="85">
        <f t="shared" si="2"/>
        <v>503</v>
      </c>
      <c r="AH58" s="85">
        <f t="shared" si="3"/>
        <v>0</v>
      </c>
      <c r="AI58" s="85">
        <f t="shared" si="4"/>
        <v>503</v>
      </c>
      <c r="AJ58" s="93">
        <f t="shared" si="5"/>
        <v>21.68080915</v>
      </c>
    </row>
    <row r="59">
      <c r="A59" s="66" t="s">
        <v>11</v>
      </c>
      <c r="B59" s="94">
        <f t="shared" si="6"/>
        <v>44618</v>
      </c>
      <c r="C59" s="68">
        <v>3.0</v>
      </c>
      <c r="D59" s="68" t="s">
        <v>48</v>
      </c>
      <c r="E59" s="70" t="s">
        <v>13</v>
      </c>
      <c r="F59" s="105">
        <v>126.0</v>
      </c>
      <c r="H59" s="104">
        <v>132.0</v>
      </c>
      <c r="J59" s="104">
        <v>0.0</v>
      </c>
      <c r="L59" s="105">
        <v>213.0</v>
      </c>
      <c r="N59" s="104">
        <v>212.0</v>
      </c>
      <c r="P59" s="104"/>
      <c r="R59" s="104"/>
      <c r="T59" s="104"/>
      <c r="V59" s="104"/>
      <c r="X59" s="104"/>
      <c r="Y59" s="73"/>
      <c r="Z59" s="105"/>
      <c r="AB59" s="104"/>
      <c r="AD59" s="104"/>
      <c r="AF59" s="74">
        <f t="shared" si="1"/>
        <v>14156.961</v>
      </c>
      <c r="AG59" s="68">
        <f t="shared" si="2"/>
        <v>683</v>
      </c>
      <c r="AH59" s="68">
        <f t="shared" si="3"/>
        <v>0</v>
      </c>
      <c r="AI59" s="68">
        <f t="shared" si="4"/>
        <v>683</v>
      </c>
      <c r="AJ59" s="75">
        <f t="shared" si="5"/>
        <v>20.72761493</v>
      </c>
    </row>
    <row r="60">
      <c r="A60" s="76" t="s">
        <v>16</v>
      </c>
      <c r="B60" s="77">
        <f t="shared" si="6"/>
        <v>44619</v>
      </c>
      <c r="C60" s="78">
        <v>3.0</v>
      </c>
      <c r="D60" s="78" t="s">
        <v>48</v>
      </c>
      <c r="E60" s="80" t="s">
        <v>13</v>
      </c>
      <c r="F60" s="105">
        <v>142.0</v>
      </c>
      <c r="H60" s="104">
        <v>132.0</v>
      </c>
      <c r="J60" s="104">
        <v>0.0</v>
      </c>
      <c r="L60" s="105">
        <v>135.0</v>
      </c>
      <c r="N60" s="104">
        <v>191.0</v>
      </c>
      <c r="P60" s="104"/>
      <c r="R60" s="104"/>
      <c r="T60" s="104"/>
      <c r="V60" s="104"/>
      <c r="X60" s="104"/>
      <c r="Y60" s="73"/>
      <c r="Z60" s="105"/>
      <c r="AB60" s="104"/>
      <c r="AD60" s="104"/>
      <c r="AF60" s="81">
        <f t="shared" si="1"/>
        <v>12899.964</v>
      </c>
      <c r="AG60" s="78">
        <f t="shared" si="2"/>
        <v>600</v>
      </c>
      <c r="AH60" s="78">
        <f t="shared" si="3"/>
        <v>0</v>
      </c>
      <c r="AI60" s="78">
        <f t="shared" si="4"/>
        <v>600</v>
      </c>
      <c r="AJ60" s="82">
        <f t="shared" si="5"/>
        <v>21.49994</v>
      </c>
    </row>
    <row r="61">
      <c r="A61" s="76" t="s">
        <v>17</v>
      </c>
      <c r="B61" s="77">
        <f t="shared" si="6"/>
        <v>44620</v>
      </c>
      <c r="C61" s="78">
        <v>3.0</v>
      </c>
      <c r="D61" s="78" t="s">
        <v>48</v>
      </c>
      <c r="E61" s="80" t="s">
        <v>13</v>
      </c>
      <c r="F61" s="105">
        <v>0.0</v>
      </c>
      <c r="H61" s="104">
        <v>0.0</v>
      </c>
      <c r="J61" s="104">
        <v>0.0</v>
      </c>
      <c r="L61" s="105">
        <v>130.0</v>
      </c>
      <c r="N61" s="104">
        <v>157.0</v>
      </c>
      <c r="P61" s="104"/>
      <c r="R61" s="104"/>
      <c r="T61" s="104"/>
      <c r="V61" s="104"/>
      <c r="X61" s="104"/>
      <c r="Y61" s="73"/>
      <c r="Z61" s="105"/>
      <c r="AB61" s="104"/>
      <c r="AD61" s="104"/>
      <c r="AF61" s="81">
        <f t="shared" si="1"/>
        <v>4887.897</v>
      </c>
      <c r="AG61" s="78">
        <f t="shared" si="2"/>
        <v>287</v>
      </c>
      <c r="AH61" s="78">
        <f t="shared" si="3"/>
        <v>0</v>
      </c>
      <c r="AI61" s="78">
        <f t="shared" si="4"/>
        <v>287</v>
      </c>
      <c r="AJ61" s="82">
        <f t="shared" si="5"/>
        <v>17.031</v>
      </c>
    </row>
    <row r="62">
      <c r="A62" s="76" t="s">
        <v>21</v>
      </c>
      <c r="B62" s="77">
        <f t="shared" si="6"/>
        <v>44621</v>
      </c>
      <c r="C62" s="78">
        <v>3.0</v>
      </c>
      <c r="D62" s="78" t="s">
        <v>48</v>
      </c>
      <c r="E62" s="80" t="s">
        <v>13</v>
      </c>
      <c r="F62" s="105">
        <v>0.0</v>
      </c>
      <c r="H62" s="104">
        <v>129.0</v>
      </c>
      <c r="J62" s="104">
        <v>87.0</v>
      </c>
      <c r="L62" s="105">
        <v>206.0</v>
      </c>
      <c r="N62" s="104">
        <v>245.0</v>
      </c>
      <c r="P62" s="104"/>
      <c r="R62" s="104"/>
      <c r="T62" s="104"/>
      <c r="V62" s="104"/>
      <c r="X62" s="104"/>
      <c r="Y62" s="73"/>
      <c r="Z62" s="105"/>
      <c r="AB62" s="104"/>
      <c r="AD62" s="104"/>
      <c r="AF62" s="81">
        <f t="shared" si="1"/>
        <v>13473.453</v>
      </c>
      <c r="AG62" s="78">
        <f t="shared" si="2"/>
        <v>667</v>
      </c>
      <c r="AH62" s="78">
        <f t="shared" si="3"/>
        <v>0</v>
      </c>
      <c r="AI62" s="78">
        <f t="shared" si="4"/>
        <v>667</v>
      </c>
      <c r="AJ62" s="82">
        <f t="shared" si="5"/>
        <v>20.20007946</v>
      </c>
    </row>
    <row r="63">
      <c r="A63" s="76" t="s">
        <v>24</v>
      </c>
      <c r="B63" s="77">
        <f t="shared" si="6"/>
        <v>44622</v>
      </c>
      <c r="C63" s="78">
        <v>3.0</v>
      </c>
      <c r="D63" s="78" t="s">
        <v>48</v>
      </c>
      <c r="E63" s="80" t="s">
        <v>13</v>
      </c>
      <c r="F63" s="105">
        <v>139.0</v>
      </c>
      <c r="H63" s="104">
        <v>132.0</v>
      </c>
      <c r="J63" s="104">
        <v>0.0</v>
      </c>
      <c r="L63" s="105">
        <v>160.0</v>
      </c>
      <c r="N63" s="104">
        <v>226.0</v>
      </c>
      <c r="P63" s="104"/>
      <c r="R63" s="104"/>
      <c r="T63" s="104"/>
      <c r="V63" s="104"/>
      <c r="X63" s="104"/>
      <c r="Y63" s="73"/>
      <c r="Z63" s="105"/>
      <c r="AB63" s="104"/>
      <c r="AD63" s="104"/>
      <c r="AF63" s="81">
        <f t="shared" si="1"/>
        <v>13841.373</v>
      </c>
      <c r="AG63" s="78">
        <f t="shared" si="2"/>
        <v>657</v>
      </c>
      <c r="AH63" s="78">
        <f t="shared" si="3"/>
        <v>0</v>
      </c>
      <c r="AI63" s="78">
        <f t="shared" si="4"/>
        <v>657</v>
      </c>
      <c r="AJ63" s="82">
        <f t="shared" si="5"/>
        <v>21.06753881</v>
      </c>
    </row>
    <row r="64">
      <c r="A64" s="76" t="s">
        <v>27</v>
      </c>
      <c r="B64" s="77">
        <f t="shared" si="6"/>
        <v>44623</v>
      </c>
      <c r="C64" s="78">
        <v>3.0</v>
      </c>
      <c r="D64" s="78" t="s">
        <v>48</v>
      </c>
      <c r="E64" s="80" t="s">
        <v>13</v>
      </c>
      <c r="F64" s="105">
        <v>121.0</v>
      </c>
      <c r="H64" s="104">
        <v>129.0</v>
      </c>
      <c r="J64" s="104">
        <v>0.0</v>
      </c>
      <c r="L64" s="105">
        <v>75.0</v>
      </c>
      <c r="N64" s="104">
        <v>185.0</v>
      </c>
      <c r="P64" s="104"/>
      <c r="R64" s="104">
        <v>100.0</v>
      </c>
      <c r="T64" s="104"/>
      <c r="V64" s="104"/>
      <c r="X64" s="104"/>
      <c r="Y64" s="73"/>
      <c r="Z64" s="105"/>
      <c r="AB64" s="104"/>
      <c r="AD64" s="104"/>
      <c r="AF64" s="81">
        <f t="shared" si="1"/>
        <v>11808.51</v>
      </c>
      <c r="AG64" s="78">
        <f t="shared" si="2"/>
        <v>610</v>
      </c>
      <c r="AH64" s="78">
        <f t="shared" si="3"/>
        <v>0</v>
      </c>
      <c r="AI64" s="78">
        <f t="shared" si="4"/>
        <v>610</v>
      </c>
      <c r="AJ64" s="82">
        <f t="shared" si="5"/>
        <v>19.35821311</v>
      </c>
    </row>
    <row r="65">
      <c r="A65" s="83" t="s">
        <v>30</v>
      </c>
      <c r="B65" s="84">
        <f t="shared" si="6"/>
        <v>44624</v>
      </c>
      <c r="C65" s="85">
        <v>3.0</v>
      </c>
      <c r="D65" s="85" t="s">
        <v>48</v>
      </c>
      <c r="E65" s="87" t="s">
        <v>13</v>
      </c>
      <c r="F65" s="112">
        <v>119.0</v>
      </c>
      <c r="G65" s="89"/>
      <c r="H65" s="111">
        <v>120.0</v>
      </c>
      <c r="I65" s="89"/>
      <c r="J65" s="111">
        <v>0.0</v>
      </c>
      <c r="K65" s="89"/>
      <c r="L65" s="112">
        <v>118.0</v>
      </c>
      <c r="M65" s="89"/>
      <c r="N65" s="111">
        <v>215.0</v>
      </c>
      <c r="O65" s="89"/>
      <c r="P65" s="111"/>
      <c r="Q65" s="89"/>
      <c r="R65" s="111">
        <v>100.0</v>
      </c>
      <c r="S65" s="89"/>
      <c r="T65" s="111"/>
      <c r="U65" s="89"/>
      <c r="V65" s="111"/>
      <c r="W65" s="89"/>
      <c r="X65" s="111"/>
      <c r="Y65" s="91"/>
      <c r="Z65" s="112"/>
      <c r="AA65" s="89"/>
      <c r="AB65" s="111"/>
      <c r="AC65" s="89"/>
      <c r="AD65" s="111"/>
      <c r="AE65" s="89"/>
      <c r="AF65" s="92">
        <f t="shared" si="1"/>
        <v>12756.786</v>
      </c>
      <c r="AG65" s="85">
        <f t="shared" si="2"/>
        <v>672</v>
      </c>
      <c r="AH65" s="85">
        <f t="shared" si="3"/>
        <v>0</v>
      </c>
      <c r="AI65" s="85">
        <f t="shared" si="4"/>
        <v>672</v>
      </c>
      <c r="AJ65" s="93">
        <f t="shared" si="5"/>
        <v>18.9833125</v>
      </c>
    </row>
    <row r="66">
      <c r="A66" s="66" t="s">
        <v>11</v>
      </c>
      <c r="B66" s="94">
        <f t="shared" si="6"/>
        <v>44625</v>
      </c>
      <c r="C66" s="68">
        <v>3.0</v>
      </c>
      <c r="D66" s="68" t="s">
        <v>59</v>
      </c>
      <c r="E66" s="70" t="s">
        <v>13</v>
      </c>
      <c r="F66" s="105"/>
      <c r="H66" s="104"/>
      <c r="J66" s="104"/>
      <c r="L66" s="105">
        <v>201.0</v>
      </c>
      <c r="N66" s="104">
        <v>291.0</v>
      </c>
      <c r="P66" s="104"/>
      <c r="R66" s="104"/>
      <c r="T66" s="104"/>
      <c r="V66" s="104"/>
      <c r="X66" s="104"/>
      <c r="Y66" s="73"/>
      <c r="Z66" s="105"/>
      <c r="AB66" s="104"/>
      <c r="AD66" s="104"/>
      <c r="AF66" s="74">
        <f t="shared" si="1"/>
        <v>8379.252</v>
      </c>
      <c r="AG66" s="68">
        <f t="shared" si="2"/>
        <v>492</v>
      </c>
      <c r="AH66" s="68">
        <f t="shared" si="3"/>
        <v>0</v>
      </c>
      <c r="AI66" s="68">
        <f t="shared" si="4"/>
        <v>492</v>
      </c>
      <c r="AJ66" s="75">
        <f t="shared" si="5"/>
        <v>17.031</v>
      </c>
    </row>
    <row r="67">
      <c r="A67" s="76" t="s">
        <v>16</v>
      </c>
      <c r="B67" s="77">
        <f t="shared" si="6"/>
        <v>44626</v>
      </c>
      <c r="C67" s="78">
        <v>3.0</v>
      </c>
      <c r="D67" s="78" t="s">
        <v>59</v>
      </c>
      <c r="E67" s="80" t="s">
        <v>13</v>
      </c>
      <c r="F67" s="105"/>
      <c r="H67" s="104"/>
      <c r="J67" s="104"/>
      <c r="L67" s="105">
        <v>233.0</v>
      </c>
      <c r="N67" s="104">
        <v>247.0</v>
      </c>
      <c r="P67" s="104"/>
      <c r="R67" s="104"/>
      <c r="T67" s="104"/>
      <c r="V67" s="104"/>
      <c r="X67" s="104"/>
      <c r="Y67" s="73"/>
      <c r="Z67" s="105"/>
      <c r="AB67" s="104"/>
      <c r="AD67" s="104"/>
      <c r="AF67" s="81">
        <f t="shared" si="1"/>
        <v>8174.88</v>
      </c>
      <c r="AG67" s="78">
        <f t="shared" si="2"/>
        <v>480</v>
      </c>
      <c r="AH67" s="78">
        <f t="shared" si="3"/>
        <v>0</v>
      </c>
      <c r="AI67" s="78">
        <f t="shared" si="4"/>
        <v>480</v>
      </c>
      <c r="AJ67" s="82">
        <f t="shared" si="5"/>
        <v>17.031</v>
      </c>
    </row>
    <row r="68">
      <c r="A68" s="76" t="s">
        <v>17</v>
      </c>
      <c r="B68" s="77">
        <f t="shared" si="6"/>
        <v>44627</v>
      </c>
      <c r="C68" s="78">
        <v>3.0</v>
      </c>
      <c r="D68" s="78" t="s">
        <v>59</v>
      </c>
      <c r="E68" s="80" t="s">
        <v>13</v>
      </c>
      <c r="F68" s="105"/>
      <c r="H68" s="104"/>
      <c r="J68" s="104"/>
      <c r="L68" s="105">
        <v>200.0</v>
      </c>
      <c r="N68" s="104">
        <v>335.0</v>
      </c>
      <c r="P68" s="104"/>
      <c r="R68" s="104"/>
      <c r="T68" s="104"/>
      <c r="V68" s="104"/>
      <c r="X68" s="104"/>
      <c r="Y68" s="73"/>
      <c r="Z68" s="105"/>
      <c r="AB68" s="104"/>
      <c r="AD68" s="104"/>
      <c r="AF68" s="81">
        <f t="shared" si="1"/>
        <v>9111.585</v>
      </c>
      <c r="AG68" s="78">
        <f t="shared" si="2"/>
        <v>535</v>
      </c>
      <c r="AH68" s="78">
        <f t="shared" si="3"/>
        <v>0</v>
      </c>
      <c r="AI68" s="78">
        <f t="shared" si="4"/>
        <v>535</v>
      </c>
      <c r="AJ68" s="82">
        <f t="shared" si="5"/>
        <v>17.031</v>
      </c>
    </row>
    <row r="69">
      <c r="A69" s="76" t="s">
        <v>21</v>
      </c>
      <c r="B69" s="77">
        <f t="shared" si="6"/>
        <v>44628</v>
      </c>
      <c r="C69" s="78">
        <v>3.0</v>
      </c>
      <c r="D69" s="78" t="s">
        <v>59</v>
      </c>
      <c r="E69" s="80" t="s">
        <v>13</v>
      </c>
      <c r="F69" s="105"/>
      <c r="H69" s="104"/>
      <c r="J69" s="104"/>
      <c r="L69" s="105">
        <v>273.0</v>
      </c>
      <c r="N69" s="104">
        <v>312.0</v>
      </c>
      <c r="P69" s="104"/>
      <c r="R69" s="104"/>
      <c r="T69" s="104"/>
      <c r="V69" s="104"/>
      <c r="X69" s="104"/>
      <c r="Y69" s="73"/>
      <c r="Z69" s="105"/>
      <c r="AB69" s="104"/>
      <c r="AD69" s="104"/>
      <c r="AF69" s="81">
        <f t="shared" si="1"/>
        <v>9963.135</v>
      </c>
      <c r="AG69" s="78">
        <f t="shared" si="2"/>
        <v>585</v>
      </c>
      <c r="AH69" s="78">
        <f t="shared" si="3"/>
        <v>0</v>
      </c>
      <c r="AI69" s="78">
        <f t="shared" si="4"/>
        <v>585</v>
      </c>
      <c r="AJ69" s="82">
        <f t="shared" si="5"/>
        <v>17.031</v>
      </c>
    </row>
    <row r="70">
      <c r="A70" s="76" t="s">
        <v>24</v>
      </c>
      <c r="B70" s="77">
        <f t="shared" si="6"/>
        <v>44629</v>
      </c>
      <c r="C70" s="78">
        <v>3.0</v>
      </c>
      <c r="D70" s="78" t="s">
        <v>59</v>
      </c>
      <c r="E70" s="80" t="s">
        <v>13</v>
      </c>
      <c r="F70" s="105"/>
      <c r="H70" s="104"/>
      <c r="J70" s="104"/>
      <c r="L70" s="105">
        <v>201.0</v>
      </c>
      <c r="N70" s="104">
        <v>246.0</v>
      </c>
      <c r="P70" s="104"/>
      <c r="R70" s="104"/>
      <c r="T70" s="104"/>
      <c r="V70" s="104"/>
      <c r="X70" s="104"/>
      <c r="Y70" s="73"/>
      <c r="Z70" s="105"/>
      <c r="AB70" s="104"/>
      <c r="AD70" s="104"/>
      <c r="AF70" s="81">
        <f t="shared" si="1"/>
        <v>7612.857</v>
      </c>
      <c r="AG70" s="78">
        <f t="shared" si="2"/>
        <v>447</v>
      </c>
      <c r="AH70" s="78">
        <f t="shared" si="3"/>
        <v>0</v>
      </c>
      <c r="AI70" s="78">
        <f t="shared" si="4"/>
        <v>447</v>
      </c>
      <c r="AJ70" s="82">
        <f t="shared" si="5"/>
        <v>17.031</v>
      </c>
    </row>
    <row r="71">
      <c r="A71" s="76" t="s">
        <v>27</v>
      </c>
      <c r="B71" s="77">
        <f t="shared" si="6"/>
        <v>44630</v>
      </c>
      <c r="C71" s="78">
        <v>3.0</v>
      </c>
      <c r="D71" s="78" t="s">
        <v>59</v>
      </c>
      <c r="E71" s="80" t="s">
        <v>13</v>
      </c>
      <c r="F71" s="105"/>
      <c r="H71" s="104"/>
      <c r="J71" s="104"/>
      <c r="L71" s="105">
        <v>220.0</v>
      </c>
      <c r="N71" s="104">
        <v>246.0</v>
      </c>
      <c r="P71" s="104"/>
      <c r="R71" s="104"/>
      <c r="T71" s="104"/>
      <c r="V71" s="104"/>
      <c r="X71" s="104"/>
      <c r="Y71" s="73"/>
      <c r="Z71" s="105"/>
      <c r="AB71" s="104"/>
      <c r="AD71" s="104"/>
      <c r="AF71" s="81">
        <f t="shared" si="1"/>
        <v>7936.446</v>
      </c>
      <c r="AG71" s="78">
        <f t="shared" si="2"/>
        <v>466</v>
      </c>
      <c r="AH71" s="78">
        <f t="shared" si="3"/>
        <v>0</v>
      </c>
      <c r="AI71" s="78">
        <f t="shared" si="4"/>
        <v>466</v>
      </c>
      <c r="AJ71" s="82">
        <f t="shared" si="5"/>
        <v>17.031</v>
      </c>
    </row>
    <row r="72">
      <c r="A72" s="83" t="s">
        <v>30</v>
      </c>
      <c r="B72" s="84">
        <f t="shared" si="6"/>
        <v>44631</v>
      </c>
      <c r="C72" s="85">
        <v>3.0</v>
      </c>
      <c r="D72" s="85" t="s">
        <v>59</v>
      </c>
      <c r="E72" s="87" t="s">
        <v>13</v>
      </c>
      <c r="F72" s="112"/>
      <c r="G72" s="89"/>
      <c r="H72" s="111"/>
      <c r="I72" s="89"/>
      <c r="J72" s="111"/>
      <c r="K72" s="89"/>
      <c r="L72" s="112">
        <v>231.0</v>
      </c>
      <c r="M72" s="89"/>
      <c r="N72" s="111">
        <v>293.0</v>
      </c>
      <c r="O72" s="89"/>
      <c r="P72" s="111"/>
      <c r="Q72" s="89"/>
      <c r="R72" s="111"/>
      <c r="S72" s="89"/>
      <c r="T72" s="111"/>
      <c r="U72" s="89"/>
      <c r="V72" s="111"/>
      <c r="W72" s="89"/>
      <c r="X72" s="111"/>
      <c r="Y72" s="91"/>
      <c r="Z72" s="112"/>
      <c r="AA72" s="89"/>
      <c r="AB72" s="111"/>
      <c r="AC72" s="89"/>
      <c r="AD72" s="111"/>
      <c r="AE72" s="89"/>
      <c r="AF72" s="92">
        <f t="shared" si="1"/>
        <v>8924.244</v>
      </c>
      <c r="AG72" s="85">
        <f t="shared" si="2"/>
        <v>524</v>
      </c>
      <c r="AH72" s="85">
        <f t="shared" si="3"/>
        <v>0</v>
      </c>
      <c r="AI72" s="85">
        <f t="shared" si="4"/>
        <v>524</v>
      </c>
      <c r="AJ72" s="93">
        <f t="shared" si="5"/>
        <v>17.031</v>
      </c>
    </row>
    <row r="73">
      <c r="A73" s="66" t="s">
        <v>11</v>
      </c>
      <c r="B73" s="94">
        <f t="shared" si="6"/>
        <v>44632</v>
      </c>
      <c r="C73" s="68">
        <v>3.0</v>
      </c>
      <c r="D73" s="68" t="s">
        <v>12</v>
      </c>
      <c r="E73" s="70" t="s">
        <v>13</v>
      </c>
      <c r="F73" s="105"/>
      <c r="H73" s="104"/>
      <c r="J73" s="104"/>
      <c r="L73" s="105">
        <v>0.0</v>
      </c>
      <c r="N73" s="104">
        <v>0.0</v>
      </c>
      <c r="P73" s="104"/>
      <c r="R73" s="104"/>
      <c r="T73" s="104"/>
      <c r="V73" s="104"/>
      <c r="X73" s="104"/>
      <c r="Y73" s="73"/>
      <c r="Z73" s="105"/>
      <c r="AB73" s="104"/>
      <c r="AD73" s="104"/>
      <c r="AF73" s="74">
        <f t="shared" si="1"/>
        <v>0</v>
      </c>
      <c r="AG73" s="68">
        <f t="shared" si="2"/>
        <v>0</v>
      </c>
      <c r="AH73" s="68">
        <f t="shared" si="3"/>
        <v>0</v>
      </c>
      <c r="AI73" s="68">
        <f t="shared" si="4"/>
        <v>0</v>
      </c>
      <c r="AJ73" s="75" t="str">
        <f t="shared" si="5"/>
        <v/>
      </c>
    </row>
    <row r="74">
      <c r="A74" s="76" t="s">
        <v>16</v>
      </c>
      <c r="B74" s="77">
        <f t="shared" si="6"/>
        <v>44633</v>
      </c>
      <c r="C74" s="78">
        <v>3.0</v>
      </c>
      <c r="D74" s="78" t="s">
        <v>12</v>
      </c>
      <c r="E74" s="80" t="s">
        <v>13</v>
      </c>
      <c r="F74" s="105"/>
      <c r="H74" s="104"/>
      <c r="J74" s="104"/>
      <c r="L74" s="105">
        <v>247.0</v>
      </c>
      <c r="N74" s="104">
        <v>273.0</v>
      </c>
      <c r="P74" s="104"/>
      <c r="R74" s="104"/>
      <c r="T74" s="104"/>
      <c r="V74" s="104"/>
      <c r="X74" s="104"/>
      <c r="Y74" s="73"/>
      <c r="Z74" s="105"/>
      <c r="AB74" s="104"/>
      <c r="AD74" s="104"/>
      <c r="AF74" s="81">
        <f t="shared" si="1"/>
        <v>8856.12</v>
      </c>
      <c r="AG74" s="78">
        <f t="shared" si="2"/>
        <v>520</v>
      </c>
      <c r="AH74" s="78">
        <f t="shared" si="3"/>
        <v>0</v>
      </c>
      <c r="AI74" s="78">
        <f t="shared" si="4"/>
        <v>520</v>
      </c>
      <c r="AJ74" s="82">
        <f t="shared" si="5"/>
        <v>17.031</v>
      </c>
    </row>
    <row r="75">
      <c r="A75" s="76" t="s">
        <v>17</v>
      </c>
      <c r="B75" s="77">
        <f t="shared" si="6"/>
        <v>44634</v>
      </c>
      <c r="C75" s="78">
        <v>3.0</v>
      </c>
      <c r="D75" s="78" t="s">
        <v>12</v>
      </c>
      <c r="E75" s="80" t="s">
        <v>13</v>
      </c>
      <c r="F75" s="105"/>
      <c r="H75" s="104"/>
      <c r="J75" s="104"/>
      <c r="L75" s="105">
        <v>208.0</v>
      </c>
      <c r="N75" s="104">
        <v>240.0</v>
      </c>
      <c r="P75" s="104"/>
      <c r="R75" s="104"/>
      <c r="T75" s="104"/>
      <c r="V75" s="104"/>
      <c r="X75" s="104"/>
      <c r="Y75" s="73"/>
      <c r="Z75" s="105"/>
      <c r="AB75" s="104"/>
      <c r="AD75" s="104"/>
      <c r="AF75" s="81">
        <f t="shared" si="1"/>
        <v>7629.888</v>
      </c>
      <c r="AG75" s="78">
        <f t="shared" si="2"/>
        <v>448</v>
      </c>
      <c r="AH75" s="78">
        <f t="shared" si="3"/>
        <v>0</v>
      </c>
      <c r="AI75" s="78">
        <f t="shared" si="4"/>
        <v>448</v>
      </c>
      <c r="AJ75" s="82">
        <f t="shared" si="5"/>
        <v>17.031</v>
      </c>
    </row>
    <row r="76">
      <c r="A76" s="76" t="s">
        <v>21</v>
      </c>
      <c r="B76" s="77">
        <f t="shared" si="6"/>
        <v>44635</v>
      </c>
      <c r="C76" s="78">
        <v>3.0</v>
      </c>
      <c r="D76" s="78" t="s">
        <v>12</v>
      </c>
      <c r="E76" s="80" t="s">
        <v>13</v>
      </c>
      <c r="F76" s="105"/>
      <c r="H76" s="104"/>
      <c r="J76" s="104"/>
      <c r="L76" s="105">
        <v>322.0</v>
      </c>
      <c r="N76" s="104">
        <v>341.0</v>
      </c>
      <c r="P76" s="104"/>
      <c r="R76" s="104"/>
      <c r="T76" s="104"/>
      <c r="V76" s="104"/>
      <c r="X76" s="104"/>
      <c r="Y76" s="73"/>
      <c r="Z76" s="105"/>
      <c r="AB76" s="104"/>
      <c r="AD76" s="104"/>
      <c r="AF76" s="81">
        <f t="shared" si="1"/>
        <v>11291.553</v>
      </c>
      <c r="AG76" s="78">
        <f t="shared" si="2"/>
        <v>663</v>
      </c>
      <c r="AH76" s="78">
        <f t="shared" si="3"/>
        <v>0</v>
      </c>
      <c r="AI76" s="78">
        <f t="shared" si="4"/>
        <v>663</v>
      </c>
      <c r="AJ76" s="82">
        <f t="shared" si="5"/>
        <v>17.031</v>
      </c>
    </row>
    <row r="77">
      <c r="A77" s="76" t="s">
        <v>24</v>
      </c>
      <c r="B77" s="77">
        <f t="shared" si="6"/>
        <v>44636</v>
      </c>
      <c r="C77" s="78">
        <v>3.0</v>
      </c>
      <c r="D77" s="78" t="s">
        <v>12</v>
      </c>
      <c r="E77" s="80" t="s">
        <v>13</v>
      </c>
      <c r="F77" s="105"/>
      <c r="H77" s="104"/>
      <c r="J77" s="104"/>
      <c r="L77" s="105">
        <v>247.0</v>
      </c>
      <c r="N77" s="104">
        <v>164.0</v>
      </c>
      <c r="P77" s="104"/>
      <c r="R77" s="104"/>
      <c r="T77" s="104"/>
      <c r="V77" s="104"/>
      <c r="X77" s="104"/>
      <c r="Y77" s="73"/>
      <c r="Z77" s="105"/>
      <c r="AB77" s="104"/>
      <c r="AD77" s="104"/>
      <c r="AF77" s="81">
        <f t="shared" si="1"/>
        <v>6999.741</v>
      </c>
      <c r="AG77" s="78">
        <f t="shared" si="2"/>
        <v>411</v>
      </c>
      <c r="AH77" s="78">
        <f t="shared" si="3"/>
        <v>0</v>
      </c>
      <c r="AI77" s="78">
        <f t="shared" si="4"/>
        <v>411</v>
      </c>
      <c r="AJ77" s="82">
        <f t="shared" si="5"/>
        <v>17.031</v>
      </c>
    </row>
    <row r="78">
      <c r="A78" s="76" t="s">
        <v>27</v>
      </c>
      <c r="B78" s="77">
        <f t="shared" si="6"/>
        <v>44637</v>
      </c>
      <c r="C78" s="78">
        <v>3.0</v>
      </c>
      <c r="D78" s="78" t="s">
        <v>12</v>
      </c>
      <c r="E78" s="80" t="s">
        <v>13</v>
      </c>
      <c r="F78" s="105"/>
      <c r="H78" s="104"/>
      <c r="J78" s="104"/>
      <c r="L78" s="105">
        <v>256.0</v>
      </c>
      <c r="N78" s="104">
        <v>270.0</v>
      </c>
      <c r="P78" s="104"/>
      <c r="R78" s="104"/>
      <c r="T78" s="104"/>
      <c r="V78" s="104"/>
      <c r="X78" s="104"/>
      <c r="Y78" s="73"/>
      <c r="Z78" s="105"/>
      <c r="AB78" s="104"/>
      <c r="AD78" s="104"/>
      <c r="AF78" s="81">
        <f t="shared" si="1"/>
        <v>8958.306</v>
      </c>
      <c r="AG78" s="78">
        <f t="shared" si="2"/>
        <v>526</v>
      </c>
      <c r="AH78" s="78">
        <f t="shared" si="3"/>
        <v>0</v>
      </c>
      <c r="AI78" s="78">
        <f t="shared" si="4"/>
        <v>526</v>
      </c>
      <c r="AJ78" s="82">
        <f t="shared" si="5"/>
        <v>17.031</v>
      </c>
    </row>
    <row r="79">
      <c r="A79" s="83" t="s">
        <v>30</v>
      </c>
      <c r="B79" s="84">
        <f t="shared" si="6"/>
        <v>44638</v>
      </c>
      <c r="C79" s="85">
        <v>3.0</v>
      </c>
      <c r="D79" s="85" t="s">
        <v>12</v>
      </c>
      <c r="E79" s="87" t="s">
        <v>13</v>
      </c>
      <c r="F79" s="112">
        <v>89.0</v>
      </c>
      <c r="G79" s="89"/>
      <c r="H79" s="111">
        <v>87.0</v>
      </c>
      <c r="I79" s="89"/>
      <c r="J79" s="111">
        <v>0.0</v>
      </c>
      <c r="K79" s="89"/>
      <c r="L79" s="112">
        <v>210.0</v>
      </c>
      <c r="M79" s="89"/>
      <c r="N79" s="111">
        <v>254.0</v>
      </c>
      <c r="O79" s="89"/>
      <c r="P79" s="111"/>
      <c r="Q79" s="89"/>
      <c r="R79" s="111"/>
      <c r="S79" s="89"/>
      <c r="T79" s="111"/>
      <c r="U79" s="89"/>
      <c r="V79" s="111"/>
      <c r="W79" s="89"/>
      <c r="X79" s="111"/>
      <c r="Y79" s="91"/>
      <c r="Z79" s="112"/>
      <c r="AA79" s="89"/>
      <c r="AB79" s="111"/>
      <c r="AC79" s="89"/>
      <c r="AD79" s="111"/>
      <c r="AE79" s="89"/>
      <c r="AF79" s="92">
        <f t="shared" si="1"/>
        <v>12622.176</v>
      </c>
      <c r="AG79" s="85">
        <f t="shared" si="2"/>
        <v>640</v>
      </c>
      <c r="AH79" s="85">
        <f t="shared" si="3"/>
        <v>0</v>
      </c>
      <c r="AI79" s="85">
        <f t="shared" si="4"/>
        <v>640</v>
      </c>
      <c r="AJ79" s="93">
        <f t="shared" si="5"/>
        <v>19.72215</v>
      </c>
    </row>
    <row r="80">
      <c r="A80" s="66" t="s">
        <v>11</v>
      </c>
      <c r="B80" s="94">
        <f t="shared" si="6"/>
        <v>44639</v>
      </c>
      <c r="C80" s="68">
        <v>3.0</v>
      </c>
      <c r="D80" s="68" t="s">
        <v>33</v>
      </c>
      <c r="E80" s="70" t="s">
        <v>13</v>
      </c>
      <c r="F80" s="105">
        <v>0.0</v>
      </c>
      <c r="H80" s="104">
        <v>82.0</v>
      </c>
      <c r="J80" s="104">
        <v>64.0</v>
      </c>
      <c r="L80" s="105">
        <v>0.0</v>
      </c>
      <c r="N80" s="104">
        <v>0.0</v>
      </c>
      <c r="P80" s="104"/>
      <c r="R80" s="104"/>
      <c r="T80" s="104"/>
      <c r="V80" s="104"/>
      <c r="X80" s="104"/>
      <c r="Y80" s="73"/>
      <c r="Z80" s="105"/>
      <c r="AB80" s="104"/>
      <c r="AD80" s="104"/>
      <c r="AF80" s="74">
        <f t="shared" si="1"/>
        <v>3915.282</v>
      </c>
      <c r="AG80" s="68">
        <f t="shared" si="2"/>
        <v>146</v>
      </c>
      <c r="AH80" s="68">
        <f t="shared" si="3"/>
        <v>0</v>
      </c>
      <c r="AI80" s="68">
        <f t="shared" si="4"/>
        <v>146</v>
      </c>
      <c r="AJ80" s="75">
        <f t="shared" si="5"/>
        <v>26.817</v>
      </c>
    </row>
    <row r="81">
      <c r="A81" s="76" t="s">
        <v>16</v>
      </c>
      <c r="B81" s="77">
        <f t="shared" si="6"/>
        <v>44640</v>
      </c>
      <c r="C81" s="78">
        <v>3.0</v>
      </c>
      <c r="D81" s="78" t="s">
        <v>33</v>
      </c>
      <c r="E81" s="80" t="s">
        <v>13</v>
      </c>
      <c r="F81" s="105">
        <v>82.0</v>
      </c>
      <c r="H81" s="104">
        <v>81.0</v>
      </c>
      <c r="J81" s="104">
        <v>0.0</v>
      </c>
      <c r="L81" s="105">
        <v>264.0</v>
      </c>
      <c r="N81" s="104">
        <v>272.0</v>
      </c>
      <c r="P81" s="104"/>
      <c r="R81" s="104"/>
      <c r="T81" s="104"/>
      <c r="V81" s="104"/>
      <c r="X81" s="104"/>
      <c r="Y81" s="73"/>
      <c r="Z81" s="105"/>
      <c r="AB81" s="104"/>
      <c r="AD81" s="104"/>
      <c r="AF81" s="81">
        <f t="shared" si="1"/>
        <v>13499.787</v>
      </c>
      <c r="AG81" s="78">
        <f t="shared" si="2"/>
        <v>699</v>
      </c>
      <c r="AH81" s="78">
        <f t="shared" si="3"/>
        <v>0</v>
      </c>
      <c r="AI81" s="78">
        <f t="shared" si="4"/>
        <v>699</v>
      </c>
      <c r="AJ81" s="82">
        <f t="shared" si="5"/>
        <v>19.313</v>
      </c>
    </row>
    <row r="82">
      <c r="A82" s="76" t="s">
        <v>17</v>
      </c>
      <c r="B82" s="77">
        <f t="shared" si="6"/>
        <v>44641</v>
      </c>
      <c r="C82" s="78">
        <v>3.0</v>
      </c>
      <c r="D82" s="78" t="s">
        <v>33</v>
      </c>
      <c r="E82" s="80" t="s">
        <v>13</v>
      </c>
      <c r="F82" s="105">
        <v>74.0</v>
      </c>
      <c r="H82" s="104">
        <v>71.0</v>
      </c>
      <c r="J82" s="104">
        <v>0.0</v>
      </c>
      <c r="L82" s="105">
        <v>238.0</v>
      </c>
      <c r="N82" s="104">
        <v>329.0</v>
      </c>
      <c r="P82" s="104"/>
      <c r="R82" s="104"/>
      <c r="T82" s="104"/>
      <c r="V82" s="104"/>
      <c r="X82" s="104"/>
      <c r="Y82" s="73"/>
      <c r="Z82" s="105"/>
      <c r="AB82" s="104"/>
      <c r="AD82" s="104"/>
      <c r="AF82" s="81">
        <f t="shared" si="1"/>
        <v>13545.042</v>
      </c>
      <c r="AG82" s="78">
        <f t="shared" si="2"/>
        <v>712</v>
      </c>
      <c r="AH82" s="78">
        <f t="shared" si="3"/>
        <v>0</v>
      </c>
      <c r="AI82" s="78">
        <f t="shared" si="4"/>
        <v>712</v>
      </c>
      <c r="AJ82" s="82">
        <f t="shared" si="5"/>
        <v>19.02393539</v>
      </c>
    </row>
    <row r="83">
      <c r="A83" s="76" t="s">
        <v>21</v>
      </c>
      <c r="B83" s="77">
        <f t="shared" si="6"/>
        <v>44642</v>
      </c>
      <c r="C83" s="78">
        <v>3.0</v>
      </c>
      <c r="D83" s="78" t="s">
        <v>33</v>
      </c>
      <c r="E83" s="80" t="s">
        <v>13</v>
      </c>
      <c r="F83" s="105">
        <v>0.0</v>
      </c>
      <c r="H83" s="104">
        <v>61.0</v>
      </c>
      <c r="J83" s="104">
        <v>55.0</v>
      </c>
      <c r="L83" s="105">
        <v>241.0</v>
      </c>
      <c r="N83" s="104">
        <v>294.0</v>
      </c>
      <c r="P83" s="104"/>
      <c r="R83" s="104"/>
      <c r="T83" s="104"/>
      <c r="V83" s="104"/>
      <c r="X83" s="104"/>
      <c r="Y83" s="73"/>
      <c r="Z83" s="105"/>
      <c r="AB83" s="104"/>
      <c r="AD83" s="104"/>
      <c r="AF83" s="81">
        <f t="shared" si="1"/>
        <v>12222.357</v>
      </c>
      <c r="AG83" s="78">
        <f t="shared" si="2"/>
        <v>651</v>
      </c>
      <c r="AH83" s="78">
        <f t="shared" si="3"/>
        <v>0</v>
      </c>
      <c r="AI83" s="78">
        <f t="shared" si="4"/>
        <v>651</v>
      </c>
      <c r="AJ83" s="82">
        <f t="shared" si="5"/>
        <v>18.77474194</v>
      </c>
    </row>
    <row r="84">
      <c r="A84" s="76" t="s">
        <v>24</v>
      </c>
      <c r="B84" s="77">
        <f t="shared" si="6"/>
        <v>44643</v>
      </c>
      <c r="C84" s="78">
        <v>3.0</v>
      </c>
      <c r="D84" s="78" t="s">
        <v>33</v>
      </c>
      <c r="E84" s="80" t="s">
        <v>13</v>
      </c>
      <c r="F84" s="105">
        <v>61.0</v>
      </c>
      <c r="H84" s="104">
        <v>55.0</v>
      </c>
      <c r="J84" s="104">
        <v>0.0</v>
      </c>
      <c r="L84" s="105">
        <v>313.0</v>
      </c>
      <c r="N84" s="104">
        <v>294.0</v>
      </c>
      <c r="P84" s="104"/>
      <c r="R84" s="104"/>
      <c r="T84" s="104"/>
      <c r="V84" s="104"/>
      <c r="X84" s="104"/>
      <c r="Y84" s="73"/>
      <c r="Z84" s="105"/>
      <c r="AB84" s="104"/>
      <c r="AD84" s="104"/>
      <c r="AF84" s="81">
        <f t="shared" si="1"/>
        <v>13448.589</v>
      </c>
      <c r="AG84" s="78">
        <f t="shared" si="2"/>
        <v>723</v>
      </c>
      <c r="AH84" s="78">
        <f t="shared" si="3"/>
        <v>0</v>
      </c>
      <c r="AI84" s="78">
        <f t="shared" si="4"/>
        <v>723</v>
      </c>
      <c r="AJ84" s="82">
        <f t="shared" si="5"/>
        <v>18.60109129</v>
      </c>
    </row>
    <row r="85">
      <c r="A85" s="76" t="s">
        <v>27</v>
      </c>
      <c r="B85" s="77">
        <f t="shared" si="6"/>
        <v>44644</v>
      </c>
      <c r="C85" s="78">
        <v>3.0</v>
      </c>
      <c r="D85" s="78" t="s">
        <v>33</v>
      </c>
      <c r="E85" s="80" t="s">
        <v>13</v>
      </c>
      <c r="F85" s="105">
        <v>66.0</v>
      </c>
      <c r="H85" s="104">
        <v>61.0</v>
      </c>
      <c r="J85" s="104">
        <v>0.0</v>
      </c>
      <c r="L85" s="105">
        <v>308.0</v>
      </c>
      <c r="N85" s="104">
        <v>308.0</v>
      </c>
      <c r="P85" s="104"/>
      <c r="R85" s="104"/>
      <c r="T85" s="104"/>
      <c r="V85" s="104"/>
      <c r="X85" s="104"/>
      <c r="Y85" s="73"/>
      <c r="Z85" s="105"/>
      <c r="AB85" s="104"/>
      <c r="AD85" s="104"/>
      <c r="AF85" s="81">
        <f t="shared" si="1"/>
        <v>13896.855</v>
      </c>
      <c r="AG85" s="78">
        <f t="shared" si="2"/>
        <v>743</v>
      </c>
      <c r="AH85" s="78">
        <f t="shared" si="3"/>
        <v>0</v>
      </c>
      <c r="AI85" s="78">
        <f t="shared" si="4"/>
        <v>743</v>
      </c>
      <c r="AJ85" s="82">
        <f t="shared" si="5"/>
        <v>18.70370794</v>
      </c>
    </row>
    <row r="86">
      <c r="A86" s="83" t="s">
        <v>30</v>
      </c>
      <c r="B86" s="84">
        <f t="shared" si="6"/>
        <v>44645</v>
      </c>
      <c r="C86" s="85">
        <v>3.0</v>
      </c>
      <c r="D86" s="85" t="s">
        <v>33</v>
      </c>
      <c r="E86" s="87" t="s">
        <v>13</v>
      </c>
      <c r="F86" s="112">
        <v>70.0</v>
      </c>
      <c r="G86" s="89"/>
      <c r="H86" s="111">
        <v>64.0</v>
      </c>
      <c r="I86" s="89"/>
      <c r="J86" s="111">
        <v>42.0</v>
      </c>
      <c r="K86" s="89"/>
      <c r="L86" s="112">
        <v>268.0</v>
      </c>
      <c r="M86" s="89"/>
      <c r="N86" s="111">
        <v>298.0</v>
      </c>
      <c r="O86" s="89"/>
      <c r="P86" s="111"/>
      <c r="Q86" s="89"/>
      <c r="R86" s="111"/>
      <c r="S86" s="89"/>
      <c r="T86" s="111"/>
      <c r="U86" s="89"/>
      <c r="V86" s="111"/>
      <c r="W86" s="89"/>
      <c r="X86" s="111"/>
      <c r="Y86" s="91"/>
      <c r="Z86" s="112"/>
      <c r="AA86" s="89"/>
      <c r="AB86" s="111"/>
      <c r="AC86" s="89"/>
      <c r="AD86" s="111"/>
      <c r="AE86" s="89"/>
      <c r="AF86" s="92">
        <f t="shared" si="1"/>
        <v>14359.338</v>
      </c>
      <c r="AG86" s="85">
        <f t="shared" si="2"/>
        <v>742</v>
      </c>
      <c r="AH86" s="85">
        <f t="shared" si="3"/>
        <v>0</v>
      </c>
      <c r="AI86" s="85">
        <f t="shared" si="4"/>
        <v>742</v>
      </c>
      <c r="AJ86" s="93">
        <f t="shared" si="5"/>
        <v>19.35220755</v>
      </c>
    </row>
    <row r="87">
      <c r="A87" s="66" t="s">
        <v>11</v>
      </c>
      <c r="B87" s="94">
        <f t="shared" si="6"/>
        <v>44646</v>
      </c>
      <c r="C87" s="68">
        <v>4.0</v>
      </c>
      <c r="D87" s="68" t="s">
        <v>48</v>
      </c>
      <c r="E87" s="70" t="s">
        <v>129</v>
      </c>
      <c r="F87" s="71"/>
      <c r="H87" s="72"/>
      <c r="J87" s="72"/>
      <c r="L87" s="105">
        <v>274.0</v>
      </c>
      <c r="N87" s="104">
        <v>294.0</v>
      </c>
      <c r="P87" s="104"/>
      <c r="R87" s="104"/>
      <c r="T87" s="104"/>
      <c r="V87" s="104"/>
      <c r="X87" s="104"/>
      <c r="Y87" s="73"/>
      <c r="Z87" s="105"/>
      <c r="AB87" s="104"/>
      <c r="AD87" s="104"/>
      <c r="AF87" s="74">
        <f t="shared" si="1"/>
        <v>9673.608</v>
      </c>
      <c r="AG87" s="68">
        <f t="shared" si="2"/>
        <v>568</v>
      </c>
      <c r="AH87" s="68">
        <f t="shared" si="3"/>
        <v>0</v>
      </c>
      <c r="AI87" s="68">
        <f t="shared" si="4"/>
        <v>568</v>
      </c>
      <c r="AJ87" s="75">
        <f t="shared" si="5"/>
        <v>17.031</v>
      </c>
    </row>
    <row r="88">
      <c r="A88" s="76" t="s">
        <v>16</v>
      </c>
      <c r="B88" s="77">
        <f t="shared" si="6"/>
        <v>44647</v>
      </c>
      <c r="C88" s="78">
        <v>4.0</v>
      </c>
      <c r="D88" s="78" t="s">
        <v>48</v>
      </c>
      <c r="E88" s="80" t="s">
        <v>129</v>
      </c>
      <c r="F88" s="71"/>
      <c r="H88" s="72"/>
      <c r="J88" s="72"/>
      <c r="L88" s="105">
        <v>251.0</v>
      </c>
      <c r="N88" s="104">
        <v>231.0</v>
      </c>
      <c r="P88" s="104"/>
      <c r="R88" s="104"/>
      <c r="T88" s="104"/>
      <c r="V88" s="104"/>
      <c r="X88" s="104"/>
      <c r="Y88" s="73"/>
      <c r="Z88" s="105"/>
      <c r="AB88" s="104"/>
      <c r="AD88" s="104"/>
      <c r="AF88" s="81">
        <f t="shared" si="1"/>
        <v>8208.942</v>
      </c>
      <c r="AG88" s="78">
        <f t="shared" si="2"/>
        <v>482</v>
      </c>
      <c r="AH88" s="78">
        <f t="shared" si="3"/>
        <v>0</v>
      </c>
      <c r="AI88" s="78">
        <f t="shared" si="4"/>
        <v>482</v>
      </c>
      <c r="AJ88" s="82">
        <f t="shared" si="5"/>
        <v>17.031</v>
      </c>
    </row>
    <row r="89">
      <c r="A89" s="76" t="s">
        <v>17</v>
      </c>
      <c r="B89" s="77">
        <f t="shared" si="6"/>
        <v>44648</v>
      </c>
      <c r="C89" s="78">
        <v>4.0</v>
      </c>
      <c r="D89" s="78" t="s">
        <v>48</v>
      </c>
      <c r="E89" s="80" t="s">
        <v>129</v>
      </c>
      <c r="F89" s="71"/>
      <c r="H89" s="72"/>
      <c r="J89" s="72"/>
      <c r="L89" s="105">
        <v>211.0</v>
      </c>
      <c r="N89" s="104">
        <v>241.0</v>
      </c>
      <c r="P89" s="104"/>
      <c r="R89" s="104"/>
      <c r="T89" s="104"/>
      <c r="V89" s="104"/>
      <c r="X89" s="104"/>
      <c r="Y89" s="73"/>
      <c r="Z89" s="105"/>
      <c r="AB89" s="104"/>
      <c r="AD89" s="104"/>
      <c r="AF89" s="81">
        <f t="shared" si="1"/>
        <v>7698.012</v>
      </c>
      <c r="AG89" s="78">
        <f t="shared" si="2"/>
        <v>452</v>
      </c>
      <c r="AH89" s="78">
        <f t="shared" si="3"/>
        <v>0</v>
      </c>
      <c r="AI89" s="78">
        <f t="shared" si="4"/>
        <v>452</v>
      </c>
      <c r="AJ89" s="82">
        <f t="shared" si="5"/>
        <v>17.031</v>
      </c>
    </row>
    <row r="90">
      <c r="A90" s="76" t="s">
        <v>21</v>
      </c>
      <c r="B90" s="77">
        <f t="shared" si="6"/>
        <v>44649</v>
      </c>
      <c r="C90" s="78">
        <v>4.0</v>
      </c>
      <c r="D90" s="78" t="s">
        <v>48</v>
      </c>
      <c r="E90" s="80" t="s">
        <v>129</v>
      </c>
      <c r="F90" s="71"/>
      <c r="H90" s="72"/>
      <c r="J90" s="72"/>
      <c r="L90" s="105">
        <v>175.0</v>
      </c>
      <c r="N90" s="104">
        <v>229.0</v>
      </c>
      <c r="P90" s="104"/>
      <c r="R90" s="104"/>
      <c r="T90" s="104"/>
      <c r="V90" s="104"/>
      <c r="X90" s="104"/>
      <c r="Y90" s="73"/>
      <c r="Z90" s="105"/>
      <c r="AB90" s="104"/>
      <c r="AD90" s="104"/>
      <c r="AF90" s="81">
        <f t="shared" si="1"/>
        <v>6880.524</v>
      </c>
      <c r="AG90" s="78">
        <f t="shared" si="2"/>
        <v>404</v>
      </c>
      <c r="AH90" s="78">
        <f t="shared" si="3"/>
        <v>0</v>
      </c>
      <c r="AI90" s="78">
        <f t="shared" si="4"/>
        <v>404</v>
      </c>
      <c r="AJ90" s="82">
        <f t="shared" si="5"/>
        <v>17.031</v>
      </c>
    </row>
    <row r="91">
      <c r="A91" s="76" t="s">
        <v>24</v>
      </c>
      <c r="B91" s="77">
        <f t="shared" si="6"/>
        <v>44650</v>
      </c>
      <c r="C91" s="78">
        <v>4.0</v>
      </c>
      <c r="D91" s="78" t="s">
        <v>48</v>
      </c>
      <c r="E91" s="80" t="s">
        <v>129</v>
      </c>
      <c r="F91" s="71"/>
      <c r="H91" s="72"/>
      <c r="J91" s="72"/>
      <c r="L91" s="105">
        <v>152.0</v>
      </c>
      <c r="N91" s="104">
        <v>215.0</v>
      </c>
      <c r="P91" s="104"/>
      <c r="R91" s="104"/>
      <c r="T91" s="104"/>
      <c r="V91" s="104"/>
      <c r="X91" s="104"/>
      <c r="Y91" s="73"/>
      <c r="Z91" s="105"/>
      <c r="AB91" s="104"/>
      <c r="AD91" s="104"/>
      <c r="AF91" s="81">
        <f t="shared" si="1"/>
        <v>6250.377</v>
      </c>
      <c r="AG91" s="78">
        <f t="shared" si="2"/>
        <v>367</v>
      </c>
      <c r="AH91" s="78">
        <f t="shared" si="3"/>
        <v>0</v>
      </c>
      <c r="AI91" s="78">
        <f t="shared" si="4"/>
        <v>367</v>
      </c>
      <c r="AJ91" s="82">
        <f t="shared" si="5"/>
        <v>17.031</v>
      </c>
    </row>
    <row r="92">
      <c r="A92" s="76" t="s">
        <v>27</v>
      </c>
      <c r="B92" s="77">
        <f t="shared" si="6"/>
        <v>44651</v>
      </c>
      <c r="C92" s="78">
        <v>4.0</v>
      </c>
      <c r="D92" s="78" t="s">
        <v>48</v>
      </c>
      <c r="E92" s="80" t="s">
        <v>129</v>
      </c>
      <c r="F92" s="71"/>
      <c r="H92" s="72"/>
      <c r="J92" s="72"/>
      <c r="L92" s="105">
        <v>173.0</v>
      </c>
      <c r="N92" s="104">
        <v>242.0</v>
      </c>
      <c r="P92" s="104"/>
      <c r="R92" s="104"/>
      <c r="T92" s="104"/>
      <c r="V92" s="104"/>
      <c r="X92" s="104"/>
      <c r="Y92" s="73"/>
      <c r="Z92" s="105"/>
      <c r="AB92" s="104"/>
      <c r="AD92" s="104"/>
      <c r="AF92" s="81">
        <f t="shared" si="1"/>
        <v>7067.865</v>
      </c>
      <c r="AG92" s="78">
        <f t="shared" si="2"/>
        <v>415</v>
      </c>
      <c r="AH92" s="78">
        <f t="shared" si="3"/>
        <v>0</v>
      </c>
      <c r="AI92" s="78">
        <f t="shared" si="4"/>
        <v>415</v>
      </c>
      <c r="AJ92" s="82">
        <f t="shared" si="5"/>
        <v>17.031</v>
      </c>
    </row>
    <row r="93">
      <c r="A93" s="83" t="s">
        <v>30</v>
      </c>
      <c r="B93" s="84">
        <f t="shared" si="6"/>
        <v>44652</v>
      </c>
      <c r="C93" s="85">
        <v>4.0</v>
      </c>
      <c r="D93" s="85" t="s">
        <v>48</v>
      </c>
      <c r="E93" s="87" t="s">
        <v>129</v>
      </c>
      <c r="F93" s="88"/>
      <c r="G93" s="89"/>
      <c r="H93" s="90"/>
      <c r="I93" s="89"/>
      <c r="J93" s="90"/>
      <c r="K93" s="89"/>
      <c r="L93" s="112">
        <v>164.0</v>
      </c>
      <c r="M93" s="89"/>
      <c r="N93" s="111">
        <v>110.0</v>
      </c>
      <c r="O93" s="89"/>
      <c r="P93" s="111"/>
      <c r="Q93" s="89"/>
      <c r="R93" s="111"/>
      <c r="S93" s="89"/>
      <c r="T93" s="111"/>
      <c r="U93" s="89"/>
      <c r="V93" s="111"/>
      <c r="W93" s="89"/>
      <c r="X93" s="111"/>
      <c r="Y93" s="91"/>
      <c r="Z93" s="112"/>
      <c r="AA93" s="89"/>
      <c r="AB93" s="111"/>
      <c r="AC93" s="89"/>
      <c r="AD93" s="111"/>
      <c r="AE93" s="89"/>
      <c r="AF93" s="92">
        <f t="shared" si="1"/>
        <v>4666.494</v>
      </c>
      <c r="AG93" s="85">
        <f t="shared" si="2"/>
        <v>274</v>
      </c>
      <c r="AH93" s="85">
        <f t="shared" si="3"/>
        <v>0</v>
      </c>
      <c r="AI93" s="85">
        <f t="shared" si="4"/>
        <v>274</v>
      </c>
      <c r="AJ93" s="93">
        <f t="shared" si="5"/>
        <v>17.031</v>
      </c>
    </row>
    <row r="94">
      <c r="A94" s="66" t="s">
        <v>11</v>
      </c>
      <c r="B94" s="94">
        <f t="shared" si="6"/>
        <v>44653</v>
      </c>
      <c r="C94" s="68">
        <v>4.0</v>
      </c>
      <c r="D94" s="68" t="s">
        <v>59</v>
      </c>
      <c r="E94" s="70" t="s">
        <v>129</v>
      </c>
      <c r="F94" s="71"/>
      <c r="H94" s="72"/>
      <c r="J94" s="72"/>
      <c r="L94" s="105">
        <v>135.0</v>
      </c>
      <c r="N94" s="104">
        <v>156.0</v>
      </c>
      <c r="P94" s="104"/>
      <c r="R94" s="104"/>
      <c r="T94" s="104"/>
      <c r="V94" s="104"/>
      <c r="X94" s="104"/>
      <c r="Y94" s="73"/>
      <c r="Z94" s="105"/>
      <c r="AB94" s="104"/>
      <c r="AD94" s="104"/>
      <c r="AF94" s="74">
        <f t="shared" si="1"/>
        <v>4956.021</v>
      </c>
      <c r="AG94" s="68">
        <f t="shared" si="2"/>
        <v>291</v>
      </c>
      <c r="AH94" s="68">
        <f t="shared" si="3"/>
        <v>0</v>
      </c>
      <c r="AI94" s="68">
        <f t="shared" si="4"/>
        <v>291</v>
      </c>
      <c r="AJ94" s="75">
        <f t="shared" si="5"/>
        <v>17.031</v>
      </c>
    </row>
    <row r="95">
      <c r="A95" s="76" t="s">
        <v>16</v>
      </c>
      <c r="B95" s="77">
        <f t="shared" si="6"/>
        <v>44654</v>
      </c>
      <c r="C95" s="78">
        <v>4.0</v>
      </c>
      <c r="D95" s="78" t="s">
        <v>59</v>
      </c>
      <c r="E95" s="80" t="s">
        <v>129</v>
      </c>
      <c r="F95" s="71"/>
      <c r="H95" s="72"/>
      <c r="J95" s="72"/>
      <c r="L95" s="105">
        <v>0.0</v>
      </c>
      <c r="N95" s="104">
        <v>0.0</v>
      </c>
      <c r="P95" s="104"/>
      <c r="R95" s="104"/>
      <c r="T95" s="104"/>
      <c r="V95" s="104"/>
      <c r="X95" s="104"/>
      <c r="Y95" s="73"/>
      <c r="Z95" s="105"/>
      <c r="AB95" s="104"/>
      <c r="AD95" s="104"/>
      <c r="AF95" s="81">
        <f t="shared" si="1"/>
        <v>0</v>
      </c>
      <c r="AG95" s="78">
        <f t="shared" si="2"/>
        <v>0</v>
      </c>
      <c r="AH95" s="78">
        <f t="shared" si="3"/>
        <v>0</v>
      </c>
      <c r="AI95" s="78">
        <f t="shared" si="4"/>
        <v>0</v>
      </c>
      <c r="AJ95" s="82" t="str">
        <f t="shared" si="5"/>
        <v/>
      </c>
    </row>
    <row r="96">
      <c r="A96" s="76" t="s">
        <v>17</v>
      </c>
      <c r="B96" s="77">
        <f t="shared" si="6"/>
        <v>44655</v>
      </c>
      <c r="C96" s="78">
        <v>4.0</v>
      </c>
      <c r="D96" s="78" t="s">
        <v>59</v>
      </c>
      <c r="E96" s="80" t="s">
        <v>129</v>
      </c>
      <c r="F96" s="71"/>
      <c r="H96" s="72"/>
      <c r="J96" s="72"/>
      <c r="L96" s="105">
        <v>0.0</v>
      </c>
      <c r="N96" s="104">
        <v>0.0</v>
      </c>
      <c r="P96" s="104"/>
      <c r="R96" s="104"/>
      <c r="T96" s="104"/>
      <c r="V96" s="104"/>
      <c r="X96" s="104"/>
      <c r="Y96" s="73"/>
      <c r="Z96" s="105"/>
      <c r="AB96" s="104"/>
      <c r="AD96" s="104"/>
      <c r="AF96" s="81">
        <f t="shared" si="1"/>
        <v>0</v>
      </c>
      <c r="AG96" s="78">
        <f t="shared" si="2"/>
        <v>0</v>
      </c>
      <c r="AH96" s="78">
        <f t="shared" si="3"/>
        <v>0</v>
      </c>
      <c r="AI96" s="78">
        <f t="shared" si="4"/>
        <v>0</v>
      </c>
      <c r="AJ96" s="82" t="str">
        <f t="shared" si="5"/>
        <v/>
      </c>
    </row>
    <row r="97">
      <c r="A97" s="76" t="s">
        <v>21</v>
      </c>
      <c r="B97" s="77">
        <f t="shared" si="6"/>
        <v>44656</v>
      </c>
      <c r="C97" s="78">
        <v>4.0</v>
      </c>
      <c r="D97" s="78" t="s">
        <v>59</v>
      </c>
      <c r="E97" s="80" t="s">
        <v>129</v>
      </c>
      <c r="F97" s="71"/>
      <c r="H97" s="72"/>
      <c r="J97" s="72"/>
      <c r="L97" s="105">
        <v>0.0</v>
      </c>
      <c r="N97" s="104">
        <v>0.0</v>
      </c>
      <c r="P97" s="104"/>
      <c r="R97" s="104"/>
      <c r="T97" s="104"/>
      <c r="V97" s="104"/>
      <c r="X97" s="104"/>
      <c r="Y97" s="73"/>
      <c r="Z97" s="105"/>
      <c r="AB97" s="104"/>
      <c r="AD97" s="104"/>
      <c r="AF97" s="81">
        <f t="shared" si="1"/>
        <v>0</v>
      </c>
      <c r="AG97" s="78">
        <f t="shared" si="2"/>
        <v>0</v>
      </c>
      <c r="AH97" s="78">
        <f t="shared" si="3"/>
        <v>0</v>
      </c>
      <c r="AI97" s="78">
        <f t="shared" si="4"/>
        <v>0</v>
      </c>
      <c r="AJ97" s="82" t="str">
        <f t="shared" si="5"/>
        <v/>
      </c>
    </row>
    <row r="98">
      <c r="A98" s="76" t="s">
        <v>24</v>
      </c>
      <c r="B98" s="77">
        <f t="shared" si="6"/>
        <v>44657</v>
      </c>
      <c r="C98" s="78">
        <v>4.0</v>
      </c>
      <c r="D98" s="78" t="s">
        <v>59</v>
      </c>
      <c r="E98" s="80" t="s">
        <v>129</v>
      </c>
      <c r="F98" s="71"/>
      <c r="H98" s="72"/>
      <c r="J98" s="72"/>
      <c r="L98" s="105">
        <v>85.0</v>
      </c>
      <c r="N98" s="104">
        <v>70.0</v>
      </c>
      <c r="P98" s="104"/>
      <c r="R98" s="104"/>
      <c r="T98" s="104"/>
      <c r="V98" s="104"/>
      <c r="X98" s="104"/>
      <c r="Y98" s="73"/>
      <c r="Z98" s="105"/>
      <c r="AB98" s="104"/>
      <c r="AD98" s="104"/>
      <c r="AF98" s="81">
        <f t="shared" si="1"/>
        <v>2639.805</v>
      </c>
      <c r="AG98" s="78">
        <f t="shared" si="2"/>
        <v>155</v>
      </c>
      <c r="AH98" s="78">
        <f t="shared" si="3"/>
        <v>0</v>
      </c>
      <c r="AI98" s="78">
        <f t="shared" si="4"/>
        <v>155</v>
      </c>
      <c r="AJ98" s="82">
        <f t="shared" si="5"/>
        <v>17.031</v>
      </c>
    </row>
    <row r="99">
      <c r="A99" s="76" t="s">
        <v>27</v>
      </c>
      <c r="B99" s="77">
        <f t="shared" si="6"/>
        <v>44658</v>
      </c>
      <c r="C99" s="78">
        <v>4.0</v>
      </c>
      <c r="D99" s="78" t="s">
        <v>59</v>
      </c>
      <c r="E99" s="80" t="s">
        <v>129</v>
      </c>
      <c r="F99" s="71"/>
      <c r="H99" s="72"/>
      <c r="J99" s="72"/>
      <c r="L99" s="105">
        <v>53.0</v>
      </c>
      <c r="N99" s="104">
        <v>73.0</v>
      </c>
      <c r="P99" s="104"/>
      <c r="R99" s="104"/>
      <c r="T99" s="104"/>
      <c r="V99" s="104"/>
      <c r="X99" s="104"/>
      <c r="Y99" s="73"/>
      <c r="Z99" s="105"/>
      <c r="AB99" s="104"/>
      <c r="AD99" s="104"/>
      <c r="AF99" s="81">
        <f t="shared" si="1"/>
        <v>2145.906</v>
      </c>
      <c r="AG99" s="78">
        <f t="shared" si="2"/>
        <v>126</v>
      </c>
      <c r="AH99" s="78">
        <f t="shared" si="3"/>
        <v>0</v>
      </c>
      <c r="AI99" s="78">
        <f t="shared" si="4"/>
        <v>126</v>
      </c>
      <c r="AJ99" s="82">
        <f t="shared" si="5"/>
        <v>17.031</v>
      </c>
    </row>
    <row r="100">
      <c r="A100" s="83" t="s">
        <v>30</v>
      </c>
      <c r="B100" s="84">
        <f t="shared" si="6"/>
        <v>44659</v>
      </c>
      <c r="C100" s="85">
        <v>4.0</v>
      </c>
      <c r="D100" s="85" t="s">
        <v>59</v>
      </c>
      <c r="E100" s="87" t="s">
        <v>129</v>
      </c>
      <c r="F100" s="88"/>
      <c r="G100" s="89"/>
      <c r="H100" s="90"/>
      <c r="I100" s="89"/>
      <c r="J100" s="90"/>
      <c r="K100" s="89"/>
      <c r="L100" s="112">
        <v>0.0</v>
      </c>
      <c r="M100" s="89"/>
      <c r="N100" s="111">
        <v>0.0</v>
      </c>
      <c r="O100" s="89"/>
      <c r="P100" s="111"/>
      <c r="Q100" s="89"/>
      <c r="R100" s="111"/>
      <c r="S100" s="89"/>
      <c r="T100" s="111"/>
      <c r="U100" s="89"/>
      <c r="V100" s="111"/>
      <c r="W100" s="89"/>
      <c r="X100" s="111"/>
      <c r="Y100" s="91"/>
      <c r="Z100" s="112"/>
      <c r="AA100" s="89"/>
      <c r="AB100" s="111"/>
      <c r="AC100" s="89"/>
      <c r="AD100" s="111"/>
      <c r="AE100" s="89"/>
      <c r="AF100" s="92">
        <f t="shared" si="1"/>
        <v>0</v>
      </c>
      <c r="AG100" s="85">
        <f t="shared" si="2"/>
        <v>0</v>
      </c>
      <c r="AH100" s="85">
        <f t="shared" si="3"/>
        <v>0</v>
      </c>
      <c r="AI100" s="85">
        <f t="shared" si="4"/>
        <v>0</v>
      </c>
      <c r="AJ100" s="93" t="str">
        <f t="shared" si="5"/>
        <v/>
      </c>
    </row>
    <row r="101">
      <c r="A101" s="66" t="s">
        <v>11</v>
      </c>
      <c r="B101" s="94">
        <f t="shared" si="6"/>
        <v>44660</v>
      </c>
      <c r="C101" s="68">
        <v>4.0</v>
      </c>
      <c r="D101" s="68" t="s">
        <v>12</v>
      </c>
      <c r="E101" s="70" t="s">
        <v>129</v>
      </c>
      <c r="F101" s="71"/>
      <c r="H101" s="72"/>
      <c r="J101" s="72"/>
      <c r="L101" s="105">
        <v>69.0</v>
      </c>
      <c r="N101" s="104">
        <v>87.0</v>
      </c>
      <c r="P101" s="104"/>
      <c r="R101" s="104"/>
      <c r="T101" s="104"/>
      <c r="V101" s="104"/>
      <c r="X101" s="104"/>
      <c r="Y101" s="73"/>
      <c r="Z101" s="105"/>
      <c r="AB101" s="104"/>
      <c r="AD101" s="104"/>
      <c r="AF101" s="74">
        <f t="shared" si="1"/>
        <v>2656.836</v>
      </c>
      <c r="AG101" s="68">
        <f t="shared" si="2"/>
        <v>156</v>
      </c>
      <c r="AH101" s="68">
        <f t="shared" si="3"/>
        <v>0</v>
      </c>
      <c r="AI101" s="68">
        <f t="shared" si="4"/>
        <v>156</v>
      </c>
      <c r="AJ101" s="75">
        <f t="shared" si="5"/>
        <v>17.031</v>
      </c>
    </row>
    <row r="102">
      <c r="A102" s="76" t="s">
        <v>16</v>
      </c>
      <c r="B102" s="77">
        <f t="shared" si="6"/>
        <v>44661</v>
      </c>
      <c r="C102" s="78">
        <v>4.0</v>
      </c>
      <c r="D102" s="78" t="s">
        <v>12</v>
      </c>
      <c r="E102" s="80" t="s">
        <v>129</v>
      </c>
      <c r="F102" s="71"/>
      <c r="H102" s="72"/>
      <c r="J102" s="72"/>
      <c r="L102" s="105">
        <v>76.0</v>
      </c>
      <c r="N102" s="104">
        <v>86.0</v>
      </c>
      <c r="P102" s="104"/>
      <c r="R102" s="104"/>
      <c r="T102" s="104"/>
      <c r="V102" s="104"/>
      <c r="X102" s="104"/>
      <c r="Y102" s="73"/>
      <c r="Z102" s="105"/>
      <c r="AB102" s="104"/>
      <c r="AD102" s="104"/>
      <c r="AF102" s="81">
        <f t="shared" si="1"/>
        <v>2759.022</v>
      </c>
      <c r="AG102" s="78">
        <f t="shared" si="2"/>
        <v>162</v>
      </c>
      <c r="AH102" s="78">
        <f t="shared" si="3"/>
        <v>0</v>
      </c>
      <c r="AI102" s="78">
        <f t="shared" si="4"/>
        <v>162</v>
      </c>
      <c r="AJ102" s="82">
        <f t="shared" si="5"/>
        <v>17.031</v>
      </c>
    </row>
    <row r="103">
      <c r="A103" s="76" t="s">
        <v>17</v>
      </c>
      <c r="B103" s="77">
        <f t="shared" si="6"/>
        <v>44662</v>
      </c>
      <c r="C103" s="78">
        <v>4.0</v>
      </c>
      <c r="D103" s="78" t="s">
        <v>12</v>
      </c>
      <c r="E103" s="80" t="s">
        <v>129</v>
      </c>
      <c r="F103" s="71"/>
      <c r="H103" s="72"/>
      <c r="J103" s="72"/>
      <c r="L103" s="105">
        <v>65.0</v>
      </c>
      <c r="N103" s="104">
        <v>96.0</v>
      </c>
      <c r="P103" s="104"/>
      <c r="R103" s="104"/>
      <c r="T103" s="104"/>
      <c r="V103" s="104"/>
      <c r="X103" s="104"/>
      <c r="Y103" s="73"/>
      <c r="Z103" s="105"/>
      <c r="AB103" s="104"/>
      <c r="AD103" s="104"/>
      <c r="AF103" s="81">
        <f t="shared" si="1"/>
        <v>2741.991</v>
      </c>
      <c r="AG103" s="78">
        <f t="shared" si="2"/>
        <v>161</v>
      </c>
      <c r="AH103" s="78">
        <f t="shared" si="3"/>
        <v>0</v>
      </c>
      <c r="AI103" s="78">
        <f t="shared" si="4"/>
        <v>161</v>
      </c>
      <c r="AJ103" s="82">
        <f t="shared" si="5"/>
        <v>17.031</v>
      </c>
    </row>
    <row r="104">
      <c r="A104" s="76" t="s">
        <v>21</v>
      </c>
      <c r="B104" s="77">
        <f t="shared" si="6"/>
        <v>44663</v>
      </c>
      <c r="C104" s="78">
        <v>4.0</v>
      </c>
      <c r="D104" s="78" t="s">
        <v>12</v>
      </c>
      <c r="E104" s="80" t="s">
        <v>129</v>
      </c>
      <c r="F104" s="71"/>
      <c r="H104" s="72"/>
      <c r="J104" s="72"/>
      <c r="L104" s="105">
        <v>89.0</v>
      </c>
      <c r="N104" s="104">
        <v>91.0</v>
      </c>
      <c r="P104" s="104"/>
      <c r="R104" s="104"/>
      <c r="T104" s="104"/>
      <c r="V104" s="104"/>
      <c r="X104" s="104"/>
      <c r="Y104" s="73"/>
      <c r="Z104" s="105"/>
      <c r="AB104" s="104"/>
      <c r="AD104" s="104"/>
      <c r="AF104" s="81">
        <f t="shared" si="1"/>
        <v>3065.58</v>
      </c>
      <c r="AG104" s="78">
        <f t="shared" si="2"/>
        <v>180</v>
      </c>
      <c r="AH104" s="78">
        <f t="shared" si="3"/>
        <v>0</v>
      </c>
      <c r="AI104" s="78">
        <f t="shared" si="4"/>
        <v>180</v>
      </c>
      <c r="AJ104" s="82">
        <f t="shared" si="5"/>
        <v>17.031</v>
      </c>
    </row>
    <row r="105">
      <c r="A105" s="76" t="s">
        <v>24</v>
      </c>
      <c r="B105" s="77">
        <f t="shared" si="6"/>
        <v>44664</v>
      </c>
      <c r="C105" s="78">
        <v>4.0</v>
      </c>
      <c r="D105" s="78" t="s">
        <v>12</v>
      </c>
      <c r="E105" s="80" t="s">
        <v>129</v>
      </c>
      <c r="F105" s="71"/>
      <c r="H105" s="72"/>
      <c r="J105" s="72"/>
      <c r="L105" s="105">
        <v>77.0</v>
      </c>
      <c r="N105" s="104">
        <v>77.0</v>
      </c>
      <c r="P105" s="104"/>
      <c r="R105" s="104"/>
      <c r="T105" s="104"/>
      <c r="V105" s="104"/>
      <c r="X105" s="104"/>
      <c r="Y105" s="73"/>
      <c r="Z105" s="105"/>
      <c r="AB105" s="104"/>
      <c r="AD105" s="104"/>
      <c r="AF105" s="81">
        <f t="shared" si="1"/>
        <v>2622.774</v>
      </c>
      <c r="AG105" s="78">
        <f t="shared" si="2"/>
        <v>154</v>
      </c>
      <c r="AH105" s="78">
        <f t="shared" si="3"/>
        <v>0</v>
      </c>
      <c r="AI105" s="78">
        <f t="shared" si="4"/>
        <v>154</v>
      </c>
      <c r="AJ105" s="82">
        <f t="shared" si="5"/>
        <v>17.031</v>
      </c>
    </row>
    <row r="106">
      <c r="A106" s="76" t="s">
        <v>27</v>
      </c>
      <c r="B106" s="77">
        <f t="shared" si="6"/>
        <v>44665</v>
      </c>
      <c r="C106" s="78">
        <v>4.0</v>
      </c>
      <c r="D106" s="78" t="s">
        <v>12</v>
      </c>
      <c r="E106" s="80" t="s">
        <v>129</v>
      </c>
      <c r="F106" s="71"/>
      <c r="H106" s="72"/>
      <c r="J106" s="72"/>
      <c r="L106" s="105">
        <v>80.0</v>
      </c>
      <c r="N106" s="104">
        <v>74.0</v>
      </c>
      <c r="P106" s="104"/>
      <c r="R106" s="104"/>
      <c r="T106" s="104"/>
      <c r="V106" s="104"/>
      <c r="X106" s="104"/>
      <c r="Y106" s="73"/>
      <c r="Z106" s="105"/>
      <c r="AB106" s="104"/>
      <c r="AD106" s="104"/>
      <c r="AF106" s="81">
        <f t="shared" si="1"/>
        <v>2622.774</v>
      </c>
      <c r="AG106" s="78">
        <f t="shared" si="2"/>
        <v>154</v>
      </c>
      <c r="AH106" s="78">
        <f t="shared" si="3"/>
        <v>0</v>
      </c>
      <c r="AI106" s="78">
        <f t="shared" si="4"/>
        <v>154</v>
      </c>
      <c r="AJ106" s="82">
        <f t="shared" si="5"/>
        <v>17.031</v>
      </c>
    </row>
    <row r="107">
      <c r="A107" s="83" t="s">
        <v>30</v>
      </c>
      <c r="B107" s="84">
        <f t="shared" si="6"/>
        <v>44666</v>
      </c>
      <c r="C107" s="85">
        <v>4.0</v>
      </c>
      <c r="D107" s="85" t="s">
        <v>12</v>
      </c>
      <c r="E107" s="87" t="s">
        <v>129</v>
      </c>
      <c r="F107" s="88"/>
      <c r="G107" s="89"/>
      <c r="H107" s="90"/>
      <c r="I107" s="89"/>
      <c r="J107" s="90"/>
      <c r="K107" s="89"/>
      <c r="L107" s="112">
        <v>0.0</v>
      </c>
      <c r="M107" s="89"/>
      <c r="N107" s="111">
        <v>0.0</v>
      </c>
      <c r="O107" s="89"/>
      <c r="P107" s="111"/>
      <c r="Q107" s="89"/>
      <c r="R107" s="111"/>
      <c r="S107" s="89"/>
      <c r="T107" s="111"/>
      <c r="U107" s="89"/>
      <c r="V107" s="111"/>
      <c r="W107" s="89"/>
      <c r="X107" s="111"/>
      <c r="Y107" s="91"/>
      <c r="Z107" s="112"/>
      <c r="AA107" s="89"/>
      <c r="AB107" s="111"/>
      <c r="AC107" s="89"/>
      <c r="AD107" s="111"/>
      <c r="AE107" s="89"/>
      <c r="AF107" s="92">
        <f t="shared" si="1"/>
        <v>0</v>
      </c>
      <c r="AG107" s="85">
        <f t="shared" si="2"/>
        <v>0</v>
      </c>
      <c r="AH107" s="85">
        <f t="shared" si="3"/>
        <v>0</v>
      </c>
      <c r="AI107" s="85">
        <f t="shared" si="4"/>
        <v>0</v>
      </c>
      <c r="AJ107" s="93" t="str">
        <f t="shared" si="5"/>
        <v/>
      </c>
    </row>
    <row r="108">
      <c r="A108" s="66" t="s">
        <v>11</v>
      </c>
      <c r="B108" s="94">
        <f t="shared" si="6"/>
        <v>44667</v>
      </c>
      <c r="C108" s="68">
        <v>4.0</v>
      </c>
      <c r="D108" s="68" t="s">
        <v>33</v>
      </c>
      <c r="E108" s="70" t="s">
        <v>129</v>
      </c>
      <c r="F108" s="71"/>
      <c r="H108" s="72"/>
      <c r="J108" s="72"/>
      <c r="L108" s="105">
        <v>81.0</v>
      </c>
      <c r="N108" s="104">
        <v>91.0</v>
      </c>
      <c r="P108" s="104"/>
      <c r="R108" s="104"/>
      <c r="T108" s="104"/>
      <c r="V108" s="104"/>
      <c r="X108" s="104"/>
      <c r="Y108" s="73"/>
      <c r="Z108" s="105"/>
      <c r="AB108" s="104"/>
      <c r="AD108" s="104"/>
      <c r="AF108" s="74">
        <f t="shared" si="1"/>
        <v>2929.332</v>
      </c>
      <c r="AG108" s="68">
        <f t="shared" si="2"/>
        <v>172</v>
      </c>
      <c r="AH108" s="68">
        <f t="shared" si="3"/>
        <v>0</v>
      </c>
      <c r="AI108" s="68">
        <f t="shared" si="4"/>
        <v>172</v>
      </c>
      <c r="AJ108" s="75">
        <f t="shared" si="5"/>
        <v>17.031</v>
      </c>
    </row>
    <row r="109">
      <c r="A109" s="76" t="s">
        <v>16</v>
      </c>
      <c r="B109" s="77">
        <f t="shared" si="6"/>
        <v>44668</v>
      </c>
      <c r="C109" s="78">
        <v>4.0</v>
      </c>
      <c r="D109" s="78" t="s">
        <v>33</v>
      </c>
      <c r="E109" s="80" t="s">
        <v>129</v>
      </c>
      <c r="F109" s="71"/>
      <c r="H109" s="72"/>
      <c r="J109" s="72"/>
      <c r="L109" s="105">
        <v>92.0</v>
      </c>
      <c r="N109" s="104">
        <v>99.0</v>
      </c>
      <c r="P109" s="104"/>
      <c r="R109" s="104"/>
      <c r="T109" s="104"/>
      <c r="V109" s="104"/>
      <c r="X109" s="104"/>
      <c r="Y109" s="73"/>
      <c r="Z109" s="105"/>
      <c r="AB109" s="104"/>
      <c r="AD109" s="104"/>
      <c r="AF109" s="81">
        <f t="shared" si="1"/>
        <v>3252.921</v>
      </c>
      <c r="AG109" s="78">
        <f t="shared" si="2"/>
        <v>191</v>
      </c>
      <c r="AH109" s="78">
        <f t="shared" si="3"/>
        <v>0</v>
      </c>
      <c r="AI109" s="78">
        <f t="shared" si="4"/>
        <v>191</v>
      </c>
      <c r="AJ109" s="82">
        <f t="shared" si="5"/>
        <v>17.031</v>
      </c>
    </row>
    <row r="110">
      <c r="A110" s="76" t="s">
        <v>17</v>
      </c>
      <c r="B110" s="77">
        <f t="shared" si="6"/>
        <v>44669</v>
      </c>
      <c r="C110" s="78">
        <v>4.0</v>
      </c>
      <c r="D110" s="78" t="s">
        <v>33</v>
      </c>
      <c r="E110" s="80" t="s">
        <v>129</v>
      </c>
      <c r="F110" s="71"/>
      <c r="H110" s="72"/>
      <c r="J110" s="72"/>
      <c r="L110" s="105">
        <v>83.0</v>
      </c>
      <c r="N110" s="104">
        <v>78.0</v>
      </c>
      <c r="P110" s="104"/>
      <c r="R110" s="104"/>
      <c r="T110" s="104"/>
      <c r="V110" s="104"/>
      <c r="X110" s="104"/>
      <c r="Y110" s="73"/>
      <c r="Z110" s="105"/>
      <c r="AB110" s="104"/>
      <c r="AD110" s="104"/>
      <c r="AF110" s="81">
        <f t="shared" si="1"/>
        <v>2741.991</v>
      </c>
      <c r="AG110" s="78">
        <f t="shared" si="2"/>
        <v>161</v>
      </c>
      <c r="AH110" s="78">
        <f t="shared" si="3"/>
        <v>0</v>
      </c>
      <c r="AI110" s="78">
        <f t="shared" si="4"/>
        <v>161</v>
      </c>
      <c r="AJ110" s="82">
        <f t="shared" si="5"/>
        <v>17.031</v>
      </c>
    </row>
    <row r="111">
      <c r="A111" s="76" t="s">
        <v>21</v>
      </c>
      <c r="B111" s="77">
        <f t="shared" si="6"/>
        <v>44670</v>
      </c>
      <c r="C111" s="78">
        <v>4.0</v>
      </c>
      <c r="D111" s="78" t="s">
        <v>33</v>
      </c>
      <c r="E111" s="80" t="s">
        <v>129</v>
      </c>
      <c r="F111" s="71"/>
      <c r="H111" s="72"/>
      <c r="J111" s="72"/>
      <c r="L111" s="105">
        <v>75.0</v>
      </c>
      <c r="N111" s="104">
        <v>79.0</v>
      </c>
      <c r="P111" s="104"/>
      <c r="R111" s="104"/>
      <c r="T111" s="104"/>
      <c r="V111" s="104"/>
      <c r="X111" s="104"/>
      <c r="Y111" s="73"/>
      <c r="Z111" s="105"/>
      <c r="AB111" s="104"/>
      <c r="AD111" s="104"/>
      <c r="AF111" s="81">
        <f t="shared" si="1"/>
        <v>2622.774</v>
      </c>
      <c r="AG111" s="78">
        <f t="shared" si="2"/>
        <v>154</v>
      </c>
      <c r="AH111" s="78">
        <f t="shared" si="3"/>
        <v>0</v>
      </c>
      <c r="AI111" s="78">
        <f t="shared" si="4"/>
        <v>154</v>
      </c>
      <c r="AJ111" s="82">
        <f t="shared" si="5"/>
        <v>17.031</v>
      </c>
    </row>
    <row r="112">
      <c r="A112" s="76" t="s">
        <v>24</v>
      </c>
      <c r="B112" s="77">
        <f t="shared" si="6"/>
        <v>44671</v>
      </c>
      <c r="C112" s="78">
        <v>4.0</v>
      </c>
      <c r="D112" s="78" t="s">
        <v>33</v>
      </c>
      <c r="E112" s="80" t="s">
        <v>129</v>
      </c>
      <c r="F112" s="71"/>
      <c r="H112" s="72"/>
      <c r="J112" s="72"/>
      <c r="L112" s="105">
        <v>85.0</v>
      </c>
      <c r="N112" s="104"/>
      <c r="P112" s="104"/>
      <c r="R112" s="104"/>
      <c r="T112" s="104"/>
      <c r="V112" s="104"/>
      <c r="X112" s="104"/>
      <c r="Y112" s="73"/>
      <c r="Z112" s="105"/>
      <c r="AB112" s="104"/>
      <c r="AD112" s="104"/>
      <c r="AF112" s="81">
        <f t="shared" si="1"/>
        <v>1447.635</v>
      </c>
      <c r="AG112" s="78">
        <f t="shared" si="2"/>
        <v>85</v>
      </c>
      <c r="AH112" s="78">
        <f t="shared" si="3"/>
        <v>0</v>
      </c>
      <c r="AI112" s="78">
        <f t="shared" si="4"/>
        <v>85</v>
      </c>
      <c r="AJ112" s="82">
        <f t="shared" si="5"/>
        <v>17.031</v>
      </c>
    </row>
    <row r="113">
      <c r="A113" s="76" t="s">
        <v>27</v>
      </c>
      <c r="B113" s="77">
        <f t="shared" si="6"/>
        <v>44672</v>
      </c>
      <c r="C113" s="78">
        <v>4.0</v>
      </c>
      <c r="D113" s="78" t="s">
        <v>33</v>
      </c>
      <c r="E113" s="80" t="s">
        <v>129</v>
      </c>
      <c r="F113" s="71"/>
      <c r="H113" s="72"/>
      <c r="J113" s="72"/>
      <c r="L113" s="105"/>
      <c r="N113" s="104"/>
      <c r="P113" s="104"/>
      <c r="R113" s="104"/>
      <c r="T113" s="104"/>
      <c r="V113" s="104"/>
      <c r="X113" s="104"/>
      <c r="Y113" s="73"/>
      <c r="Z113" s="105"/>
      <c r="AB113" s="104"/>
      <c r="AD113" s="104"/>
      <c r="AF113" s="81">
        <f t="shared" si="1"/>
        <v>0</v>
      </c>
      <c r="AG113" s="78">
        <f t="shared" si="2"/>
        <v>0</v>
      </c>
      <c r="AH113" s="78">
        <f t="shared" si="3"/>
        <v>0</v>
      </c>
      <c r="AI113" s="78">
        <f t="shared" si="4"/>
        <v>0</v>
      </c>
      <c r="AJ113" s="82" t="str">
        <f t="shared" si="5"/>
        <v/>
      </c>
    </row>
    <row r="114">
      <c r="A114" s="83" t="s">
        <v>30</v>
      </c>
      <c r="B114" s="84">
        <f t="shared" si="6"/>
        <v>44673</v>
      </c>
      <c r="C114" s="85">
        <v>4.0</v>
      </c>
      <c r="D114" s="85" t="s">
        <v>33</v>
      </c>
      <c r="E114" s="87" t="s">
        <v>129</v>
      </c>
      <c r="F114" s="88"/>
      <c r="G114" s="89"/>
      <c r="H114" s="90"/>
      <c r="I114" s="89"/>
      <c r="J114" s="90"/>
      <c r="K114" s="89"/>
      <c r="L114" s="112">
        <v>0.0</v>
      </c>
      <c r="M114" s="89"/>
      <c r="N114" s="111">
        <v>0.0</v>
      </c>
      <c r="O114" s="89"/>
      <c r="P114" s="111"/>
      <c r="Q114" s="89"/>
      <c r="R114" s="111"/>
      <c r="S114" s="89"/>
      <c r="T114" s="111"/>
      <c r="U114" s="89"/>
      <c r="V114" s="111"/>
      <c r="W114" s="89"/>
      <c r="X114" s="111"/>
      <c r="Y114" s="91"/>
      <c r="Z114" s="112"/>
      <c r="AA114" s="89"/>
      <c r="AB114" s="111"/>
      <c r="AC114" s="89"/>
      <c r="AD114" s="111"/>
      <c r="AE114" s="89"/>
      <c r="AF114" s="92">
        <f t="shared" si="1"/>
        <v>0</v>
      </c>
      <c r="AG114" s="85">
        <f t="shared" si="2"/>
        <v>0</v>
      </c>
      <c r="AH114" s="85">
        <f t="shared" si="3"/>
        <v>0</v>
      </c>
      <c r="AI114" s="85">
        <f t="shared" si="4"/>
        <v>0</v>
      </c>
      <c r="AJ114" s="93" t="str">
        <f t="shared" si="5"/>
        <v/>
      </c>
    </row>
    <row r="115">
      <c r="A115" s="66" t="s">
        <v>11</v>
      </c>
      <c r="B115" s="94">
        <f t="shared" si="6"/>
        <v>44674</v>
      </c>
      <c r="C115" s="68">
        <v>5.0</v>
      </c>
      <c r="D115" s="68" t="s">
        <v>48</v>
      </c>
      <c r="E115" s="70" t="s">
        <v>129</v>
      </c>
      <c r="F115" s="71"/>
      <c r="H115" s="72"/>
      <c r="J115" s="72"/>
      <c r="L115" s="105">
        <v>74.0</v>
      </c>
      <c r="N115" s="104">
        <v>74.0</v>
      </c>
      <c r="P115" s="104"/>
      <c r="R115" s="104"/>
      <c r="T115" s="104"/>
      <c r="V115" s="104"/>
      <c r="X115" s="104"/>
      <c r="Y115" s="73"/>
      <c r="Z115" s="105"/>
      <c r="AB115" s="104"/>
      <c r="AD115" s="104"/>
      <c r="AF115" s="74">
        <f t="shared" si="1"/>
        <v>2520.588</v>
      </c>
      <c r="AG115" s="68">
        <f t="shared" si="2"/>
        <v>148</v>
      </c>
      <c r="AH115" s="68">
        <f t="shared" si="3"/>
        <v>0</v>
      </c>
      <c r="AI115" s="68">
        <f t="shared" si="4"/>
        <v>148</v>
      </c>
      <c r="AJ115" s="75">
        <f t="shared" si="5"/>
        <v>17.031</v>
      </c>
    </row>
    <row r="116">
      <c r="A116" s="76" t="s">
        <v>16</v>
      </c>
      <c r="B116" s="77">
        <f t="shared" si="6"/>
        <v>44675</v>
      </c>
      <c r="C116" s="78">
        <v>5.0</v>
      </c>
      <c r="D116" s="78" t="s">
        <v>48</v>
      </c>
      <c r="E116" s="80" t="s">
        <v>129</v>
      </c>
      <c r="F116" s="71"/>
      <c r="H116" s="72"/>
      <c r="J116" s="72"/>
      <c r="L116" s="105">
        <v>69.0</v>
      </c>
      <c r="N116" s="104">
        <v>82.0</v>
      </c>
      <c r="P116" s="104"/>
      <c r="R116" s="104"/>
      <c r="T116" s="104"/>
      <c r="V116" s="104"/>
      <c r="X116" s="104"/>
      <c r="Y116" s="73"/>
      <c r="Z116" s="105"/>
      <c r="AB116" s="104"/>
      <c r="AD116" s="104"/>
      <c r="AF116" s="81">
        <f t="shared" si="1"/>
        <v>2571.681</v>
      </c>
      <c r="AG116" s="78">
        <f t="shared" si="2"/>
        <v>151</v>
      </c>
      <c r="AH116" s="78">
        <f t="shared" si="3"/>
        <v>0</v>
      </c>
      <c r="AI116" s="78">
        <f t="shared" si="4"/>
        <v>151</v>
      </c>
      <c r="AJ116" s="82">
        <f t="shared" si="5"/>
        <v>17.031</v>
      </c>
    </row>
    <row r="117">
      <c r="A117" s="76" t="s">
        <v>17</v>
      </c>
      <c r="B117" s="77">
        <f t="shared" si="6"/>
        <v>44676</v>
      </c>
      <c r="C117" s="78">
        <v>5.0</v>
      </c>
      <c r="D117" s="78" t="s">
        <v>48</v>
      </c>
      <c r="E117" s="80" t="s">
        <v>129</v>
      </c>
      <c r="F117" s="71"/>
      <c r="H117" s="72"/>
      <c r="J117" s="72"/>
      <c r="L117" s="105">
        <v>70.0</v>
      </c>
      <c r="N117" s="104">
        <v>85.0</v>
      </c>
      <c r="P117" s="104"/>
      <c r="R117" s="104"/>
      <c r="T117" s="104"/>
      <c r="V117" s="104"/>
      <c r="X117" s="104"/>
      <c r="Y117" s="73"/>
      <c r="Z117" s="105"/>
      <c r="AB117" s="104"/>
      <c r="AD117" s="104"/>
      <c r="AF117" s="81">
        <f t="shared" si="1"/>
        <v>2639.805</v>
      </c>
      <c r="AG117" s="78">
        <f t="shared" si="2"/>
        <v>155</v>
      </c>
      <c r="AH117" s="78">
        <f t="shared" si="3"/>
        <v>0</v>
      </c>
      <c r="AI117" s="78">
        <f t="shared" si="4"/>
        <v>155</v>
      </c>
      <c r="AJ117" s="82">
        <f t="shared" si="5"/>
        <v>17.031</v>
      </c>
    </row>
    <row r="118">
      <c r="A118" s="76" t="s">
        <v>21</v>
      </c>
      <c r="B118" s="77">
        <f t="shared" si="6"/>
        <v>44677</v>
      </c>
      <c r="C118" s="78">
        <v>5.0</v>
      </c>
      <c r="D118" s="78" t="s">
        <v>48</v>
      </c>
      <c r="E118" s="80" t="s">
        <v>129</v>
      </c>
      <c r="F118" s="71"/>
      <c r="H118" s="72"/>
      <c r="J118" s="72"/>
      <c r="L118" s="105">
        <v>70.0</v>
      </c>
      <c r="N118" s="104">
        <v>79.0</v>
      </c>
      <c r="P118" s="104"/>
      <c r="R118" s="104"/>
      <c r="T118" s="104"/>
      <c r="V118" s="104"/>
      <c r="X118" s="104"/>
      <c r="Y118" s="73"/>
      <c r="Z118" s="105"/>
      <c r="AB118" s="104"/>
      <c r="AD118" s="104"/>
      <c r="AF118" s="81">
        <f t="shared" si="1"/>
        <v>2537.619</v>
      </c>
      <c r="AG118" s="78">
        <f t="shared" si="2"/>
        <v>149</v>
      </c>
      <c r="AH118" s="78">
        <f t="shared" si="3"/>
        <v>0</v>
      </c>
      <c r="AI118" s="78">
        <f t="shared" si="4"/>
        <v>149</v>
      </c>
      <c r="AJ118" s="82">
        <f t="shared" si="5"/>
        <v>17.031</v>
      </c>
    </row>
    <row r="119">
      <c r="A119" s="76" t="s">
        <v>24</v>
      </c>
      <c r="B119" s="77">
        <f t="shared" si="6"/>
        <v>44678</v>
      </c>
      <c r="C119" s="78">
        <v>5.0</v>
      </c>
      <c r="D119" s="78" t="s">
        <v>48</v>
      </c>
      <c r="E119" s="80" t="s">
        <v>129</v>
      </c>
      <c r="F119" s="71"/>
      <c r="H119" s="72"/>
      <c r="J119" s="72"/>
      <c r="L119" s="105">
        <v>62.0</v>
      </c>
      <c r="N119" s="104">
        <v>76.0</v>
      </c>
      <c r="P119" s="104"/>
      <c r="R119" s="104"/>
      <c r="T119" s="104"/>
      <c r="V119" s="104"/>
      <c r="X119" s="104"/>
      <c r="Y119" s="73"/>
      <c r="Z119" s="105"/>
      <c r="AB119" s="104"/>
      <c r="AD119" s="104"/>
      <c r="AF119" s="81">
        <f t="shared" si="1"/>
        <v>2350.278</v>
      </c>
      <c r="AG119" s="78">
        <f t="shared" si="2"/>
        <v>138</v>
      </c>
      <c r="AH119" s="78">
        <f t="shared" si="3"/>
        <v>0</v>
      </c>
      <c r="AI119" s="78">
        <f t="shared" si="4"/>
        <v>138</v>
      </c>
      <c r="AJ119" s="82">
        <f t="shared" si="5"/>
        <v>17.031</v>
      </c>
    </row>
    <row r="120">
      <c r="A120" s="76" t="s">
        <v>27</v>
      </c>
      <c r="B120" s="77">
        <f t="shared" si="6"/>
        <v>44679</v>
      </c>
      <c r="C120" s="78">
        <v>5.0</v>
      </c>
      <c r="D120" s="78" t="s">
        <v>48</v>
      </c>
      <c r="E120" s="80" t="s">
        <v>129</v>
      </c>
      <c r="F120" s="71"/>
      <c r="H120" s="72"/>
      <c r="J120" s="72"/>
      <c r="L120" s="105">
        <v>63.0</v>
      </c>
      <c r="N120" s="104">
        <v>48.0</v>
      </c>
      <c r="P120" s="104"/>
      <c r="R120" s="104"/>
      <c r="T120" s="104"/>
      <c r="V120" s="104"/>
      <c r="X120" s="104"/>
      <c r="Y120" s="73"/>
      <c r="Z120" s="105"/>
      <c r="AB120" s="104"/>
      <c r="AD120" s="104"/>
      <c r="AF120" s="81">
        <f t="shared" si="1"/>
        <v>1890.441</v>
      </c>
      <c r="AG120" s="78">
        <f t="shared" si="2"/>
        <v>111</v>
      </c>
      <c r="AH120" s="78">
        <f t="shared" si="3"/>
        <v>0</v>
      </c>
      <c r="AI120" s="78">
        <f t="shared" si="4"/>
        <v>111</v>
      </c>
      <c r="AJ120" s="82">
        <f t="shared" si="5"/>
        <v>17.031</v>
      </c>
    </row>
    <row r="121">
      <c r="A121" s="83" t="s">
        <v>30</v>
      </c>
      <c r="B121" s="84">
        <f t="shared" si="6"/>
        <v>44680</v>
      </c>
      <c r="C121" s="85">
        <v>5.0</v>
      </c>
      <c r="D121" s="85" t="s">
        <v>48</v>
      </c>
      <c r="E121" s="87" t="s">
        <v>129</v>
      </c>
      <c r="F121" s="88"/>
      <c r="G121" s="89"/>
      <c r="H121" s="90"/>
      <c r="I121" s="89"/>
      <c r="J121" s="90"/>
      <c r="K121" s="89"/>
      <c r="L121" s="112">
        <v>0.0</v>
      </c>
      <c r="M121" s="89"/>
      <c r="N121" s="111">
        <v>0.0</v>
      </c>
      <c r="O121" s="89"/>
      <c r="P121" s="111"/>
      <c r="Q121" s="89"/>
      <c r="R121" s="111"/>
      <c r="S121" s="89"/>
      <c r="T121" s="111"/>
      <c r="U121" s="89"/>
      <c r="V121" s="111"/>
      <c r="W121" s="89"/>
      <c r="X121" s="111"/>
      <c r="Y121" s="91"/>
      <c r="Z121" s="112"/>
      <c r="AA121" s="89"/>
      <c r="AB121" s="111"/>
      <c r="AC121" s="89"/>
      <c r="AD121" s="111"/>
      <c r="AE121" s="89"/>
      <c r="AF121" s="92">
        <f t="shared" si="1"/>
        <v>0</v>
      </c>
      <c r="AG121" s="85">
        <f t="shared" si="2"/>
        <v>0</v>
      </c>
      <c r="AH121" s="85">
        <f t="shared" si="3"/>
        <v>0</v>
      </c>
      <c r="AI121" s="85">
        <f t="shared" si="4"/>
        <v>0</v>
      </c>
      <c r="AJ121" s="93" t="str">
        <f t="shared" si="5"/>
        <v/>
      </c>
    </row>
    <row r="122">
      <c r="A122" s="66" t="s">
        <v>11</v>
      </c>
      <c r="B122" s="94">
        <f t="shared" si="6"/>
        <v>44681</v>
      </c>
      <c r="C122" s="68">
        <v>5.0</v>
      </c>
      <c r="D122" s="68" t="s">
        <v>59</v>
      </c>
      <c r="E122" s="70" t="s">
        <v>129</v>
      </c>
      <c r="F122" s="71"/>
      <c r="H122" s="72"/>
      <c r="J122" s="72"/>
      <c r="L122" s="105">
        <v>62.0</v>
      </c>
      <c r="N122" s="104">
        <v>71.0</v>
      </c>
      <c r="P122" s="104"/>
      <c r="R122" s="104"/>
      <c r="T122" s="104"/>
      <c r="V122" s="104"/>
      <c r="X122" s="104"/>
      <c r="Y122" s="73"/>
      <c r="Z122" s="105"/>
      <c r="AB122" s="104"/>
      <c r="AD122" s="104"/>
      <c r="AF122" s="74">
        <f t="shared" si="1"/>
        <v>2265.123</v>
      </c>
      <c r="AG122" s="68">
        <f t="shared" si="2"/>
        <v>133</v>
      </c>
      <c r="AH122" s="68">
        <f t="shared" si="3"/>
        <v>0</v>
      </c>
      <c r="AI122" s="68">
        <f t="shared" si="4"/>
        <v>133</v>
      </c>
      <c r="AJ122" s="75">
        <f t="shared" si="5"/>
        <v>17.031</v>
      </c>
    </row>
    <row r="123">
      <c r="A123" s="76" t="s">
        <v>16</v>
      </c>
      <c r="B123" s="77">
        <f t="shared" si="6"/>
        <v>44682</v>
      </c>
      <c r="C123" s="78">
        <v>5.0</v>
      </c>
      <c r="D123" s="78" t="s">
        <v>59</v>
      </c>
      <c r="E123" s="80" t="s">
        <v>129</v>
      </c>
      <c r="F123" s="71"/>
      <c r="H123" s="72"/>
      <c r="J123" s="72"/>
      <c r="L123" s="105">
        <v>71.0</v>
      </c>
      <c r="N123" s="104">
        <v>90.0</v>
      </c>
      <c r="P123" s="104"/>
      <c r="R123" s="104"/>
      <c r="T123" s="104"/>
      <c r="V123" s="104"/>
      <c r="X123" s="104"/>
      <c r="Y123" s="73"/>
      <c r="Z123" s="105"/>
      <c r="AB123" s="104"/>
      <c r="AD123" s="104"/>
      <c r="AF123" s="81">
        <f t="shared" si="1"/>
        <v>2741.991</v>
      </c>
      <c r="AG123" s="78">
        <f t="shared" si="2"/>
        <v>161</v>
      </c>
      <c r="AH123" s="78">
        <f t="shared" si="3"/>
        <v>0</v>
      </c>
      <c r="AI123" s="78">
        <f t="shared" si="4"/>
        <v>161</v>
      </c>
      <c r="AJ123" s="82">
        <f t="shared" si="5"/>
        <v>17.031</v>
      </c>
    </row>
    <row r="124">
      <c r="A124" s="76" t="s">
        <v>17</v>
      </c>
      <c r="B124" s="77">
        <f t="shared" si="6"/>
        <v>44683</v>
      </c>
      <c r="C124" s="78">
        <v>5.0</v>
      </c>
      <c r="D124" s="78" t="s">
        <v>59</v>
      </c>
      <c r="E124" s="80" t="s">
        <v>129</v>
      </c>
      <c r="F124" s="71"/>
      <c r="H124" s="72"/>
      <c r="J124" s="72"/>
      <c r="L124" s="105">
        <v>60.0</v>
      </c>
      <c r="N124" s="104">
        <v>69.0</v>
      </c>
      <c r="P124" s="104"/>
      <c r="R124" s="104"/>
      <c r="T124" s="104"/>
      <c r="V124" s="104"/>
      <c r="X124" s="104"/>
      <c r="Y124" s="73"/>
      <c r="Z124" s="105"/>
      <c r="AB124" s="104"/>
      <c r="AD124" s="104"/>
      <c r="AF124" s="81">
        <f t="shared" si="1"/>
        <v>2196.999</v>
      </c>
      <c r="AG124" s="78">
        <f t="shared" si="2"/>
        <v>129</v>
      </c>
      <c r="AH124" s="78">
        <f t="shared" si="3"/>
        <v>0</v>
      </c>
      <c r="AI124" s="78">
        <f t="shared" si="4"/>
        <v>129</v>
      </c>
      <c r="AJ124" s="82">
        <f t="shared" si="5"/>
        <v>17.031</v>
      </c>
    </row>
    <row r="125">
      <c r="A125" s="76" t="s">
        <v>21</v>
      </c>
      <c r="B125" s="77">
        <f t="shared" si="6"/>
        <v>44684</v>
      </c>
      <c r="C125" s="78">
        <v>5.0</v>
      </c>
      <c r="D125" s="78" t="s">
        <v>59</v>
      </c>
      <c r="E125" s="80" t="s">
        <v>129</v>
      </c>
      <c r="F125" s="71"/>
      <c r="H125" s="72"/>
      <c r="J125" s="72"/>
      <c r="L125" s="105">
        <v>72.0</v>
      </c>
      <c r="N125" s="104">
        <v>91.0</v>
      </c>
      <c r="P125" s="104"/>
      <c r="R125" s="104"/>
      <c r="T125" s="104"/>
      <c r="V125" s="104"/>
      <c r="X125" s="104"/>
      <c r="Y125" s="73"/>
      <c r="Z125" s="105"/>
      <c r="AB125" s="104"/>
      <c r="AD125" s="104"/>
      <c r="AF125" s="81">
        <f t="shared" si="1"/>
        <v>2776.053</v>
      </c>
      <c r="AG125" s="78">
        <f t="shared" si="2"/>
        <v>163</v>
      </c>
      <c r="AH125" s="78">
        <f t="shared" si="3"/>
        <v>0</v>
      </c>
      <c r="AI125" s="78">
        <f t="shared" si="4"/>
        <v>163</v>
      </c>
      <c r="AJ125" s="82">
        <f t="shared" si="5"/>
        <v>17.031</v>
      </c>
    </row>
    <row r="126">
      <c r="A126" s="76" t="s">
        <v>24</v>
      </c>
      <c r="B126" s="77">
        <f t="shared" si="6"/>
        <v>44685</v>
      </c>
      <c r="C126" s="78">
        <v>5.0</v>
      </c>
      <c r="D126" s="78" t="s">
        <v>59</v>
      </c>
      <c r="E126" s="80" t="s">
        <v>129</v>
      </c>
      <c r="F126" s="71"/>
      <c r="H126" s="72"/>
      <c r="J126" s="72"/>
      <c r="L126" s="105">
        <v>74.0</v>
      </c>
      <c r="N126" s="104">
        <v>65.0</v>
      </c>
      <c r="P126" s="104"/>
      <c r="R126" s="104"/>
      <c r="T126" s="104"/>
      <c r="V126" s="104"/>
      <c r="X126" s="104"/>
      <c r="Y126" s="73"/>
      <c r="Z126" s="105"/>
      <c r="AB126" s="104"/>
      <c r="AD126" s="104"/>
      <c r="AF126" s="81">
        <f t="shared" si="1"/>
        <v>2367.309</v>
      </c>
      <c r="AG126" s="78">
        <f t="shared" si="2"/>
        <v>139</v>
      </c>
      <c r="AH126" s="78">
        <f t="shared" si="3"/>
        <v>0</v>
      </c>
      <c r="AI126" s="78">
        <f t="shared" si="4"/>
        <v>139</v>
      </c>
      <c r="AJ126" s="82">
        <f t="shared" si="5"/>
        <v>17.031</v>
      </c>
    </row>
    <row r="127">
      <c r="A127" s="76" t="s">
        <v>27</v>
      </c>
      <c r="B127" s="77">
        <f t="shared" si="6"/>
        <v>44686</v>
      </c>
      <c r="C127" s="78">
        <v>5.0</v>
      </c>
      <c r="D127" s="78" t="s">
        <v>59</v>
      </c>
      <c r="E127" s="80" t="s">
        <v>129</v>
      </c>
      <c r="F127" s="71"/>
      <c r="H127" s="72"/>
      <c r="J127" s="72"/>
      <c r="L127" s="105">
        <v>74.0</v>
      </c>
      <c r="N127" s="104">
        <v>69.0</v>
      </c>
      <c r="P127" s="104"/>
      <c r="R127" s="104"/>
      <c r="T127" s="104"/>
      <c r="V127" s="104"/>
      <c r="X127" s="104"/>
      <c r="Y127" s="73"/>
      <c r="Z127" s="105"/>
      <c r="AB127" s="104"/>
      <c r="AD127" s="104"/>
      <c r="AF127" s="81">
        <f t="shared" si="1"/>
        <v>2435.433</v>
      </c>
      <c r="AG127" s="78">
        <f t="shared" si="2"/>
        <v>143</v>
      </c>
      <c r="AH127" s="78">
        <f t="shared" si="3"/>
        <v>0</v>
      </c>
      <c r="AI127" s="78">
        <f t="shared" si="4"/>
        <v>143</v>
      </c>
      <c r="AJ127" s="82">
        <f t="shared" si="5"/>
        <v>17.031</v>
      </c>
    </row>
    <row r="128">
      <c r="A128" s="83" t="s">
        <v>30</v>
      </c>
      <c r="B128" s="84">
        <f t="shared" si="6"/>
        <v>44687</v>
      </c>
      <c r="C128" s="85">
        <v>5.0</v>
      </c>
      <c r="D128" s="85" t="s">
        <v>59</v>
      </c>
      <c r="E128" s="87" t="s">
        <v>129</v>
      </c>
      <c r="F128" s="88"/>
      <c r="G128" s="89"/>
      <c r="H128" s="90"/>
      <c r="I128" s="89"/>
      <c r="J128" s="90"/>
      <c r="K128" s="89"/>
      <c r="L128" s="112">
        <v>0.0</v>
      </c>
      <c r="M128" s="89"/>
      <c r="N128" s="111">
        <v>0.0</v>
      </c>
      <c r="O128" s="89"/>
      <c r="P128" s="111"/>
      <c r="Q128" s="89"/>
      <c r="R128" s="111"/>
      <c r="S128" s="89"/>
      <c r="T128" s="111"/>
      <c r="U128" s="89"/>
      <c r="V128" s="111"/>
      <c r="W128" s="89"/>
      <c r="X128" s="111"/>
      <c r="Y128" s="91"/>
      <c r="Z128" s="112"/>
      <c r="AA128" s="89"/>
      <c r="AB128" s="111"/>
      <c r="AC128" s="89"/>
      <c r="AD128" s="111"/>
      <c r="AE128" s="89"/>
      <c r="AF128" s="92">
        <f t="shared" si="1"/>
        <v>0</v>
      </c>
      <c r="AG128" s="85">
        <f t="shared" si="2"/>
        <v>0</v>
      </c>
      <c r="AH128" s="85">
        <f t="shared" si="3"/>
        <v>0</v>
      </c>
      <c r="AI128" s="85">
        <f t="shared" si="4"/>
        <v>0</v>
      </c>
      <c r="AJ128" s="93" t="str">
        <f t="shared" si="5"/>
        <v/>
      </c>
    </row>
    <row r="129">
      <c r="A129" s="66" t="s">
        <v>11</v>
      </c>
      <c r="B129" s="94">
        <f t="shared" si="6"/>
        <v>44688</v>
      </c>
      <c r="C129" s="68">
        <v>5.0</v>
      </c>
      <c r="D129" s="68" t="s">
        <v>12</v>
      </c>
      <c r="E129" s="70" t="s">
        <v>129</v>
      </c>
      <c r="F129" s="71"/>
      <c r="H129" s="72"/>
      <c r="J129" s="72"/>
      <c r="L129" s="105">
        <v>0.0</v>
      </c>
      <c r="N129" s="104">
        <v>80.0</v>
      </c>
      <c r="P129" s="104">
        <v>80.0</v>
      </c>
      <c r="R129" s="104">
        <v>31.0</v>
      </c>
      <c r="T129" s="104">
        <v>1.0</v>
      </c>
      <c r="V129" s="104">
        <v>1.0</v>
      </c>
      <c r="X129" s="104">
        <v>40.0</v>
      </c>
      <c r="Y129" s="73"/>
      <c r="Z129" s="105"/>
      <c r="AB129" s="104"/>
      <c r="AD129" s="104"/>
      <c r="AF129" s="74">
        <f t="shared" si="1"/>
        <v>4005.582</v>
      </c>
      <c r="AG129" s="68">
        <f t="shared" si="2"/>
        <v>231</v>
      </c>
      <c r="AH129" s="68">
        <f t="shared" si="3"/>
        <v>2</v>
      </c>
      <c r="AI129" s="68">
        <f t="shared" si="4"/>
        <v>233</v>
      </c>
      <c r="AJ129" s="75">
        <f t="shared" si="5"/>
        <v>17.19133906</v>
      </c>
    </row>
    <row r="130">
      <c r="A130" s="76" t="s">
        <v>16</v>
      </c>
      <c r="B130" s="77">
        <f t="shared" si="6"/>
        <v>44689</v>
      </c>
      <c r="C130" s="78">
        <v>5.0</v>
      </c>
      <c r="D130" s="78" t="s">
        <v>12</v>
      </c>
      <c r="E130" s="80" t="s">
        <v>129</v>
      </c>
      <c r="F130" s="71"/>
      <c r="H130" s="72"/>
      <c r="J130" s="72"/>
      <c r="L130" s="105">
        <v>74.0</v>
      </c>
      <c r="N130" s="104">
        <v>89.0</v>
      </c>
      <c r="P130" s="104">
        <v>0.0</v>
      </c>
      <c r="R130" s="104">
        <v>0.0</v>
      </c>
      <c r="T130" s="104">
        <v>0.0</v>
      </c>
      <c r="V130" s="104">
        <v>0.0</v>
      </c>
      <c r="X130" s="104">
        <v>0.0</v>
      </c>
      <c r="Y130" s="73"/>
      <c r="Z130" s="105"/>
      <c r="AB130" s="104"/>
      <c r="AD130" s="104"/>
      <c r="AF130" s="81">
        <f t="shared" si="1"/>
        <v>2776.053</v>
      </c>
      <c r="AG130" s="78">
        <f t="shared" si="2"/>
        <v>163</v>
      </c>
      <c r="AH130" s="78">
        <f t="shared" si="3"/>
        <v>0</v>
      </c>
      <c r="AI130" s="78">
        <f t="shared" si="4"/>
        <v>163</v>
      </c>
      <c r="AJ130" s="82">
        <f t="shared" si="5"/>
        <v>17.031</v>
      </c>
    </row>
    <row r="131">
      <c r="A131" s="76" t="s">
        <v>17</v>
      </c>
      <c r="B131" s="77">
        <f t="shared" si="6"/>
        <v>44690</v>
      </c>
      <c r="C131" s="78">
        <v>5.0</v>
      </c>
      <c r="D131" s="78" t="s">
        <v>12</v>
      </c>
      <c r="E131" s="80" t="s">
        <v>129</v>
      </c>
      <c r="F131" s="71"/>
      <c r="H131" s="72"/>
      <c r="J131" s="72"/>
      <c r="L131" s="105">
        <v>0.0</v>
      </c>
      <c r="N131" s="104">
        <v>73.0</v>
      </c>
      <c r="P131" s="104">
        <v>80.0</v>
      </c>
      <c r="R131" s="104">
        <v>36.0</v>
      </c>
      <c r="T131" s="104">
        <v>0.0</v>
      </c>
      <c r="V131" s="104">
        <v>0.0</v>
      </c>
      <c r="X131" s="104">
        <v>32.0</v>
      </c>
      <c r="Y131" s="73"/>
      <c r="Z131" s="105"/>
      <c r="AB131" s="104"/>
      <c r="AD131" s="104"/>
      <c r="AF131" s="81">
        <f t="shared" si="1"/>
        <v>3117.975</v>
      </c>
      <c r="AG131" s="78">
        <f t="shared" si="2"/>
        <v>221</v>
      </c>
      <c r="AH131" s="78">
        <f t="shared" si="3"/>
        <v>0</v>
      </c>
      <c r="AI131" s="78">
        <f t="shared" si="4"/>
        <v>221</v>
      </c>
      <c r="AJ131" s="82">
        <f t="shared" si="5"/>
        <v>14.10848416</v>
      </c>
    </row>
    <row r="132">
      <c r="A132" s="76" t="s">
        <v>21</v>
      </c>
      <c r="B132" s="77">
        <f t="shared" si="6"/>
        <v>44691</v>
      </c>
      <c r="C132" s="78">
        <v>5.0</v>
      </c>
      <c r="D132" s="78" t="s">
        <v>12</v>
      </c>
      <c r="E132" s="80" t="s">
        <v>129</v>
      </c>
      <c r="F132" s="71"/>
      <c r="H132" s="72"/>
      <c r="J132" s="72"/>
      <c r="L132" s="105">
        <v>0.0</v>
      </c>
      <c r="N132" s="104">
        <v>82.0</v>
      </c>
      <c r="P132" s="104">
        <v>80.0</v>
      </c>
      <c r="R132" s="104">
        <v>41.0</v>
      </c>
      <c r="T132" s="104">
        <v>0.0</v>
      </c>
      <c r="V132" s="104">
        <v>0.0</v>
      </c>
      <c r="X132" s="104">
        <v>26.0</v>
      </c>
      <c r="Y132" s="73"/>
      <c r="Z132" s="105"/>
      <c r="AB132" s="104"/>
      <c r="AD132" s="104"/>
      <c r="AF132" s="81">
        <f t="shared" si="1"/>
        <v>3254.664</v>
      </c>
      <c r="AG132" s="78">
        <f t="shared" si="2"/>
        <v>229</v>
      </c>
      <c r="AH132" s="78">
        <f t="shared" si="3"/>
        <v>0</v>
      </c>
      <c r="AI132" s="78">
        <f t="shared" si="4"/>
        <v>229</v>
      </c>
      <c r="AJ132" s="82">
        <f t="shared" si="5"/>
        <v>14.21250655</v>
      </c>
    </row>
    <row r="133">
      <c r="A133" s="76" t="s">
        <v>24</v>
      </c>
      <c r="B133" s="77">
        <f t="shared" si="6"/>
        <v>44692</v>
      </c>
      <c r="C133" s="78">
        <v>5.0</v>
      </c>
      <c r="D133" s="78" t="s">
        <v>12</v>
      </c>
      <c r="E133" s="80" t="s">
        <v>129</v>
      </c>
      <c r="F133" s="71"/>
      <c r="H133" s="72"/>
      <c r="J133" s="72"/>
      <c r="L133" s="105">
        <v>69.0</v>
      </c>
      <c r="N133" s="104">
        <v>87.0</v>
      </c>
      <c r="P133" s="104">
        <v>0.0</v>
      </c>
      <c r="R133" s="104">
        <v>0.0</v>
      </c>
      <c r="T133" s="104">
        <v>0.0</v>
      </c>
      <c r="V133" s="104">
        <v>0.0</v>
      </c>
      <c r="X133" s="104">
        <v>0.0</v>
      </c>
      <c r="Y133" s="73"/>
      <c r="Z133" s="105"/>
      <c r="AB133" s="104"/>
      <c r="AD133" s="104"/>
      <c r="AF133" s="81">
        <f t="shared" si="1"/>
        <v>2656.836</v>
      </c>
      <c r="AG133" s="78">
        <f t="shared" si="2"/>
        <v>156</v>
      </c>
      <c r="AH133" s="78">
        <f t="shared" si="3"/>
        <v>0</v>
      </c>
      <c r="AI133" s="78">
        <f t="shared" si="4"/>
        <v>156</v>
      </c>
      <c r="AJ133" s="82">
        <f t="shared" si="5"/>
        <v>17.031</v>
      </c>
    </row>
    <row r="134">
      <c r="A134" s="76" t="s">
        <v>27</v>
      </c>
      <c r="B134" s="77">
        <f t="shared" si="6"/>
        <v>44693</v>
      </c>
      <c r="C134" s="78">
        <v>5.0</v>
      </c>
      <c r="D134" s="78" t="s">
        <v>12</v>
      </c>
      <c r="E134" s="80" t="s">
        <v>129</v>
      </c>
      <c r="F134" s="71"/>
      <c r="H134" s="72"/>
      <c r="J134" s="72"/>
      <c r="L134" s="105">
        <v>64.0</v>
      </c>
      <c r="N134" s="104">
        <v>65.0</v>
      </c>
      <c r="P134" s="104">
        <v>0.0</v>
      </c>
      <c r="R134" s="104">
        <v>0.0</v>
      </c>
      <c r="T134" s="104">
        <v>0.0</v>
      </c>
      <c r="V134" s="104">
        <v>0.0</v>
      </c>
      <c r="X134" s="104">
        <v>0.0</v>
      </c>
      <c r="Y134" s="73"/>
      <c r="Z134" s="105"/>
      <c r="AB134" s="104"/>
      <c r="AD134" s="104"/>
      <c r="AF134" s="81">
        <f t="shared" si="1"/>
        <v>2196.999</v>
      </c>
      <c r="AG134" s="78">
        <f t="shared" si="2"/>
        <v>129</v>
      </c>
      <c r="AH134" s="78">
        <f t="shared" si="3"/>
        <v>0</v>
      </c>
      <c r="AI134" s="78">
        <f t="shared" si="4"/>
        <v>129</v>
      </c>
      <c r="AJ134" s="82">
        <f t="shared" si="5"/>
        <v>17.031</v>
      </c>
    </row>
    <row r="135">
      <c r="A135" s="83" t="s">
        <v>30</v>
      </c>
      <c r="B135" s="84">
        <f t="shared" si="6"/>
        <v>44694</v>
      </c>
      <c r="C135" s="85">
        <v>5.0</v>
      </c>
      <c r="D135" s="85" t="s">
        <v>12</v>
      </c>
      <c r="E135" s="87" t="s">
        <v>129</v>
      </c>
      <c r="F135" s="88"/>
      <c r="G135" s="89"/>
      <c r="H135" s="90"/>
      <c r="I135" s="89"/>
      <c r="J135" s="90"/>
      <c r="K135" s="89"/>
      <c r="L135" s="112">
        <v>0.0</v>
      </c>
      <c r="M135" s="89"/>
      <c r="N135" s="111">
        <v>0.0</v>
      </c>
      <c r="O135" s="89"/>
      <c r="P135" s="111">
        <v>0.0</v>
      </c>
      <c r="Q135" s="89"/>
      <c r="R135" s="111">
        <v>0.0</v>
      </c>
      <c r="S135" s="89"/>
      <c r="T135" s="111">
        <v>0.0</v>
      </c>
      <c r="U135" s="89"/>
      <c r="V135" s="111">
        <v>0.0</v>
      </c>
      <c r="W135" s="89"/>
      <c r="X135" s="111">
        <v>0.0</v>
      </c>
      <c r="Y135" s="91"/>
      <c r="Z135" s="112"/>
      <c r="AA135" s="89"/>
      <c r="AB135" s="111"/>
      <c r="AC135" s="89"/>
      <c r="AD135" s="111"/>
      <c r="AE135" s="89"/>
      <c r="AF135" s="92">
        <f t="shared" si="1"/>
        <v>0</v>
      </c>
      <c r="AG135" s="85">
        <f t="shared" si="2"/>
        <v>0</v>
      </c>
      <c r="AH135" s="85">
        <f t="shared" si="3"/>
        <v>0</v>
      </c>
      <c r="AI135" s="85">
        <f t="shared" si="4"/>
        <v>0</v>
      </c>
      <c r="AJ135" s="93" t="str">
        <f t="shared" si="5"/>
        <v/>
      </c>
    </row>
    <row r="136">
      <c r="A136" s="66" t="s">
        <v>11</v>
      </c>
      <c r="B136" s="94">
        <f t="shared" si="6"/>
        <v>44695</v>
      </c>
      <c r="C136" s="68">
        <v>5.0</v>
      </c>
      <c r="D136" s="68" t="s">
        <v>33</v>
      </c>
      <c r="E136" s="70" t="s">
        <v>129</v>
      </c>
      <c r="F136" s="71"/>
      <c r="H136" s="72"/>
      <c r="J136" s="72"/>
      <c r="L136" s="105">
        <v>0.0</v>
      </c>
      <c r="N136" s="104">
        <v>64.0</v>
      </c>
      <c r="P136" s="104">
        <v>80.0</v>
      </c>
      <c r="R136" s="104">
        <v>45.0</v>
      </c>
      <c r="T136" s="104">
        <v>0.0</v>
      </c>
      <c r="V136" s="104">
        <v>0.0</v>
      </c>
      <c r="X136" s="104">
        <v>29.0</v>
      </c>
      <c r="Y136" s="73"/>
      <c r="Z136" s="105"/>
      <c r="AB136" s="104"/>
      <c r="AD136" s="104"/>
      <c r="AF136" s="74">
        <f t="shared" si="1"/>
        <v>3000.354</v>
      </c>
      <c r="AG136" s="68">
        <f t="shared" si="2"/>
        <v>218</v>
      </c>
      <c r="AH136" s="68">
        <f t="shared" si="3"/>
        <v>0</v>
      </c>
      <c r="AI136" s="68">
        <f t="shared" si="4"/>
        <v>218</v>
      </c>
      <c r="AJ136" s="75">
        <f t="shared" si="5"/>
        <v>13.76309174</v>
      </c>
    </row>
    <row r="137">
      <c r="A137" s="76" t="s">
        <v>16</v>
      </c>
      <c r="B137" s="77">
        <f t="shared" si="6"/>
        <v>44696</v>
      </c>
      <c r="C137" s="78">
        <v>5.0</v>
      </c>
      <c r="D137" s="78" t="s">
        <v>33</v>
      </c>
      <c r="E137" s="80" t="s">
        <v>129</v>
      </c>
      <c r="F137" s="71"/>
      <c r="H137" s="72"/>
      <c r="J137" s="72"/>
      <c r="L137" s="105">
        <v>0.0</v>
      </c>
      <c r="N137" s="104">
        <v>96.0</v>
      </c>
      <c r="P137" s="104">
        <v>80.0</v>
      </c>
      <c r="R137" s="104">
        <v>39.0</v>
      </c>
      <c r="T137" s="104">
        <v>0.0</v>
      </c>
      <c r="V137" s="104">
        <v>0.0</v>
      </c>
      <c r="X137" s="104">
        <v>26.0</v>
      </c>
      <c r="Y137" s="73"/>
      <c r="Z137" s="105"/>
      <c r="AB137" s="104"/>
      <c r="AD137" s="104"/>
      <c r="AF137" s="81">
        <f t="shared" si="1"/>
        <v>3479.574</v>
      </c>
      <c r="AG137" s="78">
        <f t="shared" si="2"/>
        <v>241</v>
      </c>
      <c r="AH137" s="78">
        <f t="shared" si="3"/>
        <v>0</v>
      </c>
      <c r="AI137" s="78">
        <f t="shared" si="4"/>
        <v>241</v>
      </c>
      <c r="AJ137" s="82">
        <f t="shared" si="5"/>
        <v>14.43806639</v>
      </c>
    </row>
    <row r="138">
      <c r="A138" s="76" t="s">
        <v>17</v>
      </c>
      <c r="B138" s="77">
        <f t="shared" si="6"/>
        <v>44697</v>
      </c>
      <c r="C138" s="78">
        <v>5.0</v>
      </c>
      <c r="D138" s="78" t="s">
        <v>33</v>
      </c>
      <c r="E138" s="80" t="s">
        <v>129</v>
      </c>
      <c r="F138" s="71"/>
      <c r="H138" s="72"/>
      <c r="J138" s="72"/>
      <c r="L138" s="105">
        <v>75.0</v>
      </c>
      <c r="N138" s="104">
        <v>60.0</v>
      </c>
      <c r="P138" s="104">
        <v>0.0</v>
      </c>
      <c r="R138" s="104">
        <v>0.0</v>
      </c>
      <c r="T138" s="104">
        <v>0.0</v>
      </c>
      <c r="V138" s="104">
        <v>0.0</v>
      </c>
      <c r="X138" s="104">
        <v>0.0</v>
      </c>
      <c r="Y138" s="73"/>
      <c r="Z138" s="105"/>
      <c r="AB138" s="104"/>
      <c r="AD138" s="104"/>
      <c r="AF138" s="81">
        <f t="shared" si="1"/>
        <v>2299.185</v>
      </c>
      <c r="AG138" s="78">
        <f t="shared" si="2"/>
        <v>135</v>
      </c>
      <c r="AH138" s="78">
        <f t="shared" si="3"/>
        <v>0</v>
      </c>
      <c r="AI138" s="78">
        <f t="shared" si="4"/>
        <v>135</v>
      </c>
      <c r="AJ138" s="82">
        <f t="shared" si="5"/>
        <v>17.031</v>
      </c>
    </row>
    <row r="139">
      <c r="A139" s="76" t="s">
        <v>21</v>
      </c>
      <c r="B139" s="77">
        <f t="shared" si="6"/>
        <v>44698</v>
      </c>
      <c r="C139" s="78">
        <v>5.0</v>
      </c>
      <c r="D139" s="78" t="s">
        <v>33</v>
      </c>
      <c r="E139" s="80" t="s">
        <v>129</v>
      </c>
      <c r="F139" s="71"/>
      <c r="H139" s="72"/>
      <c r="J139" s="72"/>
      <c r="L139" s="105">
        <v>0.0</v>
      </c>
      <c r="N139" s="104">
        <v>63.0</v>
      </c>
      <c r="P139" s="104">
        <v>50.0</v>
      </c>
      <c r="R139" s="104">
        <v>39.0</v>
      </c>
      <c r="T139" s="104">
        <v>0.0</v>
      </c>
      <c r="V139" s="104">
        <v>0.0</v>
      </c>
      <c r="X139" s="104">
        <v>30.0</v>
      </c>
      <c r="Y139" s="73"/>
      <c r="Z139" s="105"/>
      <c r="AB139" s="104"/>
      <c r="AD139" s="104"/>
      <c r="AF139" s="81">
        <f t="shared" si="1"/>
        <v>2440.221</v>
      </c>
      <c r="AG139" s="78">
        <f t="shared" si="2"/>
        <v>182</v>
      </c>
      <c r="AH139" s="78">
        <f t="shared" si="3"/>
        <v>0</v>
      </c>
      <c r="AI139" s="78">
        <f t="shared" si="4"/>
        <v>182</v>
      </c>
      <c r="AJ139" s="82">
        <f t="shared" si="5"/>
        <v>13.40780769</v>
      </c>
    </row>
    <row r="140">
      <c r="A140" s="76" t="s">
        <v>24</v>
      </c>
      <c r="B140" s="77">
        <f t="shared" si="6"/>
        <v>44699</v>
      </c>
      <c r="C140" s="78">
        <v>5.0</v>
      </c>
      <c r="D140" s="78" t="s">
        <v>33</v>
      </c>
      <c r="E140" s="80" t="s">
        <v>129</v>
      </c>
      <c r="F140" s="71"/>
      <c r="H140" s="72"/>
      <c r="J140" s="72"/>
      <c r="L140" s="105">
        <v>0.0</v>
      </c>
      <c r="N140" s="104">
        <v>78.0</v>
      </c>
      <c r="P140" s="104">
        <v>0.0</v>
      </c>
      <c r="R140" s="104">
        <v>39.0</v>
      </c>
      <c r="T140" s="104">
        <v>0.0</v>
      </c>
      <c r="V140" s="104">
        <v>0.0</v>
      </c>
      <c r="X140" s="104">
        <v>30.0</v>
      </c>
      <c r="Y140" s="73"/>
      <c r="Z140" s="105"/>
      <c r="AB140" s="104"/>
      <c r="AD140" s="104"/>
      <c r="AF140" s="81">
        <f t="shared" si="1"/>
        <v>1844.136</v>
      </c>
      <c r="AG140" s="78">
        <f t="shared" si="2"/>
        <v>147</v>
      </c>
      <c r="AH140" s="78">
        <f t="shared" si="3"/>
        <v>0</v>
      </c>
      <c r="AI140" s="78">
        <f t="shared" si="4"/>
        <v>147</v>
      </c>
      <c r="AJ140" s="82">
        <f t="shared" si="5"/>
        <v>12.54514286</v>
      </c>
    </row>
    <row r="141">
      <c r="A141" s="76" t="s">
        <v>27</v>
      </c>
      <c r="B141" s="77">
        <f t="shared" si="6"/>
        <v>44700</v>
      </c>
      <c r="C141" s="78">
        <v>5.0</v>
      </c>
      <c r="D141" s="78" t="s">
        <v>33</v>
      </c>
      <c r="E141" s="80" t="s">
        <v>129</v>
      </c>
      <c r="F141" s="71"/>
      <c r="H141" s="72"/>
      <c r="J141" s="72"/>
      <c r="L141" s="105">
        <v>62.0</v>
      </c>
      <c r="N141" s="104">
        <v>64.0</v>
      </c>
      <c r="P141" s="104">
        <v>50.0</v>
      </c>
      <c r="R141" s="104">
        <v>0.0</v>
      </c>
      <c r="T141" s="104">
        <v>0.0</v>
      </c>
      <c r="V141" s="104">
        <v>0.0</v>
      </c>
      <c r="X141" s="104">
        <v>0.0</v>
      </c>
      <c r="Y141" s="73"/>
      <c r="Z141" s="105"/>
      <c r="AB141" s="104"/>
      <c r="AD141" s="104"/>
      <c r="AF141" s="81">
        <f t="shared" si="1"/>
        <v>2997.456</v>
      </c>
      <c r="AG141" s="78">
        <f t="shared" si="2"/>
        <v>176</v>
      </c>
      <c r="AH141" s="78">
        <f t="shared" si="3"/>
        <v>0</v>
      </c>
      <c r="AI141" s="78">
        <f t="shared" si="4"/>
        <v>176</v>
      </c>
      <c r="AJ141" s="82">
        <f t="shared" si="5"/>
        <v>17.031</v>
      </c>
    </row>
    <row r="142">
      <c r="A142" s="83" t="s">
        <v>30</v>
      </c>
      <c r="B142" s="84">
        <f t="shared" si="6"/>
        <v>44701</v>
      </c>
      <c r="C142" s="85">
        <v>5.0</v>
      </c>
      <c r="D142" s="85" t="s">
        <v>33</v>
      </c>
      <c r="E142" s="87" t="s">
        <v>129</v>
      </c>
      <c r="F142" s="88"/>
      <c r="G142" s="89"/>
      <c r="H142" s="90"/>
      <c r="I142" s="89"/>
      <c r="J142" s="90"/>
      <c r="K142" s="89"/>
      <c r="L142" s="112">
        <v>0.0</v>
      </c>
      <c r="M142" s="89"/>
      <c r="N142" s="111">
        <v>0.0</v>
      </c>
      <c r="O142" s="89"/>
      <c r="P142" s="111">
        <v>0.0</v>
      </c>
      <c r="Q142" s="89"/>
      <c r="R142" s="111">
        <v>0.0</v>
      </c>
      <c r="S142" s="89"/>
      <c r="T142" s="111">
        <v>0.0</v>
      </c>
      <c r="U142" s="89"/>
      <c r="V142" s="111">
        <v>0.0</v>
      </c>
      <c r="W142" s="89"/>
      <c r="X142" s="111">
        <v>0.0</v>
      </c>
      <c r="Y142" s="91"/>
      <c r="Z142" s="112"/>
      <c r="AA142" s="89"/>
      <c r="AB142" s="111"/>
      <c r="AC142" s="89"/>
      <c r="AD142" s="111"/>
      <c r="AE142" s="89"/>
      <c r="AF142" s="92">
        <f t="shared" si="1"/>
        <v>0</v>
      </c>
      <c r="AG142" s="85">
        <f t="shared" si="2"/>
        <v>0</v>
      </c>
      <c r="AH142" s="85">
        <f t="shared" si="3"/>
        <v>0</v>
      </c>
      <c r="AI142" s="85">
        <f t="shared" si="4"/>
        <v>0</v>
      </c>
      <c r="AJ142" s="93" t="str">
        <f t="shared" si="5"/>
        <v/>
      </c>
    </row>
    <row r="143">
      <c r="A143" s="66" t="s">
        <v>11</v>
      </c>
      <c r="B143" s="94">
        <f t="shared" si="6"/>
        <v>44702</v>
      </c>
      <c r="C143" s="68">
        <v>6.0</v>
      </c>
      <c r="D143" s="68" t="s">
        <v>48</v>
      </c>
      <c r="E143" s="70" t="s">
        <v>129</v>
      </c>
      <c r="F143" s="71"/>
      <c r="H143" s="72"/>
      <c r="J143" s="72"/>
      <c r="L143" s="105">
        <v>0.0</v>
      </c>
      <c r="N143" s="104">
        <v>65.0</v>
      </c>
      <c r="P143" s="104">
        <v>50.0</v>
      </c>
      <c r="R143" s="104">
        <v>37.0</v>
      </c>
      <c r="T143" s="104">
        <v>1.0</v>
      </c>
      <c r="V143" s="104">
        <v>1.0</v>
      </c>
      <c r="X143" s="104">
        <v>25.0</v>
      </c>
      <c r="Y143" s="73"/>
      <c r="Z143" s="105"/>
      <c r="AB143" s="104"/>
      <c r="AD143" s="104"/>
      <c r="AF143" s="74">
        <f t="shared" si="1"/>
        <v>3153.759</v>
      </c>
      <c r="AG143" s="68">
        <f t="shared" si="2"/>
        <v>177</v>
      </c>
      <c r="AH143" s="68">
        <f t="shared" si="3"/>
        <v>2</v>
      </c>
      <c r="AI143" s="68">
        <f t="shared" si="4"/>
        <v>179</v>
      </c>
      <c r="AJ143" s="75">
        <f t="shared" si="5"/>
        <v>17.61876536</v>
      </c>
    </row>
    <row r="144">
      <c r="A144" s="76" t="s">
        <v>16</v>
      </c>
      <c r="B144" s="77">
        <f t="shared" si="6"/>
        <v>44703</v>
      </c>
      <c r="C144" s="78">
        <v>6.0</v>
      </c>
      <c r="D144" s="78" t="s">
        <v>48</v>
      </c>
      <c r="E144" s="80" t="s">
        <v>129</v>
      </c>
      <c r="F144" s="71"/>
      <c r="H144" s="72"/>
      <c r="J144" s="72"/>
      <c r="L144" s="105">
        <v>0.0</v>
      </c>
      <c r="N144" s="104">
        <v>74.0</v>
      </c>
      <c r="P144" s="104">
        <v>50.0</v>
      </c>
      <c r="R144" s="104">
        <v>43.0</v>
      </c>
      <c r="T144" s="104">
        <v>0.0</v>
      </c>
      <c r="V144" s="104">
        <v>0.0</v>
      </c>
      <c r="X144" s="104">
        <v>25.0</v>
      </c>
      <c r="Y144" s="73"/>
      <c r="Z144" s="105"/>
      <c r="AB144" s="104"/>
      <c r="AD144" s="104"/>
      <c r="AF144" s="81">
        <f t="shared" si="1"/>
        <v>2612.61</v>
      </c>
      <c r="AG144" s="78">
        <f t="shared" si="2"/>
        <v>192</v>
      </c>
      <c r="AH144" s="78">
        <f t="shared" si="3"/>
        <v>0</v>
      </c>
      <c r="AI144" s="78">
        <f t="shared" si="4"/>
        <v>192</v>
      </c>
      <c r="AJ144" s="82">
        <f t="shared" si="5"/>
        <v>13.60734375</v>
      </c>
    </row>
    <row r="145">
      <c r="A145" s="76" t="s">
        <v>17</v>
      </c>
      <c r="B145" s="77">
        <f t="shared" si="6"/>
        <v>44704</v>
      </c>
      <c r="C145" s="78">
        <v>6.0</v>
      </c>
      <c r="D145" s="78" t="s">
        <v>48</v>
      </c>
      <c r="E145" s="80" t="s">
        <v>129</v>
      </c>
      <c r="F145" s="71"/>
      <c r="H145" s="72"/>
      <c r="J145" s="72"/>
      <c r="L145" s="105">
        <v>62.0</v>
      </c>
      <c r="N145" s="104">
        <v>0.0</v>
      </c>
      <c r="P145" s="104">
        <v>0.0</v>
      </c>
      <c r="R145" s="104">
        <v>0.0</v>
      </c>
      <c r="T145" s="104">
        <v>0.0</v>
      </c>
      <c r="V145" s="104">
        <v>0.0</v>
      </c>
      <c r="X145" s="104">
        <v>0.0</v>
      </c>
      <c r="Y145" s="73"/>
      <c r="Z145" s="105"/>
      <c r="AB145" s="104"/>
      <c r="AD145" s="104"/>
      <c r="AF145" s="81">
        <f t="shared" si="1"/>
        <v>1055.922</v>
      </c>
      <c r="AG145" s="78">
        <f t="shared" si="2"/>
        <v>62</v>
      </c>
      <c r="AH145" s="78">
        <f t="shared" si="3"/>
        <v>0</v>
      </c>
      <c r="AI145" s="78">
        <f t="shared" si="4"/>
        <v>62</v>
      </c>
      <c r="AJ145" s="82">
        <f t="shared" si="5"/>
        <v>17.031</v>
      </c>
    </row>
    <row r="146">
      <c r="A146" s="76" t="s">
        <v>21</v>
      </c>
      <c r="B146" s="77">
        <f t="shared" si="6"/>
        <v>44705</v>
      </c>
      <c r="C146" s="78">
        <v>6.0</v>
      </c>
      <c r="D146" s="78" t="s">
        <v>48</v>
      </c>
      <c r="E146" s="80" t="s">
        <v>129</v>
      </c>
      <c r="F146" s="71"/>
      <c r="H146" s="72"/>
      <c r="J146" s="72"/>
      <c r="L146" s="105">
        <v>0.0</v>
      </c>
      <c r="N146" s="104">
        <v>88.0</v>
      </c>
      <c r="P146" s="104">
        <v>50.0</v>
      </c>
      <c r="R146" s="104">
        <v>37.0</v>
      </c>
      <c r="T146" s="104">
        <v>0.0</v>
      </c>
      <c r="V146" s="104">
        <v>0.0</v>
      </c>
      <c r="X146" s="104">
        <v>29.0</v>
      </c>
      <c r="Y146" s="73"/>
      <c r="Z146" s="105"/>
      <c r="AB146" s="104"/>
      <c r="AD146" s="104"/>
      <c r="AF146" s="81">
        <f t="shared" si="1"/>
        <v>2844.072</v>
      </c>
      <c r="AG146" s="78">
        <f t="shared" si="2"/>
        <v>204</v>
      </c>
      <c r="AH146" s="78">
        <f t="shared" si="3"/>
        <v>0</v>
      </c>
      <c r="AI146" s="78">
        <f t="shared" si="4"/>
        <v>204</v>
      </c>
      <c r="AJ146" s="82">
        <f t="shared" si="5"/>
        <v>13.94152941</v>
      </c>
    </row>
    <row r="147">
      <c r="A147" s="76" t="s">
        <v>24</v>
      </c>
      <c r="B147" s="77">
        <f t="shared" si="6"/>
        <v>44706</v>
      </c>
      <c r="C147" s="78">
        <v>6.0</v>
      </c>
      <c r="D147" s="78" t="s">
        <v>48</v>
      </c>
      <c r="E147" s="80" t="s">
        <v>129</v>
      </c>
      <c r="F147" s="71"/>
      <c r="H147" s="72"/>
      <c r="J147" s="72"/>
      <c r="L147" s="105">
        <v>0.0</v>
      </c>
      <c r="N147" s="104">
        <v>71.0</v>
      </c>
      <c r="P147" s="104">
        <v>50.0</v>
      </c>
      <c r="R147" s="104">
        <v>38.0</v>
      </c>
      <c r="T147" s="104">
        <v>0.0</v>
      </c>
      <c r="V147" s="104">
        <v>0.0</v>
      </c>
      <c r="X147" s="104">
        <v>30.0</v>
      </c>
      <c r="Y147" s="73"/>
      <c r="Z147" s="105"/>
      <c r="AB147" s="104"/>
      <c r="AD147" s="104"/>
      <c r="AF147" s="81">
        <f t="shared" si="1"/>
        <v>2569.707</v>
      </c>
      <c r="AG147" s="78">
        <f t="shared" si="2"/>
        <v>189</v>
      </c>
      <c r="AH147" s="78">
        <f t="shared" si="3"/>
        <v>0</v>
      </c>
      <c r="AI147" s="78">
        <f t="shared" si="4"/>
        <v>189</v>
      </c>
      <c r="AJ147" s="82">
        <f t="shared" si="5"/>
        <v>13.59633333</v>
      </c>
    </row>
    <row r="148">
      <c r="A148" s="76" t="s">
        <v>27</v>
      </c>
      <c r="B148" s="77">
        <f t="shared" si="6"/>
        <v>44707</v>
      </c>
      <c r="C148" s="78">
        <v>6.0</v>
      </c>
      <c r="D148" s="78" t="s">
        <v>48</v>
      </c>
      <c r="E148" s="80" t="s">
        <v>129</v>
      </c>
      <c r="F148" s="71"/>
      <c r="H148" s="72"/>
      <c r="J148" s="72"/>
      <c r="L148" s="105">
        <v>67.0</v>
      </c>
      <c r="N148" s="104">
        <v>95.0</v>
      </c>
      <c r="P148" s="104">
        <v>0.0</v>
      </c>
      <c r="R148" s="104">
        <v>0.0</v>
      </c>
      <c r="T148" s="104">
        <v>0.0</v>
      </c>
      <c r="V148" s="104">
        <v>0.0</v>
      </c>
      <c r="X148" s="104">
        <v>0.0</v>
      </c>
      <c r="Y148" s="73"/>
      <c r="Z148" s="105"/>
      <c r="AB148" s="104"/>
      <c r="AD148" s="104"/>
      <c r="AF148" s="81">
        <f t="shared" si="1"/>
        <v>2759.022</v>
      </c>
      <c r="AG148" s="78">
        <f t="shared" si="2"/>
        <v>162</v>
      </c>
      <c r="AH148" s="78">
        <f t="shared" si="3"/>
        <v>0</v>
      </c>
      <c r="AI148" s="78">
        <f t="shared" si="4"/>
        <v>162</v>
      </c>
      <c r="AJ148" s="82">
        <f t="shared" si="5"/>
        <v>17.031</v>
      </c>
    </row>
    <row r="149">
      <c r="A149" s="83" t="s">
        <v>30</v>
      </c>
      <c r="B149" s="84">
        <f t="shared" si="6"/>
        <v>44708</v>
      </c>
      <c r="C149" s="85">
        <v>6.0</v>
      </c>
      <c r="D149" s="85" t="s">
        <v>48</v>
      </c>
      <c r="E149" s="87" t="s">
        <v>129</v>
      </c>
      <c r="F149" s="88"/>
      <c r="G149" s="89"/>
      <c r="H149" s="90"/>
      <c r="I149" s="89"/>
      <c r="J149" s="90"/>
      <c r="K149" s="89"/>
      <c r="L149" s="112">
        <v>0.0</v>
      </c>
      <c r="M149" s="89"/>
      <c r="N149" s="111">
        <v>0.0</v>
      </c>
      <c r="O149" s="89"/>
      <c r="P149" s="111">
        <v>0.0</v>
      </c>
      <c r="Q149" s="89"/>
      <c r="R149" s="111">
        <v>0.0</v>
      </c>
      <c r="S149" s="89"/>
      <c r="T149" s="111">
        <v>0.0</v>
      </c>
      <c r="U149" s="89"/>
      <c r="V149" s="111">
        <v>0.0</v>
      </c>
      <c r="W149" s="89"/>
      <c r="X149" s="111">
        <v>0.0</v>
      </c>
      <c r="Y149" s="91"/>
      <c r="Z149" s="112"/>
      <c r="AA149" s="89"/>
      <c r="AB149" s="111"/>
      <c r="AC149" s="89"/>
      <c r="AD149" s="111"/>
      <c r="AE149" s="89"/>
      <c r="AF149" s="92">
        <f t="shared" si="1"/>
        <v>0</v>
      </c>
      <c r="AG149" s="85">
        <f t="shared" si="2"/>
        <v>0</v>
      </c>
      <c r="AH149" s="85">
        <f t="shared" si="3"/>
        <v>0</v>
      </c>
      <c r="AI149" s="85">
        <f t="shared" si="4"/>
        <v>0</v>
      </c>
      <c r="AJ149" s="93" t="str">
        <f t="shared" si="5"/>
        <v/>
      </c>
    </row>
    <row r="150">
      <c r="A150" s="66" t="s">
        <v>11</v>
      </c>
      <c r="B150" s="94">
        <f t="shared" si="6"/>
        <v>44709</v>
      </c>
      <c r="C150" s="68">
        <v>6.0</v>
      </c>
      <c r="D150" s="68" t="s">
        <v>59</v>
      </c>
      <c r="E150" s="70" t="s">
        <v>130</v>
      </c>
      <c r="F150" s="71"/>
      <c r="H150" s="72"/>
      <c r="J150" s="72"/>
      <c r="L150" s="105">
        <v>0.0</v>
      </c>
      <c r="N150" s="104">
        <v>71.0</v>
      </c>
      <c r="P150" s="104">
        <v>50.0</v>
      </c>
      <c r="R150" s="104">
        <v>38.0</v>
      </c>
      <c r="T150" s="104">
        <v>1.0</v>
      </c>
      <c r="V150" s="104">
        <v>1.0</v>
      </c>
      <c r="X150" s="104">
        <v>22.0</v>
      </c>
      <c r="Y150" s="73"/>
      <c r="Z150" s="105"/>
      <c r="AB150" s="104"/>
      <c r="AD150" s="104"/>
      <c r="AF150" s="74">
        <f t="shared" si="1"/>
        <v>3237.507</v>
      </c>
      <c r="AG150" s="68">
        <f t="shared" si="2"/>
        <v>181</v>
      </c>
      <c r="AH150" s="68">
        <f t="shared" si="3"/>
        <v>2</v>
      </c>
      <c r="AI150" s="68">
        <f t="shared" si="4"/>
        <v>183</v>
      </c>
      <c r="AJ150" s="75">
        <f t="shared" si="5"/>
        <v>17.69129508</v>
      </c>
    </row>
    <row r="151">
      <c r="A151" s="76" t="s">
        <v>16</v>
      </c>
      <c r="B151" s="77">
        <f t="shared" si="6"/>
        <v>44710</v>
      </c>
      <c r="C151" s="78">
        <v>6.0</v>
      </c>
      <c r="D151" s="78" t="s">
        <v>59</v>
      </c>
      <c r="E151" s="169" t="s">
        <v>130</v>
      </c>
      <c r="F151" s="71"/>
      <c r="H151" s="72"/>
      <c r="J151" s="72"/>
      <c r="L151" s="105">
        <v>0.0</v>
      </c>
      <c r="N151" s="104">
        <v>76.0</v>
      </c>
      <c r="P151" s="104">
        <v>50.0</v>
      </c>
      <c r="R151" s="104">
        <v>33.0</v>
      </c>
      <c r="T151" s="104">
        <v>0.0</v>
      </c>
      <c r="V151" s="104">
        <v>0.0</v>
      </c>
      <c r="X151" s="104">
        <v>23.0</v>
      </c>
      <c r="Y151" s="73"/>
      <c r="Z151" s="105"/>
      <c r="AB151" s="104"/>
      <c r="AD151" s="104"/>
      <c r="AF151" s="81">
        <f t="shared" si="1"/>
        <v>2562.252</v>
      </c>
      <c r="AG151" s="78">
        <f t="shared" si="2"/>
        <v>182</v>
      </c>
      <c r="AH151" s="78">
        <f t="shared" si="3"/>
        <v>0</v>
      </c>
      <c r="AI151" s="78">
        <f t="shared" si="4"/>
        <v>182</v>
      </c>
      <c r="AJ151" s="82">
        <f t="shared" si="5"/>
        <v>14.07830769</v>
      </c>
    </row>
    <row r="152">
      <c r="A152" s="76" t="s">
        <v>17</v>
      </c>
      <c r="B152" s="77">
        <f t="shared" si="6"/>
        <v>44711</v>
      </c>
      <c r="C152" s="78">
        <v>6.0</v>
      </c>
      <c r="D152" s="78" t="s">
        <v>59</v>
      </c>
      <c r="E152" s="169" t="s">
        <v>130</v>
      </c>
      <c r="F152" s="71"/>
      <c r="H152" s="72"/>
      <c r="J152" s="72"/>
      <c r="L152" s="105">
        <v>74.0</v>
      </c>
      <c r="N152" s="104">
        <v>74.0</v>
      </c>
      <c r="P152" s="104">
        <v>0.0</v>
      </c>
      <c r="R152" s="104">
        <v>0.0</v>
      </c>
      <c r="T152" s="104">
        <v>0.0</v>
      </c>
      <c r="V152" s="104">
        <v>0.0</v>
      </c>
      <c r="X152" s="104">
        <v>0.0</v>
      </c>
      <c r="Y152" s="73"/>
      <c r="Z152" s="105"/>
      <c r="AB152" s="104"/>
      <c r="AD152" s="104"/>
      <c r="AF152" s="81">
        <f t="shared" si="1"/>
        <v>2520.588</v>
      </c>
      <c r="AG152" s="78">
        <f t="shared" si="2"/>
        <v>148</v>
      </c>
      <c r="AH152" s="78">
        <f t="shared" si="3"/>
        <v>0</v>
      </c>
      <c r="AI152" s="78">
        <f t="shared" si="4"/>
        <v>148</v>
      </c>
      <c r="AJ152" s="82">
        <f t="shared" si="5"/>
        <v>17.031</v>
      </c>
    </row>
    <row r="153">
      <c r="A153" s="76" t="s">
        <v>21</v>
      </c>
      <c r="B153" s="77">
        <f t="shared" si="6"/>
        <v>44712</v>
      </c>
      <c r="C153" s="78">
        <v>6.0</v>
      </c>
      <c r="D153" s="78" t="s">
        <v>59</v>
      </c>
      <c r="E153" s="169" t="s">
        <v>130</v>
      </c>
      <c r="F153" s="71"/>
      <c r="H153" s="72"/>
      <c r="J153" s="72"/>
      <c r="L153" s="105">
        <v>0.0</v>
      </c>
      <c r="N153" s="104">
        <v>78.0</v>
      </c>
      <c r="P153" s="104">
        <v>50.0</v>
      </c>
      <c r="R153" s="104">
        <v>38.0</v>
      </c>
      <c r="T153" s="104">
        <v>0.0</v>
      </c>
      <c r="V153" s="104">
        <v>0.0</v>
      </c>
      <c r="X153" s="104">
        <v>33.0</v>
      </c>
      <c r="Y153" s="73"/>
      <c r="Z153" s="105"/>
      <c r="AB153" s="104"/>
      <c r="AD153" s="104"/>
      <c r="AF153" s="81">
        <f t="shared" si="1"/>
        <v>2714.124</v>
      </c>
      <c r="AG153" s="78">
        <f t="shared" si="2"/>
        <v>199</v>
      </c>
      <c r="AH153" s="78">
        <f t="shared" si="3"/>
        <v>0</v>
      </c>
      <c r="AI153" s="78">
        <f t="shared" si="4"/>
        <v>199</v>
      </c>
      <c r="AJ153" s="82">
        <f t="shared" si="5"/>
        <v>13.63881407</v>
      </c>
    </row>
    <row r="154">
      <c r="A154" s="76" t="s">
        <v>24</v>
      </c>
      <c r="B154" s="77">
        <f t="shared" si="6"/>
        <v>44713</v>
      </c>
      <c r="C154" s="78">
        <v>6.0</v>
      </c>
      <c r="D154" s="78" t="s">
        <v>59</v>
      </c>
      <c r="E154" s="169" t="s">
        <v>130</v>
      </c>
      <c r="F154" s="71"/>
      <c r="H154" s="72"/>
      <c r="J154" s="72"/>
      <c r="L154" s="105">
        <v>0.0</v>
      </c>
      <c r="N154" s="104">
        <v>74.0</v>
      </c>
      <c r="P154" s="104">
        <v>50.0</v>
      </c>
      <c r="R154" s="104">
        <v>32.0</v>
      </c>
      <c r="T154" s="104">
        <v>0.0</v>
      </c>
      <c r="V154" s="104">
        <v>0.0</v>
      </c>
      <c r="X154" s="104">
        <v>33.0</v>
      </c>
      <c r="Y154" s="73"/>
      <c r="Z154" s="105"/>
      <c r="AB154" s="104"/>
      <c r="AD154" s="104"/>
      <c r="AF154" s="81">
        <f t="shared" si="1"/>
        <v>2605.428</v>
      </c>
      <c r="AG154" s="78">
        <f t="shared" si="2"/>
        <v>189</v>
      </c>
      <c r="AH154" s="78">
        <f t="shared" si="3"/>
        <v>0</v>
      </c>
      <c r="AI154" s="78">
        <f t="shared" si="4"/>
        <v>189</v>
      </c>
      <c r="AJ154" s="82">
        <f t="shared" si="5"/>
        <v>13.78533333</v>
      </c>
    </row>
    <row r="155">
      <c r="A155" s="76" t="s">
        <v>27</v>
      </c>
      <c r="B155" s="77">
        <f t="shared" si="6"/>
        <v>44714</v>
      </c>
      <c r="C155" s="78">
        <v>6.0</v>
      </c>
      <c r="D155" s="78" t="s">
        <v>59</v>
      </c>
      <c r="E155" s="169" t="s">
        <v>130</v>
      </c>
      <c r="F155" s="71"/>
      <c r="H155" s="72"/>
      <c r="J155" s="72"/>
      <c r="L155" s="105">
        <v>65.0</v>
      </c>
      <c r="N155" s="104">
        <v>76.0</v>
      </c>
      <c r="P155" s="104">
        <v>0.0</v>
      </c>
      <c r="R155" s="104">
        <v>0.0</v>
      </c>
      <c r="T155" s="104">
        <v>0.0</v>
      </c>
      <c r="V155" s="104">
        <v>0.0</v>
      </c>
      <c r="X155" s="104">
        <v>0.0</v>
      </c>
      <c r="Y155" s="73"/>
      <c r="Z155" s="105"/>
      <c r="AB155" s="104"/>
      <c r="AD155" s="104"/>
      <c r="AF155" s="81">
        <f t="shared" si="1"/>
        <v>2401.371</v>
      </c>
      <c r="AG155" s="78">
        <f t="shared" si="2"/>
        <v>141</v>
      </c>
      <c r="AH155" s="78">
        <f t="shared" si="3"/>
        <v>0</v>
      </c>
      <c r="AI155" s="78">
        <f t="shared" si="4"/>
        <v>141</v>
      </c>
      <c r="AJ155" s="82">
        <f t="shared" si="5"/>
        <v>17.031</v>
      </c>
    </row>
    <row r="156">
      <c r="A156" s="83" t="s">
        <v>30</v>
      </c>
      <c r="B156" s="84">
        <f t="shared" si="6"/>
        <v>44715</v>
      </c>
      <c r="C156" s="85">
        <v>6.0</v>
      </c>
      <c r="D156" s="85" t="s">
        <v>59</v>
      </c>
      <c r="E156" s="170" t="s">
        <v>130</v>
      </c>
      <c r="F156" s="88"/>
      <c r="G156" s="89"/>
      <c r="H156" s="90"/>
      <c r="I156" s="89"/>
      <c r="J156" s="90"/>
      <c r="K156" s="89"/>
      <c r="L156" s="112">
        <v>0.0</v>
      </c>
      <c r="M156" s="89"/>
      <c r="N156" s="111">
        <v>0.0</v>
      </c>
      <c r="O156" s="89"/>
      <c r="P156" s="111">
        <v>0.0</v>
      </c>
      <c r="Q156" s="89"/>
      <c r="R156" s="111">
        <v>0.0</v>
      </c>
      <c r="S156" s="89"/>
      <c r="T156" s="111">
        <v>0.0</v>
      </c>
      <c r="U156" s="89"/>
      <c r="V156" s="111">
        <v>0.0</v>
      </c>
      <c r="W156" s="89"/>
      <c r="X156" s="111">
        <v>0.0</v>
      </c>
      <c r="Y156" s="91"/>
      <c r="Z156" s="112"/>
      <c r="AA156" s="89"/>
      <c r="AB156" s="111"/>
      <c r="AC156" s="89"/>
      <c r="AD156" s="111"/>
      <c r="AE156" s="89"/>
      <c r="AF156" s="92">
        <f t="shared" si="1"/>
        <v>0</v>
      </c>
      <c r="AG156" s="85">
        <f t="shared" si="2"/>
        <v>0</v>
      </c>
      <c r="AH156" s="85">
        <f t="shared" si="3"/>
        <v>0</v>
      </c>
      <c r="AI156" s="85">
        <f t="shared" si="4"/>
        <v>0</v>
      </c>
      <c r="AJ156" s="93" t="str">
        <f t="shared" si="5"/>
        <v/>
      </c>
    </row>
    <row r="157">
      <c r="A157" s="66" t="s">
        <v>11</v>
      </c>
      <c r="B157" s="94">
        <f t="shared" si="6"/>
        <v>44716</v>
      </c>
      <c r="C157" s="68">
        <v>6.0</v>
      </c>
      <c r="D157" s="68" t="s">
        <v>12</v>
      </c>
      <c r="E157" s="70" t="s">
        <v>130</v>
      </c>
      <c r="F157" s="71"/>
      <c r="H157" s="72"/>
      <c r="J157" s="72"/>
      <c r="L157" s="105">
        <v>0.0</v>
      </c>
      <c r="N157" s="104">
        <v>76.0</v>
      </c>
      <c r="P157" s="104">
        <v>70.0</v>
      </c>
      <c r="R157" s="104">
        <v>41.0</v>
      </c>
      <c r="T157" s="104">
        <v>1.0</v>
      </c>
      <c r="V157" s="104">
        <v>1.0</v>
      </c>
      <c r="X157" s="104">
        <v>31.0</v>
      </c>
      <c r="Y157" s="73"/>
      <c r="Z157" s="105"/>
      <c r="AB157" s="104"/>
      <c r="AD157" s="104"/>
      <c r="AF157" s="74">
        <f t="shared" si="1"/>
        <v>3759.168</v>
      </c>
      <c r="AG157" s="68">
        <f t="shared" si="2"/>
        <v>218</v>
      </c>
      <c r="AH157" s="68">
        <f t="shared" si="3"/>
        <v>2</v>
      </c>
      <c r="AI157" s="68">
        <f t="shared" si="4"/>
        <v>220</v>
      </c>
      <c r="AJ157" s="75">
        <f t="shared" si="5"/>
        <v>17.08712727</v>
      </c>
    </row>
    <row r="158">
      <c r="A158" s="76" t="s">
        <v>16</v>
      </c>
      <c r="B158" s="77">
        <f t="shared" si="6"/>
        <v>44717</v>
      </c>
      <c r="C158" s="78">
        <v>6.0</v>
      </c>
      <c r="D158" s="78" t="s">
        <v>12</v>
      </c>
      <c r="E158" s="169" t="s">
        <v>130</v>
      </c>
      <c r="F158" s="71"/>
      <c r="H158" s="72"/>
      <c r="J158" s="72"/>
      <c r="L158" s="105">
        <v>0.0</v>
      </c>
      <c r="N158" s="104">
        <v>74.0</v>
      </c>
      <c r="P158" s="104">
        <v>70.0</v>
      </c>
      <c r="R158" s="104">
        <v>36.0</v>
      </c>
      <c r="T158" s="104">
        <v>0.0</v>
      </c>
      <c r="V158" s="104">
        <v>0.0</v>
      </c>
      <c r="X158" s="104">
        <v>30.0</v>
      </c>
      <c r="Y158" s="73"/>
      <c r="Z158" s="105"/>
      <c r="AB158" s="104"/>
      <c r="AD158" s="104"/>
      <c r="AF158" s="81">
        <f t="shared" si="1"/>
        <v>2947.896</v>
      </c>
      <c r="AG158" s="78">
        <f t="shared" si="2"/>
        <v>210</v>
      </c>
      <c r="AH158" s="78">
        <f t="shared" si="3"/>
        <v>0</v>
      </c>
      <c r="AI158" s="78">
        <f t="shared" si="4"/>
        <v>210</v>
      </c>
      <c r="AJ158" s="82">
        <f t="shared" si="5"/>
        <v>14.0376</v>
      </c>
    </row>
    <row r="159">
      <c r="A159" s="76" t="s">
        <v>17</v>
      </c>
      <c r="B159" s="77">
        <f t="shared" si="6"/>
        <v>44718</v>
      </c>
      <c r="C159" s="78">
        <v>6.0</v>
      </c>
      <c r="D159" s="78" t="s">
        <v>12</v>
      </c>
      <c r="E159" s="169" t="s">
        <v>130</v>
      </c>
      <c r="F159" s="71"/>
      <c r="H159" s="72"/>
      <c r="J159" s="72"/>
      <c r="L159" s="105">
        <v>0.0</v>
      </c>
      <c r="N159" s="104">
        <v>75.0</v>
      </c>
      <c r="P159" s="104">
        <v>70.0</v>
      </c>
      <c r="R159" s="104">
        <v>34.0</v>
      </c>
      <c r="T159" s="104">
        <v>0.0</v>
      </c>
      <c r="V159" s="104">
        <v>0.0</v>
      </c>
      <c r="X159" s="104">
        <v>33.0</v>
      </c>
      <c r="Y159" s="73"/>
      <c r="Z159" s="105"/>
      <c r="AB159" s="104"/>
      <c r="AD159" s="104"/>
      <c r="AF159" s="81">
        <f t="shared" si="1"/>
        <v>2976.603</v>
      </c>
      <c r="AG159" s="78">
        <f t="shared" si="2"/>
        <v>212</v>
      </c>
      <c r="AH159" s="78">
        <f t="shared" si="3"/>
        <v>0</v>
      </c>
      <c r="AI159" s="78">
        <f t="shared" si="4"/>
        <v>212</v>
      </c>
      <c r="AJ159" s="82">
        <f t="shared" si="5"/>
        <v>14.04058019</v>
      </c>
    </row>
    <row r="160">
      <c r="A160" s="76" t="s">
        <v>21</v>
      </c>
      <c r="B160" s="77">
        <f t="shared" si="6"/>
        <v>44719</v>
      </c>
      <c r="C160" s="78">
        <v>6.0</v>
      </c>
      <c r="D160" s="78" t="s">
        <v>12</v>
      </c>
      <c r="E160" s="169" t="s">
        <v>130</v>
      </c>
      <c r="F160" s="71"/>
      <c r="H160" s="72"/>
      <c r="J160" s="72"/>
      <c r="L160" s="105">
        <v>0.0</v>
      </c>
      <c r="N160" s="104">
        <v>76.0</v>
      </c>
      <c r="P160" s="104">
        <v>70.0</v>
      </c>
      <c r="R160" s="104">
        <v>38.0</v>
      </c>
      <c r="T160" s="104">
        <v>0.0</v>
      </c>
      <c r="V160" s="104">
        <v>0.0</v>
      </c>
      <c r="X160" s="104">
        <v>34.0</v>
      </c>
      <c r="Y160" s="73"/>
      <c r="Z160" s="105"/>
      <c r="AB160" s="104"/>
      <c r="AD160" s="104"/>
      <c r="AF160" s="81">
        <f t="shared" si="1"/>
        <v>3029.082</v>
      </c>
      <c r="AG160" s="78">
        <f t="shared" si="2"/>
        <v>218</v>
      </c>
      <c r="AH160" s="78">
        <f t="shared" si="3"/>
        <v>0</v>
      </c>
      <c r="AI160" s="78">
        <f t="shared" si="4"/>
        <v>218</v>
      </c>
      <c r="AJ160" s="82">
        <f t="shared" si="5"/>
        <v>13.89487156</v>
      </c>
    </row>
    <row r="161">
      <c r="A161" s="76" t="s">
        <v>24</v>
      </c>
      <c r="B161" s="77">
        <f t="shared" si="6"/>
        <v>44720</v>
      </c>
      <c r="C161" s="78">
        <v>6.0</v>
      </c>
      <c r="D161" s="78" t="s">
        <v>12</v>
      </c>
      <c r="E161" s="169" t="s">
        <v>130</v>
      </c>
      <c r="F161" s="71"/>
      <c r="H161" s="72"/>
      <c r="J161" s="72"/>
      <c r="L161" s="105">
        <v>0.0</v>
      </c>
      <c r="N161" s="104">
        <v>83.0</v>
      </c>
      <c r="P161" s="104">
        <v>70.0</v>
      </c>
      <c r="R161" s="104">
        <v>35.0</v>
      </c>
      <c r="T161" s="104">
        <v>0.0</v>
      </c>
      <c r="V161" s="104">
        <v>0.0</v>
      </c>
      <c r="X161" s="104">
        <v>35.0</v>
      </c>
      <c r="Y161" s="73"/>
      <c r="Z161" s="105"/>
      <c r="AB161" s="104"/>
      <c r="AD161" s="104"/>
      <c r="AF161" s="81">
        <f t="shared" si="1"/>
        <v>3136.413</v>
      </c>
      <c r="AG161" s="78">
        <f t="shared" si="2"/>
        <v>223</v>
      </c>
      <c r="AH161" s="78">
        <f t="shared" si="3"/>
        <v>0</v>
      </c>
      <c r="AI161" s="78">
        <f t="shared" si="4"/>
        <v>223</v>
      </c>
      <c r="AJ161" s="82">
        <f t="shared" si="5"/>
        <v>14.06463229</v>
      </c>
    </row>
    <row r="162">
      <c r="A162" s="76" t="s">
        <v>27</v>
      </c>
      <c r="B162" s="77">
        <f t="shared" si="6"/>
        <v>44721</v>
      </c>
      <c r="C162" s="78">
        <v>6.0</v>
      </c>
      <c r="D162" s="78" t="s">
        <v>12</v>
      </c>
      <c r="E162" s="169" t="s">
        <v>130</v>
      </c>
      <c r="F162" s="71"/>
      <c r="H162" s="72"/>
      <c r="J162" s="72"/>
      <c r="L162" s="105">
        <v>57.0</v>
      </c>
      <c r="N162" s="104">
        <v>56.0</v>
      </c>
      <c r="P162" s="104">
        <v>0.0</v>
      </c>
      <c r="R162" s="104">
        <v>0.0</v>
      </c>
      <c r="T162" s="104">
        <v>0.0</v>
      </c>
      <c r="V162" s="104">
        <v>0.0</v>
      </c>
      <c r="X162" s="104">
        <v>0.0</v>
      </c>
      <c r="Y162" s="73"/>
      <c r="Z162" s="105"/>
      <c r="AB162" s="104"/>
      <c r="AD162" s="104"/>
      <c r="AF162" s="81">
        <f t="shared" si="1"/>
        <v>1924.503</v>
      </c>
      <c r="AG162" s="78">
        <f t="shared" si="2"/>
        <v>113</v>
      </c>
      <c r="AH162" s="78">
        <f t="shared" si="3"/>
        <v>0</v>
      </c>
      <c r="AI162" s="78">
        <f t="shared" si="4"/>
        <v>113</v>
      </c>
      <c r="AJ162" s="82">
        <f t="shared" si="5"/>
        <v>17.031</v>
      </c>
    </row>
    <row r="163">
      <c r="A163" s="83" t="s">
        <v>30</v>
      </c>
      <c r="B163" s="84">
        <f t="shared" si="6"/>
        <v>44722</v>
      </c>
      <c r="C163" s="85">
        <v>6.0</v>
      </c>
      <c r="D163" s="85" t="s">
        <v>12</v>
      </c>
      <c r="E163" s="170" t="s">
        <v>130</v>
      </c>
      <c r="F163" s="88"/>
      <c r="G163" s="89"/>
      <c r="H163" s="90"/>
      <c r="I163" s="89"/>
      <c r="J163" s="90"/>
      <c r="K163" s="89"/>
      <c r="L163" s="112">
        <v>0.0</v>
      </c>
      <c r="M163" s="89"/>
      <c r="N163" s="111">
        <v>0.0</v>
      </c>
      <c r="O163" s="89"/>
      <c r="P163" s="111">
        <v>0.0</v>
      </c>
      <c r="Q163" s="89"/>
      <c r="R163" s="111">
        <v>0.0</v>
      </c>
      <c r="S163" s="89"/>
      <c r="T163" s="111">
        <v>0.0</v>
      </c>
      <c r="U163" s="89"/>
      <c r="V163" s="111">
        <v>0.0</v>
      </c>
      <c r="W163" s="89"/>
      <c r="X163" s="111">
        <v>0.0</v>
      </c>
      <c r="Y163" s="91"/>
      <c r="Z163" s="112"/>
      <c r="AA163" s="89"/>
      <c r="AB163" s="111"/>
      <c r="AC163" s="89"/>
      <c r="AD163" s="111"/>
      <c r="AE163" s="89"/>
      <c r="AF163" s="92">
        <f t="shared" si="1"/>
        <v>0</v>
      </c>
      <c r="AG163" s="85">
        <f t="shared" si="2"/>
        <v>0</v>
      </c>
      <c r="AH163" s="85">
        <f t="shared" si="3"/>
        <v>0</v>
      </c>
      <c r="AI163" s="85">
        <f t="shared" si="4"/>
        <v>0</v>
      </c>
      <c r="AJ163" s="93" t="str">
        <f t="shared" si="5"/>
        <v/>
      </c>
    </row>
    <row r="164">
      <c r="A164" s="66" t="s">
        <v>11</v>
      </c>
      <c r="B164" s="94">
        <f t="shared" si="6"/>
        <v>44723</v>
      </c>
      <c r="C164" s="68">
        <v>6.0</v>
      </c>
      <c r="D164" s="68" t="s">
        <v>33</v>
      </c>
      <c r="E164" s="171" t="s">
        <v>130</v>
      </c>
      <c r="F164" s="71"/>
      <c r="H164" s="72"/>
      <c r="J164" s="72"/>
      <c r="L164" s="105">
        <v>0.0</v>
      </c>
      <c r="N164" s="104">
        <v>86.0</v>
      </c>
      <c r="P164" s="104">
        <v>60.0</v>
      </c>
      <c r="R164" s="104">
        <v>37.0</v>
      </c>
      <c r="T164" s="104">
        <v>1.0</v>
      </c>
      <c r="V164" s="104">
        <v>1.0</v>
      </c>
      <c r="X164" s="104">
        <v>32.0</v>
      </c>
      <c r="Y164" s="73"/>
      <c r="Z164" s="105"/>
      <c r="AB164" s="104"/>
      <c r="AD164" s="104"/>
      <c r="AF164" s="74">
        <f t="shared" si="1"/>
        <v>3740.52</v>
      </c>
      <c r="AG164" s="68">
        <f t="shared" si="2"/>
        <v>215</v>
      </c>
      <c r="AH164" s="68">
        <f t="shared" si="3"/>
        <v>2</v>
      </c>
      <c r="AI164" s="68">
        <f t="shared" si="4"/>
        <v>217</v>
      </c>
      <c r="AJ164" s="75">
        <f t="shared" si="5"/>
        <v>17.23741935</v>
      </c>
    </row>
    <row r="165">
      <c r="A165" s="76" t="s">
        <v>16</v>
      </c>
      <c r="B165" s="77">
        <f t="shared" si="6"/>
        <v>44724</v>
      </c>
      <c r="C165" s="78">
        <v>6.0</v>
      </c>
      <c r="D165" s="78" t="s">
        <v>33</v>
      </c>
      <c r="E165" s="169" t="s">
        <v>130</v>
      </c>
      <c r="F165" s="71"/>
      <c r="H165" s="72"/>
      <c r="J165" s="72"/>
      <c r="L165" s="105">
        <v>0.0</v>
      </c>
      <c r="N165" s="104">
        <v>79.0</v>
      </c>
      <c r="P165" s="104">
        <v>60.0</v>
      </c>
      <c r="R165" s="104">
        <v>38.0</v>
      </c>
      <c r="T165" s="104">
        <v>0.0</v>
      </c>
      <c r="V165" s="104">
        <v>0.0</v>
      </c>
      <c r="X165" s="104">
        <v>33.0</v>
      </c>
      <c r="Y165" s="73"/>
      <c r="Z165" s="105"/>
      <c r="AB165" s="104"/>
      <c r="AD165" s="104"/>
      <c r="AF165" s="81">
        <f t="shared" si="1"/>
        <v>2901.465</v>
      </c>
      <c r="AG165" s="78">
        <f t="shared" si="2"/>
        <v>210</v>
      </c>
      <c r="AH165" s="78">
        <f t="shared" si="3"/>
        <v>0</v>
      </c>
      <c r="AI165" s="78">
        <f t="shared" si="4"/>
        <v>210</v>
      </c>
      <c r="AJ165" s="82">
        <f t="shared" si="5"/>
        <v>13.8165</v>
      </c>
    </row>
    <row r="166">
      <c r="A166" s="76" t="s">
        <v>17</v>
      </c>
      <c r="B166" s="77">
        <f t="shared" si="6"/>
        <v>44725</v>
      </c>
      <c r="C166" s="78">
        <v>6.0</v>
      </c>
      <c r="D166" s="78" t="s">
        <v>33</v>
      </c>
      <c r="E166" s="169" t="s">
        <v>130</v>
      </c>
      <c r="F166" s="71"/>
      <c r="H166" s="72"/>
      <c r="J166" s="72"/>
      <c r="L166" s="105">
        <v>99.0</v>
      </c>
      <c r="N166" s="104">
        <v>87.0</v>
      </c>
      <c r="P166" s="104">
        <v>0.0</v>
      </c>
      <c r="R166" s="104">
        <v>0.0</v>
      </c>
      <c r="T166" s="104">
        <v>0.0</v>
      </c>
      <c r="V166" s="104">
        <v>0.0</v>
      </c>
      <c r="X166" s="104">
        <v>0.0</v>
      </c>
      <c r="Y166" s="73"/>
      <c r="Z166" s="105"/>
      <c r="AB166" s="104"/>
      <c r="AD166" s="104"/>
      <c r="AF166" s="81">
        <f t="shared" si="1"/>
        <v>3167.766</v>
      </c>
      <c r="AG166" s="78">
        <f t="shared" si="2"/>
        <v>186</v>
      </c>
      <c r="AH166" s="78">
        <f t="shared" si="3"/>
        <v>0</v>
      </c>
      <c r="AI166" s="78">
        <f t="shared" si="4"/>
        <v>186</v>
      </c>
      <c r="AJ166" s="82">
        <f t="shared" si="5"/>
        <v>17.031</v>
      </c>
    </row>
    <row r="167">
      <c r="A167" s="76" t="s">
        <v>21</v>
      </c>
      <c r="B167" s="77">
        <f t="shared" si="6"/>
        <v>44726</v>
      </c>
      <c r="C167" s="78">
        <v>6.0</v>
      </c>
      <c r="D167" s="78" t="s">
        <v>33</v>
      </c>
      <c r="E167" s="169" t="s">
        <v>130</v>
      </c>
      <c r="F167" s="71"/>
      <c r="H167" s="72"/>
      <c r="J167" s="72"/>
      <c r="L167" s="105">
        <v>0.0</v>
      </c>
      <c r="N167" s="104">
        <v>88.0</v>
      </c>
      <c r="P167" s="104">
        <v>60.0</v>
      </c>
      <c r="R167" s="104">
        <v>41.0</v>
      </c>
      <c r="T167" s="104">
        <v>0.0</v>
      </c>
      <c r="V167" s="104">
        <v>0.0</v>
      </c>
      <c r="X167" s="104">
        <v>29.0</v>
      </c>
      <c r="Y167" s="73"/>
      <c r="Z167" s="105"/>
      <c r="AB167" s="104"/>
      <c r="AD167" s="104"/>
      <c r="AF167" s="81">
        <f t="shared" si="1"/>
        <v>3041.43</v>
      </c>
      <c r="AG167" s="78">
        <f t="shared" si="2"/>
        <v>218</v>
      </c>
      <c r="AH167" s="78">
        <f t="shared" si="3"/>
        <v>0</v>
      </c>
      <c r="AI167" s="78">
        <f t="shared" si="4"/>
        <v>218</v>
      </c>
      <c r="AJ167" s="82">
        <f t="shared" si="5"/>
        <v>13.95151376</v>
      </c>
    </row>
    <row r="168">
      <c r="A168" s="76" t="s">
        <v>24</v>
      </c>
      <c r="B168" s="77">
        <f t="shared" si="6"/>
        <v>44727</v>
      </c>
      <c r="C168" s="78">
        <v>6.0</v>
      </c>
      <c r="D168" s="78" t="s">
        <v>33</v>
      </c>
      <c r="E168" s="169" t="s">
        <v>130</v>
      </c>
      <c r="F168" s="71"/>
      <c r="H168" s="72"/>
      <c r="J168" s="72"/>
      <c r="L168" s="105">
        <v>0.0</v>
      </c>
      <c r="N168" s="104">
        <v>91.0</v>
      </c>
      <c r="P168" s="104">
        <v>60.0</v>
      </c>
      <c r="R168" s="104">
        <v>39.0</v>
      </c>
      <c r="T168" s="104">
        <v>0.0</v>
      </c>
      <c r="V168" s="104">
        <v>0.0</v>
      </c>
      <c r="X168" s="104">
        <v>33.0</v>
      </c>
      <c r="Y168" s="73"/>
      <c r="Z168" s="105"/>
      <c r="AB168" s="104"/>
      <c r="AD168" s="104"/>
      <c r="AF168" s="81">
        <f t="shared" si="1"/>
        <v>3112.599</v>
      </c>
      <c r="AG168" s="78">
        <f t="shared" si="2"/>
        <v>223</v>
      </c>
      <c r="AH168" s="78">
        <f t="shared" si="3"/>
        <v>0</v>
      </c>
      <c r="AI168" s="78">
        <f t="shared" si="4"/>
        <v>223</v>
      </c>
      <c r="AJ168" s="82">
        <f t="shared" si="5"/>
        <v>13.95784305</v>
      </c>
    </row>
    <row r="169">
      <c r="A169" s="76" t="s">
        <v>27</v>
      </c>
      <c r="B169" s="77">
        <f t="shared" si="6"/>
        <v>44728</v>
      </c>
      <c r="C169" s="78">
        <v>6.0</v>
      </c>
      <c r="D169" s="78" t="s">
        <v>33</v>
      </c>
      <c r="E169" s="169" t="s">
        <v>130</v>
      </c>
      <c r="F169" s="71"/>
      <c r="H169" s="72"/>
      <c r="J169" s="72"/>
      <c r="L169" s="105">
        <v>91.0</v>
      </c>
      <c r="N169" s="104">
        <v>87.0</v>
      </c>
      <c r="P169" s="104">
        <v>0.0</v>
      </c>
      <c r="R169" s="104">
        <v>0.0</v>
      </c>
      <c r="T169" s="104">
        <v>0.0</v>
      </c>
      <c r="V169" s="104">
        <v>0.0</v>
      </c>
      <c r="X169" s="104">
        <v>0.0</v>
      </c>
      <c r="Y169" s="73"/>
      <c r="Z169" s="105"/>
      <c r="AB169" s="104"/>
      <c r="AD169" s="104"/>
      <c r="AF169" s="81">
        <f t="shared" si="1"/>
        <v>3031.518</v>
      </c>
      <c r="AG169" s="78">
        <f t="shared" si="2"/>
        <v>178</v>
      </c>
      <c r="AH169" s="78">
        <f t="shared" si="3"/>
        <v>0</v>
      </c>
      <c r="AI169" s="78">
        <f t="shared" si="4"/>
        <v>178</v>
      </c>
      <c r="AJ169" s="82">
        <f t="shared" si="5"/>
        <v>17.031</v>
      </c>
    </row>
    <row r="170">
      <c r="A170" s="83" t="s">
        <v>30</v>
      </c>
      <c r="B170" s="84">
        <f t="shared" si="6"/>
        <v>44729</v>
      </c>
      <c r="C170" s="85">
        <v>6.0</v>
      </c>
      <c r="D170" s="85" t="s">
        <v>33</v>
      </c>
      <c r="E170" s="170" t="s">
        <v>130</v>
      </c>
      <c r="F170" s="88"/>
      <c r="G170" s="89"/>
      <c r="H170" s="90"/>
      <c r="I170" s="89"/>
      <c r="J170" s="90"/>
      <c r="K170" s="89"/>
      <c r="L170" s="112">
        <v>0.0</v>
      </c>
      <c r="M170" s="89"/>
      <c r="N170" s="111">
        <v>0.0</v>
      </c>
      <c r="O170" s="89"/>
      <c r="P170" s="111">
        <v>0.0</v>
      </c>
      <c r="Q170" s="89"/>
      <c r="R170" s="111">
        <v>0.0</v>
      </c>
      <c r="S170" s="89"/>
      <c r="T170" s="111">
        <v>0.0</v>
      </c>
      <c r="U170" s="89"/>
      <c r="V170" s="111">
        <v>0.0</v>
      </c>
      <c r="W170" s="89"/>
      <c r="X170" s="111">
        <v>0.0</v>
      </c>
      <c r="Y170" s="91"/>
      <c r="Z170" s="112"/>
      <c r="AA170" s="89"/>
      <c r="AB170" s="111"/>
      <c r="AC170" s="89"/>
      <c r="AD170" s="111"/>
      <c r="AE170" s="89"/>
      <c r="AF170" s="92">
        <f t="shared" si="1"/>
        <v>0</v>
      </c>
      <c r="AG170" s="85">
        <f t="shared" si="2"/>
        <v>0</v>
      </c>
      <c r="AH170" s="85">
        <f t="shared" si="3"/>
        <v>0</v>
      </c>
      <c r="AI170" s="85">
        <f t="shared" si="4"/>
        <v>0</v>
      </c>
      <c r="AJ170" s="93" t="str">
        <f t="shared" si="5"/>
        <v/>
      </c>
    </row>
    <row r="171">
      <c r="A171" s="66" t="s">
        <v>11</v>
      </c>
      <c r="B171" s="94">
        <f t="shared" si="6"/>
        <v>44730</v>
      </c>
      <c r="C171" s="68">
        <v>7.0</v>
      </c>
      <c r="D171" s="68" t="s">
        <v>48</v>
      </c>
      <c r="E171" s="171" t="s">
        <v>130</v>
      </c>
      <c r="F171" s="71"/>
      <c r="H171" s="72"/>
      <c r="J171" s="72"/>
      <c r="L171" s="105">
        <v>0.0</v>
      </c>
      <c r="N171" s="104">
        <v>88.0</v>
      </c>
      <c r="P171" s="104">
        <v>60.0</v>
      </c>
      <c r="R171" s="104">
        <v>43.0</v>
      </c>
      <c r="T171" s="104">
        <v>1.0</v>
      </c>
      <c r="V171" s="104">
        <v>1.0</v>
      </c>
      <c r="X171" s="104">
        <v>32.0</v>
      </c>
      <c r="Y171" s="73"/>
      <c r="Z171" s="105"/>
      <c r="AB171" s="104"/>
      <c r="AD171" s="104"/>
      <c r="AF171" s="74">
        <f t="shared" si="1"/>
        <v>3815.154</v>
      </c>
      <c r="AG171" s="68">
        <f t="shared" si="2"/>
        <v>223</v>
      </c>
      <c r="AH171" s="68">
        <f t="shared" si="3"/>
        <v>2</v>
      </c>
      <c r="AI171" s="68">
        <f t="shared" si="4"/>
        <v>225</v>
      </c>
      <c r="AJ171" s="75">
        <f t="shared" si="5"/>
        <v>16.95624</v>
      </c>
    </row>
    <row r="172">
      <c r="A172" s="76" t="s">
        <v>16</v>
      </c>
      <c r="B172" s="77">
        <f t="shared" si="6"/>
        <v>44731</v>
      </c>
      <c r="C172" s="78">
        <v>7.0</v>
      </c>
      <c r="D172" s="78" t="s">
        <v>48</v>
      </c>
      <c r="E172" s="169" t="s">
        <v>130</v>
      </c>
      <c r="F172" s="71"/>
      <c r="H172" s="72"/>
      <c r="J172" s="72"/>
      <c r="L172" s="105">
        <v>0.0</v>
      </c>
      <c r="N172" s="104">
        <v>81.0</v>
      </c>
      <c r="P172" s="104">
        <v>60.0</v>
      </c>
      <c r="R172" s="104">
        <v>39.0</v>
      </c>
      <c r="T172" s="104">
        <v>0.0</v>
      </c>
      <c r="V172" s="104">
        <v>0.0</v>
      </c>
      <c r="X172" s="104">
        <v>30.0</v>
      </c>
      <c r="Y172" s="73"/>
      <c r="Z172" s="105"/>
      <c r="AB172" s="104"/>
      <c r="AD172" s="104"/>
      <c r="AF172" s="81">
        <f t="shared" si="1"/>
        <v>2917.089</v>
      </c>
      <c r="AG172" s="78">
        <f t="shared" si="2"/>
        <v>210</v>
      </c>
      <c r="AH172" s="78">
        <f t="shared" si="3"/>
        <v>0</v>
      </c>
      <c r="AI172" s="78">
        <f t="shared" si="4"/>
        <v>210</v>
      </c>
      <c r="AJ172" s="82">
        <f t="shared" si="5"/>
        <v>13.8909</v>
      </c>
    </row>
    <row r="173">
      <c r="A173" s="76" t="s">
        <v>17</v>
      </c>
      <c r="B173" s="77">
        <f t="shared" si="6"/>
        <v>44732</v>
      </c>
      <c r="C173" s="78">
        <v>7.0</v>
      </c>
      <c r="D173" s="78" t="s">
        <v>48</v>
      </c>
      <c r="E173" s="169" t="s">
        <v>130</v>
      </c>
      <c r="F173" s="71"/>
      <c r="H173" s="72"/>
      <c r="J173" s="72"/>
      <c r="L173" s="105">
        <v>0.0</v>
      </c>
      <c r="N173" s="104">
        <v>89.0</v>
      </c>
      <c r="P173" s="104">
        <v>60.0</v>
      </c>
      <c r="R173" s="104">
        <v>41.0</v>
      </c>
      <c r="T173" s="104">
        <v>0.0</v>
      </c>
      <c r="V173" s="104">
        <v>0.0</v>
      </c>
      <c r="X173" s="104">
        <v>31.0</v>
      </c>
      <c r="Y173" s="73"/>
      <c r="Z173" s="105"/>
      <c r="AB173" s="104"/>
      <c r="AD173" s="104"/>
      <c r="AF173" s="81">
        <f t="shared" si="1"/>
        <v>3075.261</v>
      </c>
      <c r="AG173" s="78">
        <f t="shared" si="2"/>
        <v>221</v>
      </c>
      <c r="AH173" s="78">
        <f t="shared" si="3"/>
        <v>0</v>
      </c>
      <c r="AI173" s="78">
        <f t="shared" si="4"/>
        <v>221</v>
      </c>
      <c r="AJ173" s="82">
        <f t="shared" si="5"/>
        <v>13.91520814</v>
      </c>
    </row>
    <row r="174">
      <c r="A174" s="76" t="s">
        <v>21</v>
      </c>
      <c r="B174" s="77">
        <f t="shared" si="6"/>
        <v>44733</v>
      </c>
      <c r="C174" s="78">
        <v>7.0</v>
      </c>
      <c r="D174" s="78" t="s">
        <v>48</v>
      </c>
      <c r="E174" s="169" t="s">
        <v>130</v>
      </c>
      <c r="F174" s="71"/>
      <c r="H174" s="72"/>
      <c r="J174" s="72"/>
      <c r="L174" s="105">
        <v>0.0</v>
      </c>
      <c r="N174" s="104">
        <v>87.0</v>
      </c>
      <c r="P174" s="104">
        <v>60.0</v>
      </c>
      <c r="R174" s="104">
        <v>41.0</v>
      </c>
      <c r="T174" s="104">
        <v>0.0</v>
      </c>
      <c r="V174" s="104">
        <v>0.0</v>
      </c>
      <c r="X174" s="104">
        <v>29.0</v>
      </c>
      <c r="Y174" s="73"/>
      <c r="Z174" s="105"/>
      <c r="AB174" s="104"/>
      <c r="AD174" s="104"/>
      <c r="AF174" s="81">
        <f t="shared" si="1"/>
        <v>3024.399</v>
      </c>
      <c r="AG174" s="78">
        <f t="shared" si="2"/>
        <v>217</v>
      </c>
      <c r="AH174" s="78">
        <f t="shared" si="3"/>
        <v>0</v>
      </c>
      <c r="AI174" s="78">
        <f t="shared" si="4"/>
        <v>217</v>
      </c>
      <c r="AJ174" s="82">
        <f t="shared" si="5"/>
        <v>13.93732258</v>
      </c>
    </row>
    <row r="175">
      <c r="A175" s="76" t="s">
        <v>24</v>
      </c>
      <c r="B175" s="77">
        <f t="shared" si="6"/>
        <v>44734</v>
      </c>
      <c r="C175" s="78">
        <v>7.0</v>
      </c>
      <c r="D175" s="78" t="s">
        <v>48</v>
      </c>
      <c r="E175" s="169" t="s">
        <v>130</v>
      </c>
      <c r="F175" s="71"/>
      <c r="H175" s="72"/>
      <c r="J175" s="72"/>
      <c r="L175" s="105">
        <v>0.0</v>
      </c>
      <c r="N175" s="104">
        <v>89.0</v>
      </c>
      <c r="P175" s="104">
        <v>60.0</v>
      </c>
      <c r="R175" s="104">
        <v>43.0</v>
      </c>
      <c r="T175" s="104">
        <v>0.0</v>
      </c>
      <c r="V175" s="104">
        <v>0.0</v>
      </c>
      <c r="X175" s="104">
        <v>31.0</v>
      </c>
      <c r="Y175" s="73"/>
      <c r="Z175" s="105"/>
      <c r="AB175" s="104"/>
      <c r="AD175" s="104"/>
      <c r="AF175" s="81">
        <f t="shared" si="1"/>
        <v>3088.785</v>
      </c>
      <c r="AG175" s="78">
        <f t="shared" si="2"/>
        <v>223</v>
      </c>
      <c r="AH175" s="78">
        <f t="shared" si="3"/>
        <v>0</v>
      </c>
      <c r="AI175" s="78">
        <f t="shared" si="4"/>
        <v>223</v>
      </c>
      <c r="AJ175" s="82">
        <f t="shared" si="5"/>
        <v>13.85105381</v>
      </c>
    </row>
    <row r="176">
      <c r="A176" s="76" t="s">
        <v>27</v>
      </c>
      <c r="B176" s="77">
        <f t="shared" si="6"/>
        <v>44735</v>
      </c>
      <c r="C176" s="78">
        <v>7.0</v>
      </c>
      <c r="D176" s="78" t="s">
        <v>48</v>
      </c>
      <c r="E176" s="169" t="s">
        <v>130</v>
      </c>
      <c r="F176" s="71"/>
      <c r="H176" s="72"/>
      <c r="J176" s="72"/>
      <c r="L176" s="105">
        <v>76.0</v>
      </c>
      <c r="N176" s="104">
        <v>71.0</v>
      </c>
      <c r="P176" s="104">
        <v>0.0</v>
      </c>
      <c r="R176" s="104">
        <v>0.0</v>
      </c>
      <c r="T176" s="104">
        <v>0.0</v>
      </c>
      <c r="V176" s="104">
        <v>0.0</v>
      </c>
      <c r="X176" s="104">
        <v>0.0</v>
      </c>
      <c r="Y176" s="73"/>
      <c r="Z176" s="105"/>
      <c r="AB176" s="104"/>
      <c r="AD176" s="104"/>
      <c r="AF176" s="81">
        <f t="shared" si="1"/>
        <v>2503.557</v>
      </c>
      <c r="AG176" s="78">
        <f t="shared" si="2"/>
        <v>147</v>
      </c>
      <c r="AH176" s="78">
        <f t="shared" si="3"/>
        <v>0</v>
      </c>
      <c r="AI176" s="78">
        <f t="shared" si="4"/>
        <v>147</v>
      </c>
      <c r="AJ176" s="82">
        <f t="shared" si="5"/>
        <v>17.031</v>
      </c>
    </row>
    <row r="177">
      <c r="A177" s="83" t="s">
        <v>30</v>
      </c>
      <c r="B177" s="84">
        <f t="shared" si="6"/>
        <v>44736</v>
      </c>
      <c r="C177" s="85">
        <v>7.0</v>
      </c>
      <c r="D177" s="85" t="s">
        <v>48</v>
      </c>
      <c r="E177" s="170" t="s">
        <v>130</v>
      </c>
      <c r="F177" s="88"/>
      <c r="G177" s="89"/>
      <c r="H177" s="90"/>
      <c r="I177" s="89"/>
      <c r="J177" s="90"/>
      <c r="K177" s="89"/>
      <c r="L177" s="112">
        <v>0.0</v>
      </c>
      <c r="M177" s="89"/>
      <c r="N177" s="111">
        <v>0.0</v>
      </c>
      <c r="O177" s="89"/>
      <c r="P177" s="111">
        <v>0.0</v>
      </c>
      <c r="Q177" s="89"/>
      <c r="R177" s="111">
        <v>0.0</v>
      </c>
      <c r="S177" s="89"/>
      <c r="T177" s="111">
        <v>0.0</v>
      </c>
      <c r="U177" s="89"/>
      <c r="V177" s="111">
        <v>0.0</v>
      </c>
      <c r="W177" s="89"/>
      <c r="X177" s="111">
        <v>0.0</v>
      </c>
      <c r="Y177" s="91"/>
      <c r="Z177" s="112"/>
      <c r="AA177" s="89"/>
      <c r="AB177" s="111"/>
      <c r="AC177" s="89"/>
      <c r="AD177" s="111"/>
      <c r="AE177" s="89"/>
      <c r="AF177" s="92">
        <f t="shared" si="1"/>
        <v>0</v>
      </c>
      <c r="AG177" s="85">
        <f t="shared" si="2"/>
        <v>0</v>
      </c>
      <c r="AH177" s="85">
        <f t="shared" si="3"/>
        <v>0</v>
      </c>
      <c r="AI177" s="85">
        <f t="shared" si="4"/>
        <v>0</v>
      </c>
      <c r="AJ177" s="93" t="str">
        <f t="shared" si="5"/>
        <v/>
      </c>
    </row>
    <row r="178">
      <c r="A178" s="66" t="s">
        <v>11</v>
      </c>
      <c r="B178" s="94">
        <f t="shared" si="6"/>
        <v>44737</v>
      </c>
      <c r="C178" s="68">
        <v>7.0</v>
      </c>
      <c r="D178" s="68" t="s">
        <v>59</v>
      </c>
      <c r="E178" s="171" t="s">
        <v>130</v>
      </c>
      <c r="F178" s="71"/>
      <c r="H178" s="72"/>
      <c r="J178" s="72"/>
      <c r="L178" s="105">
        <v>0.0</v>
      </c>
      <c r="N178" s="104">
        <v>81.0</v>
      </c>
      <c r="P178" s="104">
        <v>60.0</v>
      </c>
      <c r="R178" s="104">
        <v>38.0</v>
      </c>
      <c r="T178" s="104">
        <v>1.0</v>
      </c>
      <c r="V178" s="104">
        <v>1.0</v>
      </c>
      <c r="X178" s="104">
        <v>33.0</v>
      </c>
      <c r="Y178" s="73"/>
      <c r="Z178" s="105"/>
      <c r="AB178" s="104"/>
      <c r="AD178" s="104"/>
      <c r="AF178" s="74">
        <f t="shared" si="1"/>
        <v>3670.527</v>
      </c>
      <c r="AG178" s="68">
        <f t="shared" si="2"/>
        <v>212</v>
      </c>
      <c r="AH178" s="68">
        <f t="shared" si="3"/>
        <v>2</v>
      </c>
      <c r="AI178" s="68">
        <f t="shared" si="4"/>
        <v>214</v>
      </c>
      <c r="AJ178" s="75">
        <f t="shared" si="5"/>
        <v>17.15199533</v>
      </c>
    </row>
    <row r="179">
      <c r="A179" s="76" t="s">
        <v>16</v>
      </c>
      <c r="B179" s="77">
        <f t="shared" si="6"/>
        <v>44738</v>
      </c>
      <c r="C179" s="78">
        <v>7.0</v>
      </c>
      <c r="D179" s="78" t="s">
        <v>59</v>
      </c>
      <c r="E179" s="169" t="s">
        <v>130</v>
      </c>
      <c r="F179" s="71"/>
      <c r="H179" s="72"/>
      <c r="J179" s="72"/>
      <c r="L179" s="105">
        <v>0.0</v>
      </c>
      <c r="N179" s="104">
        <v>86.0</v>
      </c>
      <c r="P179" s="104">
        <v>60.0</v>
      </c>
      <c r="R179" s="104">
        <v>43.0</v>
      </c>
      <c r="T179" s="104">
        <v>0.0</v>
      </c>
      <c r="V179" s="104">
        <v>0.0</v>
      </c>
      <c r="X179" s="104">
        <v>29.0</v>
      </c>
      <c r="Y179" s="73"/>
      <c r="Z179" s="105"/>
      <c r="AB179" s="104"/>
      <c r="AD179" s="104"/>
      <c r="AF179" s="81">
        <f t="shared" si="1"/>
        <v>3020.892</v>
      </c>
      <c r="AG179" s="78">
        <f t="shared" si="2"/>
        <v>218</v>
      </c>
      <c r="AH179" s="78">
        <f t="shared" si="3"/>
        <v>0</v>
      </c>
      <c r="AI179" s="78">
        <f t="shared" si="4"/>
        <v>218</v>
      </c>
      <c r="AJ179" s="82">
        <f t="shared" si="5"/>
        <v>13.85730275</v>
      </c>
    </row>
    <row r="180">
      <c r="A180" s="76" t="s">
        <v>17</v>
      </c>
      <c r="B180" s="77">
        <f t="shared" si="6"/>
        <v>44739</v>
      </c>
      <c r="C180" s="78">
        <v>7.0</v>
      </c>
      <c r="D180" s="78" t="s">
        <v>59</v>
      </c>
      <c r="E180" s="169" t="s">
        <v>130</v>
      </c>
      <c r="F180" s="71"/>
      <c r="H180" s="72"/>
      <c r="J180" s="72"/>
      <c r="L180" s="105">
        <v>0.0</v>
      </c>
      <c r="N180" s="104">
        <v>79.0</v>
      </c>
      <c r="P180" s="104">
        <v>60.0</v>
      </c>
      <c r="R180" s="104">
        <v>41.0</v>
      </c>
      <c r="T180" s="104">
        <v>0.0</v>
      </c>
      <c r="V180" s="104">
        <v>0.0</v>
      </c>
      <c r="X180" s="104">
        <v>32.0</v>
      </c>
      <c r="Y180" s="73"/>
      <c r="Z180" s="105"/>
      <c r="AB180" s="104"/>
      <c r="AD180" s="104"/>
      <c r="AF180" s="81">
        <f t="shared" si="1"/>
        <v>2913.351</v>
      </c>
      <c r="AG180" s="78">
        <f t="shared" si="2"/>
        <v>212</v>
      </c>
      <c r="AH180" s="78">
        <f t="shared" si="3"/>
        <v>0</v>
      </c>
      <c r="AI180" s="78">
        <f t="shared" si="4"/>
        <v>212</v>
      </c>
      <c r="AJ180" s="82">
        <f t="shared" si="5"/>
        <v>13.7422217</v>
      </c>
    </row>
    <row r="181">
      <c r="A181" s="76" t="s">
        <v>21</v>
      </c>
      <c r="B181" s="77">
        <f t="shared" si="6"/>
        <v>44740</v>
      </c>
      <c r="C181" s="78">
        <v>7.0</v>
      </c>
      <c r="D181" s="78" t="s">
        <v>59</v>
      </c>
      <c r="E181" s="169" t="s">
        <v>130</v>
      </c>
      <c r="F181" s="71"/>
      <c r="H181" s="72"/>
      <c r="J181" s="72"/>
      <c r="L181" s="105">
        <v>0.0</v>
      </c>
      <c r="N181" s="104">
        <v>89.0</v>
      </c>
      <c r="P181" s="104">
        <v>60.0</v>
      </c>
      <c r="R181" s="104">
        <v>43.0</v>
      </c>
      <c r="T181" s="104">
        <v>0.0</v>
      </c>
      <c r="V181" s="104">
        <v>0.0</v>
      </c>
      <c r="X181" s="104">
        <v>33.0</v>
      </c>
      <c r="Y181" s="73"/>
      <c r="Z181" s="105"/>
      <c r="AB181" s="104"/>
      <c r="AD181" s="104"/>
      <c r="AF181" s="81">
        <f t="shared" si="1"/>
        <v>3105.585</v>
      </c>
      <c r="AG181" s="78">
        <f t="shared" si="2"/>
        <v>225</v>
      </c>
      <c r="AH181" s="78">
        <f t="shared" si="3"/>
        <v>0</v>
      </c>
      <c r="AI181" s="78">
        <f t="shared" si="4"/>
        <v>225</v>
      </c>
      <c r="AJ181" s="82">
        <f t="shared" si="5"/>
        <v>13.8026</v>
      </c>
    </row>
    <row r="182">
      <c r="A182" s="76" t="s">
        <v>24</v>
      </c>
      <c r="B182" s="77">
        <f t="shared" si="6"/>
        <v>44741</v>
      </c>
      <c r="C182" s="78">
        <v>7.0</v>
      </c>
      <c r="D182" s="78" t="s">
        <v>59</v>
      </c>
      <c r="E182" s="169" t="s">
        <v>130</v>
      </c>
      <c r="F182" s="71"/>
      <c r="H182" s="72"/>
      <c r="J182" s="72"/>
      <c r="L182" s="105">
        <v>87.0</v>
      </c>
      <c r="N182" s="104">
        <v>88.0</v>
      </c>
      <c r="P182" s="104">
        <v>0.0</v>
      </c>
      <c r="R182" s="104">
        <v>0.0</v>
      </c>
      <c r="T182" s="104">
        <v>0.0</v>
      </c>
      <c r="V182" s="104">
        <v>0.0</v>
      </c>
      <c r="X182" s="104">
        <v>0.0</v>
      </c>
      <c r="Y182" s="73"/>
      <c r="Z182" s="105"/>
      <c r="AB182" s="104"/>
      <c r="AD182" s="104"/>
      <c r="AF182" s="81">
        <f t="shared" si="1"/>
        <v>2980.425</v>
      </c>
      <c r="AG182" s="78">
        <f t="shared" si="2"/>
        <v>175</v>
      </c>
      <c r="AH182" s="78">
        <f t="shared" si="3"/>
        <v>0</v>
      </c>
      <c r="AI182" s="78">
        <f t="shared" si="4"/>
        <v>175</v>
      </c>
      <c r="AJ182" s="82">
        <f t="shared" si="5"/>
        <v>17.031</v>
      </c>
    </row>
    <row r="183">
      <c r="A183" s="76" t="s">
        <v>27</v>
      </c>
      <c r="B183" s="77">
        <f t="shared" si="6"/>
        <v>44742</v>
      </c>
      <c r="C183" s="78">
        <v>7.0</v>
      </c>
      <c r="D183" s="78" t="s">
        <v>59</v>
      </c>
      <c r="E183" s="169" t="s">
        <v>130</v>
      </c>
      <c r="F183" s="71"/>
      <c r="H183" s="72"/>
      <c r="J183" s="72"/>
      <c r="L183" s="105">
        <v>79.0</v>
      </c>
      <c r="N183" s="104">
        <v>63.0</v>
      </c>
      <c r="P183" s="104">
        <v>0.0</v>
      </c>
      <c r="R183" s="104">
        <v>0.0</v>
      </c>
      <c r="T183" s="104">
        <v>0.0</v>
      </c>
      <c r="V183" s="104">
        <v>0.0</v>
      </c>
      <c r="X183" s="104">
        <v>0.0</v>
      </c>
      <c r="Y183" s="73"/>
      <c r="Z183" s="105"/>
      <c r="AB183" s="104"/>
      <c r="AD183" s="104"/>
      <c r="AF183" s="81">
        <f t="shared" si="1"/>
        <v>2418.402</v>
      </c>
      <c r="AG183" s="78">
        <f t="shared" si="2"/>
        <v>142</v>
      </c>
      <c r="AH183" s="78">
        <f t="shared" si="3"/>
        <v>0</v>
      </c>
      <c r="AI183" s="78">
        <f t="shared" si="4"/>
        <v>142</v>
      </c>
      <c r="AJ183" s="82">
        <f t="shared" si="5"/>
        <v>17.031</v>
      </c>
    </row>
    <row r="184">
      <c r="A184" s="83" t="s">
        <v>30</v>
      </c>
      <c r="B184" s="84">
        <f t="shared" si="6"/>
        <v>44743</v>
      </c>
      <c r="C184" s="85">
        <v>7.0</v>
      </c>
      <c r="D184" s="85" t="s">
        <v>59</v>
      </c>
      <c r="E184" s="170" t="s">
        <v>130</v>
      </c>
      <c r="F184" s="88"/>
      <c r="G184" s="89"/>
      <c r="H184" s="90"/>
      <c r="I184" s="89"/>
      <c r="J184" s="90"/>
      <c r="K184" s="89"/>
      <c r="L184" s="112">
        <v>0.0</v>
      </c>
      <c r="M184" s="89"/>
      <c r="N184" s="111">
        <v>0.0</v>
      </c>
      <c r="O184" s="89"/>
      <c r="P184" s="111">
        <v>0.0</v>
      </c>
      <c r="Q184" s="89"/>
      <c r="R184" s="111">
        <v>0.0</v>
      </c>
      <c r="S184" s="89"/>
      <c r="T184" s="111">
        <v>0.0</v>
      </c>
      <c r="U184" s="89"/>
      <c r="V184" s="111">
        <v>0.0</v>
      </c>
      <c r="W184" s="89"/>
      <c r="X184" s="111">
        <v>0.0</v>
      </c>
      <c r="Y184" s="91"/>
      <c r="Z184" s="112"/>
      <c r="AA184" s="89"/>
      <c r="AB184" s="111"/>
      <c r="AC184" s="89"/>
      <c r="AD184" s="111"/>
      <c r="AE184" s="89"/>
      <c r="AF184" s="92">
        <f t="shared" si="1"/>
        <v>0</v>
      </c>
      <c r="AG184" s="85">
        <f t="shared" si="2"/>
        <v>0</v>
      </c>
      <c r="AH184" s="85">
        <f t="shared" si="3"/>
        <v>0</v>
      </c>
      <c r="AI184" s="85">
        <f t="shared" si="4"/>
        <v>0</v>
      </c>
      <c r="AJ184" s="93" t="str">
        <f t="shared" si="5"/>
        <v/>
      </c>
    </row>
    <row r="185">
      <c r="A185" s="66" t="s">
        <v>11</v>
      </c>
      <c r="B185" s="94">
        <f t="shared" si="6"/>
        <v>44744</v>
      </c>
      <c r="C185" s="68">
        <v>7.0</v>
      </c>
      <c r="D185" s="68" t="s">
        <v>12</v>
      </c>
      <c r="E185" s="171" t="s">
        <v>130</v>
      </c>
      <c r="F185" s="71"/>
      <c r="H185" s="72"/>
      <c r="J185" s="72"/>
      <c r="L185" s="105">
        <v>0.0</v>
      </c>
      <c r="N185" s="104">
        <v>94.0</v>
      </c>
      <c r="P185" s="104">
        <v>60.0</v>
      </c>
      <c r="R185" s="104">
        <v>30.0</v>
      </c>
      <c r="T185" s="104">
        <v>1.0</v>
      </c>
      <c r="V185" s="104">
        <v>1.0</v>
      </c>
      <c r="X185" s="104">
        <v>33.0</v>
      </c>
      <c r="Y185" s="73"/>
      <c r="Z185" s="105"/>
      <c r="AB185" s="104"/>
      <c r="AD185" s="104"/>
      <c r="AF185" s="74">
        <f t="shared" si="1"/>
        <v>3837.834</v>
      </c>
      <c r="AG185" s="68">
        <f t="shared" si="2"/>
        <v>217</v>
      </c>
      <c r="AH185" s="68">
        <f t="shared" si="3"/>
        <v>2</v>
      </c>
      <c r="AI185" s="68">
        <f t="shared" si="4"/>
        <v>219</v>
      </c>
      <c r="AJ185" s="75">
        <f t="shared" si="5"/>
        <v>17.52435616</v>
      </c>
    </row>
    <row r="186">
      <c r="A186" s="76" t="s">
        <v>16</v>
      </c>
      <c r="B186" s="77">
        <f t="shared" si="6"/>
        <v>44745</v>
      </c>
      <c r="C186" s="78">
        <v>7.0</v>
      </c>
      <c r="D186" s="78" t="s">
        <v>12</v>
      </c>
      <c r="E186" s="169" t="s">
        <v>130</v>
      </c>
      <c r="F186" s="71"/>
      <c r="H186" s="72"/>
      <c r="J186" s="72"/>
      <c r="L186" s="105">
        <v>0.0</v>
      </c>
      <c r="N186" s="104">
        <v>91.0</v>
      </c>
      <c r="P186" s="104">
        <v>60.0</v>
      </c>
      <c r="R186" s="104">
        <v>32.0</v>
      </c>
      <c r="T186" s="104">
        <v>0.0</v>
      </c>
      <c r="V186" s="104">
        <v>0.0</v>
      </c>
      <c r="X186" s="104">
        <v>31.0</v>
      </c>
      <c r="Y186" s="73"/>
      <c r="Z186" s="105"/>
      <c r="AB186" s="104"/>
      <c r="AD186" s="104"/>
      <c r="AF186" s="81">
        <f t="shared" si="1"/>
        <v>3048.465</v>
      </c>
      <c r="AG186" s="78">
        <f t="shared" si="2"/>
        <v>214</v>
      </c>
      <c r="AH186" s="78">
        <f t="shared" si="3"/>
        <v>0</v>
      </c>
      <c r="AI186" s="78">
        <f t="shared" si="4"/>
        <v>214</v>
      </c>
      <c r="AJ186" s="82">
        <f t="shared" si="5"/>
        <v>14.24516355</v>
      </c>
    </row>
    <row r="187">
      <c r="A187" s="76" t="s">
        <v>17</v>
      </c>
      <c r="B187" s="77">
        <f t="shared" si="6"/>
        <v>44746</v>
      </c>
      <c r="C187" s="78">
        <v>7.0</v>
      </c>
      <c r="D187" s="78" t="s">
        <v>12</v>
      </c>
      <c r="E187" s="169" t="s">
        <v>130</v>
      </c>
      <c r="F187" s="71"/>
      <c r="H187" s="72"/>
      <c r="J187" s="72"/>
      <c r="L187" s="105">
        <v>85.0</v>
      </c>
      <c r="N187" s="104">
        <v>93.0</v>
      </c>
      <c r="P187" s="104">
        <v>0.0</v>
      </c>
      <c r="R187" s="104">
        <v>0.0</v>
      </c>
      <c r="T187" s="104">
        <v>0.0</v>
      </c>
      <c r="V187" s="104">
        <v>0.0</v>
      </c>
      <c r="X187" s="104">
        <v>0.0</v>
      </c>
      <c r="Y187" s="73"/>
      <c r="Z187" s="105"/>
      <c r="AB187" s="104"/>
      <c r="AD187" s="104"/>
      <c r="AF187" s="81">
        <f t="shared" si="1"/>
        <v>3031.518</v>
      </c>
      <c r="AG187" s="78">
        <f t="shared" si="2"/>
        <v>178</v>
      </c>
      <c r="AH187" s="78">
        <f t="shared" si="3"/>
        <v>0</v>
      </c>
      <c r="AI187" s="78">
        <f t="shared" si="4"/>
        <v>178</v>
      </c>
      <c r="AJ187" s="82">
        <f t="shared" si="5"/>
        <v>17.031</v>
      </c>
    </row>
    <row r="188">
      <c r="A188" s="76" t="s">
        <v>21</v>
      </c>
      <c r="B188" s="77">
        <f t="shared" si="6"/>
        <v>44747</v>
      </c>
      <c r="C188" s="78">
        <v>7.0</v>
      </c>
      <c r="D188" s="78" t="s">
        <v>12</v>
      </c>
      <c r="E188" s="169" t="s">
        <v>130</v>
      </c>
      <c r="F188" s="71"/>
      <c r="H188" s="72"/>
      <c r="J188" s="72"/>
      <c r="L188" s="105">
        <v>87.0</v>
      </c>
      <c r="N188" s="104">
        <v>94.0</v>
      </c>
      <c r="P188" s="104">
        <v>0.0</v>
      </c>
      <c r="R188" s="104">
        <v>0.0</v>
      </c>
      <c r="T188" s="104">
        <v>0.0</v>
      </c>
      <c r="V188" s="104">
        <v>0.0</v>
      </c>
      <c r="X188" s="104">
        <v>0.0</v>
      </c>
      <c r="Y188" s="73"/>
      <c r="Z188" s="105"/>
      <c r="AB188" s="104"/>
      <c r="AD188" s="104"/>
      <c r="AF188" s="81">
        <f t="shared" si="1"/>
        <v>3082.611</v>
      </c>
      <c r="AG188" s="78">
        <f t="shared" si="2"/>
        <v>181</v>
      </c>
      <c r="AH188" s="78">
        <f t="shared" si="3"/>
        <v>0</v>
      </c>
      <c r="AI188" s="78">
        <f t="shared" si="4"/>
        <v>181</v>
      </c>
      <c r="AJ188" s="82">
        <f t="shared" si="5"/>
        <v>17.031</v>
      </c>
    </row>
    <row r="189">
      <c r="A189" s="76" t="s">
        <v>24</v>
      </c>
      <c r="B189" s="77">
        <f t="shared" si="6"/>
        <v>44748</v>
      </c>
      <c r="C189" s="78">
        <v>7.0</v>
      </c>
      <c r="D189" s="78" t="s">
        <v>12</v>
      </c>
      <c r="E189" s="169" t="s">
        <v>130</v>
      </c>
      <c r="F189" s="71"/>
      <c r="H189" s="72"/>
      <c r="J189" s="72"/>
      <c r="L189" s="105">
        <v>0.0</v>
      </c>
      <c r="N189" s="104">
        <v>72.0</v>
      </c>
      <c r="P189" s="104">
        <v>60.0</v>
      </c>
      <c r="R189" s="104">
        <v>30.0</v>
      </c>
      <c r="T189" s="104">
        <v>0.0</v>
      </c>
      <c r="V189" s="104">
        <v>0.0</v>
      </c>
      <c r="X189" s="104">
        <v>31.0</v>
      </c>
      <c r="Y189" s="73"/>
      <c r="Z189" s="105"/>
      <c r="AB189" s="104"/>
      <c r="AD189" s="104"/>
      <c r="AF189" s="81">
        <f t="shared" si="1"/>
        <v>2711.352</v>
      </c>
      <c r="AG189" s="78">
        <f t="shared" si="2"/>
        <v>193</v>
      </c>
      <c r="AH189" s="78">
        <f t="shared" si="3"/>
        <v>0</v>
      </c>
      <c r="AI189" s="78">
        <f t="shared" si="4"/>
        <v>193</v>
      </c>
      <c r="AJ189" s="82">
        <f t="shared" si="5"/>
        <v>14.04845596</v>
      </c>
    </row>
    <row r="190">
      <c r="A190" s="76" t="s">
        <v>27</v>
      </c>
      <c r="B190" s="77">
        <f t="shared" si="6"/>
        <v>44749</v>
      </c>
      <c r="C190" s="78">
        <v>7.0</v>
      </c>
      <c r="D190" s="78" t="s">
        <v>12</v>
      </c>
      <c r="E190" s="169" t="s">
        <v>130</v>
      </c>
      <c r="F190" s="71"/>
      <c r="H190" s="72"/>
      <c r="J190" s="72"/>
      <c r="L190" s="105">
        <v>56.0</v>
      </c>
      <c r="N190" s="104">
        <v>51.0</v>
      </c>
      <c r="P190" s="104">
        <v>0.0</v>
      </c>
      <c r="R190" s="104">
        <v>0.0</v>
      </c>
      <c r="T190" s="104">
        <v>0.0</v>
      </c>
      <c r="V190" s="104">
        <v>0.0</v>
      </c>
      <c r="X190" s="104">
        <v>0.0</v>
      </c>
      <c r="Y190" s="73"/>
      <c r="Z190" s="105"/>
      <c r="AB190" s="104"/>
      <c r="AD190" s="104"/>
      <c r="AF190" s="81">
        <f t="shared" si="1"/>
        <v>1822.317</v>
      </c>
      <c r="AG190" s="78">
        <f t="shared" si="2"/>
        <v>107</v>
      </c>
      <c r="AH190" s="78">
        <f t="shared" si="3"/>
        <v>0</v>
      </c>
      <c r="AI190" s="78">
        <f t="shared" si="4"/>
        <v>107</v>
      </c>
      <c r="AJ190" s="82">
        <f t="shared" si="5"/>
        <v>17.031</v>
      </c>
    </row>
    <row r="191">
      <c r="A191" s="83" t="s">
        <v>30</v>
      </c>
      <c r="B191" s="84">
        <f t="shared" si="6"/>
        <v>44750</v>
      </c>
      <c r="C191" s="85">
        <v>7.0</v>
      </c>
      <c r="D191" s="85" t="s">
        <v>12</v>
      </c>
      <c r="E191" s="170" t="s">
        <v>130</v>
      </c>
      <c r="F191" s="88"/>
      <c r="G191" s="89"/>
      <c r="H191" s="90"/>
      <c r="I191" s="89"/>
      <c r="J191" s="90"/>
      <c r="K191" s="89"/>
      <c r="L191" s="112">
        <v>0.0</v>
      </c>
      <c r="M191" s="89"/>
      <c r="N191" s="111">
        <v>0.0</v>
      </c>
      <c r="O191" s="89"/>
      <c r="P191" s="111">
        <v>0.0</v>
      </c>
      <c r="Q191" s="89"/>
      <c r="R191" s="111">
        <v>0.0</v>
      </c>
      <c r="S191" s="89"/>
      <c r="T191" s="111">
        <v>0.0</v>
      </c>
      <c r="U191" s="89"/>
      <c r="V191" s="111">
        <v>0.0</v>
      </c>
      <c r="W191" s="89"/>
      <c r="X191" s="111">
        <v>0.0</v>
      </c>
      <c r="Y191" s="91"/>
      <c r="Z191" s="112"/>
      <c r="AA191" s="89"/>
      <c r="AB191" s="111"/>
      <c r="AC191" s="89"/>
      <c r="AD191" s="111"/>
      <c r="AE191" s="89"/>
      <c r="AF191" s="92">
        <f t="shared" si="1"/>
        <v>0</v>
      </c>
      <c r="AG191" s="85">
        <f t="shared" si="2"/>
        <v>0</v>
      </c>
      <c r="AH191" s="85">
        <f t="shared" si="3"/>
        <v>0</v>
      </c>
      <c r="AI191" s="85">
        <f t="shared" si="4"/>
        <v>0</v>
      </c>
      <c r="AJ191" s="93" t="str">
        <f t="shared" si="5"/>
        <v/>
      </c>
    </row>
    <row r="192">
      <c r="A192" s="66" t="s">
        <v>11</v>
      </c>
      <c r="B192" s="94">
        <f t="shared" si="6"/>
        <v>44751</v>
      </c>
      <c r="C192" s="68">
        <v>7.0</v>
      </c>
      <c r="D192" s="68" t="s">
        <v>33</v>
      </c>
      <c r="E192" s="171" t="s">
        <v>130</v>
      </c>
      <c r="F192" s="71"/>
      <c r="H192" s="72"/>
      <c r="J192" s="72"/>
      <c r="L192" s="105">
        <v>0.0</v>
      </c>
      <c r="N192" s="104">
        <v>89.0</v>
      </c>
      <c r="P192" s="104">
        <v>60.0</v>
      </c>
      <c r="R192" s="104">
        <v>31.0</v>
      </c>
      <c r="T192" s="104">
        <v>1.0</v>
      </c>
      <c r="V192" s="104">
        <v>1.0</v>
      </c>
      <c r="X192" s="104">
        <v>31.0</v>
      </c>
      <c r="Y192" s="73"/>
      <c r="Z192" s="105"/>
      <c r="AB192" s="104"/>
      <c r="AD192" s="104"/>
      <c r="AF192" s="74">
        <f t="shared" si="1"/>
        <v>3742.641</v>
      </c>
      <c r="AG192" s="68">
        <f t="shared" si="2"/>
        <v>211</v>
      </c>
      <c r="AH192" s="68">
        <f t="shared" si="3"/>
        <v>2</v>
      </c>
      <c r="AI192" s="68">
        <f t="shared" si="4"/>
        <v>213</v>
      </c>
      <c r="AJ192" s="75">
        <f t="shared" si="5"/>
        <v>17.57108451</v>
      </c>
    </row>
    <row r="193">
      <c r="A193" s="76" t="s">
        <v>16</v>
      </c>
      <c r="B193" s="77">
        <f t="shared" si="6"/>
        <v>44752</v>
      </c>
      <c r="C193" s="78">
        <v>7.0</v>
      </c>
      <c r="D193" s="78" t="s">
        <v>33</v>
      </c>
      <c r="E193" s="169" t="s">
        <v>130</v>
      </c>
      <c r="F193" s="71"/>
      <c r="H193" s="72"/>
      <c r="J193" s="72"/>
      <c r="L193" s="105">
        <v>0.0</v>
      </c>
      <c r="N193" s="104">
        <v>70.0</v>
      </c>
      <c r="P193" s="104">
        <v>60.0</v>
      </c>
      <c r="R193" s="104">
        <v>39.0</v>
      </c>
      <c r="T193" s="104">
        <v>0.0</v>
      </c>
      <c r="V193" s="104">
        <v>0.0</v>
      </c>
      <c r="X193" s="104">
        <v>36.0</v>
      </c>
      <c r="Y193" s="73"/>
      <c r="Z193" s="105"/>
      <c r="AB193" s="104"/>
      <c r="AD193" s="104"/>
      <c r="AF193" s="81">
        <f t="shared" si="1"/>
        <v>2780.148</v>
      </c>
      <c r="AG193" s="78">
        <f t="shared" si="2"/>
        <v>205</v>
      </c>
      <c r="AH193" s="78">
        <f t="shared" si="3"/>
        <v>0</v>
      </c>
      <c r="AI193" s="78">
        <f t="shared" si="4"/>
        <v>205</v>
      </c>
      <c r="AJ193" s="82">
        <f t="shared" si="5"/>
        <v>13.56169756</v>
      </c>
    </row>
    <row r="194">
      <c r="A194" s="76" t="s">
        <v>17</v>
      </c>
      <c r="B194" s="77">
        <f t="shared" si="6"/>
        <v>44753</v>
      </c>
      <c r="C194" s="78">
        <v>7.0</v>
      </c>
      <c r="D194" s="78" t="s">
        <v>33</v>
      </c>
      <c r="E194" s="169" t="s">
        <v>130</v>
      </c>
      <c r="F194" s="71"/>
      <c r="H194" s="72"/>
      <c r="J194" s="72"/>
      <c r="L194" s="105">
        <v>66.0</v>
      </c>
      <c r="N194" s="104">
        <v>89.0</v>
      </c>
      <c r="P194" s="104">
        <v>0.0</v>
      </c>
      <c r="R194" s="104">
        <v>0.0</v>
      </c>
      <c r="T194" s="104">
        <v>0.0</v>
      </c>
      <c r="V194" s="104">
        <v>0.0</v>
      </c>
      <c r="X194" s="104">
        <v>0.0</v>
      </c>
      <c r="Y194" s="73"/>
      <c r="Z194" s="105"/>
      <c r="AB194" s="104"/>
      <c r="AD194" s="104"/>
      <c r="AF194" s="81">
        <f t="shared" si="1"/>
        <v>2639.805</v>
      </c>
      <c r="AG194" s="78">
        <f t="shared" si="2"/>
        <v>155</v>
      </c>
      <c r="AH194" s="78">
        <f t="shared" si="3"/>
        <v>0</v>
      </c>
      <c r="AI194" s="78">
        <f t="shared" si="4"/>
        <v>155</v>
      </c>
      <c r="AJ194" s="82">
        <f t="shared" si="5"/>
        <v>17.031</v>
      </c>
    </row>
    <row r="195">
      <c r="A195" s="76" t="s">
        <v>21</v>
      </c>
      <c r="B195" s="77">
        <f t="shared" si="6"/>
        <v>44754</v>
      </c>
      <c r="C195" s="78">
        <v>7.0</v>
      </c>
      <c r="D195" s="78" t="s">
        <v>33</v>
      </c>
      <c r="E195" s="169" t="s">
        <v>130</v>
      </c>
      <c r="F195" s="71"/>
      <c r="H195" s="72"/>
      <c r="J195" s="72"/>
      <c r="L195" s="105"/>
      <c r="N195" s="104">
        <v>72.0</v>
      </c>
      <c r="P195" s="104">
        <v>60.0</v>
      </c>
      <c r="R195" s="104">
        <v>40.0</v>
      </c>
      <c r="T195" s="104">
        <v>0.0</v>
      </c>
      <c r="V195" s="104">
        <v>0.0</v>
      </c>
      <c r="X195" s="104">
        <v>31.0</v>
      </c>
      <c r="Y195" s="73"/>
      <c r="Z195" s="105"/>
      <c r="AB195" s="104"/>
      <c r="AD195" s="104"/>
      <c r="AF195" s="81">
        <f t="shared" si="1"/>
        <v>2778.972</v>
      </c>
      <c r="AG195" s="78">
        <f t="shared" si="2"/>
        <v>203</v>
      </c>
      <c r="AH195" s="78">
        <f t="shared" si="3"/>
        <v>0</v>
      </c>
      <c r="AI195" s="78">
        <f t="shared" si="4"/>
        <v>203</v>
      </c>
      <c r="AJ195" s="82">
        <f t="shared" si="5"/>
        <v>13.68951724</v>
      </c>
    </row>
    <row r="196">
      <c r="A196" s="76" t="s">
        <v>24</v>
      </c>
      <c r="B196" s="77">
        <f t="shared" si="6"/>
        <v>44755</v>
      </c>
      <c r="C196" s="78">
        <v>7.0</v>
      </c>
      <c r="D196" s="78" t="s">
        <v>33</v>
      </c>
      <c r="E196" s="169" t="s">
        <v>130</v>
      </c>
      <c r="F196" s="71"/>
      <c r="H196" s="72"/>
      <c r="J196" s="72"/>
      <c r="L196" s="105">
        <v>0.0</v>
      </c>
      <c r="N196" s="104">
        <v>71.0</v>
      </c>
      <c r="P196" s="104">
        <v>60.0</v>
      </c>
      <c r="R196" s="104">
        <v>40.0</v>
      </c>
      <c r="T196" s="104">
        <v>0.0</v>
      </c>
      <c r="V196" s="104">
        <v>0.0</v>
      </c>
      <c r="X196" s="104">
        <v>31.0</v>
      </c>
      <c r="Y196" s="73"/>
      <c r="Z196" s="105"/>
      <c r="AB196" s="104"/>
      <c r="AD196" s="104"/>
      <c r="AF196" s="81">
        <f t="shared" si="1"/>
        <v>2761.941</v>
      </c>
      <c r="AG196" s="78">
        <f t="shared" si="2"/>
        <v>202</v>
      </c>
      <c r="AH196" s="78">
        <f t="shared" si="3"/>
        <v>0</v>
      </c>
      <c r="AI196" s="78">
        <f t="shared" si="4"/>
        <v>202</v>
      </c>
      <c r="AJ196" s="82">
        <f t="shared" si="5"/>
        <v>13.67297525</v>
      </c>
    </row>
    <row r="197">
      <c r="A197" s="76" t="s">
        <v>27</v>
      </c>
      <c r="B197" s="77">
        <f t="shared" si="6"/>
        <v>44756</v>
      </c>
      <c r="C197" s="78">
        <v>7.0</v>
      </c>
      <c r="D197" s="78" t="s">
        <v>33</v>
      </c>
      <c r="E197" s="169" t="s">
        <v>130</v>
      </c>
      <c r="F197" s="71"/>
      <c r="H197" s="72"/>
      <c r="J197" s="72"/>
      <c r="L197" s="105">
        <v>61.0</v>
      </c>
      <c r="N197" s="104">
        <v>67.0</v>
      </c>
      <c r="P197" s="104">
        <v>0.0</v>
      </c>
      <c r="R197" s="104">
        <v>0.0</v>
      </c>
      <c r="T197" s="104">
        <v>0.0</v>
      </c>
      <c r="V197" s="104">
        <v>0.0</v>
      </c>
      <c r="X197" s="104">
        <v>0.0</v>
      </c>
      <c r="Y197" s="73"/>
      <c r="Z197" s="105"/>
      <c r="AB197" s="104"/>
      <c r="AD197" s="104"/>
      <c r="AF197" s="81">
        <f t="shared" si="1"/>
        <v>2179.968</v>
      </c>
      <c r="AG197" s="78">
        <f t="shared" si="2"/>
        <v>128</v>
      </c>
      <c r="AH197" s="78">
        <f t="shared" si="3"/>
        <v>0</v>
      </c>
      <c r="AI197" s="78">
        <f t="shared" si="4"/>
        <v>128</v>
      </c>
      <c r="AJ197" s="82">
        <f t="shared" si="5"/>
        <v>17.031</v>
      </c>
    </row>
    <row r="198">
      <c r="A198" s="83" t="s">
        <v>30</v>
      </c>
      <c r="B198" s="84">
        <f t="shared" si="6"/>
        <v>44757</v>
      </c>
      <c r="C198" s="85">
        <v>7.0</v>
      </c>
      <c r="D198" s="85" t="s">
        <v>33</v>
      </c>
      <c r="E198" s="170" t="s">
        <v>130</v>
      </c>
      <c r="F198" s="88"/>
      <c r="G198" s="89"/>
      <c r="H198" s="90"/>
      <c r="I198" s="89"/>
      <c r="J198" s="90"/>
      <c r="K198" s="89"/>
      <c r="L198" s="112">
        <v>0.0</v>
      </c>
      <c r="M198" s="89"/>
      <c r="N198" s="111">
        <v>0.0</v>
      </c>
      <c r="O198" s="89"/>
      <c r="P198" s="111">
        <v>0.0</v>
      </c>
      <c r="Q198" s="89"/>
      <c r="R198" s="111">
        <v>0.0</v>
      </c>
      <c r="S198" s="89"/>
      <c r="T198" s="111">
        <v>0.0</v>
      </c>
      <c r="U198" s="89"/>
      <c r="V198" s="111">
        <v>0.0</v>
      </c>
      <c r="W198" s="89"/>
      <c r="X198" s="111">
        <v>0.0</v>
      </c>
      <c r="Y198" s="91"/>
      <c r="Z198" s="112"/>
      <c r="AA198" s="89"/>
      <c r="AB198" s="111"/>
      <c r="AC198" s="89"/>
      <c r="AD198" s="111"/>
      <c r="AE198" s="89"/>
      <c r="AF198" s="92">
        <f t="shared" si="1"/>
        <v>0</v>
      </c>
      <c r="AG198" s="85">
        <f t="shared" si="2"/>
        <v>0</v>
      </c>
      <c r="AH198" s="85">
        <f t="shared" si="3"/>
        <v>0</v>
      </c>
      <c r="AI198" s="85">
        <f t="shared" si="4"/>
        <v>0</v>
      </c>
      <c r="AJ198" s="93" t="str">
        <f t="shared" si="5"/>
        <v/>
      </c>
    </row>
    <row r="199">
      <c r="A199" s="66" t="s">
        <v>11</v>
      </c>
      <c r="B199" s="94">
        <f t="shared" si="6"/>
        <v>44758</v>
      </c>
      <c r="C199" s="68">
        <v>8.0</v>
      </c>
      <c r="D199" s="68" t="s">
        <v>48</v>
      </c>
      <c r="E199" s="171" t="s">
        <v>130</v>
      </c>
      <c r="F199" s="71"/>
      <c r="H199" s="72"/>
      <c r="J199" s="72"/>
      <c r="L199" s="105">
        <v>0.0</v>
      </c>
      <c r="N199" s="104">
        <v>77.0</v>
      </c>
      <c r="P199" s="104">
        <v>60.0</v>
      </c>
      <c r="R199" s="104">
        <v>39.0</v>
      </c>
      <c r="T199" s="104">
        <v>1.0</v>
      </c>
      <c r="V199" s="104">
        <v>1.0</v>
      </c>
      <c r="X199" s="104">
        <v>0.0</v>
      </c>
      <c r="Y199" s="73"/>
      <c r="Z199" s="105"/>
      <c r="AB199" s="104"/>
      <c r="AD199" s="104"/>
      <c r="AF199" s="74">
        <f t="shared" si="1"/>
        <v>3331.965</v>
      </c>
      <c r="AG199" s="68">
        <f t="shared" si="2"/>
        <v>176</v>
      </c>
      <c r="AH199" s="68">
        <f t="shared" si="3"/>
        <v>2</v>
      </c>
      <c r="AI199" s="68">
        <f t="shared" si="4"/>
        <v>178</v>
      </c>
      <c r="AJ199" s="75">
        <f t="shared" si="5"/>
        <v>18.71890449</v>
      </c>
    </row>
    <row r="200">
      <c r="A200" s="76" t="s">
        <v>16</v>
      </c>
      <c r="B200" s="77">
        <f t="shared" si="6"/>
        <v>44759</v>
      </c>
      <c r="C200" s="78">
        <v>8.0</v>
      </c>
      <c r="D200" s="78" t="s">
        <v>48</v>
      </c>
      <c r="E200" s="169" t="s">
        <v>130</v>
      </c>
      <c r="F200" s="71"/>
      <c r="H200" s="72"/>
      <c r="J200" s="72"/>
      <c r="L200" s="105">
        <v>0.0</v>
      </c>
      <c r="N200" s="104">
        <v>86.0</v>
      </c>
      <c r="P200" s="104">
        <v>60.0</v>
      </c>
      <c r="R200" s="104">
        <v>41.0</v>
      </c>
      <c r="T200" s="104">
        <v>0.0</v>
      </c>
      <c r="V200" s="104">
        <v>0.0</v>
      </c>
      <c r="X200" s="104">
        <v>39.0</v>
      </c>
      <c r="Y200" s="73"/>
      <c r="Z200" s="105"/>
      <c r="AB200" s="104"/>
      <c r="AD200" s="104"/>
      <c r="AF200" s="81">
        <f t="shared" si="1"/>
        <v>3091.368</v>
      </c>
      <c r="AG200" s="78">
        <f t="shared" si="2"/>
        <v>226</v>
      </c>
      <c r="AH200" s="78">
        <f t="shared" si="3"/>
        <v>0</v>
      </c>
      <c r="AI200" s="78">
        <f t="shared" si="4"/>
        <v>226</v>
      </c>
      <c r="AJ200" s="82">
        <f t="shared" si="5"/>
        <v>13.67861947</v>
      </c>
    </row>
    <row r="201">
      <c r="A201" s="76" t="s">
        <v>17</v>
      </c>
      <c r="B201" s="77">
        <f t="shared" si="6"/>
        <v>44760</v>
      </c>
      <c r="C201" s="78">
        <v>8.0</v>
      </c>
      <c r="D201" s="78" t="s">
        <v>48</v>
      </c>
      <c r="E201" s="169" t="s">
        <v>130</v>
      </c>
      <c r="F201" s="71"/>
      <c r="H201" s="72"/>
      <c r="J201" s="72"/>
      <c r="L201" s="105">
        <v>77.0</v>
      </c>
      <c r="N201" s="104">
        <v>76.0</v>
      </c>
      <c r="P201" s="104">
        <v>0.0</v>
      </c>
      <c r="R201" s="104">
        <v>0.0</v>
      </c>
      <c r="T201" s="104">
        <v>0.0</v>
      </c>
      <c r="V201" s="104">
        <v>0.0</v>
      </c>
      <c r="X201" s="104">
        <v>0.0</v>
      </c>
      <c r="Y201" s="73"/>
      <c r="Z201" s="105"/>
      <c r="AB201" s="104"/>
      <c r="AD201" s="104"/>
      <c r="AF201" s="81">
        <f t="shared" si="1"/>
        <v>2605.743</v>
      </c>
      <c r="AG201" s="78">
        <f t="shared" si="2"/>
        <v>153</v>
      </c>
      <c r="AH201" s="78">
        <f t="shared" si="3"/>
        <v>0</v>
      </c>
      <c r="AI201" s="78">
        <f t="shared" si="4"/>
        <v>153</v>
      </c>
      <c r="AJ201" s="82">
        <f t="shared" si="5"/>
        <v>17.031</v>
      </c>
    </row>
    <row r="202">
      <c r="A202" s="76" t="s">
        <v>21</v>
      </c>
      <c r="B202" s="77">
        <f t="shared" si="6"/>
        <v>44761</v>
      </c>
      <c r="C202" s="78">
        <v>8.0</v>
      </c>
      <c r="D202" s="78" t="s">
        <v>48</v>
      </c>
      <c r="E202" s="169" t="s">
        <v>130</v>
      </c>
      <c r="F202" s="71"/>
      <c r="H202" s="72"/>
      <c r="J202" s="72"/>
      <c r="L202" s="105">
        <v>0.0</v>
      </c>
      <c r="N202" s="104">
        <v>81.0</v>
      </c>
      <c r="P202" s="104">
        <v>60.0</v>
      </c>
      <c r="R202" s="104">
        <v>41.0</v>
      </c>
      <c r="T202" s="104">
        <v>0.0</v>
      </c>
      <c r="V202" s="104">
        <v>0.0</v>
      </c>
      <c r="X202" s="104">
        <v>23.0</v>
      </c>
      <c r="Y202" s="73"/>
      <c r="Z202" s="105"/>
      <c r="AB202" s="104"/>
      <c r="AD202" s="104"/>
      <c r="AF202" s="81">
        <f t="shared" si="1"/>
        <v>2871.813</v>
      </c>
      <c r="AG202" s="78">
        <f t="shared" si="2"/>
        <v>205</v>
      </c>
      <c r="AH202" s="78">
        <f t="shared" si="3"/>
        <v>0</v>
      </c>
      <c r="AI202" s="78">
        <f t="shared" si="4"/>
        <v>205</v>
      </c>
      <c r="AJ202" s="82">
        <f t="shared" si="5"/>
        <v>14.0088439</v>
      </c>
    </row>
    <row r="203">
      <c r="A203" s="76" t="s">
        <v>24</v>
      </c>
      <c r="B203" s="77">
        <f t="shared" si="6"/>
        <v>44762</v>
      </c>
      <c r="C203" s="78">
        <v>8.0</v>
      </c>
      <c r="D203" s="78" t="s">
        <v>48</v>
      </c>
      <c r="E203" s="169" t="s">
        <v>130</v>
      </c>
      <c r="F203" s="71"/>
      <c r="H203" s="72"/>
      <c r="J203" s="72"/>
      <c r="L203" s="105">
        <v>68.0</v>
      </c>
      <c r="N203" s="104">
        <v>102.0</v>
      </c>
      <c r="P203" s="104">
        <v>0.0</v>
      </c>
      <c r="R203" s="104">
        <v>48.0</v>
      </c>
      <c r="T203" s="104">
        <v>0.0</v>
      </c>
      <c r="V203" s="104">
        <v>0.0</v>
      </c>
      <c r="X203" s="104">
        <v>0.0</v>
      </c>
      <c r="Y203" s="73"/>
      <c r="Z203" s="105"/>
      <c r="AB203" s="104"/>
      <c r="AD203" s="104"/>
      <c r="AF203" s="81">
        <f t="shared" si="1"/>
        <v>3219.846</v>
      </c>
      <c r="AG203" s="78">
        <f t="shared" si="2"/>
        <v>218</v>
      </c>
      <c r="AH203" s="78">
        <f t="shared" si="3"/>
        <v>0</v>
      </c>
      <c r="AI203" s="78">
        <f t="shared" si="4"/>
        <v>218</v>
      </c>
      <c r="AJ203" s="82">
        <f t="shared" si="5"/>
        <v>14.76993578</v>
      </c>
    </row>
    <row r="204">
      <c r="A204" s="76" t="s">
        <v>27</v>
      </c>
      <c r="B204" s="77">
        <f t="shared" si="6"/>
        <v>44763</v>
      </c>
      <c r="C204" s="78">
        <v>8.0</v>
      </c>
      <c r="D204" s="78" t="s">
        <v>48</v>
      </c>
      <c r="E204" s="169" t="s">
        <v>130</v>
      </c>
      <c r="F204" s="71"/>
      <c r="H204" s="72"/>
      <c r="J204" s="72"/>
      <c r="L204" s="105">
        <v>31.0</v>
      </c>
      <c r="N204" s="104">
        <v>39.0</v>
      </c>
      <c r="P204" s="104">
        <v>0.0</v>
      </c>
      <c r="R204" s="104">
        <v>0.0</v>
      </c>
      <c r="T204" s="104">
        <v>0.0</v>
      </c>
      <c r="V204" s="104">
        <v>0.0</v>
      </c>
      <c r="X204" s="104">
        <v>0.0</v>
      </c>
      <c r="Y204" s="73"/>
      <c r="Z204" s="105"/>
      <c r="AB204" s="104"/>
      <c r="AD204" s="104"/>
      <c r="AF204" s="81">
        <f t="shared" si="1"/>
        <v>1192.17</v>
      </c>
      <c r="AG204" s="78">
        <f t="shared" si="2"/>
        <v>70</v>
      </c>
      <c r="AH204" s="78">
        <f t="shared" si="3"/>
        <v>0</v>
      </c>
      <c r="AI204" s="78">
        <f t="shared" si="4"/>
        <v>70</v>
      </c>
      <c r="AJ204" s="82">
        <f t="shared" si="5"/>
        <v>17.031</v>
      </c>
    </row>
    <row r="205">
      <c r="A205" s="83" t="s">
        <v>30</v>
      </c>
      <c r="B205" s="84">
        <f t="shared" si="6"/>
        <v>44764</v>
      </c>
      <c r="C205" s="85">
        <v>8.0</v>
      </c>
      <c r="D205" s="85" t="s">
        <v>48</v>
      </c>
      <c r="E205" s="170" t="s">
        <v>130</v>
      </c>
      <c r="F205" s="88"/>
      <c r="G205" s="89"/>
      <c r="H205" s="90"/>
      <c r="I205" s="89"/>
      <c r="J205" s="90"/>
      <c r="K205" s="89"/>
      <c r="L205" s="112">
        <v>0.0</v>
      </c>
      <c r="M205" s="89"/>
      <c r="N205" s="111">
        <v>0.0</v>
      </c>
      <c r="O205" s="89"/>
      <c r="P205" s="111">
        <v>0.0</v>
      </c>
      <c r="Q205" s="89"/>
      <c r="R205" s="111">
        <v>0.0</v>
      </c>
      <c r="S205" s="89"/>
      <c r="T205" s="111">
        <v>0.0</v>
      </c>
      <c r="U205" s="89"/>
      <c r="V205" s="111">
        <v>0.0</v>
      </c>
      <c r="W205" s="89"/>
      <c r="X205" s="111">
        <v>0.0</v>
      </c>
      <c r="Y205" s="91"/>
      <c r="Z205" s="112"/>
      <c r="AA205" s="89"/>
      <c r="AB205" s="111"/>
      <c r="AC205" s="89"/>
      <c r="AD205" s="111"/>
      <c r="AE205" s="89"/>
      <c r="AF205" s="92">
        <f t="shared" si="1"/>
        <v>0</v>
      </c>
      <c r="AG205" s="85">
        <f t="shared" si="2"/>
        <v>0</v>
      </c>
      <c r="AH205" s="85">
        <f t="shared" si="3"/>
        <v>0</v>
      </c>
      <c r="AI205" s="85">
        <f t="shared" si="4"/>
        <v>0</v>
      </c>
      <c r="AJ205" s="93" t="str">
        <f t="shared" si="5"/>
        <v/>
      </c>
    </row>
    <row r="206">
      <c r="A206" s="66" t="s">
        <v>11</v>
      </c>
      <c r="B206" s="94">
        <f t="shared" si="6"/>
        <v>44765</v>
      </c>
      <c r="C206" s="68">
        <v>8.0</v>
      </c>
      <c r="D206" s="68" t="s">
        <v>59</v>
      </c>
      <c r="E206" s="171" t="s">
        <v>130</v>
      </c>
      <c r="F206" s="71"/>
      <c r="H206" s="72"/>
      <c r="J206" s="72"/>
      <c r="L206" s="105">
        <v>0.0</v>
      </c>
      <c r="N206" s="104">
        <v>112.0</v>
      </c>
      <c r="P206" s="104">
        <v>60.0</v>
      </c>
      <c r="R206" s="104">
        <v>38.0</v>
      </c>
      <c r="T206" s="104">
        <v>1.0</v>
      </c>
      <c r="V206" s="104">
        <v>1.0</v>
      </c>
      <c r="X206" s="104">
        <v>36.0</v>
      </c>
      <c r="Y206" s="73"/>
      <c r="Z206" s="105"/>
      <c r="AB206" s="104"/>
      <c r="AD206" s="104"/>
      <c r="AF206" s="74">
        <f t="shared" si="1"/>
        <v>4223.688</v>
      </c>
      <c r="AG206" s="68">
        <f t="shared" si="2"/>
        <v>246</v>
      </c>
      <c r="AH206" s="68">
        <f t="shared" si="3"/>
        <v>2</v>
      </c>
      <c r="AI206" s="68">
        <f t="shared" si="4"/>
        <v>248</v>
      </c>
      <c r="AJ206" s="75">
        <f t="shared" si="5"/>
        <v>17.031</v>
      </c>
    </row>
    <row r="207">
      <c r="A207" s="76" t="s">
        <v>16</v>
      </c>
      <c r="B207" s="77">
        <f t="shared" si="6"/>
        <v>44766</v>
      </c>
      <c r="C207" s="78">
        <v>8.0</v>
      </c>
      <c r="D207" s="78" t="s">
        <v>59</v>
      </c>
      <c r="E207" s="169" t="s">
        <v>130</v>
      </c>
      <c r="F207" s="71"/>
      <c r="H207" s="72"/>
      <c r="J207" s="72"/>
      <c r="L207" s="105">
        <v>0.0</v>
      </c>
      <c r="N207" s="104">
        <v>117.0</v>
      </c>
      <c r="P207" s="104">
        <v>60.0</v>
      </c>
      <c r="R207" s="104">
        <v>37.0</v>
      </c>
      <c r="T207" s="104">
        <v>0.0</v>
      </c>
      <c r="V207" s="104">
        <v>0.0</v>
      </c>
      <c r="X207" s="104">
        <v>37.0</v>
      </c>
      <c r="Y207" s="73"/>
      <c r="Z207" s="105"/>
      <c r="AB207" s="104"/>
      <c r="AD207" s="104"/>
      <c r="AF207" s="81">
        <f t="shared" si="1"/>
        <v>3575.481</v>
      </c>
      <c r="AG207" s="78">
        <f t="shared" si="2"/>
        <v>251</v>
      </c>
      <c r="AH207" s="78">
        <f t="shared" si="3"/>
        <v>0</v>
      </c>
      <c r="AI207" s="78">
        <f t="shared" si="4"/>
        <v>251</v>
      </c>
      <c r="AJ207" s="82">
        <f t="shared" si="5"/>
        <v>14.24494422</v>
      </c>
    </row>
    <row r="208">
      <c r="A208" s="76" t="s">
        <v>17</v>
      </c>
      <c r="B208" s="77">
        <f t="shared" si="6"/>
        <v>44767</v>
      </c>
      <c r="C208" s="78">
        <v>8.0</v>
      </c>
      <c r="D208" s="78" t="s">
        <v>59</v>
      </c>
      <c r="E208" s="169" t="s">
        <v>130</v>
      </c>
      <c r="F208" s="71"/>
      <c r="H208" s="72"/>
      <c r="J208" s="72"/>
      <c r="L208" s="105">
        <v>122.0</v>
      </c>
      <c r="N208" s="104">
        <v>98.0</v>
      </c>
      <c r="P208" s="104">
        <v>0.0</v>
      </c>
      <c r="R208" s="104">
        <v>0.0</v>
      </c>
      <c r="T208" s="104">
        <v>0.0</v>
      </c>
      <c r="V208" s="104">
        <v>0.0</v>
      </c>
      <c r="X208" s="104">
        <v>0.0</v>
      </c>
      <c r="Y208" s="73"/>
      <c r="Z208" s="105"/>
      <c r="AB208" s="104"/>
      <c r="AD208" s="104"/>
      <c r="AF208" s="81">
        <f t="shared" si="1"/>
        <v>3746.82</v>
      </c>
      <c r="AG208" s="78">
        <f t="shared" si="2"/>
        <v>220</v>
      </c>
      <c r="AH208" s="78">
        <f t="shared" si="3"/>
        <v>0</v>
      </c>
      <c r="AI208" s="78">
        <f t="shared" si="4"/>
        <v>220</v>
      </c>
      <c r="AJ208" s="82">
        <f t="shared" si="5"/>
        <v>17.031</v>
      </c>
    </row>
    <row r="209">
      <c r="A209" s="76" t="s">
        <v>21</v>
      </c>
      <c r="B209" s="77">
        <f t="shared" si="6"/>
        <v>44768</v>
      </c>
      <c r="C209" s="78">
        <v>8.0</v>
      </c>
      <c r="D209" s="78" t="s">
        <v>59</v>
      </c>
      <c r="E209" s="169" t="s">
        <v>130</v>
      </c>
      <c r="F209" s="71"/>
      <c r="H209" s="72"/>
      <c r="J209" s="72"/>
      <c r="L209" s="105">
        <v>112.0</v>
      </c>
      <c r="N209" s="104">
        <v>120.0</v>
      </c>
      <c r="P209" s="104">
        <v>0.0</v>
      </c>
      <c r="R209" s="104">
        <v>0.0</v>
      </c>
      <c r="T209" s="104">
        <v>0.0</v>
      </c>
      <c r="V209" s="104">
        <v>0.0</v>
      </c>
      <c r="X209" s="104">
        <v>0.0</v>
      </c>
      <c r="Y209" s="73"/>
      <c r="Z209" s="105"/>
      <c r="AB209" s="104"/>
      <c r="AD209" s="104"/>
      <c r="AF209" s="81">
        <f t="shared" si="1"/>
        <v>3951.192</v>
      </c>
      <c r="AG209" s="78">
        <f t="shared" si="2"/>
        <v>232</v>
      </c>
      <c r="AH209" s="78">
        <f t="shared" si="3"/>
        <v>0</v>
      </c>
      <c r="AI209" s="78">
        <f t="shared" si="4"/>
        <v>232</v>
      </c>
      <c r="AJ209" s="82">
        <f t="shared" si="5"/>
        <v>17.031</v>
      </c>
    </row>
    <row r="210">
      <c r="A210" s="76" t="s">
        <v>24</v>
      </c>
      <c r="B210" s="77">
        <f t="shared" si="6"/>
        <v>44769</v>
      </c>
      <c r="C210" s="78">
        <v>8.0</v>
      </c>
      <c r="D210" s="78" t="s">
        <v>59</v>
      </c>
      <c r="E210" s="169" t="s">
        <v>130</v>
      </c>
      <c r="F210" s="71"/>
      <c r="H210" s="72"/>
      <c r="J210" s="72"/>
      <c r="L210" s="105">
        <v>84.0</v>
      </c>
      <c r="N210" s="104">
        <v>86.0</v>
      </c>
      <c r="P210" s="104">
        <v>0.0</v>
      </c>
      <c r="R210" s="104">
        <v>0.0</v>
      </c>
      <c r="T210" s="104">
        <v>0.0</v>
      </c>
      <c r="V210" s="104">
        <v>0.0</v>
      </c>
      <c r="X210" s="104">
        <v>0.0</v>
      </c>
      <c r="Y210" s="73"/>
      <c r="Z210" s="105"/>
      <c r="AB210" s="104"/>
      <c r="AD210" s="104"/>
      <c r="AF210" s="81">
        <f t="shared" si="1"/>
        <v>2895.27</v>
      </c>
      <c r="AG210" s="78">
        <f t="shared" si="2"/>
        <v>170</v>
      </c>
      <c r="AH210" s="78">
        <f t="shared" si="3"/>
        <v>0</v>
      </c>
      <c r="AI210" s="78">
        <f t="shared" si="4"/>
        <v>170</v>
      </c>
      <c r="AJ210" s="82">
        <f t="shared" si="5"/>
        <v>17.031</v>
      </c>
    </row>
    <row r="211">
      <c r="A211" s="76" t="s">
        <v>27</v>
      </c>
      <c r="B211" s="77">
        <f t="shared" si="6"/>
        <v>44770</v>
      </c>
      <c r="C211" s="78">
        <v>8.0</v>
      </c>
      <c r="D211" s="78" t="s">
        <v>59</v>
      </c>
      <c r="E211" s="169" t="s">
        <v>130</v>
      </c>
      <c r="F211" s="71"/>
      <c r="H211" s="72"/>
      <c r="J211" s="72"/>
      <c r="L211" s="105">
        <v>56.0</v>
      </c>
      <c r="N211" s="104">
        <v>57.0</v>
      </c>
      <c r="P211" s="104">
        <v>0.0</v>
      </c>
      <c r="R211" s="104">
        <v>0.0</v>
      </c>
      <c r="T211" s="104">
        <v>0.0</v>
      </c>
      <c r="V211" s="104">
        <v>0.0</v>
      </c>
      <c r="X211" s="104">
        <v>0.0</v>
      </c>
      <c r="Y211" s="73"/>
      <c r="Z211" s="105"/>
      <c r="AB211" s="104"/>
      <c r="AD211" s="104"/>
      <c r="AF211" s="81">
        <f t="shared" si="1"/>
        <v>1924.503</v>
      </c>
      <c r="AG211" s="78">
        <f t="shared" si="2"/>
        <v>113</v>
      </c>
      <c r="AH211" s="78">
        <f t="shared" si="3"/>
        <v>0</v>
      </c>
      <c r="AI211" s="78">
        <f t="shared" si="4"/>
        <v>113</v>
      </c>
      <c r="AJ211" s="82">
        <f t="shared" si="5"/>
        <v>17.031</v>
      </c>
    </row>
    <row r="212">
      <c r="A212" s="83" t="s">
        <v>30</v>
      </c>
      <c r="B212" s="84">
        <f t="shared" si="6"/>
        <v>44771</v>
      </c>
      <c r="C212" s="85">
        <v>8.0</v>
      </c>
      <c r="D212" s="85" t="s">
        <v>59</v>
      </c>
      <c r="E212" s="170" t="s">
        <v>130</v>
      </c>
      <c r="F212" s="88"/>
      <c r="G212" s="89"/>
      <c r="H212" s="90"/>
      <c r="I212" s="89"/>
      <c r="J212" s="90"/>
      <c r="K212" s="89"/>
      <c r="L212" s="112">
        <v>0.0</v>
      </c>
      <c r="M212" s="89"/>
      <c r="N212" s="111">
        <v>0.0</v>
      </c>
      <c r="O212" s="89"/>
      <c r="P212" s="111">
        <v>0.0</v>
      </c>
      <c r="Q212" s="89"/>
      <c r="R212" s="111">
        <v>0.0</v>
      </c>
      <c r="S212" s="89"/>
      <c r="T212" s="111">
        <v>0.0</v>
      </c>
      <c r="U212" s="89"/>
      <c r="V212" s="111">
        <v>0.0</v>
      </c>
      <c r="W212" s="89"/>
      <c r="X212" s="111">
        <v>0.0</v>
      </c>
      <c r="Y212" s="91"/>
      <c r="Z212" s="112"/>
      <c r="AA212" s="89"/>
      <c r="AB212" s="111"/>
      <c r="AC212" s="89"/>
      <c r="AD212" s="111"/>
      <c r="AE212" s="89"/>
      <c r="AF212" s="92">
        <f t="shared" si="1"/>
        <v>0</v>
      </c>
      <c r="AG212" s="85">
        <f t="shared" si="2"/>
        <v>0</v>
      </c>
      <c r="AH212" s="85">
        <f t="shared" si="3"/>
        <v>0</v>
      </c>
      <c r="AI212" s="85">
        <f t="shared" si="4"/>
        <v>0</v>
      </c>
      <c r="AJ212" s="93" t="str">
        <f t="shared" si="5"/>
        <v/>
      </c>
    </row>
    <row r="213">
      <c r="A213" s="66" t="s">
        <v>11</v>
      </c>
      <c r="B213" s="94">
        <f t="shared" si="6"/>
        <v>44772</v>
      </c>
      <c r="C213" s="68">
        <v>8.0</v>
      </c>
      <c r="D213" s="68" t="s">
        <v>12</v>
      </c>
      <c r="E213" s="171" t="s">
        <v>130</v>
      </c>
      <c r="F213" s="71"/>
      <c r="H213" s="72"/>
      <c r="J213" s="72"/>
      <c r="L213" s="105">
        <v>95.0</v>
      </c>
      <c r="N213" s="104">
        <v>97.0</v>
      </c>
      <c r="P213" s="104">
        <v>0.0</v>
      </c>
      <c r="R213" s="104">
        <v>0.0</v>
      </c>
      <c r="T213" s="104">
        <v>1.0</v>
      </c>
      <c r="V213" s="104">
        <v>1.0</v>
      </c>
      <c r="X213" s="104">
        <v>0.0</v>
      </c>
      <c r="Y213" s="73"/>
      <c r="Z213" s="105"/>
      <c r="AB213" s="104"/>
      <c r="AD213" s="104"/>
      <c r="AF213" s="74">
        <f t="shared" si="1"/>
        <v>4004.952</v>
      </c>
      <c r="AG213" s="68">
        <f t="shared" si="2"/>
        <v>192</v>
      </c>
      <c r="AH213" s="68">
        <f t="shared" si="3"/>
        <v>2</v>
      </c>
      <c r="AI213" s="68">
        <f t="shared" si="4"/>
        <v>194</v>
      </c>
      <c r="AJ213" s="75">
        <f t="shared" si="5"/>
        <v>20.64408247</v>
      </c>
    </row>
    <row r="214">
      <c r="A214" s="76" t="s">
        <v>16</v>
      </c>
      <c r="B214" s="77">
        <f t="shared" si="6"/>
        <v>44773</v>
      </c>
      <c r="C214" s="78">
        <v>8.0</v>
      </c>
      <c r="D214" s="78" t="s">
        <v>12</v>
      </c>
      <c r="E214" s="169" t="s">
        <v>130</v>
      </c>
      <c r="F214" s="71"/>
      <c r="H214" s="72"/>
      <c r="J214" s="72"/>
      <c r="L214" s="105">
        <v>0.0</v>
      </c>
      <c r="N214" s="104">
        <v>95.0</v>
      </c>
      <c r="P214" s="104">
        <v>60.0</v>
      </c>
      <c r="R214" s="104">
        <v>41.0</v>
      </c>
      <c r="T214" s="104">
        <v>0.0</v>
      </c>
      <c r="V214" s="104">
        <v>0.0</v>
      </c>
      <c r="X214" s="104">
        <v>29.0</v>
      </c>
      <c r="Y214" s="73"/>
      <c r="Z214" s="105"/>
      <c r="AB214" s="104"/>
      <c r="AD214" s="104"/>
      <c r="AF214" s="81">
        <f t="shared" si="1"/>
        <v>3160.647</v>
      </c>
      <c r="AG214" s="78">
        <f t="shared" si="2"/>
        <v>225</v>
      </c>
      <c r="AH214" s="78">
        <f t="shared" si="3"/>
        <v>0</v>
      </c>
      <c r="AI214" s="78">
        <f t="shared" si="4"/>
        <v>225</v>
      </c>
      <c r="AJ214" s="82">
        <f t="shared" si="5"/>
        <v>14.04732</v>
      </c>
    </row>
    <row r="215">
      <c r="A215" s="76" t="s">
        <v>17</v>
      </c>
      <c r="B215" s="77">
        <f t="shared" si="6"/>
        <v>44774</v>
      </c>
      <c r="C215" s="78">
        <v>8.0</v>
      </c>
      <c r="D215" s="78" t="s">
        <v>12</v>
      </c>
      <c r="E215" s="169" t="s">
        <v>130</v>
      </c>
      <c r="F215" s="71"/>
      <c r="H215" s="72"/>
      <c r="J215" s="72"/>
      <c r="L215" s="105">
        <v>97.0</v>
      </c>
      <c r="N215" s="104">
        <v>99.0</v>
      </c>
      <c r="P215" s="104">
        <v>0.0</v>
      </c>
      <c r="R215" s="104">
        <v>0.0</v>
      </c>
      <c r="T215" s="104">
        <v>0.0</v>
      </c>
      <c r="V215" s="104">
        <v>0.0</v>
      </c>
      <c r="X215" s="104">
        <v>0.0</v>
      </c>
      <c r="Y215" s="73"/>
      <c r="Z215" s="105"/>
      <c r="AB215" s="104"/>
      <c r="AD215" s="104"/>
      <c r="AF215" s="81">
        <f t="shared" si="1"/>
        <v>3338.076</v>
      </c>
      <c r="AG215" s="78">
        <f t="shared" si="2"/>
        <v>196</v>
      </c>
      <c r="AH215" s="78">
        <f t="shared" si="3"/>
        <v>0</v>
      </c>
      <c r="AI215" s="78">
        <f t="shared" si="4"/>
        <v>196</v>
      </c>
      <c r="AJ215" s="82">
        <f t="shared" si="5"/>
        <v>17.031</v>
      </c>
    </row>
    <row r="216">
      <c r="A216" s="76" t="s">
        <v>21</v>
      </c>
      <c r="B216" s="77">
        <f t="shared" si="6"/>
        <v>44775</v>
      </c>
      <c r="C216" s="78">
        <v>8.0</v>
      </c>
      <c r="D216" s="78" t="s">
        <v>12</v>
      </c>
      <c r="E216" s="169" t="s">
        <v>130</v>
      </c>
      <c r="F216" s="71"/>
      <c r="H216" s="72"/>
      <c r="J216" s="72"/>
      <c r="L216" s="105">
        <v>104.0</v>
      </c>
      <c r="N216" s="104">
        <v>79.0</v>
      </c>
      <c r="P216" s="104">
        <v>0.0</v>
      </c>
      <c r="R216" s="104">
        <v>0.0</v>
      </c>
      <c r="T216" s="104">
        <v>0.0</v>
      </c>
      <c r="V216" s="104">
        <v>0.0</v>
      </c>
      <c r="X216" s="104">
        <v>0.0</v>
      </c>
      <c r="Y216" s="73"/>
      <c r="Z216" s="105"/>
      <c r="AB216" s="104"/>
      <c r="AD216" s="104"/>
      <c r="AF216" s="81">
        <f t="shared" si="1"/>
        <v>3116.673</v>
      </c>
      <c r="AG216" s="78">
        <f t="shared" si="2"/>
        <v>183</v>
      </c>
      <c r="AH216" s="78">
        <f t="shared" si="3"/>
        <v>0</v>
      </c>
      <c r="AI216" s="78">
        <f t="shared" si="4"/>
        <v>183</v>
      </c>
      <c r="AJ216" s="82">
        <f t="shared" si="5"/>
        <v>17.031</v>
      </c>
    </row>
    <row r="217">
      <c r="A217" s="76" t="s">
        <v>24</v>
      </c>
      <c r="B217" s="77">
        <f t="shared" si="6"/>
        <v>44776</v>
      </c>
      <c r="C217" s="78">
        <v>8.0</v>
      </c>
      <c r="D217" s="78" t="s">
        <v>12</v>
      </c>
      <c r="E217" s="169" t="s">
        <v>130</v>
      </c>
      <c r="F217" s="71"/>
      <c r="H217" s="72"/>
      <c r="J217" s="72"/>
      <c r="L217" s="105">
        <v>99.0</v>
      </c>
      <c r="N217" s="104">
        <v>86.0</v>
      </c>
      <c r="P217" s="104">
        <v>0.0</v>
      </c>
      <c r="R217" s="104">
        <v>0.0</v>
      </c>
      <c r="T217" s="104">
        <v>0.0</v>
      </c>
      <c r="V217" s="104">
        <v>0.0</v>
      </c>
      <c r="X217" s="104">
        <v>0.0</v>
      </c>
      <c r="Y217" s="73"/>
      <c r="Z217" s="105"/>
      <c r="AB217" s="104"/>
      <c r="AD217" s="104"/>
      <c r="AF217" s="81">
        <f t="shared" si="1"/>
        <v>3150.735</v>
      </c>
      <c r="AG217" s="78">
        <f t="shared" si="2"/>
        <v>185</v>
      </c>
      <c r="AH217" s="78">
        <f t="shared" si="3"/>
        <v>0</v>
      </c>
      <c r="AI217" s="78">
        <f t="shared" si="4"/>
        <v>185</v>
      </c>
      <c r="AJ217" s="82">
        <f t="shared" si="5"/>
        <v>17.031</v>
      </c>
    </row>
    <row r="218">
      <c r="A218" s="76" t="s">
        <v>27</v>
      </c>
      <c r="B218" s="77">
        <f t="shared" si="6"/>
        <v>44777</v>
      </c>
      <c r="C218" s="78">
        <v>8.0</v>
      </c>
      <c r="D218" s="78" t="s">
        <v>12</v>
      </c>
      <c r="E218" s="169" t="s">
        <v>130</v>
      </c>
      <c r="F218" s="71"/>
      <c r="H218" s="72"/>
      <c r="J218" s="72"/>
      <c r="L218" s="105">
        <v>91.0</v>
      </c>
      <c r="N218" s="104">
        <v>76.0</v>
      </c>
      <c r="P218" s="104">
        <v>0.0</v>
      </c>
      <c r="R218" s="104">
        <v>0.0</v>
      </c>
      <c r="T218" s="104">
        <v>0.0</v>
      </c>
      <c r="V218" s="104">
        <v>0.0</v>
      </c>
      <c r="X218" s="104">
        <v>0.0</v>
      </c>
      <c r="Y218" s="73"/>
      <c r="Z218" s="105"/>
      <c r="AB218" s="104"/>
      <c r="AD218" s="104"/>
      <c r="AF218" s="81">
        <f t="shared" si="1"/>
        <v>2844.177</v>
      </c>
      <c r="AG218" s="78">
        <f t="shared" si="2"/>
        <v>167</v>
      </c>
      <c r="AH218" s="78">
        <f t="shared" si="3"/>
        <v>0</v>
      </c>
      <c r="AI218" s="78">
        <f t="shared" si="4"/>
        <v>167</v>
      </c>
      <c r="AJ218" s="82">
        <f t="shared" si="5"/>
        <v>17.031</v>
      </c>
    </row>
    <row r="219">
      <c r="A219" s="83" t="s">
        <v>30</v>
      </c>
      <c r="B219" s="84">
        <f t="shared" si="6"/>
        <v>44778</v>
      </c>
      <c r="C219" s="85">
        <v>8.0</v>
      </c>
      <c r="D219" s="85" t="s">
        <v>12</v>
      </c>
      <c r="E219" s="170" t="s">
        <v>130</v>
      </c>
      <c r="F219" s="88"/>
      <c r="G219" s="89"/>
      <c r="H219" s="90"/>
      <c r="I219" s="89"/>
      <c r="J219" s="90"/>
      <c r="K219" s="89"/>
      <c r="L219" s="112">
        <v>0.0</v>
      </c>
      <c r="M219" s="89"/>
      <c r="N219" s="111">
        <v>0.0</v>
      </c>
      <c r="O219" s="89"/>
      <c r="P219" s="111">
        <v>0.0</v>
      </c>
      <c r="Q219" s="89"/>
      <c r="R219" s="111">
        <v>0.0</v>
      </c>
      <c r="S219" s="89"/>
      <c r="T219" s="111">
        <v>0.0</v>
      </c>
      <c r="U219" s="89"/>
      <c r="V219" s="111">
        <v>0.0</v>
      </c>
      <c r="W219" s="89"/>
      <c r="X219" s="111">
        <v>0.0</v>
      </c>
      <c r="Y219" s="91"/>
      <c r="Z219" s="112"/>
      <c r="AA219" s="89"/>
      <c r="AB219" s="111"/>
      <c r="AC219" s="89"/>
      <c r="AD219" s="111"/>
      <c r="AE219" s="89"/>
      <c r="AF219" s="92">
        <f t="shared" si="1"/>
        <v>0</v>
      </c>
      <c r="AG219" s="85">
        <f t="shared" si="2"/>
        <v>0</v>
      </c>
      <c r="AH219" s="85">
        <f t="shared" si="3"/>
        <v>0</v>
      </c>
      <c r="AI219" s="85">
        <f t="shared" si="4"/>
        <v>0</v>
      </c>
      <c r="AJ219" s="93" t="str">
        <f t="shared" si="5"/>
        <v/>
      </c>
    </row>
    <row r="220">
      <c r="A220" s="66" t="s">
        <v>11</v>
      </c>
      <c r="B220" s="94">
        <f t="shared" si="6"/>
        <v>44779</v>
      </c>
      <c r="C220" s="68">
        <v>8.0</v>
      </c>
      <c r="D220" s="68" t="s">
        <v>33</v>
      </c>
      <c r="E220" s="171" t="s">
        <v>130</v>
      </c>
      <c r="F220" s="71"/>
      <c r="H220" s="72"/>
      <c r="J220" s="72"/>
      <c r="L220" s="105">
        <v>86.0</v>
      </c>
      <c r="N220" s="104">
        <v>79.0</v>
      </c>
      <c r="P220" s="104">
        <v>0.0</v>
      </c>
      <c r="R220" s="104">
        <v>0.0</v>
      </c>
      <c r="T220" s="104">
        <v>1.0</v>
      </c>
      <c r="V220" s="104">
        <v>1.0</v>
      </c>
      <c r="X220" s="104">
        <v>0.0</v>
      </c>
      <c r="Y220" s="73"/>
      <c r="Z220" s="105"/>
      <c r="AB220" s="104"/>
      <c r="AD220" s="104"/>
      <c r="AF220" s="74">
        <f t="shared" si="1"/>
        <v>3545.115</v>
      </c>
      <c r="AG220" s="68">
        <f t="shared" si="2"/>
        <v>165</v>
      </c>
      <c r="AH220" s="68">
        <f t="shared" si="3"/>
        <v>2</v>
      </c>
      <c r="AI220" s="68">
        <f t="shared" si="4"/>
        <v>167</v>
      </c>
      <c r="AJ220" s="75">
        <f t="shared" si="5"/>
        <v>21.22823353</v>
      </c>
    </row>
    <row r="221">
      <c r="A221" s="76" t="s">
        <v>16</v>
      </c>
      <c r="B221" s="77">
        <f t="shared" si="6"/>
        <v>44780</v>
      </c>
      <c r="C221" s="78">
        <v>8.0</v>
      </c>
      <c r="D221" s="78" t="s">
        <v>33</v>
      </c>
      <c r="E221" s="169" t="s">
        <v>130</v>
      </c>
      <c r="F221" s="71"/>
      <c r="H221" s="72"/>
      <c r="J221" s="72"/>
      <c r="L221" s="105">
        <v>0.0</v>
      </c>
      <c r="N221" s="104">
        <v>99.0</v>
      </c>
      <c r="P221" s="104">
        <v>60.0</v>
      </c>
      <c r="R221" s="104">
        <v>39.0</v>
      </c>
      <c r="T221" s="104">
        <v>0.0</v>
      </c>
      <c r="V221" s="104">
        <v>0.0</v>
      </c>
      <c r="X221" s="104">
        <v>39.0</v>
      </c>
      <c r="Y221" s="73"/>
      <c r="Z221" s="105"/>
      <c r="AB221" s="104"/>
      <c r="AD221" s="104"/>
      <c r="AF221" s="81">
        <f t="shared" si="1"/>
        <v>3299.247</v>
      </c>
      <c r="AG221" s="78">
        <f t="shared" si="2"/>
        <v>237</v>
      </c>
      <c r="AH221" s="78">
        <f t="shared" si="3"/>
        <v>0</v>
      </c>
      <c r="AI221" s="78">
        <f t="shared" si="4"/>
        <v>237</v>
      </c>
      <c r="AJ221" s="82">
        <f t="shared" si="5"/>
        <v>13.92087342</v>
      </c>
    </row>
    <row r="222">
      <c r="A222" s="76" t="s">
        <v>17</v>
      </c>
      <c r="B222" s="77">
        <f t="shared" si="6"/>
        <v>44781</v>
      </c>
      <c r="C222" s="78">
        <v>8.0</v>
      </c>
      <c r="D222" s="78" t="s">
        <v>33</v>
      </c>
      <c r="E222" s="169" t="s">
        <v>130</v>
      </c>
      <c r="F222" s="71"/>
      <c r="H222" s="72"/>
      <c r="J222" s="72"/>
      <c r="L222" s="105">
        <v>88.0</v>
      </c>
      <c r="N222" s="104">
        <v>80.0</v>
      </c>
      <c r="P222" s="104">
        <v>0.0</v>
      </c>
      <c r="R222" s="104">
        <v>0.0</v>
      </c>
      <c r="T222" s="104">
        <v>0.0</v>
      </c>
      <c r="V222" s="104">
        <v>0.0</v>
      </c>
      <c r="X222" s="104">
        <v>0.0</v>
      </c>
      <c r="Y222" s="73"/>
      <c r="Z222" s="105"/>
      <c r="AB222" s="104"/>
      <c r="AD222" s="104"/>
      <c r="AF222" s="81">
        <f t="shared" si="1"/>
        <v>2861.208</v>
      </c>
      <c r="AG222" s="78">
        <f t="shared" si="2"/>
        <v>168</v>
      </c>
      <c r="AH222" s="78">
        <f t="shared" si="3"/>
        <v>0</v>
      </c>
      <c r="AI222" s="78">
        <f t="shared" si="4"/>
        <v>168</v>
      </c>
      <c r="AJ222" s="82">
        <f t="shared" si="5"/>
        <v>17.031</v>
      </c>
    </row>
    <row r="223">
      <c r="A223" s="76" t="s">
        <v>21</v>
      </c>
      <c r="B223" s="77">
        <f t="shared" si="6"/>
        <v>44782</v>
      </c>
      <c r="C223" s="78">
        <v>8.0</v>
      </c>
      <c r="D223" s="78" t="s">
        <v>33</v>
      </c>
      <c r="E223" s="169" t="s">
        <v>130</v>
      </c>
      <c r="F223" s="71"/>
      <c r="H223" s="72"/>
      <c r="J223" s="72"/>
      <c r="L223" s="105">
        <v>75.0</v>
      </c>
      <c r="N223" s="104">
        <v>87.0</v>
      </c>
      <c r="P223" s="104">
        <v>0.0</v>
      </c>
      <c r="R223" s="104">
        <v>0.0</v>
      </c>
      <c r="T223" s="104">
        <v>0.0</v>
      </c>
      <c r="V223" s="104">
        <v>0.0</v>
      </c>
      <c r="X223" s="104">
        <v>0.0</v>
      </c>
      <c r="Y223" s="73"/>
      <c r="Z223" s="105"/>
      <c r="AB223" s="104"/>
      <c r="AD223" s="104"/>
      <c r="AF223" s="81">
        <f t="shared" si="1"/>
        <v>2759.022</v>
      </c>
      <c r="AG223" s="78">
        <f t="shared" si="2"/>
        <v>162</v>
      </c>
      <c r="AH223" s="78">
        <f t="shared" si="3"/>
        <v>0</v>
      </c>
      <c r="AI223" s="78">
        <f t="shared" si="4"/>
        <v>162</v>
      </c>
      <c r="AJ223" s="82">
        <f t="shared" si="5"/>
        <v>17.031</v>
      </c>
    </row>
    <row r="224">
      <c r="A224" s="76" t="s">
        <v>24</v>
      </c>
      <c r="B224" s="77">
        <f t="shared" si="6"/>
        <v>44783</v>
      </c>
      <c r="C224" s="78">
        <v>8.0</v>
      </c>
      <c r="D224" s="78" t="s">
        <v>33</v>
      </c>
      <c r="E224" s="169" t="s">
        <v>130</v>
      </c>
      <c r="F224" s="71"/>
      <c r="H224" s="72"/>
      <c r="J224" s="72"/>
      <c r="L224" s="105">
        <v>0.0</v>
      </c>
      <c r="N224" s="104">
        <v>82.0</v>
      </c>
      <c r="P224" s="104">
        <v>60.0</v>
      </c>
      <c r="R224" s="104">
        <v>50.0</v>
      </c>
      <c r="T224" s="104">
        <v>0.0</v>
      </c>
      <c r="V224" s="104">
        <v>0.0</v>
      </c>
      <c r="X224" s="104">
        <v>39.0</v>
      </c>
      <c r="Y224" s="73"/>
      <c r="Z224" s="105"/>
      <c r="AB224" s="104"/>
      <c r="AD224" s="104"/>
      <c r="AF224" s="81">
        <f t="shared" si="1"/>
        <v>3084.102</v>
      </c>
      <c r="AG224" s="78">
        <f t="shared" si="2"/>
        <v>231</v>
      </c>
      <c r="AH224" s="78">
        <f t="shared" si="3"/>
        <v>0</v>
      </c>
      <c r="AI224" s="78">
        <f t="shared" si="4"/>
        <v>231</v>
      </c>
      <c r="AJ224" s="82">
        <f t="shared" si="5"/>
        <v>13.35109091</v>
      </c>
    </row>
    <row r="225">
      <c r="A225" s="76" t="s">
        <v>27</v>
      </c>
      <c r="B225" s="77">
        <f t="shared" si="6"/>
        <v>44784</v>
      </c>
      <c r="C225" s="78">
        <v>8.0</v>
      </c>
      <c r="D225" s="78" t="s">
        <v>33</v>
      </c>
      <c r="E225" s="169" t="s">
        <v>130</v>
      </c>
      <c r="F225" s="71"/>
      <c r="H225" s="72"/>
      <c r="J225" s="72"/>
      <c r="L225" s="105">
        <v>74.0</v>
      </c>
      <c r="N225" s="104">
        <v>65.0</v>
      </c>
      <c r="P225" s="104">
        <v>0.0</v>
      </c>
      <c r="R225" s="104">
        <v>0.0</v>
      </c>
      <c r="T225" s="104">
        <v>0.0</v>
      </c>
      <c r="V225" s="104">
        <v>0.0</v>
      </c>
      <c r="X225" s="104">
        <v>0.0</v>
      </c>
      <c r="Y225" s="73"/>
      <c r="Z225" s="105"/>
      <c r="AB225" s="104"/>
      <c r="AD225" s="104"/>
      <c r="AF225" s="81">
        <f t="shared" si="1"/>
        <v>2367.309</v>
      </c>
      <c r="AG225" s="78">
        <f t="shared" si="2"/>
        <v>139</v>
      </c>
      <c r="AH225" s="78">
        <f t="shared" si="3"/>
        <v>0</v>
      </c>
      <c r="AI225" s="78">
        <f t="shared" si="4"/>
        <v>139</v>
      </c>
      <c r="AJ225" s="82">
        <f t="shared" si="5"/>
        <v>17.031</v>
      </c>
    </row>
    <row r="226">
      <c r="A226" s="83" t="s">
        <v>30</v>
      </c>
      <c r="B226" s="84">
        <f t="shared" si="6"/>
        <v>44785</v>
      </c>
      <c r="C226" s="85">
        <v>8.0</v>
      </c>
      <c r="D226" s="85" t="s">
        <v>33</v>
      </c>
      <c r="E226" s="170" t="s">
        <v>130</v>
      </c>
      <c r="F226" s="88"/>
      <c r="G226" s="89"/>
      <c r="H226" s="90"/>
      <c r="I226" s="89"/>
      <c r="J226" s="90"/>
      <c r="K226" s="89"/>
      <c r="L226" s="112">
        <v>0.0</v>
      </c>
      <c r="M226" s="89"/>
      <c r="N226" s="111">
        <v>0.0</v>
      </c>
      <c r="O226" s="89"/>
      <c r="P226" s="111">
        <v>0.0</v>
      </c>
      <c r="Q226" s="89"/>
      <c r="R226" s="111">
        <v>0.0</v>
      </c>
      <c r="S226" s="89"/>
      <c r="T226" s="111">
        <v>0.0</v>
      </c>
      <c r="U226" s="89"/>
      <c r="V226" s="111">
        <v>0.0</v>
      </c>
      <c r="W226" s="89"/>
      <c r="X226" s="111">
        <v>0.0</v>
      </c>
      <c r="Y226" s="91"/>
      <c r="Z226" s="112"/>
      <c r="AA226" s="89"/>
      <c r="AB226" s="111"/>
      <c r="AC226" s="89"/>
      <c r="AD226" s="111"/>
      <c r="AE226" s="89"/>
      <c r="AF226" s="92">
        <f t="shared" si="1"/>
        <v>0</v>
      </c>
      <c r="AG226" s="85">
        <f t="shared" si="2"/>
        <v>0</v>
      </c>
      <c r="AH226" s="85">
        <f t="shared" si="3"/>
        <v>0</v>
      </c>
      <c r="AI226" s="85">
        <f t="shared" si="4"/>
        <v>0</v>
      </c>
      <c r="AJ226" s="93" t="str">
        <f t="shared" si="5"/>
        <v/>
      </c>
    </row>
    <row r="227">
      <c r="A227" s="66" t="s">
        <v>11</v>
      </c>
      <c r="B227" s="94">
        <f t="shared" si="6"/>
        <v>44786</v>
      </c>
      <c r="C227" s="68">
        <v>9.0</v>
      </c>
      <c r="D227" s="68" t="s">
        <v>48</v>
      </c>
      <c r="E227" s="171" t="s">
        <v>130</v>
      </c>
      <c r="F227" s="71"/>
      <c r="H227" s="72"/>
      <c r="J227" s="72"/>
      <c r="L227" s="105">
        <v>84.0</v>
      </c>
      <c r="N227" s="104">
        <v>69.0</v>
      </c>
      <c r="P227" s="104">
        <v>0.0</v>
      </c>
      <c r="R227" s="104">
        <v>0.0</v>
      </c>
      <c r="T227" s="104">
        <v>0.0</v>
      </c>
      <c r="V227" s="104">
        <v>0.0</v>
      </c>
      <c r="X227" s="104">
        <v>0.0</v>
      </c>
      <c r="Y227" s="73"/>
      <c r="Z227" s="105"/>
      <c r="AB227" s="104"/>
      <c r="AD227" s="104"/>
      <c r="AF227" s="74">
        <f t="shared" si="1"/>
        <v>2605.743</v>
      </c>
      <c r="AG227" s="68">
        <f t="shared" si="2"/>
        <v>153</v>
      </c>
      <c r="AH227" s="68">
        <f t="shared" si="3"/>
        <v>0</v>
      </c>
      <c r="AI227" s="68">
        <f t="shared" si="4"/>
        <v>153</v>
      </c>
      <c r="AJ227" s="75">
        <f t="shared" si="5"/>
        <v>17.031</v>
      </c>
    </row>
    <row r="228">
      <c r="A228" s="76" t="s">
        <v>16</v>
      </c>
      <c r="B228" s="77">
        <f t="shared" si="6"/>
        <v>44787</v>
      </c>
      <c r="C228" s="78">
        <v>9.0</v>
      </c>
      <c r="D228" s="78" t="s">
        <v>48</v>
      </c>
      <c r="E228" s="169" t="s">
        <v>130</v>
      </c>
      <c r="F228" s="71"/>
      <c r="H228" s="72"/>
      <c r="J228" s="72"/>
      <c r="L228" s="105">
        <v>0.0</v>
      </c>
      <c r="N228" s="104">
        <v>90.0</v>
      </c>
      <c r="P228" s="104">
        <v>60.0</v>
      </c>
      <c r="R228" s="104">
        <v>50.0</v>
      </c>
      <c r="T228" s="104">
        <v>0.0</v>
      </c>
      <c r="V228" s="104">
        <v>0.0</v>
      </c>
      <c r="X228" s="104">
        <v>39.0</v>
      </c>
      <c r="Y228" s="73"/>
      <c r="Z228" s="105"/>
      <c r="AB228" s="104"/>
      <c r="AD228" s="104"/>
      <c r="AF228" s="81">
        <f t="shared" si="1"/>
        <v>3220.35</v>
      </c>
      <c r="AG228" s="78">
        <f t="shared" si="2"/>
        <v>239</v>
      </c>
      <c r="AH228" s="78">
        <f t="shared" si="3"/>
        <v>0</v>
      </c>
      <c r="AI228" s="78">
        <f t="shared" si="4"/>
        <v>239</v>
      </c>
      <c r="AJ228" s="82">
        <f t="shared" si="5"/>
        <v>13.47426778</v>
      </c>
    </row>
    <row r="229">
      <c r="A229" s="76" t="s">
        <v>17</v>
      </c>
      <c r="B229" s="77">
        <f t="shared" si="6"/>
        <v>44788</v>
      </c>
      <c r="C229" s="78">
        <v>9.0</v>
      </c>
      <c r="D229" s="78" t="s">
        <v>48</v>
      </c>
      <c r="E229" s="169" t="s">
        <v>130</v>
      </c>
      <c r="F229" s="71"/>
      <c r="H229" s="72"/>
      <c r="J229" s="72"/>
      <c r="L229" s="105">
        <v>89.0</v>
      </c>
      <c r="N229" s="104">
        <v>91.0</v>
      </c>
      <c r="P229" s="104">
        <v>0.0</v>
      </c>
      <c r="R229" s="104">
        <v>0.0</v>
      </c>
      <c r="T229" s="104">
        <v>0.0</v>
      </c>
      <c r="V229" s="104">
        <v>0.0</v>
      </c>
      <c r="X229" s="104">
        <v>0.0</v>
      </c>
      <c r="Y229" s="73"/>
      <c r="Z229" s="105"/>
      <c r="AB229" s="104"/>
      <c r="AD229" s="104"/>
      <c r="AF229" s="81">
        <f t="shared" si="1"/>
        <v>3065.58</v>
      </c>
      <c r="AG229" s="78">
        <f t="shared" si="2"/>
        <v>180</v>
      </c>
      <c r="AH229" s="78">
        <f t="shared" si="3"/>
        <v>0</v>
      </c>
      <c r="AI229" s="78">
        <f t="shared" si="4"/>
        <v>180</v>
      </c>
      <c r="AJ229" s="82">
        <f t="shared" si="5"/>
        <v>17.031</v>
      </c>
    </row>
    <row r="230">
      <c r="A230" s="76" t="s">
        <v>21</v>
      </c>
      <c r="B230" s="77">
        <f t="shared" si="6"/>
        <v>44789</v>
      </c>
      <c r="C230" s="78">
        <v>9.0</v>
      </c>
      <c r="D230" s="78" t="s">
        <v>48</v>
      </c>
      <c r="E230" s="169" t="s">
        <v>130</v>
      </c>
      <c r="F230" s="71"/>
      <c r="H230" s="72"/>
      <c r="J230" s="72"/>
      <c r="L230" s="105">
        <v>0.0</v>
      </c>
      <c r="N230" s="104">
        <v>98.0</v>
      </c>
      <c r="P230" s="104">
        <v>60.0</v>
      </c>
      <c r="R230" s="104">
        <v>50.0</v>
      </c>
      <c r="T230" s="104">
        <v>0.0</v>
      </c>
      <c r="V230" s="104">
        <v>0.0</v>
      </c>
      <c r="X230" s="104">
        <v>36.0</v>
      </c>
      <c r="Y230" s="73"/>
      <c r="Z230" s="105"/>
      <c r="AB230" s="104"/>
      <c r="AD230" s="104"/>
      <c r="AF230" s="81">
        <f t="shared" si="1"/>
        <v>3331.398</v>
      </c>
      <c r="AG230" s="78">
        <f t="shared" si="2"/>
        <v>244</v>
      </c>
      <c r="AH230" s="78">
        <f t="shared" si="3"/>
        <v>0</v>
      </c>
      <c r="AI230" s="78">
        <f t="shared" si="4"/>
        <v>244</v>
      </c>
      <c r="AJ230" s="82">
        <f t="shared" si="5"/>
        <v>13.65327049</v>
      </c>
    </row>
    <row r="231">
      <c r="A231" s="76" t="s">
        <v>24</v>
      </c>
      <c r="B231" s="77">
        <f t="shared" si="6"/>
        <v>44790</v>
      </c>
      <c r="C231" s="78">
        <v>9.0</v>
      </c>
      <c r="D231" s="78" t="s">
        <v>48</v>
      </c>
      <c r="E231" s="169" t="s">
        <v>130</v>
      </c>
      <c r="F231" s="71"/>
      <c r="H231" s="72"/>
      <c r="J231" s="72"/>
      <c r="L231" s="105">
        <v>87.0</v>
      </c>
      <c r="N231" s="104">
        <v>91.0</v>
      </c>
      <c r="P231" s="104">
        <v>0.0</v>
      </c>
      <c r="R231" s="104">
        <v>0.0</v>
      </c>
      <c r="T231" s="104">
        <v>0.0</v>
      </c>
      <c r="V231" s="104">
        <v>0.0</v>
      </c>
      <c r="X231" s="104">
        <v>0.0</v>
      </c>
      <c r="Y231" s="73"/>
      <c r="Z231" s="105"/>
      <c r="AB231" s="104"/>
      <c r="AD231" s="104"/>
      <c r="AF231" s="81">
        <f t="shared" si="1"/>
        <v>3031.518</v>
      </c>
      <c r="AG231" s="78">
        <f t="shared" si="2"/>
        <v>178</v>
      </c>
      <c r="AH231" s="78">
        <f t="shared" si="3"/>
        <v>0</v>
      </c>
      <c r="AI231" s="78">
        <f t="shared" si="4"/>
        <v>178</v>
      </c>
      <c r="AJ231" s="82">
        <f t="shared" si="5"/>
        <v>17.031</v>
      </c>
    </row>
    <row r="232">
      <c r="A232" s="76" t="s">
        <v>27</v>
      </c>
      <c r="B232" s="77">
        <f t="shared" si="6"/>
        <v>44791</v>
      </c>
      <c r="C232" s="78">
        <v>9.0</v>
      </c>
      <c r="D232" s="78" t="s">
        <v>48</v>
      </c>
      <c r="E232" s="169" t="s">
        <v>130</v>
      </c>
      <c r="F232" s="71"/>
      <c r="H232" s="72"/>
      <c r="J232" s="72"/>
      <c r="L232" s="105">
        <v>85.0</v>
      </c>
      <c r="N232" s="104">
        <v>77.0</v>
      </c>
      <c r="P232" s="104">
        <v>0.0</v>
      </c>
      <c r="R232" s="104">
        <v>0.0</v>
      </c>
      <c r="T232" s="104">
        <v>0.0</v>
      </c>
      <c r="V232" s="104">
        <v>0.0</v>
      </c>
      <c r="X232" s="104">
        <v>0.0</v>
      </c>
      <c r="Y232" s="73"/>
      <c r="Z232" s="105"/>
      <c r="AB232" s="104"/>
      <c r="AD232" s="104"/>
      <c r="AF232" s="81">
        <f t="shared" si="1"/>
        <v>2759.022</v>
      </c>
      <c r="AG232" s="78">
        <f t="shared" si="2"/>
        <v>162</v>
      </c>
      <c r="AH232" s="78">
        <f t="shared" si="3"/>
        <v>0</v>
      </c>
      <c r="AI232" s="78">
        <f t="shared" si="4"/>
        <v>162</v>
      </c>
      <c r="AJ232" s="82">
        <f t="shared" si="5"/>
        <v>17.031</v>
      </c>
    </row>
    <row r="233">
      <c r="A233" s="83" t="s">
        <v>30</v>
      </c>
      <c r="B233" s="84">
        <f t="shared" si="6"/>
        <v>44792</v>
      </c>
      <c r="C233" s="85">
        <v>9.0</v>
      </c>
      <c r="D233" s="85" t="s">
        <v>48</v>
      </c>
      <c r="E233" s="170" t="s">
        <v>130</v>
      </c>
      <c r="F233" s="88"/>
      <c r="G233" s="89"/>
      <c r="H233" s="90"/>
      <c r="I233" s="89"/>
      <c r="J233" s="90"/>
      <c r="K233" s="89"/>
      <c r="L233" s="112">
        <v>0.0</v>
      </c>
      <c r="M233" s="89"/>
      <c r="N233" s="111">
        <v>0.0</v>
      </c>
      <c r="O233" s="89"/>
      <c r="P233" s="111">
        <v>0.0</v>
      </c>
      <c r="Q233" s="89"/>
      <c r="R233" s="111">
        <v>0.0</v>
      </c>
      <c r="S233" s="89"/>
      <c r="T233" s="111">
        <v>0.0</v>
      </c>
      <c r="U233" s="89"/>
      <c r="V233" s="111">
        <v>0.0</v>
      </c>
      <c r="W233" s="89"/>
      <c r="X233" s="111">
        <v>0.0</v>
      </c>
      <c r="Y233" s="91"/>
      <c r="Z233" s="112"/>
      <c r="AA233" s="89"/>
      <c r="AB233" s="111"/>
      <c r="AC233" s="89"/>
      <c r="AD233" s="111"/>
      <c r="AE233" s="89"/>
      <c r="AF233" s="92">
        <f t="shared" si="1"/>
        <v>0</v>
      </c>
      <c r="AG233" s="85">
        <f t="shared" si="2"/>
        <v>0</v>
      </c>
      <c r="AH233" s="85">
        <f t="shared" si="3"/>
        <v>0</v>
      </c>
      <c r="AI233" s="85">
        <f t="shared" si="4"/>
        <v>0</v>
      </c>
      <c r="AJ233" s="93" t="str">
        <f t="shared" si="5"/>
        <v/>
      </c>
    </row>
    <row r="234">
      <c r="A234" s="66" t="s">
        <v>11</v>
      </c>
      <c r="B234" s="94">
        <f t="shared" si="6"/>
        <v>44793</v>
      </c>
      <c r="C234" s="68">
        <v>9.0</v>
      </c>
      <c r="D234" s="68" t="s">
        <v>59</v>
      </c>
      <c r="E234" s="171" t="s">
        <v>130</v>
      </c>
      <c r="F234" s="71"/>
      <c r="H234" s="72"/>
      <c r="J234" s="72"/>
      <c r="L234" s="105">
        <v>88.0</v>
      </c>
      <c r="N234" s="104">
        <v>79.0</v>
      </c>
      <c r="P234" s="104">
        <v>0.0</v>
      </c>
      <c r="R234" s="104">
        <v>0.0</v>
      </c>
      <c r="T234" s="104">
        <v>0.0</v>
      </c>
      <c r="V234" s="104">
        <v>0.0</v>
      </c>
      <c r="X234" s="104">
        <v>0.0</v>
      </c>
      <c r="Y234" s="73"/>
      <c r="Z234" s="105"/>
      <c r="AB234" s="104"/>
      <c r="AD234" s="104"/>
      <c r="AF234" s="74">
        <f t="shared" si="1"/>
        <v>2844.177</v>
      </c>
      <c r="AG234" s="68">
        <f t="shared" si="2"/>
        <v>167</v>
      </c>
      <c r="AH234" s="68">
        <f t="shared" si="3"/>
        <v>0</v>
      </c>
      <c r="AI234" s="68">
        <f t="shared" si="4"/>
        <v>167</v>
      </c>
      <c r="AJ234" s="75">
        <f t="shared" si="5"/>
        <v>17.031</v>
      </c>
    </row>
    <row r="235">
      <c r="A235" s="76" t="s">
        <v>16</v>
      </c>
      <c r="B235" s="77">
        <f t="shared" si="6"/>
        <v>44794</v>
      </c>
      <c r="C235" s="78">
        <v>9.0</v>
      </c>
      <c r="D235" s="78" t="s">
        <v>59</v>
      </c>
      <c r="E235" s="169" t="s">
        <v>130</v>
      </c>
      <c r="F235" s="71"/>
      <c r="H235" s="72"/>
      <c r="J235" s="72"/>
      <c r="L235" s="105">
        <v>76.0</v>
      </c>
      <c r="N235" s="104">
        <v>95.0</v>
      </c>
      <c r="P235" s="104">
        <v>0.0</v>
      </c>
      <c r="R235" s="104">
        <v>0.0</v>
      </c>
      <c r="T235" s="104">
        <v>0.0</v>
      </c>
      <c r="V235" s="104">
        <v>0.0</v>
      </c>
      <c r="X235" s="104">
        <v>0.0</v>
      </c>
      <c r="Y235" s="73"/>
      <c r="Z235" s="105"/>
      <c r="AB235" s="104"/>
      <c r="AD235" s="104"/>
      <c r="AF235" s="81">
        <f t="shared" si="1"/>
        <v>2912.301</v>
      </c>
      <c r="AG235" s="78">
        <f t="shared" si="2"/>
        <v>171</v>
      </c>
      <c r="AH235" s="78">
        <f t="shared" si="3"/>
        <v>0</v>
      </c>
      <c r="AI235" s="78">
        <f t="shared" si="4"/>
        <v>171</v>
      </c>
      <c r="AJ235" s="82">
        <f t="shared" si="5"/>
        <v>17.031</v>
      </c>
    </row>
    <row r="236">
      <c r="A236" s="76" t="s">
        <v>17</v>
      </c>
      <c r="B236" s="77">
        <f t="shared" si="6"/>
        <v>44795</v>
      </c>
      <c r="C236" s="78">
        <v>9.0</v>
      </c>
      <c r="D236" s="78" t="s">
        <v>59</v>
      </c>
      <c r="E236" s="169" t="s">
        <v>130</v>
      </c>
      <c r="F236" s="71"/>
      <c r="H236" s="72"/>
      <c r="J236" s="72"/>
      <c r="L236" s="105">
        <v>98.0</v>
      </c>
      <c r="N236" s="104">
        <v>99.0</v>
      </c>
      <c r="P236" s="104">
        <v>0.0</v>
      </c>
      <c r="R236" s="104">
        <v>0.0</v>
      </c>
      <c r="T236" s="104">
        <v>0.0</v>
      </c>
      <c r="V236" s="104">
        <v>0.0</v>
      </c>
      <c r="X236" s="104">
        <v>0.0</v>
      </c>
      <c r="Y236" s="73"/>
      <c r="Z236" s="105"/>
      <c r="AB236" s="104"/>
      <c r="AD236" s="104"/>
      <c r="AF236" s="81">
        <f t="shared" si="1"/>
        <v>3355.107</v>
      </c>
      <c r="AG236" s="78">
        <f t="shared" si="2"/>
        <v>197</v>
      </c>
      <c r="AH236" s="78">
        <f t="shared" si="3"/>
        <v>0</v>
      </c>
      <c r="AI236" s="78">
        <f t="shared" si="4"/>
        <v>197</v>
      </c>
      <c r="AJ236" s="82">
        <f t="shared" si="5"/>
        <v>17.031</v>
      </c>
    </row>
    <row r="237">
      <c r="A237" s="76" t="s">
        <v>21</v>
      </c>
      <c r="B237" s="77">
        <f t="shared" si="6"/>
        <v>44796</v>
      </c>
      <c r="C237" s="78">
        <v>9.0</v>
      </c>
      <c r="D237" s="78" t="s">
        <v>59</v>
      </c>
      <c r="E237" s="169" t="s">
        <v>130</v>
      </c>
      <c r="F237" s="71"/>
      <c r="H237" s="72"/>
      <c r="J237" s="72"/>
      <c r="L237" s="105">
        <v>0.0</v>
      </c>
      <c r="N237" s="104">
        <v>95.0</v>
      </c>
      <c r="P237" s="104">
        <v>60.0</v>
      </c>
      <c r="R237" s="104">
        <v>35.0</v>
      </c>
      <c r="T237" s="104">
        <v>0.0</v>
      </c>
      <c r="V237" s="104">
        <v>0.0</v>
      </c>
      <c r="X237" s="104">
        <v>38.0</v>
      </c>
      <c r="Y237" s="73"/>
      <c r="Z237" s="105"/>
      <c r="AB237" s="104"/>
      <c r="AD237" s="104"/>
      <c r="AF237" s="81">
        <f t="shared" si="1"/>
        <v>3195.675</v>
      </c>
      <c r="AG237" s="78">
        <f t="shared" si="2"/>
        <v>228</v>
      </c>
      <c r="AH237" s="78">
        <f t="shared" si="3"/>
        <v>0</v>
      </c>
      <c r="AI237" s="78">
        <f t="shared" si="4"/>
        <v>228</v>
      </c>
      <c r="AJ237" s="82">
        <f t="shared" si="5"/>
        <v>14.01611842</v>
      </c>
    </row>
    <row r="238">
      <c r="A238" s="76" t="s">
        <v>24</v>
      </c>
      <c r="B238" s="77">
        <f t="shared" si="6"/>
        <v>44797</v>
      </c>
      <c r="C238" s="78">
        <v>9.0</v>
      </c>
      <c r="D238" s="78" t="s">
        <v>59</v>
      </c>
      <c r="E238" s="169" t="s">
        <v>130</v>
      </c>
      <c r="F238" s="71"/>
      <c r="H238" s="72"/>
      <c r="J238" s="72"/>
      <c r="L238" s="105">
        <v>93.0</v>
      </c>
      <c r="N238" s="104">
        <v>100.0</v>
      </c>
      <c r="P238" s="104">
        <v>0.0</v>
      </c>
      <c r="R238" s="104">
        <v>0.0</v>
      </c>
      <c r="T238" s="104">
        <v>0.0</v>
      </c>
      <c r="V238" s="104">
        <v>0.0</v>
      </c>
      <c r="X238" s="104">
        <v>0.0</v>
      </c>
      <c r="Y238" s="73"/>
      <c r="Z238" s="105"/>
      <c r="AB238" s="104"/>
      <c r="AD238" s="104"/>
      <c r="AF238" s="81">
        <f t="shared" si="1"/>
        <v>3286.983</v>
      </c>
      <c r="AG238" s="78">
        <f t="shared" si="2"/>
        <v>193</v>
      </c>
      <c r="AH238" s="78">
        <f t="shared" si="3"/>
        <v>0</v>
      </c>
      <c r="AI238" s="78">
        <f t="shared" si="4"/>
        <v>193</v>
      </c>
      <c r="AJ238" s="82">
        <f t="shared" si="5"/>
        <v>17.031</v>
      </c>
    </row>
    <row r="239">
      <c r="A239" s="76" t="s">
        <v>27</v>
      </c>
      <c r="B239" s="77">
        <f t="shared" si="6"/>
        <v>44798</v>
      </c>
      <c r="C239" s="78">
        <v>9.0</v>
      </c>
      <c r="D239" s="78" t="s">
        <v>59</v>
      </c>
      <c r="E239" s="169" t="s">
        <v>130</v>
      </c>
      <c r="F239" s="71"/>
      <c r="H239" s="72"/>
      <c r="J239" s="72"/>
      <c r="L239" s="105">
        <v>74.0</v>
      </c>
      <c r="N239" s="104">
        <v>66.0</v>
      </c>
      <c r="P239" s="104">
        <v>0.0</v>
      </c>
      <c r="R239" s="104">
        <v>0.0</v>
      </c>
      <c r="T239" s="104">
        <v>0.0</v>
      </c>
      <c r="V239" s="104">
        <v>0.0</v>
      </c>
      <c r="X239" s="104">
        <v>0.0</v>
      </c>
      <c r="Y239" s="73"/>
      <c r="Z239" s="105"/>
      <c r="AB239" s="104"/>
      <c r="AD239" s="104"/>
      <c r="AF239" s="81">
        <f t="shared" si="1"/>
        <v>2384.34</v>
      </c>
      <c r="AG239" s="78">
        <f t="shared" si="2"/>
        <v>140</v>
      </c>
      <c r="AH239" s="78">
        <f t="shared" si="3"/>
        <v>0</v>
      </c>
      <c r="AI239" s="78">
        <f t="shared" si="4"/>
        <v>140</v>
      </c>
      <c r="AJ239" s="82">
        <f t="shared" si="5"/>
        <v>17.031</v>
      </c>
    </row>
    <row r="240">
      <c r="A240" s="83" t="s">
        <v>30</v>
      </c>
      <c r="B240" s="84">
        <f t="shared" si="6"/>
        <v>44799</v>
      </c>
      <c r="C240" s="85">
        <v>9.0</v>
      </c>
      <c r="D240" s="85" t="s">
        <v>59</v>
      </c>
      <c r="E240" s="170" t="s">
        <v>130</v>
      </c>
      <c r="F240" s="88"/>
      <c r="G240" s="89"/>
      <c r="H240" s="90"/>
      <c r="I240" s="89"/>
      <c r="J240" s="90"/>
      <c r="K240" s="89"/>
      <c r="L240" s="112">
        <v>0.0</v>
      </c>
      <c r="M240" s="89"/>
      <c r="N240" s="111">
        <v>0.0</v>
      </c>
      <c r="O240" s="89"/>
      <c r="P240" s="111">
        <v>0.0</v>
      </c>
      <c r="Q240" s="89"/>
      <c r="R240" s="111">
        <v>0.0</v>
      </c>
      <c r="S240" s="89"/>
      <c r="T240" s="111">
        <v>0.0</v>
      </c>
      <c r="U240" s="89"/>
      <c r="V240" s="111">
        <v>0.0</v>
      </c>
      <c r="W240" s="89"/>
      <c r="X240" s="111">
        <v>0.0</v>
      </c>
      <c r="Y240" s="91"/>
      <c r="Z240" s="112"/>
      <c r="AA240" s="89"/>
      <c r="AB240" s="111"/>
      <c r="AC240" s="89"/>
      <c r="AD240" s="111"/>
      <c r="AE240" s="89"/>
      <c r="AF240" s="92">
        <f t="shared" si="1"/>
        <v>0</v>
      </c>
      <c r="AG240" s="85">
        <f t="shared" si="2"/>
        <v>0</v>
      </c>
      <c r="AH240" s="85">
        <f t="shared" si="3"/>
        <v>0</v>
      </c>
      <c r="AI240" s="85">
        <f t="shared" si="4"/>
        <v>0</v>
      </c>
      <c r="AJ240" s="93" t="str">
        <f t="shared" si="5"/>
        <v/>
      </c>
    </row>
    <row r="241">
      <c r="A241" s="66" t="s">
        <v>11</v>
      </c>
      <c r="B241" s="94">
        <f t="shared" si="6"/>
        <v>44800</v>
      </c>
      <c r="C241" s="68">
        <v>9.0</v>
      </c>
      <c r="D241" s="68" t="s">
        <v>12</v>
      </c>
      <c r="E241" s="70" t="s">
        <v>131</v>
      </c>
      <c r="F241" s="71"/>
      <c r="H241" s="72"/>
      <c r="J241" s="72"/>
      <c r="L241" s="105">
        <v>89.0</v>
      </c>
      <c r="N241" s="104">
        <v>92.0</v>
      </c>
      <c r="P241" s="104">
        <v>0.0</v>
      </c>
      <c r="R241" s="104">
        <v>0.0</v>
      </c>
      <c r="T241" s="104">
        <v>1.0</v>
      </c>
      <c r="V241" s="104">
        <v>1.0</v>
      </c>
      <c r="X241" s="104">
        <v>0.0</v>
      </c>
      <c r="Y241" s="73"/>
      <c r="Z241" s="105"/>
      <c r="AB241" s="104"/>
      <c r="AD241" s="104"/>
      <c r="AF241" s="74">
        <f t="shared" si="1"/>
        <v>3817.611</v>
      </c>
      <c r="AG241" s="68">
        <f t="shared" si="2"/>
        <v>181</v>
      </c>
      <c r="AH241" s="68">
        <f t="shared" si="3"/>
        <v>2</v>
      </c>
      <c r="AI241" s="68">
        <f t="shared" si="4"/>
        <v>183</v>
      </c>
      <c r="AJ241" s="75">
        <f t="shared" si="5"/>
        <v>20.8612623</v>
      </c>
    </row>
    <row r="242">
      <c r="A242" s="76" t="s">
        <v>16</v>
      </c>
      <c r="B242" s="77">
        <f t="shared" si="6"/>
        <v>44801</v>
      </c>
      <c r="C242" s="78">
        <v>9.0</v>
      </c>
      <c r="D242" s="78" t="s">
        <v>12</v>
      </c>
      <c r="E242" s="80" t="s">
        <v>131</v>
      </c>
      <c r="F242" s="71"/>
      <c r="H242" s="72"/>
      <c r="J242" s="72"/>
      <c r="L242" s="105">
        <v>0.0</v>
      </c>
      <c r="N242" s="104">
        <v>96.0</v>
      </c>
      <c r="P242" s="104">
        <v>60.0</v>
      </c>
      <c r="R242" s="104">
        <v>34.0</v>
      </c>
      <c r="T242" s="104">
        <v>0.0</v>
      </c>
      <c r="V242" s="104">
        <v>0.0</v>
      </c>
      <c r="X242" s="104">
        <v>34.0</v>
      </c>
      <c r="Y242" s="73"/>
      <c r="Z242" s="105"/>
      <c r="AB242" s="104"/>
      <c r="AD242" s="104"/>
      <c r="AF242" s="81">
        <f t="shared" si="1"/>
        <v>3172.344</v>
      </c>
      <c r="AG242" s="78">
        <f t="shared" si="2"/>
        <v>224</v>
      </c>
      <c r="AH242" s="78">
        <f t="shared" si="3"/>
        <v>0</v>
      </c>
      <c r="AI242" s="78">
        <f t="shared" si="4"/>
        <v>224</v>
      </c>
      <c r="AJ242" s="82">
        <f t="shared" si="5"/>
        <v>14.16225</v>
      </c>
    </row>
    <row r="243">
      <c r="A243" s="76" t="s">
        <v>17</v>
      </c>
      <c r="B243" s="77">
        <f t="shared" si="6"/>
        <v>44802</v>
      </c>
      <c r="C243" s="78">
        <v>9.0</v>
      </c>
      <c r="D243" s="78" t="s">
        <v>12</v>
      </c>
      <c r="E243" s="80" t="s">
        <v>131</v>
      </c>
      <c r="F243" s="71"/>
      <c r="H243" s="72"/>
      <c r="J243" s="72"/>
      <c r="L243" s="105">
        <v>81.0</v>
      </c>
      <c r="N243" s="104">
        <v>69.0</v>
      </c>
      <c r="P243" s="104">
        <v>0.0</v>
      </c>
      <c r="R243" s="104">
        <v>0.0</v>
      </c>
      <c r="T243" s="104">
        <v>0.0</v>
      </c>
      <c r="V243" s="104">
        <v>0.0</v>
      </c>
      <c r="X243" s="104">
        <v>0.0</v>
      </c>
      <c r="Y243" s="73"/>
      <c r="Z243" s="105"/>
      <c r="AB243" s="104"/>
      <c r="AD243" s="104"/>
      <c r="AF243" s="81">
        <f t="shared" si="1"/>
        <v>2554.65</v>
      </c>
      <c r="AG243" s="78">
        <f t="shared" si="2"/>
        <v>150</v>
      </c>
      <c r="AH243" s="78">
        <f t="shared" si="3"/>
        <v>0</v>
      </c>
      <c r="AI243" s="78">
        <f t="shared" si="4"/>
        <v>150</v>
      </c>
      <c r="AJ243" s="82">
        <f t="shared" si="5"/>
        <v>17.031</v>
      </c>
    </row>
    <row r="244">
      <c r="A244" s="76" t="s">
        <v>21</v>
      </c>
      <c r="B244" s="77">
        <f t="shared" si="6"/>
        <v>44803</v>
      </c>
      <c r="C244" s="78">
        <v>9.0</v>
      </c>
      <c r="D244" s="78" t="s">
        <v>12</v>
      </c>
      <c r="E244" s="80" t="s">
        <v>131</v>
      </c>
      <c r="F244" s="71"/>
      <c r="H244" s="72"/>
      <c r="J244" s="72"/>
      <c r="L244" s="105">
        <v>0.0</v>
      </c>
      <c r="N244" s="104">
        <v>85.0</v>
      </c>
      <c r="P244" s="104">
        <v>60.0</v>
      </c>
      <c r="R244" s="104">
        <v>36.0</v>
      </c>
      <c r="T244" s="104">
        <v>0.0</v>
      </c>
      <c r="V244" s="104">
        <v>0.0</v>
      </c>
      <c r="X244" s="104">
        <v>36.0</v>
      </c>
      <c r="Y244" s="73"/>
      <c r="Z244" s="105"/>
      <c r="AB244" s="104"/>
      <c r="AD244" s="104"/>
      <c r="AF244" s="81">
        <f t="shared" si="1"/>
        <v>3015.327</v>
      </c>
      <c r="AG244" s="78">
        <f t="shared" si="2"/>
        <v>217</v>
      </c>
      <c r="AH244" s="78">
        <f t="shared" si="3"/>
        <v>0</v>
      </c>
      <c r="AI244" s="78">
        <f t="shared" si="4"/>
        <v>217</v>
      </c>
      <c r="AJ244" s="82">
        <f t="shared" si="5"/>
        <v>13.89551613</v>
      </c>
    </row>
    <row r="245">
      <c r="A245" s="76" t="s">
        <v>24</v>
      </c>
      <c r="B245" s="77">
        <f t="shared" si="6"/>
        <v>44804</v>
      </c>
      <c r="C245" s="78">
        <v>9.0</v>
      </c>
      <c r="D245" s="78" t="s">
        <v>12</v>
      </c>
      <c r="E245" s="80" t="s">
        <v>131</v>
      </c>
      <c r="F245" s="71"/>
      <c r="H245" s="72"/>
      <c r="J245" s="72"/>
      <c r="L245" s="105">
        <v>0.0</v>
      </c>
      <c r="N245" s="104">
        <v>85.0</v>
      </c>
      <c r="P245" s="104">
        <v>60.0</v>
      </c>
      <c r="R245" s="104">
        <v>36.0</v>
      </c>
      <c r="T245" s="104">
        <v>0.0</v>
      </c>
      <c r="V245" s="104">
        <v>0.0</v>
      </c>
      <c r="X245" s="104">
        <v>29.0</v>
      </c>
      <c r="Y245" s="73"/>
      <c r="Z245" s="105"/>
      <c r="AB245" s="104"/>
      <c r="AD245" s="104"/>
      <c r="AF245" s="81">
        <f t="shared" si="1"/>
        <v>2956.527</v>
      </c>
      <c r="AG245" s="78">
        <f t="shared" si="2"/>
        <v>210</v>
      </c>
      <c r="AH245" s="78">
        <f t="shared" si="3"/>
        <v>0</v>
      </c>
      <c r="AI245" s="78">
        <f t="shared" si="4"/>
        <v>210</v>
      </c>
      <c r="AJ245" s="82">
        <f t="shared" si="5"/>
        <v>14.0787</v>
      </c>
    </row>
    <row r="246">
      <c r="A246" s="76" t="s">
        <v>27</v>
      </c>
      <c r="B246" s="77">
        <f t="shared" si="6"/>
        <v>44805</v>
      </c>
      <c r="C246" s="78">
        <v>9.0</v>
      </c>
      <c r="D246" s="78" t="s">
        <v>12</v>
      </c>
      <c r="E246" s="80" t="s">
        <v>131</v>
      </c>
      <c r="F246" s="71"/>
      <c r="H246" s="72"/>
      <c r="J246" s="72"/>
      <c r="L246" s="105">
        <v>88.0</v>
      </c>
      <c r="N246" s="104">
        <v>81.0</v>
      </c>
      <c r="P246" s="104">
        <v>0.0</v>
      </c>
      <c r="R246" s="104">
        <v>0.0</v>
      </c>
      <c r="T246" s="104">
        <v>0.0</v>
      </c>
      <c r="V246" s="104">
        <v>0.0</v>
      </c>
      <c r="X246" s="104">
        <v>0.0</v>
      </c>
      <c r="Y246" s="73"/>
      <c r="Z246" s="105"/>
      <c r="AB246" s="104"/>
      <c r="AD246" s="104"/>
      <c r="AF246" s="81">
        <f t="shared" si="1"/>
        <v>2878.239</v>
      </c>
      <c r="AG246" s="78">
        <f t="shared" si="2"/>
        <v>169</v>
      </c>
      <c r="AH246" s="78">
        <f t="shared" si="3"/>
        <v>0</v>
      </c>
      <c r="AI246" s="78">
        <f t="shared" si="4"/>
        <v>169</v>
      </c>
      <c r="AJ246" s="82">
        <f t="shared" si="5"/>
        <v>17.031</v>
      </c>
    </row>
    <row r="247">
      <c r="A247" s="83" t="s">
        <v>30</v>
      </c>
      <c r="B247" s="84">
        <f t="shared" si="6"/>
        <v>44806</v>
      </c>
      <c r="C247" s="85">
        <v>9.0</v>
      </c>
      <c r="D247" s="85" t="s">
        <v>12</v>
      </c>
      <c r="E247" s="87" t="s">
        <v>131</v>
      </c>
      <c r="F247" s="88"/>
      <c r="G247" s="89"/>
      <c r="H247" s="90"/>
      <c r="I247" s="89"/>
      <c r="J247" s="90"/>
      <c r="K247" s="89"/>
      <c r="L247" s="112">
        <v>0.0</v>
      </c>
      <c r="M247" s="89"/>
      <c r="N247" s="111">
        <v>0.0</v>
      </c>
      <c r="O247" s="89"/>
      <c r="P247" s="111">
        <v>0.0</v>
      </c>
      <c r="Q247" s="89"/>
      <c r="R247" s="111">
        <v>0.0</v>
      </c>
      <c r="S247" s="89"/>
      <c r="T247" s="111">
        <v>0.0</v>
      </c>
      <c r="U247" s="89"/>
      <c r="V247" s="111">
        <v>0.0</v>
      </c>
      <c r="W247" s="89"/>
      <c r="X247" s="111">
        <v>0.0</v>
      </c>
      <c r="Y247" s="91"/>
      <c r="Z247" s="112"/>
      <c r="AA247" s="89"/>
      <c r="AB247" s="111"/>
      <c r="AC247" s="89"/>
      <c r="AD247" s="111"/>
      <c r="AE247" s="89"/>
      <c r="AF247" s="92">
        <f t="shared" si="1"/>
        <v>0</v>
      </c>
      <c r="AG247" s="85">
        <f t="shared" si="2"/>
        <v>0</v>
      </c>
      <c r="AH247" s="85">
        <f t="shared" si="3"/>
        <v>0</v>
      </c>
      <c r="AI247" s="85">
        <f t="shared" si="4"/>
        <v>0</v>
      </c>
      <c r="AJ247" s="93" t="str">
        <f t="shared" si="5"/>
        <v/>
      </c>
    </row>
    <row r="248">
      <c r="A248" s="66" t="s">
        <v>11</v>
      </c>
      <c r="B248" s="94">
        <f t="shared" si="6"/>
        <v>44807</v>
      </c>
      <c r="C248" s="68">
        <v>9.0</v>
      </c>
      <c r="D248" s="68" t="s">
        <v>33</v>
      </c>
      <c r="E248" s="70" t="s">
        <v>131</v>
      </c>
      <c r="F248" s="71"/>
      <c r="H248" s="72"/>
      <c r="J248" s="72"/>
      <c r="L248" s="105">
        <v>65.0</v>
      </c>
      <c r="N248" s="104">
        <v>59.0</v>
      </c>
      <c r="P248" s="104">
        <v>0.0</v>
      </c>
      <c r="R248" s="104">
        <v>0.0</v>
      </c>
      <c r="T248" s="104">
        <v>1.0</v>
      </c>
      <c r="V248" s="104">
        <v>1.0</v>
      </c>
      <c r="X248" s="104">
        <v>0.0</v>
      </c>
      <c r="Y248" s="73"/>
      <c r="Z248" s="105"/>
      <c r="AB248" s="104"/>
      <c r="AD248" s="104"/>
      <c r="AF248" s="74">
        <f t="shared" si="1"/>
        <v>2846.844</v>
      </c>
      <c r="AG248" s="68">
        <f t="shared" si="2"/>
        <v>124</v>
      </c>
      <c r="AH248" s="68">
        <f t="shared" si="3"/>
        <v>2</v>
      </c>
      <c r="AI248" s="68">
        <f t="shared" si="4"/>
        <v>126</v>
      </c>
      <c r="AJ248" s="75">
        <f t="shared" si="5"/>
        <v>22.594</v>
      </c>
    </row>
    <row r="249">
      <c r="A249" s="76" t="s">
        <v>16</v>
      </c>
      <c r="B249" s="77">
        <f t="shared" si="6"/>
        <v>44808</v>
      </c>
      <c r="C249" s="78">
        <v>9.0</v>
      </c>
      <c r="D249" s="78" t="s">
        <v>33</v>
      </c>
      <c r="E249" s="80" t="s">
        <v>131</v>
      </c>
      <c r="F249" s="71"/>
      <c r="H249" s="72"/>
      <c r="J249" s="72"/>
      <c r="L249" s="105">
        <v>0.0</v>
      </c>
      <c r="N249" s="104">
        <v>81.0</v>
      </c>
      <c r="P249" s="104">
        <v>60.0</v>
      </c>
      <c r="R249" s="104">
        <v>36.0</v>
      </c>
      <c r="T249" s="104">
        <v>0.0</v>
      </c>
      <c r="V249" s="104">
        <v>0.0</v>
      </c>
      <c r="X249" s="104">
        <v>41.0</v>
      </c>
      <c r="Y249" s="73"/>
      <c r="Z249" s="105"/>
      <c r="AB249" s="104"/>
      <c r="AD249" s="104"/>
      <c r="AF249" s="81">
        <f t="shared" si="1"/>
        <v>2989.203</v>
      </c>
      <c r="AG249" s="78">
        <f t="shared" si="2"/>
        <v>218</v>
      </c>
      <c r="AH249" s="78">
        <f t="shared" si="3"/>
        <v>0</v>
      </c>
      <c r="AI249" s="78">
        <f t="shared" si="4"/>
        <v>218</v>
      </c>
      <c r="AJ249" s="82">
        <f t="shared" si="5"/>
        <v>13.71194037</v>
      </c>
    </row>
    <row r="250">
      <c r="A250" s="76" t="s">
        <v>17</v>
      </c>
      <c r="B250" s="77">
        <f t="shared" si="6"/>
        <v>44809</v>
      </c>
      <c r="C250" s="78">
        <v>9.0</v>
      </c>
      <c r="D250" s="78" t="s">
        <v>33</v>
      </c>
      <c r="E250" s="80" t="s">
        <v>131</v>
      </c>
      <c r="F250" s="71"/>
      <c r="H250" s="72"/>
      <c r="J250" s="72"/>
      <c r="L250" s="105">
        <v>72.0</v>
      </c>
      <c r="N250" s="104">
        <v>84.0</v>
      </c>
      <c r="P250" s="104">
        <v>0.0</v>
      </c>
      <c r="R250" s="104">
        <v>0.0</v>
      </c>
      <c r="T250" s="104">
        <v>0.0</v>
      </c>
      <c r="V250" s="104">
        <v>0.0</v>
      </c>
      <c r="X250" s="104">
        <v>0.0</v>
      </c>
      <c r="Y250" s="73"/>
      <c r="Z250" s="105"/>
      <c r="AB250" s="104"/>
      <c r="AD250" s="104"/>
      <c r="AF250" s="81">
        <f t="shared" si="1"/>
        <v>2656.836</v>
      </c>
      <c r="AG250" s="78">
        <f t="shared" si="2"/>
        <v>156</v>
      </c>
      <c r="AH250" s="78">
        <f t="shared" si="3"/>
        <v>0</v>
      </c>
      <c r="AI250" s="78">
        <f t="shared" si="4"/>
        <v>156</v>
      </c>
      <c r="AJ250" s="82">
        <f t="shared" si="5"/>
        <v>17.031</v>
      </c>
    </row>
    <row r="251">
      <c r="A251" s="76" t="s">
        <v>21</v>
      </c>
      <c r="B251" s="77">
        <f t="shared" si="6"/>
        <v>44810</v>
      </c>
      <c r="C251" s="78">
        <v>9.0</v>
      </c>
      <c r="D251" s="78" t="s">
        <v>33</v>
      </c>
      <c r="E251" s="80" t="s">
        <v>131</v>
      </c>
      <c r="F251" s="71"/>
      <c r="H251" s="72"/>
      <c r="J251" s="72"/>
      <c r="L251" s="105">
        <v>0.0</v>
      </c>
      <c r="N251" s="104">
        <v>89.0</v>
      </c>
      <c r="P251" s="104">
        <v>60.0</v>
      </c>
      <c r="R251" s="104">
        <v>33.0</v>
      </c>
      <c r="T251" s="104">
        <v>0.0</v>
      </c>
      <c r="V251" s="104">
        <v>0.0</v>
      </c>
      <c r="X251" s="104">
        <v>32.0</v>
      </c>
      <c r="Y251" s="73"/>
      <c r="Z251" s="105"/>
      <c r="AB251" s="104"/>
      <c r="AD251" s="104"/>
      <c r="AF251" s="81">
        <f t="shared" si="1"/>
        <v>3029.565</v>
      </c>
      <c r="AG251" s="78">
        <f t="shared" si="2"/>
        <v>214</v>
      </c>
      <c r="AH251" s="78">
        <f t="shared" si="3"/>
        <v>0</v>
      </c>
      <c r="AI251" s="78">
        <f t="shared" si="4"/>
        <v>214</v>
      </c>
      <c r="AJ251" s="82">
        <f t="shared" si="5"/>
        <v>14.15684579</v>
      </c>
    </row>
    <row r="252">
      <c r="A252" s="76" t="s">
        <v>24</v>
      </c>
      <c r="B252" s="77">
        <f t="shared" si="6"/>
        <v>44811</v>
      </c>
      <c r="C252" s="78">
        <v>9.0</v>
      </c>
      <c r="D252" s="78" t="s">
        <v>33</v>
      </c>
      <c r="E252" s="80" t="s">
        <v>131</v>
      </c>
      <c r="F252" s="71"/>
      <c r="H252" s="72"/>
      <c r="J252" s="72"/>
      <c r="L252" s="105">
        <v>83.0</v>
      </c>
      <c r="N252" s="104">
        <v>89.0</v>
      </c>
      <c r="P252" s="104">
        <v>0.0</v>
      </c>
      <c r="R252" s="104">
        <v>0.0</v>
      </c>
      <c r="T252" s="104">
        <v>0.0</v>
      </c>
      <c r="V252" s="104">
        <v>0.0</v>
      </c>
      <c r="X252" s="104">
        <v>0.0</v>
      </c>
      <c r="Y252" s="73"/>
      <c r="Z252" s="105"/>
      <c r="AB252" s="104"/>
      <c r="AD252" s="104"/>
      <c r="AF252" s="81">
        <f t="shared" si="1"/>
        <v>2929.332</v>
      </c>
      <c r="AG252" s="78">
        <f t="shared" si="2"/>
        <v>172</v>
      </c>
      <c r="AH252" s="78">
        <f t="shared" si="3"/>
        <v>0</v>
      </c>
      <c r="AI252" s="78">
        <f t="shared" si="4"/>
        <v>172</v>
      </c>
      <c r="AJ252" s="82">
        <f t="shared" si="5"/>
        <v>17.031</v>
      </c>
    </row>
    <row r="253">
      <c r="A253" s="76" t="s">
        <v>27</v>
      </c>
      <c r="B253" s="77">
        <f t="shared" si="6"/>
        <v>44812</v>
      </c>
      <c r="C253" s="78">
        <v>9.0</v>
      </c>
      <c r="D253" s="78" t="s">
        <v>33</v>
      </c>
      <c r="E253" s="80" t="s">
        <v>131</v>
      </c>
      <c r="F253" s="71"/>
      <c r="H253" s="72"/>
      <c r="J253" s="72"/>
      <c r="L253" s="105">
        <v>70.0</v>
      </c>
      <c r="N253" s="104">
        <v>60.0</v>
      </c>
      <c r="P253" s="104">
        <v>0.0</v>
      </c>
      <c r="R253" s="104">
        <v>0.0</v>
      </c>
      <c r="T253" s="104">
        <v>0.0</v>
      </c>
      <c r="V253" s="104">
        <v>0.0</v>
      </c>
      <c r="X253" s="104">
        <v>0.0</v>
      </c>
      <c r="Y253" s="73"/>
      <c r="Z253" s="105"/>
      <c r="AB253" s="104"/>
      <c r="AD253" s="104"/>
      <c r="AF253" s="81">
        <f t="shared" si="1"/>
        <v>2214.03</v>
      </c>
      <c r="AG253" s="78">
        <f t="shared" si="2"/>
        <v>130</v>
      </c>
      <c r="AH253" s="78">
        <f t="shared" si="3"/>
        <v>0</v>
      </c>
      <c r="AI253" s="78">
        <f t="shared" si="4"/>
        <v>130</v>
      </c>
      <c r="AJ253" s="82">
        <f t="shared" si="5"/>
        <v>17.031</v>
      </c>
    </row>
    <row r="254">
      <c r="A254" s="83" t="s">
        <v>30</v>
      </c>
      <c r="B254" s="84">
        <f t="shared" si="6"/>
        <v>44813</v>
      </c>
      <c r="C254" s="85">
        <v>9.0</v>
      </c>
      <c r="D254" s="85" t="s">
        <v>33</v>
      </c>
      <c r="E254" s="87" t="s">
        <v>131</v>
      </c>
      <c r="F254" s="88"/>
      <c r="G254" s="89"/>
      <c r="H254" s="90"/>
      <c r="I254" s="89"/>
      <c r="J254" s="90"/>
      <c r="K254" s="89"/>
      <c r="L254" s="112">
        <v>0.0</v>
      </c>
      <c r="M254" s="89"/>
      <c r="N254" s="111">
        <v>0.0</v>
      </c>
      <c r="O254" s="89"/>
      <c r="P254" s="111">
        <v>0.0</v>
      </c>
      <c r="Q254" s="89"/>
      <c r="R254" s="111">
        <v>0.0</v>
      </c>
      <c r="S254" s="89"/>
      <c r="T254" s="111">
        <v>0.0</v>
      </c>
      <c r="U254" s="89"/>
      <c r="V254" s="111">
        <v>0.0</v>
      </c>
      <c r="W254" s="89"/>
      <c r="X254" s="111">
        <v>0.0</v>
      </c>
      <c r="Y254" s="91"/>
      <c r="Z254" s="112"/>
      <c r="AA254" s="89"/>
      <c r="AB254" s="111"/>
      <c r="AC254" s="89"/>
      <c r="AD254" s="111"/>
      <c r="AE254" s="89"/>
      <c r="AF254" s="92">
        <f t="shared" si="1"/>
        <v>0</v>
      </c>
      <c r="AG254" s="85">
        <f t="shared" si="2"/>
        <v>0</v>
      </c>
      <c r="AH254" s="85">
        <f t="shared" si="3"/>
        <v>0</v>
      </c>
      <c r="AI254" s="85">
        <f t="shared" si="4"/>
        <v>0</v>
      </c>
      <c r="AJ254" s="93" t="str">
        <f t="shared" si="5"/>
        <v/>
      </c>
    </row>
    <row r="255">
      <c r="A255" s="66" t="s">
        <v>11</v>
      </c>
      <c r="B255" s="94">
        <f t="shared" si="6"/>
        <v>44814</v>
      </c>
      <c r="C255" s="68">
        <v>10.0</v>
      </c>
      <c r="D255" s="68" t="s">
        <v>48</v>
      </c>
      <c r="E255" s="70" t="s">
        <v>131</v>
      </c>
      <c r="F255" s="71"/>
      <c r="H255" s="72"/>
      <c r="J255" s="72"/>
      <c r="L255" s="105">
        <v>0.0</v>
      </c>
      <c r="N255" s="104">
        <v>0.0</v>
      </c>
      <c r="P255" s="104">
        <v>0.0</v>
      </c>
      <c r="R255" s="104">
        <v>0.0</v>
      </c>
      <c r="T255" s="104">
        <v>1.0</v>
      </c>
      <c r="V255" s="104">
        <v>1.0</v>
      </c>
      <c r="X255" s="104">
        <v>0.0</v>
      </c>
      <c r="Y255" s="73"/>
      <c r="Z255" s="105"/>
      <c r="AB255" s="104"/>
      <c r="AD255" s="104"/>
      <c r="AF255" s="74">
        <f t="shared" si="1"/>
        <v>735</v>
      </c>
      <c r="AG255" s="68">
        <f t="shared" si="2"/>
        <v>0</v>
      </c>
      <c r="AH255" s="68">
        <f t="shared" si="3"/>
        <v>2</v>
      </c>
      <c r="AI255" s="68">
        <f t="shared" si="4"/>
        <v>2</v>
      </c>
      <c r="AJ255" s="75">
        <f t="shared" si="5"/>
        <v>367.5</v>
      </c>
    </row>
    <row r="256">
      <c r="A256" s="76" t="s">
        <v>16</v>
      </c>
      <c r="B256" s="77">
        <f t="shared" si="6"/>
        <v>44815</v>
      </c>
      <c r="C256" s="78">
        <v>10.0</v>
      </c>
      <c r="D256" s="78" t="s">
        <v>48</v>
      </c>
      <c r="E256" s="80" t="s">
        <v>131</v>
      </c>
      <c r="F256" s="71"/>
      <c r="H256" s="72"/>
      <c r="J256" s="72"/>
      <c r="L256" s="105">
        <v>75.0</v>
      </c>
      <c r="N256" s="104">
        <v>86.0</v>
      </c>
      <c r="P256" s="104">
        <v>0.0</v>
      </c>
      <c r="R256" s="104">
        <v>0.0</v>
      </c>
      <c r="T256" s="104">
        <v>0.0</v>
      </c>
      <c r="V256" s="104">
        <v>0.0</v>
      </c>
      <c r="X256" s="104">
        <v>0.0</v>
      </c>
      <c r="Y256" s="73"/>
      <c r="Z256" s="105"/>
      <c r="AB256" s="104"/>
      <c r="AD256" s="104"/>
      <c r="AF256" s="81">
        <f t="shared" si="1"/>
        <v>2741.991</v>
      </c>
      <c r="AG256" s="78">
        <f t="shared" si="2"/>
        <v>161</v>
      </c>
      <c r="AH256" s="78">
        <f t="shared" si="3"/>
        <v>0</v>
      </c>
      <c r="AI256" s="78">
        <f t="shared" si="4"/>
        <v>161</v>
      </c>
      <c r="AJ256" s="82">
        <f t="shared" si="5"/>
        <v>17.031</v>
      </c>
    </row>
    <row r="257">
      <c r="A257" s="76" t="s">
        <v>17</v>
      </c>
      <c r="B257" s="77">
        <f t="shared" si="6"/>
        <v>44816</v>
      </c>
      <c r="C257" s="78">
        <v>10.0</v>
      </c>
      <c r="D257" s="78" t="s">
        <v>48</v>
      </c>
      <c r="E257" s="80" t="s">
        <v>131</v>
      </c>
      <c r="F257" s="71"/>
      <c r="H257" s="72"/>
      <c r="J257" s="72"/>
      <c r="L257" s="105">
        <v>81.0</v>
      </c>
      <c r="N257" s="104">
        <v>89.0</v>
      </c>
      <c r="P257" s="104">
        <v>0.0</v>
      </c>
      <c r="R257" s="104">
        <v>0.0</v>
      </c>
      <c r="T257" s="104">
        <v>0.0</v>
      </c>
      <c r="V257" s="104">
        <v>0.0</v>
      </c>
      <c r="X257" s="104">
        <v>0.0</v>
      </c>
      <c r="Y257" s="73"/>
      <c r="Z257" s="105"/>
      <c r="AB257" s="104"/>
      <c r="AD257" s="104"/>
      <c r="AF257" s="81">
        <f t="shared" si="1"/>
        <v>2895.27</v>
      </c>
      <c r="AG257" s="78">
        <f t="shared" si="2"/>
        <v>170</v>
      </c>
      <c r="AH257" s="78">
        <f t="shared" si="3"/>
        <v>0</v>
      </c>
      <c r="AI257" s="78">
        <f t="shared" si="4"/>
        <v>170</v>
      </c>
      <c r="AJ257" s="82">
        <f t="shared" si="5"/>
        <v>17.031</v>
      </c>
    </row>
    <row r="258">
      <c r="A258" s="76" t="s">
        <v>21</v>
      </c>
      <c r="B258" s="77">
        <f t="shared" si="6"/>
        <v>44817</v>
      </c>
      <c r="C258" s="78">
        <v>10.0</v>
      </c>
      <c r="D258" s="78" t="s">
        <v>48</v>
      </c>
      <c r="E258" s="80" t="s">
        <v>131</v>
      </c>
      <c r="F258" s="71"/>
      <c r="H258" s="72"/>
      <c r="J258" s="72"/>
      <c r="L258" s="105">
        <v>87.0</v>
      </c>
      <c r="N258" s="104">
        <v>93.0</v>
      </c>
      <c r="P258" s="104">
        <v>0.0</v>
      </c>
      <c r="R258" s="104">
        <v>0.0</v>
      </c>
      <c r="T258" s="104">
        <v>0.0</v>
      </c>
      <c r="V258" s="104">
        <v>0.0</v>
      </c>
      <c r="X258" s="104">
        <v>0.0</v>
      </c>
      <c r="Y258" s="73"/>
      <c r="Z258" s="105"/>
      <c r="AB258" s="104"/>
      <c r="AD258" s="104"/>
      <c r="AF258" s="81">
        <f t="shared" si="1"/>
        <v>3065.58</v>
      </c>
      <c r="AG258" s="78">
        <f t="shared" si="2"/>
        <v>180</v>
      </c>
      <c r="AH258" s="78">
        <f t="shared" si="3"/>
        <v>0</v>
      </c>
      <c r="AI258" s="78">
        <f t="shared" si="4"/>
        <v>180</v>
      </c>
      <c r="AJ258" s="82">
        <f t="shared" si="5"/>
        <v>17.031</v>
      </c>
    </row>
    <row r="259">
      <c r="A259" s="76" t="s">
        <v>24</v>
      </c>
      <c r="B259" s="77">
        <f t="shared" si="6"/>
        <v>44818</v>
      </c>
      <c r="C259" s="78">
        <v>10.0</v>
      </c>
      <c r="D259" s="78" t="s">
        <v>48</v>
      </c>
      <c r="E259" s="80" t="s">
        <v>131</v>
      </c>
      <c r="F259" s="71"/>
      <c r="H259" s="72"/>
      <c r="J259" s="72"/>
      <c r="L259" s="105">
        <v>88.0</v>
      </c>
      <c r="N259" s="104">
        <v>89.0</v>
      </c>
      <c r="P259" s="104">
        <v>0.0</v>
      </c>
      <c r="R259" s="104">
        <v>0.0</v>
      </c>
      <c r="T259" s="104">
        <v>0.0</v>
      </c>
      <c r="V259" s="104">
        <v>0.0</v>
      </c>
      <c r="X259" s="104">
        <v>0.0</v>
      </c>
      <c r="Y259" s="73"/>
      <c r="Z259" s="105"/>
      <c r="AB259" s="104"/>
      <c r="AD259" s="104"/>
      <c r="AF259" s="81">
        <f t="shared" si="1"/>
        <v>3014.487</v>
      </c>
      <c r="AG259" s="78">
        <f t="shared" si="2"/>
        <v>177</v>
      </c>
      <c r="AH259" s="78">
        <f t="shared" si="3"/>
        <v>0</v>
      </c>
      <c r="AI259" s="78">
        <f t="shared" si="4"/>
        <v>177</v>
      </c>
      <c r="AJ259" s="82">
        <f t="shared" si="5"/>
        <v>17.031</v>
      </c>
    </row>
    <row r="260">
      <c r="A260" s="76" t="s">
        <v>27</v>
      </c>
      <c r="B260" s="77">
        <f t="shared" si="6"/>
        <v>44819</v>
      </c>
      <c r="C260" s="78">
        <v>10.0</v>
      </c>
      <c r="D260" s="78" t="s">
        <v>48</v>
      </c>
      <c r="E260" s="80" t="s">
        <v>131</v>
      </c>
      <c r="F260" s="71"/>
      <c r="H260" s="72"/>
      <c r="J260" s="72"/>
      <c r="L260" s="105">
        <v>79.0</v>
      </c>
      <c r="N260" s="104">
        <v>71.0</v>
      </c>
      <c r="P260" s="104">
        <v>0.0</v>
      </c>
      <c r="R260" s="104">
        <v>0.0</v>
      </c>
      <c r="T260" s="104">
        <v>0.0</v>
      </c>
      <c r="V260" s="104">
        <v>0.0</v>
      </c>
      <c r="X260" s="104">
        <v>0.0</v>
      </c>
      <c r="Y260" s="73"/>
      <c r="Z260" s="105"/>
      <c r="AB260" s="104"/>
      <c r="AD260" s="104"/>
      <c r="AF260" s="81">
        <f t="shared" si="1"/>
        <v>2554.65</v>
      </c>
      <c r="AG260" s="78">
        <f t="shared" si="2"/>
        <v>150</v>
      </c>
      <c r="AH260" s="78">
        <f t="shared" si="3"/>
        <v>0</v>
      </c>
      <c r="AI260" s="78">
        <f t="shared" si="4"/>
        <v>150</v>
      </c>
      <c r="AJ260" s="82">
        <f t="shared" si="5"/>
        <v>17.031</v>
      </c>
    </row>
    <row r="261">
      <c r="A261" s="83" t="s">
        <v>30</v>
      </c>
      <c r="B261" s="84">
        <f t="shared" si="6"/>
        <v>44820</v>
      </c>
      <c r="C261" s="85">
        <v>10.0</v>
      </c>
      <c r="D261" s="85" t="s">
        <v>48</v>
      </c>
      <c r="E261" s="87" t="s">
        <v>131</v>
      </c>
      <c r="F261" s="88"/>
      <c r="G261" s="89"/>
      <c r="H261" s="90"/>
      <c r="I261" s="89"/>
      <c r="J261" s="90"/>
      <c r="K261" s="89"/>
      <c r="L261" s="112">
        <v>0.0</v>
      </c>
      <c r="M261" s="89"/>
      <c r="N261" s="111">
        <v>0.0</v>
      </c>
      <c r="O261" s="89"/>
      <c r="P261" s="111">
        <v>0.0</v>
      </c>
      <c r="Q261" s="89"/>
      <c r="R261" s="111">
        <v>0.0</v>
      </c>
      <c r="S261" s="89"/>
      <c r="T261" s="111">
        <v>0.0</v>
      </c>
      <c r="U261" s="89"/>
      <c r="V261" s="111">
        <v>0.0</v>
      </c>
      <c r="W261" s="89"/>
      <c r="X261" s="111">
        <v>0.0</v>
      </c>
      <c r="Y261" s="91"/>
      <c r="Z261" s="112"/>
      <c r="AA261" s="89"/>
      <c r="AB261" s="111"/>
      <c r="AC261" s="89"/>
      <c r="AD261" s="111"/>
      <c r="AE261" s="89"/>
      <c r="AF261" s="92">
        <f t="shared" si="1"/>
        <v>0</v>
      </c>
      <c r="AG261" s="85">
        <f t="shared" si="2"/>
        <v>0</v>
      </c>
      <c r="AH261" s="85">
        <f t="shared" si="3"/>
        <v>0</v>
      </c>
      <c r="AI261" s="85">
        <f t="shared" si="4"/>
        <v>0</v>
      </c>
      <c r="AJ261" s="93" t="str">
        <f t="shared" si="5"/>
        <v/>
      </c>
    </row>
    <row r="262">
      <c r="A262" s="66" t="s">
        <v>11</v>
      </c>
      <c r="B262" s="94">
        <f t="shared" si="6"/>
        <v>44821</v>
      </c>
      <c r="C262" s="68">
        <v>10.0</v>
      </c>
      <c r="D262" s="68" t="s">
        <v>59</v>
      </c>
      <c r="E262" s="70" t="s">
        <v>131</v>
      </c>
      <c r="F262" s="71"/>
      <c r="H262" s="72"/>
      <c r="J262" s="72"/>
      <c r="L262" s="105">
        <v>77.0</v>
      </c>
      <c r="N262" s="104">
        <v>65.0</v>
      </c>
      <c r="P262" s="104">
        <v>0.0</v>
      </c>
      <c r="R262" s="104">
        <v>0.0</v>
      </c>
      <c r="T262" s="104">
        <v>1.0</v>
      </c>
      <c r="V262" s="104">
        <v>1.0</v>
      </c>
      <c r="X262" s="104">
        <v>0.0</v>
      </c>
      <c r="Y262" s="73"/>
      <c r="Z262" s="105"/>
      <c r="AB262" s="104"/>
      <c r="AD262" s="104"/>
      <c r="AF262" s="74">
        <f t="shared" si="1"/>
        <v>3153.402</v>
      </c>
      <c r="AG262" s="68">
        <f t="shared" si="2"/>
        <v>142</v>
      </c>
      <c r="AH262" s="68">
        <f t="shared" si="3"/>
        <v>2</v>
      </c>
      <c r="AI262" s="68">
        <f t="shared" si="4"/>
        <v>144</v>
      </c>
      <c r="AJ262" s="75">
        <f t="shared" si="5"/>
        <v>21.898625</v>
      </c>
    </row>
    <row r="263">
      <c r="A263" s="76" t="s">
        <v>16</v>
      </c>
      <c r="B263" s="77">
        <f t="shared" si="6"/>
        <v>44822</v>
      </c>
      <c r="C263" s="78">
        <v>10.0</v>
      </c>
      <c r="D263" s="78" t="s">
        <v>59</v>
      </c>
      <c r="E263" s="80" t="s">
        <v>131</v>
      </c>
      <c r="F263" s="71"/>
      <c r="H263" s="72"/>
      <c r="J263" s="72"/>
      <c r="L263" s="105">
        <v>77.0</v>
      </c>
      <c r="N263" s="104">
        <v>85.0</v>
      </c>
      <c r="P263" s="104">
        <v>0.0</v>
      </c>
      <c r="R263" s="104">
        <v>0.0</v>
      </c>
      <c r="T263" s="104">
        <v>0.0</v>
      </c>
      <c r="V263" s="104">
        <v>0.0</v>
      </c>
      <c r="X263" s="104">
        <v>0.0</v>
      </c>
      <c r="Y263" s="73"/>
      <c r="Z263" s="105"/>
      <c r="AB263" s="104"/>
      <c r="AD263" s="104"/>
      <c r="AF263" s="81">
        <f t="shared" si="1"/>
        <v>2759.022</v>
      </c>
      <c r="AG263" s="78">
        <f t="shared" si="2"/>
        <v>162</v>
      </c>
      <c r="AH263" s="78">
        <f t="shared" si="3"/>
        <v>0</v>
      </c>
      <c r="AI263" s="78">
        <f t="shared" si="4"/>
        <v>162</v>
      </c>
      <c r="AJ263" s="82">
        <f t="shared" si="5"/>
        <v>17.031</v>
      </c>
    </row>
    <row r="264">
      <c r="A264" s="76" t="s">
        <v>17</v>
      </c>
      <c r="B264" s="77">
        <f t="shared" si="6"/>
        <v>44823</v>
      </c>
      <c r="C264" s="78">
        <v>10.0</v>
      </c>
      <c r="D264" s="78" t="s">
        <v>59</v>
      </c>
      <c r="E264" s="80" t="s">
        <v>131</v>
      </c>
      <c r="F264" s="71"/>
      <c r="H264" s="72"/>
      <c r="J264" s="72"/>
      <c r="L264" s="105">
        <v>81.0</v>
      </c>
      <c r="N264" s="104">
        <v>69.0</v>
      </c>
      <c r="P264" s="104">
        <v>0.0</v>
      </c>
      <c r="R264" s="104">
        <v>0.0</v>
      </c>
      <c r="T264" s="104">
        <v>0.0</v>
      </c>
      <c r="V264" s="104">
        <v>0.0</v>
      </c>
      <c r="X264" s="104">
        <v>0.0</v>
      </c>
      <c r="Y264" s="73"/>
      <c r="Z264" s="105"/>
      <c r="AB264" s="104"/>
      <c r="AD264" s="104"/>
      <c r="AF264" s="81">
        <f t="shared" si="1"/>
        <v>2554.65</v>
      </c>
      <c r="AG264" s="78">
        <f t="shared" si="2"/>
        <v>150</v>
      </c>
      <c r="AH264" s="78">
        <f t="shared" si="3"/>
        <v>0</v>
      </c>
      <c r="AI264" s="78">
        <f t="shared" si="4"/>
        <v>150</v>
      </c>
      <c r="AJ264" s="82">
        <f t="shared" si="5"/>
        <v>17.031</v>
      </c>
    </row>
    <row r="265">
      <c r="A265" s="76" t="s">
        <v>21</v>
      </c>
      <c r="B265" s="77">
        <f t="shared" si="6"/>
        <v>44824</v>
      </c>
      <c r="C265" s="78">
        <v>10.0</v>
      </c>
      <c r="D265" s="78" t="s">
        <v>59</v>
      </c>
      <c r="E265" s="80" t="s">
        <v>131</v>
      </c>
      <c r="F265" s="71"/>
      <c r="H265" s="72"/>
      <c r="J265" s="72"/>
      <c r="L265" s="105">
        <v>76.0</v>
      </c>
      <c r="N265" s="104">
        <v>89.0</v>
      </c>
      <c r="P265" s="104">
        <v>0.0</v>
      </c>
      <c r="R265" s="104">
        <v>0.0</v>
      </c>
      <c r="T265" s="104">
        <v>0.0</v>
      </c>
      <c r="V265" s="104">
        <v>0.0</v>
      </c>
      <c r="X265" s="104">
        <v>0.0</v>
      </c>
      <c r="Y265" s="73"/>
      <c r="Z265" s="105"/>
      <c r="AB265" s="104"/>
      <c r="AD265" s="104"/>
      <c r="AF265" s="81">
        <f t="shared" si="1"/>
        <v>2810.115</v>
      </c>
      <c r="AG265" s="78">
        <f t="shared" si="2"/>
        <v>165</v>
      </c>
      <c r="AH265" s="78">
        <f t="shared" si="3"/>
        <v>0</v>
      </c>
      <c r="AI265" s="78">
        <f t="shared" si="4"/>
        <v>165</v>
      </c>
      <c r="AJ265" s="82">
        <f t="shared" si="5"/>
        <v>17.031</v>
      </c>
    </row>
    <row r="266">
      <c r="A266" s="76" t="s">
        <v>24</v>
      </c>
      <c r="B266" s="77">
        <f t="shared" si="6"/>
        <v>44825</v>
      </c>
      <c r="C266" s="78">
        <v>10.0</v>
      </c>
      <c r="D266" s="78" t="s">
        <v>59</v>
      </c>
      <c r="E266" s="80" t="s">
        <v>131</v>
      </c>
      <c r="F266" s="71"/>
      <c r="H266" s="72"/>
      <c r="J266" s="72"/>
      <c r="L266" s="105">
        <v>88.0</v>
      </c>
      <c r="N266" s="104">
        <v>89.0</v>
      </c>
      <c r="P266" s="104">
        <v>0.0</v>
      </c>
      <c r="R266" s="104">
        <v>0.0</v>
      </c>
      <c r="T266" s="104">
        <v>0.0</v>
      </c>
      <c r="V266" s="104">
        <v>0.0</v>
      </c>
      <c r="X266" s="104">
        <v>0.0</v>
      </c>
      <c r="Y266" s="73"/>
      <c r="Z266" s="105"/>
      <c r="AB266" s="104"/>
      <c r="AD266" s="104"/>
      <c r="AF266" s="81">
        <f t="shared" si="1"/>
        <v>3014.487</v>
      </c>
      <c r="AG266" s="78">
        <f t="shared" si="2"/>
        <v>177</v>
      </c>
      <c r="AH266" s="78">
        <f t="shared" si="3"/>
        <v>0</v>
      </c>
      <c r="AI266" s="78">
        <f t="shared" si="4"/>
        <v>177</v>
      </c>
      <c r="AJ266" s="82">
        <f t="shared" si="5"/>
        <v>17.031</v>
      </c>
    </row>
    <row r="267">
      <c r="A267" s="76" t="s">
        <v>27</v>
      </c>
      <c r="B267" s="77">
        <f t="shared" si="6"/>
        <v>44826</v>
      </c>
      <c r="C267" s="78">
        <v>10.0</v>
      </c>
      <c r="D267" s="78" t="s">
        <v>59</v>
      </c>
      <c r="E267" s="80" t="s">
        <v>131</v>
      </c>
      <c r="F267" s="71"/>
      <c r="H267" s="72"/>
      <c r="J267" s="72"/>
      <c r="L267" s="105">
        <v>87.0</v>
      </c>
      <c r="N267" s="104">
        <v>91.0</v>
      </c>
      <c r="P267" s="104">
        <v>0.0</v>
      </c>
      <c r="R267" s="104">
        <v>0.0</v>
      </c>
      <c r="T267" s="104">
        <v>0.0</v>
      </c>
      <c r="V267" s="104">
        <v>0.0</v>
      </c>
      <c r="X267" s="104">
        <v>0.0</v>
      </c>
      <c r="Y267" s="73"/>
      <c r="Z267" s="105"/>
      <c r="AB267" s="104"/>
      <c r="AD267" s="104"/>
      <c r="AF267" s="81">
        <f t="shared" si="1"/>
        <v>3031.518</v>
      </c>
      <c r="AG267" s="78">
        <f t="shared" si="2"/>
        <v>178</v>
      </c>
      <c r="AH267" s="78">
        <f t="shared" si="3"/>
        <v>0</v>
      </c>
      <c r="AI267" s="78">
        <f t="shared" si="4"/>
        <v>178</v>
      </c>
      <c r="AJ267" s="82">
        <f t="shared" si="5"/>
        <v>17.031</v>
      </c>
    </row>
    <row r="268">
      <c r="A268" s="83" t="s">
        <v>30</v>
      </c>
      <c r="B268" s="84">
        <f t="shared" si="6"/>
        <v>44827</v>
      </c>
      <c r="C268" s="85">
        <v>10.0</v>
      </c>
      <c r="D268" s="85" t="s">
        <v>59</v>
      </c>
      <c r="E268" s="87" t="s">
        <v>131</v>
      </c>
      <c r="F268" s="88"/>
      <c r="G268" s="89"/>
      <c r="H268" s="90"/>
      <c r="I268" s="89"/>
      <c r="J268" s="90"/>
      <c r="K268" s="89"/>
      <c r="L268" s="112">
        <v>0.0</v>
      </c>
      <c r="M268" s="89"/>
      <c r="N268" s="111">
        <v>0.0</v>
      </c>
      <c r="O268" s="89"/>
      <c r="P268" s="111">
        <v>0.0</v>
      </c>
      <c r="Q268" s="89"/>
      <c r="R268" s="111">
        <v>0.0</v>
      </c>
      <c r="S268" s="89"/>
      <c r="T268" s="111">
        <v>0.0</v>
      </c>
      <c r="U268" s="89"/>
      <c r="V268" s="111">
        <v>0.0</v>
      </c>
      <c r="W268" s="89"/>
      <c r="X268" s="111">
        <v>0.0</v>
      </c>
      <c r="Y268" s="91"/>
      <c r="Z268" s="112"/>
      <c r="AA268" s="89"/>
      <c r="AB268" s="111"/>
      <c r="AC268" s="89"/>
      <c r="AD268" s="111"/>
      <c r="AE268" s="89"/>
      <c r="AF268" s="92">
        <f t="shared" si="1"/>
        <v>0</v>
      </c>
      <c r="AG268" s="85">
        <f t="shared" si="2"/>
        <v>0</v>
      </c>
      <c r="AH268" s="85">
        <f t="shared" si="3"/>
        <v>0</v>
      </c>
      <c r="AI268" s="85">
        <f t="shared" si="4"/>
        <v>0</v>
      </c>
      <c r="AJ268" s="93" t="str">
        <f t="shared" si="5"/>
        <v/>
      </c>
    </row>
    <row r="269">
      <c r="A269" s="66" t="s">
        <v>11</v>
      </c>
      <c r="B269" s="94">
        <f t="shared" si="6"/>
        <v>44828</v>
      </c>
      <c r="C269" s="68">
        <v>10.0</v>
      </c>
      <c r="D269" s="68" t="s">
        <v>12</v>
      </c>
      <c r="E269" s="70" t="s">
        <v>131</v>
      </c>
      <c r="F269" s="71"/>
      <c r="H269" s="72"/>
      <c r="J269" s="72"/>
      <c r="L269" s="105">
        <v>81.0</v>
      </c>
      <c r="N269" s="104">
        <v>110.0</v>
      </c>
      <c r="P269" s="104">
        <v>0.0</v>
      </c>
      <c r="R269" s="104">
        <v>0.0</v>
      </c>
      <c r="T269" s="104">
        <v>1.0</v>
      </c>
      <c r="V269" s="104">
        <v>1.0</v>
      </c>
      <c r="X269" s="104">
        <v>0.0</v>
      </c>
      <c r="Y269" s="73"/>
      <c r="Z269" s="105"/>
      <c r="AB269" s="104"/>
      <c r="AD269" s="104"/>
      <c r="AF269" s="74">
        <f t="shared" si="1"/>
        <v>3987.921</v>
      </c>
      <c r="AG269" s="68">
        <f t="shared" si="2"/>
        <v>191</v>
      </c>
      <c r="AH269" s="68">
        <f t="shared" si="3"/>
        <v>2</v>
      </c>
      <c r="AI269" s="68">
        <f t="shared" si="4"/>
        <v>193</v>
      </c>
      <c r="AJ269" s="75">
        <f t="shared" si="5"/>
        <v>20.66280311</v>
      </c>
    </row>
    <row r="270">
      <c r="A270" s="76" t="s">
        <v>16</v>
      </c>
      <c r="B270" s="77">
        <f t="shared" si="6"/>
        <v>44829</v>
      </c>
      <c r="C270" s="78">
        <v>10.0</v>
      </c>
      <c r="D270" s="78" t="s">
        <v>12</v>
      </c>
      <c r="E270" s="80" t="s">
        <v>131</v>
      </c>
      <c r="F270" s="71"/>
      <c r="H270" s="72"/>
      <c r="J270" s="72"/>
      <c r="L270" s="105">
        <v>88.0</v>
      </c>
      <c r="N270" s="104">
        <v>72.0</v>
      </c>
      <c r="P270" s="104">
        <v>0.0</v>
      </c>
      <c r="R270" s="104">
        <v>0.0</v>
      </c>
      <c r="T270" s="104">
        <v>0.0</v>
      </c>
      <c r="V270" s="104">
        <v>0.0</v>
      </c>
      <c r="X270" s="104">
        <v>0.0</v>
      </c>
      <c r="Y270" s="73"/>
      <c r="Z270" s="105"/>
      <c r="AB270" s="104"/>
      <c r="AD270" s="104"/>
      <c r="AF270" s="81">
        <f t="shared" si="1"/>
        <v>2724.96</v>
      </c>
      <c r="AG270" s="78">
        <f t="shared" si="2"/>
        <v>160</v>
      </c>
      <c r="AH270" s="78">
        <f t="shared" si="3"/>
        <v>0</v>
      </c>
      <c r="AI270" s="78">
        <f t="shared" si="4"/>
        <v>160</v>
      </c>
      <c r="AJ270" s="82">
        <f t="shared" si="5"/>
        <v>17.031</v>
      </c>
    </row>
    <row r="271">
      <c r="A271" s="76" t="s">
        <v>17</v>
      </c>
      <c r="B271" s="77">
        <f t="shared" si="6"/>
        <v>44830</v>
      </c>
      <c r="C271" s="78">
        <v>10.0</v>
      </c>
      <c r="D271" s="78" t="s">
        <v>12</v>
      </c>
      <c r="E271" s="80" t="s">
        <v>131</v>
      </c>
      <c r="F271" s="71"/>
      <c r="H271" s="72"/>
      <c r="J271" s="72"/>
      <c r="L271" s="105">
        <v>86.0</v>
      </c>
      <c r="N271" s="104">
        <v>92.0</v>
      </c>
      <c r="P271" s="104">
        <v>0.0</v>
      </c>
      <c r="R271" s="104">
        <v>0.0</v>
      </c>
      <c r="T271" s="104">
        <v>0.0</v>
      </c>
      <c r="V271" s="104">
        <v>0.0</v>
      </c>
      <c r="X271" s="104">
        <v>0.0</v>
      </c>
      <c r="Y271" s="73"/>
      <c r="Z271" s="105"/>
      <c r="AB271" s="104"/>
      <c r="AD271" s="104"/>
      <c r="AF271" s="81">
        <f t="shared" si="1"/>
        <v>3031.518</v>
      </c>
      <c r="AG271" s="78">
        <f t="shared" si="2"/>
        <v>178</v>
      </c>
      <c r="AH271" s="78">
        <f t="shared" si="3"/>
        <v>0</v>
      </c>
      <c r="AI271" s="78">
        <f t="shared" si="4"/>
        <v>178</v>
      </c>
      <c r="AJ271" s="82">
        <f t="shared" si="5"/>
        <v>17.031</v>
      </c>
    </row>
    <row r="272">
      <c r="A272" s="76" t="s">
        <v>21</v>
      </c>
      <c r="B272" s="77">
        <f t="shared" si="6"/>
        <v>44831</v>
      </c>
      <c r="C272" s="78">
        <v>10.0</v>
      </c>
      <c r="D272" s="78" t="s">
        <v>12</v>
      </c>
      <c r="E272" s="80" t="s">
        <v>131</v>
      </c>
      <c r="F272" s="71"/>
      <c r="H272" s="72"/>
      <c r="J272" s="72"/>
      <c r="L272" s="105">
        <v>78.0</v>
      </c>
      <c r="N272" s="104">
        <v>90.0</v>
      </c>
      <c r="P272" s="104">
        <v>0.0</v>
      </c>
      <c r="R272" s="104">
        <v>0.0</v>
      </c>
      <c r="T272" s="104">
        <v>0.0</v>
      </c>
      <c r="V272" s="104">
        <v>0.0</v>
      </c>
      <c r="X272" s="104">
        <v>0.0</v>
      </c>
      <c r="Y272" s="73"/>
      <c r="Z272" s="105"/>
      <c r="AB272" s="104"/>
      <c r="AD272" s="104"/>
      <c r="AF272" s="81">
        <f t="shared" si="1"/>
        <v>2861.208</v>
      </c>
      <c r="AG272" s="78">
        <f t="shared" si="2"/>
        <v>168</v>
      </c>
      <c r="AH272" s="78">
        <f t="shared" si="3"/>
        <v>0</v>
      </c>
      <c r="AI272" s="78">
        <f t="shared" si="4"/>
        <v>168</v>
      </c>
      <c r="AJ272" s="82">
        <f t="shared" si="5"/>
        <v>17.031</v>
      </c>
    </row>
    <row r="273">
      <c r="A273" s="76" t="s">
        <v>24</v>
      </c>
      <c r="B273" s="77">
        <f t="shared" si="6"/>
        <v>44832</v>
      </c>
      <c r="C273" s="78">
        <v>10.0</v>
      </c>
      <c r="D273" s="78" t="s">
        <v>12</v>
      </c>
      <c r="E273" s="80" t="s">
        <v>131</v>
      </c>
      <c r="F273" s="71"/>
      <c r="H273" s="72"/>
      <c r="J273" s="72"/>
      <c r="L273" s="105">
        <v>92.0</v>
      </c>
      <c r="N273" s="104">
        <v>66.0</v>
      </c>
      <c r="P273" s="104">
        <v>0.0</v>
      </c>
      <c r="R273" s="104">
        <v>0.0</v>
      </c>
      <c r="T273" s="104">
        <v>0.0</v>
      </c>
      <c r="V273" s="104">
        <v>0.0</v>
      </c>
      <c r="X273" s="104">
        <v>0.0</v>
      </c>
      <c r="Y273" s="73"/>
      <c r="Z273" s="105"/>
      <c r="AB273" s="104"/>
      <c r="AD273" s="104"/>
      <c r="AF273" s="81">
        <f t="shared" si="1"/>
        <v>2690.898</v>
      </c>
      <c r="AG273" s="78">
        <f t="shared" si="2"/>
        <v>158</v>
      </c>
      <c r="AH273" s="78">
        <f t="shared" si="3"/>
        <v>0</v>
      </c>
      <c r="AI273" s="78">
        <f t="shared" si="4"/>
        <v>158</v>
      </c>
      <c r="AJ273" s="82">
        <f t="shared" si="5"/>
        <v>17.031</v>
      </c>
    </row>
    <row r="274">
      <c r="A274" s="76" t="s">
        <v>27</v>
      </c>
      <c r="B274" s="77">
        <f t="shared" si="6"/>
        <v>44833</v>
      </c>
      <c r="C274" s="78">
        <v>10.0</v>
      </c>
      <c r="D274" s="78" t="s">
        <v>12</v>
      </c>
      <c r="E274" s="80" t="s">
        <v>131</v>
      </c>
      <c r="F274" s="71"/>
      <c r="H274" s="72"/>
      <c r="J274" s="72"/>
      <c r="L274" s="105">
        <v>88.0</v>
      </c>
      <c r="N274" s="104">
        <v>67.0</v>
      </c>
      <c r="P274" s="104">
        <v>0.0</v>
      </c>
      <c r="R274" s="104">
        <v>0.0</v>
      </c>
      <c r="T274" s="104">
        <v>0.0</v>
      </c>
      <c r="V274" s="104">
        <v>0.0</v>
      </c>
      <c r="X274" s="104">
        <v>0.0</v>
      </c>
      <c r="Y274" s="73"/>
      <c r="Z274" s="105"/>
      <c r="AB274" s="104"/>
      <c r="AD274" s="104"/>
      <c r="AF274" s="81">
        <f t="shared" si="1"/>
        <v>2639.805</v>
      </c>
      <c r="AG274" s="78">
        <f t="shared" si="2"/>
        <v>155</v>
      </c>
      <c r="AH274" s="78">
        <f t="shared" si="3"/>
        <v>0</v>
      </c>
      <c r="AI274" s="78">
        <f t="shared" si="4"/>
        <v>155</v>
      </c>
      <c r="AJ274" s="82">
        <f t="shared" si="5"/>
        <v>17.031</v>
      </c>
    </row>
    <row r="275">
      <c r="A275" s="83" t="s">
        <v>30</v>
      </c>
      <c r="B275" s="84">
        <f t="shared" si="6"/>
        <v>44834</v>
      </c>
      <c r="C275" s="85">
        <v>10.0</v>
      </c>
      <c r="D275" s="85" t="s">
        <v>12</v>
      </c>
      <c r="E275" s="87" t="s">
        <v>131</v>
      </c>
      <c r="F275" s="88"/>
      <c r="G275" s="89"/>
      <c r="H275" s="90"/>
      <c r="I275" s="89"/>
      <c r="J275" s="90"/>
      <c r="K275" s="89"/>
      <c r="L275" s="112">
        <v>0.0</v>
      </c>
      <c r="M275" s="89"/>
      <c r="N275" s="111">
        <v>0.0</v>
      </c>
      <c r="O275" s="89"/>
      <c r="P275" s="111">
        <v>0.0</v>
      </c>
      <c r="Q275" s="89"/>
      <c r="R275" s="111">
        <v>0.0</v>
      </c>
      <c r="S275" s="89"/>
      <c r="T275" s="111">
        <v>0.0</v>
      </c>
      <c r="U275" s="89"/>
      <c r="V275" s="111">
        <v>0.0</v>
      </c>
      <c r="W275" s="89"/>
      <c r="X275" s="111">
        <v>0.0</v>
      </c>
      <c r="Y275" s="91"/>
      <c r="Z275" s="112"/>
      <c r="AA275" s="89"/>
      <c r="AB275" s="111"/>
      <c r="AC275" s="89"/>
      <c r="AD275" s="111"/>
      <c r="AE275" s="89"/>
      <c r="AF275" s="92">
        <f t="shared" si="1"/>
        <v>0</v>
      </c>
      <c r="AG275" s="85">
        <f t="shared" si="2"/>
        <v>0</v>
      </c>
      <c r="AH275" s="85">
        <f t="shared" si="3"/>
        <v>0</v>
      </c>
      <c r="AI275" s="85">
        <f t="shared" si="4"/>
        <v>0</v>
      </c>
      <c r="AJ275" s="93" t="str">
        <f t="shared" si="5"/>
        <v/>
      </c>
    </row>
    <row r="276">
      <c r="A276" s="66" t="s">
        <v>11</v>
      </c>
      <c r="B276" s="94">
        <f t="shared" si="6"/>
        <v>44835</v>
      </c>
      <c r="C276" s="68">
        <v>10.0</v>
      </c>
      <c r="D276" s="68" t="s">
        <v>33</v>
      </c>
      <c r="E276" s="70" t="s">
        <v>131</v>
      </c>
      <c r="F276" s="71"/>
      <c r="H276" s="72"/>
      <c r="J276" s="72"/>
      <c r="L276" s="105">
        <v>44.0</v>
      </c>
      <c r="N276" s="104">
        <v>46.0</v>
      </c>
      <c r="P276" s="104">
        <v>0.0</v>
      </c>
      <c r="R276" s="104">
        <v>0.0</v>
      </c>
      <c r="T276" s="104">
        <v>1.0</v>
      </c>
      <c r="V276" s="104">
        <v>1.0</v>
      </c>
      <c r="X276" s="104">
        <v>0.0</v>
      </c>
      <c r="Y276" s="73"/>
      <c r="Z276" s="105"/>
      <c r="AB276" s="104"/>
      <c r="AD276" s="104"/>
      <c r="AF276" s="74">
        <f t="shared" si="1"/>
        <v>2267.79</v>
      </c>
      <c r="AG276" s="68">
        <f t="shared" si="2"/>
        <v>90</v>
      </c>
      <c r="AH276" s="68">
        <f t="shared" si="3"/>
        <v>2</v>
      </c>
      <c r="AI276" s="68">
        <f t="shared" si="4"/>
        <v>92</v>
      </c>
      <c r="AJ276" s="75">
        <f t="shared" si="5"/>
        <v>24.6498913</v>
      </c>
    </row>
    <row r="277">
      <c r="A277" s="76" t="s">
        <v>16</v>
      </c>
      <c r="B277" s="77">
        <f t="shared" si="6"/>
        <v>44836</v>
      </c>
      <c r="C277" s="78">
        <v>10.0</v>
      </c>
      <c r="D277" s="78" t="s">
        <v>33</v>
      </c>
      <c r="E277" s="80" t="s">
        <v>131</v>
      </c>
      <c r="F277" s="71"/>
      <c r="H277" s="72"/>
      <c r="J277" s="72"/>
      <c r="L277" s="105">
        <v>73.0</v>
      </c>
      <c r="N277" s="104">
        <v>77.0</v>
      </c>
      <c r="P277" s="104">
        <v>0.0</v>
      </c>
      <c r="R277" s="104">
        <v>0.0</v>
      </c>
      <c r="T277" s="104">
        <v>0.0</v>
      </c>
      <c r="V277" s="104">
        <v>0.0</v>
      </c>
      <c r="X277" s="104">
        <v>0.0</v>
      </c>
      <c r="Y277" s="73"/>
      <c r="Z277" s="105"/>
      <c r="AB277" s="104"/>
      <c r="AD277" s="104"/>
      <c r="AF277" s="81">
        <f t="shared" si="1"/>
        <v>2554.65</v>
      </c>
      <c r="AG277" s="78">
        <f t="shared" si="2"/>
        <v>150</v>
      </c>
      <c r="AH277" s="78">
        <f t="shared" si="3"/>
        <v>0</v>
      </c>
      <c r="AI277" s="78">
        <f t="shared" si="4"/>
        <v>150</v>
      </c>
      <c r="AJ277" s="82">
        <f t="shared" si="5"/>
        <v>17.031</v>
      </c>
    </row>
    <row r="278">
      <c r="A278" s="76" t="s">
        <v>17</v>
      </c>
      <c r="B278" s="77">
        <f t="shared" si="6"/>
        <v>44837</v>
      </c>
      <c r="C278" s="78">
        <v>10.0</v>
      </c>
      <c r="D278" s="78" t="s">
        <v>33</v>
      </c>
      <c r="E278" s="80" t="s">
        <v>131</v>
      </c>
      <c r="F278" s="71"/>
      <c r="H278" s="72"/>
      <c r="J278" s="72"/>
      <c r="L278" s="105">
        <v>79.0</v>
      </c>
      <c r="N278" s="104">
        <v>78.0</v>
      </c>
      <c r="P278" s="104">
        <v>0.0</v>
      </c>
      <c r="R278" s="104">
        <v>0.0</v>
      </c>
      <c r="T278" s="104">
        <v>0.0</v>
      </c>
      <c r="V278" s="104">
        <v>0.0</v>
      </c>
      <c r="X278" s="104">
        <v>0.0</v>
      </c>
      <c r="Y278" s="73"/>
      <c r="Z278" s="105"/>
      <c r="AB278" s="104"/>
      <c r="AD278" s="104"/>
      <c r="AF278" s="81">
        <f t="shared" si="1"/>
        <v>2673.867</v>
      </c>
      <c r="AG278" s="78">
        <f t="shared" si="2"/>
        <v>157</v>
      </c>
      <c r="AH278" s="78">
        <f t="shared" si="3"/>
        <v>0</v>
      </c>
      <c r="AI278" s="78">
        <f t="shared" si="4"/>
        <v>157</v>
      </c>
      <c r="AJ278" s="82">
        <f t="shared" si="5"/>
        <v>17.031</v>
      </c>
    </row>
    <row r="279">
      <c r="A279" s="76" t="s">
        <v>21</v>
      </c>
      <c r="B279" s="77">
        <f t="shared" si="6"/>
        <v>44838</v>
      </c>
      <c r="C279" s="78">
        <v>10.0</v>
      </c>
      <c r="D279" s="78" t="s">
        <v>33</v>
      </c>
      <c r="E279" s="80" t="s">
        <v>131</v>
      </c>
      <c r="F279" s="71"/>
      <c r="H279" s="72"/>
      <c r="J279" s="72"/>
      <c r="L279" s="105">
        <v>76.0</v>
      </c>
      <c r="N279" s="104">
        <v>69.0</v>
      </c>
      <c r="P279" s="104">
        <v>0.0</v>
      </c>
      <c r="R279" s="104">
        <v>0.0</v>
      </c>
      <c r="T279" s="104">
        <v>0.0</v>
      </c>
      <c r="V279" s="104">
        <v>0.0</v>
      </c>
      <c r="X279" s="104">
        <v>0.0</v>
      </c>
      <c r="Y279" s="73"/>
      <c r="Z279" s="105"/>
      <c r="AB279" s="104"/>
      <c r="AD279" s="104"/>
      <c r="AF279" s="81">
        <f t="shared" si="1"/>
        <v>2469.495</v>
      </c>
      <c r="AG279" s="78">
        <f t="shared" si="2"/>
        <v>145</v>
      </c>
      <c r="AH279" s="78">
        <f t="shared" si="3"/>
        <v>0</v>
      </c>
      <c r="AI279" s="78">
        <f t="shared" si="4"/>
        <v>145</v>
      </c>
      <c r="AJ279" s="82">
        <f t="shared" si="5"/>
        <v>17.031</v>
      </c>
    </row>
    <row r="280">
      <c r="A280" s="76" t="s">
        <v>24</v>
      </c>
      <c r="B280" s="77">
        <f t="shared" si="6"/>
        <v>44839</v>
      </c>
      <c r="C280" s="78">
        <v>10.0</v>
      </c>
      <c r="D280" s="78" t="s">
        <v>33</v>
      </c>
      <c r="E280" s="80" t="s">
        <v>131</v>
      </c>
      <c r="F280" s="71"/>
      <c r="H280" s="72"/>
      <c r="J280" s="72"/>
      <c r="L280" s="105">
        <v>83.0</v>
      </c>
      <c r="N280" s="104">
        <v>71.0</v>
      </c>
      <c r="P280" s="104">
        <v>0.0</v>
      </c>
      <c r="R280" s="104">
        <v>0.0</v>
      </c>
      <c r="T280" s="104">
        <v>0.0</v>
      </c>
      <c r="V280" s="104">
        <v>0.0</v>
      </c>
      <c r="X280" s="104">
        <v>0.0</v>
      </c>
      <c r="Y280" s="73"/>
      <c r="Z280" s="105"/>
      <c r="AB280" s="104"/>
      <c r="AD280" s="104"/>
      <c r="AF280" s="81">
        <f t="shared" si="1"/>
        <v>2622.774</v>
      </c>
      <c r="AG280" s="78">
        <f t="shared" si="2"/>
        <v>154</v>
      </c>
      <c r="AH280" s="78">
        <f t="shared" si="3"/>
        <v>0</v>
      </c>
      <c r="AI280" s="78">
        <f t="shared" si="4"/>
        <v>154</v>
      </c>
      <c r="AJ280" s="82">
        <f t="shared" si="5"/>
        <v>17.031</v>
      </c>
    </row>
    <row r="281">
      <c r="A281" s="76" t="s">
        <v>27</v>
      </c>
      <c r="B281" s="77">
        <f t="shared" si="6"/>
        <v>44840</v>
      </c>
      <c r="C281" s="78">
        <v>10.0</v>
      </c>
      <c r="D281" s="78" t="s">
        <v>33</v>
      </c>
      <c r="E281" s="80" t="s">
        <v>131</v>
      </c>
      <c r="F281" s="71"/>
      <c r="H281" s="72"/>
      <c r="J281" s="72"/>
      <c r="L281" s="105">
        <v>44.0</v>
      </c>
      <c r="N281" s="104">
        <v>42.0</v>
      </c>
      <c r="P281" s="104">
        <v>0.0</v>
      </c>
      <c r="R281" s="104">
        <v>0.0</v>
      </c>
      <c r="T281" s="104">
        <v>0.0</v>
      </c>
      <c r="V281" s="104">
        <v>0.0</v>
      </c>
      <c r="X281" s="104">
        <v>0.0</v>
      </c>
      <c r="Y281" s="73"/>
      <c r="Z281" s="105"/>
      <c r="AB281" s="104"/>
      <c r="AD281" s="104"/>
      <c r="AF281" s="81">
        <f t="shared" si="1"/>
        <v>1464.666</v>
      </c>
      <c r="AG281" s="78">
        <f t="shared" si="2"/>
        <v>86</v>
      </c>
      <c r="AH281" s="78">
        <f t="shared" si="3"/>
        <v>0</v>
      </c>
      <c r="AI281" s="78">
        <f t="shared" si="4"/>
        <v>86</v>
      </c>
      <c r="AJ281" s="82">
        <f t="shared" si="5"/>
        <v>17.031</v>
      </c>
    </row>
    <row r="282">
      <c r="A282" s="83" t="s">
        <v>30</v>
      </c>
      <c r="B282" s="84">
        <f t="shared" si="6"/>
        <v>44841</v>
      </c>
      <c r="C282" s="85">
        <v>10.0</v>
      </c>
      <c r="D282" s="85" t="s">
        <v>33</v>
      </c>
      <c r="E282" s="87" t="s">
        <v>131</v>
      </c>
      <c r="F282" s="88"/>
      <c r="G282" s="89"/>
      <c r="H282" s="90"/>
      <c r="I282" s="89"/>
      <c r="J282" s="90"/>
      <c r="K282" s="89"/>
      <c r="L282" s="112">
        <v>0.0</v>
      </c>
      <c r="M282" s="89"/>
      <c r="N282" s="111">
        <v>0.0</v>
      </c>
      <c r="O282" s="89"/>
      <c r="P282" s="111">
        <v>0.0</v>
      </c>
      <c r="Q282" s="89"/>
      <c r="R282" s="111">
        <v>0.0</v>
      </c>
      <c r="S282" s="89"/>
      <c r="T282" s="111">
        <v>0.0</v>
      </c>
      <c r="U282" s="89"/>
      <c r="V282" s="111">
        <v>0.0</v>
      </c>
      <c r="W282" s="89"/>
      <c r="X282" s="111">
        <v>0.0</v>
      </c>
      <c r="Y282" s="91"/>
      <c r="Z282" s="112"/>
      <c r="AA282" s="89"/>
      <c r="AB282" s="111"/>
      <c r="AC282" s="89"/>
      <c r="AD282" s="111"/>
      <c r="AE282" s="89"/>
      <c r="AF282" s="92">
        <f t="shared" si="1"/>
        <v>0</v>
      </c>
      <c r="AG282" s="85">
        <f t="shared" si="2"/>
        <v>0</v>
      </c>
      <c r="AH282" s="85">
        <f t="shared" si="3"/>
        <v>0</v>
      </c>
      <c r="AI282" s="85">
        <f t="shared" si="4"/>
        <v>0</v>
      </c>
      <c r="AJ282" s="93" t="str">
        <f t="shared" si="5"/>
        <v/>
      </c>
    </row>
    <row r="283">
      <c r="A283" s="66" t="s">
        <v>11</v>
      </c>
      <c r="B283" s="94">
        <f t="shared" si="6"/>
        <v>44842</v>
      </c>
      <c r="C283" s="68">
        <v>11.0</v>
      </c>
      <c r="D283" s="68" t="s">
        <v>48</v>
      </c>
      <c r="E283" s="70" t="s">
        <v>131</v>
      </c>
      <c r="F283" s="71"/>
      <c r="H283" s="72"/>
      <c r="J283" s="72"/>
      <c r="L283" s="105">
        <v>73.0</v>
      </c>
      <c r="N283" s="104">
        <v>75.0</v>
      </c>
      <c r="P283" s="104">
        <v>0.0</v>
      </c>
      <c r="R283" s="104">
        <v>0.0</v>
      </c>
      <c r="T283" s="104">
        <v>1.0</v>
      </c>
      <c r="V283" s="104">
        <v>1.0</v>
      </c>
      <c r="X283" s="104">
        <v>0.0</v>
      </c>
      <c r="Y283" s="73"/>
      <c r="Z283" s="105"/>
      <c r="AB283" s="104"/>
      <c r="AD283" s="104"/>
      <c r="AF283" s="74">
        <f t="shared" si="1"/>
        <v>3255.588</v>
      </c>
      <c r="AG283" s="68">
        <f t="shared" si="2"/>
        <v>148</v>
      </c>
      <c r="AH283" s="68">
        <f t="shared" si="3"/>
        <v>2</v>
      </c>
      <c r="AI283" s="68">
        <f t="shared" si="4"/>
        <v>150</v>
      </c>
      <c r="AJ283" s="75">
        <f t="shared" si="5"/>
        <v>21.70392</v>
      </c>
    </row>
    <row r="284">
      <c r="A284" s="76" t="s">
        <v>16</v>
      </c>
      <c r="B284" s="77">
        <f t="shared" si="6"/>
        <v>44843</v>
      </c>
      <c r="C284" s="78">
        <v>11.0</v>
      </c>
      <c r="D284" s="78" t="s">
        <v>48</v>
      </c>
      <c r="E284" s="80" t="s">
        <v>131</v>
      </c>
      <c r="F284" s="71"/>
      <c r="H284" s="72"/>
      <c r="J284" s="72"/>
      <c r="L284" s="105">
        <v>81.0</v>
      </c>
      <c r="N284" s="104">
        <v>74.0</v>
      </c>
      <c r="P284" s="104">
        <v>0.0</v>
      </c>
      <c r="R284" s="104">
        <v>0.0</v>
      </c>
      <c r="T284" s="104">
        <v>0.0</v>
      </c>
      <c r="V284" s="104">
        <v>0.0</v>
      </c>
      <c r="X284" s="104">
        <v>0.0</v>
      </c>
      <c r="Y284" s="73"/>
      <c r="Z284" s="105"/>
      <c r="AB284" s="104"/>
      <c r="AD284" s="104"/>
      <c r="AF284" s="81">
        <f t="shared" si="1"/>
        <v>2639.805</v>
      </c>
      <c r="AG284" s="78">
        <f t="shared" si="2"/>
        <v>155</v>
      </c>
      <c r="AH284" s="78">
        <f t="shared" si="3"/>
        <v>0</v>
      </c>
      <c r="AI284" s="78">
        <f t="shared" si="4"/>
        <v>155</v>
      </c>
      <c r="AJ284" s="82">
        <f t="shared" si="5"/>
        <v>17.031</v>
      </c>
    </row>
    <row r="285">
      <c r="A285" s="76" t="s">
        <v>17</v>
      </c>
      <c r="B285" s="77">
        <f t="shared" si="6"/>
        <v>44844</v>
      </c>
      <c r="C285" s="78">
        <v>11.0</v>
      </c>
      <c r="D285" s="78" t="s">
        <v>48</v>
      </c>
      <c r="E285" s="80" t="s">
        <v>131</v>
      </c>
      <c r="F285" s="71"/>
      <c r="H285" s="72"/>
      <c r="J285" s="72"/>
      <c r="L285" s="105">
        <v>76.0</v>
      </c>
      <c r="N285" s="104">
        <v>79.0</v>
      </c>
      <c r="P285" s="104">
        <v>0.0</v>
      </c>
      <c r="R285" s="104">
        <v>0.0</v>
      </c>
      <c r="T285" s="104">
        <v>0.0</v>
      </c>
      <c r="V285" s="104">
        <v>0.0</v>
      </c>
      <c r="X285" s="104">
        <v>0.0</v>
      </c>
      <c r="Y285" s="73"/>
      <c r="Z285" s="105"/>
      <c r="AB285" s="104"/>
      <c r="AD285" s="104"/>
      <c r="AF285" s="81">
        <f t="shared" si="1"/>
        <v>2639.805</v>
      </c>
      <c r="AG285" s="78">
        <f t="shared" si="2"/>
        <v>155</v>
      </c>
      <c r="AH285" s="78">
        <f t="shared" si="3"/>
        <v>0</v>
      </c>
      <c r="AI285" s="78">
        <f t="shared" si="4"/>
        <v>155</v>
      </c>
      <c r="AJ285" s="82">
        <f t="shared" si="5"/>
        <v>17.031</v>
      </c>
    </row>
    <row r="286">
      <c r="A286" s="76" t="s">
        <v>21</v>
      </c>
      <c r="B286" s="77">
        <f t="shared" si="6"/>
        <v>44845</v>
      </c>
      <c r="C286" s="78">
        <v>11.0</v>
      </c>
      <c r="D286" s="78" t="s">
        <v>48</v>
      </c>
      <c r="E286" s="80" t="s">
        <v>131</v>
      </c>
      <c r="F286" s="71"/>
      <c r="H286" s="72"/>
      <c r="J286" s="72"/>
      <c r="L286" s="105">
        <v>76.0</v>
      </c>
      <c r="N286" s="104">
        <v>79.0</v>
      </c>
      <c r="P286" s="104">
        <v>0.0</v>
      </c>
      <c r="R286" s="104">
        <v>0.0</v>
      </c>
      <c r="T286" s="104">
        <v>0.0</v>
      </c>
      <c r="V286" s="104">
        <v>0.0</v>
      </c>
      <c r="X286" s="104">
        <v>0.0</v>
      </c>
      <c r="Y286" s="73"/>
      <c r="Z286" s="105"/>
      <c r="AB286" s="104"/>
      <c r="AD286" s="104"/>
      <c r="AF286" s="81">
        <f t="shared" si="1"/>
        <v>2639.805</v>
      </c>
      <c r="AG286" s="78">
        <f t="shared" si="2"/>
        <v>155</v>
      </c>
      <c r="AH286" s="78">
        <f t="shared" si="3"/>
        <v>0</v>
      </c>
      <c r="AI286" s="78">
        <f t="shared" si="4"/>
        <v>155</v>
      </c>
      <c r="AJ286" s="82">
        <f t="shared" si="5"/>
        <v>17.031</v>
      </c>
    </row>
    <row r="287">
      <c r="A287" s="76" t="s">
        <v>24</v>
      </c>
      <c r="B287" s="77">
        <f t="shared" si="6"/>
        <v>44846</v>
      </c>
      <c r="C287" s="78">
        <v>11.0</v>
      </c>
      <c r="D287" s="78" t="s">
        <v>48</v>
      </c>
      <c r="E287" s="80" t="s">
        <v>131</v>
      </c>
      <c r="F287" s="71"/>
      <c r="H287" s="72"/>
      <c r="J287" s="72"/>
      <c r="L287" s="105">
        <v>78.0</v>
      </c>
      <c r="N287" s="104">
        <v>80.0</v>
      </c>
      <c r="P287" s="104">
        <v>0.0</v>
      </c>
      <c r="R287" s="104">
        <v>0.0</v>
      </c>
      <c r="T287" s="104">
        <v>0.0</v>
      </c>
      <c r="V287" s="104">
        <v>0.0</v>
      </c>
      <c r="X287" s="104">
        <v>0.0</v>
      </c>
      <c r="Y287" s="73"/>
      <c r="Z287" s="105"/>
      <c r="AB287" s="104"/>
      <c r="AD287" s="104"/>
      <c r="AF287" s="81">
        <f t="shared" si="1"/>
        <v>2690.898</v>
      </c>
      <c r="AG287" s="78">
        <f t="shared" si="2"/>
        <v>158</v>
      </c>
      <c r="AH287" s="78">
        <f t="shared" si="3"/>
        <v>0</v>
      </c>
      <c r="AI287" s="78">
        <f t="shared" si="4"/>
        <v>158</v>
      </c>
      <c r="AJ287" s="82">
        <f t="shared" si="5"/>
        <v>17.031</v>
      </c>
    </row>
    <row r="288">
      <c r="A288" s="76" t="s">
        <v>27</v>
      </c>
      <c r="B288" s="77">
        <f t="shared" si="6"/>
        <v>44847</v>
      </c>
      <c r="C288" s="78">
        <v>11.0</v>
      </c>
      <c r="D288" s="78" t="s">
        <v>48</v>
      </c>
      <c r="E288" s="80" t="s">
        <v>131</v>
      </c>
      <c r="F288" s="71"/>
      <c r="H288" s="72"/>
      <c r="J288" s="72"/>
      <c r="L288" s="105">
        <v>42.0</v>
      </c>
      <c r="N288" s="104">
        <v>30.0</v>
      </c>
      <c r="P288" s="104">
        <v>0.0</v>
      </c>
      <c r="R288" s="104">
        <v>0.0</v>
      </c>
      <c r="T288" s="104">
        <v>0.0</v>
      </c>
      <c r="V288" s="104">
        <v>0.0</v>
      </c>
      <c r="X288" s="104">
        <v>0.0</v>
      </c>
      <c r="Y288" s="73"/>
      <c r="Z288" s="105"/>
      <c r="AB288" s="104"/>
      <c r="AD288" s="104"/>
      <c r="AF288" s="81">
        <f t="shared" si="1"/>
        <v>1226.232</v>
      </c>
      <c r="AG288" s="78">
        <f t="shared" si="2"/>
        <v>72</v>
      </c>
      <c r="AH288" s="78">
        <f t="shared" si="3"/>
        <v>0</v>
      </c>
      <c r="AI288" s="78">
        <f t="shared" si="4"/>
        <v>72</v>
      </c>
      <c r="AJ288" s="82">
        <f t="shared" si="5"/>
        <v>17.031</v>
      </c>
    </row>
    <row r="289">
      <c r="A289" s="83" t="s">
        <v>30</v>
      </c>
      <c r="B289" s="84">
        <f t="shared" si="6"/>
        <v>44848</v>
      </c>
      <c r="C289" s="85">
        <v>11.0</v>
      </c>
      <c r="D289" s="85" t="s">
        <v>48</v>
      </c>
      <c r="E289" s="87" t="s">
        <v>131</v>
      </c>
      <c r="F289" s="88"/>
      <c r="G289" s="89"/>
      <c r="H289" s="90"/>
      <c r="I289" s="89"/>
      <c r="J289" s="90"/>
      <c r="K289" s="89"/>
      <c r="L289" s="112">
        <v>0.0</v>
      </c>
      <c r="M289" s="89"/>
      <c r="N289" s="111">
        <v>0.0</v>
      </c>
      <c r="O289" s="89"/>
      <c r="P289" s="111">
        <v>0.0</v>
      </c>
      <c r="Q289" s="89"/>
      <c r="R289" s="111">
        <v>0.0</v>
      </c>
      <c r="S289" s="89"/>
      <c r="T289" s="111">
        <v>0.0</v>
      </c>
      <c r="U289" s="89"/>
      <c r="V289" s="111">
        <v>0.0</v>
      </c>
      <c r="W289" s="89"/>
      <c r="X289" s="111">
        <v>0.0</v>
      </c>
      <c r="Y289" s="91"/>
      <c r="Z289" s="112"/>
      <c r="AA289" s="89"/>
      <c r="AB289" s="111"/>
      <c r="AC289" s="89"/>
      <c r="AD289" s="111"/>
      <c r="AE289" s="89"/>
      <c r="AF289" s="92">
        <f t="shared" si="1"/>
        <v>0</v>
      </c>
      <c r="AG289" s="85">
        <f t="shared" si="2"/>
        <v>0</v>
      </c>
      <c r="AH289" s="85">
        <f t="shared" si="3"/>
        <v>0</v>
      </c>
      <c r="AI289" s="85">
        <f t="shared" si="4"/>
        <v>0</v>
      </c>
      <c r="AJ289" s="93" t="str">
        <f t="shared" si="5"/>
        <v/>
      </c>
    </row>
    <row r="290">
      <c r="A290" s="66" t="s">
        <v>11</v>
      </c>
      <c r="B290" s="94">
        <f t="shared" si="6"/>
        <v>44849</v>
      </c>
      <c r="C290" s="68">
        <v>11.0</v>
      </c>
      <c r="D290" s="68" t="s">
        <v>59</v>
      </c>
      <c r="E290" s="70" t="s">
        <v>131</v>
      </c>
      <c r="F290" s="71"/>
      <c r="H290" s="72"/>
      <c r="J290" s="72"/>
      <c r="L290" s="105">
        <v>65.0</v>
      </c>
      <c r="N290" s="104">
        <v>68.0</v>
      </c>
      <c r="P290" s="104">
        <v>0.0</v>
      </c>
      <c r="R290" s="104">
        <v>0.0</v>
      </c>
      <c r="T290" s="104">
        <v>1.0</v>
      </c>
      <c r="V290" s="104">
        <v>1.0</v>
      </c>
      <c r="X290" s="104">
        <v>0.0</v>
      </c>
      <c r="Y290" s="73"/>
      <c r="Z290" s="105"/>
      <c r="AB290" s="104"/>
      <c r="AD290" s="104"/>
      <c r="AF290" s="74">
        <f t="shared" si="1"/>
        <v>3000.123</v>
      </c>
      <c r="AG290" s="68">
        <f t="shared" si="2"/>
        <v>133</v>
      </c>
      <c r="AH290" s="68">
        <f t="shared" si="3"/>
        <v>2</v>
      </c>
      <c r="AI290" s="68">
        <f t="shared" si="4"/>
        <v>135</v>
      </c>
      <c r="AJ290" s="75">
        <f t="shared" si="5"/>
        <v>22.22313333</v>
      </c>
    </row>
    <row r="291">
      <c r="A291" s="76" t="s">
        <v>16</v>
      </c>
      <c r="B291" s="77">
        <f t="shared" si="6"/>
        <v>44850</v>
      </c>
      <c r="C291" s="78">
        <v>11.0</v>
      </c>
      <c r="D291" s="78" t="s">
        <v>59</v>
      </c>
      <c r="E291" s="80" t="s">
        <v>131</v>
      </c>
      <c r="F291" s="71"/>
      <c r="H291" s="72"/>
      <c r="J291" s="72"/>
      <c r="L291" s="105">
        <v>64.0</v>
      </c>
      <c r="N291" s="104">
        <v>63.0</v>
      </c>
      <c r="P291" s="104">
        <v>0.0</v>
      </c>
      <c r="R291" s="104">
        <v>0.0</v>
      </c>
      <c r="T291" s="104">
        <v>0.0</v>
      </c>
      <c r="V291" s="104">
        <v>0.0</v>
      </c>
      <c r="X291" s="104">
        <v>0.0</v>
      </c>
      <c r="Y291" s="73"/>
      <c r="Z291" s="105"/>
      <c r="AB291" s="104"/>
      <c r="AD291" s="104"/>
      <c r="AF291" s="81">
        <f t="shared" si="1"/>
        <v>2162.937</v>
      </c>
      <c r="AG291" s="78">
        <f t="shared" si="2"/>
        <v>127</v>
      </c>
      <c r="AH291" s="78">
        <f t="shared" si="3"/>
        <v>0</v>
      </c>
      <c r="AI291" s="78">
        <f t="shared" si="4"/>
        <v>127</v>
      </c>
      <c r="AJ291" s="82">
        <f t="shared" si="5"/>
        <v>17.031</v>
      </c>
    </row>
    <row r="292">
      <c r="A292" s="76" t="s">
        <v>17</v>
      </c>
      <c r="B292" s="77">
        <f t="shared" si="6"/>
        <v>44851</v>
      </c>
      <c r="C292" s="78">
        <v>11.0</v>
      </c>
      <c r="D292" s="78" t="s">
        <v>59</v>
      </c>
      <c r="E292" s="80" t="s">
        <v>131</v>
      </c>
      <c r="F292" s="71"/>
      <c r="H292" s="72"/>
      <c r="J292" s="72"/>
      <c r="L292" s="105">
        <v>59.0</v>
      </c>
      <c r="N292" s="104">
        <v>52.0</v>
      </c>
      <c r="P292" s="104">
        <v>0.0</v>
      </c>
      <c r="R292" s="104">
        <v>0.0</v>
      </c>
      <c r="T292" s="104">
        <v>0.0</v>
      </c>
      <c r="V292" s="104">
        <v>0.0</v>
      </c>
      <c r="X292" s="104">
        <v>0.0</v>
      </c>
      <c r="Y292" s="73"/>
      <c r="Z292" s="105"/>
      <c r="AB292" s="104"/>
      <c r="AD292" s="104"/>
      <c r="AF292" s="81">
        <f t="shared" si="1"/>
        <v>1890.441</v>
      </c>
      <c r="AG292" s="78">
        <f t="shared" si="2"/>
        <v>111</v>
      </c>
      <c r="AH292" s="78">
        <f t="shared" si="3"/>
        <v>0</v>
      </c>
      <c r="AI292" s="78">
        <f t="shared" si="4"/>
        <v>111</v>
      </c>
      <c r="AJ292" s="82">
        <f t="shared" si="5"/>
        <v>17.031</v>
      </c>
    </row>
    <row r="293">
      <c r="A293" s="76" t="s">
        <v>21</v>
      </c>
      <c r="B293" s="77">
        <f t="shared" si="6"/>
        <v>44852</v>
      </c>
      <c r="C293" s="78">
        <v>11.0</v>
      </c>
      <c r="D293" s="78" t="s">
        <v>59</v>
      </c>
      <c r="E293" s="80" t="s">
        <v>131</v>
      </c>
      <c r="F293" s="71"/>
      <c r="H293" s="72"/>
      <c r="J293" s="72"/>
      <c r="L293" s="105">
        <v>63.0</v>
      </c>
      <c r="N293" s="104">
        <v>61.0</v>
      </c>
      <c r="P293" s="104">
        <v>0.0</v>
      </c>
      <c r="R293" s="104">
        <v>0.0</v>
      </c>
      <c r="T293" s="104">
        <v>0.0</v>
      </c>
      <c r="V293" s="104">
        <v>0.0</v>
      </c>
      <c r="X293" s="104">
        <v>0.0</v>
      </c>
      <c r="Y293" s="73"/>
      <c r="Z293" s="105"/>
      <c r="AB293" s="104"/>
      <c r="AD293" s="104"/>
      <c r="AF293" s="81">
        <f t="shared" si="1"/>
        <v>2111.844</v>
      </c>
      <c r="AG293" s="78">
        <f t="shared" si="2"/>
        <v>124</v>
      </c>
      <c r="AH293" s="78">
        <f t="shared" si="3"/>
        <v>0</v>
      </c>
      <c r="AI293" s="78">
        <f t="shared" si="4"/>
        <v>124</v>
      </c>
      <c r="AJ293" s="82">
        <f t="shared" si="5"/>
        <v>17.031</v>
      </c>
    </row>
    <row r="294">
      <c r="A294" s="76" t="s">
        <v>24</v>
      </c>
      <c r="B294" s="77">
        <f t="shared" si="6"/>
        <v>44853</v>
      </c>
      <c r="C294" s="78">
        <v>11.0</v>
      </c>
      <c r="D294" s="78" t="s">
        <v>59</v>
      </c>
      <c r="E294" s="80" t="s">
        <v>131</v>
      </c>
      <c r="F294" s="71"/>
      <c r="H294" s="72"/>
      <c r="J294" s="72"/>
      <c r="L294" s="105">
        <v>60.0</v>
      </c>
      <c r="N294" s="104">
        <v>62.0</v>
      </c>
      <c r="P294" s="104">
        <v>0.0</v>
      </c>
      <c r="R294" s="104">
        <v>0.0</v>
      </c>
      <c r="T294" s="104">
        <v>0.0</v>
      </c>
      <c r="V294" s="104">
        <v>0.0</v>
      </c>
      <c r="X294" s="104">
        <v>0.0</v>
      </c>
      <c r="Y294" s="73"/>
      <c r="Z294" s="105"/>
      <c r="AB294" s="104"/>
      <c r="AD294" s="104"/>
      <c r="AF294" s="81">
        <f t="shared" si="1"/>
        <v>2077.782</v>
      </c>
      <c r="AG294" s="78">
        <f t="shared" si="2"/>
        <v>122</v>
      </c>
      <c r="AH294" s="78">
        <f t="shared" si="3"/>
        <v>0</v>
      </c>
      <c r="AI294" s="78">
        <f t="shared" si="4"/>
        <v>122</v>
      </c>
      <c r="AJ294" s="82">
        <f t="shared" si="5"/>
        <v>17.031</v>
      </c>
    </row>
    <row r="295">
      <c r="A295" s="76" t="s">
        <v>27</v>
      </c>
      <c r="B295" s="77">
        <f t="shared" si="6"/>
        <v>44854</v>
      </c>
      <c r="C295" s="78">
        <v>11.0</v>
      </c>
      <c r="D295" s="78" t="s">
        <v>59</v>
      </c>
      <c r="E295" s="80" t="s">
        <v>131</v>
      </c>
      <c r="F295" s="71"/>
      <c r="H295" s="72"/>
      <c r="J295" s="72"/>
      <c r="L295" s="105">
        <v>44.0</v>
      </c>
      <c r="N295" s="104">
        <v>45.0</v>
      </c>
      <c r="P295" s="104">
        <v>0.0</v>
      </c>
      <c r="R295" s="104">
        <v>0.0</v>
      </c>
      <c r="T295" s="104">
        <v>0.0</v>
      </c>
      <c r="V295" s="104">
        <v>0.0</v>
      </c>
      <c r="X295" s="104">
        <v>0.0</v>
      </c>
      <c r="Y295" s="73"/>
      <c r="Z295" s="105"/>
      <c r="AB295" s="104"/>
      <c r="AD295" s="104"/>
      <c r="AF295" s="81">
        <f t="shared" si="1"/>
        <v>1515.759</v>
      </c>
      <c r="AG295" s="78">
        <f t="shared" si="2"/>
        <v>89</v>
      </c>
      <c r="AH295" s="78">
        <f t="shared" si="3"/>
        <v>0</v>
      </c>
      <c r="AI295" s="78">
        <f t="shared" si="4"/>
        <v>89</v>
      </c>
      <c r="AJ295" s="82">
        <f t="shared" si="5"/>
        <v>17.031</v>
      </c>
    </row>
    <row r="296">
      <c r="A296" s="83" t="s">
        <v>30</v>
      </c>
      <c r="B296" s="84">
        <f t="shared" si="6"/>
        <v>44855</v>
      </c>
      <c r="C296" s="85">
        <v>11.0</v>
      </c>
      <c r="D296" s="85" t="s">
        <v>59</v>
      </c>
      <c r="E296" s="87" t="s">
        <v>131</v>
      </c>
      <c r="F296" s="88"/>
      <c r="G296" s="89"/>
      <c r="H296" s="90"/>
      <c r="I296" s="89"/>
      <c r="J296" s="90"/>
      <c r="K296" s="89"/>
      <c r="L296" s="112">
        <v>0.0</v>
      </c>
      <c r="M296" s="89"/>
      <c r="N296" s="111">
        <v>0.0</v>
      </c>
      <c r="O296" s="89"/>
      <c r="P296" s="111">
        <v>0.0</v>
      </c>
      <c r="Q296" s="89"/>
      <c r="R296" s="111">
        <v>0.0</v>
      </c>
      <c r="S296" s="89"/>
      <c r="T296" s="111">
        <v>0.0</v>
      </c>
      <c r="U296" s="89"/>
      <c r="V296" s="111">
        <v>0.0</v>
      </c>
      <c r="W296" s="89"/>
      <c r="X296" s="111">
        <v>0.0</v>
      </c>
      <c r="Y296" s="91"/>
      <c r="Z296" s="112"/>
      <c r="AA296" s="89"/>
      <c r="AB296" s="111"/>
      <c r="AC296" s="89"/>
      <c r="AD296" s="111"/>
      <c r="AE296" s="89"/>
      <c r="AF296" s="92">
        <f t="shared" si="1"/>
        <v>0</v>
      </c>
      <c r="AG296" s="85">
        <f t="shared" si="2"/>
        <v>0</v>
      </c>
      <c r="AH296" s="85">
        <f t="shared" si="3"/>
        <v>0</v>
      </c>
      <c r="AI296" s="85">
        <f t="shared" si="4"/>
        <v>0</v>
      </c>
      <c r="AJ296" s="93" t="str">
        <f t="shared" si="5"/>
        <v/>
      </c>
    </row>
    <row r="297">
      <c r="A297" s="66" t="s">
        <v>11</v>
      </c>
      <c r="B297" s="94">
        <f t="shared" si="6"/>
        <v>44856</v>
      </c>
      <c r="C297" s="68">
        <v>11.0</v>
      </c>
      <c r="D297" s="68" t="s">
        <v>12</v>
      </c>
      <c r="E297" s="70" t="s">
        <v>131</v>
      </c>
      <c r="F297" s="71"/>
      <c r="H297" s="72"/>
      <c r="J297" s="72"/>
      <c r="L297" s="105">
        <v>61.0</v>
      </c>
      <c r="N297" s="104">
        <v>62.0</v>
      </c>
      <c r="P297" s="104">
        <v>0.0</v>
      </c>
      <c r="R297" s="104">
        <v>0.0</v>
      </c>
      <c r="T297" s="104">
        <v>1.0</v>
      </c>
      <c r="V297" s="104">
        <v>1.0</v>
      </c>
      <c r="X297" s="104">
        <v>0.0</v>
      </c>
      <c r="Y297" s="73"/>
      <c r="Z297" s="105"/>
      <c r="AB297" s="104"/>
      <c r="AD297" s="104"/>
      <c r="AF297" s="74">
        <f t="shared" si="1"/>
        <v>2829.813</v>
      </c>
      <c r="AG297" s="68">
        <f t="shared" si="2"/>
        <v>123</v>
      </c>
      <c r="AH297" s="68">
        <f t="shared" si="3"/>
        <v>2</v>
      </c>
      <c r="AI297" s="68">
        <f t="shared" si="4"/>
        <v>125</v>
      </c>
      <c r="AJ297" s="75">
        <f t="shared" si="5"/>
        <v>22.638504</v>
      </c>
    </row>
    <row r="298">
      <c r="A298" s="76" t="s">
        <v>16</v>
      </c>
      <c r="B298" s="77">
        <f t="shared" si="6"/>
        <v>44857</v>
      </c>
      <c r="C298" s="78">
        <v>11.0</v>
      </c>
      <c r="D298" s="78" t="s">
        <v>12</v>
      </c>
      <c r="E298" s="80" t="s">
        <v>131</v>
      </c>
      <c r="F298" s="71"/>
      <c r="H298" s="72"/>
      <c r="J298" s="72"/>
      <c r="L298" s="105">
        <v>63.0</v>
      </c>
      <c r="N298" s="104">
        <v>64.0</v>
      </c>
      <c r="P298" s="104">
        <v>0.0</v>
      </c>
      <c r="R298" s="104">
        <v>0.0</v>
      </c>
      <c r="T298" s="104">
        <v>0.0</v>
      </c>
      <c r="V298" s="104">
        <v>0.0</v>
      </c>
      <c r="X298" s="104">
        <v>0.0</v>
      </c>
      <c r="Y298" s="73"/>
      <c r="Z298" s="105"/>
      <c r="AB298" s="104"/>
      <c r="AD298" s="104"/>
      <c r="AF298" s="81">
        <f t="shared" si="1"/>
        <v>2162.937</v>
      </c>
      <c r="AG298" s="78">
        <f t="shared" si="2"/>
        <v>127</v>
      </c>
      <c r="AH298" s="78">
        <f t="shared" si="3"/>
        <v>0</v>
      </c>
      <c r="AI298" s="78">
        <f t="shared" si="4"/>
        <v>127</v>
      </c>
      <c r="AJ298" s="82">
        <f t="shared" si="5"/>
        <v>17.031</v>
      </c>
    </row>
    <row r="299">
      <c r="A299" s="76" t="s">
        <v>17</v>
      </c>
      <c r="B299" s="77">
        <f t="shared" si="6"/>
        <v>44858</v>
      </c>
      <c r="C299" s="78">
        <v>11.0</v>
      </c>
      <c r="D299" s="78" t="s">
        <v>12</v>
      </c>
      <c r="E299" s="80" t="s">
        <v>131</v>
      </c>
      <c r="F299" s="71"/>
      <c r="H299" s="72"/>
      <c r="J299" s="72"/>
      <c r="L299" s="105">
        <v>59.0</v>
      </c>
      <c r="N299" s="104">
        <v>64.0</v>
      </c>
      <c r="P299" s="104">
        <v>0.0</v>
      </c>
      <c r="R299" s="104">
        <v>0.0</v>
      </c>
      <c r="T299" s="104">
        <v>0.0</v>
      </c>
      <c r="V299" s="104">
        <v>0.0</v>
      </c>
      <c r="X299" s="104">
        <v>0.0</v>
      </c>
      <c r="Y299" s="73"/>
      <c r="Z299" s="105"/>
      <c r="AB299" s="104"/>
      <c r="AD299" s="104"/>
      <c r="AF299" s="81">
        <f t="shared" si="1"/>
        <v>2094.813</v>
      </c>
      <c r="AG299" s="78">
        <f t="shared" si="2"/>
        <v>123</v>
      </c>
      <c r="AH299" s="78">
        <f t="shared" si="3"/>
        <v>0</v>
      </c>
      <c r="AI299" s="78">
        <f t="shared" si="4"/>
        <v>123</v>
      </c>
      <c r="AJ299" s="82">
        <f t="shared" si="5"/>
        <v>17.031</v>
      </c>
    </row>
    <row r="300">
      <c r="A300" s="76" t="s">
        <v>21</v>
      </c>
      <c r="B300" s="77">
        <f t="shared" si="6"/>
        <v>44859</v>
      </c>
      <c r="C300" s="78">
        <v>11.0</v>
      </c>
      <c r="D300" s="78" t="s">
        <v>12</v>
      </c>
      <c r="E300" s="80" t="s">
        <v>131</v>
      </c>
      <c r="F300" s="71"/>
      <c r="H300" s="72"/>
      <c r="J300" s="72"/>
      <c r="L300" s="105">
        <v>64.0</v>
      </c>
      <c r="N300" s="104">
        <v>66.0</v>
      </c>
      <c r="P300" s="104">
        <v>0.0</v>
      </c>
      <c r="R300" s="104">
        <v>0.0</v>
      </c>
      <c r="T300" s="104">
        <v>0.0</v>
      </c>
      <c r="V300" s="104">
        <v>0.0</v>
      </c>
      <c r="X300" s="104">
        <v>0.0</v>
      </c>
      <c r="Y300" s="73"/>
      <c r="Z300" s="105"/>
      <c r="AB300" s="104"/>
      <c r="AD300" s="104"/>
      <c r="AF300" s="81">
        <f t="shared" si="1"/>
        <v>2214.03</v>
      </c>
      <c r="AG300" s="78">
        <f t="shared" si="2"/>
        <v>130</v>
      </c>
      <c r="AH300" s="78">
        <f t="shared" si="3"/>
        <v>0</v>
      </c>
      <c r="AI300" s="78">
        <f t="shared" si="4"/>
        <v>130</v>
      </c>
      <c r="AJ300" s="82">
        <f t="shared" si="5"/>
        <v>17.031</v>
      </c>
    </row>
    <row r="301">
      <c r="A301" s="76" t="s">
        <v>24</v>
      </c>
      <c r="B301" s="77">
        <f t="shared" si="6"/>
        <v>44860</v>
      </c>
      <c r="C301" s="78">
        <v>11.0</v>
      </c>
      <c r="D301" s="78" t="s">
        <v>12</v>
      </c>
      <c r="E301" s="80" t="s">
        <v>131</v>
      </c>
      <c r="F301" s="71"/>
      <c r="H301" s="72"/>
      <c r="J301" s="72"/>
      <c r="L301" s="105">
        <v>61.0</v>
      </c>
      <c r="N301" s="104">
        <v>65.0</v>
      </c>
      <c r="P301" s="104">
        <v>0.0</v>
      </c>
      <c r="R301" s="104">
        <v>0.0</v>
      </c>
      <c r="T301" s="104">
        <v>0.0</v>
      </c>
      <c r="V301" s="104">
        <v>0.0</v>
      </c>
      <c r="X301" s="104">
        <v>0.0</v>
      </c>
      <c r="Y301" s="73"/>
      <c r="Z301" s="105"/>
      <c r="AB301" s="104"/>
      <c r="AD301" s="104"/>
      <c r="AF301" s="81">
        <f t="shared" si="1"/>
        <v>2145.906</v>
      </c>
      <c r="AG301" s="78">
        <f t="shared" si="2"/>
        <v>126</v>
      </c>
      <c r="AH301" s="78">
        <f t="shared" si="3"/>
        <v>0</v>
      </c>
      <c r="AI301" s="78">
        <f t="shared" si="4"/>
        <v>126</v>
      </c>
      <c r="AJ301" s="82">
        <f t="shared" si="5"/>
        <v>17.031</v>
      </c>
    </row>
    <row r="302">
      <c r="A302" s="76" t="s">
        <v>27</v>
      </c>
      <c r="B302" s="77">
        <f t="shared" si="6"/>
        <v>44861</v>
      </c>
      <c r="C302" s="78">
        <v>11.0</v>
      </c>
      <c r="D302" s="78" t="s">
        <v>12</v>
      </c>
      <c r="E302" s="80" t="s">
        <v>131</v>
      </c>
      <c r="F302" s="71"/>
      <c r="H302" s="72"/>
      <c r="J302" s="72"/>
      <c r="L302" s="105">
        <v>49.0</v>
      </c>
      <c r="N302" s="104">
        <v>40.0</v>
      </c>
      <c r="P302" s="104">
        <v>0.0</v>
      </c>
      <c r="R302" s="104">
        <v>0.0</v>
      </c>
      <c r="T302" s="104">
        <v>0.0</v>
      </c>
      <c r="V302" s="104">
        <v>0.0</v>
      </c>
      <c r="X302" s="104">
        <v>0.0</v>
      </c>
      <c r="Y302" s="73"/>
      <c r="Z302" s="105"/>
      <c r="AB302" s="104"/>
      <c r="AD302" s="104"/>
      <c r="AF302" s="81">
        <f t="shared" si="1"/>
        <v>1515.759</v>
      </c>
      <c r="AG302" s="78">
        <f t="shared" si="2"/>
        <v>89</v>
      </c>
      <c r="AH302" s="78">
        <f t="shared" si="3"/>
        <v>0</v>
      </c>
      <c r="AI302" s="78">
        <f t="shared" si="4"/>
        <v>89</v>
      </c>
      <c r="AJ302" s="82">
        <f t="shared" si="5"/>
        <v>17.031</v>
      </c>
    </row>
    <row r="303">
      <c r="A303" s="83" t="s">
        <v>30</v>
      </c>
      <c r="B303" s="84">
        <f t="shared" si="6"/>
        <v>44862</v>
      </c>
      <c r="C303" s="85">
        <v>11.0</v>
      </c>
      <c r="D303" s="85" t="s">
        <v>12</v>
      </c>
      <c r="E303" s="87" t="s">
        <v>131</v>
      </c>
      <c r="F303" s="88"/>
      <c r="G303" s="89"/>
      <c r="H303" s="90"/>
      <c r="I303" s="89"/>
      <c r="J303" s="90"/>
      <c r="K303" s="89"/>
      <c r="L303" s="112">
        <v>0.0</v>
      </c>
      <c r="M303" s="89"/>
      <c r="N303" s="111">
        <v>0.0</v>
      </c>
      <c r="O303" s="89"/>
      <c r="P303" s="111">
        <v>0.0</v>
      </c>
      <c r="Q303" s="89"/>
      <c r="R303" s="111">
        <v>0.0</v>
      </c>
      <c r="S303" s="89"/>
      <c r="T303" s="111">
        <v>0.0</v>
      </c>
      <c r="U303" s="89"/>
      <c r="V303" s="111">
        <v>0.0</v>
      </c>
      <c r="W303" s="89"/>
      <c r="X303" s="111">
        <v>0.0</v>
      </c>
      <c r="Y303" s="91"/>
      <c r="Z303" s="112"/>
      <c r="AA303" s="89"/>
      <c r="AB303" s="111"/>
      <c r="AC303" s="89"/>
      <c r="AD303" s="111"/>
      <c r="AE303" s="89"/>
      <c r="AF303" s="92">
        <f t="shared" si="1"/>
        <v>0</v>
      </c>
      <c r="AG303" s="85">
        <f t="shared" si="2"/>
        <v>0</v>
      </c>
      <c r="AH303" s="85">
        <f t="shared" si="3"/>
        <v>0</v>
      </c>
      <c r="AI303" s="85">
        <f t="shared" si="4"/>
        <v>0</v>
      </c>
      <c r="AJ303" s="93" t="str">
        <f t="shared" si="5"/>
        <v/>
      </c>
    </row>
    <row r="304">
      <c r="A304" s="66" t="s">
        <v>11</v>
      </c>
      <c r="B304" s="94">
        <f t="shared" si="6"/>
        <v>44863</v>
      </c>
      <c r="C304" s="68">
        <v>11.0</v>
      </c>
      <c r="D304" s="68" t="s">
        <v>33</v>
      </c>
      <c r="E304" s="70" t="s">
        <v>131</v>
      </c>
      <c r="F304" s="71"/>
      <c r="H304" s="72"/>
      <c r="J304" s="72"/>
      <c r="L304" s="105">
        <v>61.0</v>
      </c>
      <c r="N304" s="104">
        <v>66.0</v>
      </c>
      <c r="P304" s="104">
        <v>0.0</v>
      </c>
      <c r="R304" s="104">
        <v>0.0</v>
      </c>
      <c r="T304" s="104">
        <v>1.0</v>
      </c>
      <c r="V304" s="104">
        <v>1.0</v>
      </c>
      <c r="X304" s="104">
        <v>0.0</v>
      </c>
      <c r="Y304" s="73"/>
      <c r="Z304" s="105"/>
      <c r="AB304" s="104"/>
      <c r="AD304" s="104"/>
      <c r="AF304" s="74">
        <f t="shared" si="1"/>
        <v>2897.937</v>
      </c>
      <c r="AG304" s="68">
        <f t="shared" si="2"/>
        <v>127</v>
      </c>
      <c r="AH304" s="68">
        <f t="shared" si="3"/>
        <v>2</v>
      </c>
      <c r="AI304" s="68">
        <f t="shared" si="4"/>
        <v>129</v>
      </c>
      <c r="AJ304" s="75">
        <f t="shared" si="5"/>
        <v>22.46462791</v>
      </c>
    </row>
    <row r="305">
      <c r="A305" s="76" t="s">
        <v>16</v>
      </c>
      <c r="B305" s="77">
        <f t="shared" si="6"/>
        <v>44864</v>
      </c>
      <c r="C305" s="78">
        <v>11.0</v>
      </c>
      <c r="D305" s="78" t="s">
        <v>33</v>
      </c>
      <c r="E305" s="80" t="s">
        <v>131</v>
      </c>
      <c r="F305" s="71"/>
      <c r="H305" s="72"/>
      <c r="J305" s="72"/>
      <c r="L305" s="105">
        <v>64.0</v>
      </c>
      <c r="N305" s="104">
        <v>65.0</v>
      </c>
      <c r="P305" s="104">
        <v>0.0</v>
      </c>
      <c r="R305" s="104">
        <v>0.0</v>
      </c>
      <c r="T305" s="104">
        <v>0.0</v>
      </c>
      <c r="V305" s="104">
        <v>0.0</v>
      </c>
      <c r="X305" s="104">
        <v>0.0</v>
      </c>
      <c r="Y305" s="73"/>
      <c r="Z305" s="105"/>
      <c r="AB305" s="104"/>
      <c r="AD305" s="104"/>
      <c r="AF305" s="81">
        <f t="shared" si="1"/>
        <v>2196.999</v>
      </c>
      <c r="AG305" s="78">
        <f t="shared" si="2"/>
        <v>129</v>
      </c>
      <c r="AH305" s="78">
        <f t="shared" si="3"/>
        <v>0</v>
      </c>
      <c r="AI305" s="78">
        <f t="shared" si="4"/>
        <v>129</v>
      </c>
      <c r="AJ305" s="82">
        <f t="shared" si="5"/>
        <v>17.031</v>
      </c>
    </row>
    <row r="306">
      <c r="A306" s="76" t="s">
        <v>17</v>
      </c>
      <c r="B306" s="77">
        <f t="shared" si="6"/>
        <v>44865</v>
      </c>
      <c r="C306" s="78">
        <v>11.0</v>
      </c>
      <c r="D306" s="78" t="s">
        <v>33</v>
      </c>
      <c r="E306" s="80" t="s">
        <v>131</v>
      </c>
      <c r="F306" s="71"/>
      <c r="H306" s="72"/>
      <c r="J306" s="72"/>
      <c r="L306" s="105">
        <v>0.0</v>
      </c>
      <c r="N306" s="104">
        <v>0.0</v>
      </c>
      <c r="P306" s="104">
        <v>0.0</v>
      </c>
      <c r="R306" s="104">
        <v>0.0</v>
      </c>
      <c r="T306" s="104">
        <v>0.0</v>
      </c>
      <c r="V306" s="104">
        <v>0.0</v>
      </c>
      <c r="X306" s="104">
        <v>0.0</v>
      </c>
      <c r="Y306" s="73"/>
      <c r="Z306" s="105"/>
      <c r="AB306" s="104"/>
      <c r="AD306" s="104"/>
      <c r="AF306" s="81">
        <f t="shared" si="1"/>
        <v>0</v>
      </c>
      <c r="AG306" s="78">
        <f t="shared" si="2"/>
        <v>0</v>
      </c>
      <c r="AH306" s="78">
        <f t="shared" si="3"/>
        <v>0</v>
      </c>
      <c r="AI306" s="78">
        <f t="shared" si="4"/>
        <v>0</v>
      </c>
      <c r="AJ306" s="82" t="str">
        <f t="shared" si="5"/>
        <v/>
      </c>
    </row>
    <row r="307">
      <c r="A307" s="76" t="s">
        <v>21</v>
      </c>
      <c r="B307" s="77">
        <f t="shared" si="6"/>
        <v>44866</v>
      </c>
      <c r="C307" s="78">
        <v>11.0</v>
      </c>
      <c r="D307" s="78" t="s">
        <v>33</v>
      </c>
      <c r="E307" s="80" t="s">
        <v>131</v>
      </c>
      <c r="F307" s="71"/>
      <c r="H307" s="72"/>
      <c r="J307" s="72"/>
      <c r="L307" s="105">
        <v>0.0</v>
      </c>
      <c r="N307" s="104">
        <v>0.0</v>
      </c>
      <c r="P307" s="104">
        <v>0.0</v>
      </c>
      <c r="R307" s="104">
        <v>0.0</v>
      </c>
      <c r="T307" s="104">
        <v>0.0</v>
      </c>
      <c r="V307" s="104">
        <v>0.0</v>
      </c>
      <c r="X307" s="104">
        <v>0.0</v>
      </c>
      <c r="Y307" s="73"/>
      <c r="Z307" s="105"/>
      <c r="AB307" s="104"/>
      <c r="AD307" s="104"/>
      <c r="AF307" s="81">
        <f t="shared" si="1"/>
        <v>0</v>
      </c>
      <c r="AG307" s="78">
        <f t="shared" si="2"/>
        <v>0</v>
      </c>
      <c r="AH307" s="78">
        <f t="shared" si="3"/>
        <v>0</v>
      </c>
      <c r="AI307" s="78">
        <f t="shared" si="4"/>
        <v>0</v>
      </c>
      <c r="AJ307" s="82" t="str">
        <f t="shared" si="5"/>
        <v/>
      </c>
    </row>
    <row r="308">
      <c r="A308" s="76" t="s">
        <v>24</v>
      </c>
      <c r="B308" s="77">
        <f t="shared" si="6"/>
        <v>44867</v>
      </c>
      <c r="C308" s="78">
        <v>11.0</v>
      </c>
      <c r="D308" s="78" t="s">
        <v>33</v>
      </c>
      <c r="E308" s="80" t="s">
        <v>131</v>
      </c>
      <c r="F308" s="71"/>
      <c r="H308" s="72"/>
      <c r="J308" s="72"/>
      <c r="L308" s="105">
        <v>0.0</v>
      </c>
      <c r="N308" s="104">
        <v>0.0</v>
      </c>
      <c r="P308" s="104">
        <v>0.0</v>
      </c>
      <c r="R308" s="104">
        <v>0.0</v>
      </c>
      <c r="T308" s="104">
        <v>0.0</v>
      </c>
      <c r="V308" s="104">
        <v>0.0</v>
      </c>
      <c r="X308" s="104">
        <v>0.0</v>
      </c>
      <c r="Y308" s="73"/>
      <c r="Z308" s="105"/>
      <c r="AB308" s="104"/>
      <c r="AD308" s="104"/>
      <c r="AF308" s="81">
        <f t="shared" si="1"/>
        <v>0</v>
      </c>
      <c r="AG308" s="78">
        <f t="shared" si="2"/>
        <v>0</v>
      </c>
      <c r="AH308" s="78">
        <f t="shared" si="3"/>
        <v>0</v>
      </c>
      <c r="AI308" s="78">
        <f t="shared" si="4"/>
        <v>0</v>
      </c>
      <c r="AJ308" s="82" t="str">
        <f t="shared" si="5"/>
        <v/>
      </c>
    </row>
    <row r="309">
      <c r="A309" s="76" t="s">
        <v>27</v>
      </c>
      <c r="B309" s="77">
        <f t="shared" si="6"/>
        <v>44868</v>
      </c>
      <c r="C309" s="78">
        <v>11.0</v>
      </c>
      <c r="D309" s="78" t="s">
        <v>33</v>
      </c>
      <c r="E309" s="80" t="s">
        <v>131</v>
      </c>
      <c r="F309" s="71"/>
      <c r="H309" s="72"/>
      <c r="J309" s="72"/>
      <c r="L309" s="105">
        <v>0.0</v>
      </c>
      <c r="N309" s="104">
        <v>0.0</v>
      </c>
      <c r="P309" s="104">
        <v>0.0</v>
      </c>
      <c r="R309" s="104">
        <v>0.0</v>
      </c>
      <c r="T309" s="104">
        <v>0.0</v>
      </c>
      <c r="V309" s="104">
        <v>0.0</v>
      </c>
      <c r="X309" s="104">
        <v>0.0</v>
      </c>
      <c r="Y309" s="73"/>
      <c r="Z309" s="105"/>
      <c r="AB309" s="104"/>
      <c r="AD309" s="104"/>
      <c r="AF309" s="81">
        <f t="shared" si="1"/>
        <v>0</v>
      </c>
      <c r="AG309" s="78">
        <f t="shared" si="2"/>
        <v>0</v>
      </c>
      <c r="AH309" s="78">
        <f t="shared" si="3"/>
        <v>0</v>
      </c>
      <c r="AI309" s="78">
        <f t="shared" si="4"/>
        <v>0</v>
      </c>
      <c r="AJ309" s="82" t="str">
        <f t="shared" si="5"/>
        <v/>
      </c>
    </row>
    <row r="310">
      <c r="A310" s="83" t="s">
        <v>30</v>
      </c>
      <c r="B310" s="84">
        <f t="shared" si="6"/>
        <v>44869</v>
      </c>
      <c r="C310" s="85">
        <v>11.0</v>
      </c>
      <c r="D310" s="85" t="s">
        <v>33</v>
      </c>
      <c r="E310" s="87" t="s">
        <v>131</v>
      </c>
      <c r="F310" s="88"/>
      <c r="G310" s="89"/>
      <c r="H310" s="90"/>
      <c r="I310" s="89"/>
      <c r="J310" s="90"/>
      <c r="K310" s="89"/>
      <c r="L310" s="112">
        <v>0.0</v>
      </c>
      <c r="M310" s="89"/>
      <c r="N310" s="111">
        <v>0.0</v>
      </c>
      <c r="O310" s="89"/>
      <c r="P310" s="111">
        <v>0.0</v>
      </c>
      <c r="Q310" s="89"/>
      <c r="R310" s="111">
        <v>0.0</v>
      </c>
      <c r="S310" s="89"/>
      <c r="T310" s="111">
        <v>0.0</v>
      </c>
      <c r="U310" s="89"/>
      <c r="V310" s="111">
        <v>0.0</v>
      </c>
      <c r="W310" s="89"/>
      <c r="X310" s="111">
        <v>0.0</v>
      </c>
      <c r="Y310" s="91"/>
      <c r="Z310" s="112"/>
      <c r="AA310" s="89"/>
      <c r="AB310" s="111"/>
      <c r="AC310" s="89"/>
      <c r="AD310" s="111"/>
      <c r="AE310" s="89"/>
      <c r="AF310" s="92">
        <f t="shared" si="1"/>
        <v>0</v>
      </c>
      <c r="AG310" s="85">
        <f t="shared" si="2"/>
        <v>0</v>
      </c>
      <c r="AH310" s="85">
        <f t="shared" si="3"/>
        <v>0</v>
      </c>
      <c r="AI310" s="85">
        <f t="shared" si="4"/>
        <v>0</v>
      </c>
      <c r="AJ310" s="93" t="str">
        <f t="shared" si="5"/>
        <v/>
      </c>
    </row>
    <row r="311">
      <c r="A311" s="66" t="s">
        <v>11</v>
      </c>
      <c r="B311" s="94">
        <f t="shared" si="6"/>
        <v>44870</v>
      </c>
      <c r="C311" s="68">
        <v>12.0</v>
      </c>
      <c r="D311" s="68" t="s">
        <v>48</v>
      </c>
      <c r="E311" s="70" t="s">
        <v>131</v>
      </c>
      <c r="F311" s="71"/>
      <c r="H311" s="72"/>
      <c r="J311" s="72"/>
      <c r="L311" s="105"/>
      <c r="N311" s="104"/>
      <c r="P311" s="104"/>
      <c r="R311" s="104"/>
      <c r="T311" s="104"/>
      <c r="V311" s="104"/>
      <c r="X311" s="104"/>
      <c r="Y311" s="73"/>
      <c r="Z311" s="105"/>
      <c r="AB311" s="104"/>
      <c r="AD311" s="104"/>
      <c r="AF311" s="74">
        <f t="shared" si="1"/>
        <v>0</v>
      </c>
      <c r="AG311" s="68">
        <f t="shared" si="2"/>
        <v>0</v>
      </c>
      <c r="AH311" s="68">
        <f t="shared" si="3"/>
        <v>0</v>
      </c>
      <c r="AI311" s="68">
        <f t="shared" si="4"/>
        <v>0</v>
      </c>
      <c r="AJ311" s="75" t="str">
        <f t="shared" si="5"/>
        <v/>
      </c>
    </row>
    <row r="312">
      <c r="A312" s="76" t="s">
        <v>16</v>
      </c>
      <c r="B312" s="77">
        <f t="shared" si="6"/>
        <v>44871</v>
      </c>
      <c r="C312" s="78">
        <v>12.0</v>
      </c>
      <c r="D312" s="78" t="s">
        <v>48</v>
      </c>
      <c r="E312" s="80" t="s">
        <v>131</v>
      </c>
      <c r="F312" s="71"/>
      <c r="H312" s="72"/>
      <c r="J312" s="72"/>
      <c r="L312" s="105"/>
      <c r="N312" s="104"/>
      <c r="P312" s="104"/>
      <c r="R312" s="104"/>
      <c r="T312" s="104"/>
      <c r="V312" s="104"/>
      <c r="X312" s="104"/>
      <c r="Y312" s="73"/>
      <c r="Z312" s="105"/>
      <c r="AB312" s="104"/>
      <c r="AD312" s="104"/>
      <c r="AF312" s="81">
        <f t="shared" si="1"/>
        <v>0</v>
      </c>
      <c r="AG312" s="78">
        <f t="shared" si="2"/>
        <v>0</v>
      </c>
      <c r="AH312" s="78">
        <f t="shared" si="3"/>
        <v>0</v>
      </c>
      <c r="AI312" s="78">
        <f t="shared" si="4"/>
        <v>0</v>
      </c>
      <c r="AJ312" s="82" t="str">
        <f t="shared" si="5"/>
        <v/>
      </c>
    </row>
    <row r="313">
      <c r="A313" s="76" t="s">
        <v>17</v>
      </c>
      <c r="B313" s="77">
        <f t="shared" si="6"/>
        <v>44872</v>
      </c>
      <c r="C313" s="78">
        <v>12.0</v>
      </c>
      <c r="D313" s="78" t="s">
        <v>48</v>
      </c>
      <c r="E313" s="80" t="s">
        <v>131</v>
      </c>
      <c r="F313" s="71"/>
      <c r="H313" s="72"/>
      <c r="J313" s="72"/>
      <c r="L313" s="105"/>
      <c r="N313" s="104"/>
      <c r="P313" s="104"/>
      <c r="R313" s="104"/>
      <c r="T313" s="104"/>
      <c r="V313" s="104"/>
      <c r="X313" s="104"/>
      <c r="Y313" s="73"/>
      <c r="Z313" s="105"/>
      <c r="AB313" s="104"/>
      <c r="AD313" s="104"/>
      <c r="AF313" s="81">
        <f t="shared" si="1"/>
        <v>0</v>
      </c>
      <c r="AG313" s="78">
        <f t="shared" si="2"/>
        <v>0</v>
      </c>
      <c r="AH313" s="78">
        <f t="shared" si="3"/>
        <v>0</v>
      </c>
      <c r="AI313" s="78">
        <f t="shared" si="4"/>
        <v>0</v>
      </c>
      <c r="AJ313" s="82" t="str">
        <f t="shared" si="5"/>
        <v/>
      </c>
    </row>
    <row r="314">
      <c r="A314" s="76" t="s">
        <v>21</v>
      </c>
      <c r="B314" s="77">
        <f t="shared" si="6"/>
        <v>44873</v>
      </c>
      <c r="C314" s="78">
        <v>12.0</v>
      </c>
      <c r="D314" s="78" t="s">
        <v>48</v>
      </c>
      <c r="E314" s="80" t="s">
        <v>131</v>
      </c>
      <c r="F314" s="71"/>
      <c r="H314" s="72"/>
      <c r="J314" s="72"/>
      <c r="L314" s="105"/>
      <c r="N314" s="104"/>
      <c r="P314" s="104"/>
      <c r="R314" s="104"/>
      <c r="T314" s="104"/>
      <c r="V314" s="104"/>
      <c r="X314" s="104"/>
      <c r="Y314" s="73"/>
      <c r="Z314" s="105"/>
      <c r="AB314" s="104"/>
      <c r="AD314" s="104"/>
      <c r="AF314" s="81">
        <f t="shared" si="1"/>
        <v>0</v>
      </c>
      <c r="AG314" s="78">
        <f t="shared" si="2"/>
        <v>0</v>
      </c>
      <c r="AH314" s="78">
        <f t="shared" si="3"/>
        <v>0</v>
      </c>
      <c r="AI314" s="78">
        <f t="shared" si="4"/>
        <v>0</v>
      </c>
      <c r="AJ314" s="82" t="str">
        <f t="shared" si="5"/>
        <v/>
      </c>
    </row>
    <row r="315">
      <c r="A315" s="76" t="s">
        <v>24</v>
      </c>
      <c r="B315" s="77">
        <f t="shared" si="6"/>
        <v>44874</v>
      </c>
      <c r="C315" s="78">
        <v>12.0</v>
      </c>
      <c r="D315" s="78" t="s">
        <v>48</v>
      </c>
      <c r="E315" s="80" t="s">
        <v>131</v>
      </c>
      <c r="F315" s="71"/>
      <c r="H315" s="72"/>
      <c r="J315" s="72"/>
      <c r="L315" s="105"/>
      <c r="N315" s="104"/>
      <c r="P315" s="104"/>
      <c r="R315" s="104"/>
      <c r="T315" s="104"/>
      <c r="V315" s="104"/>
      <c r="X315" s="104"/>
      <c r="Y315" s="73"/>
      <c r="Z315" s="105"/>
      <c r="AB315" s="104"/>
      <c r="AD315" s="104"/>
      <c r="AF315" s="81">
        <f t="shared" si="1"/>
        <v>0</v>
      </c>
      <c r="AG315" s="78">
        <f t="shared" si="2"/>
        <v>0</v>
      </c>
      <c r="AH315" s="78">
        <f t="shared" si="3"/>
        <v>0</v>
      </c>
      <c r="AI315" s="78">
        <f t="shared" si="4"/>
        <v>0</v>
      </c>
      <c r="AJ315" s="82" t="str">
        <f t="shared" si="5"/>
        <v/>
      </c>
    </row>
    <row r="316">
      <c r="A316" s="76" t="s">
        <v>27</v>
      </c>
      <c r="B316" s="77">
        <f t="shared" si="6"/>
        <v>44875</v>
      </c>
      <c r="C316" s="78">
        <v>12.0</v>
      </c>
      <c r="D316" s="78" t="s">
        <v>48</v>
      </c>
      <c r="E316" s="80" t="s">
        <v>131</v>
      </c>
      <c r="F316" s="71"/>
      <c r="H316" s="72"/>
      <c r="J316" s="72"/>
      <c r="L316" s="105"/>
      <c r="N316" s="104"/>
      <c r="P316" s="104"/>
      <c r="R316" s="104"/>
      <c r="T316" s="104"/>
      <c r="V316" s="104"/>
      <c r="X316" s="104"/>
      <c r="Y316" s="73"/>
      <c r="Z316" s="105"/>
      <c r="AB316" s="104"/>
      <c r="AD316" s="104"/>
      <c r="AF316" s="81">
        <f t="shared" si="1"/>
        <v>0</v>
      </c>
      <c r="AG316" s="78">
        <f t="shared" si="2"/>
        <v>0</v>
      </c>
      <c r="AH316" s="78">
        <f t="shared" si="3"/>
        <v>0</v>
      </c>
      <c r="AI316" s="78">
        <f t="shared" si="4"/>
        <v>0</v>
      </c>
      <c r="AJ316" s="82" t="str">
        <f t="shared" si="5"/>
        <v/>
      </c>
    </row>
    <row r="317">
      <c r="A317" s="83" t="s">
        <v>30</v>
      </c>
      <c r="B317" s="84">
        <f t="shared" si="6"/>
        <v>44876</v>
      </c>
      <c r="C317" s="85">
        <v>12.0</v>
      </c>
      <c r="D317" s="85" t="s">
        <v>48</v>
      </c>
      <c r="E317" s="87" t="s">
        <v>131</v>
      </c>
      <c r="F317" s="88"/>
      <c r="G317" s="89"/>
      <c r="H317" s="90"/>
      <c r="I317" s="89"/>
      <c r="J317" s="90"/>
      <c r="K317" s="89"/>
      <c r="L317" s="112"/>
      <c r="M317" s="89"/>
      <c r="N317" s="111"/>
      <c r="O317" s="89"/>
      <c r="P317" s="111"/>
      <c r="Q317" s="89"/>
      <c r="R317" s="111"/>
      <c r="S317" s="89"/>
      <c r="T317" s="111"/>
      <c r="U317" s="89"/>
      <c r="V317" s="111"/>
      <c r="W317" s="89"/>
      <c r="X317" s="111"/>
      <c r="Y317" s="91"/>
      <c r="Z317" s="112"/>
      <c r="AA317" s="89"/>
      <c r="AB317" s="111"/>
      <c r="AC317" s="89"/>
      <c r="AD317" s="111"/>
      <c r="AE317" s="89"/>
      <c r="AF317" s="92">
        <f t="shared" si="1"/>
        <v>0</v>
      </c>
      <c r="AG317" s="85">
        <f t="shared" si="2"/>
        <v>0</v>
      </c>
      <c r="AH317" s="85">
        <f t="shared" si="3"/>
        <v>0</v>
      </c>
      <c r="AI317" s="85">
        <f t="shared" si="4"/>
        <v>0</v>
      </c>
      <c r="AJ317" s="93" t="str">
        <f t="shared" si="5"/>
        <v/>
      </c>
    </row>
    <row r="318">
      <c r="A318" s="66" t="s">
        <v>11</v>
      </c>
      <c r="B318" s="94">
        <f t="shared" si="6"/>
        <v>44877</v>
      </c>
      <c r="C318" s="68">
        <v>12.0</v>
      </c>
      <c r="D318" s="68" t="s">
        <v>59</v>
      </c>
      <c r="E318" s="70" t="s">
        <v>131</v>
      </c>
      <c r="F318" s="71"/>
      <c r="H318" s="72"/>
      <c r="J318" s="72"/>
      <c r="L318" s="105"/>
      <c r="N318" s="104"/>
      <c r="P318" s="104"/>
      <c r="R318" s="104"/>
      <c r="T318" s="104"/>
      <c r="V318" s="104"/>
      <c r="X318" s="104"/>
      <c r="Y318" s="73"/>
      <c r="Z318" s="105"/>
      <c r="AB318" s="104"/>
      <c r="AD318" s="104"/>
      <c r="AF318" s="74">
        <f t="shared" si="1"/>
        <v>0</v>
      </c>
      <c r="AG318" s="68">
        <f t="shared" si="2"/>
        <v>0</v>
      </c>
      <c r="AH318" s="68">
        <f t="shared" si="3"/>
        <v>0</v>
      </c>
      <c r="AI318" s="68">
        <f t="shared" si="4"/>
        <v>0</v>
      </c>
      <c r="AJ318" s="75" t="str">
        <f t="shared" si="5"/>
        <v/>
      </c>
    </row>
    <row r="319">
      <c r="A319" s="76" t="s">
        <v>16</v>
      </c>
      <c r="B319" s="77">
        <f t="shared" si="6"/>
        <v>44878</v>
      </c>
      <c r="C319" s="78">
        <v>12.0</v>
      </c>
      <c r="D319" s="78" t="s">
        <v>59</v>
      </c>
      <c r="E319" s="80" t="s">
        <v>131</v>
      </c>
      <c r="F319" s="71"/>
      <c r="H319" s="72"/>
      <c r="J319" s="72"/>
      <c r="L319" s="105"/>
      <c r="N319" s="104"/>
      <c r="P319" s="104"/>
      <c r="R319" s="104"/>
      <c r="T319" s="104"/>
      <c r="V319" s="104"/>
      <c r="X319" s="104"/>
      <c r="Y319" s="73"/>
      <c r="Z319" s="105"/>
      <c r="AB319" s="104"/>
      <c r="AD319" s="104"/>
      <c r="AF319" s="81">
        <f t="shared" si="1"/>
        <v>0</v>
      </c>
      <c r="AG319" s="78">
        <f t="shared" si="2"/>
        <v>0</v>
      </c>
      <c r="AH319" s="78">
        <f t="shared" si="3"/>
        <v>0</v>
      </c>
      <c r="AI319" s="78">
        <f t="shared" si="4"/>
        <v>0</v>
      </c>
      <c r="AJ319" s="82" t="str">
        <f t="shared" si="5"/>
        <v/>
      </c>
    </row>
    <row r="320">
      <c r="A320" s="76" t="s">
        <v>17</v>
      </c>
      <c r="B320" s="77">
        <f t="shared" si="6"/>
        <v>44879</v>
      </c>
      <c r="C320" s="78">
        <v>12.0</v>
      </c>
      <c r="D320" s="78" t="s">
        <v>59</v>
      </c>
      <c r="E320" s="80" t="s">
        <v>131</v>
      </c>
      <c r="F320" s="71"/>
      <c r="H320" s="72"/>
      <c r="J320" s="72"/>
      <c r="L320" s="105"/>
      <c r="N320" s="104"/>
      <c r="P320" s="104"/>
      <c r="R320" s="104"/>
      <c r="T320" s="104"/>
      <c r="V320" s="104"/>
      <c r="X320" s="104"/>
      <c r="Y320" s="73"/>
      <c r="Z320" s="105"/>
      <c r="AB320" s="104"/>
      <c r="AD320" s="104"/>
      <c r="AF320" s="81">
        <f t="shared" si="1"/>
        <v>0</v>
      </c>
      <c r="AG320" s="78">
        <f t="shared" si="2"/>
        <v>0</v>
      </c>
      <c r="AH320" s="78">
        <f t="shared" si="3"/>
        <v>0</v>
      </c>
      <c r="AI320" s="78">
        <f t="shared" si="4"/>
        <v>0</v>
      </c>
      <c r="AJ320" s="82" t="str">
        <f t="shared" si="5"/>
        <v/>
      </c>
    </row>
    <row r="321">
      <c r="A321" s="76" t="s">
        <v>21</v>
      </c>
      <c r="B321" s="77">
        <f t="shared" si="6"/>
        <v>44880</v>
      </c>
      <c r="C321" s="78">
        <v>12.0</v>
      </c>
      <c r="D321" s="78" t="s">
        <v>59</v>
      </c>
      <c r="E321" s="80" t="s">
        <v>131</v>
      </c>
      <c r="F321" s="71"/>
      <c r="H321" s="72"/>
      <c r="J321" s="72"/>
      <c r="L321" s="105"/>
      <c r="N321" s="104"/>
      <c r="P321" s="104"/>
      <c r="R321" s="104"/>
      <c r="T321" s="104"/>
      <c r="V321" s="104"/>
      <c r="X321" s="104"/>
      <c r="Y321" s="73"/>
      <c r="Z321" s="105"/>
      <c r="AB321" s="104"/>
      <c r="AD321" s="104"/>
      <c r="AF321" s="81">
        <f t="shared" si="1"/>
        <v>0</v>
      </c>
      <c r="AG321" s="78">
        <f t="shared" si="2"/>
        <v>0</v>
      </c>
      <c r="AH321" s="78">
        <f t="shared" si="3"/>
        <v>0</v>
      </c>
      <c r="AI321" s="78">
        <f t="shared" si="4"/>
        <v>0</v>
      </c>
      <c r="AJ321" s="82" t="str">
        <f t="shared" si="5"/>
        <v/>
      </c>
    </row>
    <row r="322">
      <c r="A322" s="76" t="s">
        <v>24</v>
      </c>
      <c r="B322" s="77">
        <f t="shared" si="6"/>
        <v>44881</v>
      </c>
      <c r="C322" s="78">
        <v>12.0</v>
      </c>
      <c r="D322" s="78" t="s">
        <v>59</v>
      </c>
      <c r="E322" s="80" t="s">
        <v>131</v>
      </c>
      <c r="F322" s="71"/>
      <c r="H322" s="72"/>
      <c r="J322" s="72"/>
      <c r="L322" s="105"/>
      <c r="N322" s="104"/>
      <c r="P322" s="104"/>
      <c r="R322" s="104"/>
      <c r="T322" s="104"/>
      <c r="V322" s="104"/>
      <c r="X322" s="104"/>
      <c r="Y322" s="73"/>
      <c r="Z322" s="105"/>
      <c r="AB322" s="104"/>
      <c r="AD322" s="104"/>
      <c r="AF322" s="81">
        <f t="shared" si="1"/>
        <v>0</v>
      </c>
      <c r="AG322" s="78">
        <f t="shared" si="2"/>
        <v>0</v>
      </c>
      <c r="AH322" s="78">
        <f t="shared" si="3"/>
        <v>0</v>
      </c>
      <c r="AI322" s="78">
        <f t="shared" si="4"/>
        <v>0</v>
      </c>
      <c r="AJ322" s="82" t="str">
        <f t="shared" si="5"/>
        <v/>
      </c>
    </row>
    <row r="323">
      <c r="A323" s="76" t="s">
        <v>27</v>
      </c>
      <c r="B323" s="77">
        <f t="shared" si="6"/>
        <v>44882</v>
      </c>
      <c r="C323" s="78">
        <v>12.0</v>
      </c>
      <c r="D323" s="78" t="s">
        <v>59</v>
      </c>
      <c r="E323" s="80" t="s">
        <v>131</v>
      </c>
      <c r="F323" s="71"/>
      <c r="H323" s="72"/>
      <c r="J323" s="72"/>
      <c r="L323" s="105"/>
      <c r="N323" s="104"/>
      <c r="P323" s="104"/>
      <c r="R323" s="104"/>
      <c r="T323" s="104"/>
      <c r="V323" s="104"/>
      <c r="X323" s="104"/>
      <c r="Y323" s="73"/>
      <c r="Z323" s="105"/>
      <c r="AB323" s="104"/>
      <c r="AD323" s="104"/>
      <c r="AF323" s="81">
        <f t="shared" si="1"/>
        <v>0</v>
      </c>
      <c r="AG323" s="78">
        <f t="shared" si="2"/>
        <v>0</v>
      </c>
      <c r="AH323" s="78">
        <f t="shared" si="3"/>
        <v>0</v>
      </c>
      <c r="AI323" s="78">
        <f t="shared" si="4"/>
        <v>0</v>
      </c>
      <c r="AJ323" s="82" t="str">
        <f t="shared" si="5"/>
        <v/>
      </c>
    </row>
    <row r="324">
      <c r="A324" s="83" t="s">
        <v>30</v>
      </c>
      <c r="B324" s="84">
        <f t="shared" si="6"/>
        <v>44883</v>
      </c>
      <c r="C324" s="85">
        <v>12.0</v>
      </c>
      <c r="D324" s="85" t="s">
        <v>59</v>
      </c>
      <c r="E324" s="87" t="s">
        <v>131</v>
      </c>
      <c r="F324" s="88"/>
      <c r="G324" s="89"/>
      <c r="H324" s="90"/>
      <c r="I324" s="89"/>
      <c r="J324" s="90"/>
      <c r="K324" s="89"/>
      <c r="L324" s="112"/>
      <c r="M324" s="89"/>
      <c r="N324" s="111"/>
      <c r="O324" s="89"/>
      <c r="P324" s="111"/>
      <c r="Q324" s="89"/>
      <c r="R324" s="111"/>
      <c r="S324" s="89"/>
      <c r="T324" s="111"/>
      <c r="U324" s="89"/>
      <c r="V324" s="111"/>
      <c r="W324" s="89"/>
      <c r="X324" s="111"/>
      <c r="Y324" s="91"/>
      <c r="Z324" s="112"/>
      <c r="AA324" s="89"/>
      <c r="AB324" s="111"/>
      <c r="AC324" s="89"/>
      <c r="AD324" s="111"/>
      <c r="AE324" s="89"/>
      <c r="AF324" s="92">
        <f t="shared" si="1"/>
        <v>0</v>
      </c>
      <c r="AG324" s="85">
        <f t="shared" si="2"/>
        <v>0</v>
      </c>
      <c r="AH324" s="85">
        <f t="shared" si="3"/>
        <v>0</v>
      </c>
      <c r="AI324" s="85">
        <f t="shared" si="4"/>
        <v>0</v>
      </c>
      <c r="AJ324" s="93" t="str">
        <f t="shared" si="5"/>
        <v/>
      </c>
    </row>
    <row r="325">
      <c r="A325" s="66" t="s">
        <v>11</v>
      </c>
      <c r="B325" s="94">
        <f t="shared" si="6"/>
        <v>44884</v>
      </c>
      <c r="C325" s="68">
        <v>12.0</v>
      </c>
      <c r="D325" s="68" t="s">
        <v>12</v>
      </c>
      <c r="E325" s="70" t="s">
        <v>125</v>
      </c>
      <c r="F325" s="71"/>
      <c r="H325" s="72"/>
      <c r="J325" s="72"/>
      <c r="L325" s="71"/>
      <c r="N325" s="72"/>
      <c r="P325" s="72"/>
      <c r="R325" s="72"/>
      <c r="T325" s="72"/>
      <c r="V325" s="72"/>
      <c r="X325" s="72"/>
      <c r="Y325" s="73"/>
      <c r="Z325" s="71"/>
      <c r="AB325" s="72"/>
      <c r="AD325" s="72"/>
      <c r="AF325" s="74">
        <f t="shared" si="1"/>
        <v>0</v>
      </c>
      <c r="AG325" s="68">
        <f t="shared" si="2"/>
        <v>0</v>
      </c>
      <c r="AH325" s="68">
        <f t="shared" si="3"/>
        <v>0</v>
      </c>
      <c r="AI325" s="68">
        <f t="shared" si="4"/>
        <v>0</v>
      </c>
      <c r="AJ325" s="75" t="str">
        <f t="shared" si="5"/>
        <v/>
      </c>
    </row>
    <row r="326">
      <c r="A326" s="76" t="s">
        <v>16</v>
      </c>
      <c r="B326" s="77">
        <f t="shared" si="6"/>
        <v>44885</v>
      </c>
      <c r="C326" s="78">
        <v>12.0</v>
      </c>
      <c r="D326" s="78" t="s">
        <v>12</v>
      </c>
      <c r="E326" s="80" t="s">
        <v>125</v>
      </c>
      <c r="F326" s="71"/>
      <c r="H326" s="72"/>
      <c r="J326" s="72"/>
      <c r="L326" s="71"/>
      <c r="N326" s="72"/>
      <c r="P326" s="72"/>
      <c r="R326" s="72"/>
      <c r="T326" s="72"/>
      <c r="V326" s="72"/>
      <c r="X326" s="72"/>
      <c r="Y326" s="73"/>
      <c r="Z326" s="71"/>
      <c r="AB326" s="72"/>
      <c r="AD326" s="72"/>
      <c r="AF326" s="81">
        <f t="shared" si="1"/>
        <v>0</v>
      </c>
      <c r="AG326" s="78">
        <f t="shared" si="2"/>
        <v>0</v>
      </c>
      <c r="AH326" s="78">
        <f t="shared" si="3"/>
        <v>0</v>
      </c>
      <c r="AI326" s="78">
        <f t="shared" si="4"/>
        <v>0</v>
      </c>
      <c r="AJ326" s="82" t="str">
        <f t="shared" si="5"/>
        <v/>
      </c>
    </row>
    <row r="327">
      <c r="A327" s="76" t="s">
        <v>17</v>
      </c>
      <c r="B327" s="77">
        <f t="shared" si="6"/>
        <v>44886</v>
      </c>
      <c r="C327" s="78">
        <v>12.0</v>
      </c>
      <c r="D327" s="78" t="s">
        <v>12</v>
      </c>
      <c r="E327" s="80" t="s">
        <v>125</v>
      </c>
      <c r="F327" s="71"/>
      <c r="H327" s="72"/>
      <c r="J327" s="72"/>
      <c r="L327" s="71"/>
      <c r="N327" s="72"/>
      <c r="P327" s="72"/>
      <c r="R327" s="72"/>
      <c r="T327" s="72"/>
      <c r="V327" s="72"/>
      <c r="X327" s="72"/>
      <c r="Y327" s="73"/>
      <c r="Z327" s="71"/>
      <c r="AB327" s="72"/>
      <c r="AD327" s="72"/>
      <c r="AF327" s="81">
        <f t="shared" si="1"/>
        <v>0</v>
      </c>
      <c r="AG327" s="78">
        <f t="shared" si="2"/>
        <v>0</v>
      </c>
      <c r="AH327" s="78">
        <f t="shared" si="3"/>
        <v>0</v>
      </c>
      <c r="AI327" s="78">
        <f t="shared" si="4"/>
        <v>0</v>
      </c>
      <c r="AJ327" s="82" t="str">
        <f t="shared" si="5"/>
        <v/>
      </c>
    </row>
    <row r="328">
      <c r="A328" s="76" t="s">
        <v>21</v>
      </c>
      <c r="B328" s="77">
        <f t="shared" si="6"/>
        <v>44887</v>
      </c>
      <c r="C328" s="78">
        <v>12.0</v>
      </c>
      <c r="D328" s="78" t="s">
        <v>12</v>
      </c>
      <c r="E328" s="80" t="s">
        <v>125</v>
      </c>
      <c r="F328" s="71"/>
      <c r="H328" s="72"/>
      <c r="J328" s="72"/>
      <c r="L328" s="71"/>
      <c r="N328" s="72"/>
      <c r="P328" s="72"/>
      <c r="R328" s="72"/>
      <c r="T328" s="72"/>
      <c r="V328" s="72"/>
      <c r="X328" s="72"/>
      <c r="Y328" s="73"/>
      <c r="Z328" s="71"/>
      <c r="AB328" s="72"/>
      <c r="AD328" s="72"/>
      <c r="AF328" s="81">
        <f t="shared" si="1"/>
        <v>0</v>
      </c>
      <c r="AG328" s="78">
        <f t="shared" si="2"/>
        <v>0</v>
      </c>
      <c r="AH328" s="78">
        <f t="shared" si="3"/>
        <v>0</v>
      </c>
      <c r="AI328" s="78">
        <f t="shared" si="4"/>
        <v>0</v>
      </c>
      <c r="AJ328" s="82" t="str">
        <f t="shared" si="5"/>
        <v/>
      </c>
    </row>
    <row r="329">
      <c r="A329" s="76" t="s">
        <v>24</v>
      </c>
      <c r="B329" s="77">
        <f t="shared" si="6"/>
        <v>44888</v>
      </c>
      <c r="C329" s="78">
        <v>12.0</v>
      </c>
      <c r="D329" s="78" t="s">
        <v>12</v>
      </c>
      <c r="E329" s="80" t="s">
        <v>125</v>
      </c>
      <c r="F329" s="71"/>
      <c r="H329" s="72"/>
      <c r="J329" s="72"/>
      <c r="L329" s="71"/>
      <c r="N329" s="72"/>
      <c r="P329" s="72"/>
      <c r="R329" s="72"/>
      <c r="T329" s="72"/>
      <c r="V329" s="72"/>
      <c r="X329" s="72"/>
      <c r="Y329" s="73"/>
      <c r="Z329" s="71"/>
      <c r="AB329" s="72"/>
      <c r="AD329" s="72"/>
      <c r="AF329" s="81">
        <f t="shared" si="1"/>
        <v>0</v>
      </c>
      <c r="AG329" s="78">
        <f t="shared" si="2"/>
        <v>0</v>
      </c>
      <c r="AH329" s="78">
        <f t="shared" si="3"/>
        <v>0</v>
      </c>
      <c r="AI329" s="78">
        <f t="shared" si="4"/>
        <v>0</v>
      </c>
      <c r="AJ329" s="82" t="str">
        <f t="shared" si="5"/>
        <v/>
      </c>
    </row>
    <row r="330">
      <c r="A330" s="76" t="s">
        <v>27</v>
      </c>
      <c r="B330" s="77">
        <f t="shared" si="6"/>
        <v>44889</v>
      </c>
      <c r="C330" s="78">
        <v>12.0</v>
      </c>
      <c r="D330" s="78" t="s">
        <v>12</v>
      </c>
      <c r="E330" s="80" t="s">
        <v>125</v>
      </c>
      <c r="F330" s="71"/>
      <c r="H330" s="72"/>
      <c r="J330" s="72"/>
      <c r="L330" s="71"/>
      <c r="N330" s="72"/>
      <c r="P330" s="72"/>
      <c r="R330" s="72"/>
      <c r="T330" s="72"/>
      <c r="V330" s="72"/>
      <c r="X330" s="72"/>
      <c r="Y330" s="73"/>
      <c r="Z330" s="71"/>
      <c r="AB330" s="72"/>
      <c r="AD330" s="72"/>
      <c r="AF330" s="81">
        <f t="shared" si="1"/>
        <v>0</v>
      </c>
      <c r="AG330" s="78">
        <f t="shared" si="2"/>
        <v>0</v>
      </c>
      <c r="AH330" s="78">
        <f t="shared" si="3"/>
        <v>0</v>
      </c>
      <c r="AI330" s="78">
        <f t="shared" si="4"/>
        <v>0</v>
      </c>
      <c r="AJ330" s="82" t="str">
        <f t="shared" si="5"/>
        <v/>
      </c>
    </row>
    <row r="331">
      <c r="A331" s="83" t="s">
        <v>30</v>
      </c>
      <c r="B331" s="84">
        <f t="shared" si="6"/>
        <v>44890</v>
      </c>
      <c r="C331" s="85">
        <v>12.0</v>
      </c>
      <c r="D331" s="85" t="s">
        <v>12</v>
      </c>
      <c r="E331" s="87" t="s">
        <v>125</v>
      </c>
      <c r="F331" s="88"/>
      <c r="G331" s="89"/>
      <c r="H331" s="90"/>
      <c r="I331" s="89"/>
      <c r="J331" s="90"/>
      <c r="K331" s="89"/>
      <c r="L331" s="88"/>
      <c r="M331" s="89"/>
      <c r="N331" s="90"/>
      <c r="O331" s="89"/>
      <c r="P331" s="90"/>
      <c r="Q331" s="89"/>
      <c r="R331" s="90"/>
      <c r="S331" s="89"/>
      <c r="T331" s="90"/>
      <c r="U331" s="89"/>
      <c r="V331" s="90"/>
      <c r="W331" s="89"/>
      <c r="X331" s="90"/>
      <c r="Y331" s="91"/>
      <c r="Z331" s="88"/>
      <c r="AA331" s="89"/>
      <c r="AB331" s="90"/>
      <c r="AC331" s="89"/>
      <c r="AD331" s="90"/>
      <c r="AE331" s="89"/>
      <c r="AF331" s="92">
        <f t="shared" si="1"/>
        <v>0</v>
      </c>
      <c r="AG331" s="85">
        <f t="shared" si="2"/>
        <v>0</v>
      </c>
      <c r="AH331" s="85">
        <f t="shared" si="3"/>
        <v>0</v>
      </c>
      <c r="AI331" s="85">
        <f t="shared" si="4"/>
        <v>0</v>
      </c>
      <c r="AJ331" s="93" t="str">
        <f t="shared" si="5"/>
        <v/>
      </c>
    </row>
    <row r="332">
      <c r="A332" s="66" t="s">
        <v>11</v>
      </c>
      <c r="B332" s="94">
        <f t="shared" si="6"/>
        <v>44891</v>
      </c>
      <c r="C332" s="68">
        <v>12.0</v>
      </c>
      <c r="D332" s="68" t="s">
        <v>33</v>
      </c>
      <c r="E332" s="70" t="s">
        <v>125</v>
      </c>
      <c r="F332" s="71"/>
      <c r="H332" s="72"/>
      <c r="J332" s="72"/>
      <c r="L332" s="71"/>
      <c r="N332" s="72"/>
      <c r="P332" s="72"/>
      <c r="R332" s="72"/>
      <c r="T332" s="72"/>
      <c r="V332" s="72"/>
      <c r="X332" s="72"/>
      <c r="Y332" s="73"/>
      <c r="Z332" s="71"/>
      <c r="AB332" s="72"/>
      <c r="AD332" s="72"/>
      <c r="AF332" s="74">
        <f t="shared" si="1"/>
        <v>0</v>
      </c>
      <c r="AG332" s="68">
        <f t="shared" si="2"/>
        <v>0</v>
      </c>
      <c r="AH332" s="68">
        <f t="shared" si="3"/>
        <v>0</v>
      </c>
      <c r="AI332" s="68">
        <f t="shared" si="4"/>
        <v>0</v>
      </c>
      <c r="AJ332" s="75" t="str">
        <f t="shared" si="5"/>
        <v/>
      </c>
    </row>
    <row r="333">
      <c r="A333" s="76" t="s">
        <v>16</v>
      </c>
      <c r="B333" s="77">
        <f t="shared" si="6"/>
        <v>44892</v>
      </c>
      <c r="C333" s="78">
        <v>12.0</v>
      </c>
      <c r="D333" s="78" t="s">
        <v>33</v>
      </c>
      <c r="E333" s="80" t="s">
        <v>125</v>
      </c>
      <c r="F333" s="71"/>
      <c r="H333" s="72"/>
      <c r="J333" s="72"/>
      <c r="L333" s="71"/>
      <c r="N333" s="72"/>
      <c r="P333" s="72"/>
      <c r="R333" s="72"/>
      <c r="T333" s="72"/>
      <c r="V333" s="72"/>
      <c r="X333" s="72"/>
      <c r="Y333" s="73"/>
      <c r="Z333" s="71"/>
      <c r="AB333" s="72"/>
      <c r="AD333" s="72"/>
      <c r="AF333" s="81">
        <f t="shared" si="1"/>
        <v>0</v>
      </c>
      <c r="AG333" s="78">
        <f t="shared" si="2"/>
        <v>0</v>
      </c>
      <c r="AH333" s="78">
        <f t="shared" si="3"/>
        <v>0</v>
      </c>
      <c r="AI333" s="78">
        <f t="shared" si="4"/>
        <v>0</v>
      </c>
      <c r="AJ333" s="82" t="str">
        <f t="shared" si="5"/>
        <v/>
      </c>
    </row>
    <row r="334">
      <c r="A334" s="76" t="s">
        <v>17</v>
      </c>
      <c r="B334" s="77">
        <f t="shared" si="6"/>
        <v>44893</v>
      </c>
      <c r="C334" s="78">
        <v>12.0</v>
      </c>
      <c r="D334" s="78" t="s">
        <v>33</v>
      </c>
      <c r="E334" s="80" t="s">
        <v>125</v>
      </c>
      <c r="F334" s="71"/>
      <c r="H334" s="72"/>
      <c r="J334" s="72"/>
      <c r="L334" s="71"/>
      <c r="N334" s="72"/>
      <c r="P334" s="72"/>
      <c r="R334" s="72"/>
      <c r="T334" s="72"/>
      <c r="V334" s="72"/>
      <c r="X334" s="72"/>
      <c r="Y334" s="73"/>
      <c r="Z334" s="71"/>
      <c r="AB334" s="72"/>
      <c r="AD334" s="72"/>
      <c r="AF334" s="81">
        <f t="shared" si="1"/>
        <v>0</v>
      </c>
      <c r="AG334" s="78">
        <f t="shared" si="2"/>
        <v>0</v>
      </c>
      <c r="AH334" s="78">
        <f t="shared" si="3"/>
        <v>0</v>
      </c>
      <c r="AI334" s="78">
        <f t="shared" si="4"/>
        <v>0</v>
      </c>
      <c r="AJ334" s="82" t="str">
        <f t="shared" si="5"/>
        <v/>
      </c>
    </row>
    <row r="335">
      <c r="A335" s="76" t="s">
        <v>21</v>
      </c>
      <c r="B335" s="77">
        <f t="shared" si="6"/>
        <v>44894</v>
      </c>
      <c r="C335" s="78">
        <v>12.0</v>
      </c>
      <c r="D335" s="78" t="s">
        <v>33</v>
      </c>
      <c r="E335" s="80" t="s">
        <v>125</v>
      </c>
      <c r="F335" s="71"/>
      <c r="H335" s="72"/>
      <c r="J335" s="72"/>
      <c r="L335" s="71"/>
      <c r="N335" s="72"/>
      <c r="P335" s="72"/>
      <c r="R335" s="72"/>
      <c r="T335" s="72"/>
      <c r="V335" s="72"/>
      <c r="X335" s="72"/>
      <c r="Y335" s="73"/>
      <c r="Z335" s="71"/>
      <c r="AB335" s="72"/>
      <c r="AD335" s="72"/>
      <c r="AF335" s="81">
        <f t="shared" si="1"/>
        <v>0</v>
      </c>
      <c r="AG335" s="78">
        <f t="shared" si="2"/>
        <v>0</v>
      </c>
      <c r="AH335" s="78">
        <f t="shared" si="3"/>
        <v>0</v>
      </c>
      <c r="AI335" s="78">
        <f t="shared" si="4"/>
        <v>0</v>
      </c>
      <c r="AJ335" s="82" t="str">
        <f t="shared" si="5"/>
        <v/>
      </c>
    </row>
    <row r="336">
      <c r="A336" s="76" t="s">
        <v>24</v>
      </c>
      <c r="B336" s="77">
        <f t="shared" si="6"/>
        <v>44895</v>
      </c>
      <c r="C336" s="78">
        <v>12.0</v>
      </c>
      <c r="D336" s="78" t="s">
        <v>33</v>
      </c>
      <c r="E336" s="80" t="s">
        <v>125</v>
      </c>
      <c r="F336" s="71"/>
      <c r="H336" s="72"/>
      <c r="J336" s="72"/>
      <c r="L336" s="71"/>
      <c r="N336" s="72"/>
      <c r="P336" s="72"/>
      <c r="R336" s="72"/>
      <c r="T336" s="72"/>
      <c r="V336" s="72"/>
      <c r="X336" s="72"/>
      <c r="Y336" s="73"/>
      <c r="Z336" s="71"/>
      <c r="AB336" s="72"/>
      <c r="AD336" s="72"/>
      <c r="AF336" s="81">
        <f t="shared" si="1"/>
        <v>0</v>
      </c>
      <c r="AG336" s="78">
        <f t="shared" si="2"/>
        <v>0</v>
      </c>
      <c r="AH336" s="78">
        <f t="shared" si="3"/>
        <v>0</v>
      </c>
      <c r="AI336" s="78">
        <f t="shared" si="4"/>
        <v>0</v>
      </c>
      <c r="AJ336" s="82" t="str">
        <f t="shared" si="5"/>
        <v/>
      </c>
    </row>
    <row r="337">
      <c r="A337" s="76" t="s">
        <v>27</v>
      </c>
      <c r="B337" s="77">
        <f t="shared" si="6"/>
        <v>44896</v>
      </c>
      <c r="C337" s="78">
        <v>12.0</v>
      </c>
      <c r="D337" s="78" t="s">
        <v>33</v>
      </c>
      <c r="E337" s="80" t="s">
        <v>125</v>
      </c>
      <c r="F337" s="71"/>
      <c r="H337" s="72"/>
      <c r="J337" s="72"/>
      <c r="L337" s="71"/>
      <c r="N337" s="72"/>
      <c r="P337" s="72"/>
      <c r="R337" s="72"/>
      <c r="T337" s="72"/>
      <c r="V337" s="72"/>
      <c r="X337" s="72"/>
      <c r="Y337" s="73"/>
      <c r="Z337" s="71"/>
      <c r="AB337" s="72"/>
      <c r="AD337" s="72"/>
      <c r="AF337" s="81">
        <f t="shared" si="1"/>
        <v>0</v>
      </c>
      <c r="AG337" s="78">
        <f t="shared" si="2"/>
        <v>0</v>
      </c>
      <c r="AH337" s="78">
        <f t="shared" si="3"/>
        <v>0</v>
      </c>
      <c r="AI337" s="78">
        <f t="shared" si="4"/>
        <v>0</v>
      </c>
      <c r="AJ337" s="82" t="str">
        <f t="shared" si="5"/>
        <v/>
      </c>
    </row>
    <row r="338">
      <c r="A338" s="83" t="s">
        <v>30</v>
      </c>
      <c r="B338" s="84">
        <f t="shared" si="6"/>
        <v>44897</v>
      </c>
      <c r="C338" s="85">
        <v>12.0</v>
      </c>
      <c r="D338" s="85" t="s">
        <v>33</v>
      </c>
      <c r="E338" s="87" t="s">
        <v>125</v>
      </c>
      <c r="F338" s="88"/>
      <c r="G338" s="89"/>
      <c r="H338" s="90"/>
      <c r="I338" s="89"/>
      <c r="J338" s="90"/>
      <c r="K338" s="89"/>
      <c r="L338" s="88"/>
      <c r="M338" s="89"/>
      <c r="N338" s="90"/>
      <c r="O338" s="89"/>
      <c r="P338" s="90"/>
      <c r="Q338" s="89"/>
      <c r="R338" s="90"/>
      <c r="S338" s="89"/>
      <c r="T338" s="90"/>
      <c r="U338" s="89"/>
      <c r="V338" s="90"/>
      <c r="W338" s="89"/>
      <c r="X338" s="90"/>
      <c r="Y338" s="91"/>
      <c r="Z338" s="88"/>
      <c r="AA338" s="89"/>
      <c r="AB338" s="90"/>
      <c r="AC338" s="89"/>
      <c r="AD338" s="90"/>
      <c r="AE338" s="89"/>
      <c r="AF338" s="92">
        <f t="shared" si="1"/>
        <v>0</v>
      </c>
      <c r="AG338" s="85">
        <f t="shared" si="2"/>
        <v>0</v>
      </c>
      <c r="AH338" s="85">
        <f t="shared" si="3"/>
        <v>0</v>
      </c>
      <c r="AI338" s="85">
        <f t="shared" si="4"/>
        <v>0</v>
      </c>
      <c r="AJ338" s="93" t="str">
        <f t="shared" si="5"/>
        <v/>
      </c>
    </row>
    <row r="339">
      <c r="A339" s="66" t="s">
        <v>11</v>
      </c>
      <c r="B339" s="94">
        <f t="shared" si="6"/>
        <v>44898</v>
      </c>
      <c r="C339" s="68">
        <v>13.0</v>
      </c>
      <c r="D339" s="68" t="s">
        <v>48</v>
      </c>
      <c r="E339" s="70" t="s">
        <v>125</v>
      </c>
      <c r="F339" s="71"/>
      <c r="H339" s="72"/>
      <c r="J339" s="72"/>
      <c r="L339" s="71"/>
      <c r="N339" s="72"/>
      <c r="P339" s="72"/>
      <c r="R339" s="72"/>
      <c r="T339" s="72"/>
      <c r="V339" s="72"/>
      <c r="X339" s="72"/>
      <c r="Y339" s="73"/>
      <c r="Z339" s="71"/>
      <c r="AB339" s="72"/>
      <c r="AD339" s="72"/>
      <c r="AF339" s="74">
        <f t="shared" si="1"/>
        <v>0</v>
      </c>
      <c r="AG339" s="68">
        <f t="shared" si="2"/>
        <v>0</v>
      </c>
      <c r="AH339" s="68">
        <f t="shared" si="3"/>
        <v>0</v>
      </c>
      <c r="AI339" s="68">
        <f t="shared" si="4"/>
        <v>0</v>
      </c>
      <c r="AJ339" s="75" t="str">
        <f t="shared" si="5"/>
        <v/>
      </c>
    </row>
    <row r="340">
      <c r="A340" s="76" t="s">
        <v>16</v>
      </c>
      <c r="B340" s="77">
        <f t="shared" si="6"/>
        <v>44899</v>
      </c>
      <c r="C340" s="78">
        <v>13.0</v>
      </c>
      <c r="D340" s="78" t="s">
        <v>48</v>
      </c>
      <c r="E340" s="80" t="s">
        <v>125</v>
      </c>
      <c r="F340" s="71"/>
      <c r="H340" s="72"/>
      <c r="J340" s="72"/>
      <c r="L340" s="71"/>
      <c r="N340" s="72"/>
      <c r="P340" s="72"/>
      <c r="R340" s="72"/>
      <c r="T340" s="72"/>
      <c r="V340" s="72"/>
      <c r="X340" s="72"/>
      <c r="Y340" s="73"/>
      <c r="Z340" s="71"/>
      <c r="AB340" s="72"/>
      <c r="AD340" s="72"/>
      <c r="AF340" s="81">
        <f t="shared" si="1"/>
        <v>0</v>
      </c>
      <c r="AG340" s="78">
        <f t="shared" si="2"/>
        <v>0</v>
      </c>
      <c r="AH340" s="78">
        <f t="shared" si="3"/>
        <v>0</v>
      </c>
      <c r="AI340" s="78">
        <f t="shared" si="4"/>
        <v>0</v>
      </c>
      <c r="AJ340" s="82" t="str">
        <f t="shared" si="5"/>
        <v/>
      </c>
    </row>
    <row r="341">
      <c r="A341" s="76" t="s">
        <v>17</v>
      </c>
      <c r="B341" s="77">
        <f t="shared" si="6"/>
        <v>44900</v>
      </c>
      <c r="C341" s="78">
        <v>13.0</v>
      </c>
      <c r="D341" s="78" t="s">
        <v>48</v>
      </c>
      <c r="E341" s="80" t="s">
        <v>125</v>
      </c>
      <c r="F341" s="71"/>
      <c r="H341" s="72"/>
      <c r="J341" s="72"/>
      <c r="L341" s="71"/>
      <c r="N341" s="72"/>
      <c r="P341" s="72"/>
      <c r="R341" s="72"/>
      <c r="T341" s="72"/>
      <c r="V341" s="72"/>
      <c r="X341" s="72"/>
      <c r="Y341" s="73"/>
      <c r="Z341" s="71"/>
      <c r="AB341" s="72"/>
      <c r="AD341" s="72"/>
      <c r="AF341" s="81">
        <f t="shared" si="1"/>
        <v>0</v>
      </c>
      <c r="AG341" s="78">
        <f t="shared" si="2"/>
        <v>0</v>
      </c>
      <c r="AH341" s="78">
        <f t="shared" si="3"/>
        <v>0</v>
      </c>
      <c r="AI341" s="78">
        <f t="shared" si="4"/>
        <v>0</v>
      </c>
      <c r="AJ341" s="82" t="str">
        <f t="shared" si="5"/>
        <v/>
      </c>
    </row>
    <row r="342">
      <c r="A342" s="76" t="s">
        <v>21</v>
      </c>
      <c r="B342" s="77">
        <f t="shared" si="6"/>
        <v>44901</v>
      </c>
      <c r="C342" s="78">
        <v>13.0</v>
      </c>
      <c r="D342" s="78" t="s">
        <v>48</v>
      </c>
      <c r="E342" s="80" t="s">
        <v>125</v>
      </c>
      <c r="F342" s="71"/>
      <c r="H342" s="72"/>
      <c r="J342" s="72"/>
      <c r="L342" s="71"/>
      <c r="N342" s="72"/>
      <c r="P342" s="72"/>
      <c r="R342" s="72"/>
      <c r="T342" s="72"/>
      <c r="V342" s="72"/>
      <c r="X342" s="72"/>
      <c r="Y342" s="73"/>
      <c r="Z342" s="71"/>
      <c r="AB342" s="72"/>
      <c r="AD342" s="72"/>
      <c r="AF342" s="81">
        <f t="shared" si="1"/>
        <v>0</v>
      </c>
      <c r="AG342" s="78">
        <f t="shared" si="2"/>
        <v>0</v>
      </c>
      <c r="AH342" s="78">
        <f t="shared" si="3"/>
        <v>0</v>
      </c>
      <c r="AI342" s="78">
        <f t="shared" si="4"/>
        <v>0</v>
      </c>
      <c r="AJ342" s="82" t="str">
        <f t="shared" si="5"/>
        <v/>
      </c>
    </row>
    <row r="343">
      <c r="A343" s="76" t="s">
        <v>24</v>
      </c>
      <c r="B343" s="77">
        <f t="shared" si="6"/>
        <v>44902</v>
      </c>
      <c r="C343" s="78">
        <v>13.0</v>
      </c>
      <c r="D343" s="78" t="s">
        <v>48</v>
      </c>
      <c r="E343" s="80" t="s">
        <v>125</v>
      </c>
      <c r="F343" s="71"/>
      <c r="H343" s="72"/>
      <c r="J343" s="72"/>
      <c r="L343" s="71"/>
      <c r="N343" s="72"/>
      <c r="P343" s="72"/>
      <c r="R343" s="72"/>
      <c r="T343" s="72"/>
      <c r="V343" s="72"/>
      <c r="X343" s="72"/>
      <c r="Y343" s="73"/>
      <c r="Z343" s="71"/>
      <c r="AB343" s="72"/>
      <c r="AD343" s="72"/>
      <c r="AF343" s="81">
        <f t="shared" si="1"/>
        <v>0</v>
      </c>
      <c r="AG343" s="78">
        <f t="shared" si="2"/>
        <v>0</v>
      </c>
      <c r="AH343" s="78">
        <f t="shared" si="3"/>
        <v>0</v>
      </c>
      <c r="AI343" s="78">
        <f t="shared" si="4"/>
        <v>0</v>
      </c>
      <c r="AJ343" s="82" t="str">
        <f t="shared" si="5"/>
        <v/>
      </c>
    </row>
    <row r="344">
      <c r="A344" s="76" t="s">
        <v>27</v>
      </c>
      <c r="B344" s="77">
        <f t="shared" si="6"/>
        <v>44903</v>
      </c>
      <c r="C344" s="78">
        <v>13.0</v>
      </c>
      <c r="D344" s="78" t="s">
        <v>48</v>
      </c>
      <c r="E344" s="80" t="s">
        <v>125</v>
      </c>
      <c r="F344" s="71"/>
      <c r="H344" s="72"/>
      <c r="J344" s="72"/>
      <c r="L344" s="71"/>
      <c r="N344" s="72"/>
      <c r="P344" s="72"/>
      <c r="R344" s="72"/>
      <c r="T344" s="72"/>
      <c r="V344" s="72"/>
      <c r="X344" s="72"/>
      <c r="Y344" s="73"/>
      <c r="Z344" s="71"/>
      <c r="AB344" s="72"/>
      <c r="AD344" s="72"/>
      <c r="AF344" s="81">
        <f t="shared" si="1"/>
        <v>0</v>
      </c>
      <c r="AG344" s="78">
        <f t="shared" si="2"/>
        <v>0</v>
      </c>
      <c r="AH344" s="78">
        <f t="shared" si="3"/>
        <v>0</v>
      </c>
      <c r="AI344" s="78">
        <f t="shared" si="4"/>
        <v>0</v>
      </c>
      <c r="AJ344" s="82" t="str">
        <f t="shared" si="5"/>
        <v/>
      </c>
    </row>
    <row r="345">
      <c r="A345" s="83" t="s">
        <v>30</v>
      </c>
      <c r="B345" s="84">
        <f t="shared" si="6"/>
        <v>44904</v>
      </c>
      <c r="C345" s="85">
        <v>13.0</v>
      </c>
      <c r="D345" s="85" t="s">
        <v>48</v>
      </c>
      <c r="E345" s="87" t="s">
        <v>125</v>
      </c>
      <c r="F345" s="88"/>
      <c r="G345" s="89"/>
      <c r="H345" s="90"/>
      <c r="I345" s="89"/>
      <c r="J345" s="90"/>
      <c r="K345" s="89"/>
      <c r="L345" s="88"/>
      <c r="M345" s="89"/>
      <c r="N345" s="90"/>
      <c r="O345" s="89"/>
      <c r="P345" s="90"/>
      <c r="Q345" s="89"/>
      <c r="R345" s="90"/>
      <c r="S345" s="89"/>
      <c r="T345" s="90"/>
      <c r="U345" s="89"/>
      <c r="V345" s="90"/>
      <c r="W345" s="89"/>
      <c r="X345" s="90"/>
      <c r="Y345" s="91"/>
      <c r="Z345" s="88"/>
      <c r="AA345" s="89"/>
      <c r="AB345" s="90"/>
      <c r="AC345" s="89"/>
      <c r="AD345" s="90"/>
      <c r="AE345" s="89"/>
      <c r="AF345" s="92">
        <f t="shared" si="1"/>
        <v>0</v>
      </c>
      <c r="AG345" s="85">
        <f t="shared" si="2"/>
        <v>0</v>
      </c>
      <c r="AH345" s="85">
        <f t="shared" si="3"/>
        <v>0</v>
      </c>
      <c r="AI345" s="85">
        <f t="shared" si="4"/>
        <v>0</v>
      </c>
      <c r="AJ345" s="93" t="str">
        <f t="shared" si="5"/>
        <v/>
      </c>
    </row>
    <row r="346">
      <c r="A346" s="66" t="s">
        <v>11</v>
      </c>
      <c r="B346" s="94">
        <f t="shared" si="6"/>
        <v>44905</v>
      </c>
      <c r="C346" s="68">
        <v>13.0</v>
      </c>
      <c r="D346" s="68" t="s">
        <v>59</v>
      </c>
      <c r="E346" s="70" t="s">
        <v>125</v>
      </c>
      <c r="F346" s="71"/>
      <c r="H346" s="72"/>
      <c r="J346" s="72"/>
      <c r="L346" s="71"/>
      <c r="N346" s="72"/>
      <c r="P346" s="72"/>
      <c r="R346" s="72"/>
      <c r="T346" s="72"/>
      <c r="V346" s="72"/>
      <c r="X346" s="72"/>
      <c r="Y346" s="73"/>
      <c r="Z346" s="71"/>
      <c r="AB346" s="72"/>
      <c r="AD346" s="72"/>
      <c r="AF346" s="74">
        <f t="shared" si="1"/>
        <v>0</v>
      </c>
      <c r="AG346" s="68">
        <f t="shared" si="2"/>
        <v>0</v>
      </c>
      <c r="AH346" s="68">
        <f t="shared" si="3"/>
        <v>0</v>
      </c>
      <c r="AI346" s="68">
        <f t="shared" si="4"/>
        <v>0</v>
      </c>
      <c r="AJ346" s="75" t="str">
        <f t="shared" si="5"/>
        <v/>
      </c>
    </row>
    <row r="347">
      <c r="A347" s="76" t="s">
        <v>16</v>
      </c>
      <c r="B347" s="77">
        <f t="shared" si="6"/>
        <v>44906</v>
      </c>
      <c r="C347" s="78">
        <v>13.0</v>
      </c>
      <c r="D347" s="78" t="s">
        <v>59</v>
      </c>
      <c r="E347" s="80" t="s">
        <v>125</v>
      </c>
      <c r="F347" s="71"/>
      <c r="H347" s="72"/>
      <c r="J347" s="72"/>
      <c r="L347" s="71"/>
      <c r="N347" s="72"/>
      <c r="P347" s="72"/>
      <c r="R347" s="72"/>
      <c r="T347" s="72"/>
      <c r="V347" s="72"/>
      <c r="X347" s="72"/>
      <c r="Y347" s="73"/>
      <c r="Z347" s="71"/>
      <c r="AB347" s="72"/>
      <c r="AD347" s="72"/>
      <c r="AF347" s="81">
        <f t="shared" si="1"/>
        <v>0</v>
      </c>
      <c r="AG347" s="78">
        <f t="shared" si="2"/>
        <v>0</v>
      </c>
      <c r="AH347" s="78">
        <f t="shared" si="3"/>
        <v>0</v>
      </c>
      <c r="AI347" s="78">
        <f t="shared" si="4"/>
        <v>0</v>
      </c>
      <c r="AJ347" s="82" t="str">
        <f t="shared" si="5"/>
        <v/>
      </c>
    </row>
    <row r="348">
      <c r="A348" s="76" t="s">
        <v>17</v>
      </c>
      <c r="B348" s="77">
        <f t="shared" si="6"/>
        <v>44907</v>
      </c>
      <c r="C348" s="78">
        <v>13.0</v>
      </c>
      <c r="D348" s="78" t="s">
        <v>59</v>
      </c>
      <c r="E348" s="80" t="s">
        <v>125</v>
      </c>
      <c r="F348" s="71"/>
      <c r="H348" s="72"/>
      <c r="J348" s="72"/>
      <c r="L348" s="71"/>
      <c r="N348" s="72"/>
      <c r="P348" s="72"/>
      <c r="R348" s="72"/>
      <c r="T348" s="72"/>
      <c r="V348" s="72"/>
      <c r="X348" s="72"/>
      <c r="Y348" s="73"/>
      <c r="Z348" s="71"/>
      <c r="AB348" s="72"/>
      <c r="AD348" s="72"/>
      <c r="AF348" s="81">
        <f t="shared" si="1"/>
        <v>0</v>
      </c>
      <c r="AG348" s="78">
        <f t="shared" si="2"/>
        <v>0</v>
      </c>
      <c r="AH348" s="78">
        <f t="shared" si="3"/>
        <v>0</v>
      </c>
      <c r="AI348" s="78">
        <f t="shared" si="4"/>
        <v>0</v>
      </c>
      <c r="AJ348" s="82" t="str">
        <f t="shared" si="5"/>
        <v/>
      </c>
    </row>
    <row r="349">
      <c r="A349" s="76" t="s">
        <v>21</v>
      </c>
      <c r="B349" s="77">
        <f t="shared" si="6"/>
        <v>44908</v>
      </c>
      <c r="C349" s="78">
        <v>13.0</v>
      </c>
      <c r="D349" s="78" t="s">
        <v>59</v>
      </c>
      <c r="E349" s="80" t="s">
        <v>125</v>
      </c>
      <c r="F349" s="71"/>
      <c r="H349" s="72"/>
      <c r="J349" s="72"/>
      <c r="L349" s="71"/>
      <c r="N349" s="72"/>
      <c r="P349" s="72"/>
      <c r="R349" s="72"/>
      <c r="T349" s="72"/>
      <c r="V349" s="72"/>
      <c r="X349" s="72"/>
      <c r="Y349" s="73"/>
      <c r="Z349" s="71"/>
      <c r="AB349" s="72"/>
      <c r="AD349" s="72"/>
      <c r="AF349" s="81">
        <f t="shared" si="1"/>
        <v>0</v>
      </c>
      <c r="AG349" s="78">
        <f t="shared" si="2"/>
        <v>0</v>
      </c>
      <c r="AH349" s="78">
        <f t="shared" si="3"/>
        <v>0</v>
      </c>
      <c r="AI349" s="78">
        <f t="shared" si="4"/>
        <v>0</v>
      </c>
      <c r="AJ349" s="82" t="str">
        <f t="shared" si="5"/>
        <v/>
      </c>
    </row>
    <row r="350">
      <c r="A350" s="76" t="s">
        <v>24</v>
      </c>
      <c r="B350" s="77">
        <f t="shared" si="6"/>
        <v>44909</v>
      </c>
      <c r="C350" s="78">
        <v>13.0</v>
      </c>
      <c r="D350" s="78" t="s">
        <v>59</v>
      </c>
      <c r="E350" s="80" t="s">
        <v>125</v>
      </c>
      <c r="F350" s="71"/>
      <c r="H350" s="72"/>
      <c r="J350" s="72"/>
      <c r="L350" s="71"/>
      <c r="N350" s="72"/>
      <c r="P350" s="72"/>
      <c r="R350" s="72"/>
      <c r="T350" s="72"/>
      <c r="V350" s="72"/>
      <c r="X350" s="72"/>
      <c r="Y350" s="73"/>
      <c r="Z350" s="71"/>
      <c r="AB350" s="72"/>
      <c r="AD350" s="72"/>
      <c r="AF350" s="81">
        <f t="shared" si="1"/>
        <v>0</v>
      </c>
      <c r="AG350" s="78">
        <f t="shared" si="2"/>
        <v>0</v>
      </c>
      <c r="AH350" s="78">
        <f t="shared" si="3"/>
        <v>0</v>
      </c>
      <c r="AI350" s="78">
        <f t="shared" si="4"/>
        <v>0</v>
      </c>
      <c r="AJ350" s="82" t="str">
        <f t="shared" si="5"/>
        <v/>
      </c>
    </row>
    <row r="351">
      <c r="A351" s="76" t="s">
        <v>27</v>
      </c>
      <c r="B351" s="77">
        <f t="shared" si="6"/>
        <v>44910</v>
      </c>
      <c r="C351" s="78">
        <v>13.0</v>
      </c>
      <c r="D351" s="78" t="s">
        <v>59</v>
      </c>
      <c r="E351" s="80" t="s">
        <v>125</v>
      </c>
      <c r="F351" s="71"/>
      <c r="H351" s="72"/>
      <c r="J351" s="72"/>
      <c r="L351" s="71"/>
      <c r="N351" s="72"/>
      <c r="P351" s="72"/>
      <c r="R351" s="72"/>
      <c r="T351" s="72"/>
      <c r="V351" s="72"/>
      <c r="X351" s="72"/>
      <c r="Y351" s="73"/>
      <c r="Z351" s="71"/>
      <c r="AB351" s="72"/>
      <c r="AD351" s="72"/>
      <c r="AF351" s="81">
        <f t="shared" si="1"/>
        <v>0</v>
      </c>
      <c r="AG351" s="78">
        <f t="shared" si="2"/>
        <v>0</v>
      </c>
      <c r="AH351" s="78">
        <f t="shared" si="3"/>
        <v>0</v>
      </c>
      <c r="AI351" s="78">
        <f t="shared" si="4"/>
        <v>0</v>
      </c>
      <c r="AJ351" s="82" t="str">
        <f t="shared" si="5"/>
        <v/>
      </c>
    </row>
    <row r="352">
      <c r="A352" s="83" t="s">
        <v>30</v>
      </c>
      <c r="B352" s="84">
        <f t="shared" si="6"/>
        <v>44911</v>
      </c>
      <c r="C352" s="85">
        <v>13.0</v>
      </c>
      <c r="D352" s="85" t="s">
        <v>59</v>
      </c>
      <c r="E352" s="87" t="s">
        <v>125</v>
      </c>
      <c r="F352" s="88"/>
      <c r="G352" s="89"/>
      <c r="H352" s="90"/>
      <c r="I352" s="89"/>
      <c r="J352" s="90"/>
      <c r="K352" s="89"/>
      <c r="L352" s="88"/>
      <c r="M352" s="89"/>
      <c r="N352" s="90"/>
      <c r="O352" s="89"/>
      <c r="P352" s="90"/>
      <c r="Q352" s="89"/>
      <c r="R352" s="90"/>
      <c r="S352" s="89"/>
      <c r="T352" s="90"/>
      <c r="U352" s="89"/>
      <c r="V352" s="90"/>
      <c r="W352" s="89"/>
      <c r="X352" s="90"/>
      <c r="Y352" s="91"/>
      <c r="Z352" s="88"/>
      <c r="AA352" s="89"/>
      <c r="AB352" s="90"/>
      <c r="AC352" s="89"/>
      <c r="AD352" s="90"/>
      <c r="AE352" s="89"/>
      <c r="AF352" s="92">
        <f t="shared" si="1"/>
        <v>0</v>
      </c>
      <c r="AG352" s="85">
        <f t="shared" si="2"/>
        <v>0</v>
      </c>
      <c r="AH352" s="85">
        <f t="shared" si="3"/>
        <v>0</v>
      </c>
      <c r="AI352" s="85">
        <f t="shared" si="4"/>
        <v>0</v>
      </c>
      <c r="AJ352" s="93" t="str">
        <f t="shared" si="5"/>
        <v/>
      </c>
    </row>
    <row r="353">
      <c r="A353" s="66" t="s">
        <v>11</v>
      </c>
      <c r="B353" s="94">
        <f t="shared" si="6"/>
        <v>44912</v>
      </c>
      <c r="C353" s="68">
        <v>13.0</v>
      </c>
      <c r="D353" s="68" t="s">
        <v>12</v>
      </c>
      <c r="E353" s="70" t="s">
        <v>125</v>
      </c>
      <c r="F353" s="71"/>
      <c r="H353" s="72"/>
      <c r="J353" s="72"/>
      <c r="L353" s="71"/>
      <c r="N353" s="72"/>
      <c r="P353" s="72"/>
      <c r="R353" s="72"/>
      <c r="T353" s="72"/>
      <c r="V353" s="72"/>
      <c r="X353" s="72"/>
      <c r="Y353" s="73"/>
      <c r="Z353" s="71"/>
      <c r="AB353" s="72"/>
      <c r="AD353" s="72"/>
      <c r="AF353" s="74">
        <f t="shared" si="1"/>
        <v>0</v>
      </c>
      <c r="AG353" s="68">
        <f t="shared" si="2"/>
        <v>0</v>
      </c>
      <c r="AH353" s="68">
        <f t="shared" si="3"/>
        <v>0</v>
      </c>
      <c r="AI353" s="68">
        <f t="shared" si="4"/>
        <v>0</v>
      </c>
      <c r="AJ353" s="75" t="str">
        <f t="shared" si="5"/>
        <v/>
      </c>
    </row>
    <row r="354">
      <c r="A354" s="76" t="s">
        <v>16</v>
      </c>
      <c r="B354" s="77">
        <f t="shared" si="6"/>
        <v>44913</v>
      </c>
      <c r="C354" s="78">
        <v>13.0</v>
      </c>
      <c r="D354" s="78" t="s">
        <v>12</v>
      </c>
      <c r="E354" s="80" t="s">
        <v>125</v>
      </c>
      <c r="F354" s="71"/>
      <c r="H354" s="72"/>
      <c r="J354" s="72"/>
      <c r="L354" s="71"/>
      <c r="N354" s="72"/>
      <c r="P354" s="72"/>
      <c r="R354" s="72"/>
      <c r="T354" s="72"/>
      <c r="V354" s="72"/>
      <c r="X354" s="72"/>
      <c r="Y354" s="73"/>
      <c r="Z354" s="71"/>
      <c r="AB354" s="72"/>
      <c r="AD354" s="72"/>
      <c r="AF354" s="81">
        <f t="shared" si="1"/>
        <v>0</v>
      </c>
      <c r="AG354" s="78">
        <f t="shared" si="2"/>
        <v>0</v>
      </c>
      <c r="AH354" s="78">
        <f t="shared" si="3"/>
        <v>0</v>
      </c>
      <c r="AI354" s="78">
        <f t="shared" si="4"/>
        <v>0</v>
      </c>
      <c r="AJ354" s="82" t="str">
        <f t="shared" si="5"/>
        <v/>
      </c>
    </row>
    <row r="355">
      <c r="A355" s="76" t="s">
        <v>17</v>
      </c>
      <c r="B355" s="77">
        <f t="shared" si="6"/>
        <v>44914</v>
      </c>
      <c r="C355" s="78">
        <v>13.0</v>
      </c>
      <c r="D355" s="78" t="s">
        <v>12</v>
      </c>
      <c r="E355" s="80" t="s">
        <v>125</v>
      </c>
      <c r="F355" s="71"/>
      <c r="H355" s="72"/>
      <c r="J355" s="72"/>
      <c r="L355" s="71"/>
      <c r="N355" s="72"/>
      <c r="P355" s="72"/>
      <c r="R355" s="72"/>
      <c r="T355" s="72"/>
      <c r="V355" s="72"/>
      <c r="X355" s="72"/>
      <c r="Y355" s="73"/>
      <c r="Z355" s="71"/>
      <c r="AB355" s="72"/>
      <c r="AD355" s="72"/>
      <c r="AF355" s="81">
        <f t="shared" si="1"/>
        <v>0</v>
      </c>
      <c r="AG355" s="78">
        <f t="shared" si="2"/>
        <v>0</v>
      </c>
      <c r="AH355" s="78">
        <f t="shared" si="3"/>
        <v>0</v>
      </c>
      <c r="AI355" s="78">
        <f t="shared" si="4"/>
        <v>0</v>
      </c>
      <c r="AJ355" s="82" t="str">
        <f t="shared" si="5"/>
        <v/>
      </c>
    </row>
    <row r="356">
      <c r="A356" s="76" t="s">
        <v>21</v>
      </c>
      <c r="B356" s="77">
        <f t="shared" si="6"/>
        <v>44915</v>
      </c>
      <c r="C356" s="78">
        <v>13.0</v>
      </c>
      <c r="D356" s="78" t="s">
        <v>12</v>
      </c>
      <c r="E356" s="80" t="s">
        <v>125</v>
      </c>
      <c r="F356" s="71"/>
      <c r="H356" s="72"/>
      <c r="J356" s="72"/>
      <c r="L356" s="71"/>
      <c r="N356" s="72"/>
      <c r="P356" s="72"/>
      <c r="R356" s="72"/>
      <c r="T356" s="72"/>
      <c r="V356" s="72"/>
      <c r="X356" s="72"/>
      <c r="Y356" s="73"/>
      <c r="Z356" s="71"/>
      <c r="AB356" s="72"/>
      <c r="AD356" s="72"/>
      <c r="AF356" s="81">
        <f t="shared" si="1"/>
        <v>0</v>
      </c>
      <c r="AG356" s="78">
        <f t="shared" si="2"/>
        <v>0</v>
      </c>
      <c r="AH356" s="78">
        <f t="shared" si="3"/>
        <v>0</v>
      </c>
      <c r="AI356" s="78">
        <f t="shared" si="4"/>
        <v>0</v>
      </c>
      <c r="AJ356" s="82" t="str">
        <f t="shared" si="5"/>
        <v/>
      </c>
    </row>
    <row r="357">
      <c r="A357" s="76" t="s">
        <v>24</v>
      </c>
      <c r="B357" s="77">
        <f t="shared" si="6"/>
        <v>44916</v>
      </c>
      <c r="C357" s="78">
        <v>13.0</v>
      </c>
      <c r="D357" s="78" t="s">
        <v>12</v>
      </c>
      <c r="E357" s="80" t="s">
        <v>125</v>
      </c>
      <c r="F357" s="71"/>
      <c r="H357" s="72"/>
      <c r="J357" s="72"/>
      <c r="L357" s="71"/>
      <c r="N357" s="72"/>
      <c r="P357" s="72"/>
      <c r="R357" s="72"/>
      <c r="T357" s="72"/>
      <c r="V357" s="72"/>
      <c r="X357" s="72"/>
      <c r="Y357" s="73"/>
      <c r="Z357" s="71"/>
      <c r="AB357" s="72"/>
      <c r="AD357" s="72"/>
      <c r="AF357" s="81">
        <f t="shared" si="1"/>
        <v>0</v>
      </c>
      <c r="AG357" s="78">
        <f t="shared" si="2"/>
        <v>0</v>
      </c>
      <c r="AH357" s="78">
        <f t="shared" si="3"/>
        <v>0</v>
      </c>
      <c r="AI357" s="78">
        <f t="shared" si="4"/>
        <v>0</v>
      </c>
      <c r="AJ357" s="82" t="str">
        <f t="shared" si="5"/>
        <v/>
      </c>
    </row>
    <row r="358">
      <c r="A358" s="76" t="s">
        <v>27</v>
      </c>
      <c r="B358" s="77">
        <f t="shared" si="6"/>
        <v>44917</v>
      </c>
      <c r="C358" s="78">
        <v>13.0</v>
      </c>
      <c r="D358" s="78" t="s">
        <v>12</v>
      </c>
      <c r="E358" s="80" t="s">
        <v>125</v>
      </c>
      <c r="F358" s="71"/>
      <c r="H358" s="72"/>
      <c r="J358" s="72"/>
      <c r="L358" s="71"/>
      <c r="N358" s="72"/>
      <c r="P358" s="72"/>
      <c r="R358" s="72"/>
      <c r="T358" s="72"/>
      <c r="V358" s="72"/>
      <c r="X358" s="72"/>
      <c r="Y358" s="73"/>
      <c r="Z358" s="71"/>
      <c r="AB358" s="72"/>
      <c r="AD358" s="72"/>
      <c r="AF358" s="81">
        <f t="shared" si="1"/>
        <v>0</v>
      </c>
      <c r="AG358" s="78">
        <f t="shared" si="2"/>
        <v>0</v>
      </c>
      <c r="AH358" s="78">
        <f t="shared" si="3"/>
        <v>0</v>
      </c>
      <c r="AI358" s="78">
        <f t="shared" si="4"/>
        <v>0</v>
      </c>
      <c r="AJ358" s="82" t="str">
        <f t="shared" si="5"/>
        <v/>
      </c>
    </row>
    <row r="359">
      <c r="A359" s="83" t="s">
        <v>30</v>
      </c>
      <c r="B359" s="84">
        <f t="shared" si="6"/>
        <v>44918</v>
      </c>
      <c r="C359" s="85">
        <v>13.0</v>
      </c>
      <c r="D359" s="85" t="s">
        <v>12</v>
      </c>
      <c r="E359" s="87" t="s">
        <v>125</v>
      </c>
      <c r="F359" s="88"/>
      <c r="G359" s="89"/>
      <c r="H359" s="90"/>
      <c r="I359" s="89"/>
      <c r="J359" s="90"/>
      <c r="K359" s="89"/>
      <c r="L359" s="88"/>
      <c r="M359" s="89"/>
      <c r="N359" s="90"/>
      <c r="O359" s="89"/>
      <c r="P359" s="90"/>
      <c r="Q359" s="89"/>
      <c r="R359" s="90"/>
      <c r="S359" s="89"/>
      <c r="T359" s="90"/>
      <c r="U359" s="89"/>
      <c r="V359" s="90"/>
      <c r="W359" s="89"/>
      <c r="X359" s="90"/>
      <c r="Y359" s="91"/>
      <c r="Z359" s="88"/>
      <c r="AA359" s="89"/>
      <c r="AB359" s="90"/>
      <c r="AC359" s="89"/>
      <c r="AD359" s="90"/>
      <c r="AE359" s="89"/>
      <c r="AF359" s="92">
        <f t="shared" si="1"/>
        <v>0</v>
      </c>
      <c r="AG359" s="85">
        <f t="shared" si="2"/>
        <v>0</v>
      </c>
      <c r="AH359" s="85">
        <f t="shared" si="3"/>
        <v>0</v>
      </c>
      <c r="AI359" s="85">
        <f t="shared" si="4"/>
        <v>0</v>
      </c>
      <c r="AJ359" s="93" t="str">
        <f t="shared" si="5"/>
        <v/>
      </c>
    </row>
    <row r="360">
      <c r="A360" s="193"/>
      <c r="B360" s="194"/>
      <c r="C360" s="195"/>
      <c r="D360" s="195"/>
      <c r="E360" s="195"/>
      <c r="F360" s="196"/>
      <c r="G360" s="196">
        <f>sum(F3:G359)*G$2</f>
        <v>73719.933</v>
      </c>
      <c r="H360" s="196"/>
      <c r="I360" s="196">
        <f>sum(H3:I359)*I$2</f>
        <v>79700.124</v>
      </c>
      <c r="J360" s="196"/>
      <c r="K360" s="196">
        <f>sum(J3:K359)*K$2</f>
        <v>6650.616</v>
      </c>
      <c r="L360" s="196"/>
      <c r="M360" s="196">
        <f>sum(L3:M359)*M$2</f>
        <v>334914.615</v>
      </c>
      <c r="N360" s="196"/>
      <c r="O360" s="196">
        <f>sum(N3:O359)*O$2</f>
        <v>443504.271</v>
      </c>
      <c r="P360" s="196"/>
      <c r="Q360" s="196">
        <f>sum(P3:Q359)*Q$2</f>
        <v>58075.71</v>
      </c>
      <c r="R360" s="196"/>
      <c r="S360" s="196">
        <f>sum(R3:S359)*S$2</f>
        <v>16249.086</v>
      </c>
      <c r="T360" s="196"/>
      <c r="U360" s="196">
        <f>sum(T3:U359)*U$2</f>
        <v>10867.5</v>
      </c>
      <c r="V360" s="196"/>
      <c r="W360" s="196">
        <f>sum(V3:W359)*W$2</f>
        <v>6037.5</v>
      </c>
      <c r="X360" s="196"/>
      <c r="Y360" s="196">
        <f>sum(X3:Y359)*Y$2</f>
        <v>14733.6</v>
      </c>
      <c r="Z360" s="196"/>
      <c r="AA360" s="196">
        <f>sum(Z3:AA359)*AA$2</f>
        <v>0</v>
      </c>
      <c r="AB360" s="196"/>
      <c r="AC360" s="196">
        <f>sum(AB3:AC359)*AC$2</f>
        <v>0</v>
      </c>
      <c r="AD360" s="196"/>
      <c r="AE360" s="196">
        <f>sum(AD3:AE359)*AE$2</f>
        <v>0</v>
      </c>
      <c r="AF360" s="194">
        <f t="shared" ref="AF360:AI360" si="7">SUM(AF3:AF359)</f>
        <v>1044452.955</v>
      </c>
      <c r="AG360" s="197">
        <f t="shared" si="7"/>
        <v>59242</v>
      </c>
      <c r="AH360" s="197">
        <f t="shared" si="7"/>
        <v>46</v>
      </c>
      <c r="AI360" s="197">
        <f t="shared" si="7"/>
        <v>59288</v>
      </c>
      <c r="AJ360" s="195"/>
    </row>
    <row r="361">
      <c r="A361" s="198"/>
      <c r="B361" s="199"/>
      <c r="C361" s="200"/>
      <c r="D361" s="201"/>
      <c r="E361" s="202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194"/>
      <c r="AG361" s="197"/>
      <c r="AH361" s="197"/>
      <c r="AI361" s="197"/>
      <c r="AJ361" s="200"/>
    </row>
    <row r="362">
      <c r="A362" s="198"/>
      <c r="B362" s="199"/>
      <c r="C362" s="200"/>
      <c r="D362" s="201"/>
      <c r="E362" s="202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14"/>
      <c r="AG362" s="197"/>
      <c r="AH362" s="197"/>
      <c r="AI362" s="197"/>
      <c r="AJ362" s="200"/>
    </row>
    <row r="363">
      <c r="A363" s="198"/>
      <c r="B363" s="199"/>
      <c r="C363" s="200"/>
      <c r="D363" s="205" t="s">
        <v>132</v>
      </c>
      <c r="E363" s="206">
        <v>0.05</v>
      </c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G363" s="217"/>
      <c r="AJ363" s="200"/>
    </row>
    <row r="364">
      <c r="A364" s="198"/>
      <c r="B364" s="199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195"/>
      <c r="AG364" s="218"/>
      <c r="AH364" s="200"/>
      <c r="AI364" s="200"/>
      <c r="AJ364" s="200"/>
    </row>
    <row r="365">
      <c r="A365" s="198"/>
      <c r="B365" s="199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10"/>
      <c r="S365" s="210"/>
      <c r="T365" s="211"/>
      <c r="U365" s="211"/>
      <c r="V365" s="211"/>
      <c r="W365" s="211"/>
      <c r="X365" s="211"/>
      <c r="Y365" s="212"/>
      <c r="Z365" s="211"/>
      <c r="AA365" s="211"/>
      <c r="AB365" s="211"/>
      <c r="AC365" s="211"/>
      <c r="AD365" s="211"/>
      <c r="AE365" s="211"/>
      <c r="AF365" s="211"/>
      <c r="AG365" s="103"/>
      <c r="AH365" s="103"/>
      <c r="AI365" s="200"/>
      <c r="AJ365" s="200"/>
    </row>
    <row r="366">
      <c r="A366" s="198"/>
      <c r="B366" s="199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10"/>
      <c r="S366" s="210"/>
      <c r="T366" s="211"/>
      <c r="U366" s="211"/>
      <c r="V366" s="211"/>
      <c r="W366" s="211"/>
      <c r="X366" s="211"/>
      <c r="Y366" s="212"/>
      <c r="Z366" s="211"/>
      <c r="AA366" s="211"/>
      <c r="AB366" s="211"/>
      <c r="AC366" s="211"/>
      <c r="AD366" s="211"/>
      <c r="AE366" s="211"/>
      <c r="AF366" s="221"/>
      <c r="AG366" s="103"/>
      <c r="AH366" s="103"/>
      <c r="AI366" s="200"/>
      <c r="AJ366" s="200"/>
    </row>
    <row r="367">
      <c r="A367" s="216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22"/>
      <c r="AH367" s="200"/>
      <c r="AI367" s="200"/>
      <c r="AJ367" s="200"/>
    </row>
    <row r="368">
      <c r="A368" s="216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22"/>
      <c r="AH368" s="200"/>
      <c r="AI368" s="200"/>
      <c r="AJ368" s="200"/>
    </row>
    <row r="369">
      <c r="A369" s="216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00"/>
      <c r="AH369" s="200"/>
      <c r="AI369" s="200"/>
      <c r="AJ369" s="200"/>
    </row>
    <row r="370">
      <c r="A370" s="216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22"/>
      <c r="AH370" s="200"/>
      <c r="AI370" s="200"/>
      <c r="AJ370" s="200"/>
    </row>
    <row r="371">
      <c r="A371" s="216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22"/>
      <c r="AH371" s="200"/>
      <c r="AI371" s="200"/>
      <c r="AJ371" s="200"/>
    </row>
    <row r="372">
      <c r="A372" s="216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</row>
    <row r="373">
      <c r="A373" s="216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22"/>
      <c r="AH373" s="200"/>
      <c r="AI373" s="200"/>
      <c r="AJ373" s="200"/>
    </row>
    <row r="374">
      <c r="A374" s="216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22"/>
      <c r="AH374" s="200"/>
      <c r="AI374" s="200"/>
      <c r="AJ374" s="200"/>
    </row>
    <row r="375">
      <c r="A375" s="216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0"/>
    </row>
    <row r="376">
      <c r="A376" s="216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22"/>
      <c r="AH376" s="200"/>
      <c r="AI376" s="200"/>
      <c r="AJ376" s="200"/>
    </row>
    <row r="377">
      <c r="A377" s="216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22"/>
      <c r="AH377" s="200"/>
      <c r="AI377" s="200"/>
      <c r="AJ377" s="200"/>
    </row>
    <row r="378">
      <c r="A378" s="216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</row>
    <row r="379">
      <c r="A379" s="216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22"/>
      <c r="AH379" s="200"/>
      <c r="AI379" s="200"/>
      <c r="AJ379" s="200"/>
    </row>
    <row r="380">
      <c r="A380" s="216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22"/>
      <c r="AH380" s="200"/>
      <c r="AI380" s="200"/>
      <c r="AJ380" s="200"/>
    </row>
    <row r="381">
      <c r="A381" s="216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</row>
    <row r="382">
      <c r="A382" s="216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24"/>
      <c r="AG382" s="200"/>
      <c r="AH382" s="200"/>
      <c r="AI382" s="200"/>
      <c r="AJ382" s="200"/>
    </row>
    <row r="383">
      <c r="A383" s="216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22"/>
      <c r="AH383" s="200"/>
      <c r="AI383" s="200"/>
      <c r="AJ383" s="200"/>
    </row>
    <row r="384">
      <c r="A384" s="216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22"/>
      <c r="AH384" s="200"/>
      <c r="AI384" s="200"/>
      <c r="AJ384" s="200"/>
    </row>
    <row r="385">
      <c r="A385" s="216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</row>
    <row r="386">
      <c r="A386" s="216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25"/>
      <c r="AG386" s="200"/>
      <c r="AH386" s="200"/>
      <c r="AI386" s="200"/>
      <c r="AJ386" s="200"/>
    </row>
    <row r="387">
      <c r="A387" s="216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22"/>
      <c r="AH387" s="200"/>
      <c r="AI387" s="200"/>
      <c r="AJ387" s="200"/>
    </row>
    <row r="388">
      <c r="A388" s="216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22"/>
      <c r="AH388" s="200"/>
      <c r="AI388" s="200"/>
      <c r="AJ388" s="200"/>
    </row>
    <row r="389">
      <c r="A389" s="216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</row>
    <row r="390">
      <c r="A390" s="216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22"/>
      <c r="AH390" s="200"/>
      <c r="AI390" s="200"/>
      <c r="AJ390" s="200"/>
    </row>
    <row r="391">
      <c r="A391" s="216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</row>
    <row r="392">
      <c r="A392" s="216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22"/>
      <c r="AH392" s="200"/>
      <c r="AI392" s="200"/>
      <c r="AJ392" s="200"/>
    </row>
    <row r="393">
      <c r="A393" s="216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</row>
    <row r="394">
      <c r="A394" s="216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22"/>
      <c r="AH394" s="200"/>
      <c r="AI394" s="200"/>
      <c r="AJ394" s="200"/>
    </row>
    <row r="395">
      <c r="A395" s="216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</row>
    <row r="396">
      <c r="A396" s="216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</row>
    <row r="397">
      <c r="A397" s="216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25"/>
      <c r="AG397" s="200"/>
      <c r="AH397" s="200"/>
      <c r="AI397" s="200"/>
      <c r="AJ397" s="200"/>
    </row>
    <row r="398">
      <c r="A398" s="216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22"/>
      <c r="AG398" s="200"/>
      <c r="AH398" s="200"/>
      <c r="AI398" s="200"/>
      <c r="AJ398" s="200"/>
    </row>
    <row r="399">
      <c r="A399" s="216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195"/>
      <c r="AG399" s="222"/>
      <c r="AH399" s="200"/>
      <c r="AI399" s="222"/>
      <c r="AJ399" s="200"/>
    </row>
    <row r="400">
      <c r="A400" s="216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18"/>
      <c r="AG400" s="200"/>
      <c r="AH400" s="200"/>
      <c r="AI400" s="200"/>
      <c r="AJ400" s="200"/>
    </row>
    <row r="401">
      <c r="A401" s="216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195"/>
      <c r="AG401" s="222"/>
      <c r="AH401" s="200"/>
      <c r="AI401" s="222"/>
      <c r="AJ401" s="200"/>
    </row>
    <row r="402">
      <c r="A402" s="216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195"/>
      <c r="AG402" s="222"/>
      <c r="AH402" s="200"/>
      <c r="AI402" s="222"/>
      <c r="AJ402" s="200"/>
    </row>
    <row r="403">
      <c r="A403" s="216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195"/>
      <c r="AG403" s="222"/>
      <c r="AH403" s="200"/>
      <c r="AI403" s="222"/>
      <c r="AJ403" s="200"/>
    </row>
    <row r="404">
      <c r="A404" s="216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195"/>
      <c r="AG404" s="222"/>
      <c r="AH404" s="200"/>
      <c r="AI404" s="222"/>
      <c r="AJ404" s="200"/>
    </row>
    <row r="405">
      <c r="A405" s="216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195"/>
      <c r="AG405" s="200"/>
      <c r="AH405" s="200"/>
      <c r="AI405" s="200"/>
      <c r="AJ405" s="200"/>
    </row>
    <row r="406">
      <c r="A406" s="216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18"/>
      <c r="AG406" s="200"/>
      <c r="AH406" s="200"/>
      <c r="AI406" s="200"/>
      <c r="AJ406" s="200"/>
    </row>
    <row r="407">
      <c r="A407" s="216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195"/>
      <c r="AG407" s="222"/>
      <c r="AH407" s="200"/>
      <c r="AI407" s="222"/>
      <c r="AJ407" s="200"/>
    </row>
    <row r="408">
      <c r="A408" s="216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195"/>
      <c r="AG408" s="222"/>
      <c r="AH408" s="200"/>
      <c r="AI408" s="222"/>
      <c r="AJ408" s="200"/>
    </row>
    <row r="409">
      <c r="A409" s="216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</row>
    <row r="410">
      <c r="A410" s="216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</row>
    <row r="411">
      <c r="A411" s="216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</row>
    <row r="412">
      <c r="A412" s="216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</row>
    <row r="413">
      <c r="A413" s="216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</row>
    <row r="414">
      <c r="A414" s="216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</row>
    <row r="415">
      <c r="A415" s="216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</row>
    <row r="416">
      <c r="A416" s="216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</row>
    <row r="417">
      <c r="A417" s="216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</row>
    <row r="418">
      <c r="A418" s="216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</row>
    <row r="419">
      <c r="A419" s="216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</row>
    <row r="420">
      <c r="A420" s="216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</row>
    <row r="421">
      <c r="A421" s="216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</row>
    <row r="422">
      <c r="A422" s="216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</row>
    <row r="423">
      <c r="A423" s="216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</row>
    <row r="424">
      <c r="A424" s="216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</row>
    <row r="425">
      <c r="A425" s="216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</row>
    <row r="426">
      <c r="A426" s="216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</row>
    <row r="427">
      <c r="A427" s="216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</row>
    <row r="428">
      <c r="A428" s="216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</row>
    <row r="429">
      <c r="A429" s="216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</row>
    <row r="430">
      <c r="A430" s="216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</row>
    <row r="431">
      <c r="A431" s="216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</row>
    <row r="432">
      <c r="A432" s="216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</row>
    <row r="433">
      <c r="A433" s="216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</row>
    <row r="434">
      <c r="A434" s="216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</row>
    <row r="435">
      <c r="A435" s="216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</row>
    <row r="436">
      <c r="A436" s="216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</row>
    <row r="437">
      <c r="A437" s="216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</row>
    <row r="438">
      <c r="A438" s="216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</row>
    <row r="439">
      <c r="A439" s="216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</row>
    <row r="440">
      <c r="A440" s="216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</row>
    <row r="441">
      <c r="A441" s="216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</row>
    <row r="442">
      <c r="A442" s="216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</row>
    <row r="443">
      <c r="A443" s="216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</row>
    <row r="444">
      <c r="A444" s="216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</row>
    <row r="445">
      <c r="A445" s="216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</row>
    <row r="446">
      <c r="A446" s="216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</row>
    <row r="447">
      <c r="A447" s="216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</row>
    <row r="448">
      <c r="A448" s="216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</row>
    <row r="449">
      <c r="A449" s="216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</row>
    <row r="450">
      <c r="A450" s="216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</row>
    <row r="451">
      <c r="A451" s="216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</row>
    <row r="452">
      <c r="A452" s="216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</row>
    <row r="453">
      <c r="A453" s="216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</row>
    <row r="454">
      <c r="A454" s="216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</row>
    <row r="455">
      <c r="A455" s="216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</row>
    <row r="456">
      <c r="A456" s="216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</row>
    <row r="457">
      <c r="A457" s="216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</row>
    <row r="458">
      <c r="A458" s="216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</row>
    <row r="459">
      <c r="A459" s="216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</row>
    <row r="460">
      <c r="A460" s="216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</row>
    <row r="461">
      <c r="A461" s="216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</row>
    <row r="462">
      <c r="A462" s="216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</row>
    <row r="463">
      <c r="A463" s="216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</row>
    <row r="464">
      <c r="A464" s="216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</row>
    <row r="465">
      <c r="A465" s="216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</row>
    <row r="466">
      <c r="A466" s="216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</row>
    <row r="467">
      <c r="A467" s="216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</row>
    <row r="468">
      <c r="A468" s="216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</row>
    <row r="469">
      <c r="A469" s="216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</row>
    <row r="470">
      <c r="A470" s="216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</row>
    <row r="471">
      <c r="A471" s="216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</row>
    <row r="472">
      <c r="A472" s="216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</row>
    <row r="473">
      <c r="A473" s="216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</row>
    <row r="474">
      <c r="A474" s="216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</row>
    <row r="475">
      <c r="A475" s="216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</row>
    <row r="476">
      <c r="A476" s="216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</row>
    <row r="477">
      <c r="A477" s="216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</row>
    <row r="478">
      <c r="A478" s="216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</row>
    <row r="479">
      <c r="A479" s="216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</row>
    <row r="480">
      <c r="A480" s="216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</row>
    <row r="481">
      <c r="A481" s="216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</row>
    <row r="482">
      <c r="A482" s="216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</row>
    <row r="483">
      <c r="A483" s="216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</row>
    <row r="484">
      <c r="A484" s="216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</row>
    <row r="485">
      <c r="A485" s="216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</row>
    <row r="486">
      <c r="A486" s="216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</row>
    <row r="487">
      <c r="A487" s="216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</row>
    <row r="488">
      <c r="A488" s="216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</row>
    <row r="489">
      <c r="A489" s="216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</row>
    <row r="490">
      <c r="A490" s="216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</row>
    <row r="491">
      <c r="A491" s="216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</row>
    <row r="492">
      <c r="A492" s="216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</row>
    <row r="493">
      <c r="A493" s="216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</row>
    <row r="494">
      <c r="A494" s="216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</row>
    <row r="495">
      <c r="A495" s="216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</row>
    <row r="496">
      <c r="A496" s="216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</row>
    <row r="497">
      <c r="A497" s="216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</row>
    <row r="498">
      <c r="A498" s="216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</row>
    <row r="499">
      <c r="A499" s="216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</row>
    <row r="500">
      <c r="A500" s="216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</row>
    <row r="501">
      <c r="A501" s="216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</row>
    <row r="502">
      <c r="A502" s="216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</row>
    <row r="503">
      <c r="A503" s="216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</row>
    <row r="504">
      <c r="A504" s="216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</row>
    <row r="505">
      <c r="A505" s="216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</row>
    <row r="506">
      <c r="A506" s="216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</row>
    <row r="507">
      <c r="A507" s="216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</row>
    <row r="508">
      <c r="A508" s="216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</row>
    <row r="509">
      <c r="A509" s="216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</row>
    <row r="510">
      <c r="A510" s="216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</row>
    <row r="511">
      <c r="A511" s="216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</row>
    <row r="512">
      <c r="A512" s="216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</row>
    <row r="513">
      <c r="A513" s="216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</row>
    <row r="514">
      <c r="A514" s="216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</row>
    <row r="515">
      <c r="A515" s="216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</row>
    <row r="516">
      <c r="A516" s="216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</row>
    <row r="517">
      <c r="A517" s="216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</row>
    <row r="518">
      <c r="A518" s="216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</row>
    <row r="519">
      <c r="A519" s="216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</row>
    <row r="520">
      <c r="A520" s="216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</row>
    <row r="521">
      <c r="A521" s="216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</row>
    <row r="522">
      <c r="A522" s="216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</row>
    <row r="523">
      <c r="A523" s="216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</row>
    <row r="524">
      <c r="A524" s="216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</row>
    <row r="525">
      <c r="A525" s="216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</row>
    <row r="526">
      <c r="A526" s="216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</row>
    <row r="527">
      <c r="A527" s="216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</row>
    <row r="528">
      <c r="A528" s="216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</row>
    <row r="529">
      <c r="A529" s="216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</row>
    <row r="530">
      <c r="A530" s="216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</row>
    <row r="531">
      <c r="A531" s="216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</row>
    <row r="532">
      <c r="A532" s="216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</row>
    <row r="533">
      <c r="A533" s="216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</row>
    <row r="534">
      <c r="A534" s="216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</row>
    <row r="535">
      <c r="A535" s="216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</row>
    <row r="536">
      <c r="A536" s="216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</row>
    <row r="537">
      <c r="A537" s="216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</row>
    <row r="538">
      <c r="A538" s="216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</row>
    <row r="539">
      <c r="A539" s="216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</row>
    <row r="540">
      <c r="A540" s="216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</row>
    <row r="541">
      <c r="A541" s="216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</row>
    <row r="542">
      <c r="A542" s="216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</row>
    <row r="543">
      <c r="A543" s="216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</row>
    <row r="544">
      <c r="A544" s="216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</row>
    <row r="545">
      <c r="A545" s="216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</row>
    <row r="546">
      <c r="A546" s="216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</row>
    <row r="547">
      <c r="A547" s="216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</row>
    <row r="548">
      <c r="A548" s="216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</row>
    <row r="549">
      <c r="A549" s="216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</row>
    <row r="550">
      <c r="A550" s="216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</row>
    <row r="551">
      <c r="A551" s="216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</row>
    <row r="552">
      <c r="A552" s="216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</row>
    <row r="553">
      <c r="A553" s="216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</row>
    <row r="554">
      <c r="A554" s="216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</row>
    <row r="555">
      <c r="A555" s="216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</row>
    <row r="556">
      <c r="A556" s="216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</row>
    <row r="557">
      <c r="A557" s="216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</row>
    <row r="558">
      <c r="A558" s="216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</row>
    <row r="559">
      <c r="A559" s="216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</row>
    <row r="560">
      <c r="A560" s="216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</row>
    <row r="561">
      <c r="A561" s="216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</row>
    <row r="562">
      <c r="A562" s="216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</row>
    <row r="563">
      <c r="A563" s="216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</row>
    <row r="564">
      <c r="A564" s="216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</row>
    <row r="565">
      <c r="A565" s="216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</row>
    <row r="566">
      <c r="A566" s="216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</row>
    <row r="567">
      <c r="A567" s="216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</row>
    <row r="568">
      <c r="A568" s="216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</row>
    <row r="569">
      <c r="A569" s="216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</row>
    <row r="570">
      <c r="A570" s="216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</row>
    <row r="571">
      <c r="A571" s="216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</row>
    <row r="572">
      <c r="A572" s="216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</row>
    <row r="573">
      <c r="A573" s="216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</row>
    <row r="574">
      <c r="A574" s="216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</row>
    <row r="575">
      <c r="A575" s="216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</row>
    <row r="576">
      <c r="A576" s="216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</row>
    <row r="577">
      <c r="A577" s="216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</row>
    <row r="578">
      <c r="A578" s="216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</row>
    <row r="579">
      <c r="A579" s="216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</row>
    <row r="580">
      <c r="A580" s="216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</row>
    <row r="581">
      <c r="A581" s="216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</row>
    <row r="582">
      <c r="A582" s="216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</row>
    <row r="583">
      <c r="A583" s="216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</row>
    <row r="584">
      <c r="A584" s="216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</row>
    <row r="585">
      <c r="A585" s="216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</row>
    <row r="586">
      <c r="A586" s="216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</row>
    <row r="587">
      <c r="A587" s="216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</row>
    <row r="588">
      <c r="A588" s="216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</row>
    <row r="589">
      <c r="A589" s="216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</row>
    <row r="590">
      <c r="A590" s="216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</row>
    <row r="591">
      <c r="A591" s="216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</row>
    <row r="592">
      <c r="A592" s="216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</row>
    <row r="593">
      <c r="A593" s="216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</row>
    <row r="594">
      <c r="A594" s="216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</row>
    <row r="595">
      <c r="A595" s="216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</row>
    <row r="596">
      <c r="A596" s="216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</row>
    <row r="597">
      <c r="A597" s="216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</row>
    <row r="598">
      <c r="A598" s="216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</row>
    <row r="599">
      <c r="A599" s="216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</row>
    <row r="600">
      <c r="A600" s="216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</row>
    <row r="601">
      <c r="A601" s="216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</row>
    <row r="602">
      <c r="A602" s="216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</row>
    <row r="603">
      <c r="A603" s="216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</row>
    <row r="604">
      <c r="A604" s="216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</row>
    <row r="605">
      <c r="A605" s="216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</row>
    <row r="606">
      <c r="A606" s="216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</row>
    <row r="607">
      <c r="A607" s="216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</row>
    <row r="608">
      <c r="A608" s="216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</row>
    <row r="609">
      <c r="A609" s="216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</row>
    <row r="610">
      <c r="A610" s="216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</row>
    <row r="611">
      <c r="A611" s="216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</row>
    <row r="612">
      <c r="A612" s="216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</row>
    <row r="613">
      <c r="A613" s="216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</row>
    <row r="614">
      <c r="A614" s="216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</row>
    <row r="615">
      <c r="A615" s="216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</row>
    <row r="616">
      <c r="A616" s="216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</row>
    <row r="617">
      <c r="A617" s="216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</row>
    <row r="618">
      <c r="A618" s="216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</row>
    <row r="619">
      <c r="A619" s="216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</row>
    <row r="620">
      <c r="A620" s="216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</row>
    <row r="621">
      <c r="A621" s="216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</row>
    <row r="622">
      <c r="A622" s="216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</row>
    <row r="623">
      <c r="A623" s="216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</row>
    <row r="624">
      <c r="A624" s="216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</row>
    <row r="625">
      <c r="A625" s="216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</row>
    <row r="626">
      <c r="A626" s="216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</row>
    <row r="627">
      <c r="A627" s="216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</row>
    <row r="628">
      <c r="A628" s="216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</row>
    <row r="629">
      <c r="A629" s="216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</row>
    <row r="630">
      <c r="A630" s="216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</row>
    <row r="631">
      <c r="A631" s="216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</row>
    <row r="632">
      <c r="A632" s="216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</row>
    <row r="633">
      <c r="A633" s="216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</row>
    <row r="634">
      <c r="A634" s="216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</row>
    <row r="635">
      <c r="A635" s="216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</row>
    <row r="636">
      <c r="A636" s="216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</row>
    <row r="637">
      <c r="A637" s="216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</row>
    <row r="638">
      <c r="A638" s="216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</row>
    <row r="639">
      <c r="A639" s="216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</row>
    <row r="640">
      <c r="A640" s="216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</row>
    <row r="641">
      <c r="A641" s="216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</row>
    <row r="642">
      <c r="A642" s="216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</row>
    <row r="643">
      <c r="A643" s="216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</row>
    <row r="644">
      <c r="A644" s="216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</row>
    <row r="645">
      <c r="A645" s="216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</row>
    <row r="646">
      <c r="A646" s="216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</row>
    <row r="647">
      <c r="A647" s="216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</row>
    <row r="648">
      <c r="A648" s="216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</row>
    <row r="649">
      <c r="A649" s="216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</row>
    <row r="650">
      <c r="A650" s="216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</row>
    <row r="651">
      <c r="A651" s="216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</row>
    <row r="652">
      <c r="A652" s="216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</row>
    <row r="653">
      <c r="A653" s="216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</row>
    <row r="654">
      <c r="A654" s="216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</row>
    <row r="655">
      <c r="A655" s="216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</row>
    <row r="656">
      <c r="A656" s="216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</row>
    <row r="657">
      <c r="A657" s="216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</row>
    <row r="658">
      <c r="A658" s="216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</row>
    <row r="659">
      <c r="A659" s="216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</row>
    <row r="660">
      <c r="A660" s="216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</row>
    <row r="661">
      <c r="A661" s="216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</row>
    <row r="662">
      <c r="A662" s="216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</row>
    <row r="663">
      <c r="A663" s="216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</row>
    <row r="664">
      <c r="A664" s="216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</row>
    <row r="665">
      <c r="A665" s="216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</row>
    <row r="666">
      <c r="A666" s="216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</row>
    <row r="667">
      <c r="A667" s="216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</row>
    <row r="668">
      <c r="A668" s="216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</row>
    <row r="669">
      <c r="A669" s="216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</row>
    <row r="670">
      <c r="A670" s="216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</row>
    <row r="671">
      <c r="A671" s="216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</row>
    <row r="672">
      <c r="A672" s="216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</row>
    <row r="673">
      <c r="A673" s="216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</row>
    <row r="674">
      <c r="A674" s="216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</row>
    <row r="675">
      <c r="A675" s="216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</row>
    <row r="676">
      <c r="A676" s="216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</row>
    <row r="677">
      <c r="A677" s="216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</row>
    <row r="678">
      <c r="A678" s="216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</row>
    <row r="679">
      <c r="A679" s="216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</row>
    <row r="680">
      <c r="A680" s="216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</row>
    <row r="681">
      <c r="A681" s="216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</row>
    <row r="682">
      <c r="A682" s="216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</row>
    <row r="683">
      <c r="A683" s="216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</row>
    <row r="684">
      <c r="A684" s="216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</row>
    <row r="685">
      <c r="A685" s="216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</row>
    <row r="686">
      <c r="A686" s="216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</row>
    <row r="687">
      <c r="A687" s="216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</row>
    <row r="688">
      <c r="A688" s="216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</row>
    <row r="689">
      <c r="A689" s="216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</row>
    <row r="690">
      <c r="A690" s="216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</row>
    <row r="691">
      <c r="A691" s="216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</row>
    <row r="692">
      <c r="A692" s="216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</row>
    <row r="693">
      <c r="A693" s="216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</row>
    <row r="694">
      <c r="A694" s="216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</row>
    <row r="695">
      <c r="A695" s="216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</row>
    <row r="696">
      <c r="A696" s="216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</row>
    <row r="697">
      <c r="A697" s="216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</row>
    <row r="698">
      <c r="A698" s="216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</row>
    <row r="699">
      <c r="A699" s="216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</row>
    <row r="700">
      <c r="A700" s="216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</row>
    <row r="701">
      <c r="A701" s="216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</row>
    <row r="702">
      <c r="A702" s="216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</row>
    <row r="703">
      <c r="A703" s="216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</row>
    <row r="704">
      <c r="A704" s="216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</row>
    <row r="705">
      <c r="A705" s="216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</row>
    <row r="706">
      <c r="A706" s="216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</row>
    <row r="707">
      <c r="A707" s="216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</row>
    <row r="708">
      <c r="A708" s="216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</row>
    <row r="709">
      <c r="A709" s="216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</row>
    <row r="710">
      <c r="A710" s="216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</row>
    <row r="711">
      <c r="A711" s="216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</row>
    <row r="712">
      <c r="A712" s="216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</row>
    <row r="713">
      <c r="A713" s="216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</row>
    <row r="714">
      <c r="A714" s="216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</row>
    <row r="715">
      <c r="A715" s="216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</row>
    <row r="716">
      <c r="A716" s="216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</row>
    <row r="717">
      <c r="A717" s="216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</row>
    <row r="718">
      <c r="A718" s="216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</row>
    <row r="719">
      <c r="A719" s="216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</row>
    <row r="720">
      <c r="A720" s="216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</row>
    <row r="721">
      <c r="A721" s="216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</row>
    <row r="722">
      <c r="A722" s="216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</row>
    <row r="723">
      <c r="A723" s="216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</row>
    <row r="724">
      <c r="A724" s="216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</row>
    <row r="725">
      <c r="A725" s="216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</row>
    <row r="726">
      <c r="A726" s="216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</row>
    <row r="727">
      <c r="A727" s="216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</row>
    <row r="728">
      <c r="A728" s="216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</row>
    <row r="729">
      <c r="A729" s="216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</row>
    <row r="730">
      <c r="A730" s="216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</row>
    <row r="731">
      <c r="A731" s="216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</row>
    <row r="732">
      <c r="A732" s="216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</row>
    <row r="733">
      <c r="A733" s="216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</row>
    <row r="734">
      <c r="A734" s="216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</row>
    <row r="735">
      <c r="A735" s="216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</row>
    <row r="736">
      <c r="A736" s="216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</row>
    <row r="737">
      <c r="A737" s="216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</row>
    <row r="738">
      <c r="A738" s="216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</row>
    <row r="739">
      <c r="A739" s="216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</row>
    <row r="740">
      <c r="A740" s="216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</row>
    <row r="741">
      <c r="A741" s="216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</row>
    <row r="742">
      <c r="A742" s="216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</row>
    <row r="743">
      <c r="A743" s="216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</row>
    <row r="744">
      <c r="A744" s="216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</row>
    <row r="745">
      <c r="A745" s="216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</row>
    <row r="746">
      <c r="A746" s="216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</row>
    <row r="747">
      <c r="A747" s="216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</row>
    <row r="748">
      <c r="A748" s="216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</row>
    <row r="749">
      <c r="A749" s="216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</row>
    <row r="750">
      <c r="A750" s="216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</row>
    <row r="751">
      <c r="A751" s="216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</row>
    <row r="752">
      <c r="A752" s="216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</row>
    <row r="753">
      <c r="A753" s="216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</row>
    <row r="754">
      <c r="A754" s="216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</row>
    <row r="755">
      <c r="A755" s="216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</row>
    <row r="756">
      <c r="A756" s="216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</row>
    <row r="757">
      <c r="A757" s="216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</row>
    <row r="758">
      <c r="A758" s="216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</row>
    <row r="759">
      <c r="A759" s="216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</row>
    <row r="760">
      <c r="A760" s="216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</row>
    <row r="761">
      <c r="A761" s="216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</row>
    <row r="762">
      <c r="A762" s="216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</row>
    <row r="763">
      <c r="A763" s="216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</row>
    <row r="764">
      <c r="A764" s="216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</row>
    <row r="765">
      <c r="A765" s="216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</row>
    <row r="766">
      <c r="A766" s="216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</row>
    <row r="767">
      <c r="A767" s="216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</row>
    <row r="768">
      <c r="A768" s="216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</row>
    <row r="769">
      <c r="A769" s="216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</row>
    <row r="770">
      <c r="A770" s="216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</row>
    <row r="771">
      <c r="A771" s="216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</row>
    <row r="772">
      <c r="A772" s="216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</row>
    <row r="773">
      <c r="A773" s="216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</row>
    <row r="774">
      <c r="A774" s="216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</row>
    <row r="775">
      <c r="A775" s="216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</row>
    <row r="776">
      <c r="A776" s="216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</row>
    <row r="777">
      <c r="A777" s="216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</row>
    <row r="778">
      <c r="A778" s="216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</row>
    <row r="779">
      <c r="A779" s="216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</row>
    <row r="780">
      <c r="A780" s="216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</row>
    <row r="781">
      <c r="A781" s="216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</row>
    <row r="782">
      <c r="A782" s="216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</row>
    <row r="783">
      <c r="A783" s="216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</row>
    <row r="784">
      <c r="A784" s="216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</row>
    <row r="785">
      <c r="A785" s="216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</row>
    <row r="786">
      <c r="A786" s="216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</row>
    <row r="787">
      <c r="A787" s="216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</row>
    <row r="788">
      <c r="A788" s="216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</row>
    <row r="789">
      <c r="A789" s="216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</row>
    <row r="790">
      <c r="A790" s="216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</row>
    <row r="791">
      <c r="A791" s="216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</row>
    <row r="792">
      <c r="A792" s="216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</row>
    <row r="793">
      <c r="A793" s="216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</row>
    <row r="794">
      <c r="A794" s="216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</row>
    <row r="795">
      <c r="A795" s="216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</row>
    <row r="796">
      <c r="A796" s="216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</row>
    <row r="797">
      <c r="A797" s="216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</row>
    <row r="798">
      <c r="A798" s="216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</row>
    <row r="799">
      <c r="A799" s="216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</row>
    <row r="800">
      <c r="A800" s="216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</row>
    <row r="801">
      <c r="A801" s="216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</row>
    <row r="802">
      <c r="A802" s="216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</row>
    <row r="803">
      <c r="A803" s="216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</row>
    <row r="804">
      <c r="A804" s="216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</row>
    <row r="805">
      <c r="A805" s="216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</row>
    <row r="806">
      <c r="A806" s="216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</row>
    <row r="807">
      <c r="A807" s="216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</row>
    <row r="808">
      <c r="A808" s="216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</row>
    <row r="809">
      <c r="A809" s="216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</row>
    <row r="810">
      <c r="A810" s="216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</row>
    <row r="811">
      <c r="A811" s="216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</row>
    <row r="812">
      <c r="A812" s="216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</row>
    <row r="813">
      <c r="A813" s="216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</row>
    <row r="814">
      <c r="A814" s="216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</row>
    <row r="815">
      <c r="A815" s="216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</row>
    <row r="816">
      <c r="A816" s="216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</row>
    <row r="817">
      <c r="A817" s="216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</row>
    <row r="818">
      <c r="A818" s="216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</row>
    <row r="819">
      <c r="A819" s="216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</row>
    <row r="820">
      <c r="A820" s="216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</row>
    <row r="821">
      <c r="A821" s="216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</row>
    <row r="822">
      <c r="A822" s="216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</row>
    <row r="823">
      <c r="A823" s="216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</row>
    <row r="824">
      <c r="A824" s="216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</row>
    <row r="825">
      <c r="A825" s="216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</row>
    <row r="826">
      <c r="A826" s="216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</row>
    <row r="827">
      <c r="A827" s="216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</row>
    <row r="828">
      <c r="A828" s="216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</row>
    <row r="829">
      <c r="A829" s="216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</row>
    <row r="830">
      <c r="A830" s="216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</row>
    <row r="831">
      <c r="A831" s="216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</row>
    <row r="832">
      <c r="A832" s="216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</row>
    <row r="833">
      <c r="A833" s="216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</row>
    <row r="834">
      <c r="A834" s="216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</row>
    <row r="835">
      <c r="A835" s="216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</row>
    <row r="836">
      <c r="A836" s="216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</row>
    <row r="837">
      <c r="A837" s="216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</row>
    <row r="838">
      <c r="A838" s="216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</row>
    <row r="839">
      <c r="A839" s="216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</row>
    <row r="840">
      <c r="A840" s="216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</row>
    <row r="841">
      <c r="A841" s="216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</row>
    <row r="842">
      <c r="A842" s="216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</row>
    <row r="843">
      <c r="A843" s="216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</row>
    <row r="844">
      <c r="A844" s="216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</row>
    <row r="845">
      <c r="A845" s="216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</row>
    <row r="846">
      <c r="A846" s="216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</row>
    <row r="847">
      <c r="A847" s="216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</row>
    <row r="848">
      <c r="A848" s="216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</row>
    <row r="849">
      <c r="A849" s="216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</row>
    <row r="850">
      <c r="A850" s="216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</row>
    <row r="851">
      <c r="A851" s="216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</row>
    <row r="852">
      <c r="A852" s="216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</row>
    <row r="853">
      <c r="A853" s="216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</row>
    <row r="854">
      <c r="A854" s="216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</row>
    <row r="855">
      <c r="A855" s="216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</row>
    <row r="856">
      <c r="A856" s="216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</row>
    <row r="857">
      <c r="A857" s="216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</row>
    <row r="858">
      <c r="A858" s="216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</row>
    <row r="859">
      <c r="A859" s="216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</row>
    <row r="860">
      <c r="A860" s="216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</row>
    <row r="861">
      <c r="A861" s="216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</row>
    <row r="862">
      <c r="A862" s="216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</row>
    <row r="863">
      <c r="A863" s="216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</row>
    <row r="864">
      <c r="A864" s="216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</row>
    <row r="865">
      <c r="A865" s="216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</row>
    <row r="866">
      <c r="A866" s="216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</row>
    <row r="867">
      <c r="A867" s="216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</row>
    <row r="868">
      <c r="A868" s="216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</row>
    <row r="869">
      <c r="A869" s="216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</row>
    <row r="870">
      <c r="A870" s="216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</row>
    <row r="871">
      <c r="A871" s="216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</row>
    <row r="872">
      <c r="A872" s="216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</row>
    <row r="873">
      <c r="A873" s="216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</row>
    <row r="874">
      <c r="A874" s="216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</row>
    <row r="875">
      <c r="A875" s="216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</row>
    <row r="876">
      <c r="A876" s="216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</row>
    <row r="877">
      <c r="A877" s="216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</row>
    <row r="878">
      <c r="A878" s="216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</row>
    <row r="879">
      <c r="A879" s="216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</row>
    <row r="880">
      <c r="A880" s="216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</row>
    <row r="881">
      <c r="A881" s="216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</row>
    <row r="882">
      <c r="A882" s="216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</row>
    <row r="883">
      <c r="A883" s="216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</row>
    <row r="884">
      <c r="A884" s="216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</row>
    <row r="885">
      <c r="A885" s="216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</row>
    <row r="886">
      <c r="A886" s="216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</row>
    <row r="887">
      <c r="A887" s="216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</row>
    <row r="888">
      <c r="A888" s="216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</row>
    <row r="889">
      <c r="A889" s="216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</row>
    <row r="890">
      <c r="A890" s="216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</row>
    <row r="891">
      <c r="A891" s="216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</row>
    <row r="892">
      <c r="A892" s="216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</row>
    <row r="893">
      <c r="A893" s="216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</row>
    <row r="894">
      <c r="A894" s="216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</row>
    <row r="895">
      <c r="A895" s="216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</row>
    <row r="896">
      <c r="A896" s="216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</row>
    <row r="897">
      <c r="A897" s="216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</row>
    <row r="898">
      <c r="A898" s="216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</row>
    <row r="899">
      <c r="A899" s="216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</row>
    <row r="900">
      <c r="A900" s="216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</row>
    <row r="901">
      <c r="A901" s="216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</row>
    <row r="902">
      <c r="A902" s="216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</row>
    <row r="903">
      <c r="A903" s="216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</row>
    <row r="904">
      <c r="A904" s="216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</row>
    <row r="905">
      <c r="A905" s="216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</row>
    <row r="906">
      <c r="A906" s="216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</row>
    <row r="907">
      <c r="A907" s="216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</row>
    <row r="908">
      <c r="A908" s="216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</row>
    <row r="909">
      <c r="A909" s="216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</row>
    <row r="910">
      <c r="A910" s="216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</row>
    <row r="911">
      <c r="A911" s="216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</row>
    <row r="912">
      <c r="A912" s="216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</row>
    <row r="913">
      <c r="A913" s="216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</row>
    <row r="914">
      <c r="A914" s="216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</row>
    <row r="915">
      <c r="A915" s="216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</row>
    <row r="916">
      <c r="A916" s="216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</row>
    <row r="917">
      <c r="A917" s="216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</row>
    <row r="918">
      <c r="A918" s="216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</row>
    <row r="919">
      <c r="A919" s="216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</row>
    <row r="920">
      <c r="A920" s="216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</row>
    <row r="921">
      <c r="A921" s="216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</row>
    <row r="922">
      <c r="A922" s="216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</row>
    <row r="923">
      <c r="A923" s="216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</row>
    <row r="924">
      <c r="A924" s="216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</row>
    <row r="925">
      <c r="A925" s="216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</row>
    <row r="926">
      <c r="A926" s="216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</row>
    <row r="927">
      <c r="A927" s="216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</row>
    <row r="928">
      <c r="A928" s="216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</row>
    <row r="929">
      <c r="A929" s="216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</row>
    <row r="930">
      <c r="A930" s="216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</row>
    <row r="931">
      <c r="A931" s="216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</row>
    <row r="932">
      <c r="A932" s="216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</row>
    <row r="933">
      <c r="A933" s="216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</row>
    <row r="934">
      <c r="A934" s="216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</row>
    <row r="935">
      <c r="A935" s="216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</row>
    <row r="936">
      <c r="A936" s="216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</row>
    <row r="937">
      <c r="A937" s="216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</row>
    <row r="938">
      <c r="A938" s="216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</row>
    <row r="939">
      <c r="A939" s="216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</row>
    <row r="940">
      <c r="A940" s="216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</row>
    <row r="941">
      <c r="A941" s="216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</row>
    <row r="942">
      <c r="A942" s="216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</row>
    <row r="943">
      <c r="A943" s="216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</row>
    <row r="944">
      <c r="A944" s="216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</row>
    <row r="945">
      <c r="A945" s="216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</row>
    <row r="946">
      <c r="A946" s="216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</row>
    <row r="947">
      <c r="A947" s="216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</row>
    <row r="948">
      <c r="A948" s="216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</row>
    <row r="949">
      <c r="A949" s="216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</row>
    <row r="950">
      <c r="A950" s="216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</row>
    <row r="951">
      <c r="A951" s="216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</row>
    <row r="952">
      <c r="A952" s="216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</row>
    <row r="953">
      <c r="A953" s="216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</row>
    <row r="954">
      <c r="A954" s="216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</row>
    <row r="955">
      <c r="A955" s="216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</row>
    <row r="956">
      <c r="A956" s="216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</row>
    <row r="957">
      <c r="A957" s="216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</row>
    <row r="958">
      <c r="A958" s="216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</row>
    <row r="959">
      <c r="A959" s="216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</row>
    <row r="960">
      <c r="A960" s="216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</row>
    <row r="961">
      <c r="A961" s="216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</row>
    <row r="962">
      <c r="A962" s="216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</row>
    <row r="963">
      <c r="A963" s="216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</row>
    <row r="964">
      <c r="A964" s="216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</row>
    <row r="965">
      <c r="A965" s="216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</row>
    <row r="966">
      <c r="A966" s="216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</row>
    <row r="967">
      <c r="A967" s="216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</row>
    <row r="968">
      <c r="A968" s="216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</row>
    <row r="969">
      <c r="A969" s="216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</row>
    <row r="970">
      <c r="A970" s="216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</row>
    <row r="971">
      <c r="A971" s="216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</row>
    <row r="972">
      <c r="A972" s="216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</row>
    <row r="973">
      <c r="A973" s="216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</row>
    <row r="974">
      <c r="A974" s="216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</row>
    <row r="975">
      <c r="A975" s="216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</row>
    <row r="976">
      <c r="A976" s="216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</row>
    <row r="977">
      <c r="A977" s="216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</row>
    <row r="978">
      <c r="A978" s="216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</row>
    <row r="979">
      <c r="A979" s="216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</row>
    <row r="980">
      <c r="A980" s="216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</row>
    <row r="981">
      <c r="A981" s="216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</row>
    <row r="982">
      <c r="A982" s="216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</row>
    <row r="983">
      <c r="A983" s="216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</row>
    <row r="984">
      <c r="A984" s="216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</row>
    <row r="985">
      <c r="A985" s="216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</row>
    <row r="986">
      <c r="A986" s="216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</row>
  </sheetData>
  <mergeCells count="4646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4:AE4"/>
    <mergeCell ref="A1:E1"/>
    <mergeCell ref="F1:K1"/>
    <mergeCell ref="L1:Y1"/>
    <mergeCell ref="Z1:AE1"/>
    <mergeCell ref="AF1:AJ1"/>
    <mergeCell ref="F3:G3"/>
    <mergeCell ref="H3:I3"/>
    <mergeCell ref="AD3:AE3"/>
    <mergeCell ref="X5:Y5"/>
    <mergeCell ref="Z5:AA5"/>
    <mergeCell ref="AB5:AC5"/>
    <mergeCell ref="AD5:AE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AD8:AE8"/>
    <mergeCell ref="F8:G8"/>
    <mergeCell ref="H8:I8"/>
    <mergeCell ref="J8:K8"/>
    <mergeCell ref="L8:M8"/>
    <mergeCell ref="N8:O8"/>
    <mergeCell ref="P8:Q8"/>
    <mergeCell ref="R8:S8"/>
    <mergeCell ref="T12:U12"/>
    <mergeCell ref="V12:W12"/>
    <mergeCell ref="X12:Y12"/>
    <mergeCell ref="Z12:AA12"/>
    <mergeCell ref="AB12:AC12"/>
    <mergeCell ref="AD12:AE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F254:G254"/>
    <mergeCell ref="H254:I254"/>
    <mergeCell ref="J254:K254"/>
    <mergeCell ref="L254:M254"/>
    <mergeCell ref="N254:O254"/>
    <mergeCell ref="P254:Q254"/>
    <mergeCell ref="R254:S254"/>
    <mergeCell ref="T304:U304"/>
    <mergeCell ref="V304:W304"/>
    <mergeCell ref="X304:Y304"/>
    <mergeCell ref="Z304:AA304"/>
    <mergeCell ref="AB304:AC304"/>
    <mergeCell ref="AD304:AE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F345:G345"/>
    <mergeCell ref="H345:I345"/>
    <mergeCell ref="J345:K345"/>
    <mergeCell ref="L345:M345"/>
    <mergeCell ref="N345:O345"/>
    <mergeCell ref="P345:Q345"/>
    <mergeCell ref="R345:S345"/>
    <mergeCell ref="T353:U353"/>
    <mergeCell ref="V353:W353"/>
    <mergeCell ref="X353:Y353"/>
    <mergeCell ref="Z353:AA353"/>
    <mergeCell ref="AB353:AC353"/>
    <mergeCell ref="AD353:AE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F358:G358"/>
    <mergeCell ref="H358:I358"/>
    <mergeCell ref="J358:K358"/>
    <mergeCell ref="L358:M358"/>
    <mergeCell ref="N358:O358"/>
    <mergeCell ref="P358:Q358"/>
    <mergeCell ref="R358:S358"/>
    <mergeCell ref="T9:U9"/>
    <mergeCell ref="V9:W9"/>
    <mergeCell ref="X9:Y9"/>
    <mergeCell ref="Z9:AA9"/>
    <mergeCell ref="AB9:AC9"/>
    <mergeCell ref="AD9:AE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F11:G11"/>
    <mergeCell ref="H11:I11"/>
    <mergeCell ref="J11:K11"/>
    <mergeCell ref="L11:M11"/>
    <mergeCell ref="N11:O11"/>
    <mergeCell ref="P11:Q11"/>
    <mergeCell ref="R11:S11"/>
    <mergeCell ref="T359:U359"/>
    <mergeCell ref="V359:W359"/>
    <mergeCell ref="X359:Y359"/>
    <mergeCell ref="Z359:AA359"/>
    <mergeCell ref="AB359:AC359"/>
    <mergeCell ref="AD359:AE359"/>
    <mergeCell ref="F359:G359"/>
    <mergeCell ref="H359:I359"/>
    <mergeCell ref="J359:K359"/>
    <mergeCell ref="L359:M359"/>
    <mergeCell ref="N359:O359"/>
    <mergeCell ref="P359:Q359"/>
    <mergeCell ref="R359:S359"/>
    <mergeCell ref="T346:U346"/>
    <mergeCell ref="V346:W346"/>
    <mergeCell ref="X346:Y346"/>
    <mergeCell ref="Z346:AA346"/>
    <mergeCell ref="AB346:AC346"/>
    <mergeCell ref="AD346:AE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F352:G352"/>
    <mergeCell ref="H352:I352"/>
    <mergeCell ref="J352:K352"/>
    <mergeCell ref="L352:M352"/>
    <mergeCell ref="N352:O352"/>
    <mergeCell ref="P352:Q352"/>
    <mergeCell ref="R352:S352"/>
    <mergeCell ref="T255:U255"/>
    <mergeCell ref="V255:W255"/>
    <mergeCell ref="X255:Y255"/>
    <mergeCell ref="Z255:AA255"/>
    <mergeCell ref="AB255:AC255"/>
    <mergeCell ref="AD255:AE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AD301:AE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F303:G303"/>
    <mergeCell ref="H303:I303"/>
    <mergeCell ref="J303:K303"/>
    <mergeCell ref="L303:M303"/>
    <mergeCell ref="N303:O303"/>
    <mergeCell ref="P303:Q303"/>
    <mergeCell ref="R303:S303"/>
  </mergeCells>
  <printOptions/>
  <pageMargins bottom="0.75" footer="0.0" header="0.0" left="0.7" right="0.7" top="0.75"/>
  <pageSetup orientation="landscape"/>
  <drawing r:id="rId1"/>
</worksheet>
</file>