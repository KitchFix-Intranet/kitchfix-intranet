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ffalo - Projections - 2025" sheetId="1" r:id="rId5"/>
    <sheet state="visible" name="Buffalo - Actuals - Billing - 2" sheetId="2" r:id="rId6"/>
  </sheets>
  <definedNames/>
  <calcPr/>
</workbook>
</file>

<file path=xl/sharedStrings.xml><?xml version="1.0" encoding="utf-8"?>
<sst xmlns="http://schemas.openxmlformats.org/spreadsheetml/2006/main" count="1852" uniqueCount="37">
  <si>
    <t>Buffalo Bisons @ Buffalo, NY</t>
  </si>
  <si>
    <t>Buffalo Bisons</t>
  </si>
  <si>
    <t>Other</t>
  </si>
  <si>
    <t>TOTALS</t>
  </si>
  <si>
    <t>Day</t>
  </si>
  <si>
    <t>Date</t>
  </si>
  <si>
    <t>Period</t>
  </si>
  <si>
    <t>Week</t>
  </si>
  <si>
    <t>Game Type</t>
  </si>
  <si>
    <t>Breakfast</t>
  </si>
  <si>
    <t>Lunch</t>
  </si>
  <si>
    <t>Post-Game</t>
  </si>
  <si>
    <t>Umpire</t>
  </si>
  <si>
    <t>Snack</t>
  </si>
  <si>
    <t>Shake</t>
  </si>
  <si>
    <t>Blank</t>
  </si>
  <si>
    <t>Total Revenue</t>
  </si>
  <si>
    <t>Total Meals</t>
  </si>
  <si>
    <t>Total Snacks</t>
  </si>
  <si>
    <t>Total Charged Items</t>
  </si>
  <si>
    <t>Average $/Item</t>
  </si>
  <si>
    <t>Mon</t>
  </si>
  <si>
    <t>Week 1</t>
  </si>
  <si>
    <t>Tue</t>
  </si>
  <si>
    <t>Wed</t>
  </si>
  <si>
    <t>Thurs</t>
  </si>
  <si>
    <t>Fri</t>
  </si>
  <si>
    <t>Sat</t>
  </si>
  <si>
    <t>Sun</t>
  </si>
  <si>
    <t>Week 2</t>
  </si>
  <si>
    <t>Week 3</t>
  </si>
  <si>
    <t>Week 4</t>
  </si>
  <si>
    <t>DAY</t>
  </si>
  <si>
    <t>OFF</t>
  </si>
  <si>
    <t>NIGHT</t>
  </si>
  <si>
    <t xml:space="preserve">NIGHT 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</si>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</sst>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_);[Red]\(&quot;$&quot;#,##0\)"/>
  </numFmts>
  <fonts count="8">
    <font>
      <sz val="12.0"/>
      <color theme="1"/>
      <name val="Calibri"/>
      <scheme val="minor"/>
    </font>
    <font>
      <b/>
      <sz val="12.0"/>
      <color theme="1"/>
      <name val="Arial"/>
    </font>
    <font/>
    <font>
      <b/>
      <sz val="16.0"/>
      <color rgb="FFFFFFFF"/>
      <name val="Arial"/>
    </font>
    <font>
      <b/>
      <sz val="16.0"/>
      <color theme="0"/>
      <name val="Arial"/>
    </font>
    <font>
      <sz val="12.0"/>
      <color theme="1"/>
      <name val="Arial"/>
    </font>
    <font>
      <sz val="10.0"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/>
    </xf>
    <xf borderId="1" fillId="2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right" readingOrder="0"/>
    </xf>
    <xf borderId="7" fillId="0" fontId="1" numFmtId="0" xfId="0" applyBorder="1" applyFont="1"/>
    <xf borderId="7" fillId="0" fontId="1" numFmtId="0" xfId="0" applyAlignment="1" applyBorder="1" applyFont="1">
      <alignment readingOrder="0"/>
    </xf>
    <xf borderId="7" fillId="0" fontId="1" numFmtId="164" xfId="0" applyAlignment="1" applyBorder="1" applyFont="1" applyNumberFormat="1">
      <alignment textRotation="90"/>
    </xf>
    <xf borderId="7" fillId="0" fontId="5" numFmtId="164" xfId="0" applyAlignment="1" applyBorder="1" applyFont="1" applyNumberFormat="1">
      <alignment readingOrder="0" textRotation="90"/>
    </xf>
    <xf borderId="7" fillId="0" fontId="1" numFmtId="164" xfId="0" applyAlignment="1" applyBorder="1" applyFont="1" applyNumberFormat="1">
      <alignment readingOrder="0" textRotation="90"/>
    </xf>
    <xf borderId="7" fillId="4" fontId="4" numFmtId="0" xfId="0" applyAlignment="1" applyBorder="1" applyFill="1" applyFont="1">
      <alignment shrinkToFit="0" textRotation="90" wrapText="1"/>
    </xf>
    <xf borderId="8" fillId="0" fontId="6" numFmtId="0" xfId="0" applyAlignment="1" applyBorder="1" applyFont="1">
      <alignment horizontal="right" readingOrder="0"/>
    </xf>
    <xf borderId="8" fillId="0" fontId="6" numFmtId="14" xfId="0" applyAlignment="1" applyBorder="1" applyFont="1" applyNumberFormat="1">
      <alignment readingOrder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0" fillId="0" fontId="6" numFmtId="0" xfId="0" applyFont="1"/>
    <xf borderId="11" fillId="0" fontId="2" numFmtId="0" xfId="0" applyBorder="1" applyFont="1"/>
    <xf borderId="12" fillId="0" fontId="6" numFmtId="165" xfId="0" applyBorder="1" applyFont="1" applyNumberFormat="1"/>
    <xf borderId="11" fillId="0" fontId="6" numFmtId="165" xfId="0" applyBorder="1" applyFont="1" applyNumberFormat="1"/>
    <xf borderId="13" fillId="0" fontId="6" numFmtId="0" xfId="0" applyAlignment="1" applyBorder="1" applyFont="1">
      <alignment horizontal="right" readingOrder="0"/>
    </xf>
    <xf borderId="13" fillId="0" fontId="6" numFmtId="14" xfId="0" applyBorder="1" applyFont="1" applyNumberFormat="1"/>
    <xf borderId="13" fillId="0" fontId="6" numFmtId="0" xfId="0" applyBorder="1" applyFont="1"/>
    <xf borderId="11" fillId="0" fontId="6" numFmtId="0" xfId="0" applyBorder="1" applyFont="1"/>
    <xf borderId="10" fillId="0" fontId="6" numFmtId="165" xfId="0" applyBorder="1" applyFont="1" applyNumberFormat="1"/>
    <xf borderId="14" fillId="0" fontId="6" numFmtId="0" xfId="0" applyAlignment="1" applyBorder="1" applyFont="1">
      <alignment horizontal="right" readingOrder="0"/>
    </xf>
    <xf borderId="14" fillId="0" fontId="6" numFmtId="14" xfId="0" applyBorder="1" applyFont="1" applyNumberForma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2" numFmtId="0" xfId="0" applyBorder="1" applyFont="1"/>
    <xf borderId="17" fillId="0" fontId="6" numFmtId="0" xfId="0" applyBorder="1" applyFont="1"/>
    <xf borderId="15" fillId="0" fontId="2" numFmtId="0" xfId="0" applyBorder="1" applyFont="1"/>
    <xf borderId="16" fillId="0" fontId="6" numFmtId="165" xfId="0" applyBorder="1" applyFont="1" applyNumberFormat="1"/>
    <xf borderId="15" fillId="0" fontId="6" numFmtId="165" xfId="0" applyBorder="1" applyFont="1" applyNumberFormat="1"/>
    <xf borderId="8" fillId="0" fontId="6" numFmtId="14" xfId="0" applyBorder="1" applyFont="1" applyNumberFormat="1"/>
    <xf borderId="9" fillId="0" fontId="6" numFmtId="165" xfId="0" applyBorder="1" applyFont="1" applyNumberFormat="1"/>
    <xf borderId="10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6" fillId="0" fontId="6" numFmtId="0" xfId="0" applyAlignment="1" applyBorder="1" applyFont="1">
      <alignment readingOrder="0"/>
    </xf>
    <xf borderId="17" fillId="0" fontId="6" numFmtId="0" xfId="0" applyAlignment="1" applyBorder="1" applyFont="1">
      <alignment readingOrder="0"/>
    </xf>
    <xf borderId="10" fillId="5" fontId="6" numFmtId="0" xfId="0" applyAlignment="1" applyBorder="1" applyFill="1" applyFont="1">
      <alignment readingOrder="0"/>
    </xf>
    <xf borderId="0" fillId="5" fontId="6" numFmtId="0" xfId="0" applyAlignment="1" applyFill="1" applyFont="1">
      <alignment readingOrder="0"/>
    </xf>
    <xf borderId="0" fillId="5" fontId="6" numFmtId="0" xfId="0" applyFill="1" applyFont="1"/>
    <xf borderId="10" fillId="5" fontId="6" numFmtId="0" xfId="0" applyBorder="1" applyFill="1" applyFont="1"/>
    <xf borderId="10" fillId="5" fontId="6" numFmtId="165" xfId="0" applyBorder="1" applyFill="1" applyFont="1" applyNumberFormat="1"/>
    <xf borderId="13" fillId="5" fontId="6" numFmtId="0" xfId="0" applyBorder="1" applyFill="1" applyFont="1"/>
    <xf borderId="16" fillId="5" fontId="6" numFmtId="0" xfId="0" applyAlignment="1" applyBorder="1" applyFill="1" applyFont="1">
      <alignment readingOrder="0"/>
    </xf>
    <xf borderId="17" fillId="5" fontId="6" numFmtId="0" xfId="0" applyAlignment="1" applyBorder="1" applyFill="1" applyFont="1">
      <alignment readingOrder="0"/>
    </xf>
    <xf borderId="17" fillId="5" fontId="6" numFmtId="0" xfId="0" applyBorder="1" applyFill="1" applyFont="1"/>
    <xf borderId="16" fillId="5" fontId="6" numFmtId="0" xfId="0" applyBorder="1" applyFill="1" applyFont="1"/>
    <xf borderId="16" fillId="5" fontId="6" numFmtId="165" xfId="0" applyBorder="1" applyFill="1" applyFont="1" applyNumberFormat="1"/>
    <xf borderId="14" fillId="5" fontId="6" numFmtId="0" xfId="0" applyBorder="1" applyFill="1" applyFont="1"/>
    <xf borderId="8" fillId="6" fontId="6" numFmtId="0" xfId="0" applyAlignment="1" applyBorder="1" applyFill="1" applyFont="1">
      <alignment horizontal="right" readingOrder="0"/>
    </xf>
    <xf borderId="8" fillId="6" fontId="6" numFmtId="14" xfId="0" applyBorder="1" applyFill="1" applyFont="1" applyNumberFormat="1"/>
    <xf borderId="8" fillId="6" fontId="6" numFmtId="0" xfId="0" applyBorder="1" applyFill="1" applyFont="1"/>
    <xf borderId="9" fillId="6" fontId="6" numFmtId="0" xfId="0" applyBorder="1" applyFill="1" applyFont="1"/>
    <xf borderId="10" fillId="6" fontId="6" numFmtId="0" xfId="0" applyAlignment="1" applyBorder="1" applyFill="1" applyFont="1">
      <alignment readingOrder="0"/>
    </xf>
    <xf borderId="0" fillId="6" fontId="6" numFmtId="0" xfId="0" applyAlignment="1" applyFill="1" applyFont="1">
      <alignment readingOrder="0"/>
    </xf>
    <xf borderId="10" fillId="6" fontId="6" numFmtId="0" xfId="0" applyBorder="1" applyFill="1" applyFont="1"/>
    <xf borderId="0" fillId="6" fontId="6" numFmtId="0" xfId="0" applyFill="1" applyFont="1"/>
    <xf borderId="12" fillId="6" fontId="6" numFmtId="165" xfId="0" applyBorder="1" applyFill="1" applyFont="1" applyNumberFormat="1"/>
    <xf borderId="9" fillId="6" fontId="6" numFmtId="165" xfId="0" applyBorder="1" applyFill="1" applyFont="1" applyNumberFormat="1"/>
    <xf borderId="13" fillId="6" fontId="6" numFmtId="0" xfId="0" applyAlignment="1" applyBorder="1" applyFill="1" applyFont="1">
      <alignment horizontal="right" readingOrder="0"/>
    </xf>
    <xf borderId="13" fillId="6" fontId="6" numFmtId="14" xfId="0" applyBorder="1" applyFill="1" applyFont="1" applyNumberFormat="1"/>
    <xf borderId="13" fillId="6" fontId="6" numFmtId="0" xfId="0" applyBorder="1" applyFill="1" applyFont="1"/>
    <xf borderId="11" fillId="6" fontId="6" numFmtId="0" xfId="0" applyBorder="1" applyFill="1" applyFont="1"/>
    <xf borderId="10" fillId="6" fontId="6" numFmtId="165" xfId="0" applyBorder="1" applyFill="1" applyFont="1" applyNumberFormat="1"/>
    <xf borderId="11" fillId="6" fontId="6" numFmtId="165" xfId="0" applyBorder="1" applyFill="1" applyFont="1" applyNumberFormat="1"/>
    <xf borderId="11" fillId="6" fontId="6" numFmtId="0" xfId="0" applyAlignment="1" applyBorder="1" applyFill="1" applyFont="1">
      <alignment readingOrder="0"/>
    </xf>
    <xf borderId="14" fillId="6" fontId="6" numFmtId="0" xfId="0" applyAlignment="1" applyBorder="1" applyFill="1" applyFont="1">
      <alignment horizontal="right" readingOrder="0"/>
    </xf>
    <xf borderId="14" fillId="6" fontId="6" numFmtId="14" xfId="0" applyBorder="1" applyFill="1" applyFont="1" applyNumberFormat="1"/>
    <xf borderId="14" fillId="6" fontId="6" numFmtId="0" xfId="0" applyBorder="1" applyFill="1" applyFont="1"/>
    <xf borderId="15" fillId="6" fontId="6" numFmtId="0" xfId="0" applyAlignment="1" applyBorder="1" applyFill="1" applyFont="1">
      <alignment readingOrder="0"/>
    </xf>
    <xf borderId="16" fillId="6" fontId="6" numFmtId="0" xfId="0" applyAlignment="1" applyBorder="1" applyFill="1" applyFont="1">
      <alignment readingOrder="0"/>
    </xf>
    <xf borderId="17" fillId="6" fontId="6" numFmtId="0" xfId="0" applyAlignment="1" applyBorder="1" applyFill="1" applyFont="1">
      <alignment readingOrder="0"/>
    </xf>
    <xf borderId="16" fillId="6" fontId="6" numFmtId="0" xfId="0" applyBorder="1" applyFill="1" applyFont="1"/>
    <xf borderId="17" fillId="6" fontId="6" numFmtId="0" xfId="0" applyBorder="1" applyFill="1" applyFont="1"/>
    <xf borderId="16" fillId="6" fontId="6" numFmtId="165" xfId="0" applyBorder="1" applyFill="1" applyFont="1" applyNumberFormat="1"/>
    <xf borderId="15" fillId="6" fontId="6" numFmtId="165" xfId="0" applyBorder="1" applyFill="1" applyFont="1" applyNumberFormat="1"/>
    <xf borderId="9" fillId="0" fontId="6" numFmtId="0" xfId="0" applyAlignment="1" applyBorder="1" applyFont="1">
      <alignment readingOrder="0"/>
    </xf>
    <xf borderId="12" fillId="5" fontId="6" numFmtId="165" xfId="0" applyBorder="1" applyFill="1" applyFont="1" applyNumberFormat="1"/>
    <xf borderId="8" fillId="5" fontId="6" numFmtId="0" xfId="0" applyBorder="1" applyFill="1" applyFont="1"/>
    <xf borderId="11" fillId="0" fontId="6" numFmtId="0" xfId="0" applyAlignment="1" applyBorder="1" applyFont="1">
      <alignment readingOrder="0"/>
    </xf>
    <xf borderId="15" fillId="0" fontId="6" numFmtId="0" xfId="0" applyAlignment="1" applyBorder="1" applyFont="1">
      <alignment readingOrder="0"/>
    </xf>
    <xf borderId="8" fillId="7" fontId="6" numFmtId="0" xfId="0" applyAlignment="1" applyBorder="1" applyFill="1" applyFont="1">
      <alignment horizontal="right" readingOrder="0"/>
    </xf>
    <xf borderId="8" fillId="7" fontId="6" numFmtId="14" xfId="0" applyBorder="1" applyFill="1" applyFont="1" applyNumberFormat="1"/>
    <xf borderId="8" fillId="7" fontId="6" numFmtId="0" xfId="0" applyBorder="1" applyFill="1" applyFont="1"/>
    <xf borderId="9" fillId="7" fontId="6" numFmtId="0" xfId="0" applyAlignment="1" applyBorder="1" applyFill="1" applyFont="1">
      <alignment readingOrder="0"/>
    </xf>
    <xf borderId="10" fillId="7" fontId="6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10" fillId="7" fontId="6" numFmtId="0" xfId="0" applyBorder="1" applyFill="1" applyFont="1"/>
    <xf borderId="0" fillId="7" fontId="6" numFmtId="0" xfId="0" applyFill="1" applyFont="1"/>
    <xf borderId="12" fillId="7" fontId="6" numFmtId="165" xfId="0" applyBorder="1" applyFill="1" applyFont="1" applyNumberFormat="1"/>
    <xf borderId="9" fillId="7" fontId="6" numFmtId="165" xfId="0" applyBorder="1" applyFill="1" applyFont="1" applyNumberFormat="1"/>
    <xf borderId="13" fillId="7" fontId="6" numFmtId="0" xfId="0" applyAlignment="1" applyBorder="1" applyFill="1" applyFont="1">
      <alignment horizontal="right" readingOrder="0"/>
    </xf>
    <xf borderId="13" fillId="7" fontId="6" numFmtId="14" xfId="0" applyBorder="1" applyFill="1" applyFont="1" applyNumberFormat="1"/>
    <xf borderId="13" fillId="7" fontId="6" numFmtId="0" xfId="0" applyBorder="1" applyFill="1" applyFont="1"/>
    <xf borderId="11" fillId="7" fontId="6" numFmtId="0" xfId="0" applyAlignment="1" applyBorder="1" applyFill="1" applyFont="1">
      <alignment readingOrder="0"/>
    </xf>
    <xf borderId="10" fillId="7" fontId="6" numFmtId="165" xfId="0" applyBorder="1" applyFill="1" applyFont="1" applyNumberFormat="1"/>
    <xf borderId="11" fillId="7" fontId="6" numFmtId="165" xfId="0" applyBorder="1" applyFill="1" applyFont="1" applyNumberFormat="1"/>
    <xf borderId="14" fillId="7" fontId="6" numFmtId="0" xfId="0" applyAlignment="1" applyBorder="1" applyFill="1" applyFont="1">
      <alignment horizontal="right" readingOrder="0"/>
    </xf>
    <xf borderId="14" fillId="7" fontId="6" numFmtId="14" xfId="0" applyBorder="1" applyFill="1" applyFont="1" applyNumberFormat="1"/>
    <xf borderId="14" fillId="7" fontId="6" numFmtId="0" xfId="0" applyBorder="1" applyFill="1" applyFont="1"/>
    <xf borderId="15" fillId="7" fontId="6" numFmtId="0" xfId="0" applyAlignment="1" applyBorder="1" applyFill="1" applyFont="1">
      <alignment readingOrder="0"/>
    </xf>
    <xf borderId="16" fillId="7" fontId="6" numFmtId="0" xfId="0" applyAlignment="1" applyBorder="1" applyFill="1" applyFont="1">
      <alignment readingOrder="0"/>
    </xf>
    <xf borderId="17" fillId="7" fontId="6" numFmtId="0" xfId="0" applyAlignment="1" applyBorder="1" applyFill="1" applyFont="1">
      <alignment readingOrder="0"/>
    </xf>
    <xf borderId="16" fillId="7" fontId="6" numFmtId="0" xfId="0" applyBorder="1" applyFill="1" applyFont="1"/>
    <xf borderId="17" fillId="7" fontId="6" numFmtId="0" xfId="0" applyBorder="1" applyFill="1" applyFont="1"/>
    <xf borderId="16" fillId="7" fontId="6" numFmtId="165" xfId="0" applyBorder="1" applyFill="1" applyFont="1" applyNumberFormat="1"/>
    <xf borderId="15" fillId="7" fontId="6" numFmtId="165" xfId="0" applyBorder="1" applyFill="1" applyFont="1" applyNumberFormat="1"/>
    <xf borderId="8" fillId="5" fontId="6" numFmtId="0" xfId="0" applyAlignment="1" applyBorder="1" applyFill="1" applyFont="1">
      <alignment horizontal="right" readingOrder="0"/>
    </xf>
    <xf borderId="8" fillId="5" fontId="6" numFmtId="14" xfId="0" applyBorder="1" applyFill="1" applyFont="1" applyNumberFormat="1"/>
    <xf borderId="9" fillId="5" fontId="6" numFmtId="0" xfId="0" applyAlignment="1" applyBorder="1" applyFill="1" applyFont="1">
      <alignment readingOrder="0"/>
    </xf>
    <xf borderId="9" fillId="5" fontId="6" numFmtId="165" xfId="0" applyBorder="1" applyFill="1" applyFont="1" applyNumberFormat="1"/>
    <xf borderId="13" fillId="5" fontId="6" numFmtId="0" xfId="0" applyAlignment="1" applyBorder="1" applyFill="1" applyFont="1">
      <alignment horizontal="right" readingOrder="0"/>
    </xf>
    <xf borderId="13" fillId="5" fontId="6" numFmtId="14" xfId="0" applyBorder="1" applyFill="1" applyFont="1" applyNumberFormat="1"/>
    <xf borderId="11" fillId="5" fontId="6" numFmtId="0" xfId="0" applyAlignment="1" applyBorder="1" applyFill="1" applyFont="1">
      <alignment readingOrder="0"/>
    </xf>
    <xf borderId="11" fillId="5" fontId="6" numFmtId="165" xfId="0" applyBorder="1" applyFill="1" applyFont="1" applyNumberFormat="1"/>
    <xf borderId="14" fillId="5" fontId="6" numFmtId="0" xfId="0" applyAlignment="1" applyBorder="1" applyFill="1" applyFont="1">
      <alignment horizontal="right" readingOrder="0"/>
    </xf>
    <xf borderId="14" fillId="5" fontId="6" numFmtId="14" xfId="0" applyBorder="1" applyFill="1" applyFont="1" applyNumberFormat="1"/>
    <xf borderId="15" fillId="5" fontId="6" numFmtId="0" xfId="0" applyAlignment="1" applyBorder="1" applyFill="1" applyFont="1">
      <alignment readingOrder="0"/>
    </xf>
    <xf borderId="15" fillId="5" fontId="6" numFmtId="165" xfId="0" applyBorder="1" applyFill="1" applyFont="1" applyNumberFormat="1"/>
    <xf borderId="14" fillId="8" fontId="6" numFmtId="0" xfId="0" applyAlignment="1" applyBorder="1" applyFill="1" applyFont="1">
      <alignment horizontal="right" readingOrder="0"/>
    </xf>
    <xf borderId="14" fillId="8" fontId="6" numFmtId="14" xfId="0" applyBorder="1" applyFill="1" applyFont="1" applyNumberFormat="1"/>
    <xf borderId="14" fillId="8" fontId="6" numFmtId="0" xfId="0" applyBorder="1" applyFill="1" applyFont="1"/>
    <xf borderId="15" fillId="8" fontId="6" numFmtId="0" xfId="0" applyAlignment="1" applyBorder="1" applyFill="1" applyFont="1">
      <alignment readingOrder="0"/>
    </xf>
    <xf borderId="16" fillId="8" fontId="6" numFmtId="0" xfId="0" applyAlignment="1" applyBorder="1" applyFill="1" applyFont="1">
      <alignment readingOrder="0"/>
    </xf>
    <xf borderId="17" fillId="8" fontId="6" numFmtId="0" xfId="0" applyAlignment="1" applyBorder="1" applyFill="1" applyFont="1">
      <alignment readingOrder="0"/>
    </xf>
    <xf borderId="16" fillId="8" fontId="6" numFmtId="0" xfId="0" applyBorder="1" applyFill="1" applyFont="1"/>
    <xf borderId="17" fillId="8" fontId="6" numFmtId="0" xfId="0" applyBorder="1" applyFill="1" applyFont="1"/>
    <xf borderId="16" fillId="8" fontId="6" numFmtId="165" xfId="0" applyBorder="1" applyFill="1" applyFont="1" applyNumberFormat="1"/>
    <xf borderId="15" fillId="8" fontId="6" numFmtId="165" xfId="0" applyBorder="1" applyFill="1" applyFont="1" applyNumberFormat="1"/>
    <xf borderId="10" fillId="9" fontId="6" numFmtId="0" xfId="0" applyAlignment="1" applyBorder="1" applyFill="1" applyFont="1">
      <alignment readingOrder="0"/>
    </xf>
    <xf borderId="0" fillId="9" fontId="6" numFmtId="0" xfId="0" applyAlignment="1" applyFill="1" applyFont="1">
      <alignment readingOrder="0"/>
    </xf>
    <xf borderId="10" fillId="9" fontId="6" numFmtId="0" xfId="0" applyBorder="1" applyFill="1" applyFont="1"/>
    <xf borderId="0" fillId="9" fontId="6" numFmtId="0" xfId="0" applyFill="1" applyFont="1"/>
    <xf borderId="16" fillId="9" fontId="6" numFmtId="0" xfId="0" applyAlignment="1" applyBorder="1" applyFill="1" applyFont="1">
      <alignment readingOrder="0"/>
    </xf>
    <xf borderId="17" fillId="9" fontId="6" numFmtId="0" xfId="0" applyAlignment="1" applyBorder="1" applyFill="1" applyFont="1">
      <alignment readingOrder="0"/>
    </xf>
    <xf borderId="16" fillId="9" fontId="6" numFmtId="0" xfId="0" applyBorder="1" applyFill="1" applyFont="1"/>
    <xf borderId="17" fillId="9" fontId="6" numFmtId="0" xfId="0" applyBorder="1" applyFill="1" applyFont="1"/>
    <xf borderId="8" fillId="10" fontId="6" numFmtId="0" xfId="0" applyAlignment="1" applyBorder="1" applyFill="1" applyFont="1">
      <alignment horizontal="right" readingOrder="0"/>
    </xf>
    <xf borderId="8" fillId="10" fontId="6" numFmtId="14" xfId="0" applyBorder="1" applyFill="1" applyFont="1" applyNumberFormat="1"/>
    <xf borderId="8" fillId="10" fontId="6" numFmtId="0" xfId="0" applyBorder="1" applyFill="1" applyFont="1"/>
    <xf borderId="9" fillId="10" fontId="6" numFmtId="0" xfId="0" applyAlignment="1" applyBorder="1" applyFill="1" applyFont="1">
      <alignment readingOrder="0"/>
    </xf>
    <xf borderId="10" fillId="10" fontId="6" numFmtId="0" xfId="0" applyAlignment="1" applyBorder="1" applyFill="1" applyFont="1">
      <alignment readingOrder="0"/>
    </xf>
    <xf borderId="0" fillId="10" fontId="6" numFmtId="0" xfId="0" applyAlignment="1" applyFill="1" applyFont="1">
      <alignment readingOrder="0"/>
    </xf>
    <xf borderId="10" fillId="10" fontId="6" numFmtId="0" xfId="0" applyBorder="1" applyFill="1" applyFont="1"/>
    <xf borderId="0" fillId="10" fontId="6" numFmtId="0" xfId="0" applyFill="1" applyFont="1"/>
    <xf borderId="12" fillId="10" fontId="6" numFmtId="165" xfId="0" applyBorder="1" applyFill="1" applyFont="1" applyNumberFormat="1"/>
    <xf borderId="9" fillId="10" fontId="6" numFmtId="165" xfId="0" applyBorder="1" applyFill="1" applyFont="1" applyNumberFormat="1"/>
    <xf borderId="13" fillId="10" fontId="6" numFmtId="0" xfId="0" applyAlignment="1" applyBorder="1" applyFill="1" applyFont="1">
      <alignment horizontal="right" readingOrder="0"/>
    </xf>
    <xf borderId="13" fillId="10" fontId="6" numFmtId="14" xfId="0" applyBorder="1" applyFill="1" applyFont="1" applyNumberFormat="1"/>
    <xf borderId="13" fillId="10" fontId="6" numFmtId="0" xfId="0" applyBorder="1" applyFill="1" applyFont="1"/>
    <xf borderId="11" fillId="10" fontId="6" numFmtId="0" xfId="0" applyAlignment="1" applyBorder="1" applyFill="1" applyFont="1">
      <alignment readingOrder="0"/>
    </xf>
    <xf borderId="10" fillId="10" fontId="6" numFmtId="165" xfId="0" applyBorder="1" applyFill="1" applyFont="1" applyNumberFormat="1"/>
    <xf borderId="11" fillId="10" fontId="6" numFmtId="165" xfId="0" applyBorder="1" applyFill="1" applyFont="1" applyNumberFormat="1"/>
    <xf borderId="14" fillId="10" fontId="6" numFmtId="0" xfId="0" applyAlignment="1" applyBorder="1" applyFill="1" applyFont="1">
      <alignment horizontal="right" readingOrder="0"/>
    </xf>
    <xf borderId="14" fillId="10" fontId="6" numFmtId="14" xfId="0" applyBorder="1" applyFill="1" applyFont="1" applyNumberFormat="1"/>
    <xf borderId="14" fillId="10" fontId="6" numFmtId="0" xfId="0" applyBorder="1" applyFill="1" applyFont="1"/>
    <xf borderId="15" fillId="10" fontId="6" numFmtId="0" xfId="0" applyAlignment="1" applyBorder="1" applyFill="1" applyFont="1">
      <alignment readingOrder="0"/>
    </xf>
    <xf borderId="16" fillId="10" fontId="6" numFmtId="0" xfId="0" applyAlignment="1" applyBorder="1" applyFill="1" applyFont="1">
      <alignment readingOrder="0"/>
    </xf>
    <xf borderId="17" fillId="10" fontId="6" numFmtId="0" xfId="0" applyAlignment="1" applyBorder="1" applyFill="1" applyFont="1">
      <alignment readingOrder="0"/>
    </xf>
    <xf borderId="16" fillId="10" fontId="6" numFmtId="0" xfId="0" applyBorder="1" applyFill="1" applyFont="1"/>
    <xf borderId="17" fillId="10" fontId="6" numFmtId="0" xfId="0" applyBorder="1" applyFill="1" applyFont="1"/>
    <xf borderId="16" fillId="10" fontId="6" numFmtId="165" xfId="0" applyBorder="1" applyFill="1" applyFont="1" applyNumberFormat="1"/>
    <xf borderId="15" fillId="10" fontId="6" numFmtId="165" xfId="0" applyBorder="1" applyFill="1" applyFont="1" applyNumberFormat="1"/>
    <xf borderId="9" fillId="5" fontId="6" numFmtId="0" xfId="0" applyBorder="1" applyFill="1" applyFont="1"/>
    <xf borderId="11" fillId="5" fontId="6" numFmtId="0" xfId="0" applyBorder="1" applyFill="1" applyFont="1"/>
    <xf borderId="15" fillId="5" fontId="6" numFmtId="0" xfId="0" applyBorder="1" applyFill="1" applyFont="1"/>
    <xf borderId="0" fillId="0" fontId="5" numFmtId="14" xfId="0" applyAlignment="1" applyFont="1" applyNumberFormat="1">
      <alignment horizontal="right"/>
    </xf>
    <xf borderId="0" fillId="0" fontId="5" numFmtId="14" xfId="0" applyFont="1" applyNumberFormat="1"/>
    <xf borderId="0" fillId="0" fontId="6" numFmtId="0" xfId="0" applyFont="1"/>
    <xf borderId="0" fillId="0" fontId="7" numFmtId="0" xfId="0" applyFont="1"/>
    <xf borderId="0" fillId="0" fontId="5" numFmtId="165" xfId="0" applyFont="1" applyNumberFormat="1"/>
    <xf borderId="0" fillId="0" fontId="5" numFmtId="3" xfId="0" applyFont="1" applyNumberFormat="1"/>
    <xf borderId="0" fillId="0" fontId="7" numFmtId="0" xfId="0" applyAlignment="1" applyFont="1">
      <alignment readingOrder="0"/>
    </xf>
    <xf borderId="0" fillId="0" fontId="7" numFmtId="10" xfId="0" applyAlignment="1" applyFont="1" applyNumberFormat="1">
      <alignment readingOrder="0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min="30" max="30" width="10.78"/>
    <col customWidth="1" min="31" max="32" width="8.0"/>
    <col customWidth="1" min="33" max="33" width="11.44"/>
    <col customWidth="1" min="34" max="34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7"/>
      <c r="AF1" s="7"/>
      <c r="AG1" s="7"/>
      <c r="AH1" s="8"/>
    </row>
    <row r="2" ht="130.5" customHeight="1">
      <c r="A2" s="9" t="s">
        <v>4</v>
      </c>
      <c r="B2" s="10" t="s">
        <v>5</v>
      </c>
      <c r="C2" s="10" t="s">
        <v>6</v>
      </c>
      <c r="D2" s="10" t="s">
        <v>7</v>
      </c>
      <c r="E2" s="11" t="s">
        <v>8</v>
      </c>
      <c r="F2" s="12" t="s">
        <v>9</v>
      </c>
      <c r="G2" s="13">
        <v>26.31</v>
      </c>
      <c r="H2" s="12" t="s">
        <v>10</v>
      </c>
      <c r="I2" s="13">
        <v>26.31</v>
      </c>
      <c r="J2" s="14" t="s">
        <v>11</v>
      </c>
      <c r="K2" s="13">
        <v>26.31</v>
      </c>
      <c r="L2" s="14" t="s">
        <v>12</v>
      </c>
      <c r="M2" s="13">
        <v>26.31</v>
      </c>
      <c r="N2" s="14" t="s">
        <v>13</v>
      </c>
      <c r="O2" s="13">
        <v>0.0</v>
      </c>
      <c r="P2" s="14" t="s">
        <v>14</v>
      </c>
      <c r="Q2" s="13">
        <v>0.0</v>
      </c>
      <c r="R2" s="13" t="s">
        <v>15</v>
      </c>
      <c r="S2" s="13">
        <v>0.0</v>
      </c>
      <c r="T2" s="13" t="s">
        <v>15</v>
      </c>
      <c r="U2" s="13">
        <v>0.0</v>
      </c>
      <c r="V2" s="13" t="s">
        <v>15</v>
      </c>
      <c r="W2" s="13">
        <v>0.0</v>
      </c>
      <c r="X2" s="13" t="s">
        <v>15</v>
      </c>
      <c r="Y2" s="13">
        <v>0.0</v>
      </c>
      <c r="Z2" s="13" t="s">
        <v>15</v>
      </c>
      <c r="AA2" s="13">
        <v>0.0</v>
      </c>
      <c r="AB2" s="13" t="s">
        <v>15</v>
      </c>
      <c r="AC2" s="13">
        <v>0.0</v>
      </c>
      <c r="AD2" s="15" t="s">
        <v>16</v>
      </c>
      <c r="AE2" s="15" t="s">
        <v>17</v>
      </c>
      <c r="AF2" s="15" t="s">
        <v>18</v>
      </c>
      <c r="AG2" s="15" t="s">
        <v>19</v>
      </c>
      <c r="AH2" s="15" t="s">
        <v>20</v>
      </c>
    </row>
    <row r="3" ht="15.75" customHeight="1">
      <c r="A3" s="16" t="s">
        <v>21</v>
      </c>
      <c r="B3" s="17">
        <v>45656.0</v>
      </c>
      <c r="C3" s="18">
        <v>1.0</v>
      </c>
      <c r="D3" s="18" t="s">
        <v>22</v>
      </c>
      <c r="E3" s="19"/>
      <c r="F3" s="20"/>
      <c r="H3" s="21"/>
      <c r="J3" s="21"/>
      <c r="L3" s="21"/>
      <c r="N3" s="21"/>
      <c r="P3" s="21"/>
      <c r="Q3" s="22"/>
      <c r="R3" s="20"/>
      <c r="T3" s="21"/>
      <c r="V3" s="21"/>
      <c r="X3" s="21"/>
      <c r="Z3" s="21"/>
      <c r="AB3" s="21"/>
      <c r="AC3" s="22"/>
      <c r="AD3" s="23">
        <f t="shared" ref="AD3:AD359" si="1">(F3*G$2)+(H3*I$2)+(J3*K$2)+(L3*M$2)+(N3*O$2)+(P3*Q$2)+(R3*S$2)+(T3*U$2)+(V3*W$2)+(X3*Y$2)+(Z3*AA$2)+(AB3*AC$2)</f>
        <v>0</v>
      </c>
      <c r="AE3" s="18">
        <f t="shared" ref="AE3:AE359" si="2">sum(F3:M3)</f>
        <v>0</v>
      </c>
      <c r="AF3" s="18">
        <f t="shared" ref="AF3:AF359" si="3">sum(N3:Q3)</f>
        <v>0</v>
      </c>
      <c r="AG3" s="18">
        <f t="shared" ref="AG3:AG359" si="4">sum(F3:AC3)</f>
        <v>0</v>
      </c>
      <c r="AH3" s="24" t="str">
        <f t="shared" ref="AH3:AH359" si="5">iferror(AD3/AG3,"")</f>
        <v/>
      </c>
    </row>
    <row r="4" ht="15.75" customHeight="1">
      <c r="A4" s="25" t="s">
        <v>23</v>
      </c>
      <c r="B4" s="26">
        <f t="shared" ref="B4:B359" si="6">B3+1</f>
        <v>45657</v>
      </c>
      <c r="C4" s="27">
        <v>1.0</v>
      </c>
      <c r="D4" s="27" t="s">
        <v>22</v>
      </c>
      <c r="E4" s="28"/>
      <c r="F4" s="20"/>
      <c r="H4" s="21"/>
      <c r="J4" s="21"/>
      <c r="L4" s="21"/>
      <c r="N4" s="21"/>
      <c r="P4" s="21"/>
      <c r="Q4" s="22"/>
      <c r="R4" s="20"/>
      <c r="T4" s="21"/>
      <c r="V4" s="21"/>
      <c r="X4" s="21"/>
      <c r="Z4" s="21"/>
      <c r="AB4" s="21"/>
      <c r="AC4" s="22"/>
      <c r="AD4" s="29">
        <f t="shared" si="1"/>
        <v>0</v>
      </c>
      <c r="AE4" s="27">
        <f t="shared" si="2"/>
        <v>0</v>
      </c>
      <c r="AF4" s="27">
        <f t="shared" si="3"/>
        <v>0</v>
      </c>
      <c r="AG4" s="27">
        <f t="shared" si="4"/>
        <v>0</v>
      </c>
      <c r="AH4" s="24" t="str">
        <f t="shared" si="5"/>
        <v/>
      </c>
    </row>
    <row r="5" ht="15.75" customHeight="1">
      <c r="A5" s="25" t="s">
        <v>24</v>
      </c>
      <c r="B5" s="26">
        <f t="shared" si="6"/>
        <v>45658</v>
      </c>
      <c r="C5" s="27">
        <v>1.0</v>
      </c>
      <c r="D5" s="27" t="s">
        <v>22</v>
      </c>
      <c r="E5" s="28"/>
      <c r="F5" s="20"/>
      <c r="H5" s="21"/>
      <c r="J5" s="21"/>
      <c r="L5" s="21"/>
      <c r="N5" s="21"/>
      <c r="P5" s="21"/>
      <c r="Q5" s="22"/>
      <c r="R5" s="20"/>
      <c r="T5" s="21"/>
      <c r="V5" s="21"/>
      <c r="X5" s="21"/>
      <c r="Z5" s="21"/>
      <c r="AB5" s="21"/>
      <c r="AC5" s="22"/>
      <c r="AD5" s="29">
        <f t="shared" si="1"/>
        <v>0</v>
      </c>
      <c r="AE5" s="27">
        <f t="shared" si="2"/>
        <v>0</v>
      </c>
      <c r="AF5" s="27">
        <f t="shared" si="3"/>
        <v>0</v>
      </c>
      <c r="AG5" s="27">
        <f t="shared" si="4"/>
        <v>0</v>
      </c>
      <c r="AH5" s="24" t="str">
        <f t="shared" si="5"/>
        <v/>
      </c>
    </row>
    <row r="6" ht="15.75" customHeight="1">
      <c r="A6" s="25" t="s">
        <v>25</v>
      </c>
      <c r="B6" s="26">
        <f t="shared" si="6"/>
        <v>45659</v>
      </c>
      <c r="C6" s="27">
        <v>1.0</v>
      </c>
      <c r="D6" s="27" t="s">
        <v>22</v>
      </c>
      <c r="E6" s="28"/>
      <c r="F6" s="20"/>
      <c r="H6" s="21"/>
      <c r="J6" s="21"/>
      <c r="L6" s="21"/>
      <c r="N6" s="21"/>
      <c r="P6" s="21"/>
      <c r="Q6" s="22"/>
      <c r="R6" s="20"/>
      <c r="T6" s="21"/>
      <c r="V6" s="21"/>
      <c r="X6" s="21"/>
      <c r="Z6" s="21"/>
      <c r="AB6" s="21"/>
      <c r="AC6" s="22"/>
      <c r="AD6" s="29">
        <f t="shared" si="1"/>
        <v>0</v>
      </c>
      <c r="AE6" s="27">
        <f t="shared" si="2"/>
        <v>0</v>
      </c>
      <c r="AF6" s="27">
        <f t="shared" si="3"/>
        <v>0</v>
      </c>
      <c r="AG6" s="27">
        <f t="shared" si="4"/>
        <v>0</v>
      </c>
      <c r="AH6" s="24" t="str">
        <f t="shared" si="5"/>
        <v/>
      </c>
    </row>
    <row r="7" ht="15.75" customHeight="1">
      <c r="A7" s="25" t="s">
        <v>26</v>
      </c>
      <c r="B7" s="26">
        <f t="shared" si="6"/>
        <v>45660</v>
      </c>
      <c r="C7" s="27">
        <v>1.0</v>
      </c>
      <c r="D7" s="27" t="s">
        <v>22</v>
      </c>
      <c r="E7" s="28"/>
      <c r="F7" s="20"/>
      <c r="H7" s="21"/>
      <c r="J7" s="21"/>
      <c r="L7" s="21"/>
      <c r="N7" s="21"/>
      <c r="P7" s="21"/>
      <c r="Q7" s="22"/>
      <c r="R7" s="20"/>
      <c r="T7" s="21"/>
      <c r="V7" s="21"/>
      <c r="X7" s="21"/>
      <c r="Z7" s="21"/>
      <c r="AB7" s="21"/>
      <c r="AC7" s="22"/>
      <c r="AD7" s="29">
        <f t="shared" si="1"/>
        <v>0</v>
      </c>
      <c r="AE7" s="27">
        <f t="shared" si="2"/>
        <v>0</v>
      </c>
      <c r="AF7" s="27">
        <f t="shared" si="3"/>
        <v>0</v>
      </c>
      <c r="AG7" s="27">
        <f t="shared" si="4"/>
        <v>0</v>
      </c>
      <c r="AH7" s="24" t="str">
        <f t="shared" si="5"/>
        <v/>
      </c>
    </row>
    <row r="8" ht="15.75" customHeight="1">
      <c r="A8" s="25" t="s">
        <v>27</v>
      </c>
      <c r="B8" s="26">
        <f t="shared" si="6"/>
        <v>45661</v>
      </c>
      <c r="C8" s="27">
        <v>1.0</v>
      </c>
      <c r="D8" s="27" t="s">
        <v>22</v>
      </c>
      <c r="E8" s="28"/>
      <c r="F8" s="20"/>
      <c r="H8" s="21"/>
      <c r="J8" s="21"/>
      <c r="L8" s="21"/>
      <c r="N8" s="21"/>
      <c r="P8" s="21"/>
      <c r="Q8" s="22"/>
      <c r="R8" s="20"/>
      <c r="T8" s="21"/>
      <c r="V8" s="21"/>
      <c r="X8" s="21"/>
      <c r="Z8" s="21"/>
      <c r="AB8" s="21"/>
      <c r="AC8" s="22"/>
      <c r="AD8" s="29">
        <f t="shared" si="1"/>
        <v>0</v>
      </c>
      <c r="AE8" s="27">
        <f t="shared" si="2"/>
        <v>0</v>
      </c>
      <c r="AF8" s="27">
        <f t="shared" si="3"/>
        <v>0</v>
      </c>
      <c r="AG8" s="27">
        <f t="shared" si="4"/>
        <v>0</v>
      </c>
      <c r="AH8" s="24" t="str">
        <f t="shared" si="5"/>
        <v/>
      </c>
    </row>
    <row r="9" ht="15.75" customHeight="1">
      <c r="A9" s="30" t="s">
        <v>28</v>
      </c>
      <c r="B9" s="31">
        <f t="shared" si="6"/>
        <v>45662</v>
      </c>
      <c r="C9" s="32">
        <v>1.0</v>
      </c>
      <c r="D9" s="32" t="s">
        <v>22</v>
      </c>
      <c r="E9" s="33"/>
      <c r="F9" s="34"/>
      <c r="G9" s="35"/>
      <c r="H9" s="36"/>
      <c r="I9" s="35"/>
      <c r="J9" s="36"/>
      <c r="K9" s="35"/>
      <c r="L9" s="36"/>
      <c r="M9" s="35"/>
      <c r="N9" s="36"/>
      <c r="O9" s="35"/>
      <c r="P9" s="36"/>
      <c r="Q9" s="37"/>
      <c r="R9" s="34"/>
      <c r="S9" s="35"/>
      <c r="T9" s="36"/>
      <c r="U9" s="35"/>
      <c r="V9" s="36"/>
      <c r="W9" s="35"/>
      <c r="X9" s="36"/>
      <c r="Y9" s="35"/>
      <c r="Z9" s="36"/>
      <c r="AA9" s="35"/>
      <c r="AB9" s="36"/>
      <c r="AC9" s="37"/>
      <c r="AD9" s="38">
        <f t="shared" si="1"/>
        <v>0</v>
      </c>
      <c r="AE9" s="32">
        <f t="shared" si="2"/>
        <v>0</v>
      </c>
      <c r="AF9" s="32">
        <f t="shared" si="3"/>
        <v>0</v>
      </c>
      <c r="AG9" s="32">
        <f t="shared" si="4"/>
        <v>0</v>
      </c>
      <c r="AH9" s="39" t="str">
        <f t="shared" si="5"/>
        <v/>
      </c>
    </row>
    <row r="10" ht="15.75" customHeight="1">
      <c r="A10" s="16" t="s">
        <v>21</v>
      </c>
      <c r="B10" s="40">
        <f t="shared" si="6"/>
        <v>45663</v>
      </c>
      <c r="C10" s="18">
        <v>1.0</v>
      </c>
      <c r="D10" s="18" t="s">
        <v>29</v>
      </c>
      <c r="E10" s="19"/>
      <c r="F10" s="20"/>
      <c r="H10" s="21"/>
      <c r="J10" s="21"/>
      <c r="L10" s="21"/>
      <c r="N10" s="21"/>
      <c r="P10" s="21"/>
      <c r="Q10" s="22"/>
      <c r="R10" s="20"/>
      <c r="T10" s="21"/>
      <c r="V10" s="21"/>
      <c r="X10" s="21"/>
      <c r="Z10" s="21"/>
      <c r="AB10" s="21"/>
      <c r="AC10" s="22"/>
      <c r="AD10" s="23">
        <f t="shared" si="1"/>
        <v>0</v>
      </c>
      <c r="AE10" s="18">
        <f t="shared" si="2"/>
        <v>0</v>
      </c>
      <c r="AF10" s="18">
        <f t="shared" si="3"/>
        <v>0</v>
      </c>
      <c r="AG10" s="18">
        <f t="shared" si="4"/>
        <v>0</v>
      </c>
      <c r="AH10" s="41" t="str">
        <f t="shared" si="5"/>
        <v/>
      </c>
    </row>
    <row r="11" ht="15.75" customHeight="1">
      <c r="A11" s="25" t="s">
        <v>23</v>
      </c>
      <c r="B11" s="26">
        <f t="shared" si="6"/>
        <v>45664</v>
      </c>
      <c r="C11" s="27">
        <v>1.0</v>
      </c>
      <c r="D11" s="27" t="s">
        <v>29</v>
      </c>
      <c r="E11" s="28"/>
      <c r="F11" s="20"/>
      <c r="H11" s="21"/>
      <c r="J11" s="21"/>
      <c r="L11" s="21"/>
      <c r="N11" s="21"/>
      <c r="P11" s="21"/>
      <c r="Q11" s="22"/>
      <c r="R11" s="20"/>
      <c r="T11" s="21"/>
      <c r="V11" s="21"/>
      <c r="X11" s="21"/>
      <c r="Z11" s="21"/>
      <c r="AB11" s="21"/>
      <c r="AC11" s="22"/>
      <c r="AD11" s="29">
        <f t="shared" si="1"/>
        <v>0</v>
      </c>
      <c r="AE11" s="27">
        <f t="shared" si="2"/>
        <v>0</v>
      </c>
      <c r="AF11" s="27">
        <f t="shared" si="3"/>
        <v>0</v>
      </c>
      <c r="AG11" s="27">
        <f t="shared" si="4"/>
        <v>0</v>
      </c>
      <c r="AH11" s="24" t="str">
        <f t="shared" si="5"/>
        <v/>
      </c>
    </row>
    <row r="12" ht="15.75" customHeight="1">
      <c r="A12" s="25" t="s">
        <v>24</v>
      </c>
      <c r="B12" s="26">
        <f t="shared" si="6"/>
        <v>45665</v>
      </c>
      <c r="C12" s="27">
        <v>1.0</v>
      </c>
      <c r="D12" s="27" t="s">
        <v>29</v>
      </c>
      <c r="E12" s="28"/>
      <c r="F12" s="20"/>
      <c r="H12" s="21"/>
      <c r="J12" s="21"/>
      <c r="L12" s="21"/>
      <c r="N12" s="21"/>
      <c r="P12" s="21"/>
      <c r="Q12" s="22"/>
      <c r="R12" s="20"/>
      <c r="T12" s="21"/>
      <c r="V12" s="21"/>
      <c r="X12" s="21"/>
      <c r="Z12" s="21"/>
      <c r="AB12" s="21"/>
      <c r="AC12" s="22"/>
      <c r="AD12" s="29">
        <f t="shared" si="1"/>
        <v>0</v>
      </c>
      <c r="AE12" s="27">
        <f t="shared" si="2"/>
        <v>0</v>
      </c>
      <c r="AF12" s="27">
        <f t="shared" si="3"/>
        <v>0</v>
      </c>
      <c r="AG12" s="27">
        <f t="shared" si="4"/>
        <v>0</v>
      </c>
      <c r="AH12" s="24" t="str">
        <f t="shared" si="5"/>
        <v/>
      </c>
    </row>
    <row r="13" ht="15.75" customHeight="1">
      <c r="A13" s="25" t="s">
        <v>25</v>
      </c>
      <c r="B13" s="26">
        <f t="shared" si="6"/>
        <v>45666</v>
      </c>
      <c r="C13" s="27">
        <v>1.0</v>
      </c>
      <c r="D13" s="27" t="s">
        <v>29</v>
      </c>
      <c r="E13" s="28"/>
      <c r="F13" s="20"/>
      <c r="H13" s="21"/>
      <c r="J13" s="21"/>
      <c r="L13" s="21"/>
      <c r="N13" s="21"/>
      <c r="P13" s="21"/>
      <c r="Q13" s="22"/>
      <c r="R13" s="20"/>
      <c r="T13" s="21"/>
      <c r="V13" s="21"/>
      <c r="X13" s="21"/>
      <c r="Z13" s="21"/>
      <c r="AB13" s="21"/>
      <c r="AC13" s="22"/>
      <c r="AD13" s="29">
        <f t="shared" si="1"/>
        <v>0</v>
      </c>
      <c r="AE13" s="27">
        <f t="shared" si="2"/>
        <v>0</v>
      </c>
      <c r="AF13" s="27">
        <f t="shared" si="3"/>
        <v>0</v>
      </c>
      <c r="AG13" s="27">
        <f t="shared" si="4"/>
        <v>0</v>
      </c>
      <c r="AH13" s="24" t="str">
        <f t="shared" si="5"/>
        <v/>
      </c>
    </row>
    <row r="14" ht="15.75" customHeight="1">
      <c r="A14" s="25" t="s">
        <v>26</v>
      </c>
      <c r="B14" s="26">
        <f t="shared" si="6"/>
        <v>45667</v>
      </c>
      <c r="C14" s="27">
        <v>1.0</v>
      </c>
      <c r="D14" s="27" t="s">
        <v>29</v>
      </c>
      <c r="E14" s="28"/>
      <c r="F14" s="20"/>
      <c r="H14" s="21"/>
      <c r="J14" s="21"/>
      <c r="L14" s="21"/>
      <c r="N14" s="21"/>
      <c r="P14" s="21"/>
      <c r="Q14" s="22"/>
      <c r="R14" s="20"/>
      <c r="T14" s="21"/>
      <c r="V14" s="21"/>
      <c r="X14" s="21"/>
      <c r="Z14" s="21"/>
      <c r="AB14" s="21"/>
      <c r="AC14" s="22"/>
      <c r="AD14" s="29">
        <f t="shared" si="1"/>
        <v>0</v>
      </c>
      <c r="AE14" s="27">
        <f t="shared" si="2"/>
        <v>0</v>
      </c>
      <c r="AF14" s="27">
        <f t="shared" si="3"/>
        <v>0</v>
      </c>
      <c r="AG14" s="27">
        <f t="shared" si="4"/>
        <v>0</v>
      </c>
      <c r="AH14" s="24" t="str">
        <f t="shared" si="5"/>
        <v/>
      </c>
    </row>
    <row r="15" ht="15.75" customHeight="1">
      <c r="A15" s="25" t="s">
        <v>27</v>
      </c>
      <c r="B15" s="26">
        <f t="shared" si="6"/>
        <v>45668</v>
      </c>
      <c r="C15" s="27">
        <v>1.0</v>
      </c>
      <c r="D15" s="27" t="s">
        <v>29</v>
      </c>
      <c r="E15" s="28"/>
      <c r="F15" s="20"/>
      <c r="H15" s="21"/>
      <c r="J15" s="21"/>
      <c r="L15" s="21"/>
      <c r="N15" s="21"/>
      <c r="P15" s="21"/>
      <c r="Q15" s="22"/>
      <c r="R15" s="20"/>
      <c r="T15" s="21"/>
      <c r="V15" s="21"/>
      <c r="X15" s="21"/>
      <c r="Z15" s="21"/>
      <c r="AB15" s="21"/>
      <c r="AC15" s="22"/>
      <c r="AD15" s="29">
        <f t="shared" si="1"/>
        <v>0</v>
      </c>
      <c r="AE15" s="27">
        <f t="shared" si="2"/>
        <v>0</v>
      </c>
      <c r="AF15" s="27">
        <f t="shared" si="3"/>
        <v>0</v>
      </c>
      <c r="AG15" s="27">
        <f t="shared" si="4"/>
        <v>0</v>
      </c>
      <c r="AH15" s="24" t="str">
        <f t="shared" si="5"/>
        <v/>
      </c>
    </row>
    <row r="16" ht="15.75" customHeight="1">
      <c r="A16" s="30" t="s">
        <v>28</v>
      </c>
      <c r="B16" s="31">
        <f t="shared" si="6"/>
        <v>45669</v>
      </c>
      <c r="C16" s="32">
        <v>1.0</v>
      </c>
      <c r="D16" s="32" t="s">
        <v>29</v>
      </c>
      <c r="E16" s="33"/>
      <c r="F16" s="34"/>
      <c r="G16" s="35"/>
      <c r="H16" s="36"/>
      <c r="I16" s="35"/>
      <c r="J16" s="36"/>
      <c r="K16" s="35"/>
      <c r="L16" s="36"/>
      <c r="M16" s="35"/>
      <c r="N16" s="36"/>
      <c r="O16" s="35"/>
      <c r="P16" s="36"/>
      <c r="Q16" s="37"/>
      <c r="R16" s="34"/>
      <c r="S16" s="35"/>
      <c r="T16" s="36"/>
      <c r="U16" s="35"/>
      <c r="V16" s="36"/>
      <c r="W16" s="35"/>
      <c r="X16" s="36"/>
      <c r="Y16" s="35"/>
      <c r="Z16" s="36"/>
      <c r="AA16" s="35"/>
      <c r="AB16" s="36"/>
      <c r="AC16" s="37"/>
      <c r="AD16" s="38">
        <f t="shared" si="1"/>
        <v>0</v>
      </c>
      <c r="AE16" s="32">
        <f t="shared" si="2"/>
        <v>0</v>
      </c>
      <c r="AF16" s="32">
        <f t="shared" si="3"/>
        <v>0</v>
      </c>
      <c r="AG16" s="32">
        <f t="shared" si="4"/>
        <v>0</v>
      </c>
      <c r="AH16" s="39" t="str">
        <f t="shared" si="5"/>
        <v/>
      </c>
    </row>
    <row r="17" ht="15.75" customHeight="1">
      <c r="A17" s="16" t="s">
        <v>21</v>
      </c>
      <c r="B17" s="40">
        <f t="shared" si="6"/>
        <v>45670</v>
      </c>
      <c r="C17" s="18">
        <v>1.0</v>
      </c>
      <c r="D17" s="18" t="s">
        <v>30</v>
      </c>
      <c r="E17" s="19"/>
      <c r="F17" s="20"/>
      <c r="H17" s="21"/>
      <c r="J17" s="21"/>
      <c r="L17" s="21"/>
      <c r="N17" s="21"/>
      <c r="P17" s="21"/>
      <c r="Q17" s="22"/>
      <c r="R17" s="20"/>
      <c r="T17" s="21"/>
      <c r="V17" s="21"/>
      <c r="X17" s="21"/>
      <c r="Z17" s="21"/>
      <c r="AB17" s="21"/>
      <c r="AC17" s="22"/>
      <c r="AD17" s="23">
        <f t="shared" si="1"/>
        <v>0</v>
      </c>
      <c r="AE17" s="18">
        <f t="shared" si="2"/>
        <v>0</v>
      </c>
      <c r="AF17" s="18">
        <f t="shared" si="3"/>
        <v>0</v>
      </c>
      <c r="AG17" s="18">
        <f t="shared" si="4"/>
        <v>0</v>
      </c>
      <c r="AH17" s="41" t="str">
        <f t="shared" si="5"/>
        <v/>
      </c>
    </row>
    <row r="18" ht="15.75" customHeight="1">
      <c r="A18" s="25" t="s">
        <v>23</v>
      </c>
      <c r="B18" s="26">
        <f t="shared" si="6"/>
        <v>45671</v>
      </c>
      <c r="C18" s="27">
        <v>1.0</v>
      </c>
      <c r="D18" s="27" t="s">
        <v>30</v>
      </c>
      <c r="E18" s="28"/>
      <c r="F18" s="20"/>
      <c r="H18" s="21"/>
      <c r="J18" s="21"/>
      <c r="L18" s="21"/>
      <c r="N18" s="21"/>
      <c r="P18" s="21"/>
      <c r="Q18" s="22"/>
      <c r="R18" s="20"/>
      <c r="T18" s="21"/>
      <c r="V18" s="21"/>
      <c r="X18" s="21"/>
      <c r="Z18" s="21"/>
      <c r="AB18" s="21"/>
      <c r="AC18" s="22"/>
      <c r="AD18" s="29">
        <f t="shared" si="1"/>
        <v>0</v>
      </c>
      <c r="AE18" s="27">
        <f t="shared" si="2"/>
        <v>0</v>
      </c>
      <c r="AF18" s="27">
        <f t="shared" si="3"/>
        <v>0</v>
      </c>
      <c r="AG18" s="27">
        <f t="shared" si="4"/>
        <v>0</v>
      </c>
      <c r="AH18" s="24" t="str">
        <f t="shared" si="5"/>
        <v/>
      </c>
    </row>
    <row r="19" ht="15.75" customHeight="1">
      <c r="A19" s="25" t="s">
        <v>24</v>
      </c>
      <c r="B19" s="26">
        <f t="shared" si="6"/>
        <v>45672</v>
      </c>
      <c r="C19" s="27">
        <v>1.0</v>
      </c>
      <c r="D19" s="27" t="s">
        <v>30</v>
      </c>
      <c r="E19" s="28"/>
      <c r="F19" s="20"/>
      <c r="H19" s="21"/>
      <c r="J19" s="21"/>
      <c r="L19" s="21"/>
      <c r="N19" s="21"/>
      <c r="P19" s="21"/>
      <c r="Q19" s="22"/>
      <c r="R19" s="20"/>
      <c r="T19" s="21"/>
      <c r="V19" s="21"/>
      <c r="X19" s="21"/>
      <c r="Z19" s="21"/>
      <c r="AB19" s="21"/>
      <c r="AC19" s="22"/>
      <c r="AD19" s="29">
        <f t="shared" si="1"/>
        <v>0</v>
      </c>
      <c r="AE19" s="27">
        <f t="shared" si="2"/>
        <v>0</v>
      </c>
      <c r="AF19" s="27">
        <f t="shared" si="3"/>
        <v>0</v>
      </c>
      <c r="AG19" s="27">
        <f t="shared" si="4"/>
        <v>0</v>
      </c>
      <c r="AH19" s="24" t="str">
        <f t="shared" si="5"/>
        <v/>
      </c>
    </row>
    <row r="20" ht="15.75" customHeight="1">
      <c r="A20" s="25" t="s">
        <v>25</v>
      </c>
      <c r="B20" s="26">
        <f t="shared" si="6"/>
        <v>45673</v>
      </c>
      <c r="C20" s="27">
        <v>1.0</v>
      </c>
      <c r="D20" s="27" t="s">
        <v>30</v>
      </c>
      <c r="E20" s="28"/>
      <c r="F20" s="20"/>
      <c r="H20" s="21"/>
      <c r="J20" s="21"/>
      <c r="L20" s="21"/>
      <c r="N20" s="21"/>
      <c r="P20" s="21"/>
      <c r="Q20" s="22"/>
      <c r="R20" s="20"/>
      <c r="T20" s="21"/>
      <c r="V20" s="21"/>
      <c r="X20" s="21"/>
      <c r="Z20" s="21"/>
      <c r="AB20" s="21"/>
      <c r="AC20" s="22"/>
      <c r="AD20" s="29">
        <f t="shared" si="1"/>
        <v>0</v>
      </c>
      <c r="AE20" s="27">
        <f t="shared" si="2"/>
        <v>0</v>
      </c>
      <c r="AF20" s="27">
        <f t="shared" si="3"/>
        <v>0</v>
      </c>
      <c r="AG20" s="27">
        <f t="shared" si="4"/>
        <v>0</v>
      </c>
      <c r="AH20" s="24" t="str">
        <f t="shared" si="5"/>
        <v/>
      </c>
    </row>
    <row r="21" ht="15.75" customHeight="1">
      <c r="A21" s="25" t="s">
        <v>26</v>
      </c>
      <c r="B21" s="26">
        <f t="shared" si="6"/>
        <v>45674</v>
      </c>
      <c r="C21" s="27">
        <v>1.0</v>
      </c>
      <c r="D21" s="27" t="s">
        <v>30</v>
      </c>
      <c r="E21" s="28"/>
      <c r="F21" s="20"/>
      <c r="H21" s="21"/>
      <c r="J21" s="21"/>
      <c r="L21" s="21"/>
      <c r="N21" s="21"/>
      <c r="P21" s="21"/>
      <c r="Q21" s="22"/>
      <c r="R21" s="20"/>
      <c r="T21" s="21"/>
      <c r="V21" s="21"/>
      <c r="X21" s="21"/>
      <c r="Z21" s="21"/>
      <c r="AB21" s="21"/>
      <c r="AC21" s="22"/>
      <c r="AD21" s="29">
        <f t="shared" si="1"/>
        <v>0</v>
      </c>
      <c r="AE21" s="27">
        <f t="shared" si="2"/>
        <v>0</v>
      </c>
      <c r="AF21" s="27">
        <f t="shared" si="3"/>
        <v>0</v>
      </c>
      <c r="AG21" s="27">
        <f t="shared" si="4"/>
        <v>0</v>
      </c>
      <c r="AH21" s="24" t="str">
        <f t="shared" si="5"/>
        <v/>
      </c>
    </row>
    <row r="22" ht="15.75" customHeight="1">
      <c r="A22" s="25" t="s">
        <v>27</v>
      </c>
      <c r="B22" s="26">
        <f t="shared" si="6"/>
        <v>45675</v>
      </c>
      <c r="C22" s="27">
        <v>1.0</v>
      </c>
      <c r="D22" s="27" t="s">
        <v>30</v>
      </c>
      <c r="E22" s="28"/>
      <c r="F22" s="20"/>
      <c r="H22" s="21"/>
      <c r="J22" s="21"/>
      <c r="L22" s="21"/>
      <c r="N22" s="21"/>
      <c r="P22" s="21"/>
      <c r="Q22" s="22"/>
      <c r="R22" s="20"/>
      <c r="T22" s="21"/>
      <c r="V22" s="21"/>
      <c r="X22" s="21"/>
      <c r="Z22" s="21"/>
      <c r="AB22" s="21"/>
      <c r="AC22" s="22"/>
      <c r="AD22" s="29">
        <f t="shared" si="1"/>
        <v>0</v>
      </c>
      <c r="AE22" s="27">
        <f t="shared" si="2"/>
        <v>0</v>
      </c>
      <c r="AF22" s="27">
        <f t="shared" si="3"/>
        <v>0</v>
      </c>
      <c r="AG22" s="27">
        <f t="shared" si="4"/>
        <v>0</v>
      </c>
      <c r="AH22" s="24" t="str">
        <f t="shared" si="5"/>
        <v/>
      </c>
    </row>
    <row r="23" ht="15.75" customHeight="1">
      <c r="A23" s="30" t="s">
        <v>28</v>
      </c>
      <c r="B23" s="31">
        <f t="shared" si="6"/>
        <v>45676</v>
      </c>
      <c r="C23" s="32">
        <v>1.0</v>
      </c>
      <c r="D23" s="32" t="s">
        <v>30</v>
      </c>
      <c r="E23" s="33"/>
      <c r="F23" s="34"/>
      <c r="G23" s="35"/>
      <c r="H23" s="36"/>
      <c r="I23" s="35"/>
      <c r="J23" s="36"/>
      <c r="K23" s="35"/>
      <c r="L23" s="36"/>
      <c r="M23" s="35"/>
      <c r="N23" s="36"/>
      <c r="O23" s="35"/>
      <c r="P23" s="36"/>
      <c r="Q23" s="37"/>
      <c r="R23" s="34"/>
      <c r="S23" s="35"/>
      <c r="T23" s="36"/>
      <c r="U23" s="35"/>
      <c r="V23" s="36"/>
      <c r="W23" s="35"/>
      <c r="X23" s="36"/>
      <c r="Y23" s="35"/>
      <c r="Z23" s="36"/>
      <c r="AA23" s="35"/>
      <c r="AB23" s="36"/>
      <c r="AC23" s="37"/>
      <c r="AD23" s="38">
        <f t="shared" si="1"/>
        <v>0</v>
      </c>
      <c r="AE23" s="32">
        <f t="shared" si="2"/>
        <v>0</v>
      </c>
      <c r="AF23" s="32">
        <f t="shared" si="3"/>
        <v>0</v>
      </c>
      <c r="AG23" s="32">
        <f t="shared" si="4"/>
        <v>0</v>
      </c>
      <c r="AH23" s="39" t="str">
        <f t="shared" si="5"/>
        <v/>
      </c>
    </row>
    <row r="24" ht="15.75" customHeight="1">
      <c r="A24" s="16" t="s">
        <v>21</v>
      </c>
      <c r="B24" s="40">
        <f t="shared" si="6"/>
        <v>45677</v>
      </c>
      <c r="C24" s="18">
        <v>1.0</v>
      </c>
      <c r="D24" s="18" t="s">
        <v>31</v>
      </c>
      <c r="E24" s="19"/>
      <c r="F24" s="20"/>
      <c r="H24" s="21"/>
      <c r="J24" s="21"/>
      <c r="L24" s="21"/>
      <c r="N24" s="21"/>
      <c r="P24" s="21"/>
      <c r="Q24" s="22"/>
      <c r="R24" s="20"/>
      <c r="T24" s="21"/>
      <c r="V24" s="21"/>
      <c r="X24" s="21"/>
      <c r="Z24" s="21"/>
      <c r="AB24" s="21"/>
      <c r="AC24" s="22"/>
      <c r="AD24" s="23">
        <f t="shared" si="1"/>
        <v>0</v>
      </c>
      <c r="AE24" s="18">
        <f t="shared" si="2"/>
        <v>0</v>
      </c>
      <c r="AF24" s="18">
        <f t="shared" si="3"/>
        <v>0</v>
      </c>
      <c r="AG24" s="18">
        <f t="shared" si="4"/>
        <v>0</v>
      </c>
      <c r="AH24" s="41" t="str">
        <f t="shared" si="5"/>
        <v/>
      </c>
    </row>
    <row r="25" ht="15.75" customHeight="1">
      <c r="A25" s="25" t="s">
        <v>23</v>
      </c>
      <c r="B25" s="26">
        <f t="shared" si="6"/>
        <v>45678</v>
      </c>
      <c r="C25" s="27">
        <v>1.0</v>
      </c>
      <c r="D25" s="27" t="s">
        <v>31</v>
      </c>
      <c r="E25" s="28"/>
      <c r="F25" s="20"/>
      <c r="H25" s="21"/>
      <c r="J25" s="21"/>
      <c r="L25" s="21"/>
      <c r="N25" s="21"/>
      <c r="P25" s="21"/>
      <c r="Q25" s="22"/>
      <c r="R25" s="20"/>
      <c r="T25" s="21"/>
      <c r="V25" s="21"/>
      <c r="X25" s="21"/>
      <c r="Z25" s="21"/>
      <c r="AB25" s="21"/>
      <c r="AC25" s="22"/>
      <c r="AD25" s="29">
        <f t="shared" si="1"/>
        <v>0</v>
      </c>
      <c r="AE25" s="27">
        <f t="shared" si="2"/>
        <v>0</v>
      </c>
      <c r="AF25" s="27">
        <f t="shared" si="3"/>
        <v>0</v>
      </c>
      <c r="AG25" s="27">
        <f t="shared" si="4"/>
        <v>0</v>
      </c>
      <c r="AH25" s="24" t="str">
        <f t="shared" si="5"/>
        <v/>
      </c>
    </row>
    <row r="26" ht="15.75" customHeight="1">
      <c r="A26" s="25" t="s">
        <v>24</v>
      </c>
      <c r="B26" s="26">
        <f t="shared" si="6"/>
        <v>45679</v>
      </c>
      <c r="C26" s="27">
        <v>1.0</v>
      </c>
      <c r="D26" s="27" t="s">
        <v>31</v>
      </c>
      <c r="E26" s="28"/>
      <c r="F26" s="20"/>
      <c r="H26" s="21"/>
      <c r="J26" s="21"/>
      <c r="L26" s="21"/>
      <c r="N26" s="21"/>
      <c r="P26" s="21"/>
      <c r="Q26" s="22"/>
      <c r="R26" s="20"/>
      <c r="T26" s="21"/>
      <c r="V26" s="21"/>
      <c r="X26" s="21"/>
      <c r="Z26" s="21"/>
      <c r="AB26" s="21"/>
      <c r="AC26" s="22"/>
      <c r="AD26" s="29">
        <f t="shared" si="1"/>
        <v>0</v>
      </c>
      <c r="AE26" s="27">
        <f t="shared" si="2"/>
        <v>0</v>
      </c>
      <c r="AF26" s="27">
        <f t="shared" si="3"/>
        <v>0</v>
      </c>
      <c r="AG26" s="27">
        <f t="shared" si="4"/>
        <v>0</v>
      </c>
      <c r="AH26" s="24" t="str">
        <f t="shared" si="5"/>
        <v/>
      </c>
    </row>
    <row r="27" ht="15.75" customHeight="1">
      <c r="A27" s="25" t="s">
        <v>25</v>
      </c>
      <c r="B27" s="26">
        <f t="shared" si="6"/>
        <v>45680</v>
      </c>
      <c r="C27" s="27">
        <v>1.0</v>
      </c>
      <c r="D27" s="27" t="s">
        <v>31</v>
      </c>
      <c r="E27" s="28"/>
      <c r="F27" s="20"/>
      <c r="H27" s="21"/>
      <c r="J27" s="21"/>
      <c r="L27" s="21"/>
      <c r="N27" s="21"/>
      <c r="P27" s="21"/>
      <c r="Q27" s="22"/>
      <c r="R27" s="20"/>
      <c r="T27" s="21"/>
      <c r="V27" s="21"/>
      <c r="X27" s="21"/>
      <c r="Z27" s="21"/>
      <c r="AB27" s="21"/>
      <c r="AC27" s="22"/>
      <c r="AD27" s="29">
        <f t="shared" si="1"/>
        <v>0</v>
      </c>
      <c r="AE27" s="27">
        <f t="shared" si="2"/>
        <v>0</v>
      </c>
      <c r="AF27" s="27">
        <f t="shared" si="3"/>
        <v>0</v>
      </c>
      <c r="AG27" s="27">
        <f t="shared" si="4"/>
        <v>0</v>
      </c>
      <c r="AH27" s="24" t="str">
        <f t="shared" si="5"/>
        <v/>
      </c>
    </row>
    <row r="28" ht="15.75" customHeight="1">
      <c r="A28" s="25" t="s">
        <v>26</v>
      </c>
      <c r="B28" s="26">
        <f t="shared" si="6"/>
        <v>45681</v>
      </c>
      <c r="C28" s="27">
        <v>1.0</v>
      </c>
      <c r="D28" s="27" t="s">
        <v>31</v>
      </c>
      <c r="E28" s="28"/>
      <c r="F28" s="20"/>
      <c r="H28" s="21"/>
      <c r="J28" s="21"/>
      <c r="L28" s="21"/>
      <c r="N28" s="21"/>
      <c r="P28" s="21"/>
      <c r="Q28" s="22"/>
      <c r="R28" s="20"/>
      <c r="T28" s="21"/>
      <c r="V28" s="21"/>
      <c r="X28" s="21"/>
      <c r="Z28" s="21"/>
      <c r="AB28" s="21"/>
      <c r="AC28" s="22"/>
      <c r="AD28" s="29">
        <f t="shared" si="1"/>
        <v>0</v>
      </c>
      <c r="AE28" s="27">
        <f t="shared" si="2"/>
        <v>0</v>
      </c>
      <c r="AF28" s="27">
        <f t="shared" si="3"/>
        <v>0</v>
      </c>
      <c r="AG28" s="27">
        <f t="shared" si="4"/>
        <v>0</v>
      </c>
      <c r="AH28" s="24" t="str">
        <f t="shared" si="5"/>
        <v/>
      </c>
    </row>
    <row r="29" ht="15.75" customHeight="1">
      <c r="A29" s="25" t="s">
        <v>27</v>
      </c>
      <c r="B29" s="26">
        <f t="shared" si="6"/>
        <v>45682</v>
      </c>
      <c r="C29" s="27">
        <v>1.0</v>
      </c>
      <c r="D29" s="27" t="s">
        <v>31</v>
      </c>
      <c r="E29" s="28"/>
      <c r="F29" s="20"/>
      <c r="H29" s="21"/>
      <c r="J29" s="21"/>
      <c r="L29" s="21"/>
      <c r="N29" s="21"/>
      <c r="P29" s="21"/>
      <c r="Q29" s="22"/>
      <c r="R29" s="20"/>
      <c r="T29" s="21"/>
      <c r="V29" s="21"/>
      <c r="X29" s="21"/>
      <c r="Z29" s="21"/>
      <c r="AB29" s="21"/>
      <c r="AC29" s="22"/>
      <c r="AD29" s="29">
        <f t="shared" si="1"/>
        <v>0</v>
      </c>
      <c r="AE29" s="27">
        <f t="shared" si="2"/>
        <v>0</v>
      </c>
      <c r="AF29" s="27">
        <f t="shared" si="3"/>
        <v>0</v>
      </c>
      <c r="AG29" s="27">
        <f t="shared" si="4"/>
        <v>0</v>
      </c>
      <c r="AH29" s="24" t="str">
        <f t="shared" si="5"/>
        <v/>
      </c>
    </row>
    <row r="30" ht="15.75" customHeight="1">
      <c r="A30" s="30" t="s">
        <v>28</v>
      </c>
      <c r="B30" s="31">
        <f t="shared" si="6"/>
        <v>45683</v>
      </c>
      <c r="C30" s="32">
        <v>1.0</v>
      </c>
      <c r="D30" s="32" t="s">
        <v>31</v>
      </c>
      <c r="E30" s="33"/>
      <c r="F30" s="34"/>
      <c r="G30" s="35"/>
      <c r="H30" s="36"/>
      <c r="I30" s="35"/>
      <c r="J30" s="36"/>
      <c r="K30" s="35"/>
      <c r="L30" s="36"/>
      <c r="M30" s="35"/>
      <c r="N30" s="36"/>
      <c r="O30" s="35"/>
      <c r="P30" s="36"/>
      <c r="Q30" s="37"/>
      <c r="R30" s="34"/>
      <c r="S30" s="35"/>
      <c r="T30" s="36"/>
      <c r="U30" s="35"/>
      <c r="V30" s="36"/>
      <c r="W30" s="35"/>
      <c r="X30" s="36"/>
      <c r="Y30" s="35"/>
      <c r="Z30" s="36"/>
      <c r="AA30" s="35"/>
      <c r="AB30" s="36"/>
      <c r="AC30" s="37"/>
      <c r="AD30" s="38">
        <f t="shared" si="1"/>
        <v>0</v>
      </c>
      <c r="AE30" s="32">
        <f t="shared" si="2"/>
        <v>0</v>
      </c>
      <c r="AF30" s="32">
        <f t="shared" si="3"/>
        <v>0</v>
      </c>
      <c r="AG30" s="32">
        <f t="shared" si="4"/>
        <v>0</v>
      </c>
      <c r="AH30" s="39" t="str">
        <f t="shared" si="5"/>
        <v/>
      </c>
    </row>
    <row r="31" ht="15.75" customHeight="1">
      <c r="A31" s="16" t="s">
        <v>21</v>
      </c>
      <c r="B31" s="40">
        <f t="shared" si="6"/>
        <v>45684</v>
      </c>
      <c r="C31" s="18">
        <v>2.0</v>
      </c>
      <c r="D31" s="18" t="s">
        <v>22</v>
      </c>
      <c r="E31" s="19"/>
      <c r="F31" s="20"/>
      <c r="H31" s="21"/>
      <c r="J31" s="21"/>
      <c r="L31" s="21"/>
      <c r="N31" s="21"/>
      <c r="P31" s="21"/>
      <c r="Q31" s="22"/>
      <c r="R31" s="20"/>
      <c r="T31" s="21"/>
      <c r="V31" s="21"/>
      <c r="X31" s="21"/>
      <c r="Z31" s="21"/>
      <c r="AB31" s="21"/>
      <c r="AC31" s="22"/>
      <c r="AD31" s="23">
        <f t="shared" si="1"/>
        <v>0</v>
      </c>
      <c r="AE31" s="18">
        <f t="shared" si="2"/>
        <v>0</v>
      </c>
      <c r="AF31" s="18">
        <f t="shared" si="3"/>
        <v>0</v>
      </c>
      <c r="AG31" s="18">
        <f t="shared" si="4"/>
        <v>0</v>
      </c>
      <c r="AH31" s="41" t="str">
        <f t="shared" si="5"/>
        <v/>
      </c>
    </row>
    <row r="32" ht="15.75" customHeight="1">
      <c r="A32" s="25" t="s">
        <v>23</v>
      </c>
      <c r="B32" s="26">
        <f t="shared" si="6"/>
        <v>45685</v>
      </c>
      <c r="C32" s="27">
        <v>2.0</v>
      </c>
      <c r="D32" s="27" t="s">
        <v>22</v>
      </c>
      <c r="E32" s="28"/>
      <c r="F32" s="20"/>
      <c r="H32" s="21"/>
      <c r="J32" s="21"/>
      <c r="L32" s="21"/>
      <c r="N32" s="21"/>
      <c r="P32" s="21"/>
      <c r="Q32" s="22"/>
      <c r="R32" s="20"/>
      <c r="T32" s="21"/>
      <c r="V32" s="21"/>
      <c r="X32" s="21"/>
      <c r="Z32" s="21"/>
      <c r="AB32" s="21"/>
      <c r="AC32" s="22"/>
      <c r="AD32" s="29">
        <f t="shared" si="1"/>
        <v>0</v>
      </c>
      <c r="AE32" s="27">
        <f t="shared" si="2"/>
        <v>0</v>
      </c>
      <c r="AF32" s="27">
        <f t="shared" si="3"/>
        <v>0</v>
      </c>
      <c r="AG32" s="27">
        <f t="shared" si="4"/>
        <v>0</v>
      </c>
      <c r="AH32" s="24" t="str">
        <f t="shared" si="5"/>
        <v/>
      </c>
    </row>
    <row r="33" ht="15.75" customHeight="1">
      <c r="A33" s="25" t="s">
        <v>24</v>
      </c>
      <c r="B33" s="26">
        <f t="shared" si="6"/>
        <v>45686</v>
      </c>
      <c r="C33" s="27">
        <v>2.0</v>
      </c>
      <c r="D33" s="27" t="s">
        <v>22</v>
      </c>
      <c r="E33" s="28"/>
      <c r="F33" s="20"/>
      <c r="H33" s="21"/>
      <c r="J33" s="21"/>
      <c r="L33" s="21"/>
      <c r="N33" s="21"/>
      <c r="P33" s="21"/>
      <c r="Q33" s="22"/>
      <c r="R33" s="20"/>
      <c r="T33" s="21"/>
      <c r="V33" s="21"/>
      <c r="X33" s="21"/>
      <c r="Z33" s="21"/>
      <c r="AB33" s="21"/>
      <c r="AC33" s="22"/>
      <c r="AD33" s="29">
        <f t="shared" si="1"/>
        <v>0</v>
      </c>
      <c r="AE33" s="27">
        <f t="shared" si="2"/>
        <v>0</v>
      </c>
      <c r="AF33" s="27">
        <f t="shared" si="3"/>
        <v>0</v>
      </c>
      <c r="AG33" s="27">
        <f t="shared" si="4"/>
        <v>0</v>
      </c>
      <c r="AH33" s="24" t="str">
        <f t="shared" si="5"/>
        <v/>
      </c>
    </row>
    <row r="34" ht="15.75" customHeight="1">
      <c r="A34" s="25" t="s">
        <v>25</v>
      </c>
      <c r="B34" s="26">
        <f t="shared" si="6"/>
        <v>45687</v>
      </c>
      <c r="C34" s="27">
        <v>2.0</v>
      </c>
      <c r="D34" s="27" t="s">
        <v>22</v>
      </c>
      <c r="E34" s="28"/>
      <c r="F34" s="20"/>
      <c r="H34" s="21"/>
      <c r="J34" s="21"/>
      <c r="L34" s="21"/>
      <c r="N34" s="21"/>
      <c r="P34" s="21"/>
      <c r="Q34" s="22"/>
      <c r="R34" s="20"/>
      <c r="T34" s="21"/>
      <c r="V34" s="21"/>
      <c r="X34" s="21"/>
      <c r="Z34" s="21"/>
      <c r="AB34" s="21"/>
      <c r="AC34" s="22"/>
      <c r="AD34" s="29">
        <f t="shared" si="1"/>
        <v>0</v>
      </c>
      <c r="AE34" s="27">
        <f t="shared" si="2"/>
        <v>0</v>
      </c>
      <c r="AF34" s="27">
        <f t="shared" si="3"/>
        <v>0</v>
      </c>
      <c r="AG34" s="27">
        <f t="shared" si="4"/>
        <v>0</v>
      </c>
      <c r="AH34" s="24" t="str">
        <f t="shared" si="5"/>
        <v/>
      </c>
    </row>
    <row r="35" ht="15.75" customHeight="1">
      <c r="A35" s="25" t="s">
        <v>26</v>
      </c>
      <c r="B35" s="26">
        <f t="shared" si="6"/>
        <v>45688</v>
      </c>
      <c r="C35" s="27">
        <v>2.0</v>
      </c>
      <c r="D35" s="27" t="s">
        <v>22</v>
      </c>
      <c r="E35" s="28"/>
      <c r="F35" s="20"/>
      <c r="H35" s="21"/>
      <c r="J35" s="21"/>
      <c r="L35" s="21"/>
      <c r="N35" s="21"/>
      <c r="P35" s="21"/>
      <c r="Q35" s="22"/>
      <c r="R35" s="20"/>
      <c r="T35" s="21"/>
      <c r="V35" s="21"/>
      <c r="X35" s="21"/>
      <c r="Z35" s="21"/>
      <c r="AB35" s="21"/>
      <c r="AC35" s="22"/>
      <c r="AD35" s="29">
        <f t="shared" si="1"/>
        <v>0</v>
      </c>
      <c r="AE35" s="27">
        <f t="shared" si="2"/>
        <v>0</v>
      </c>
      <c r="AF35" s="27">
        <f t="shared" si="3"/>
        <v>0</v>
      </c>
      <c r="AG35" s="27">
        <f t="shared" si="4"/>
        <v>0</v>
      </c>
      <c r="AH35" s="24" t="str">
        <f t="shared" si="5"/>
        <v/>
      </c>
    </row>
    <row r="36" ht="15.75" customHeight="1">
      <c r="A36" s="25" t="s">
        <v>27</v>
      </c>
      <c r="B36" s="26">
        <f t="shared" si="6"/>
        <v>45689</v>
      </c>
      <c r="C36" s="27">
        <v>2.0</v>
      </c>
      <c r="D36" s="27" t="s">
        <v>22</v>
      </c>
      <c r="E36" s="28"/>
      <c r="F36" s="20"/>
      <c r="H36" s="21"/>
      <c r="J36" s="21"/>
      <c r="L36" s="21"/>
      <c r="N36" s="21"/>
      <c r="P36" s="21"/>
      <c r="Q36" s="22"/>
      <c r="R36" s="20"/>
      <c r="T36" s="21"/>
      <c r="V36" s="21"/>
      <c r="X36" s="21"/>
      <c r="Z36" s="21"/>
      <c r="AB36" s="21"/>
      <c r="AC36" s="22"/>
      <c r="AD36" s="29">
        <f t="shared" si="1"/>
        <v>0</v>
      </c>
      <c r="AE36" s="27">
        <f t="shared" si="2"/>
        <v>0</v>
      </c>
      <c r="AF36" s="27">
        <f t="shared" si="3"/>
        <v>0</v>
      </c>
      <c r="AG36" s="27">
        <f t="shared" si="4"/>
        <v>0</v>
      </c>
      <c r="AH36" s="24" t="str">
        <f t="shared" si="5"/>
        <v/>
      </c>
    </row>
    <row r="37" ht="15.75" customHeight="1">
      <c r="A37" s="30" t="s">
        <v>28</v>
      </c>
      <c r="B37" s="31">
        <f t="shared" si="6"/>
        <v>45690</v>
      </c>
      <c r="C37" s="32">
        <v>2.0</v>
      </c>
      <c r="D37" s="32" t="s">
        <v>22</v>
      </c>
      <c r="E37" s="33"/>
      <c r="F37" s="34"/>
      <c r="G37" s="35"/>
      <c r="H37" s="36"/>
      <c r="I37" s="35"/>
      <c r="J37" s="36"/>
      <c r="K37" s="35"/>
      <c r="L37" s="36"/>
      <c r="M37" s="35"/>
      <c r="N37" s="36"/>
      <c r="O37" s="35"/>
      <c r="P37" s="36"/>
      <c r="Q37" s="37"/>
      <c r="R37" s="34"/>
      <c r="S37" s="35"/>
      <c r="T37" s="36"/>
      <c r="U37" s="35"/>
      <c r="V37" s="36"/>
      <c r="W37" s="35"/>
      <c r="X37" s="36"/>
      <c r="Y37" s="35"/>
      <c r="Z37" s="36"/>
      <c r="AA37" s="35"/>
      <c r="AB37" s="36"/>
      <c r="AC37" s="37"/>
      <c r="AD37" s="38">
        <f t="shared" si="1"/>
        <v>0</v>
      </c>
      <c r="AE37" s="32">
        <f t="shared" si="2"/>
        <v>0</v>
      </c>
      <c r="AF37" s="32">
        <f t="shared" si="3"/>
        <v>0</v>
      </c>
      <c r="AG37" s="32">
        <f t="shared" si="4"/>
        <v>0</v>
      </c>
      <c r="AH37" s="39" t="str">
        <f t="shared" si="5"/>
        <v/>
      </c>
    </row>
    <row r="38" ht="15.75" customHeight="1">
      <c r="A38" s="16" t="s">
        <v>21</v>
      </c>
      <c r="B38" s="40">
        <f t="shared" si="6"/>
        <v>45691</v>
      </c>
      <c r="C38" s="18">
        <v>2.0</v>
      </c>
      <c r="D38" s="18" t="s">
        <v>29</v>
      </c>
      <c r="E38" s="19"/>
      <c r="F38" s="20"/>
      <c r="H38" s="21"/>
      <c r="J38" s="21"/>
      <c r="L38" s="21"/>
      <c r="N38" s="21"/>
      <c r="P38" s="21"/>
      <c r="Q38" s="22"/>
      <c r="R38" s="20"/>
      <c r="T38" s="21"/>
      <c r="V38" s="21"/>
      <c r="X38" s="21"/>
      <c r="Z38" s="21"/>
      <c r="AB38" s="21"/>
      <c r="AC38" s="22"/>
      <c r="AD38" s="23">
        <f t="shared" si="1"/>
        <v>0</v>
      </c>
      <c r="AE38" s="18">
        <f t="shared" si="2"/>
        <v>0</v>
      </c>
      <c r="AF38" s="18">
        <f t="shared" si="3"/>
        <v>0</v>
      </c>
      <c r="AG38" s="18">
        <f t="shared" si="4"/>
        <v>0</v>
      </c>
      <c r="AH38" s="41" t="str">
        <f t="shared" si="5"/>
        <v/>
      </c>
    </row>
    <row r="39" ht="15.75" customHeight="1">
      <c r="A39" s="25" t="s">
        <v>23</v>
      </c>
      <c r="B39" s="26">
        <f t="shared" si="6"/>
        <v>45692</v>
      </c>
      <c r="C39" s="27">
        <v>2.0</v>
      </c>
      <c r="D39" s="27" t="s">
        <v>29</v>
      </c>
      <c r="E39" s="28"/>
      <c r="F39" s="20"/>
      <c r="H39" s="21"/>
      <c r="J39" s="21"/>
      <c r="L39" s="21"/>
      <c r="N39" s="21"/>
      <c r="P39" s="21"/>
      <c r="Q39" s="22"/>
      <c r="R39" s="20"/>
      <c r="T39" s="21"/>
      <c r="V39" s="21"/>
      <c r="X39" s="21"/>
      <c r="Z39" s="21"/>
      <c r="AB39" s="21"/>
      <c r="AC39" s="22"/>
      <c r="AD39" s="29">
        <f t="shared" si="1"/>
        <v>0</v>
      </c>
      <c r="AE39" s="27">
        <f t="shared" si="2"/>
        <v>0</v>
      </c>
      <c r="AF39" s="27">
        <f t="shared" si="3"/>
        <v>0</v>
      </c>
      <c r="AG39" s="27">
        <f t="shared" si="4"/>
        <v>0</v>
      </c>
      <c r="AH39" s="24" t="str">
        <f t="shared" si="5"/>
        <v/>
      </c>
    </row>
    <row r="40" ht="15.75" customHeight="1">
      <c r="A40" s="25" t="s">
        <v>24</v>
      </c>
      <c r="B40" s="26">
        <f t="shared" si="6"/>
        <v>45693</v>
      </c>
      <c r="C40" s="27">
        <v>2.0</v>
      </c>
      <c r="D40" s="27" t="s">
        <v>29</v>
      </c>
      <c r="E40" s="28"/>
      <c r="F40" s="20"/>
      <c r="H40" s="21"/>
      <c r="J40" s="21"/>
      <c r="L40" s="21"/>
      <c r="N40" s="21"/>
      <c r="P40" s="21"/>
      <c r="Q40" s="22"/>
      <c r="R40" s="20"/>
      <c r="T40" s="21"/>
      <c r="V40" s="21"/>
      <c r="X40" s="21"/>
      <c r="Z40" s="21"/>
      <c r="AB40" s="21"/>
      <c r="AC40" s="22"/>
      <c r="AD40" s="29">
        <f t="shared" si="1"/>
        <v>0</v>
      </c>
      <c r="AE40" s="27">
        <f t="shared" si="2"/>
        <v>0</v>
      </c>
      <c r="AF40" s="27">
        <f t="shared" si="3"/>
        <v>0</v>
      </c>
      <c r="AG40" s="27">
        <f t="shared" si="4"/>
        <v>0</v>
      </c>
      <c r="AH40" s="24" t="str">
        <f t="shared" si="5"/>
        <v/>
      </c>
    </row>
    <row r="41" ht="15.75" customHeight="1">
      <c r="A41" s="25" t="s">
        <v>25</v>
      </c>
      <c r="B41" s="26">
        <f t="shared" si="6"/>
        <v>45694</v>
      </c>
      <c r="C41" s="27">
        <v>2.0</v>
      </c>
      <c r="D41" s="27" t="s">
        <v>29</v>
      </c>
      <c r="E41" s="28"/>
      <c r="F41" s="20"/>
      <c r="H41" s="21"/>
      <c r="J41" s="21"/>
      <c r="L41" s="21"/>
      <c r="N41" s="21"/>
      <c r="P41" s="21"/>
      <c r="Q41" s="22"/>
      <c r="R41" s="20"/>
      <c r="T41" s="21"/>
      <c r="V41" s="21"/>
      <c r="X41" s="21"/>
      <c r="Z41" s="21"/>
      <c r="AB41" s="21"/>
      <c r="AC41" s="22"/>
      <c r="AD41" s="29">
        <f t="shared" si="1"/>
        <v>0</v>
      </c>
      <c r="AE41" s="27">
        <f t="shared" si="2"/>
        <v>0</v>
      </c>
      <c r="AF41" s="27">
        <f t="shared" si="3"/>
        <v>0</v>
      </c>
      <c r="AG41" s="27">
        <f t="shared" si="4"/>
        <v>0</v>
      </c>
      <c r="AH41" s="24" t="str">
        <f t="shared" si="5"/>
        <v/>
      </c>
    </row>
    <row r="42" ht="15.75" customHeight="1">
      <c r="A42" s="25" t="s">
        <v>26</v>
      </c>
      <c r="B42" s="26">
        <f t="shared" si="6"/>
        <v>45695</v>
      </c>
      <c r="C42" s="27">
        <v>2.0</v>
      </c>
      <c r="D42" s="27" t="s">
        <v>29</v>
      </c>
      <c r="E42" s="28"/>
      <c r="F42" s="20"/>
      <c r="H42" s="21"/>
      <c r="J42" s="21"/>
      <c r="L42" s="21"/>
      <c r="N42" s="21"/>
      <c r="P42" s="21"/>
      <c r="Q42" s="22"/>
      <c r="R42" s="20"/>
      <c r="T42" s="21"/>
      <c r="V42" s="21"/>
      <c r="X42" s="21"/>
      <c r="Z42" s="21"/>
      <c r="AB42" s="21"/>
      <c r="AC42" s="22"/>
      <c r="AD42" s="29">
        <f t="shared" si="1"/>
        <v>0</v>
      </c>
      <c r="AE42" s="27">
        <f t="shared" si="2"/>
        <v>0</v>
      </c>
      <c r="AF42" s="27">
        <f t="shared" si="3"/>
        <v>0</v>
      </c>
      <c r="AG42" s="27">
        <f t="shared" si="4"/>
        <v>0</v>
      </c>
      <c r="AH42" s="24" t="str">
        <f t="shared" si="5"/>
        <v/>
      </c>
    </row>
    <row r="43" ht="15.75" customHeight="1">
      <c r="A43" s="25" t="s">
        <v>27</v>
      </c>
      <c r="B43" s="26">
        <f t="shared" si="6"/>
        <v>45696</v>
      </c>
      <c r="C43" s="27">
        <v>2.0</v>
      </c>
      <c r="D43" s="27" t="s">
        <v>29</v>
      </c>
      <c r="E43" s="28"/>
      <c r="F43" s="20"/>
      <c r="H43" s="21"/>
      <c r="J43" s="21"/>
      <c r="L43" s="21"/>
      <c r="N43" s="21"/>
      <c r="P43" s="21"/>
      <c r="Q43" s="22"/>
      <c r="R43" s="20"/>
      <c r="T43" s="21"/>
      <c r="V43" s="21"/>
      <c r="X43" s="21"/>
      <c r="Z43" s="21"/>
      <c r="AB43" s="21"/>
      <c r="AC43" s="22"/>
      <c r="AD43" s="29">
        <f t="shared" si="1"/>
        <v>0</v>
      </c>
      <c r="AE43" s="27">
        <f t="shared" si="2"/>
        <v>0</v>
      </c>
      <c r="AF43" s="27">
        <f t="shared" si="3"/>
        <v>0</v>
      </c>
      <c r="AG43" s="27">
        <f t="shared" si="4"/>
        <v>0</v>
      </c>
      <c r="AH43" s="24" t="str">
        <f t="shared" si="5"/>
        <v/>
      </c>
    </row>
    <row r="44" ht="15.75" customHeight="1">
      <c r="A44" s="30" t="s">
        <v>28</v>
      </c>
      <c r="B44" s="31">
        <f t="shared" si="6"/>
        <v>45697</v>
      </c>
      <c r="C44" s="32">
        <v>2.0</v>
      </c>
      <c r="D44" s="32" t="s">
        <v>29</v>
      </c>
      <c r="E44" s="33"/>
      <c r="F44" s="34"/>
      <c r="G44" s="35"/>
      <c r="H44" s="36"/>
      <c r="I44" s="35"/>
      <c r="J44" s="36"/>
      <c r="K44" s="35"/>
      <c r="L44" s="36"/>
      <c r="M44" s="35"/>
      <c r="N44" s="36"/>
      <c r="O44" s="35"/>
      <c r="P44" s="36"/>
      <c r="Q44" s="37"/>
      <c r="R44" s="34"/>
      <c r="S44" s="35"/>
      <c r="T44" s="36"/>
      <c r="U44" s="35"/>
      <c r="V44" s="36"/>
      <c r="W44" s="35"/>
      <c r="X44" s="36"/>
      <c r="Y44" s="35"/>
      <c r="Z44" s="36"/>
      <c r="AA44" s="35"/>
      <c r="AB44" s="36"/>
      <c r="AC44" s="37"/>
      <c r="AD44" s="38">
        <f t="shared" si="1"/>
        <v>0</v>
      </c>
      <c r="AE44" s="32">
        <f t="shared" si="2"/>
        <v>0</v>
      </c>
      <c r="AF44" s="32">
        <f t="shared" si="3"/>
        <v>0</v>
      </c>
      <c r="AG44" s="32">
        <f t="shared" si="4"/>
        <v>0</v>
      </c>
      <c r="AH44" s="39" t="str">
        <f t="shared" si="5"/>
        <v/>
      </c>
    </row>
    <row r="45" ht="15.75" customHeight="1">
      <c r="A45" s="16" t="s">
        <v>21</v>
      </c>
      <c r="B45" s="40">
        <f t="shared" si="6"/>
        <v>45698</v>
      </c>
      <c r="C45" s="18">
        <v>2.0</v>
      </c>
      <c r="D45" s="18" t="s">
        <v>30</v>
      </c>
      <c r="E45" s="19"/>
      <c r="F45" s="42"/>
      <c r="H45" s="43"/>
      <c r="J45" s="21"/>
      <c r="L45" s="21"/>
      <c r="N45" s="21"/>
      <c r="P45" s="21"/>
      <c r="Q45" s="22"/>
      <c r="R45" s="20"/>
      <c r="T45" s="21"/>
      <c r="V45" s="21"/>
      <c r="X45" s="21"/>
      <c r="Z45" s="21"/>
      <c r="AB45" s="21"/>
      <c r="AC45" s="22"/>
      <c r="AD45" s="23">
        <f t="shared" si="1"/>
        <v>0</v>
      </c>
      <c r="AE45" s="18">
        <f t="shared" si="2"/>
        <v>0</v>
      </c>
      <c r="AF45" s="18">
        <f t="shared" si="3"/>
        <v>0</v>
      </c>
      <c r="AG45" s="18">
        <f t="shared" si="4"/>
        <v>0</v>
      </c>
      <c r="AH45" s="41" t="str">
        <f t="shared" si="5"/>
        <v/>
      </c>
    </row>
    <row r="46" ht="15.75" customHeight="1">
      <c r="A46" s="25" t="s">
        <v>23</v>
      </c>
      <c r="B46" s="26">
        <f t="shared" si="6"/>
        <v>45699</v>
      </c>
      <c r="C46" s="27">
        <v>2.0</v>
      </c>
      <c r="D46" s="27" t="s">
        <v>30</v>
      </c>
      <c r="E46" s="28"/>
      <c r="F46" s="42"/>
      <c r="H46" s="43"/>
      <c r="J46" s="21"/>
      <c r="L46" s="21"/>
      <c r="N46" s="21"/>
      <c r="P46" s="21"/>
      <c r="Q46" s="22"/>
      <c r="R46" s="20"/>
      <c r="T46" s="21"/>
      <c r="V46" s="21"/>
      <c r="X46" s="21"/>
      <c r="Z46" s="21"/>
      <c r="AB46" s="21"/>
      <c r="AC46" s="22"/>
      <c r="AD46" s="29">
        <f t="shared" si="1"/>
        <v>0</v>
      </c>
      <c r="AE46" s="27">
        <f t="shared" si="2"/>
        <v>0</v>
      </c>
      <c r="AF46" s="27">
        <f t="shared" si="3"/>
        <v>0</v>
      </c>
      <c r="AG46" s="27">
        <f t="shared" si="4"/>
        <v>0</v>
      </c>
      <c r="AH46" s="24" t="str">
        <f t="shared" si="5"/>
        <v/>
      </c>
    </row>
    <row r="47" ht="15.75" customHeight="1">
      <c r="A47" s="25" t="s">
        <v>24</v>
      </c>
      <c r="B47" s="26">
        <f t="shared" si="6"/>
        <v>45700</v>
      </c>
      <c r="C47" s="27">
        <v>2.0</v>
      </c>
      <c r="D47" s="27" t="s">
        <v>30</v>
      </c>
      <c r="E47" s="28"/>
      <c r="F47" s="42"/>
      <c r="H47" s="43"/>
      <c r="J47" s="21"/>
      <c r="L47" s="21"/>
      <c r="N47" s="21"/>
      <c r="P47" s="21"/>
      <c r="Q47" s="22"/>
      <c r="R47" s="20"/>
      <c r="T47" s="21"/>
      <c r="V47" s="21"/>
      <c r="X47" s="21"/>
      <c r="Z47" s="21"/>
      <c r="AB47" s="21"/>
      <c r="AC47" s="22"/>
      <c r="AD47" s="29">
        <f t="shared" si="1"/>
        <v>0</v>
      </c>
      <c r="AE47" s="27">
        <f t="shared" si="2"/>
        <v>0</v>
      </c>
      <c r="AF47" s="27">
        <f t="shared" si="3"/>
        <v>0</v>
      </c>
      <c r="AG47" s="27">
        <f t="shared" si="4"/>
        <v>0</v>
      </c>
      <c r="AH47" s="24" t="str">
        <f t="shared" si="5"/>
        <v/>
      </c>
    </row>
    <row r="48" ht="15.75" customHeight="1">
      <c r="A48" s="25" t="s">
        <v>25</v>
      </c>
      <c r="B48" s="26">
        <f t="shared" si="6"/>
        <v>45701</v>
      </c>
      <c r="C48" s="27">
        <v>2.0</v>
      </c>
      <c r="D48" s="27" t="s">
        <v>30</v>
      </c>
      <c r="E48" s="28"/>
      <c r="F48" s="42"/>
      <c r="H48" s="43"/>
      <c r="J48" s="21"/>
      <c r="L48" s="21"/>
      <c r="N48" s="21"/>
      <c r="P48" s="21"/>
      <c r="Q48" s="22"/>
      <c r="R48" s="20"/>
      <c r="T48" s="21"/>
      <c r="V48" s="21"/>
      <c r="X48" s="21"/>
      <c r="Z48" s="21"/>
      <c r="AB48" s="21"/>
      <c r="AC48" s="22"/>
      <c r="AD48" s="29">
        <f t="shared" si="1"/>
        <v>0</v>
      </c>
      <c r="AE48" s="27">
        <f t="shared" si="2"/>
        <v>0</v>
      </c>
      <c r="AF48" s="27">
        <f t="shared" si="3"/>
        <v>0</v>
      </c>
      <c r="AG48" s="27">
        <f t="shared" si="4"/>
        <v>0</v>
      </c>
      <c r="AH48" s="24" t="str">
        <f t="shared" si="5"/>
        <v/>
      </c>
    </row>
    <row r="49" ht="15.75" customHeight="1">
      <c r="A49" s="25" t="s">
        <v>26</v>
      </c>
      <c r="B49" s="26">
        <f t="shared" si="6"/>
        <v>45702</v>
      </c>
      <c r="C49" s="27">
        <v>2.0</v>
      </c>
      <c r="D49" s="27" t="s">
        <v>30</v>
      </c>
      <c r="E49" s="28"/>
      <c r="F49" s="42"/>
      <c r="H49" s="43"/>
      <c r="J49" s="21"/>
      <c r="L49" s="21"/>
      <c r="N49" s="21"/>
      <c r="P49" s="21"/>
      <c r="Q49" s="22"/>
      <c r="R49" s="20"/>
      <c r="T49" s="21"/>
      <c r="V49" s="21"/>
      <c r="X49" s="21"/>
      <c r="Z49" s="21"/>
      <c r="AB49" s="21"/>
      <c r="AC49" s="22"/>
      <c r="AD49" s="29">
        <f t="shared" si="1"/>
        <v>0</v>
      </c>
      <c r="AE49" s="27">
        <f t="shared" si="2"/>
        <v>0</v>
      </c>
      <c r="AF49" s="27">
        <f t="shared" si="3"/>
        <v>0</v>
      </c>
      <c r="AG49" s="27">
        <f t="shared" si="4"/>
        <v>0</v>
      </c>
      <c r="AH49" s="24" t="str">
        <f t="shared" si="5"/>
        <v/>
      </c>
    </row>
    <row r="50" ht="15.75" customHeight="1">
      <c r="A50" s="25" t="s">
        <v>27</v>
      </c>
      <c r="B50" s="26">
        <f t="shared" si="6"/>
        <v>45703</v>
      </c>
      <c r="C50" s="27">
        <v>2.0</v>
      </c>
      <c r="D50" s="27" t="s">
        <v>30</v>
      </c>
      <c r="E50" s="28"/>
      <c r="F50" s="42"/>
      <c r="H50" s="43"/>
      <c r="J50" s="21"/>
      <c r="L50" s="21"/>
      <c r="N50" s="21"/>
      <c r="P50" s="21"/>
      <c r="Q50" s="22"/>
      <c r="R50" s="20"/>
      <c r="T50" s="21"/>
      <c r="V50" s="21"/>
      <c r="X50" s="21"/>
      <c r="Z50" s="21"/>
      <c r="AB50" s="21"/>
      <c r="AC50" s="22"/>
      <c r="AD50" s="29">
        <f t="shared" si="1"/>
        <v>0</v>
      </c>
      <c r="AE50" s="27">
        <f t="shared" si="2"/>
        <v>0</v>
      </c>
      <c r="AF50" s="27">
        <f t="shared" si="3"/>
        <v>0</v>
      </c>
      <c r="AG50" s="27">
        <f t="shared" si="4"/>
        <v>0</v>
      </c>
      <c r="AH50" s="24" t="str">
        <f t="shared" si="5"/>
        <v/>
      </c>
    </row>
    <row r="51" ht="15.75" customHeight="1">
      <c r="A51" s="30" t="s">
        <v>28</v>
      </c>
      <c r="B51" s="31">
        <f t="shared" si="6"/>
        <v>45704</v>
      </c>
      <c r="C51" s="32">
        <v>2.0</v>
      </c>
      <c r="D51" s="32" t="s">
        <v>30</v>
      </c>
      <c r="E51" s="33"/>
      <c r="F51" s="44"/>
      <c r="G51" s="35"/>
      <c r="H51" s="45"/>
      <c r="I51" s="35"/>
      <c r="J51" s="36"/>
      <c r="K51" s="35"/>
      <c r="L51" s="36"/>
      <c r="M51" s="35"/>
      <c r="N51" s="36"/>
      <c r="O51" s="35"/>
      <c r="P51" s="36"/>
      <c r="Q51" s="37"/>
      <c r="R51" s="34"/>
      <c r="S51" s="35"/>
      <c r="T51" s="36"/>
      <c r="U51" s="35"/>
      <c r="V51" s="36"/>
      <c r="W51" s="35"/>
      <c r="X51" s="36"/>
      <c r="Y51" s="35"/>
      <c r="Z51" s="36"/>
      <c r="AA51" s="35"/>
      <c r="AB51" s="36"/>
      <c r="AC51" s="37"/>
      <c r="AD51" s="38">
        <f t="shared" si="1"/>
        <v>0</v>
      </c>
      <c r="AE51" s="32">
        <f t="shared" si="2"/>
        <v>0</v>
      </c>
      <c r="AF51" s="32">
        <f t="shared" si="3"/>
        <v>0</v>
      </c>
      <c r="AG51" s="32">
        <f t="shared" si="4"/>
        <v>0</v>
      </c>
      <c r="AH51" s="39" t="str">
        <f t="shared" si="5"/>
        <v/>
      </c>
    </row>
    <row r="52" ht="15.75" customHeight="1">
      <c r="A52" s="16" t="s">
        <v>21</v>
      </c>
      <c r="B52" s="40">
        <f t="shared" si="6"/>
        <v>45705</v>
      </c>
      <c r="C52" s="18">
        <v>2.0</v>
      </c>
      <c r="D52" s="18" t="s">
        <v>31</v>
      </c>
      <c r="E52" s="19"/>
      <c r="F52" s="42"/>
      <c r="H52" s="43"/>
      <c r="J52" s="21"/>
      <c r="L52" s="21"/>
      <c r="N52" s="21"/>
      <c r="P52" s="21"/>
      <c r="Q52" s="22"/>
      <c r="R52" s="20"/>
      <c r="T52" s="21"/>
      <c r="V52" s="21"/>
      <c r="X52" s="21"/>
      <c r="Z52" s="21"/>
      <c r="AB52" s="21"/>
      <c r="AC52" s="22"/>
      <c r="AD52" s="23">
        <f t="shared" si="1"/>
        <v>0</v>
      </c>
      <c r="AE52" s="18">
        <f t="shared" si="2"/>
        <v>0</v>
      </c>
      <c r="AF52" s="18">
        <f t="shared" si="3"/>
        <v>0</v>
      </c>
      <c r="AG52" s="18">
        <f t="shared" si="4"/>
        <v>0</v>
      </c>
      <c r="AH52" s="41" t="str">
        <f t="shared" si="5"/>
        <v/>
      </c>
    </row>
    <row r="53" ht="15.75" customHeight="1">
      <c r="A53" s="25" t="s">
        <v>23</v>
      </c>
      <c r="B53" s="26">
        <f t="shared" si="6"/>
        <v>45706</v>
      </c>
      <c r="C53" s="27">
        <v>2.0</v>
      </c>
      <c r="D53" s="27" t="s">
        <v>31</v>
      </c>
      <c r="E53" s="28"/>
      <c r="F53" s="42"/>
      <c r="H53" s="43"/>
      <c r="J53" s="21"/>
      <c r="L53" s="21"/>
      <c r="N53" s="21"/>
      <c r="P53" s="21"/>
      <c r="Q53" s="22"/>
      <c r="R53" s="20"/>
      <c r="T53" s="21"/>
      <c r="V53" s="21"/>
      <c r="X53" s="21"/>
      <c r="Z53" s="21"/>
      <c r="AB53" s="21"/>
      <c r="AC53" s="22"/>
      <c r="AD53" s="29">
        <f t="shared" si="1"/>
        <v>0</v>
      </c>
      <c r="AE53" s="27">
        <f t="shared" si="2"/>
        <v>0</v>
      </c>
      <c r="AF53" s="27">
        <f t="shared" si="3"/>
        <v>0</v>
      </c>
      <c r="AG53" s="27">
        <f t="shared" si="4"/>
        <v>0</v>
      </c>
      <c r="AH53" s="24" t="str">
        <f t="shared" si="5"/>
        <v/>
      </c>
    </row>
    <row r="54" ht="15.75" customHeight="1">
      <c r="A54" s="25" t="s">
        <v>24</v>
      </c>
      <c r="B54" s="26">
        <f t="shared" si="6"/>
        <v>45707</v>
      </c>
      <c r="C54" s="27">
        <v>2.0</v>
      </c>
      <c r="D54" s="27" t="s">
        <v>31</v>
      </c>
      <c r="E54" s="28"/>
      <c r="F54" s="42"/>
      <c r="H54" s="43"/>
      <c r="J54" s="21"/>
      <c r="L54" s="21"/>
      <c r="N54" s="21"/>
      <c r="P54" s="21"/>
      <c r="Q54" s="22"/>
      <c r="R54" s="20"/>
      <c r="T54" s="21"/>
      <c r="V54" s="21"/>
      <c r="X54" s="21"/>
      <c r="Z54" s="21"/>
      <c r="AB54" s="21"/>
      <c r="AC54" s="22"/>
      <c r="AD54" s="29">
        <f t="shared" si="1"/>
        <v>0</v>
      </c>
      <c r="AE54" s="27">
        <f t="shared" si="2"/>
        <v>0</v>
      </c>
      <c r="AF54" s="27">
        <f t="shared" si="3"/>
        <v>0</v>
      </c>
      <c r="AG54" s="27">
        <f t="shared" si="4"/>
        <v>0</v>
      </c>
      <c r="AH54" s="24" t="str">
        <f t="shared" si="5"/>
        <v/>
      </c>
    </row>
    <row r="55" ht="15.75" customHeight="1">
      <c r="A55" s="25" t="s">
        <v>25</v>
      </c>
      <c r="B55" s="26">
        <f t="shared" si="6"/>
        <v>45708</v>
      </c>
      <c r="C55" s="27">
        <v>2.0</v>
      </c>
      <c r="D55" s="27" t="s">
        <v>31</v>
      </c>
      <c r="E55" s="28"/>
      <c r="F55" s="42"/>
      <c r="H55" s="43"/>
      <c r="J55" s="21"/>
      <c r="L55" s="21"/>
      <c r="N55" s="21"/>
      <c r="P55" s="21"/>
      <c r="Q55" s="22"/>
      <c r="R55" s="20"/>
      <c r="T55" s="21"/>
      <c r="V55" s="21"/>
      <c r="X55" s="21"/>
      <c r="Z55" s="21"/>
      <c r="AB55" s="21"/>
      <c r="AC55" s="22"/>
      <c r="AD55" s="29">
        <f t="shared" si="1"/>
        <v>0</v>
      </c>
      <c r="AE55" s="27">
        <f t="shared" si="2"/>
        <v>0</v>
      </c>
      <c r="AF55" s="27">
        <f t="shared" si="3"/>
        <v>0</v>
      </c>
      <c r="AG55" s="27">
        <f t="shared" si="4"/>
        <v>0</v>
      </c>
      <c r="AH55" s="24" t="str">
        <f t="shared" si="5"/>
        <v/>
      </c>
    </row>
    <row r="56" ht="15.75" customHeight="1">
      <c r="A56" s="25" t="s">
        <v>26</v>
      </c>
      <c r="B56" s="26">
        <f t="shared" si="6"/>
        <v>45709</v>
      </c>
      <c r="C56" s="27">
        <v>2.0</v>
      </c>
      <c r="D56" s="27" t="s">
        <v>31</v>
      </c>
      <c r="E56" s="28"/>
      <c r="F56" s="42"/>
      <c r="H56" s="43"/>
      <c r="J56" s="21"/>
      <c r="L56" s="21"/>
      <c r="N56" s="21"/>
      <c r="P56" s="21"/>
      <c r="Q56" s="22"/>
      <c r="R56" s="20"/>
      <c r="T56" s="21"/>
      <c r="V56" s="21"/>
      <c r="X56" s="21"/>
      <c r="Z56" s="21"/>
      <c r="AB56" s="21"/>
      <c r="AC56" s="22"/>
      <c r="AD56" s="29">
        <f t="shared" si="1"/>
        <v>0</v>
      </c>
      <c r="AE56" s="27">
        <f t="shared" si="2"/>
        <v>0</v>
      </c>
      <c r="AF56" s="27">
        <f t="shared" si="3"/>
        <v>0</v>
      </c>
      <c r="AG56" s="27">
        <f t="shared" si="4"/>
        <v>0</v>
      </c>
      <c r="AH56" s="24" t="str">
        <f t="shared" si="5"/>
        <v/>
      </c>
    </row>
    <row r="57" ht="15.75" customHeight="1">
      <c r="A57" s="25" t="s">
        <v>27</v>
      </c>
      <c r="B57" s="26">
        <f t="shared" si="6"/>
        <v>45710</v>
      </c>
      <c r="C57" s="27">
        <v>2.0</v>
      </c>
      <c r="D57" s="27" t="s">
        <v>31</v>
      </c>
      <c r="E57" s="28"/>
      <c r="F57" s="42"/>
      <c r="H57" s="43"/>
      <c r="J57" s="21"/>
      <c r="L57" s="21"/>
      <c r="N57" s="21"/>
      <c r="P57" s="21"/>
      <c r="Q57" s="22"/>
      <c r="R57" s="20"/>
      <c r="T57" s="21"/>
      <c r="V57" s="21"/>
      <c r="X57" s="21"/>
      <c r="Z57" s="21"/>
      <c r="AB57" s="21"/>
      <c r="AC57" s="22"/>
      <c r="AD57" s="29">
        <f t="shared" si="1"/>
        <v>0</v>
      </c>
      <c r="AE57" s="27">
        <f t="shared" si="2"/>
        <v>0</v>
      </c>
      <c r="AF57" s="27">
        <f t="shared" si="3"/>
        <v>0</v>
      </c>
      <c r="AG57" s="27">
        <f t="shared" si="4"/>
        <v>0</v>
      </c>
      <c r="AH57" s="24" t="str">
        <f t="shared" si="5"/>
        <v/>
      </c>
    </row>
    <row r="58" ht="15.75" customHeight="1">
      <c r="A58" s="30" t="s">
        <v>28</v>
      </c>
      <c r="B58" s="31">
        <f t="shared" si="6"/>
        <v>45711</v>
      </c>
      <c r="C58" s="32">
        <v>2.0</v>
      </c>
      <c r="D58" s="32" t="s">
        <v>31</v>
      </c>
      <c r="E58" s="33"/>
      <c r="F58" s="44"/>
      <c r="G58" s="35"/>
      <c r="H58" s="45"/>
      <c r="I58" s="35"/>
      <c r="J58" s="36"/>
      <c r="K58" s="35"/>
      <c r="L58" s="36"/>
      <c r="M58" s="35"/>
      <c r="N58" s="36"/>
      <c r="O58" s="35"/>
      <c r="P58" s="36"/>
      <c r="Q58" s="37"/>
      <c r="R58" s="34"/>
      <c r="S58" s="35"/>
      <c r="T58" s="36"/>
      <c r="U58" s="35"/>
      <c r="V58" s="36"/>
      <c r="W58" s="35"/>
      <c r="X58" s="36"/>
      <c r="Y58" s="35"/>
      <c r="Z58" s="36"/>
      <c r="AA58" s="35"/>
      <c r="AB58" s="36"/>
      <c r="AC58" s="37"/>
      <c r="AD58" s="38">
        <f t="shared" si="1"/>
        <v>0</v>
      </c>
      <c r="AE58" s="32">
        <f t="shared" si="2"/>
        <v>0</v>
      </c>
      <c r="AF58" s="32">
        <f t="shared" si="3"/>
        <v>0</v>
      </c>
      <c r="AG58" s="32">
        <f t="shared" si="4"/>
        <v>0</v>
      </c>
      <c r="AH58" s="39" t="str">
        <f t="shared" si="5"/>
        <v/>
      </c>
    </row>
    <row r="59" ht="15.75" customHeight="1">
      <c r="A59" s="16" t="s">
        <v>21</v>
      </c>
      <c r="B59" s="40">
        <f t="shared" si="6"/>
        <v>45712</v>
      </c>
      <c r="C59" s="18">
        <v>3.0</v>
      </c>
      <c r="D59" s="18" t="s">
        <v>22</v>
      </c>
      <c r="E59" s="19"/>
      <c r="F59" s="42"/>
      <c r="H59" s="43"/>
      <c r="J59" s="21"/>
      <c r="L59" s="21"/>
      <c r="N59" s="21"/>
      <c r="P59" s="21"/>
      <c r="Q59" s="22"/>
      <c r="R59" s="20"/>
      <c r="T59" s="21"/>
      <c r="V59" s="21"/>
      <c r="X59" s="21"/>
      <c r="Z59" s="21"/>
      <c r="AB59" s="21"/>
      <c r="AC59" s="22"/>
      <c r="AD59" s="23">
        <f t="shared" si="1"/>
        <v>0</v>
      </c>
      <c r="AE59" s="18">
        <f t="shared" si="2"/>
        <v>0</v>
      </c>
      <c r="AF59" s="18">
        <f t="shared" si="3"/>
        <v>0</v>
      </c>
      <c r="AG59" s="18">
        <f t="shared" si="4"/>
        <v>0</v>
      </c>
      <c r="AH59" s="41" t="str">
        <f t="shared" si="5"/>
        <v/>
      </c>
    </row>
    <row r="60" ht="15.75" customHeight="1">
      <c r="A60" s="25" t="s">
        <v>23</v>
      </c>
      <c r="B60" s="26">
        <f t="shared" si="6"/>
        <v>45713</v>
      </c>
      <c r="C60" s="27">
        <v>3.0</v>
      </c>
      <c r="D60" s="27" t="s">
        <v>22</v>
      </c>
      <c r="E60" s="28"/>
      <c r="F60" s="42"/>
      <c r="H60" s="43"/>
      <c r="J60" s="21"/>
      <c r="L60" s="21"/>
      <c r="N60" s="21"/>
      <c r="P60" s="21"/>
      <c r="Q60" s="22"/>
      <c r="R60" s="20"/>
      <c r="T60" s="21"/>
      <c r="V60" s="21"/>
      <c r="X60" s="21"/>
      <c r="Z60" s="21"/>
      <c r="AB60" s="21"/>
      <c r="AC60" s="22"/>
      <c r="AD60" s="29">
        <f t="shared" si="1"/>
        <v>0</v>
      </c>
      <c r="AE60" s="27">
        <f t="shared" si="2"/>
        <v>0</v>
      </c>
      <c r="AF60" s="27">
        <f t="shared" si="3"/>
        <v>0</v>
      </c>
      <c r="AG60" s="27">
        <f t="shared" si="4"/>
        <v>0</v>
      </c>
      <c r="AH60" s="24" t="str">
        <f t="shared" si="5"/>
        <v/>
      </c>
    </row>
    <row r="61" ht="15.75" customHeight="1">
      <c r="A61" s="25" t="s">
        <v>24</v>
      </c>
      <c r="B61" s="26">
        <f t="shared" si="6"/>
        <v>45714</v>
      </c>
      <c r="C61" s="27">
        <v>3.0</v>
      </c>
      <c r="D61" s="27" t="s">
        <v>22</v>
      </c>
      <c r="E61" s="28"/>
      <c r="F61" s="42"/>
      <c r="H61" s="43"/>
      <c r="J61" s="21"/>
      <c r="L61" s="21"/>
      <c r="N61" s="21"/>
      <c r="P61" s="21"/>
      <c r="Q61" s="22"/>
      <c r="R61" s="20"/>
      <c r="T61" s="21"/>
      <c r="V61" s="21"/>
      <c r="X61" s="21"/>
      <c r="Z61" s="21"/>
      <c r="AB61" s="21"/>
      <c r="AC61" s="22"/>
      <c r="AD61" s="29">
        <f t="shared" si="1"/>
        <v>0</v>
      </c>
      <c r="AE61" s="27">
        <f t="shared" si="2"/>
        <v>0</v>
      </c>
      <c r="AF61" s="27">
        <f t="shared" si="3"/>
        <v>0</v>
      </c>
      <c r="AG61" s="27">
        <f t="shared" si="4"/>
        <v>0</v>
      </c>
      <c r="AH61" s="24" t="str">
        <f t="shared" si="5"/>
        <v/>
      </c>
    </row>
    <row r="62" ht="15.75" customHeight="1">
      <c r="A62" s="25" t="s">
        <v>25</v>
      </c>
      <c r="B62" s="26">
        <f t="shared" si="6"/>
        <v>45715</v>
      </c>
      <c r="C62" s="27">
        <v>3.0</v>
      </c>
      <c r="D62" s="27" t="s">
        <v>22</v>
      </c>
      <c r="E62" s="28"/>
      <c r="F62" s="42"/>
      <c r="H62" s="43"/>
      <c r="J62" s="21"/>
      <c r="L62" s="21"/>
      <c r="N62" s="21"/>
      <c r="P62" s="21"/>
      <c r="Q62" s="22"/>
      <c r="R62" s="20"/>
      <c r="T62" s="21"/>
      <c r="V62" s="21"/>
      <c r="X62" s="21"/>
      <c r="Z62" s="21"/>
      <c r="AB62" s="21"/>
      <c r="AC62" s="22"/>
      <c r="AD62" s="29">
        <f t="shared" si="1"/>
        <v>0</v>
      </c>
      <c r="AE62" s="27">
        <f t="shared" si="2"/>
        <v>0</v>
      </c>
      <c r="AF62" s="27">
        <f t="shared" si="3"/>
        <v>0</v>
      </c>
      <c r="AG62" s="27">
        <f t="shared" si="4"/>
        <v>0</v>
      </c>
      <c r="AH62" s="24" t="str">
        <f t="shared" si="5"/>
        <v/>
      </c>
    </row>
    <row r="63" ht="15.75" customHeight="1">
      <c r="A63" s="25" t="s">
        <v>26</v>
      </c>
      <c r="B63" s="26">
        <f t="shared" si="6"/>
        <v>45716</v>
      </c>
      <c r="C63" s="27">
        <v>3.0</v>
      </c>
      <c r="D63" s="27" t="s">
        <v>22</v>
      </c>
      <c r="E63" s="28"/>
      <c r="F63" s="42"/>
      <c r="H63" s="43"/>
      <c r="J63" s="21"/>
      <c r="L63" s="21"/>
      <c r="N63" s="21"/>
      <c r="P63" s="21"/>
      <c r="Q63" s="22"/>
      <c r="R63" s="20"/>
      <c r="T63" s="21"/>
      <c r="V63" s="21"/>
      <c r="X63" s="21"/>
      <c r="Z63" s="21"/>
      <c r="AB63" s="21"/>
      <c r="AC63" s="22"/>
      <c r="AD63" s="29">
        <f t="shared" si="1"/>
        <v>0</v>
      </c>
      <c r="AE63" s="27">
        <f t="shared" si="2"/>
        <v>0</v>
      </c>
      <c r="AF63" s="27">
        <f t="shared" si="3"/>
        <v>0</v>
      </c>
      <c r="AG63" s="27">
        <f t="shared" si="4"/>
        <v>0</v>
      </c>
      <c r="AH63" s="24" t="str">
        <f t="shared" si="5"/>
        <v/>
      </c>
    </row>
    <row r="64" ht="15.75" customHeight="1">
      <c r="A64" s="25" t="s">
        <v>27</v>
      </c>
      <c r="B64" s="26">
        <f t="shared" si="6"/>
        <v>45717</v>
      </c>
      <c r="C64" s="27">
        <v>3.0</v>
      </c>
      <c r="D64" s="27" t="s">
        <v>22</v>
      </c>
      <c r="E64" s="28"/>
      <c r="F64" s="42"/>
      <c r="H64" s="43"/>
      <c r="J64" s="21"/>
      <c r="L64" s="21"/>
      <c r="N64" s="21"/>
      <c r="P64" s="21"/>
      <c r="Q64" s="22"/>
      <c r="R64" s="20"/>
      <c r="T64" s="21"/>
      <c r="V64" s="21"/>
      <c r="X64" s="21"/>
      <c r="Z64" s="21"/>
      <c r="AB64" s="21"/>
      <c r="AC64" s="22"/>
      <c r="AD64" s="29">
        <f t="shared" si="1"/>
        <v>0</v>
      </c>
      <c r="AE64" s="27">
        <f t="shared" si="2"/>
        <v>0</v>
      </c>
      <c r="AF64" s="27">
        <f t="shared" si="3"/>
        <v>0</v>
      </c>
      <c r="AG64" s="27">
        <f t="shared" si="4"/>
        <v>0</v>
      </c>
      <c r="AH64" s="24" t="str">
        <f t="shared" si="5"/>
        <v/>
      </c>
    </row>
    <row r="65" ht="15.75" customHeight="1">
      <c r="A65" s="30" t="s">
        <v>28</v>
      </c>
      <c r="B65" s="31">
        <f t="shared" si="6"/>
        <v>45718</v>
      </c>
      <c r="C65" s="32">
        <v>3.0</v>
      </c>
      <c r="D65" s="32" t="s">
        <v>22</v>
      </c>
      <c r="E65" s="33"/>
      <c r="F65" s="44"/>
      <c r="G65" s="35"/>
      <c r="H65" s="45"/>
      <c r="I65" s="35"/>
      <c r="J65" s="36"/>
      <c r="K65" s="35"/>
      <c r="L65" s="36"/>
      <c r="M65" s="35"/>
      <c r="N65" s="36"/>
      <c r="O65" s="35"/>
      <c r="P65" s="36"/>
      <c r="Q65" s="37"/>
      <c r="R65" s="34"/>
      <c r="S65" s="35"/>
      <c r="T65" s="36"/>
      <c r="U65" s="35"/>
      <c r="V65" s="36"/>
      <c r="W65" s="35"/>
      <c r="X65" s="36"/>
      <c r="Y65" s="35"/>
      <c r="Z65" s="36"/>
      <c r="AA65" s="35"/>
      <c r="AB65" s="36"/>
      <c r="AC65" s="37"/>
      <c r="AD65" s="38">
        <f t="shared" si="1"/>
        <v>0</v>
      </c>
      <c r="AE65" s="32">
        <f t="shared" si="2"/>
        <v>0</v>
      </c>
      <c r="AF65" s="32">
        <f t="shared" si="3"/>
        <v>0</v>
      </c>
      <c r="AG65" s="32">
        <f t="shared" si="4"/>
        <v>0</v>
      </c>
      <c r="AH65" s="39" t="str">
        <f t="shared" si="5"/>
        <v/>
      </c>
    </row>
    <row r="66" ht="15.75" customHeight="1">
      <c r="A66" s="16" t="s">
        <v>21</v>
      </c>
      <c r="B66" s="40">
        <f t="shared" si="6"/>
        <v>45719</v>
      </c>
      <c r="C66" s="18">
        <v>3.0</v>
      </c>
      <c r="D66" s="18" t="s">
        <v>29</v>
      </c>
      <c r="E66" s="19"/>
      <c r="F66" s="42"/>
      <c r="H66" s="43"/>
      <c r="J66" s="21"/>
      <c r="L66" s="21"/>
      <c r="N66" s="21"/>
      <c r="P66" s="21"/>
      <c r="Q66" s="22"/>
      <c r="R66" s="20"/>
      <c r="T66" s="21"/>
      <c r="V66" s="21"/>
      <c r="X66" s="21"/>
      <c r="Z66" s="21"/>
      <c r="AB66" s="21"/>
      <c r="AC66" s="22"/>
      <c r="AD66" s="23">
        <f t="shared" si="1"/>
        <v>0</v>
      </c>
      <c r="AE66" s="18">
        <f t="shared" si="2"/>
        <v>0</v>
      </c>
      <c r="AF66" s="18">
        <f t="shared" si="3"/>
        <v>0</v>
      </c>
      <c r="AG66" s="18">
        <f t="shared" si="4"/>
        <v>0</v>
      </c>
      <c r="AH66" s="41" t="str">
        <f t="shared" si="5"/>
        <v/>
      </c>
    </row>
    <row r="67" ht="15.75" customHeight="1">
      <c r="A67" s="25" t="s">
        <v>23</v>
      </c>
      <c r="B67" s="26">
        <f t="shared" si="6"/>
        <v>45720</v>
      </c>
      <c r="C67" s="27">
        <v>3.0</v>
      </c>
      <c r="D67" s="27" t="s">
        <v>29</v>
      </c>
      <c r="E67" s="28"/>
      <c r="F67" s="42"/>
      <c r="H67" s="43"/>
      <c r="J67" s="21"/>
      <c r="L67" s="21"/>
      <c r="N67" s="21"/>
      <c r="P67" s="21"/>
      <c r="Q67" s="22"/>
      <c r="R67" s="20"/>
      <c r="T67" s="21"/>
      <c r="V67" s="21"/>
      <c r="X67" s="21"/>
      <c r="Z67" s="21"/>
      <c r="AB67" s="21"/>
      <c r="AC67" s="22"/>
      <c r="AD67" s="29">
        <f t="shared" si="1"/>
        <v>0</v>
      </c>
      <c r="AE67" s="27">
        <f t="shared" si="2"/>
        <v>0</v>
      </c>
      <c r="AF67" s="27">
        <f t="shared" si="3"/>
        <v>0</v>
      </c>
      <c r="AG67" s="27">
        <f t="shared" si="4"/>
        <v>0</v>
      </c>
      <c r="AH67" s="24" t="str">
        <f t="shared" si="5"/>
        <v/>
      </c>
    </row>
    <row r="68" ht="15.75" customHeight="1">
      <c r="A68" s="25" t="s">
        <v>24</v>
      </c>
      <c r="B68" s="26">
        <f t="shared" si="6"/>
        <v>45721</v>
      </c>
      <c r="C68" s="27">
        <v>3.0</v>
      </c>
      <c r="D68" s="27" t="s">
        <v>29</v>
      </c>
      <c r="E68" s="28"/>
      <c r="F68" s="42"/>
      <c r="H68" s="43"/>
      <c r="J68" s="21"/>
      <c r="L68" s="21"/>
      <c r="N68" s="21"/>
      <c r="P68" s="21"/>
      <c r="Q68" s="22"/>
      <c r="R68" s="20"/>
      <c r="T68" s="21"/>
      <c r="V68" s="21"/>
      <c r="X68" s="21"/>
      <c r="Z68" s="21"/>
      <c r="AB68" s="21"/>
      <c r="AC68" s="22"/>
      <c r="AD68" s="29">
        <f t="shared" si="1"/>
        <v>0</v>
      </c>
      <c r="AE68" s="27">
        <f t="shared" si="2"/>
        <v>0</v>
      </c>
      <c r="AF68" s="27">
        <f t="shared" si="3"/>
        <v>0</v>
      </c>
      <c r="AG68" s="27">
        <f t="shared" si="4"/>
        <v>0</v>
      </c>
      <c r="AH68" s="24" t="str">
        <f t="shared" si="5"/>
        <v/>
      </c>
    </row>
    <row r="69" ht="15.75" customHeight="1">
      <c r="A69" s="25" t="s">
        <v>25</v>
      </c>
      <c r="B69" s="26">
        <f t="shared" si="6"/>
        <v>45722</v>
      </c>
      <c r="C69" s="27">
        <v>3.0</v>
      </c>
      <c r="D69" s="27" t="s">
        <v>29</v>
      </c>
      <c r="E69" s="28"/>
      <c r="F69" s="42"/>
      <c r="H69" s="43"/>
      <c r="J69" s="21"/>
      <c r="L69" s="21"/>
      <c r="N69" s="21"/>
      <c r="P69" s="21"/>
      <c r="Q69" s="22"/>
      <c r="R69" s="20"/>
      <c r="T69" s="21"/>
      <c r="V69" s="21"/>
      <c r="X69" s="21"/>
      <c r="Z69" s="21"/>
      <c r="AB69" s="21"/>
      <c r="AC69" s="22"/>
      <c r="AD69" s="29">
        <f t="shared" si="1"/>
        <v>0</v>
      </c>
      <c r="AE69" s="27">
        <f t="shared" si="2"/>
        <v>0</v>
      </c>
      <c r="AF69" s="27">
        <f t="shared" si="3"/>
        <v>0</v>
      </c>
      <c r="AG69" s="27">
        <f t="shared" si="4"/>
        <v>0</v>
      </c>
      <c r="AH69" s="24" t="str">
        <f t="shared" si="5"/>
        <v/>
      </c>
    </row>
    <row r="70" ht="15.75" customHeight="1">
      <c r="A70" s="25" t="s">
        <v>26</v>
      </c>
      <c r="B70" s="26">
        <f t="shared" si="6"/>
        <v>45723</v>
      </c>
      <c r="C70" s="27">
        <v>3.0</v>
      </c>
      <c r="D70" s="27" t="s">
        <v>29</v>
      </c>
      <c r="E70" s="28"/>
      <c r="F70" s="42"/>
      <c r="H70" s="43"/>
      <c r="J70" s="21"/>
      <c r="L70" s="21"/>
      <c r="N70" s="21"/>
      <c r="P70" s="21"/>
      <c r="Q70" s="22"/>
      <c r="R70" s="20"/>
      <c r="T70" s="21"/>
      <c r="V70" s="21"/>
      <c r="X70" s="21"/>
      <c r="Z70" s="21"/>
      <c r="AB70" s="21"/>
      <c r="AC70" s="22"/>
      <c r="AD70" s="29">
        <f t="shared" si="1"/>
        <v>0</v>
      </c>
      <c r="AE70" s="27">
        <f t="shared" si="2"/>
        <v>0</v>
      </c>
      <c r="AF70" s="27">
        <f t="shared" si="3"/>
        <v>0</v>
      </c>
      <c r="AG70" s="27">
        <f t="shared" si="4"/>
        <v>0</v>
      </c>
      <c r="AH70" s="24" t="str">
        <f t="shared" si="5"/>
        <v/>
      </c>
    </row>
    <row r="71" ht="15.75" customHeight="1">
      <c r="A71" s="25" t="s">
        <v>27</v>
      </c>
      <c r="B71" s="26">
        <f t="shared" si="6"/>
        <v>45724</v>
      </c>
      <c r="C71" s="27">
        <v>3.0</v>
      </c>
      <c r="D71" s="27" t="s">
        <v>29</v>
      </c>
      <c r="E71" s="28"/>
      <c r="F71" s="42"/>
      <c r="H71" s="43"/>
      <c r="J71" s="21"/>
      <c r="L71" s="21"/>
      <c r="N71" s="21"/>
      <c r="P71" s="21"/>
      <c r="Q71" s="22"/>
      <c r="R71" s="20"/>
      <c r="T71" s="21"/>
      <c r="V71" s="21"/>
      <c r="X71" s="21"/>
      <c r="Z71" s="21"/>
      <c r="AB71" s="21"/>
      <c r="AC71" s="22"/>
      <c r="AD71" s="29">
        <f t="shared" si="1"/>
        <v>0</v>
      </c>
      <c r="AE71" s="27">
        <f t="shared" si="2"/>
        <v>0</v>
      </c>
      <c r="AF71" s="27">
        <f t="shared" si="3"/>
        <v>0</v>
      </c>
      <c r="AG71" s="27">
        <f t="shared" si="4"/>
        <v>0</v>
      </c>
      <c r="AH71" s="24" t="str">
        <f t="shared" si="5"/>
        <v/>
      </c>
    </row>
    <row r="72" ht="15.75" customHeight="1">
      <c r="A72" s="30" t="s">
        <v>28</v>
      </c>
      <c r="B72" s="31">
        <f t="shared" si="6"/>
        <v>45725</v>
      </c>
      <c r="C72" s="32">
        <v>3.0</v>
      </c>
      <c r="D72" s="32" t="s">
        <v>29</v>
      </c>
      <c r="E72" s="33"/>
      <c r="F72" s="44"/>
      <c r="G72" s="35"/>
      <c r="H72" s="45"/>
      <c r="I72" s="35"/>
      <c r="J72" s="36"/>
      <c r="K72" s="35"/>
      <c r="L72" s="36"/>
      <c r="M72" s="35"/>
      <c r="N72" s="36"/>
      <c r="O72" s="35"/>
      <c r="P72" s="36"/>
      <c r="Q72" s="37"/>
      <c r="R72" s="34"/>
      <c r="S72" s="35"/>
      <c r="T72" s="36"/>
      <c r="U72" s="35"/>
      <c r="V72" s="36"/>
      <c r="W72" s="35"/>
      <c r="X72" s="36"/>
      <c r="Y72" s="35"/>
      <c r="Z72" s="36"/>
      <c r="AA72" s="35"/>
      <c r="AB72" s="36"/>
      <c r="AC72" s="37"/>
      <c r="AD72" s="38">
        <f t="shared" si="1"/>
        <v>0</v>
      </c>
      <c r="AE72" s="32">
        <f t="shared" si="2"/>
        <v>0</v>
      </c>
      <c r="AF72" s="32">
        <f t="shared" si="3"/>
        <v>0</v>
      </c>
      <c r="AG72" s="32">
        <f t="shared" si="4"/>
        <v>0</v>
      </c>
      <c r="AH72" s="39" t="str">
        <f t="shared" si="5"/>
        <v/>
      </c>
    </row>
    <row r="73" ht="15.75" customHeight="1">
      <c r="A73" s="16" t="s">
        <v>21</v>
      </c>
      <c r="B73" s="40">
        <f t="shared" si="6"/>
        <v>45726</v>
      </c>
      <c r="C73" s="18">
        <v>3.0</v>
      </c>
      <c r="D73" s="18" t="s">
        <v>30</v>
      </c>
      <c r="E73" s="19"/>
      <c r="F73" s="42"/>
      <c r="H73" s="43"/>
      <c r="J73" s="21"/>
      <c r="L73" s="21"/>
      <c r="N73" s="21"/>
      <c r="P73" s="21"/>
      <c r="Q73" s="22"/>
      <c r="R73" s="20"/>
      <c r="T73" s="21"/>
      <c r="V73" s="21"/>
      <c r="X73" s="21"/>
      <c r="Z73" s="21"/>
      <c r="AB73" s="21"/>
      <c r="AC73" s="22"/>
      <c r="AD73" s="23">
        <f t="shared" si="1"/>
        <v>0</v>
      </c>
      <c r="AE73" s="18">
        <f t="shared" si="2"/>
        <v>0</v>
      </c>
      <c r="AF73" s="18">
        <f t="shared" si="3"/>
        <v>0</v>
      </c>
      <c r="AG73" s="18">
        <f t="shared" si="4"/>
        <v>0</v>
      </c>
      <c r="AH73" s="41" t="str">
        <f t="shared" si="5"/>
        <v/>
      </c>
    </row>
    <row r="74" ht="15.75" customHeight="1">
      <c r="A74" s="25" t="s">
        <v>23</v>
      </c>
      <c r="B74" s="26">
        <f t="shared" si="6"/>
        <v>45727</v>
      </c>
      <c r="C74" s="27">
        <v>3.0</v>
      </c>
      <c r="D74" s="27" t="s">
        <v>30</v>
      </c>
      <c r="E74" s="28"/>
      <c r="F74" s="42"/>
      <c r="H74" s="43"/>
      <c r="J74" s="21"/>
      <c r="L74" s="21"/>
      <c r="N74" s="21"/>
      <c r="P74" s="21"/>
      <c r="Q74" s="22"/>
      <c r="R74" s="20"/>
      <c r="T74" s="21"/>
      <c r="V74" s="21"/>
      <c r="X74" s="21"/>
      <c r="Z74" s="21"/>
      <c r="AB74" s="21"/>
      <c r="AC74" s="22"/>
      <c r="AD74" s="29">
        <f t="shared" si="1"/>
        <v>0</v>
      </c>
      <c r="AE74" s="27">
        <f t="shared" si="2"/>
        <v>0</v>
      </c>
      <c r="AF74" s="27">
        <f t="shared" si="3"/>
        <v>0</v>
      </c>
      <c r="AG74" s="27">
        <f t="shared" si="4"/>
        <v>0</v>
      </c>
      <c r="AH74" s="24" t="str">
        <f t="shared" si="5"/>
        <v/>
      </c>
    </row>
    <row r="75" ht="15.75" customHeight="1">
      <c r="A75" s="25" t="s">
        <v>24</v>
      </c>
      <c r="B75" s="26">
        <f t="shared" si="6"/>
        <v>45728</v>
      </c>
      <c r="C75" s="27">
        <v>3.0</v>
      </c>
      <c r="D75" s="27" t="s">
        <v>30</v>
      </c>
      <c r="E75" s="28"/>
      <c r="F75" s="42"/>
      <c r="H75" s="43"/>
      <c r="J75" s="21"/>
      <c r="L75" s="21"/>
      <c r="N75" s="21"/>
      <c r="P75" s="21"/>
      <c r="Q75" s="22"/>
      <c r="R75" s="20"/>
      <c r="T75" s="21"/>
      <c r="V75" s="21"/>
      <c r="X75" s="21"/>
      <c r="Z75" s="21"/>
      <c r="AB75" s="21"/>
      <c r="AC75" s="22"/>
      <c r="AD75" s="29">
        <f t="shared" si="1"/>
        <v>0</v>
      </c>
      <c r="AE75" s="27">
        <f t="shared" si="2"/>
        <v>0</v>
      </c>
      <c r="AF75" s="27">
        <f t="shared" si="3"/>
        <v>0</v>
      </c>
      <c r="AG75" s="27">
        <f t="shared" si="4"/>
        <v>0</v>
      </c>
      <c r="AH75" s="24" t="str">
        <f t="shared" si="5"/>
        <v/>
      </c>
    </row>
    <row r="76" ht="15.75" customHeight="1">
      <c r="A76" s="25" t="s">
        <v>25</v>
      </c>
      <c r="B76" s="26">
        <f t="shared" si="6"/>
        <v>45729</v>
      </c>
      <c r="C76" s="27">
        <v>3.0</v>
      </c>
      <c r="D76" s="27" t="s">
        <v>30</v>
      </c>
      <c r="E76" s="28"/>
      <c r="F76" s="42"/>
      <c r="H76" s="43"/>
      <c r="J76" s="21"/>
      <c r="L76" s="21"/>
      <c r="N76" s="21"/>
      <c r="P76" s="21"/>
      <c r="Q76" s="22"/>
      <c r="R76" s="20"/>
      <c r="T76" s="21"/>
      <c r="V76" s="21"/>
      <c r="X76" s="21"/>
      <c r="Z76" s="21"/>
      <c r="AB76" s="21"/>
      <c r="AC76" s="22"/>
      <c r="AD76" s="29">
        <f t="shared" si="1"/>
        <v>0</v>
      </c>
      <c r="AE76" s="27">
        <f t="shared" si="2"/>
        <v>0</v>
      </c>
      <c r="AF76" s="27">
        <f t="shared" si="3"/>
        <v>0</v>
      </c>
      <c r="AG76" s="27">
        <f t="shared" si="4"/>
        <v>0</v>
      </c>
      <c r="AH76" s="24" t="str">
        <f t="shared" si="5"/>
        <v/>
      </c>
    </row>
    <row r="77" ht="15.75" customHeight="1">
      <c r="A77" s="25" t="s">
        <v>26</v>
      </c>
      <c r="B77" s="26">
        <f t="shared" si="6"/>
        <v>45730</v>
      </c>
      <c r="C77" s="27">
        <v>3.0</v>
      </c>
      <c r="D77" s="27" t="s">
        <v>30</v>
      </c>
      <c r="E77" s="28"/>
      <c r="F77" s="42"/>
      <c r="H77" s="43"/>
      <c r="J77" s="21"/>
      <c r="L77" s="21"/>
      <c r="N77" s="21"/>
      <c r="P77" s="21"/>
      <c r="Q77" s="22"/>
      <c r="R77" s="20"/>
      <c r="T77" s="21"/>
      <c r="V77" s="21"/>
      <c r="X77" s="21"/>
      <c r="Z77" s="21"/>
      <c r="AB77" s="21"/>
      <c r="AC77" s="22"/>
      <c r="AD77" s="29">
        <f t="shared" si="1"/>
        <v>0</v>
      </c>
      <c r="AE77" s="27">
        <f t="shared" si="2"/>
        <v>0</v>
      </c>
      <c r="AF77" s="27">
        <f t="shared" si="3"/>
        <v>0</v>
      </c>
      <c r="AG77" s="27">
        <f t="shared" si="4"/>
        <v>0</v>
      </c>
      <c r="AH77" s="24" t="str">
        <f t="shared" si="5"/>
        <v/>
      </c>
    </row>
    <row r="78" ht="15.75" customHeight="1">
      <c r="A78" s="25" t="s">
        <v>27</v>
      </c>
      <c r="B78" s="26">
        <f t="shared" si="6"/>
        <v>45731</v>
      </c>
      <c r="C78" s="27">
        <v>3.0</v>
      </c>
      <c r="D78" s="27" t="s">
        <v>30</v>
      </c>
      <c r="E78" s="28"/>
      <c r="F78" s="42"/>
      <c r="H78" s="43"/>
      <c r="J78" s="21"/>
      <c r="L78" s="21"/>
      <c r="N78" s="21"/>
      <c r="P78" s="21"/>
      <c r="Q78" s="22"/>
      <c r="R78" s="20"/>
      <c r="T78" s="21"/>
      <c r="V78" s="21"/>
      <c r="X78" s="21"/>
      <c r="Z78" s="21"/>
      <c r="AB78" s="21"/>
      <c r="AC78" s="22"/>
      <c r="AD78" s="29">
        <f t="shared" si="1"/>
        <v>0</v>
      </c>
      <c r="AE78" s="27">
        <f t="shared" si="2"/>
        <v>0</v>
      </c>
      <c r="AF78" s="27">
        <f t="shared" si="3"/>
        <v>0</v>
      </c>
      <c r="AG78" s="27">
        <f t="shared" si="4"/>
        <v>0</v>
      </c>
      <c r="AH78" s="24" t="str">
        <f t="shared" si="5"/>
        <v/>
      </c>
    </row>
    <row r="79" ht="15.75" customHeight="1">
      <c r="A79" s="30" t="s">
        <v>28</v>
      </c>
      <c r="B79" s="31">
        <f t="shared" si="6"/>
        <v>45732</v>
      </c>
      <c r="C79" s="32">
        <v>3.0</v>
      </c>
      <c r="D79" s="32" t="s">
        <v>30</v>
      </c>
      <c r="E79" s="33"/>
      <c r="F79" s="44"/>
      <c r="G79" s="35"/>
      <c r="H79" s="45"/>
      <c r="I79" s="35"/>
      <c r="J79" s="36"/>
      <c r="K79" s="35"/>
      <c r="L79" s="36"/>
      <c r="M79" s="35"/>
      <c r="N79" s="36"/>
      <c r="O79" s="35"/>
      <c r="P79" s="36"/>
      <c r="Q79" s="37"/>
      <c r="R79" s="34"/>
      <c r="S79" s="35"/>
      <c r="T79" s="36"/>
      <c r="U79" s="35"/>
      <c r="V79" s="36"/>
      <c r="W79" s="35"/>
      <c r="X79" s="36"/>
      <c r="Y79" s="35"/>
      <c r="Z79" s="36"/>
      <c r="AA79" s="35"/>
      <c r="AB79" s="36"/>
      <c r="AC79" s="37"/>
      <c r="AD79" s="38">
        <f t="shared" si="1"/>
        <v>0</v>
      </c>
      <c r="AE79" s="32">
        <f t="shared" si="2"/>
        <v>0</v>
      </c>
      <c r="AF79" s="32">
        <f t="shared" si="3"/>
        <v>0</v>
      </c>
      <c r="AG79" s="32">
        <f t="shared" si="4"/>
        <v>0</v>
      </c>
      <c r="AH79" s="39" t="str">
        <f t="shared" si="5"/>
        <v/>
      </c>
    </row>
    <row r="80" ht="15.75" customHeight="1">
      <c r="A80" s="16" t="s">
        <v>21</v>
      </c>
      <c r="B80" s="40">
        <f t="shared" si="6"/>
        <v>45733</v>
      </c>
      <c r="C80" s="18">
        <v>3.0</v>
      </c>
      <c r="D80" s="18" t="s">
        <v>31</v>
      </c>
      <c r="E80" s="19"/>
      <c r="F80" s="42"/>
      <c r="H80" s="43"/>
      <c r="J80" s="21"/>
      <c r="L80" s="21"/>
      <c r="N80" s="21"/>
      <c r="P80" s="21"/>
      <c r="Q80" s="22"/>
      <c r="R80" s="20"/>
      <c r="T80" s="21"/>
      <c r="V80" s="21"/>
      <c r="X80" s="21"/>
      <c r="Z80" s="21"/>
      <c r="AB80" s="21"/>
      <c r="AC80" s="22"/>
      <c r="AD80" s="23">
        <f t="shared" si="1"/>
        <v>0</v>
      </c>
      <c r="AE80" s="18">
        <f t="shared" si="2"/>
        <v>0</v>
      </c>
      <c r="AF80" s="18">
        <f t="shared" si="3"/>
        <v>0</v>
      </c>
      <c r="AG80" s="18">
        <f t="shared" si="4"/>
        <v>0</v>
      </c>
      <c r="AH80" s="41" t="str">
        <f t="shared" si="5"/>
        <v/>
      </c>
    </row>
    <row r="81" ht="15.75" customHeight="1">
      <c r="A81" s="25" t="s">
        <v>23</v>
      </c>
      <c r="B81" s="26">
        <f t="shared" si="6"/>
        <v>45734</v>
      </c>
      <c r="C81" s="27">
        <v>3.0</v>
      </c>
      <c r="D81" s="27" t="s">
        <v>31</v>
      </c>
      <c r="E81" s="28"/>
      <c r="F81" s="42"/>
      <c r="H81" s="43"/>
      <c r="J81" s="21"/>
      <c r="L81" s="21"/>
      <c r="N81" s="21"/>
      <c r="P81" s="21"/>
      <c r="Q81" s="22"/>
      <c r="R81" s="20"/>
      <c r="T81" s="21"/>
      <c r="V81" s="21"/>
      <c r="X81" s="21"/>
      <c r="Z81" s="21"/>
      <c r="AB81" s="21"/>
      <c r="AC81" s="22"/>
      <c r="AD81" s="29">
        <f t="shared" si="1"/>
        <v>0</v>
      </c>
      <c r="AE81" s="27">
        <f t="shared" si="2"/>
        <v>0</v>
      </c>
      <c r="AF81" s="27">
        <f t="shared" si="3"/>
        <v>0</v>
      </c>
      <c r="AG81" s="27">
        <f t="shared" si="4"/>
        <v>0</v>
      </c>
      <c r="AH81" s="24" t="str">
        <f t="shared" si="5"/>
        <v/>
      </c>
    </row>
    <row r="82" ht="15.75" customHeight="1">
      <c r="A82" s="25" t="s">
        <v>24</v>
      </c>
      <c r="B82" s="26">
        <f t="shared" si="6"/>
        <v>45735</v>
      </c>
      <c r="C82" s="27">
        <v>3.0</v>
      </c>
      <c r="D82" s="27" t="s">
        <v>31</v>
      </c>
      <c r="E82" s="28"/>
      <c r="F82" s="46"/>
      <c r="H82" s="47"/>
      <c r="J82" s="48"/>
      <c r="L82" s="48"/>
      <c r="N82" s="48"/>
      <c r="P82" s="48"/>
      <c r="Q82" s="22"/>
      <c r="R82" s="49"/>
      <c r="T82" s="48"/>
      <c r="V82" s="48"/>
      <c r="X82" s="48"/>
      <c r="Z82" s="48"/>
      <c r="AB82" s="48"/>
      <c r="AC82" s="22"/>
      <c r="AD82" s="50">
        <f t="shared" si="1"/>
        <v>0</v>
      </c>
      <c r="AE82" s="51">
        <f t="shared" si="2"/>
        <v>0</v>
      </c>
      <c r="AF82" s="27">
        <f t="shared" si="3"/>
        <v>0</v>
      </c>
      <c r="AG82" s="27">
        <f t="shared" si="4"/>
        <v>0</v>
      </c>
      <c r="AH82" s="24" t="str">
        <f t="shared" si="5"/>
        <v/>
      </c>
    </row>
    <row r="83" ht="15.75" customHeight="1">
      <c r="A83" s="25" t="s">
        <v>25</v>
      </c>
      <c r="B83" s="26">
        <f t="shared" si="6"/>
        <v>45736</v>
      </c>
      <c r="C83" s="27">
        <v>3.0</v>
      </c>
      <c r="D83" s="27" t="s">
        <v>31</v>
      </c>
      <c r="E83" s="28"/>
      <c r="F83" s="46"/>
      <c r="H83" s="47"/>
      <c r="J83" s="48"/>
      <c r="L83" s="48"/>
      <c r="N83" s="48"/>
      <c r="P83" s="48"/>
      <c r="Q83" s="22"/>
      <c r="R83" s="49"/>
      <c r="T83" s="48"/>
      <c r="V83" s="48"/>
      <c r="X83" s="48"/>
      <c r="Z83" s="48"/>
      <c r="AB83" s="48"/>
      <c r="AC83" s="22"/>
      <c r="AD83" s="50">
        <f t="shared" si="1"/>
        <v>0</v>
      </c>
      <c r="AE83" s="51">
        <f t="shared" si="2"/>
        <v>0</v>
      </c>
      <c r="AF83" s="27">
        <f t="shared" si="3"/>
        <v>0</v>
      </c>
      <c r="AG83" s="27">
        <f t="shared" si="4"/>
        <v>0</v>
      </c>
      <c r="AH83" s="24" t="str">
        <f t="shared" si="5"/>
        <v/>
      </c>
    </row>
    <row r="84" ht="15.75" customHeight="1">
      <c r="A84" s="25" t="s">
        <v>26</v>
      </c>
      <c r="B84" s="26">
        <f t="shared" si="6"/>
        <v>45737</v>
      </c>
      <c r="C84" s="27">
        <v>3.0</v>
      </c>
      <c r="D84" s="27" t="s">
        <v>31</v>
      </c>
      <c r="E84" s="28"/>
      <c r="F84" s="46"/>
      <c r="H84" s="47"/>
      <c r="J84" s="48"/>
      <c r="L84" s="48"/>
      <c r="N84" s="48"/>
      <c r="P84" s="48"/>
      <c r="Q84" s="22"/>
      <c r="R84" s="49"/>
      <c r="T84" s="48"/>
      <c r="V84" s="48"/>
      <c r="X84" s="48"/>
      <c r="Z84" s="48"/>
      <c r="AB84" s="48"/>
      <c r="AC84" s="22"/>
      <c r="AD84" s="50">
        <f t="shared" si="1"/>
        <v>0</v>
      </c>
      <c r="AE84" s="51">
        <f t="shared" si="2"/>
        <v>0</v>
      </c>
      <c r="AF84" s="27">
        <f t="shared" si="3"/>
        <v>0</v>
      </c>
      <c r="AG84" s="27">
        <f t="shared" si="4"/>
        <v>0</v>
      </c>
      <c r="AH84" s="24" t="str">
        <f t="shared" si="5"/>
        <v/>
      </c>
    </row>
    <row r="85" ht="15.75" customHeight="1">
      <c r="A85" s="25" t="s">
        <v>27</v>
      </c>
      <c r="B85" s="26">
        <f t="shared" si="6"/>
        <v>45738</v>
      </c>
      <c r="C85" s="27">
        <v>3.0</v>
      </c>
      <c r="D85" s="27" t="s">
        <v>31</v>
      </c>
      <c r="E85" s="28"/>
      <c r="F85" s="46"/>
      <c r="H85" s="47"/>
      <c r="J85" s="48"/>
      <c r="L85" s="48"/>
      <c r="N85" s="48"/>
      <c r="P85" s="48"/>
      <c r="Q85" s="22"/>
      <c r="R85" s="49"/>
      <c r="T85" s="48"/>
      <c r="V85" s="48"/>
      <c r="X85" s="48"/>
      <c r="Z85" s="48"/>
      <c r="AB85" s="48"/>
      <c r="AC85" s="22"/>
      <c r="AD85" s="50">
        <f t="shared" si="1"/>
        <v>0</v>
      </c>
      <c r="AE85" s="51">
        <f t="shared" si="2"/>
        <v>0</v>
      </c>
      <c r="AF85" s="27">
        <f t="shared" si="3"/>
        <v>0</v>
      </c>
      <c r="AG85" s="27">
        <f t="shared" si="4"/>
        <v>0</v>
      </c>
      <c r="AH85" s="24" t="str">
        <f t="shared" si="5"/>
        <v/>
      </c>
    </row>
    <row r="86" ht="15.75" customHeight="1">
      <c r="A86" s="30" t="s">
        <v>28</v>
      </c>
      <c r="B86" s="31">
        <f t="shared" si="6"/>
        <v>45739</v>
      </c>
      <c r="C86" s="32">
        <v>3.0</v>
      </c>
      <c r="D86" s="32" t="s">
        <v>31</v>
      </c>
      <c r="E86" s="33"/>
      <c r="F86" s="52"/>
      <c r="G86" s="35"/>
      <c r="H86" s="53"/>
      <c r="I86" s="35"/>
      <c r="J86" s="54"/>
      <c r="K86" s="35"/>
      <c r="L86" s="54"/>
      <c r="M86" s="35"/>
      <c r="N86" s="54"/>
      <c r="O86" s="35"/>
      <c r="P86" s="54"/>
      <c r="Q86" s="37"/>
      <c r="R86" s="55"/>
      <c r="S86" s="35"/>
      <c r="T86" s="54"/>
      <c r="U86" s="35"/>
      <c r="V86" s="54"/>
      <c r="W86" s="35"/>
      <c r="X86" s="54"/>
      <c r="Y86" s="35"/>
      <c r="Z86" s="54"/>
      <c r="AA86" s="35"/>
      <c r="AB86" s="54"/>
      <c r="AC86" s="37"/>
      <c r="AD86" s="56">
        <f t="shared" si="1"/>
        <v>0</v>
      </c>
      <c r="AE86" s="57">
        <f t="shared" si="2"/>
        <v>0</v>
      </c>
      <c r="AF86" s="32">
        <f t="shared" si="3"/>
        <v>0</v>
      </c>
      <c r="AG86" s="32">
        <f t="shared" si="4"/>
        <v>0</v>
      </c>
      <c r="AH86" s="39" t="str">
        <f t="shared" si="5"/>
        <v/>
      </c>
    </row>
    <row r="87" ht="15.75" customHeight="1">
      <c r="A87" s="16" t="s">
        <v>21</v>
      </c>
      <c r="B87" s="40">
        <f t="shared" si="6"/>
        <v>45740</v>
      </c>
      <c r="C87" s="18">
        <v>4.0</v>
      </c>
      <c r="D87" s="18" t="s">
        <v>22</v>
      </c>
      <c r="E87" s="19"/>
      <c r="F87" s="46">
        <v>0.0</v>
      </c>
      <c r="H87" s="47">
        <v>0.0</v>
      </c>
      <c r="J87" s="47">
        <v>0.0</v>
      </c>
      <c r="L87" s="47">
        <v>0.0</v>
      </c>
      <c r="N87" s="47">
        <v>0.0</v>
      </c>
      <c r="P87" s="47">
        <v>0.0</v>
      </c>
      <c r="Q87" s="22"/>
      <c r="R87" s="49"/>
      <c r="T87" s="48"/>
      <c r="V87" s="48"/>
      <c r="X87" s="48"/>
      <c r="Z87" s="48"/>
      <c r="AB87" s="48"/>
      <c r="AC87" s="22"/>
      <c r="AD87" s="86">
        <f t="shared" si="1"/>
        <v>0</v>
      </c>
      <c r="AE87" s="87">
        <f t="shared" si="2"/>
        <v>0</v>
      </c>
      <c r="AF87" s="18">
        <f t="shared" si="3"/>
        <v>0</v>
      </c>
      <c r="AG87" s="18">
        <f t="shared" si="4"/>
        <v>0</v>
      </c>
      <c r="AH87" s="41" t="str">
        <f t="shared" si="5"/>
        <v/>
      </c>
    </row>
    <row r="88" ht="15.75" customHeight="1">
      <c r="A88" s="25" t="s">
        <v>23</v>
      </c>
      <c r="B88" s="26">
        <f t="shared" si="6"/>
        <v>45741</v>
      </c>
      <c r="C88" s="27">
        <v>4.0</v>
      </c>
      <c r="D88" s="27" t="s">
        <v>22</v>
      </c>
      <c r="E88" s="28"/>
      <c r="F88" s="46">
        <v>0.0</v>
      </c>
      <c r="H88" s="47">
        <v>0.0</v>
      </c>
      <c r="J88" s="47">
        <v>0.0</v>
      </c>
      <c r="L88" s="47">
        <v>0.0</v>
      </c>
      <c r="N88" s="47">
        <v>0.0</v>
      </c>
      <c r="P88" s="47">
        <v>0.0</v>
      </c>
      <c r="Q88" s="22"/>
      <c r="R88" s="49"/>
      <c r="T88" s="48"/>
      <c r="V88" s="48"/>
      <c r="X88" s="48"/>
      <c r="Z88" s="48"/>
      <c r="AB88" s="48"/>
      <c r="AC88" s="22"/>
      <c r="AD88" s="50">
        <f t="shared" si="1"/>
        <v>0</v>
      </c>
      <c r="AE88" s="51">
        <f t="shared" si="2"/>
        <v>0</v>
      </c>
      <c r="AF88" s="27">
        <f t="shared" si="3"/>
        <v>0</v>
      </c>
      <c r="AG88" s="27">
        <f t="shared" si="4"/>
        <v>0</v>
      </c>
      <c r="AH88" s="24" t="str">
        <f t="shared" si="5"/>
        <v/>
      </c>
    </row>
    <row r="89" ht="15.75" customHeight="1">
      <c r="A89" s="25" t="s">
        <v>24</v>
      </c>
      <c r="B89" s="26">
        <f t="shared" si="6"/>
        <v>45742</v>
      </c>
      <c r="C89" s="27">
        <v>4.0</v>
      </c>
      <c r="D89" s="27" t="s">
        <v>22</v>
      </c>
      <c r="E89" s="28"/>
      <c r="F89" s="46">
        <v>0.0</v>
      </c>
      <c r="H89" s="47">
        <v>0.0</v>
      </c>
      <c r="J89" s="47">
        <v>0.0</v>
      </c>
      <c r="L89" s="47">
        <v>0.0</v>
      </c>
      <c r="N89" s="47">
        <v>0.0</v>
      </c>
      <c r="P89" s="47">
        <v>0.0</v>
      </c>
      <c r="Q89" s="22"/>
      <c r="R89" s="49"/>
      <c r="T89" s="48"/>
      <c r="V89" s="48"/>
      <c r="X89" s="48"/>
      <c r="Z89" s="48"/>
      <c r="AB89" s="48"/>
      <c r="AC89" s="22"/>
      <c r="AD89" s="50">
        <f t="shared" si="1"/>
        <v>0</v>
      </c>
      <c r="AE89" s="51">
        <f t="shared" si="2"/>
        <v>0</v>
      </c>
      <c r="AF89" s="27">
        <f t="shared" si="3"/>
        <v>0</v>
      </c>
      <c r="AG89" s="27">
        <f t="shared" si="4"/>
        <v>0</v>
      </c>
      <c r="AH89" s="24" t="str">
        <f t="shared" si="5"/>
        <v/>
      </c>
    </row>
    <row r="90" ht="15.75" customHeight="1">
      <c r="A90" s="25" t="s">
        <v>25</v>
      </c>
      <c r="B90" s="26">
        <f t="shared" si="6"/>
        <v>45743</v>
      </c>
      <c r="C90" s="27">
        <v>4.0</v>
      </c>
      <c r="D90" s="27" t="s">
        <v>22</v>
      </c>
      <c r="E90" s="28"/>
      <c r="F90" s="46">
        <v>0.0</v>
      </c>
      <c r="H90" s="47">
        <v>0.0</v>
      </c>
      <c r="J90" s="47">
        <v>0.0</v>
      </c>
      <c r="L90" s="47">
        <v>0.0</v>
      </c>
      <c r="N90" s="47">
        <v>0.0</v>
      </c>
      <c r="P90" s="47">
        <v>0.0</v>
      </c>
      <c r="Q90" s="22"/>
      <c r="R90" s="49"/>
      <c r="T90" s="48"/>
      <c r="V90" s="48"/>
      <c r="X90" s="48"/>
      <c r="Z90" s="48"/>
      <c r="AB90" s="48"/>
      <c r="AC90" s="22"/>
      <c r="AD90" s="50">
        <f t="shared" si="1"/>
        <v>0</v>
      </c>
      <c r="AE90" s="51">
        <f t="shared" si="2"/>
        <v>0</v>
      </c>
      <c r="AF90" s="27">
        <f t="shared" si="3"/>
        <v>0</v>
      </c>
      <c r="AG90" s="27">
        <f t="shared" si="4"/>
        <v>0</v>
      </c>
      <c r="AH90" s="24" t="str">
        <f t="shared" si="5"/>
        <v/>
      </c>
    </row>
    <row r="91" ht="15.75" customHeight="1">
      <c r="A91" s="25" t="s">
        <v>26</v>
      </c>
      <c r="B91" s="26">
        <f t="shared" si="6"/>
        <v>45744</v>
      </c>
      <c r="C91" s="27">
        <v>4.0</v>
      </c>
      <c r="D91" s="27" t="s">
        <v>22</v>
      </c>
      <c r="E91" s="88" t="s">
        <v>32</v>
      </c>
      <c r="F91" s="46">
        <v>45.0</v>
      </c>
      <c r="H91" s="47">
        <v>45.0</v>
      </c>
      <c r="J91" s="47">
        <v>0.0</v>
      </c>
      <c r="L91" s="47">
        <v>0.0</v>
      </c>
      <c r="N91" s="47">
        <v>0.0</v>
      </c>
      <c r="P91" s="47">
        <v>0.0</v>
      </c>
      <c r="Q91" s="22"/>
      <c r="R91" s="49"/>
      <c r="T91" s="48"/>
      <c r="V91" s="48"/>
      <c r="X91" s="48"/>
      <c r="Z91" s="48"/>
      <c r="AB91" s="48"/>
      <c r="AC91" s="22"/>
      <c r="AD91" s="50">
        <f t="shared" si="1"/>
        <v>2367.9</v>
      </c>
      <c r="AE91" s="51">
        <f t="shared" si="2"/>
        <v>90</v>
      </c>
      <c r="AF91" s="27">
        <f t="shared" si="3"/>
        <v>0</v>
      </c>
      <c r="AG91" s="27">
        <f t="shared" si="4"/>
        <v>90</v>
      </c>
      <c r="AH91" s="24">
        <f t="shared" si="5"/>
        <v>26.31</v>
      </c>
    </row>
    <row r="92" ht="15.75" customHeight="1">
      <c r="A92" s="25" t="s">
        <v>27</v>
      </c>
      <c r="B92" s="26">
        <f t="shared" si="6"/>
        <v>45745</v>
      </c>
      <c r="C92" s="27">
        <v>4.0</v>
      </c>
      <c r="D92" s="27" t="s">
        <v>22</v>
      </c>
      <c r="E92" s="88" t="s">
        <v>32</v>
      </c>
      <c r="F92" s="46">
        <v>45.0</v>
      </c>
      <c r="H92" s="47">
        <v>45.0</v>
      </c>
      <c r="J92" s="47">
        <v>0.0</v>
      </c>
      <c r="L92" s="47">
        <v>0.0</v>
      </c>
      <c r="N92" s="47">
        <v>0.0</v>
      </c>
      <c r="P92" s="47">
        <v>0.0</v>
      </c>
      <c r="Q92" s="22"/>
      <c r="R92" s="49"/>
      <c r="T92" s="48"/>
      <c r="V92" s="48"/>
      <c r="X92" s="48"/>
      <c r="Z92" s="48"/>
      <c r="AB92" s="48"/>
      <c r="AC92" s="22"/>
      <c r="AD92" s="50">
        <f t="shared" si="1"/>
        <v>2367.9</v>
      </c>
      <c r="AE92" s="51">
        <f t="shared" si="2"/>
        <v>90</v>
      </c>
      <c r="AF92" s="27">
        <f t="shared" si="3"/>
        <v>0</v>
      </c>
      <c r="AG92" s="27">
        <f t="shared" si="4"/>
        <v>90</v>
      </c>
      <c r="AH92" s="24">
        <f t="shared" si="5"/>
        <v>26.31</v>
      </c>
    </row>
    <row r="93" ht="15.75" customHeight="1">
      <c r="A93" s="30" t="s">
        <v>28</v>
      </c>
      <c r="B93" s="31">
        <f t="shared" si="6"/>
        <v>45746</v>
      </c>
      <c r="C93" s="32">
        <v>4.0</v>
      </c>
      <c r="D93" s="32" t="s">
        <v>22</v>
      </c>
      <c r="E93" s="89" t="s">
        <v>32</v>
      </c>
      <c r="F93" s="52">
        <v>45.0</v>
      </c>
      <c r="G93" s="35"/>
      <c r="H93" s="53">
        <v>45.0</v>
      </c>
      <c r="I93" s="35"/>
      <c r="J93" s="53">
        <v>0.0</v>
      </c>
      <c r="K93" s="35"/>
      <c r="L93" s="53">
        <v>0.0</v>
      </c>
      <c r="M93" s="35"/>
      <c r="N93" s="53">
        <v>0.0</v>
      </c>
      <c r="O93" s="35"/>
      <c r="P93" s="53">
        <v>0.0</v>
      </c>
      <c r="Q93" s="37"/>
      <c r="R93" s="55"/>
      <c r="S93" s="35"/>
      <c r="T93" s="54"/>
      <c r="U93" s="35"/>
      <c r="V93" s="54"/>
      <c r="W93" s="35"/>
      <c r="X93" s="54"/>
      <c r="Y93" s="35"/>
      <c r="Z93" s="54"/>
      <c r="AA93" s="35"/>
      <c r="AB93" s="54"/>
      <c r="AC93" s="37"/>
      <c r="AD93" s="56">
        <f t="shared" si="1"/>
        <v>2367.9</v>
      </c>
      <c r="AE93" s="57">
        <f t="shared" si="2"/>
        <v>90</v>
      </c>
      <c r="AF93" s="32">
        <f t="shared" si="3"/>
        <v>0</v>
      </c>
      <c r="AG93" s="32">
        <f t="shared" si="4"/>
        <v>90</v>
      </c>
      <c r="AH93" s="39">
        <f t="shared" si="5"/>
        <v>26.31</v>
      </c>
    </row>
    <row r="94" ht="15.75" customHeight="1">
      <c r="A94" s="16" t="s">
        <v>21</v>
      </c>
      <c r="B94" s="40">
        <f t="shared" si="6"/>
        <v>45747</v>
      </c>
      <c r="C94" s="18">
        <v>4.0</v>
      </c>
      <c r="D94" s="18" t="s">
        <v>29</v>
      </c>
      <c r="E94" s="85" t="s">
        <v>33</v>
      </c>
      <c r="F94" s="46">
        <v>0.0</v>
      </c>
      <c r="H94" s="47">
        <v>0.0</v>
      </c>
      <c r="J94" s="47">
        <v>0.0</v>
      </c>
      <c r="L94" s="47">
        <v>0.0</v>
      </c>
      <c r="N94" s="47">
        <v>0.0</v>
      </c>
      <c r="P94" s="47">
        <v>0.0</v>
      </c>
      <c r="Q94" s="22"/>
      <c r="R94" s="46"/>
      <c r="T94" s="47"/>
      <c r="V94" s="47"/>
      <c r="X94" s="47"/>
      <c r="Z94" s="47"/>
      <c r="AB94" s="47"/>
      <c r="AC94" s="22"/>
      <c r="AD94" s="86">
        <f t="shared" si="1"/>
        <v>0</v>
      </c>
      <c r="AE94" s="87">
        <f t="shared" si="2"/>
        <v>0</v>
      </c>
      <c r="AF94" s="18">
        <f t="shared" si="3"/>
        <v>0</v>
      </c>
      <c r="AG94" s="18">
        <f t="shared" si="4"/>
        <v>0</v>
      </c>
      <c r="AH94" s="41" t="str">
        <f t="shared" si="5"/>
        <v/>
      </c>
    </row>
    <row r="95" ht="15.75" customHeight="1">
      <c r="A95" s="25" t="s">
        <v>23</v>
      </c>
      <c r="B95" s="26">
        <f t="shared" si="6"/>
        <v>45748</v>
      </c>
      <c r="C95" s="27">
        <v>4.0</v>
      </c>
      <c r="D95" s="27" t="s">
        <v>29</v>
      </c>
      <c r="E95" s="88" t="s">
        <v>33</v>
      </c>
      <c r="F95" s="46">
        <v>0.0</v>
      </c>
      <c r="H95" s="47">
        <v>0.0</v>
      </c>
      <c r="J95" s="47">
        <v>0.0</v>
      </c>
      <c r="L95" s="47">
        <v>0.0</v>
      </c>
      <c r="N95" s="47">
        <v>0.0</v>
      </c>
      <c r="P95" s="47">
        <v>0.0</v>
      </c>
      <c r="Q95" s="22"/>
      <c r="R95" s="46"/>
      <c r="T95" s="47"/>
      <c r="V95" s="47"/>
      <c r="X95" s="47"/>
      <c r="Z95" s="47"/>
      <c r="AB95" s="47"/>
      <c r="AC95" s="22"/>
      <c r="AD95" s="50">
        <f t="shared" si="1"/>
        <v>0</v>
      </c>
      <c r="AE95" s="51">
        <f t="shared" si="2"/>
        <v>0</v>
      </c>
      <c r="AF95" s="27">
        <f t="shared" si="3"/>
        <v>0</v>
      </c>
      <c r="AG95" s="27">
        <f t="shared" si="4"/>
        <v>0</v>
      </c>
      <c r="AH95" s="24" t="str">
        <f t="shared" si="5"/>
        <v/>
      </c>
    </row>
    <row r="96" ht="15.75" customHeight="1">
      <c r="A96" s="25" t="s">
        <v>24</v>
      </c>
      <c r="B96" s="26">
        <f t="shared" si="6"/>
        <v>45749</v>
      </c>
      <c r="C96" s="27">
        <v>4.0</v>
      </c>
      <c r="D96" s="27" t="s">
        <v>29</v>
      </c>
      <c r="E96" s="88" t="s">
        <v>33</v>
      </c>
      <c r="F96" s="46">
        <v>0.0</v>
      </c>
      <c r="H96" s="47">
        <v>0.0</v>
      </c>
      <c r="J96" s="47">
        <v>0.0</v>
      </c>
      <c r="L96" s="47">
        <v>0.0</v>
      </c>
      <c r="N96" s="47">
        <v>0.0</v>
      </c>
      <c r="P96" s="47">
        <v>0.0</v>
      </c>
      <c r="Q96" s="22"/>
      <c r="R96" s="46"/>
      <c r="T96" s="47"/>
      <c r="V96" s="47"/>
      <c r="X96" s="47"/>
      <c r="Z96" s="47"/>
      <c r="AB96" s="47"/>
      <c r="AC96" s="22"/>
      <c r="AD96" s="50">
        <f t="shared" si="1"/>
        <v>0</v>
      </c>
      <c r="AE96" s="51">
        <f t="shared" si="2"/>
        <v>0</v>
      </c>
      <c r="AF96" s="27">
        <f t="shared" si="3"/>
        <v>0</v>
      </c>
      <c r="AG96" s="27">
        <f t="shared" si="4"/>
        <v>0</v>
      </c>
      <c r="AH96" s="24" t="str">
        <f t="shared" si="5"/>
        <v/>
      </c>
    </row>
    <row r="97" ht="15.75" customHeight="1">
      <c r="A97" s="25" t="s">
        <v>25</v>
      </c>
      <c r="B97" s="26">
        <f t="shared" si="6"/>
        <v>45750</v>
      </c>
      <c r="C97" s="27">
        <v>4.0</v>
      </c>
      <c r="D97" s="27" t="s">
        <v>29</v>
      </c>
      <c r="E97" s="88" t="s">
        <v>33</v>
      </c>
      <c r="F97" s="46">
        <v>0.0</v>
      </c>
      <c r="H97" s="47">
        <v>0.0</v>
      </c>
      <c r="J97" s="47">
        <v>0.0</v>
      </c>
      <c r="L97" s="47">
        <v>0.0</v>
      </c>
      <c r="N97" s="47">
        <v>0.0</v>
      </c>
      <c r="P97" s="47">
        <v>0.0</v>
      </c>
      <c r="Q97" s="22"/>
      <c r="R97" s="46"/>
      <c r="T97" s="47"/>
      <c r="V97" s="47"/>
      <c r="X97" s="47"/>
      <c r="Z97" s="47"/>
      <c r="AB97" s="47"/>
      <c r="AC97" s="22"/>
      <c r="AD97" s="50">
        <f t="shared" si="1"/>
        <v>0</v>
      </c>
      <c r="AE97" s="51">
        <f t="shared" si="2"/>
        <v>0</v>
      </c>
      <c r="AF97" s="27">
        <f t="shared" si="3"/>
        <v>0</v>
      </c>
      <c r="AG97" s="27">
        <f t="shared" si="4"/>
        <v>0</v>
      </c>
      <c r="AH97" s="24" t="str">
        <f t="shared" si="5"/>
        <v/>
      </c>
    </row>
    <row r="98" ht="15.75" customHeight="1">
      <c r="A98" s="25" t="s">
        <v>26</v>
      </c>
      <c r="B98" s="26">
        <f t="shared" si="6"/>
        <v>45751</v>
      </c>
      <c r="C98" s="27">
        <v>4.0</v>
      </c>
      <c r="D98" s="27" t="s">
        <v>29</v>
      </c>
      <c r="E98" s="88" t="s">
        <v>33</v>
      </c>
      <c r="F98" s="46">
        <v>0.0</v>
      </c>
      <c r="H98" s="47">
        <v>0.0</v>
      </c>
      <c r="J98" s="47">
        <v>0.0</v>
      </c>
      <c r="L98" s="47">
        <v>0.0</v>
      </c>
      <c r="N98" s="47">
        <v>0.0</v>
      </c>
      <c r="P98" s="47">
        <v>0.0</v>
      </c>
      <c r="Q98" s="22"/>
      <c r="R98" s="46"/>
      <c r="T98" s="47"/>
      <c r="V98" s="47"/>
      <c r="X98" s="47"/>
      <c r="Z98" s="47"/>
      <c r="AB98" s="47"/>
      <c r="AC98" s="22"/>
      <c r="AD98" s="50">
        <f t="shared" si="1"/>
        <v>0</v>
      </c>
      <c r="AE98" s="51">
        <f t="shared" si="2"/>
        <v>0</v>
      </c>
      <c r="AF98" s="27">
        <f t="shared" si="3"/>
        <v>0</v>
      </c>
      <c r="AG98" s="27">
        <f t="shared" si="4"/>
        <v>0</v>
      </c>
      <c r="AH98" s="24" t="str">
        <f t="shared" si="5"/>
        <v/>
      </c>
    </row>
    <row r="99" ht="15.75" customHeight="1">
      <c r="A99" s="25" t="s">
        <v>27</v>
      </c>
      <c r="B99" s="26">
        <f t="shared" si="6"/>
        <v>45752</v>
      </c>
      <c r="C99" s="27">
        <v>4.0</v>
      </c>
      <c r="D99" s="27" t="s">
        <v>29</v>
      </c>
      <c r="E99" s="88" t="s">
        <v>33</v>
      </c>
      <c r="F99" s="46">
        <v>0.0</v>
      </c>
      <c r="H99" s="47">
        <v>0.0</v>
      </c>
      <c r="J99" s="47">
        <v>0.0</v>
      </c>
      <c r="L99" s="47">
        <v>0.0</v>
      </c>
      <c r="N99" s="47">
        <v>0.0</v>
      </c>
      <c r="P99" s="47">
        <v>0.0</v>
      </c>
      <c r="Q99" s="22"/>
      <c r="R99" s="46"/>
      <c r="T99" s="47"/>
      <c r="V99" s="47"/>
      <c r="X99" s="47"/>
      <c r="Z99" s="47"/>
      <c r="AB99" s="47"/>
      <c r="AC99" s="22"/>
      <c r="AD99" s="50">
        <f t="shared" si="1"/>
        <v>0</v>
      </c>
      <c r="AE99" s="51">
        <f t="shared" si="2"/>
        <v>0</v>
      </c>
      <c r="AF99" s="27">
        <f t="shared" si="3"/>
        <v>0</v>
      </c>
      <c r="AG99" s="27">
        <f t="shared" si="4"/>
        <v>0</v>
      </c>
      <c r="AH99" s="24" t="str">
        <f t="shared" si="5"/>
        <v/>
      </c>
    </row>
    <row r="100" ht="15.75" customHeight="1">
      <c r="A100" s="30" t="s">
        <v>28</v>
      </c>
      <c r="B100" s="31">
        <f t="shared" si="6"/>
        <v>45753</v>
      </c>
      <c r="C100" s="32">
        <v>4.0</v>
      </c>
      <c r="D100" s="32" t="s">
        <v>29</v>
      </c>
      <c r="E100" s="89" t="s">
        <v>33</v>
      </c>
      <c r="F100" s="53">
        <v>0.0</v>
      </c>
      <c r="G100" s="35"/>
      <c r="H100" s="53">
        <v>0.0</v>
      </c>
      <c r="I100" s="35"/>
      <c r="J100" s="53">
        <v>0.0</v>
      </c>
      <c r="K100" s="35"/>
      <c r="L100" s="53">
        <v>0.0</v>
      </c>
      <c r="M100" s="35"/>
      <c r="N100" s="53">
        <v>0.0</v>
      </c>
      <c r="O100" s="35"/>
      <c r="P100" s="53">
        <v>0.0</v>
      </c>
      <c r="Q100" s="37"/>
      <c r="R100" s="52"/>
      <c r="S100" s="35"/>
      <c r="T100" s="53"/>
      <c r="U100" s="35"/>
      <c r="V100" s="53"/>
      <c r="W100" s="35"/>
      <c r="X100" s="53"/>
      <c r="Y100" s="35"/>
      <c r="Z100" s="53"/>
      <c r="AA100" s="35"/>
      <c r="AB100" s="53"/>
      <c r="AC100" s="37"/>
      <c r="AD100" s="56">
        <f t="shared" si="1"/>
        <v>0</v>
      </c>
      <c r="AE100" s="57">
        <f t="shared" si="2"/>
        <v>0</v>
      </c>
      <c r="AF100" s="32">
        <f t="shared" si="3"/>
        <v>0</v>
      </c>
      <c r="AG100" s="32">
        <f t="shared" si="4"/>
        <v>0</v>
      </c>
      <c r="AH100" s="39" t="str">
        <f t="shared" si="5"/>
        <v/>
      </c>
    </row>
    <row r="101" ht="15.75" customHeight="1">
      <c r="A101" s="16" t="s">
        <v>21</v>
      </c>
      <c r="B101" s="40">
        <f t="shared" si="6"/>
        <v>45754</v>
      </c>
      <c r="C101" s="18">
        <v>4.0</v>
      </c>
      <c r="D101" s="18" t="s">
        <v>30</v>
      </c>
      <c r="E101" s="85" t="s">
        <v>33</v>
      </c>
      <c r="F101" s="46">
        <v>0.0</v>
      </c>
      <c r="H101" s="47">
        <v>0.0</v>
      </c>
      <c r="J101" s="47">
        <v>0.0</v>
      </c>
      <c r="L101" s="47">
        <v>0.0</v>
      </c>
      <c r="N101" s="47">
        <v>0.0</v>
      </c>
      <c r="P101" s="47">
        <v>0.0</v>
      </c>
      <c r="Q101" s="22"/>
      <c r="R101" s="49"/>
      <c r="T101" s="48"/>
      <c r="V101" s="48"/>
      <c r="X101" s="48"/>
      <c r="Z101" s="48"/>
      <c r="AB101" s="48"/>
      <c r="AC101" s="22"/>
      <c r="AD101" s="86">
        <f t="shared" si="1"/>
        <v>0</v>
      </c>
      <c r="AE101" s="87">
        <f t="shared" si="2"/>
        <v>0</v>
      </c>
      <c r="AF101" s="18">
        <f t="shared" si="3"/>
        <v>0</v>
      </c>
      <c r="AG101" s="18">
        <f t="shared" si="4"/>
        <v>0</v>
      </c>
      <c r="AH101" s="41" t="str">
        <f t="shared" si="5"/>
        <v/>
      </c>
    </row>
    <row r="102" ht="15.75" customHeight="1">
      <c r="A102" s="25" t="s">
        <v>23</v>
      </c>
      <c r="B102" s="26">
        <f t="shared" si="6"/>
        <v>45755</v>
      </c>
      <c r="C102" s="27">
        <v>4.0</v>
      </c>
      <c r="D102" s="27" t="s">
        <v>30</v>
      </c>
      <c r="E102" s="88" t="s">
        <v>34</v>
      </c>
      <c r="F102" s="46">
        <v>0.0</v>
      </c>
      <c r="H102" s="47">
        <v>45.0</v>
      </c>
      <c r="J102" s="47">
        <v>45.0</v>
      </c>
      <c r="L102" s="47">
        <v>0.0</v>
      </c>
      <c r="N102" s="47">
        <v>0.0</v>
      </c>
      <c r="P102" s="47">
        <v>0.0</v>
      </c>
      <c r="Q102" s="22"/>
      <c r="R102" s="49"/>
      <c r="T102" s="48"/>
      <c r="V102" s="48"/>
      <c r="X102" s="48"/>
      <c r="Z102" s="48"/>
      <c r="AB102" s="48"/>
      <c r="AC102" s="22"/>
      <c r="AD102" s="50">
        <f t="shared" si="1"/>
        <v>2367.9</v>
      </c>
      <c r="AE102" s="51">
        <f t="shared" si="2"/>
        <v>90</v>
      </c>
      <c r="AF102" s="27">
        <f t="shared" si="3"/>
        <v>0</v>
      </c>
      <c r="AG102" s="27">
        <f t="shared" si="4"/>
        <v>90</v>
      </c>
      <c r="AH102" s="24">
        <f t="shared" si="5"/>
        <v>26.31</v>
      </c>
    </row>
    <row r="103" ht="15.75" customHeight="1">
      <c r="A103" s="25" t="s">
        <v>24</v>
      </c>
      <c r="B103" s="26">
        <f t="shared" si="6"/>
        <v>45756</v>
      </c>
      <c r="C103" s="27">
        <v>4.0</v>
      </c>
      <c r="D103" s="27" t="s">
        <v>30</v>
      </c>
      <c r="E103" s="88" t="s">
        <v>34</v>
      </c>
      <c r="F103" s="46">
        <v>0.0</v>
      </c>
      <c r="H103" s="47">
        <v>45.0</v>
      </c>
      <c r="J103" s="47">
        <v>45.0</v>
      </c>
      <c r="L103" s="47">
        <v>0.0</v>
      </c>
      <c r="N103" s="47">
        <v>0.0</v>
      </c>
      <c r="P103" s="47">
        <v>0.0</v>
      </c>
      <c r="Q103" s="22"/>
      <c r="R103" s="49"/>
      <c r="T103" s="48"/>
      <c r="V103" s="48"/>
      <c r="X103" s="48"/>
      <c r="Z103" s="48"/>
      <c r="AB103" s="48"/>
      <c r="AC103" s="22"/>
      <c r="AD103" s="50">
        <f t="shared" si="1"/>
        <v>2367.9</v>
      </c>
      <c r="AE103" s="51">
        <f t="shared" si="2"/>
        <v>90</v>
      </c>
      <c r="AF103" s="27">
        <f t="shared" si="3"/>
        <v>0</v>
      </c>
      <c r="AG103" s="27">
        <f t="shared" si="4"/>
        <v>90</v>
      </c>
      <c r="AH103" s="24">
        <f t="shared" si="5"/>
        <v>26.31</v>
      </c>
    </row>
    <row r="104" ht="15.75" customHeight="1">
      <c r="A104" s="25" t="s">
        <v>25</v>
      </c>
      <c r="B104" s="26">
        <f t="shared" si="6"/>
        <v>45757</v>
      </c>
      <c r="C104" s="27">
        <v>4.0</v>
      </c>
      <c r="D104" s="27" t="s">
        <v>30</v>
      </c>
      <c r="E104" s="88" t="s">
        <v>32</v>
      </c>
      <c r="F104" s="46">
        <v>45.0</v>
      </c>
      <c r="H104" s="47">
        <v>45.0</v>
      </c>
      <c r="J104" s="47">
        <v>0.0</v>
      </c>
      <c r="L104" s="47">
        <v>0.0</v>
      </c>
      <c r="N104" s="47">
        <v>0.0</v>
      </c>
      <c r="P104" s="47">
        <v>0.0</v>
      </c>
      <c r="Q104" s="22"/>
      <c r="R104" s="49"/>
      <c r="T104" s="48"/>
      <c r="V104" s="48"/>
      <c r="X104" s="48"/>
      <c r="Z104" s="48"/>
      <c r="AB104" s="48"/>
      <c r="AC104" s="22"/>
      <c r="AD104" s="50">
        <f t="shared" si="1"/>
        <v>2367.9</v>
      </c>
      <c r="AE104" s="51">
        <f t="shared" si="2"/>
        <v>90</v>
      </c>
      <c r="AF104" s="27">
        <f t="shared" si="3"/>
        <v>0</v>
      </c>
      <c r="AG104" s="27">
        <f t="shared" si="4"/>
        <v>90</v>
      </c>
      <c r="AH104" s="24">
        <f t="shared" si="5"/>
        <v>26.31</v>
      </c>
    </row>
    <row r="105" ht="15.75" customHeight="1">
      <c r="A105" s="25" t="s">
        <v>26</v>
      </c>
      <c r="B105" s="26">
        <f t="shared" si="6"/>
        <v>45758</v>
      </c>
      <c r="C105" s="27">
        <v>4.0</v>
      </c>
      <c r="D105" s="27" t="s">
        <v>30</v>
      </c>
      <c r="E105" s="88" t="s">
        <v>34</v>
      </c>
      <c r="F105" s="46">
        <v>0.0</v>
      </c>
      <c r="H105" s="47">
        <v>45.0</v>
      </c>
      <c r="J105" s="47">
        <v>45.0</v>
      </c>
      <c r="L105" s="47">
        <v>0.0</v>
      </c>
      <c r="N105" s="47">
        <v>0.0</v>
      </c>
      <c r="P105" s="47">
        <v>0.0</v>
      </c>
      <c r="Q105" s="22"/>
      <c r="R105" s="49"/>
      <c r="T105" s="48"/>
      <c r="V105" s="48"/>
      <c r="X105" s="48"/>
      <c r="Z105" s="48"/>
      <c r="AB105" s="48"/>
      <c r="AC105" s="22"/>
      <c r="AD105" s="50">
        <f t="shared" si="1"/>
        <v>2367.9</v>
      </c>
      <c r="AE105" s="51">
        <f t="shared" si="2"/>
        <v>90</v>
      </c>
      <c r="AF105" s="27">
        <f t="shared" si="3"/>
        <v>0</v>
      </c>
      <c r="AG105" s="27">
        <f t="shared" si="4"/>
        <v>90</v>
      </c>
      <c r="AH105" s="24">
        <f t="shared" si="5"/>
        <v>26.31</v>
      </c>
    </row>
    <row r="106" ht="15.75" customHeight="1">
      <c r="A106" s="25" t="s">
        <v>27</v>
      </c>
      <c r="B106" s="26">
        <f t="shared" si="6"/>
        <v>45759</v>
      </c>
      <c r="C106" s="27">
        <v>4.0</v>
      </c>
      <c r="D106" s="27" t="s">
        <v>30</v>
      </c>
      <c r="E106" s="88" t="s">
        <v>32</v>
      </c>
      <c r="F106" s="46">
        <v>45.0</v>
      </c>
      <c r="H106" s="47">
        <v>45.0</v>
      </c>
      <c r="J106" s="47">
        <v>0.0</v>
      </c>
      <c r="L106" s="47">
        <v>0.0</v>
      </c>
      <c r="N106" s="47">
        <v>0.0</v>
      </c>
      <c r="P106" s="47">
        <v>0.0</v>
      </c>
      <c r="Q106" s="22"/>
      <c r="R106" s="49"/>
      <c r="T106" s="48"/>
      <c r="V106" s="48"/>
      <c r="X106" s="48"/>
      <c r="Z106" s="48"/>
      <c r="AB106" s="48"/>
      <c r="AC106" s="22"/>
      <c r="AD106" s="50">
        <f t="shared" si="1"/>
        <v>2367.9</v>
      </c>
      <c r="AE106" s="51">
        <f t="shared" si="2"/>
        <v>90</v>
      </c>
      <c r="AF106" s="27">
        <f t="shared" si="3"/>
        <v>0</v>
      </c>
      <c r="AG106" s="27">
        <f t="shared" si="4"/>
        <v>90</v>
      </c>
      <c r="AH106" s="24">
        <f t="shared" si="5"/>
        <v>26.31</v>
      </c>
    </row>
    <row r="107" ht="15.75" customHeight="1">
      <c r="A107" s="128" t="s">
        <v>28</v>
      </c>
      <c r="B107" s="129">
        <f t="shared" si="6"/>
        <v>45760</v>
      </c>
      <c r="C107" s="130">
        <v>4.0</v>
      </c>
      <c r="D107" s="130" t="s">
        <v>30</v>
      </c>
      <c r="E107" s="131" t="s">
        <v>32</v>
      </c>
      <c r="F107" s="132">
        <v>0.0</v>
      </c>
      <c r="G107" s="35"/>
      <c r="H107" s="133">
        <v>0.0</v>
      </c>
      <c r="I107" s="35"/>
      <c r="J107" s="133">
        <v>0.0</v>
      </c>
      <c r="K107" s="35"/>
      <c r="L107" s="133">
        <v>0.0</v>
      </c>
      <c r="M107" s="35"/>
      <c r="N107" s="133">
        <v>0.0</v>
      </c>
      <c r="O107" s="35"/>
      <c r="P107" s="133">
        <v>0.0</v>
      </c>
      <c r="Q107" s="37"/>
      <c r="R107" s="134"/>
      <c r="S107" s="35"/>
      <c r="T107" s="135"/>
      <c r="U107" s="35"/>
      <c r="V107" s="135"/>
      <c r="W107" s="35"/>
      <c r="X107" s="135"/>
      <c r="Y107" s="35"/>
      <c r="Z107" s="135"/>
      <c r="AA107" s="35"/>
      <c r="AB107" s="135"/>
      <c r="AC107" s="37"/>
      <c r="AD107" s="136">
        <f t="shared" si="1"/>
        <v>0</v>
      </c>
      <c r="AE107" s="130">
        <f t="shared" si="2"/>
        <v>0</v>
      </c>
      <c r="AF107" s="130">
        <f t="shared" si="3"/>
        <v>0</v>
      </c>
      <c r="AG107" s="130">
        <f t="shared" si="4"/>
        <v>0</v>
      </c>
      <c r="AH107" s="137" t="str">
        <f t="shared" si="5"/>
        <v/>
      </c>
    </row>
    <row r="108" ht="15.75" customHeight="1">
      <c r="A108" s="116" t="s">
        <v>21</v>
      </c>
      <c r="B108" s="117">
        <f t="shared" si="6"/>
        <v>45761</v>
      </c>
      <c r="C108" s="87">
        <v>4.0</v>
      </c>
      <c r="D108" s="87" t="s">
        <v>31</v>
      </c>
      <c r="E108" s="118" t="s">
        <v>33</v>
      </c>
      <c r="F108" s="46">
        <v>0.0</v>
      </c>
      <c r="H108" s="47">
        <v>0.0</v>
      </c>
      <c r="J108" s="47">
        <v>0.0</v>
      </c>
      <c r="L108" s="47">
        <v>0.0</v>
      </c>
      <c r="N108" s="47">
        <v>0.0</v>
      </c>
      <c r="P108" s="47">
        <v>0.0</v>
      </c>
      <c r="Q108" s="22"/>
      <c r="R108" s="49"/>
      <c r="T108" s="48"/>
      <c r="V108" s="48"/>
      <c r="X108" s="48"/>
      <c r="Z108" s="48"/>
      <c r="AB108" s="48"/>
      <c r="AC108" s="22"/>
      <c r="AD108" s="86">
        <f t="shared" si="1"/>
        <v>0</v>
      </c>
      <c r="AE108" s="87">
        <f t="shared" si="2"/>
        <v>0</v>
      </c>
      <c r="AF108" s="87">
        <f t="shared" si="3"/>
        <v>0</v>
      </c>
      <c r="AG108" s="87">
        <f t="shared" si="4"/>
        <v>0</v>
      </c>
      <c r="AH108" s="119" t="str">
        <f t="shared" si="5"/>
        <v/>
      </c>
    </row>
    <row r="109" ht="15.75" customHeight="1">
      <c r="A109" s="120" t="s">
        <v>23</v>
      </c>
      <c r="B109" s="121">
        <f t="shared" si="6"/>
        <v>45762</v>
      </c>
      <c r="C109" s="51">
        <v>4.0</v>
      </c>
      <c r="D109" s="51" t="s">
        <v>31</v>
      </c>
      <c r="E109" s="122" t="s">
        <v>33</v>
      </c>
      <c r="F109" s="46">
        <v>0.0</v>
      </c>
      <c r="H109" s="47">
        <v>0.0</v>
      </c>
      <c r="J109" s="47">
        <v>0.0</v>
      </c>
      <c r="L109" s="47">
        <v>0.0</v>
      </c>
      <c r="N109" s="47">
        <v>0.0</v>
      </c>
      <c r="P109" s="47">
        <v>0.0</v>
      </c>
      <c r="Q109" s="22"/>
      <c r="R109" s="49"/>
      <c r="T109" s="48"/>
      <c r="V109" s="48"/>
      <c r="X109" s="48"/>
      <c r="Z109" s="48"/>
      <c r="AB109" s="48"/>
      <c r="AC109" s="22"/>
      <c r="AD109" s="50">
        <f t="shared" si="1"/>
        <v>0</v>
      </c>
      <c r="AE109" s="51">
        <f t="shared" si="2"/>
        <v>0</v>
      </c>
      <c r="AF109" s="51">
        <f t="shared" si="3"/>
        <v>0</v>
      </c>
      <c r="AG109" s="51">
        <f t="shared" si="4"/>
        <v>0</v>
      </c>
      <c r="AH109" s="123" t="str">
        <f t="shared" si="5"/>
        <v/>
      </c>
    </row>
    <row r="110" ht="15.75" customHeight="1">
      <c r="A110" s="120" t="s">
        <v>24</v>
      </c>
      <c r="B110" s="121">
        <f t="shared" si="6"/>
        <v>45763</v>
      </c>
      <c r="C110" s="51">
        <v>4.0</v>
      </c>
      <c r="D110" s="51" t="s">
        <v>31</v>
      </c>
      <c r="E110" s="122" t="s">
        <v>33</v>
      </c>
      <c r="F110" s="46">
        <v>0.0</v>
      </c>
      <c r="H110" s="47">
        <v>0.0</v>
      </c>
      <c r="J110" s="47">
        <v>0.0</v>
      </c>
      <c r="L110" s="47">
        <v>0.0</v>
      </c>
      <c r="N110" s="47">
        <v>0.0</v>
      </c>
      <c r="P110" s="47">
        <v>0.0</v>
      </c>
      <c r="Q110" s="22"/>
      <c r="R110" s="49"/>
      <c r="T110" s="48"/>
      <c r="V110" s="48"/>
      <c r="X110" s="48"/>
      <c r="Z110" s="48"/>
      <c r="AB110" s="48"/>
      <c r="AC110" s="22"/>
      <c r="AD110" s="50">
        <f t="shared" si="1"/>
        <v>0</v>
      </c>
      <c r="AE110" s="51">
        <f t="shared" si="2"/>
        <v>0</v>
      </c>
      <c r="AF110" s="51">
        <f t="shared" si="3"/>
        <v>0</v>
      </c>
      <c r="AG110" s="51">
        <f t="shared" si="4"/>
        <v>0</v>
      </c>
      <c r="AH110" s="123" t="str">
        <f t="shared" si="5"/>
        <v/>
      </c>
    </row>
    <row r="111" ht="15.75" customHeight="1">
      <c r="A111" s="120" t="s">
        <v>25</v>
      </c>
      <c r="B111" s="121">
        <f t="shared" si="6"/>
        <v>45764</v>
      </c>
      <c r="C111" s="51">
        <v>4.0</v>
      </c>
      <c r="D111" s="51" t="s">
        <v>31</v>
      </c>
      <c r="E111" s="122" t="s">
        <v>33</v>
      </c>
      <c r="F111" s="46">
        <v>0.0</v>
      </c>
      <c r="H111" s="47">
        <v>0.0</v>
      </c>
      <c r="J111" s="47">
        <v>0.0</v>
      </c>
      <c r="L111" s="47">
        <v>0.0</v>
      </c>
      <c r="N111" s="47">
        <v>0.0</v>
      </c>
      <c r="P111" s="47">
        <v>0.0</v>
      </c>
      <c r="Q111" s="22"/>
      <c r="R111" s="49"/>
      <c r="T111" s="48"/>
      <c r="V111" s="48"/>
      <c r="X111" s="48"/>
      <c r="Z111" s="48"/>
      <c r="AB111" s="48"/>
      <c r="AC111" s="22"/>
      <c r="AD111" s="50">
        <f t="shared" si="1"/>
        <v>0</v>
      </c>
      <c r="AE111" s="51">
        <f t="shared" si="2"/>
        <v>0</v>
      </c>
      <c r="AF111" s="51">
        <f t="shared" si="3"/>
        <v>0</v>
      </c>
      <c r="AG111" s="51">
        <f t="shared" si="4"/>
        <v>0</v>
      </c>
      <c r="AH111" s="123" t="str">
        <f t="shared" si="5"/>
        <v/>
      </c>
    </row>
    <row r="112" ht="15.75" customHeight="1">
      <c r="A112" s="120" t="s">
        <v>26</v>
      </c>
      <c r="B112" s="121">
        <f t="shared" si="6"/>
        <v>45765</v>
      </c>
      <c r="C112" s="51">
        <v>4.0</v>
      </c>
      <c r="D112" s="51" t="s">
        <v>31</v>
      </c>
      <c r="E112" s="122" t="s">
        <v>33</v>
      </c>
      <c r="F112" s="46">
        <v>0.0</v>
      </c>
      <c r="H112" s="47">
        <v>0.0</v>
      </c>
      <c r="J112" s="47">
        <v>0.0</v>
      </c>
      <c r="L112" s="47">
        <v>0.0</v>
      </c>
      <c r="N112" s="47">
        <v>0.0</v>
      </c>
      <c r="P112" s="47">
        <v>0.0</v>
      </c>
      <c r="Q112" s="22"/>
      <c r="R112" s="49"/>
      <c r="T112" s="48"/>
      <c r="V112" s="48"/>
      <c r="X112" s="48"/>
      <c r="Z112" s="48"/>
      <c r="AB112" s="48"/>
      <c r="AC112" s="22"/>
      <c r="AD112" s="50">
        <f t="shared" si="1"/>
        <v>0</v>
      </c>
      <c r="AE112" s="51">
        <f t="shared" si="2"/>
        <v>0</v>
      </c>
      <c r="AF112" s="51">
        <f t="shared" si="3"/>
        <v>0</v>
      </c>
      <c r="AG112" s="51">
        <f t="shared" si="4"/>
        <v>0</v>
      </c>
      <c r="AH112" s="123" t="str">
        <f t="shared" si="5"/>
        <v/>
      </c>
    </row>
    <row r="113" ht="15.75" customHeight="1">
      <c r="A113" s="120" t="s">
        <v>27</v>
      </c>
      <c r="B113" s="121">
        <f t="shared" si="6"/>
        <v>45766</v>
      </c>
      <c r="C113" s="51">
        <v>4.0</v>
      </c>
      <c r="D113" s="51" t="s">
        <v>31</v>
      </c>
      <c r="E113" s="122" t="s">
        <v>33</v>
      </c>
      <c r="F113" s="46">
        <v>0.0</v>
      </c>
      <c r="H113" s="47">
        <v>0.0</v>
      </c>
      <c r="J113" s="47">
        <v>0.0</v>
      </c>
      <c r="L113" s="47">
        <v>0.0</v>
      </c>
      <c r="N113" s="47">
        <v>0.0</v>
      </c>
      <c r="P113" s="47">
        <v>0.0</v>
      </c>
      <c r="Q113" s="22"/>
      <c r="R113" s="49"/>
      <c r="T113" s="48"/>
      <c r="V113" s="48"/>
      <c r="X113" s="48"/>
      <c r="Z113" s="48"/>
      <c r="AB113" s="48"/>
      <c r="AC113" s="22"/>
      <c r="AD113" s="50">
        <f t="shared" si="1"/>
        <v>0</v>
      </c>
      <c r="AE113" s="51">
        <f t="shared" si="2"/>
        <v>0</v>
      </c>
      <c r="AF113" s="51">
        <f t="shared" si="3"/>
        <v>0</v>
      </c>
      <c r="AG113" s="51">
        <f t="shared" si="4"/>
        <v>0</v>
      </c>
      <c r="AH113" s="123" t="str">
        <f t="shared" si="5"/>
        <v/>
      </c>
    </row>
    <row r="114" ht="15.75" customHeight="1">
      <c r="A114" s="124" t="s">
        <v>28</v>
      </c>
      <c r="B114" s="125">
        <f t="shared" si="6"/>
        <v>45767</v>
      </c>
      <c r="C114" s="57">
        <v>4.0</v>
      </c>
      <c r="D114" s="57" t="s">
        <v>31</v>
      </c>
      <c r="E114" s="126" t="s">
        <v>33</v>
      </c>
      <c r="F114" s="53">
        <v>0.0</v>
      </c>
      <c r="G114" s="35"/>
      <c r="H114" s="53">
        <v>0.0</v>
      </c>
      <c r="I114" s="35"/>
      <c r="J114" s="53">
        <v>0.0</v>
      </c>
      <c r="K114" s="35"/>
      <c r="L114" s="53">
        <v>0.0</v>
      </c>
      <c r="M114" s="35"/>
      <c r="N114" s="53">
        <v>0.0</v>
      </c>
      <c r="O114" s="35"/>
      <c r="P114" s="53">
        <v>0.0</v>
      </c>
      <c r="Q114" s="37"/>
      <c r="R114" s="55"/>
      <c r="S114" s="35"/>
      <c r="T114" s="54"/>
      <c r="U114" s="35"/>
      <c r="V114" s="54"/>
      <c r="W114" s="35"/>
      <c r="X114" s="54"/>
      <c r="Y114" s="35"/>
      <c r="Z114" s="54"/>
      <c r="AA114" s="35"/>
      <c r="AB114" s="54"/>
      <c r="AC114" s="37"/>
      <c r="AD114" s="56">
        <f t="shared" si="1"/>
        <v>0</v>
      </c>
      <c r="AE114" s="57">
        <f t="shared" si="2"/>
        <v>0</v>
      </c>
      <c r="AF114" s="57">
        <f t="shared" si="3"/>
        <v>0</v>
      </c>
      <c r="AG114" s="57">
        <f t="shared" si="4"/>
        <v>0</v>
      </c>
      <c r="AH114" s="127" t="str">
        <f t="shared" si="5"/>
        <v/>
      </c>
    </row>
    <row r="115" ht="15.75" customHeight="1">
      <c r="A115" s="116" t="s">
        <v>21</v>
      </c>
      <c r="B115" s="117">
        <f t="shared" si="6"/>
        <v>45768</v>
      </c>
      <c r="C115" s="87">
        <v>5.0</v>
      </c>
      <c r="D115" s="87" t="s">
        <v>22</v>
      </c>
      <c r="E115" s="118" t="s">
        <v>33</v>
      </c>
      <c r="F115" s="46">
        <v>0.0</v>
      </c>
      <c r="H115" s="47">
        <v>0.0</v>
      </c>
      <c r="J115" s="47">
        <v>0.0</v>
      </c>
      <c r="L115" s="47">
        <v>0.0</v>
      </c>
      <c r="N115" s="47">
        <v>0.0</v>
      </c>
      <c r="P115" s="47">
        <v>0.0</v>
      </c>
      <c r="Q115" s="22"/>
      <c r="R115" s="49"/>
      <c r="T115" s="48"/>
      <c r="V115" s="48"/>
      <c r="X115" s="48"/>
      <c r="Z115" s="48"/>
      <c r="AB115" s="48"/>
      <c r="AC115" s="22"/>
      <c r="AD115" s="86">
        <f t="shared" si="1"/>
        <v>0</v>
      </c>
      <c r="AE115" s="87">
        <f t="shared" si="2"/>
        <v>0</v>
      </c>
      <c r="AF115" s="87">
        <f t="shared" si="3"/>
        <v>0</v>
      </c>
      <c r="AG115" s="87">
        <f t="shared" si="4"/>
        <v>0</v>
      </c>
      <c r="AH115" s="119" t="str">
        <f t="shared" si="5"/>
        <v/>
      </c>
    </row>
    <row r="116" ht="15.75" customHeight="1">
      <c r="A116" s="120" t="s">
        <v>23</v>
      </c>
      <c r="B116" s="121">
        <f t="shared" si="6"/>
        <v>45769</v>
      </c>
      <c r="C116" s="51">
        <v>5.0</v>
      </c>
      <c r="D116" s="51" t="s">
        <v>22</v>
      </c>
      <c r="E116" s="122" t="s">
        <v>34</v>
      </c>
      <c r="F116" s="46">
        <v>0.0</v>
      </c>
      <c r="H116" s="47">
        <v>45.0</v>
      </c>
      <c r="J116" s="47">
        <v>45.0</v>
      </c>
      <c r="L116" s="47">
        <v>0.0</v>
      </c>
      <c r="N116" s="47">
        <v>0.0</v>
      </c>
      <c r="P116" s="47">
        <v>0.0</v>
      </c>
      <c r="Q116" s="22"/>
      <c r="R116" s="49"/>
      <c r="T116" s="48"/>
      <c r="V116" s="48"/>
      <c r="X116" s="48"/>
      <c r="Z116" s="48"/>
      <c r="AB116" s="48"/>
      <c r="AC116" s="22"/>
      <c r="AD116" s="50">
        <f t="shared" si="1"/>
        <v>2367.9</v>
      </c>
      <c r="AE116" s="51">
        <f t="shared" si="2"/>
        <v>90</v>
      </c>
      <c r="AF116" s="51">
        <f t="shared" si="3"/>
        <v>0</v>
      </c>
      <c r="AG116" s="51">
        <f t="shared" si="4"/>
        <v>90</v>
      </c>
      <c r="AH116" s="123">
        <f t="shared" si="5"/>
        <v>26.31</v>
      </c>
    </row>
    <row r="117" ht="15.75" customHeight="1">
      <c r="A117" s="120" t="s">
        <v>24</v>
      </c>
      <c r="B117" s="121">
        <f t="shared" si="6"/>
        <v>45770</v>
      </c>
      <c r="C117" s="51">
        <v>5.0</v>
      </c>
      <c r="D117" s="51" t="s">
        <v>22</v>
      </c>
      <c r="E117" s="122" t="s">
        <v>34</v>
      </c>
      <c r="F117" s="46">
        <v>0.0</v>
      </c>
      <c r="H117" s="47">
        <v>45.0</v>
      </c>
      <c r="J117" s="47">
        <v>45.0</v>
      </c>
      <c r="L117" s="47">
        <v>0.0</v>
      </c>
      <c r="N117" s="47">
        <v>0.0</v>
      </c>
      <c r="P117" s="47">
        <v>0.0</v>
      </c>
      <c r="Q117" s="22"/>
      <c r="R117" s="49"/>
      <c r="T117" s="48"/>
      <c r="V117" s="48"/>
      <c r="X117" s="48"/>
      <c r="Z117" s="48"/>
      <c r="AB117" s="48"/>
      <c r="AC117" s="22"/>
      <c r="AD117" s="50">
        <f t="shared" si="1"/>
        <v>2367.9</v>
      </c>
      <c r="AE117" s="51">
        <f t="shared" si="2"/>
        <v>90</v>
      </c>
      <c r="AF117" s="51">
        <f t="shared" si="3"/>
        <v>0</v>
      </c>
      <c r="AG117" s="51">
        <f t="shared" si="4"/>
        <v>90</v>
      </c>
      <c r="AH117" s="123">
        <f t="shared" si="5"/>
        <v>26.31</v>
      </c>
    </row>
    <row r="118" ht="15.75" customHeight="1">
      <c r="A118" s="120" t="s">
        <v>25</v>
      </c>
      <c r="B118" s="121">
        <f t="shared" si="6"/>
        <v>45771</v>
      </c>
      <c r="C118" s="51">
        <v>5.0</v>
      </c>
      <c r="D118" s="51" t="s">
        <v>22</v>
      </c>
      <c r="E118" s="122" t="s">
        <v>34</v>
      </c>
      <c r="F118" s="46">
        <v>0.0</v>
      </c>
      <c r="H118" s="47">
        <v>45.0</v>
      </c>
      <c r="J118" s="47">
        <v>45.0</v>
      </c>
      <c r="L118" s="47">
        <v>0.0</v>
      </c>
      <c r="N118" s="47">
        <v>0.0</v>
      </c>
      <c r="P118" s="47">
        <v>0.0</v>
      </c>
      <c r="Q118" s="22"/>
      <c r="R118" s="49"/>
      <c r="T118" s="48"/>
      <c r="V118" s="48"/>
      <c r="X118" s="48"/>
      <c r="Z118" s="48"/>
      <c r="AB118" s="48"/>
      <c r="AC118" s="22"/>
      <c r="AD118" s="50">
        <f t="shared" si="1"/>
        <v>2367.9</v>
      </c>
      <c r="AE118" s="51">
        <f t="shared" si="2"/>
        <v>90</v>
      </c>
      <c r="AF118" s="51">
        <f t="shared" si="3"/>
        <v>0</v>
      </c>
      <c r="AG118" s="51">
        <f t="shared" si="4"/>
        <v>90</v>
      </c>
      <c r="AH118" s="123">
        <f t="shared" si="5"/>
        <v>26.31</v>
      </c>
    </row>
    <row r="119" ht="15.75" customHeight="1">
      <c r="A119" s="120" t="s">
        <v>26</v>
      </c>
      <c r="B119" s="121">
        <f t="shared" si="6"/>
        <v>45772</v>
      </c>
      <c r="C119" s="51">
        <v>5.0</v>
      </c>
      <c r="D119" s="51" t="s">
        <v>22</v>
      </c>
      <c r="E119" s="122" t="s">
        <v>35</v>
      </c>
      <c r="F119" s="46">
        <v>0.0</v>
      </c>
      <c r="H119" s="47">
        <v>45.0</v>
      </c>
      <c r="J119" s="47">
        <v>45.0</v>
      </c>
      <c r="L119" s="47">
        <v>0.0</v>
      </c>
      <c r="N119" s="47">
        <v>0.0</v>
      </c>
      <c r="P119" s="47">
        <v>0.0</v>
      </c>
      <c r="Q119" s="22"/>
      <c r="R119" s="49"/>
      <c r="T119" s="48"/>
      <c r="V119" s="48"/>
      <c r="X119" s="48"/>
      <c r="Z119" s="48"/>
      <c r="AB119" s="48"/>
      <c r="AC119" s="22"/>
      <c r="AD119" s="50">
        <f t="shared" si="1"/>
        <v>2367.9</v>
      </c>
      <c r="AE119" s="51">
        <f t="shared" si="2"/>
        <v>90</v>
      </c>
      <c r="AF119" s="51">
        <f t="shared" si="3"/>
        <v>0</v>
      </c>
      <c r="AG119" s="51">
        <f t="shared" si="4"/>
        <v>90</v>
      </c>
      <c r="AH119" s="123">
        <f t="shared" si="5"/>
        <v>26.31</v>
      </c>
    </row>
    <row r="120" ht="15.75" customHeight="1">
      <c r="A120" s="120" t="s">
        <v>27</v>
      </c>
      <c r="B120" s="121">
        <f t="shared" si="6"/>
        <v>45773</v>
      </c>
      <c r="C120" s="51">
        <v>5.0</v>
      </c>
      <c r="D120" s="51" t="s">
        <v>22</v>
      </c>
      <c r="E120" s="122" t="s">
        <v>32</v>
      </c>
      <c r="F120" s="46">
        <v>45.0</v>
      </c>
      <c r="H120" s="47">
        <v>45.0</v>
      </c>
      <c r="J120" s="47">
        <v>0.0</v>
      </c>
      <c r="L120" s="47">
        <v>0.0</v>
      </c>
      <c r="N120" s="47">
        <v>0.0</v>
      </c>
      <c r="P120" s="47">
        <v>0.0</v>
      </c>
      <c r="Q120" s="22"/>
      <c r="R120" s="49"/>
      <c r="T120" s="48"/>
      <c r="V120" s="48"/>
      <c r="X120" s="48"/>
      <c r="Z120" s="48"/>
      <c r="AB120" s="48"/>
      <c r="AC120" s="22"/>
      <c r="AD120" s="50">
        <f t="shared" si="1"/>
        <v>2367.9</v>
      </c>
      <c r="AE120" s="51">
        <f t="shared" si="2"/>
        <v>90</v>
      </c>
      <c r="AF120" s="51">
        <f t="shared" si="3"/>
        <v>0</v>
      </c>
      <c r="AG120" s="51">
        <f t="shared" si="4"/>
        <v>90</v>
      </c>
      <c r="AH120" s="123">
        <f t="shared" si="5"/>
        <v>26.31</v>
      </c>
    </row>
    <row r="121" ht="15.75" customHeight="1">
      <c r="A121" s="128" t="s">
        <v>28</v>
      </c>
      <c r="B121" s="129">
        <f t="shared" si="6"/>
        <v>45774</v>
      </c>
      <c r="C121" s="130">
        <v>5.0</v>
      </c>
      <c r="D121" s="130" t="s">
        <v>22</v>
      </c>
      <c r="E121" s="131" t="s">
        <v>32</v>
      </c>
      <c r="F121" s="132">
        <v>0.0</v>
      </c>
      <c r="G121" s="35"/>
      <c r="H121" s="133">
        <v>0.0</v>
      </c>
      <c r="I121" s="35"/>
      <c r="J121" s="133">
        <v>0.0</v>
      </c>
      <c r="K121" s="35"/>
      <c r="L121" s="133">
        <v>0.0</v>
      </c>
      <c r="M121" s="35"/>
      <c r="N121" s="133">
        <v>0.0</v>
      </c>
      <c r="O121" s="35"/>
      <c r="P121" s="133">
        <v>0.0</v>
      </c>
      <c r="Q121" s="37"/>
      <c r="R121" s="134"/>
      <c r="S121" s="35"/>
      <c r="T121" s="135"/>
      <c r="U121" s="35"/>
      <c r="V121" s="135"/>
      <c r="W121" s="35"/>
      <c r="X121" s="135"/>
      <c r="Y121" s="35"/>
      <c r="Z121" s="135"/>
      <c r="AA121" s="35"/>
      <c r="AB121" s="135"/>
      <c r="AC121" s="37"/>
      <c r="AD121" s="136">
        <f t="shared" si="1"/>
        <v>0</v>
      </c>
      <c r="AE121" s="130">
        <f t="shared" si="2"/>
        <v>0</v>
      </c>
      <c r="AF121" s="130">
        <f t="shared" si="3"/>
        <v>0</v>
      </c>
      <c r="AG121" s="130">
        <f t="shared" si="4"/>
        <v>0</v>
      </c>
      <c r="AH121" s="137" t="str">
        <f t="shared" si="5"/>
        <v/>
      </c>
    </row>
    <row r="122" ht="15.75" customHeight="1">
      <c r="A122" s="116" t="s">
        <v>21</v>
      </c>
      <c r="B122" s="117">
        <f t="shared" si="6"/>
        <v>45775</v>
      </c>
      <c r="C122" s="87">
        <v>5.0</v>
      </c>
      <c r="D122" s="87" t="s">
        <v>29</v>
      </c>
      <c r="E122" s="118" t="s">
        <v>33</v>
      </c>
      <c r="F122" s="46">
        <v>0.0</v>
      </c>
      <c r="H122" s="47">
        <v>0.0</v>
      </c>
      <c r="J122" s="47">
        <v>0.0</v>
      </c>
      <c r="L122" s="47">
        <v>0.0</v>
      </c>
      <c r="N122" s="47">
        <v>0.0</v>
      </c>
      <c r="P122" s="47">
        <v>0.0</v>
      </c>
      <c r="Q122" s="22"/>
      <c r="R122" s="49"/>
      <c r="T122" s="48"/>
      <c r="V122" s="48"/>
      <c r="X122" s="48"/>
      <c r="Z122" s="48"/>
      <c r="AB122" s="48"/>
      <c r="AC122" s="22"/>
      <c r="AD122" s="86">
        <f t="shared" si="1"/>
        <v>0</v>
      </c>
      <c r="AE122" s="87">
        <f t="shared" si="2"/>
        <v>0</v>
      </c>
      <c r="AF122" s="87">
        <f t="shared" si="3"/>
        <v>0</v>
      </c>
      <c r="AG122" s="87">
        <f t="shared" si="4"/>
        <v>0</v>
      </c>
      <c r="AH122" s="119" t="str">
        <f t="shared" si="5"/>
        <v/>
      </c>
    </row>
    <row r="123" ht="15.75" customHeight="1">
      <c r="A123" s="120" t="s">
        <v>23</v>
      </c>
      <c r="B123" s="121">
        <f t="shared" si="6"/>
        <v>45776</v>
      </c>
      <c r="C123" s="51">
        <v>5.0</v>
      </c>
      <c r="D123" s="51" t="s">
        <v>29</v>
      </c>
      <c r="E123" s="122" t="s">
        <v>33</v>
      </c>
      <c r="F123" s="46">
        <v>0.0</v>
      </c>
      <c r="H123" s="47">
        <v>0.0</v>
      </c>
      <c r="J123" s="47">
        <v>0.0</v>
      </c>
      <c r="L123" s="47">
        <v>0.0</v>
      </c>
      <c r="N123" s="47">
        <v>0.0</v>
      </c>
      <c r="P123" s="47">
        <v>0.0</v>
      </c>
      <c r="Q123" s="22"/>
      <c r="R123" s="49"/>
      <c r="T123" s="48"/>
      <c r="V123" s="48"/>
      <c r="X123" s="48"/>
      <c r="Z123" s="48"/>
      <c r="AB123" s="48"/>
      <c r="AC123" s="22"/>
      <c r="AD123" s="50">
        <f t="shared" si="1"/>
        <v>0</v>
      </c>
      <c r="AE123" s="51">
        <f t="shared" si="2"/>
        <v>0</v>
      </c>
      <c r="AF123" s="51">
        <f t="shared" si="3"/>
        <v>0</v>
      </c>
      <c r="AG123" s="51">
        <f t="shared" si="4"/>
        <v>0</v>
      </c>
      <c r="AH123" s="123" t="str">
        <f t="shared" si="5"/>
        <v/>
      </c>
    </row>
    <row r="124" ht="15.75" customHeight="1">
      <c r="A124" s="120" t="s">
        <v>24</v>
      </c>
      <c r="B124" s="121">
        <f t="shared" si="6"/>
        <v>45777</v>
      </c>
      <c r="C124" s="51">
        <v>5.0</v>
      </c>
      <c r="D124" s="51" t="s">
        <v>29</v>
      </c>
      <c r="E124" s="122" t="s">
        <v>33</v>
      </c>
      <c r="F124" s="46">
        <v>0.0</v>
      </c>
      <c r="H124" s="47">
        <v>0.0</v>
      </c>
      <c r="J124" s="47">
        <v>0.0</v>
      </c>
      <c r="L124" s="47">
        <v>0.0</v>
      </c>
      <c r="N124" s="47">
        <v>0.0</v>
      </c>
      <c r="P124" s="47">
        <v>0.0</v>
      </c>
      <c r="Q124" s="22"/>
      <c r="R124" s="49"/>
      <c r="T124" s="48"/>
      <c r="V124" s="48"/>
      <c r="X124" s="48"/>
      <c r="Z124" s="48"/>
      <c r="AB124" s="48"/>
      <c r="AC124" s="22"/>
      <c r="AD124" s="50">
        <f t="shared" si="1"/>
        <v>0</v>
      </c>
      <c r="AE124" s="51">
        <f t="shared" si="2"/>
        <v>0</v>
      </c>
      <c r="AF124" s="51">
        <f t="shared" si="3"/>
        <v>0</v>
      </c>
      <c r="AG124" s="51">
        <f t="shared" si="4"/>
        <v>0</v>
      </c>
      <c r="AH124" s="123" t="str">
        <f t="shared" si="5"/>
        <v/>
      </c>
    </row>
    <row r="125" ht="15.75" customHeight="1">
      <c r="A125" s="120" t="s">
        <v>25</v>
      </c>
      <c r="B125" s="121">
        <f t="shared" si="6"/>
        <v>45778</v>
      </c>
      <c r="C125" s="51">
        <v>5.0</v>
      </c>
      <c r="D125" s="51" t="s">
        <v>29</v>
      </c>
      <c r="E125" s="122" t="s">
        <v>33</v>
      </c>
      <c r="F125" s="46">
        <v>0.0</v>
      </c>
      <c r="H125" s="47">
        <v>0.0</v>
      </c>
      <c r="J125" s="47">
        <v>0.0</v>
      </c>
      <c r="L125" s="47">
        <v>0.0</v>
      </c>
      <c r="N125" s="47">
        <v>0.0</v>
      </c>
      <c r="P125" s="47">
        <v>0.0</v>
      </c>
      <c r="Q125" s="22"/>
      <c r="R125" s="49"/>
      <c r="T125" s="48"/>
      <c r="V125" s="48"/>
      <c r="X125" s="48"/>
      <c r="Z125" s="48"/>
      <c r="AB125" s="48"/>
      <c r="AC125" s="22"/>
      <c r="AD125" s="50">
        <f t="shared" si="1"/>
        <v>0</v>
      </c>
      <c r="AE125" s="51">
        <f t="shared" si="2"/>
        <v>0</v>
      </c>
      <c r="AF125" s="51">
        <f t="shared" si="3"/>
        <v>0</v>
      </c>
      <c r="AG125" s="51">
        <f t="shared" si="4"/>
        <v>0</v>
      </c>
      <c r="AH125" s="123" t="str">
        <f t="shared" si="5"/>
        <v/>
      </c>
    </row>
    <row r="126" ht="15.75" customHeight="1">
      <c r="A126" s="120" t="s">
        <v>26</v>
      </c>
      <c r="B126" s="121">
        <f t="shared" si="6"/>
        <v>45779</v>
      </c>
      <c r="C126" s="51">
        <v>5.0</v>
      </c>
      <c r="D126" s="51" t="s">
        <v>29</v>
      </c>
      <c r="E126" s="122" t="s">
        <v>33</v>
      </c>
      <c r="F126" s="46">
        <v>0.0</v>
      </c>
      <c r="H126" s="47">
        <v>0.0</v>
      </c>
      <c r="J126" s="47">
        <v>0.0</v>
      </c>
      <c r="L126" s="47">
        <v>0.0</v>
      </c>
      <c r="N126" s="47">
        <v>0.0</v>
      </c>
      <c r="P126" s="47">
        <v>0.0</v>
      </c>
      <c r="Q126" s="22"/>
      <c r="R126" s="49"/>
      <c r="T126" s="48"/>
      <c r="V126" s="48"/>
      <c r="X126" s="48"/>
      <c r="Z126" s="48"/>
      <c r="AB126" s="48"/>
      <c r="AC126" s="22"/>
      <c r="AD126" s="50">
        <f t="shared" si="1"/>
        <v>0</v>
      </c>
      <c r="AE126" s="51">
        <f t="shared" si="2"/>
        <v>0</v>
      </c>
      <c r="AF126" s="51">
        <f t="shared" si="3"/>
        <v>0</v>
      </c>
      <c r="AG126" s="51">
        <f t="shared" si="4"/>
        <v>0</v>
      </c>
      <c r="AH126" s="123" t="str">
        <f t="shared" si="5"/>
        <v/>
      </c>
    </row>
    <row r="127" ht="15.75" customHeight="1">
      <c r="A127" s="120" t="s">
        <v>27</v>
      </c>
      <c r="B127" s="121">
        <f t="shared" si="6"/>
        <v>45780</v>
      </c>
      <c r="C127" s="51">
        <v>5.0</v>
      </c>
      <c r="D127" s="51" t="s">
        <v>29</v>
      </c>
      <c r="E127" s="122" t="s">
        <v>33</v>
      </c>
      <c r="F127" s="46">
        <v>0.0</v>
      </c>
      <c r="H127" s="47">
        <v>0.0</v>
      </c>
      <c r="J127" s="47">
        <v>0.0</v>
      </c>
      <c r="L127" s="47">
        <v>0.0</v>
      </c>
      <c r="N127" s="47">
        <v>0.0</v>
      </c>
      <c r="P127" s="47">
        <v>0.0</v>
      </c>
      <c r="Q127" s="22"/>
      <c r="R127" s="49"/>
      <c r="T127" s="48"/>
      <c r="V127" s="48"/>
      <c r="X127" s="48"/>
      <c r="Z127" s="48"/>
      <c r="AB127" s="48"/>
      <c r="AC127" s="22"/>
      <c r="AD127" s="50">
        <f t="shared" si="1"/>
        <v>0</v>
      </c>
      <c r="AE127" s="51">
        <f t="shared" si="2"/>
        <v>0</v>
      </c>
      <c r="AF127" s="51">
        <f t="shared" si="3"/>
        <v>0</v>
      </c>
      <c r="AG127" s="51">
        <f t="shared" si="4"/>
        <v>0</v>
      </c>
      <c r="AH127" s="123" t="str">
        <f t="shared" si="5"/>
        <v/>
      </c>
    </row>
    <row r="128" ht="15.75" customHeight="1">
      <c r="A128" s="124" t="s">
        <v>28</v>
      </c>
      <c r="B128" s="125">
        <f t="shared" si="6"/>
        <v>45781</v>
      </c>
      <c r="C128" s="57">
        <v>5.0</v>
      </c>
      <c r="D128" s="57" t="s">
        <v>29</v>
      </c>
      <c r="E128" s="126" t="s">
        <v>33</v>
      </c>
      <c r="F128" s="53">
        <v>0.0</v>
      </c>
      <c r="G128" s="35"/>
      <c r="H128" s="53">
        <v>0.0</v>
      </c>
      <c r="I128" s="35"/>
      <c r="J128" s="53">
        <v>0.0</v>
      </c>
      <c r="K128" s="35"/>
      <c r="L128" s="53">
        <v>0.0</v>
      </c>
      <c r="M128" s="35"/>
      <c r="N128" s="53">
        <v>0.0</v>
      </c>
      <c r="O128" s="35"/>
      <c r="P128" s="53">
        <v>0.0</v>
      </c>
      <c r="Q128" s="37"/>
      <c r="R128" s="55"/>
      <c r="S128" s="35"/>
      <c r="T128" s="54"/>
      <c r="U128" s="35"/>
      <c r="V128" s="54"/>
      <c r="W128" s="35"/>
      <c r="X128" s="54"/>
      <c r="Y128" s="35"/>
      <c r="Z128" s="54"/>
      <c r="AA128" s="35"/>
      <c r="AB128" s="54"/>
      <c r="AC128" s="37"/>
      <c r="AD128" s="56">
        <f t="shared" si="1"/>
        <v>0</v>
      </c>
      <c r="AE128" s="57">
        <f t="shared" si="2"/>
        <v>0</v>
      </c>
      <c r="AF128" s="57">
        <f t="shared" si="3"/>
        <v>0</v>
      </c>
      <c r="AG128" s="57">
        <f t="shared" si="4"/>
        <v>0</v>
      </c>
      <c r="AH128" s="127" t="str">
        <f t="shared" si="5"/>
        <v/>
      </c>
    </row>
    <row r="129" ht="15.75" customHeight="1">
      <c r="A129" s="116" t="s">
        <v>21</v>
      </c>
      <c r="B129" s="117">
        <f t="shared" si="6"/>
        <v>45782</v>
      </c>
      <c r="C129" s="87">
        <v>5.0</v>
      </c>
      <c r="D129" s="87" t="s">
        <v>30</v>
      </c>
      <c r="E129" s="118" t="s">
        <v>33</v>
      </c>
      <c r="F129" s="46">
        <v>0.0</v>
      </c>
      <c r="H129" s="47">
        <v>0.0</v>
      </c>
      <c r="J129" s="47">
        <v>0.0</v>
      </c>
      <c r="L129" s="47">
        <v>0.0</v>
      </c>
      <c r="N129" s="47">
        <v>0.0</v>
      </c>
      <c r="P129" s="47">
        <v>0.0</v>
      </c>
      <c r="Q129" s="22"/>
      <c r="R129" s="49"/>
      <c r="T129" s="48"/>
      <c r="V129" s="48"/>
      <c r="X129" s="48"/>
      <c r="Z129" s="48"/>
      <c r="AB129" s="48"/>
      <c r="AC129" s="22"/>
      <c r="AD129" s="86">
        <f t="shared" si="1"/>
        <v>0</v>
      </c>
      <c r="AE129" s="87">
        <f t="shared" si="2"/>
        <v>0</v>
      </c>
      <c r="AF129" s="87">
        <f t="shared" si="3"/>
        <v>0</v>
      </c>
      <c r="AG129" s="87">
        <f t="shared" si="4"/>
        <v>0</v>
      </c>
      <c r="AH129" s="119" t="str">
        <f t="shared" si="5"/>
        <v/>
      </c>
    </row>
    <row r="130" ht="15.75" customHeight="1">
      <c r="A130" s="120" t="s">
        <v>23</v>
      </c>
      <c r="B130" s="121">
        <f t="shared" si="6"/>
        <v>45783</v>
      </c>
      <c r="C130" s="51">
        <v>5.0</v>
      </c>
      <c r="D130" s="51" t="s">
        <v>30</v>
      </c>
      <c r="E130" s="122" t="s">
        <v>33</v>
      </c>
      <c r="F130" s="46">
        <v>0.0</v>
      </c>
      <c r="H130" s="47">
        <v>0.0</v>
      </c>
      <c r="J130" s="47">
        <v>0.0</v>
      </c>
      <c r="L130" s="47">
        <v>0.0</v>
      </c>
      <c r="N130" s="47">
        <v>0.0</v>
      </c>
      <c r="P130" s="47">
        <v>0.0</v>
      </c>
      <c r="Q130" s="22"/>
      <c r="R130" s="49"/>
      <c r="T130" s="48"/>
      <c r="V130" s="48"/>
      <c r="X130" s="48"/>
      <c r="Z130" s="48"/>
      <c r="AB130" s="48"/>
      <c r="AC130" s="22"/>
      <c r="AD130" s="50">
        <f t="shared" si="1"/>
        <v>0</v>
      </c>
      <c r="AE130" s="51">
        <f t="shared" si="2"/>
        <v>0</v>
      </c>
      <c r="AF130" s="51">
        <f t="shared" si="3"/>
        <v>0</v>
      </c>
      <c r="AG130" s="51">
        <f t="shared" si="4"/>
        <v>0</v>
      </c>
      <c r="AH130" s="123" t="str">
        <f t="shared" si="5"/>
        <v/>
      </c>
    </row>
    <row r="131" ht="15.75" customHeight="1">
      <c r="A131" s="120" t="s">
        <v>24</v>
      </c>
      <c r="B131" s="121">
        <f t="shared" si="6"/>
        <v>45784</v>
      </c>
      <c r="C131" s="51">
        <v>5.0</v>
      </c>
      <c r="D131" s="51" t="s">
        <v>30</v>
      </c>
      <c r="E131" s="122" t="s">
        <v>33</v>
      </c>
      <c r="F131" s="46">
        <v>0.0</v>
      </c>
      <c r="H131" s="47">
        <v>0.0</v>
      </c>
      <c r="J131" s="47">
        <v>0.0</v>
      </c>
      <c r="L131" s="47">
        <v>0.0</v>
      </c>
      <c r="N131" s="47">
        <v>0.0</v>
      </c>
      <c r="P131" s="47">
        <v>0.0</v>
      </c>
      <c r="Q131" s="22"/>
      <c r="R131" s="49"/>
      <c r="T131" s="48"/>
      <c r="V131" s="48"/>
      <c r="X131" s="48"/>
      <c r="Z131" s="48"/>
      <c r="AB131" s="48"/>
      <c r="AC131" s="22"/>
      <c r="AD131" s="50">
        <f t="shared" si="1"/>
        <v>0</v>
      </c>
      <c r="AE131" s="51">
        <f t="shared" si="2"/>
        <v>0</v>
      </c>
      <c r="AF131" s="51">
        <f t="shared" si="3"/>
        <v>0</v>
      </c>
      <c r="AG131" s="51">
        <f t="shared" si="4"/>
        <v>0</v>
      </c>
      <c r="AH131" s="123" t="str">
        <f t="shared" si="5"/>
        <v/>
      </c>
    </row>
    <row r="132" ht="15.75" customHeight="1">
      <c r="A132" s="120" t="s">
        <v>25</v>
      </c>
      <c r="B132" s="121">
        <f t="shared" si="6"/>
        <v>45785</v>
      </c>
      <c r="C132" s="51">
        <v>5.0</v>
      </c>
      <c r="D132" s="51" t="s">
        <v>30</v>
      </c>
      <c r="E132" s="122" t="s">
        <v>33</v>
      </c>
      <c r="F132" s="46">
        <v>0.0</v>
      </c>
      <c r="H132" s="47">
        <v>0.0</v>
      </c>
      <c r="J132" s="47">
        <v>0.0</v>
      </c>
      <c r="L132" s="47">
        <v>0.0</v>
      </c>
      <c r="N132" s="47">
        <v>0.0</v>
      </c>
      <c r="P132" s="47">
        <v>0.0</v>
      </c>
      <c r="Q132" s="22"/>
      <c r="R132" s="49"/>
      <c r="T132" s="48"/>
      <c r="V132" s="48"/>
      <c r="X132" s="48"/>
      <c r="Z132" s="48"/>
      <c r="AB132" s="48"/>
      <c r="AC132" s="22"/>
      <c r="AD132" s="50">
        <f t="shared" si="1"/>
        <v>0</v>
      </c>
      <c r="AE132" s="51">
        <f t="shared" si="2"/>
        <v>0</v>
      </c>
      <c r="AF132" s="51">
        <f t="shared" si="3"/>
        <v>0</v>
      </c>
      <c r="AG132" s="51">
        <f t="shared" si="4"/>
        <v>0</v>
      </c>
      <c r="AH132" s="123" t="str">
        <f t="shared" si="5"/>
        <v/>
      </c>
    </row>
    <row r="133" ht="15.75" customHeight="1">
      <c r="A133" s="120" t="s">
        <v>26</v>
      </c>
      <c r="B133" s="121">
        <f t="shared" si="6"/>
        <v>45786</v>
      </c>
      <c r="C133" s="51">
        <v>5.0</v>
      </c>
      <c r="D133" s="51" t="s">
        <v>30</v>
      </c>
      <c r="E133" s="122" t="s">
        <v>33</v>
      </c>
      <c r="F133" s="46">
        <v>0.0</v>
      </c>
      <c r="H133" s="47">
        <v>0.0</v>
      </c>
      <c r="J133" s="47">
        <v>0.0</v>
      </c>
      <c r="L133" s="47">
        <v>0.0</v>
      </c>
      <c r="N133" s="47">
        <v>0.0</v>
      </c>
      <c r="P133" s="47">
        <v>0.0</v>
      </c>
      <c r="Q133" s="22"/>
      <c r="R133" s="49"/>
      <c r="T133" s="48"/>
      <c r="V133" s="48"/>
      <c r="X133" s="48"/>
      <c r="Z133" s="48"/>
      <c r="AB133" s="48"/>
      <c r="AC133" s="22"/>
      <c r="AD133" s="50">
        <f t="shared" si="1"/>
        <v>0</v>
      </c>
      <c r="AE133" s="51">
        <f t="shared" si="2"/>
        <v>0</v>
      </c>
      <c r="AF133" s="51">
        <f t="shared" si="3"/>
        <v>0</v>
      </c>
      <c r="AG133" s="51">
        <f t="shared" si="4"/>
        <v>0</v>
      </c>
      <c r="AH133" s="123" t="str">
        <f t="shared" si="5"/>
        <v/>
      </c>
    </row>
    <row r="134" ht="15.75" customHeight="1">
      <c r="A134" s="120" t="s">
        <v>27</v>
      </c>
      <c r="B134" s="121">
        <f t="shared" si="6"/>
        <v>45787</v>
      </c>
      <c r="C134" s="51">
        <v>5.0</v>
      </c>
      <c r="D134" s="51" t="s">
        <v>30</v>
      </c>
      <c r="E134" s="122" t="s">
        <v>33</v>
      </c>
      <c r="F134" s="46">
        <v>0.0</v>
      </c>
      <c r="H134" s="47">
        <v>0.0</v>
      </c>
      <c r="J134" s="47">
        <v>0.0</v>
      </c>
      <c r="L134" s="47">
        <v>0.0</v>
      </c>
      <c r="N134" s="47">
        <v>0.0</v>
      </c>
      <c r="P134" s="47">
        <v>0.0</v>
      </c>
      <c r="Q134" s="22"/>
      <c r="R134" s="49"/>
      <c r="T134" s="48"/>
      <c r="V134" s="48"/>
      <c r="X134" s="48"/>
      <c r="Z134" s="48"/>
      <c r="AB134" s="48"/>
      <c r="AC134" s="22"/>
      <c r="AD134" s="50">
        <f t="shared" si="1"/>
        <v>0</v>
      </c>
      <c r="AE134" s="51">
        <f t="shared" si="2"/>
        <v>0</v>
      </c>
      <c r="AF134" s="51">
        <f t="shared" si="3"/>
        <v>0</v>
      </c>
      <c r="AG134" s="51">
        <f t="shared" si="4"/>
        <v>0</v>
      </c>
      <c r="AH134" s="123" t="str">
        <f t="shared" si="5"/>
        <v/>
      </c>
    </row>
    <row r="135" ht="15.75" customHeight="1">
      <c r="A135" s="124" t="s">
        <v>28</v>
      </c>
      <c r="B135" s="125">
        <f t="shared" si="6"/>
        <v>45788</v>
      </c>
      <c r="C135" s="57">
        <v>5.0</v>
      </c>
      <c r="D135" s="57" t="s">
        <v>30</v>
      </c>
      <c r="E135" s="126" t="s">
        <v>33</v>
      </c>
      <c r="F135" s="53">
        <v>0.0</v>
      </c>
      <c r="G135" s="35"/>
      <c r="H135" s="53">
        <v>0.0</v>
      </c>
      <c r="I135" s="35"/>
      <c r="J135" s="53">
        <v>0.0</v>
      </c>
      <c r="K135" s="35"/>
      <c r="L135" s="53">
        <v>0.0</v>
      </c>
      <c r="M135" s="35"/>
      <c r="N135" s="53">
        <v>0.0</v>
      </c>
      <c r="O135" s="35"/>
      <c r="P135" s="53">
        <v>0.0</v>
      </c>
      <c r="Q135" s="37"/>
      <c r="R135" s="55"/>
      <c r="S135" s="35"/>
      <c r="T135" s="54"/>
      <c r="U135" s="35"/>
      <c r="V135" s="54"/>
      <c r="W135" s="35"/>
      <c r="X135" s="54"/>
      <c r="Y135" s="35"/>
      <c r="Z135" s="54"/>
      <c r="AA135" s="35"/>
      <c r="AB135" s="54"/>
      <c r="AC135" s="37"/>
      <c r="AD135" s="56">
        <f t="shared" si="1"/>
        <v>0</v>
      </c>
      <c r="AE135" s="57">
        <f t="shared" si="2"/>
        <v>0</v>
      </c>
      <c r="AF135" s="57">
        <f t="shared" si="3"/>
        <v>0</v>
      </c>
      <c r="AG135" s="57">
        <f t="shared" si="4"/>
        <v>0</v>
      </c>
      <c r="AH135" s="127" t="str">
        <f t="shared" si="5"/>
        <v/>
      </c>
    </row>
    <row r="136" ht="15.75" customHeight="1">
      <c r="A136" s="116" t="s">
        <v>21</v>
      </c>
      <c r="B136" s="117">
        <f t="shared" si="6"/>
        <v>45789</v>
      </c>
      <c r="C136" s="87">
        <v>5.0</v>
      </c>
      <c r="D136" s="87" t="s">
        <v>31</v>
      </c>
      <c r="E136" s="118" t="s">
        <v>33</v>
      </c>
      <c r="F136" s="46">
        <v>0.0</v>
      </c>
      <c r="H136" s="47">
        <v>0.0</v>
      </c>
      <c r="J136" s="47">
        <v>0.0</v>
      </c>
      <c r="L136" s="47">
        <v>0.0</v>
      </c>
      <c r="N136" s="47">
        <v>0.0</v>
      </c>
      <c r="P136" s="47">
        <v>0.0</v>
      </c>
      <c r="Q136" s="22"/>
      <c r="R136" s="49"/>
      <c r="T136" s="48"/>
      <c r="V136" s="48"/>
      <c r="X136" s="48"/>
      <c r="Z136" s="48"/>
      <c r="AB136" s="48"/>
      <c r="AC136" s="22"/>
      <c r="AD136" s="86">
        <f t="shared" si="1"/>
        <v>0</v>
      </c>
      <c r="AE136" s="87">
        <f t="shared" si="2"/>
        <v>0</v>
      </c>
      <c r="AF136" s="87">
        <f t="shared" si="3"/>
        <v>0</v>
      </c>
      <c r="AG136" s="87">
        <f t="shared" si="4"/>
        <v>0</v>
      </c>
      <c r="AH136" s="119" t="str">
        <f t="shared" si="5"/>
        <v/>
      </c>
    </row>
    <row r="137" ht="15.75" customHeight="1">
      <c r="A137" s="120" t="s">
        <v>23</v>
      </c>
      <c r="B137" s="121">
        <f t="shared" si="6"/>
        <v>45790</v>
      </c>
      <c r="C137" s="51">
        <v>5.0</v>
      </c>
      <c r="D137" s="51" t="s">
        <v>31</v>
      </c>
      <c r="E137" s="122" t="s">
        <v>34</v>
      </c>
      <c r="F137" s="46">
        <v>0.0</v>
      </c>
      <c r="H137" s="47">
        <v>45.0</v>
      </c>
      <c r="J137" s="47">
        <v>45.0</v>
      </c>
      <c r="L137" s="47">
        <v>0.0</v>
      </c>
      <c r="N137" s="47">
        <v>0.0</v>
      </c>
      <c r="P137" s="47">
        <v>0.0</v>
      </c>
      <c r="Q137" s="22"/>
      <c r="R137" s="49"/>
      <c r="T137" s="48"/>
      <c r="V137" s="48"/>
      <c r="X137" s="48"/>
      <c r="Z137" s="48"/>
      <c r="AB137" s="48"/>
      <c r="AC137" s="22"/>
      <c r="AD137" s="50">
        <f t="shared" si="1"/>
        <v>2367.9</v>
      </c>
      <c r="AE137" s="51">
        <f t="shared" si="2"/>
        <v>90</v>
      </c>
      <c r="AF137" s="51">
        <f t="shared" si="3"/>
        <v>0</v>
      </c>
      <c r="AG137" s="51">
        <f t="shared" si="4"/>
        <v>90</v>
      </c>
      <c r="AH137" s="123">
        <f t="shared" si="5"/>
        <v>26.31</v>
      </c>
    </row>
    <row r="138" ht="15.75" customHeight="1">
      <c r="A138" s="120" t="s">
        <v>24</v>
      </c>
      <c r="B138" s="121">
        <f t="shared" si="6"/>
        <v>45791</v>
      </c>
      <c r="C138" s="51">
        <v>5.0</v>
      </c>
      <c r="D138" s="51" t="s">
        <v>31</v>
      </c>
      <c r="E138" s="122" t="s">
        <v>34</v>
      </c>
      <c r="F138" s="46">
        <v>0.0</v>
      </c>
      <c r="H138" s="47">
        <v>45.0</v>
      </c>
      <c r="J138" s="47">
        <v>45.0</v>
      </c>
      <c r="L138" s="47">
        <v>0.0</v>
      </c>
      <c r="N138" s="47">
        <v>0.0</v>
      </c>
      <c r="P138" s="47">
        <v>0.0</v>
      </c>
      <c r="Q138" s="22"/>
      <c r="R138" s="49"/>
      <c r="T138" s="48"/>
      <c r="V138" s="48"/>
      <c r="X138" s="48"/>
      <c r="Z138" s="48"/>
      <c r="AB138" s="48"/>
      <c r="AC138" s="22"/>
      <c r="AD138" s="50">
        <f t="shared" si="1"/>
        <v>2367.9</v>
      </c>
      <c r="AE138" s="51">
        <f t="shared" si="2"/>
        <v>90</v>
      </c>
      <c r="AF138" s="51">
        <f t="shared" si="3"/>
        <v>0</v>
      </c>
      <c r="AG138" s="51">
        <f t="shared" si="4"/>
        <v>90</v>
      </c>
      <c r="AH138" s="123">
        <f t="shared" si="5"/>
        <v>26.31</v>
      </c>
    </row>
    <row r="139" ht="15.75" customHeight="1">
      <c r="A139" s="120" t="s">
        <v>25</v>
      </c>
      <c r="B139" s="121">
        <f t="shared" si="6"/>
        <v>45792</v>
      </c>
      <c r="C139" s="51">
        <v>5.0</v>
      </c>
      <c r="D139" s="51" t="s">
        <v>31</v>
      </c>
      <c r="E139" s="122" t="s">
        <v>34</v>
      </c>
      <c r="F139" s="46">
        <v>0.0</v>
      </c>
      <c r="H139" s="47">
        <v>45.0</v>
      </c>
      <c r="J139" s="47">
        <v>45.0</v>
      </c>
      <c r="L139" s="47">
        <v>0.0</v>
      </c>
      <c r="N139" s="47">
        <v>0.0</v>
      </c>
      <c r="P139" s="47">
        <v>0.0</v>
      </c>
      <c r="Q139" s="22"/>
      <c r="R139" s="49"/>
      <c r="T139" s="48"/>
      <c r="V139" s="48"/>
      <c r="X139" s="48"/>
      <c r="Z139" s="48"/>
      <c r="AB139" s="48"/>
      <c r="AC139" s="22"/>
      <c r="AD139" s="50">
        <f t="shared" si="1"/>
        <v>2367.9</v>
      </c>
      <c r="AE139" s="51">
        <f t="shared" si="2"/>
        <v>90</v>
      </c>
      <c r="AF139" s="51">
        <f t="shared" si="3"/>
        <v>0</v>
      </c>
      <c r="AG139" s="51">
        <f t="shared" si="4"/>
        <v>90</v>
      </c>
      <c r="AH139" s="123">
        <f t="shared" si="5"/>
        <v>26.31</v>
      </c>
    </row>
    <row r="140" ht="15.75" customHeight="1">
      <c r="A140" s="120" t="s">
        <v>26</v>
      </c>
      <c r="B140" s="121">
        <f t="shared" si="6"/>
        <v>45793</v>
      </c>
      <c r="C140" s="51">
        <v>5.0</v>
      </c>
      <c r="D140" s="51" t="s">
        <v>31</v>
      </c>
      <c r="E140" s="122" t="s">
        <v>34</v>
      </c>
      <c r="F140" s="46">
        <v>0.0</v>
      </c>
      <c r="H140" s="47">
        <v>45.0</v>
      </c>
      <c r="J140" s="47">
        <v>45.0</v>
      </c>
      <c r="L140" s="47">
        <v>0.0</v>
      </c>
      <c r="N140" s="47">
        <v>0.0</v>
      </c>
      <c r="P140" s="47">
        <v>0.0</v>
      </c>
      <c r="Q140" s="22"/>
      <c r="R140" s="49"/>
      <c r="T140" s="48"/>
      <c r="V140" s="48"/>
      <c r="X140" s="48"/>
      <c r="Z140" s="48"/>
      <c r="AB140" s="48"/>
      <c r="AC140" s="22"/>
      <c r="AD140" s="50">
        <f t="shared" si="1"/>
        <v>2367.9</v>
      </c>
      <c r="AE140" s="51">
        <f t="shared" si="2"/>
        <v>90</v>
      </c>
      <c r="AF140" s="51">
        <f t="shared" si="3"/>
        <v>0</v>
      </c>
      <c r="AG140" s="51">
        <f t="shared" si="4"/>
        <v>90</v>
      </c>
      <c r="AH140" s="123">
        <f t="shared" si="5"/>
        <v>26.31</v>
      </c>
    </row>
    <row r="141" ht="15.75" customHeight="1">
      <c r="A141" s="120" t="s">
        <v>27</v>
      </c>
      <c r="B141" s="121">
        <f t="shared" si="6"/>
        <v>45794</v>
      </c>
      <c r="C141" s="51">
        <v>5.0</v>
      </c>
      <c r="D141" s="51" t="s">
        <v>31</v>
      </c>
      <c r="E141" s="122" t="s">
        <v>32</v>
      </c>
      <c r="F141" s="46">
        <v>45.0</v>
      </c>
      <c r="H141" s="47">
        <v>45.0</v>
      </c>
      <c r="J141" s="47">
        <v>0.0</v>
      </c>
      <c r="L141" s="47">
        <v>0.0</v>
      </c>
      <c r="N141" s="47">
        <v>0.0</v>
      </c>
      <c r="P141" s="47">
        <v>0.0</v>
      </c>
      <c r="Q141" s="22"/>
      <c r="R141" s="49"/>
      <c r="T141" s="48"/>
      <c r="V141" s="48"/>
      <c r="X141" s="48"/>
      <c r="Z141" s="48"/>
      <c r="AB141" s="48"/>
      <c r="AC141" s="22"/>
      <c r="AD141" s="50">
        <f t="shared" si="1"/>
        <v>2367.9</v>
      </c>
      <c r="AE141" s="51">
        <f t="shared" si="2"/>
        <v>90</v>
      </c>
      <c r="AF141" s="51">
        <f t="shared" si="3"/>
        <v>0</v>
      </c>
      <c r="AG141" s="51">
        <f t="shared" si="4"/>
        <v>90</v>
      </c>
      <c r="AH141" s="123">
        <f t="shared" si="5"/>
        <v>26.31</v>
      </c>
    </row>
    <row r="142" ht="15.75" customHeight="1">
      <c r="A142" s="128" t="s">
        <v>28</v>
      </c>
      <c r="B142" s="129">
        <f t="shared" si="6"/>
        <v>45795</v>
      </c>
      <c r="C142" s="130">
        <v>5.0</v>
      </c>
      <c r="D142" s="130" t="s">
        <v>31</v>
      </c>
      <c r="E142" s="131" t="s">
        <v>32</v>
      </c>
      <c r="F142" s="132">
        <v>0.0</v>
      </c>
      <c r="G142" s="35"/>
      <c r="H142" s="133">
        <v>0.0</v>
      </c>
      <c r="I142" s="35"/>
      <c r="J142" s="133">
        <v>0.0</v>
      </c>
      <c r="K142" s="35"/>
      <c r="L142" s="133">
        <v>0.0</v>
      </c>
      <c r="M142" s="35"/>
      <c r="N142" s="133">
        <v>0.0</v>
      </c>
      <c r="O142" s="35"/>
      <c r="P142" s="133">
        <v>0.0</v>
      </c>
      <c r="Q142" s="37"/>
      <c r="R142" s="134"/>
      <c r="S142" s="35"/>
      <c r="T142" s="135"/>
      <c r="U142" s="35"/>
      <c r="V142" s="135"/>
      <c r="W142" s="35"/>
      <c r="X142" s="135"/>
      <c r="Y142" s="35"/>
      <c r="Z142" s="135"/>
      <c r="AA142" s="35"/>
      <c r="AB142" s="135"/>
      <c r="AC142" s="37"/>
      <c r="AD142" s="136">
        <f t="shared" si="1"/>
        <v>0</v>
      </c>
      <c r="AE142" s="130">
        <f t="shared" si="2"/>
        <v>0</v>
      </c>
      <c r="AF142" s="130">
        <f t="shared" si="3"/>
        <v>0</v>
      </c>
      <c r="AG142" s="130">
        <f t="shared" si="4"/>
        <v>0</v>
      </c>
      <c r="AH142" s="137" t="str">
        <f t="shared" si="5"/>
        <v/>
      </c>
    </row>
    <row r="143" ht="15.75" customHeight="1">
      <c r="A143" s="116" t="s">
        <v>21</v>
      </c>
      <c r="B143" s="117">
        <f t="shared" si="6"/>
        <v>45796</v>
      </c>
      <c r="C143" s="87">
        <v>6.0</v>
      </c>
      <c r="D143" s="87" t="s">
        <v>22</v>
      </c>
      <c r="E143" s="118" t="s">
        <v>33</v>
      </c>
      <c r="F143" s="46">
        <v>0.0</v>
      </c>
      <c r="H143" s="47">
        <v>0.0</v>
      </c>
      <c r="J143" s="47">
        <v>0.0</v>
      </c>
      <c r="L143" s="47">
        <v>0.0</v>
      </c>
      <c r="N143" s="47">
        <v>0.0</v>
      </c>
      <c r="P143" s="47">
        <v>0.0</v>
      </c>
      <c r="Q143" s="22"/>
      <c r="R143" s="49"/>
      <c r="T143" s="48"/>
      <c r="V143" s="48"/>
      <c r="X143" s="48"/>
      <c r="Z143" s="48"/>
      <c r="AB143" s="48"/>
      <c r="AC143" s="22"/>
      <c r="AD143" s="86">
        <f t="shared" si="1"/>
        <v>0</v>
      </c>
      <c r="AE143" s="87">
        <f t="shared" si="2"/>
        <v>0</v>
      </c>
      <c r="AF143" s="87">
        <f t="shared" si="3"/>
        <v>0</v>
      </c>
      <c r="AG143" s="87">
        <f t="shared" si="4"/>
        <v>0</v>
      </c>
      <c r="AH143" s="119" t="str">
        <f t="shared" si="5"/>
        <v/>
      </c>
    </row>
    <row r="144" ht="15.75" customHeight="1">
      <c r="A144" s="120" t="s">
        <v>23</v>
      </c>
      <c r="B144" s="121">
        <f t="shared" si="6"/>
        <v>45797</v>
      </c>
      <c r="C144" s="51">
        <v>6.0</v>
      </c>
      <c r="D144" s="51" t="s">
        <v>22</v>
      </c>
      <c r="E144" s="122" t="s">
        <v>33</v>
      </c>
      <c r="F144" s="46">
        <v>0.0</v>
      </c>
      <c r="H144" s="47">
        <v>0.0</v>
      </c>
      <c r="J144" s="47">
        <v>0.0</v>
      </c>
      <c r="L144" s="47">
        <v>0.0</v>
      </c>
      <c r="N144" s="47">
        <v>0.0</v>
      </c>
      <c r="P144" s="47">
        <v>0.0</v>
      </c>
      <c r="Q144" s="22"/>
      <c r="R144" s="49"/>
      <c r="T144" s="48"/>
      <c r="V144" s="48"/>
      <c r="X144" s="48"/>
      <c r="Z144" s="48"/>
      <c r="AB144" s="48"/>
      <c r="AC144" s="22"/>
      <c r="AD144" s="50">
        <f t="shared" si="1"/>
        <v>0</v>
      </c>
      <c r="AE144" s="51">
        <f t="shared" si="2"/>
        <v>0</v>
      </c>
      <c r="AF144" s="51">
        <f t="shared" si="3"/>
        <v>0</v>
      </c>
      <c r="AG144" s="51">
        <f t="shared" si="4"/>
        <v>0</v>
      </c>
      <c r="AH144" s="123" t="str">
        <f t="shared" si="5"/>
        <v/>
      </c>
    </row>
    <row r="145" ht="15.75" customHeight="1">
      <c r="A145" s="120" t="s">
        <v>24</v>
      </c>
      <c r="B145" s="121">
        <f t="shared" si="6"/>
        <v>45798</v>
      </c>
      <c r="C145" s="51">
        <v>6.0</v>
      </c>
      <c r="D145" s="51" t="s">
        <v>22</v>
      </c>
      <c r="E145" s="122" t="s">
        <v>33</v>
      </c>
      <c r="F145" s="46">
        <v>0.0</v>
      </c>
      <c r="H145" s="47">
        <v>0.0</v>
      </c>
      <c r="J145" s="47">
        <v>0.0</v>
      </c>
      <c r="L145" s="47">
        <v>0.0</v>
      </c>
      <c r="N145" s="47">
        <v>0.0</v>
      </c>
      <c r="P145" s="47">
        <v>0.0</v>
      </c>
      <c r="Q145" s="22"/>
      <c r="R145" s="49"/>
      <c r="T145" s="48"/>
      <c r="V145" s="48"/>
      <c r="X145" s="48"/>
      <c r="Z145" s="48"/>
      <c r="AB145" s="48"/>
      <c r="AC145" s="22"/>
      <c r="AD145" s="50">
        <f t="shared" si="1"/>
        <v>0</v>
      </c>
      <c r="AE145" s="51">
        <f t="shared" si="2"/>
        <v>0</v>
      </c>
      <c r="AF145" s="51">
        <f t="shared" si="3"/>
        <v>0</v>
      </c>
      <c r="AG145" s="51">
        <f t="shared" si="4"/>
        <v>0</v>
      </c>
      <c r="AH145" s="123" t="str">
        <f t="shared" si="5"/>
        <v/>
      </c>
    </row>
    <row r="146" ht="15.75" customHeight="1">
      <c r="A146" s="120" t="s">
        <v>25</v>
      </c>
      <c r="B146" s="121">
        <f t="shared" si="6"/>
        <v>45799</v>
      </c>
      <c r="C146" s="51">
        <v>6.0</v>
      </c>
      <c r="D146" s="51" t="s">
        <v>22</v>
      </c>
      <c r="E146" s="122" t="s">
        <v>33</v>
      </c>
      <c r="F146" s="46">
        <v>0.0</v>
      </c>
      <c r="H146" s="47">
        <v>0.0</v>
      </c>
      <c r="J146" s="47">
        <v>0.0</v>
      </c>
      <c r="L146" s="47">
        <v>0.0</v>
      </c>
      <c r="N146" s="47">
        <v>0.0</v>
      </c>
      <c r="P146" s="47">
        <v>0.0</v>
      </c>
      <c r="Q146" s="22"/>
      <c r="R146" s="49"/>
      <c r="T146" s="48"/>
      <c r="V146" s="48"/>
      <c r="X146" s="48"/>
      <c r="Z146" s="48"/>
      <c r="AB146" s="48"/>
      <c r="AC146" s="22"/>
      <c r="AD146" s="50">
        <f t="shared" si="1"/>
        <v>0</v>
      </c>
      <c r="AE146" s="51">
        <f t="shared" si="2"/>
        <v>0</v>
      </c>
      <c r="AF146" s="51">
        <f t="shared" si="3"/>
        <v>0</v>
      </c>
      <c r="AG146" s="51">
        <f t="shared" si="4"/>
        <v>0</v>
      </c>
      <c r="AH146" s="123" t="str">
        <f t="shared" si="5"/>
        <v/>
      </c>
    </row>
    <row r="147" ht="15.75" customHeight="1">
      <c r="A147" s="120" t="s">
        <v>26</v>
      </c>
      <c r="B147" s="121">
        <f t="shared" si="6"/>
        <v>45800</v>
      </c>
      <c r="C147" s="51">
        <v>6.0</v>
      </c>
      <c r="D147" s="51" t="s">
        <v>22</v>
      </c>
      <c r="E147" s="122" t="s">
        <v>33</v>
      </c>
      <c r="F147" s="46">
        <v>0.0</v>
      </c>
      <c r="H147" s="47">
        <v>0.0</v>
      </c>
      <c r="J147" s="47">
        <v>0.0</v>
      </c>
      <c r="L147" s="47">
        <v>0.0</v>
      </c>
      <c r="N147" s="47">
        <v>0.0</v>
      </c>
      <c r="P147" s="47">
        <v>0.0</v>
      </c>
      <c r="Q147" s="22"/>
      <c r="R147" s="49"/>
      <c r="T147" s="48"/>
      <c r="V147" s="48"/>
      <c r="X147" s="48"/>
      <c r="Z147" s="48"/>
      <c r="AB147" s="48"/>
      <c r="AC147" s="22"/>
      <c r="AD147" s="50">
        <f t="shared" si="1"/>
        <v>0</v>
      </c>
      <c r="AE147" s="51">
        <f t="shared" si="2"/>
        <v>0</v>
      </c>
      <c r="AF147" s="51">
        <f t="shared" si="3"/>
        <v>0</v>
      </c>
      <c r="AG147" s="51">
        <f t="shared" si="4"/>
        <v>0</v>
      </c>
      <c r="AH147" s="123" t="str">
        <f t="shared" si="5"/>
        <v/>
      </c>
    </row>
    <row r="148" ht="15.75" customHeight="1">
      <c r="A148" s="120" t="s">
        <v>27</v>
      </c>
      <c r="B148" s="121">
        <f t="shared" si="6"/>
        <v>45801</v>
      </c>
      <c r="C148" s="51">
        <v>6.0</v>
      </c>
      <c r="D148" s="51" t="s">
        <v>22</v>
      </c>
      <c r="E148" s="122" t="s">
        <v>33</v>
      </c>
      <c r="F148" s="46">
        <v>0.0</v>
      </c>
      <c r="H148" s="47">
        <v>0.0</v>
      </c>
      <c r="J148" s="47">
        <v>0.0</v>
      </c>
      <c r="L148" s="47">
        <v>0.0</v>
      </c>
      <c r="N148" s="47">
        <v>0.0</v>
      </c>
      <c r="P148" s="47">
        <v>0.0</v>
      </c>
      <c r="Q148" s="22"/>
      <c r="R148" s="49"/>
      <c r="T148" s="48"/>
      <c r="V148" s="48"/>
      <c r="X148" s="48"/>
      <c r="Z148" s="48"/>
      <c r="AB148" s="48"/>
      <c r="AC148" s="22"/>
      <c r="AD148" s="50">
        <f t="shared" si="1"/>
        <v>0</v>
      </c>
      <c r="AE148" s="51">
        <f t="shared" si="2"/>
        <v>0</v>
      </c>
      <c r="AF148" s="51">
        <f t="shared" si="3"/>
        <v>0</v>
      </c>
      <c r="AG148" s="51">
        <f t="shared" si="4"/>
        <v>0</v>
      </c>
      <c r="AH148" s="123" t="str">
        <f t="shared" si="5"/>
        <v/>
      </c>
    </row>
    <row r="149" ht="15.75" customHeight="1">
      <c r="A149" s="124" t="s">
        <v>28</v>
      </c>
      <c r="B149" s="125">
        <f t="shared" si="6"/>
        <v>45802</v>
      </c>
      <c r="C149" s="57">
        <v>6.0</v>
      </c>
      <c r="D149" s="57" t="s">
        <v>22</v>
      </c>
      <c r="E149" s="126" t="s">
        <v>33</v>
      </c>
      <c r="F149" s="53">
        <v>0.0</v>
      </c>
      <c r="G149" s="35"/>
      <c r="H149" s="53">
        <v>0.0</v>
      </c>
      <c r="I149" s="35"/>
      <c r="J149" s="53">
        <v>0.0</v>
      </c>
      <c r="K149" s="35"/>
      <c r="L149" s="53">
        <v>0.0</v>
      </c>
      <c r="M149" s="35"/>
      <c r="N149" s="53">
        <v>0.0</v>
      </c>
      <c r="O149" s="35"/>
      <c r="P149" s="53">
        <v>0.0</v>
      </c>
      <c r="Q149" s="37"/>
      <c r="R149" s="55"/>
      <c r="S149" s="35"/>
      <c r="T149" s="54"/>
      <c r="U149" s="35"/>
      <c r="V149" s="54"/>
      <c r="W149" s="35"/>
      <c r="X149" s="54"/>
      <c r="Y149" s="35"/>
      <c r="Z149" s="54"/>
      <c r="AA149" s="35"/>
      <c r="AB149" s="54"/>
      <c r="AC149" s="37"/>
      <c r="AD149" s="56">
        <f t="shared" si="1"/>
        <v>0</v>
      </c>
      <c r="AE149" s="57">
        <f t="shared" si="2"/>
        <v>0</v>
      </c>
      <c r="AF149" s="57">
        <f t="shared" si="3"/>
        <v>0</v>
      </c>
      <c r="AG149" s="57">
        <f t="shared" si="4"/>
        <v>0</v>
      </c>
      <c r="AH149" s="127" t="str">
        <f t="shared" si="5"/>
        <v/>
      </c>
    </row>
    <row r="150" ht="15.75" customHeight="1">
      <c r="A150" s="116" t="s">
        <v>21</v>
      </c>
      <c r="B150" s="117">
        <f t="shared" si="6"/>
        <v>45803</v>
      </c>
      <c r="C150" s="87">
        <v>6.0</v>
      </c>
      <c r="D150" s="87" t="s">
        <v>29</v>
      </c>
      <c r="E150" s="118" t="s">
        <v>33</v>
      </c>
      <c r="F150" s="46">
        <v>0.0</v>
      </c>
      <c r="H150" s="47">
        <v>0.0</v>
      </c>
      <c r="J150" s="47">
        <v>0.0</v>
      </c>
      <c r="L150" s="47">
        <v>0.0</v>
      </c>
      <c r="N150" s="47">
        <v>0.0</v>
      </c>
      <c r="P150" s="47">
        <v>0.0</v>
      </c>
      <c r="Q150" s="22"/>
      <c r="R150" s="49"/>
      <c r="T150" s="48"/>
      <c r="V150" s="48"/>
      <c r="X150" s="48"/>
      <c r="Z150" s="48"/>
      <c r="AB150" s="48"/>
      <c r="AC150" s="22"/>
      <c r="AD150" s="86">
        <f t="shared" si="1"/>
        <v>0</v>
      </c>
      <c r="AE150" s="87">
        <f t="shared" si="2"/>
        <v>0</v>
      </c>
      <c r="AF150" s="87">
        <f t="shared" si="3"/>
        <v>0</v>
      </c>
      <c r="AG150" s="87">
        <f t="shared" si="4"/>
        <v>0</v>
      </c>
      <c r="AH150" s="119" t="str">
        <f t="shared" si="5"/>
        <v/>
      </c>
    </row>
    <row r="151" ht="15.75" customHeight="1">
      <c r="A151" s="120" t="s">
        <v>23</v>
      </c>
      <c r="B151" s="121">
        <f t="shared" si="6"/>
        <v>45804</v>
      </c>
      <c r="C151" s="51">
        <v>6.0</v>
      </c>
      <c r="D151" s="51" t="s">
        <v>29</v>
      </c>
      <c r="E151" s="122" t="s">
        <v>34</v>
      </c>
      <c r="F151" s="46">
        <v>0.0</v>
      </c>
      <c r="H151" s="47">
        <v>45.0</v>
      </c>
      <c r="J151" s="47">
        <v>45.0</v>
      </c>
      <c r="L151" s="47">
        <v>0.0</v>
      </c>
      <c r="N151" s="47">
        <v>0.0</v>
      </c>
      <c r="P151" s="47">
        <v>0.0</v>
      </c>
      <c r="Q151" s="22"/>
      <c r="R151" s="49"/>
      <c r="T151" s="48"/>
      <c r="V151" s="48"/>
      <c r="X151" s="48"/>
      <c r="Z151" s="48"/>
      <c r="AB151" s="48"/>
      <c r="AC151" s="22"/>
      <c r="AD151" s="50">
        <f t="shared" si="1"/>
        <v>2367.9</v>
      </c>
      <c r="AE151" s="51">
        <f t="shared" si="2"/>
        <v>90</v>
      </c>
      <c r="AF151" s="51">
        <f t="shared" si="3"/>
        <v>0</v>
      </c>
      <c r="AG151" s="51">
        <f t="shared" si="4"/>
        <v>90</v>
      </c>
      <c r="AH151" s="123">
        <f t="shared" si="5"/>
        <v>26.31</v>
      </c>
    </row>
    <row r="152" ht="15.75" customHeight="1">
      <c r="A152" s="120" t="s">
        <v>24</v>
      </c>
      <c r="B152" s="121">
        <f t="shared" si="6"/>
        <v>45805</v>
      </c>
      <c r="C152" s="51">
        <v>6.0</v>
      </c>
      <c r="D152" s="51" t="s">
        <v>29</v>
      </c>
      <c r="E152" s="122" t="s">
        <v>34</v>
      </c>
      <c r="F152" s="46">
        <v>0.0</v>
      </c>
      <c r="H152" s="47">
        <v>45.0</v>
      </c>
      <c r="J152" s="47">
        <v>45.0</v>
      </c>
      <c r="L152" s="47">
        <v>0.0</v>
      </c>
      <c r="N152" s="47">
        <v>0.0</v>
      </c>
      <c r="P152" s="47">
        <v>0.0</v>
      </c>
      <c r="Q152" s="22"/>
      <c r="R152" s="49"/>
      <c r="T152" s="48"/>
      <c r="V152" s="48"/>
      <c r="X152" s="48"/>
      <c r="Z152" s="48"/>
      <c r="AB152" s="48"/>
      <c r="AC152" s="22"/>
      <c r="AD152" s="50">
        <f t="shared" si="1"/>
        <v>2367.9</v>
      </c>
      <c r="AE152" s="51">
        <f t="shared" si="2"/>
        <v>90</v>
      </c>
      <c r="AF152" s="51">
        <f t="shared" si="3"/>
        <v>0</v>
      </c>
      <c r="AG152" s="51">
        <f t="shared" si="4"/>
        <v>90</v>
      </c>
      <c r="AH152" s="123">
        <f t="shared" si="5"/>
        <v>26.31</v>
      </c>
    </row>
    <row r="153" ht="15.75" customHeight="1">
      <c r="A153" s="120" t="s">
        <v>25</v>
      </c>
      <c r="B153" s="121">
        <f t="shared" si="6"/>
        <v>45806</v>
      </c>
      <c r="C153" s="51">
        <v>6.0</v>
      </c>
      <c r="D153" s="51" t="s">
        <v>29</v>
      </c>
      <c r="E153" s="122" t="s">
        <v>34</v>
      </c>
      <c r="F153" s="46">
        <v>0.0</v>
      </c>
      <c r="H153" s="47">
        <v>45.0</v>
      </c>
      <c r="J153" s="47">
        <v>45.0</v>
      </c>
      <c r="L153" s="47">
        <v>0.0</v>
      </c>
      <c r="N153" s="47">
        <v>0.0</v>
      </c>
      <c r="P153" s="47">
        <v>0.0</v>
      </c>
      <c r="Q153" s="22"/>
      <c r="R153" s="49"/>
      <c r="T153" s="48"/>
      <c r="V153" s="48"/>
      <c r="X153" s="48"/>
      <c r="Z153" s="48"/>
      <c r="AB153" s="48"/>
      <c r="AC153" s="22"/>
      <c r="AD153" s="50">
        <f t="shared" si="1"/>
        <v>2367.9</v>
      </c>
      <c r="AE153" s="51">
        <f t="shared" si="2"/>
        <v>90</v>
      </c>
      <c r="AF153" s="51">
        <f t="shared" si="3"/>
        <v>0</v>
      </c>
      <c r="AG153" s="51">
        <f t="shared" si="4"/>
        <v>90</v>
      </c>
      <c r="AH153" s="123">
        <f t="shared" si="5"/>
        <v>26.31</v>
      </c>
    </row>
    <row r="154" ht="15.75" customHeight="1">
      <c r="A154" s="120" t="s">
        <v>26</v>
      </c>
      <c r="B154" s="121">
        <f t="shared" si="6"/>
        <v>45807</v>
      </c>
      <c r="C154" s="51">
        <v>6.0</v>
      </c>
      <c r="D154" s="51" t="s">
        <v>29</v>
      </c>
      <c r="E154" s="122" t="s">
        <v>34</v>
      </c>
      <c r="F154" s="46">
        <v>0.0</v>
      </c>
      <c r="H154" s="47">
        <v>45.0</v>
      </c>
      <c r="J154" s="47">
        <v>45.0</v>
      </c>
      <c r="L154" s="47">
        <v>0.0</v>
      </c>
      <c r="N154" s="47">
        <v>0.0</v>
      </c>
      <c r="P154" s="47">
        <v>0.0</v>
      </c>
      <c r="Q154" s="22"/>
      <c r="R154" s="49"/>
      <c r="T154" s="48"/>
      <c r="V154" s="48"/>
      <c r="X154" s="48"/>
      <c r="Z154" s="48"/>
      <c r="AB154" s="48"/>
      <c r="AC154" s="22"/>
      <c r="AD154" s="50">
        <f t="shared" si="1"/>
        <v>2367.9</v>
      </c>
      <c r="AE154" s="51">
        <f t="shared" si="2"/>
        <v>90</v>
      </c>
      <c r="AF154" s="51">
        <f t="shared" si="3"/>
        <v>0</v>
      </c>
      <c r="AG154" s="51">
        <f t="shared" si="4"/>
        <v>90</v>
      </c>
      <c r="AH154" s="123">
        <f t="shared" si="5"/>
        <v>26.31</v>
      </c>
    </row>
    <row r="155" ht="15.75" customHeight="1">
      <c r="A155" s="120" t="s">
        <v>27</v>
      </c>
      <c r="B155" s="121">
        <f t="shared" si="6"/>
        <v>45808</v>
      </c>
      <c r="C155" s="51">
        <v>6.0</v>
      </c>
      <c r="D155" s="51" t="s">
        <v>29</v>
      </c>
      <c r="E155" s="122" t="s">
        <v>32</v>
      </c>
      <c r="F155" s="46">
        <v>45.0</v>
      </c>
      <c r="H155" s="47">
        <v>45.0</v>
      </c>
      <c r="J155" s="47">
        <v>0.0</v>
      </c>
      <c r="L155" s="47">
        <v>0.0</v>
      </c>
      <c r="N155" s="47">
        <v>0.0</v>
      </c>
      <c r="P155" s="47">
        <v>0.0</v>
      </c>
      <c r="Q155" s="22"/>
      <c r="R155" s="49"/>
      <c r="T155" s="48"/>
      <c r="V155" s="48"/>
      <c r="X155" s="48"/>
      <c r="Z155" s="48"/>
      <c r="AB155" s="48"/>
      <c r="AC155" s="22"/>
      <c r="AD155" s="50">
        <f t="shared" si="1"/>
        <v>2367.9</v>
      </c>
      <c r="AE155" s="51">
        <f t="shared" si="2"/>
        <v>90</v>
      </c>
      <c r="AF155" s="51">
        <f t="shared" si="3"/>
        <v>0</v>
      </c>
      <c r="AG155" s="51">
        <f t="shared" si="4"/>
        <v>90</v>
      </c>
      <c r="AH155" s="123">
        <f t="shared" si="5"/>
        <v>26.31</v>
      </c>
    </row>
    <row r="156" ht="15.75" customHeight="1">
      <c r="A156" s="128" t="s">
        <v>28</v>
      </c>
      <c r="B156" s="129">
        <f t="shared" si="6"/>
        <v>45809</v>
      </c>
      <c r="C156" s="130">
        <v>6.0</v>
      </c>
      <c r="D156" s="130" t="s">
        <v>29</v>
      </c>
      <c r="E156" s="131" t="s">
        <v>32</v>
      </c>
      <c r="F156" s="132">
        <v>0.0</v>
      </c>
      <c r="G156" s="35"/>
      <c r="H156" s="133">
        <v>0.0</v>
      </c>
      <c r="I156" s="35"/>
      <c r="J156" s="133">
        <v>0.0</v>
      </c>
      <c r="K156" s="35"/>
      <c r="L156" s="133">
        <v>0.0</v>
      </c>
      <c r="M156" s="35"/>
      <c r="N156" s="133">
        <v>0.0</v>
      </c>
      <c r="O156" s="35"/>
      <c r="P156" s="133">
        <v>0.0</v>
      </c>
      <c r="Q156" s="37"/>
      <c r="R156" s="134"/>
      <c r="S156" s="35"/>
      <c r="T156" s="135"/>
      <c r="U156" s="35"/>
      <c r="V156" s="135"/>
      <c r="W156" s="35"/>
      <c r="X156" s="135"/>
      <c r="Y156" s="35"/>
      <c r="Z156" s="135"/>
      <c r="AA156" s="35"/>
      <c r="AB156" s="135"/>
      <c r="AC156" s="37"/>
      <c r="AD156" s="136">
        <f t="shared" si="1"/>
        <v>0</v>
      </c>
      <c r="AE156" s="130">
        <f t="shared" si="2"/>
        <v>0</v>
      </c>
      <c r="AF156" s="130">
        <f t="shared" si="3"/>
        <v>0</v>
      </c>
      <c r="AG156" s="130">
        <f t="shared" si="4"/>
        <v>0</v>
      </c>
      <c r="AH156" s="137" t="str">
        <f t="shared" si="5"/>
        <v/>
      </c>
    </row>
    <row r="157" ht="15.75" customHeight="1">
      <c r="A157" s="116" t="s">
        <v>21</v>
      </c>
      <c r="B157" s="117">
        <f t="shared" si="6"/>
        <v>45810</v>
      </c>
      <c r="C157" s="87">
        <v>6.0</v>
      </c>
      <c r="D157" s="87" t="s">
        <v>30</v>
      </c>
      <c r="E157" s="118" t="s">
        <v>33</v>
      </c>
      <c r="F157" s="46">
        <v>0.0</v>
      </c>
      <c r="H157" s="47">
        <v>0.0</v>
      </c>
      <c r="J157" s="47">
        <v>0.0</v>
      </c>
      <c r="L157" s="47">
        <v>0.0</v>
      </c>
      <c r="N157" s="47">
        <v>0.0</v>
      </c>
      <c r="P157" s="47">
        <v>0.0</v>
      </c>
      <c r="Q157" s="22"/>
      <c r="R157" s="49"/>
      <c r="T157" s="48"/>
      <c r="V157" s="48"/>
      <c r="X157" s="48"/>
      <c r="Z157" s="48"/>
      <c r="AB157" s="48"/>
      <c r="AC157" s="22"/>
      <c r="AD157" s="86">
        <f t="shared" si="1"/>
        <v>0</v>
      </c>
      <c r="AE157" s="87">
        <f t="shared" si="2"/>
        <v>0</v>
      </c>
      <c r="AF157" s="87">
        <f t="shared" si="3"/>
        <v>0</v>
      </c>
      <c r="AG157" s="87">
        <f t="shared" si="4"/>
        <v>0</v>
      </c>
      <c r="AH157" s="119" t="str">
        <f t="shared" si="5"/>
        <v/>
      </c>
    </row>
    <row r="158" ht="15.75" customHeight="1">
      <c r="A158" s="120" t="s">
        <v>23</v>
      </c>
      <c r="B158" s="121">
        <f t="shared" si="6"/>
        <v>45811</v>
      </c>
      <c r="C158" s="51">
        <v>6.0</v>
      </c>
      <c r="D158" s="51" t="s">
        <v>30</v>
      </c>
      <c r="E158" s="122" t="s">
        <v>33</v>
      </c>
      <c r="F158" s="46">
        <v>0.0</v>
      </c>
      <c r="H158" s="47">
        <v>0.0</v>
      </c>
      <c r="J158" s="47">
        <v>0.0</v>
      </c>
      <c r="L158" s="47">
        <v>0.0</v>
      </c>
      <c r="N158" s="47">
        <v>0.0</v>
      </c>
      <c r="P158" s="47">
        <v>0.0</v>
      </c>
      <c r="Q158" s="22"/>
      <c r="R158" s="49"/>
      <c r="T158" s="48"/>
      <c r="V158" s="48"/>
      <c r="X158" s="48"/>
      <c r="Z158" s="48"/>
      <c r="AB158" s="48"/>
      <c r="AC158" s="22"/>
      <c r="AD158" s="50">
        <f t="shared" si="1"/>
        <v>0</v>
      </c>
      <c r="AE158" s="51">
        <f t="shared" si="2"/>
        <v>0</v>
      </c>
      <c r="AF158" s="51">
        <f t="shared" si="3"/>
        <v>0</v>
      </c>
      <c r="AG158" s="51">
        <f t="shared" si="4"/>
        <v>0</v>
      </c>
      <c r="AH158" s="123" t="str">
        <f t="shared" si="5"/>
        <v/>
      </c>
    </row>
    <row r="159" ht="15.75" customHeight="1">
      <c r="A159" s="120" t="s">
        <v>24</v>
      </c>
      <c r="B159" s="121">
        <f t="shared" si="6"/>
        <v>45812</v>
      </c>
      <c r="C159" s="51">
        <v>6.0</v>
      </c>
      <c r="D159" s="51" t="s">
        <v>30</v>
      </c>
      <c r="E159" s="122" t="s">
        <v>33</v>
      </c>
      <c r="F159" s="46">
        <v>0.0</v>
      </c>
      <c r="H159" s="47">
        <v>0.0</v>
      </c>
      <c r="J159" s="47">
        <v>0.0</v>
      </c>
      <c r="L159" s="47">
        <v>0.0</v>
      </c>
      <c r="N159" s="47">
        <v>0.0</v>
      </c>
      <c r="P159" s="47">
        <v>0.0</v>
      </c>
      <c r="Q159" s="22"/>
      <c r="R159" s="49"/>
      <c r="T159" s="48"/>
      <c r="V159" s="48"/>
      <c r="X159" s="48"/>
      <c r="Z159" s="48"/>
      <c r="AB159" s="48"/>
      <c r="AC159" s="22"/>
      <c r="AD159" s="50">
        <f t="shared" si="1"/>
        <v>0</v>
      </c>
      <c r="AE159" s="51">
        <f t="shared" si="2"/>
        <v>0</v>
      </c>
      <c r="AF159" s="51">
        <f t="shared" si="3"/>
        <v>0</v>
      </c>
      <c r="AG159" s="51">
        <f t="shared" si="4"/>
        <v>0</v>
      </c>
      <c r="AH159" s="123" t="str">
        <f t="shared" si="5"/>
        <v/>
      </c>
    </row>
    <row r="160" ht="15.75" customHeight="1">
      <c r="A160" s="120" t="s">
        <v>25</v>
      </c>
      <c r="B160" s="121">
        <f t="shared" si="6"/>
        <v>45813</v>
      </c>
      <c r="C160" s="51">
        <v>6.0</v>
      </c>
      <c r="D160" s="51" t="s">
        <v>30</v>
      </c>
      <c r="E160" s="122" t="s">
        <v>33</v>
      </c>
      <c r="F160" s="46">
        <v>0.0</v>
      </c>
      <c r="H160" s="47">
        <v>0.0</v>
      </c>
      <c r="J160" s="47">
        <v>0.0</v>
      </c>
      <c r="L160" s="47">
        <v>0.0</v>
      </c>
      <c r="N160" s="47">
        <v>0.0</v>
      </c>
      <c r="P160" s="47">
        <v>0.0</v>
      </c>
      <c r="Q160" s="22"/>
      <c r="R160" s="49"/>
      <c r="T160" s="48"/>
      <c r="V160" s="48"/>
      <c r="X160" s="48"/>
      <c r="Z160" s="48"/>
      <c r="AB160" s="48"/>
      <c r="AC160" s="22"/>
      <c r="AD160" s="50">
        <f t="shared" si="1"/>
        <v>0</v>
      </c>
      <c r="AE160" s="51">
        <f t="shared" si="2"/>
        <v>0</v>
      </c>
      <c r="AF160" s="51">
        <f t="shared" si="3"/>
        <v>0</v>
      </c>
      <c r="AG160" s="51">
        <f t="shared" si="4"/>
        <v>0</v>
      </c>
      <c r="AH160" s="123" t="str">
        <f t="shared" si="5"/>
        <v/>
      </c>
    </row>
    <row r="161" ht="15.75" customHeight="1">
      <c r="A161" s="120" t="s">
        <v>26</v>
      </c>
      <c r="B161" s="121">
        <f t="shared" si="6"/>
        <v>45814</v>
      </c>
      <c r="C161" s="51">
        <v>6.0</v>
      </c>
      <c r="D161" s="51" t="s">
        <v>30</v>
      </c>
      <c r="E161" s="122" t="s">
        <v>33</v>
      </c>
      <c r="F161" s="46">
        <v>0.0</v>
      </c>
      <c r="H161" s="47">
        <v>0.0</v>
      </c>
      <c r="J161" s="47">
        <v>0.0</v>
      </c>
      <c r="L161" s="47">
        <v>0.0</v>
      </c>
      <c r="N161" s="47">
        <v>0.0</v>
      </c>
      <c r="P161" s="47">
        <v>0.0</v>
      </c>
      <c r="Q161" s="22"/>
      <c r="R161" s="49"/>
      <c r="T161" s="48"/>
      <c r="V161" s="48"/>
      <c r="X161" s="48"/>
      <c r="Z161" s="48"/>
      <c r="AB161" s="48"/>
      <c r="AC161" s="22"/>
      <c r="AD161" s="50">
        <f t="shared" si="1"/>
        <v>0</v>
      </c>
      <c r="AE161" s="51">
        <f t="shared" si="2"/>
        <v>0</v>
      </c>
      <c r="AF161" s="51">
        <f t="shared" si="3"/>
        <v>0</v>
      </c>
      <c r="AG161" s="51">
        <f t="shared" si="4"/>
        <v>0</v>
      </c>
      <c r="AH161" s="123" t="str">
        <f t="shared" si="5"/>
        <v/>
      </c>
    </row>
    <row r="162" ht="15.75" customHeight="1">
      <c r="A162" s="120" t="s">
        <v>27</v>
      </c>
      <c r="B162" s="121">
        <f t="shared" si="6"/>
        <v>45815</v>
      </c>
      <c r="C162" s="51">
        <v>6.0</v>
      </c>
      <c r="D162" s="51" t="s">
        <v>30</v>
      </c>
      <c r="E162" s="122" t="s">
        <v>33</v>
      </c>
      <c r="F162" s="46">
        <v>0.0</v>
      </c>
      <c r="H162" s="47">
        <v>0.0</v>
      </c>
      <c r="J162" s="47">
        <v>0.0</v>
      </c>
      <c r="L162" s="47">
        <v>0.0</v>
      </c>
      <c r="N162" s="47">
        <v>0.0</v>
      </c>
      <c r="P162" s="47">
        <v>0.0</v>
      </c>
      <c r="Q162" s="22"/>
      <c r="R162" s="49"/>
      <c r="T162" s="48"/>
      <c r="V162" s="48"/>
      <c r="X162" s="48"/>
      <c r="Z162" s="48"/>
      <c r="AB162" s="48"/>
      <c r="AC162" s="22"/>
      <c r="AD162" s="50">
        <f t="shared" si="1"/>
        <v>0</v>
      </c>
      <c r="AE162" s="51">
        <f t="shared" si="2"/>
        <v>0</v>
      </c>
      <c r="AF162" s="51">
        <f t="shared" si="3"/>
        <v>0</v>
      </c>
      <c r="AG162" s="51">
        <f t="shared" si="4"/>
        <v>0</v>
      </c>
      <c r="AH162" s="123" t="str">
        <f t="shared" si="5"/>
        <v/>
      </c>
    </row>
    <row r="163" ht="15.75" customHeight="1">
      <c r="A163" s="124" t="s">
        <v>28</v>
      </c>
      <c r="B163" s="125">
        <f t="shared" si="6"/>
        <v>45816</v>
      </c>
      <c r="C163" s="57">
        <v>6.0</v>
      </c>
      <c r="D163" s="57" t="s">
        <v>30</v>
      </c>
      <c r="E163" s="126" t="s">
        <v>33</v>
      </c>
      <c r="F163" s="53">
        <v>0.0</v>
      </c>
      <c r="G163" s="35"/>
      <c r="H163" s="53">
        <v>0.0</v>
      </c>
      <c r="I163" s="35"/>
      <c r="J163" s="53">
        <v>0.0</v>
      </c>
      <c r="K163" s="35"/>
      <c r="L163" s="53">
        <v>0.0</v>
      </c>
      <c r="M163" s="35"/>
      <c r="N163" s="53">
        <v>0.0</v>
      </c>
      <c r="O163" s="35"/>
      <c r="P163" s="53">
        <v>0.0</v>
      </c>
      <c r="Q163" s="37"/>
      <c r="R163" s="55"/>
      <c r="S163" s="35"/>
      <c r="T163" s="54"/>
      <c r="U163" s="35"/>
      <c r="V163" s="54"/>
      <c r="W163" s="35"/>
      <c r="X163" s="54"/>
      <c r="Y163" s="35"/>
      <c r="Z163" s="54"/>
      <c r="AA163" s="35"/>
      <c r="AB163" s="54"/>
      <c r="AC163" s="37"/>
      <c r="AD163" s="56">
        <f t="shared" si="1"/>
        <v>0</v>
      </c>
      <c r="AE163" s="57">
        <f t="shared" si="2"/>
        <v>0</v>
      </c>
      <c r="AF163" s="57">
        <f t="shared" si="3"/>
        <v>0</v>
      </c>
      <c r="AG163" s="57">
        <f t="shared" si="4"/>
        <v>0</v>
      </c>
      <c r="AH163" s="127" t="str">
        <f t="shared" si="5"/>
        <v/>
      </c>
    </row>
    <row r="164" ht="15.75" customHeight="1">
      <c r="A164" s="116" t="s">
        <v>21</v>
      </c>
      <c r="B164" s="117">
        <f t="shared" si="6"/>
        <v>45817</v>
      </c>
      <c r="C164" s="87">
        <v>6.0</v>
      </c>
      <c r="D164" s="87" t="s">
        <v>31</v>
      </c>
      <c r="E164" s="118" t="s">
        <v>33</v>
      </c>
      <c r="F164" s="46">
        <v>0.0</v>
      </c>
      <c r="H164" s="47">
        <v>0.0</v>
      </c>
      <c r="J164" s="47">
        <v>0.0</v>
      </c>
      <c r="L164" s="47">
        <v>0.0</v>
      </c>
      <c r="N164" s="47">
        <v>0.0</v>
      </c>
      <c r="P164" s="47">
        <v>0.0</v>
      </c>
      <c r="Q164" s="22"/>
      <c r="R164" s="49"/>
      <c r="T164" s="48"/>
      <c r="V164" s="48"/>
      <c r="X164" s="48"/>
      <c r="Z164" s="48"/>
      <c r="AB164" s="48"/>
      <c r="AC164" s="22"/>
      <c r="AD164" s="86">
        <f t="shared" si="1"/>
        <v>0</v>
      </c>
      <c r="AE164" s="87">
        <f t="shared" si="2"/>
        <v>0</v>
      </c>
      <c r="AF164" s="87">
        <f t="shared" si="3"/>
        <v>0</v>
      </c>
      <c r="AG164" s="87">
        <f t="shared" si="4"/>
        <v>0</v>
      </c>
      <c r="AH164" s="119" t="str">
        <f t="shared" si="5"/>
        <v/>
      </c>
    </row>
    <row r="165" ht="15.75" customHeight="1">
      <c r="A165" s="120" t="s">
        <v>23</v>
      </c>
      <c r="B165" s="121">
        <f t="shared" si="6"/>
        <v>45818</v>
      </c>
      <c r="C165" s="51">
        <v>6.0</v>
      </c>
      <c r="D165" s="51" t="s">
        <v>31</v>
      </c>
      <c r="E165" s="122" t="s">
        <v>34</v>
      </c>
      <c r="F165" s="46">
        <v>0.0</v>
      </c>
      <c r="H165" s="47">
        <v>45.0</v>
      </c>
      <c r="J165" s="47">
        <v>45.0</v>
      </c>
      <c r="L165" s="47">
        <v>0.0</v>
      </c>
      <c r="N165" s="47">
        <v>0.0</v>
      </c>
      <c r="P165" s="47">
        <v>0.0</v>
      </c>
      <c r="Q165" s="22"/>
      <c r="R165" s="49"/>
      <c r="T165" s="48"/>
      <c r="V165" s="48"/>
      <c r="X165" s="48"/>
      <c r="Z165" s="48"/>
      <c r="AB165" s="48"/>
      <c r="AC165" s="22"/>
      <c r="AD165" s="50">
        <f t="shared" si="1"/>
        <v>2367.9</v>
      </c>
      <c r="AE165" s="51">
        <f t="shared" si="2"/>
        <v>90</v>
      </c>
      <c r="AF165" s="51">
        <f t="shared" si="3"/>
        <v>0</v>
      </c>
      <c r="AG165" s="51">
        <f t="shared" si="4"/>
        <v>90</v>
      </c>
      <c r="AH165" s="123">
        <f t="shared" si="5"/>
        <v>26.31</v>
      </c>
    </row>
    <row r="166" ht="15.75" customHeight="1">
      <c r="A166" s="120" t="s">
        <v>24</v>
      </c>
      <c r="B166" s="121">
        <f t="shared" si="6"/>
        <v>45819</v>
      </c>
      <c r="C166" s="51">
        <v>6.0</v>
      </c>
      <c r="D166" s="51" t="s">
        <v>31</v>
      </c>
      <c r="E166" s="122" t="s">
        <v>34</v>
      </c>
      <c r="F166" s="46">
        <v>0.0</v>
      </c>
      <c r="H166" s="47">
        <v>45.0</v>
      </c>
      <c r="J166" s="47">
        <v>45.0</v>
      </c>
      <c r="L166" s="47">
        <v>0.0</v>
      </c>
      <c r="N166" s="47">
        <v>0.0</v>
      </c>
      <c r="P166" s="47">
        <v>0.0</v>
      </c>
      <c r="Q166" s="22"/>
      <c r="R166" s="49"/>
      <c r="T166" s="48"/>
      <c r="V166" s="48"/>
      <c r="X166" s="48"/>
      <c r="Z166" s="48"/>
      <c r="AB166" s="48"/>
      <c r="AC166" s="22"/>
      <c r="AD166" s="50">
        <f t="shared" si="1"/>
        <v>2367.9</v>
      </c>
      <c r="AE166" s="51">
        <f t="shared" si="2"/>
        <v>90</v>
      </c>
      <c r="AF166" s="51">
        <f t="shared" si="3"/>
        <v>0</v>
      </c>
      <c r="AG166" s="51">
        <f t="shared" si="4"/>
        <v>90</v>
      </c>
      <c r="AH166" s="123">
        <f t="shared" si="5"/>
        <v>26.31</v>
      </c>
    </row>
    <row r="167" ht="15.75" customHeight="1">
      <c r="A167" s="120" t="s">
        <v>25</v>
      </c>
      <c r="B167" s="121">
        <f t="shared" si="6"/>
        <v>45820</v>
      </c>
      <c r="C167" s="51">
        <v>6.0</v>
      </c>
      <c r="D167" s="51" t="s">
        <v>31</v>
      </c>
      <c r="E167" s="122" t="s">
        <v>34</v>
      </c>
      <c r="F167" s="46">
        <v>0.0</v>
      </c>
      <c r="H167" s="47">
        <v>45.0</v>
      </c>
      <c r="J167" s="47">
        <v>45.0</v>
      </c>
      <c r="L167" s="47">
        <v>0.0</v>
      </c>
      <c r="N167" s="47">
        <v>0.0</v>
      </c>
      <c r="P167" s="47">
        <v>0.0</v>
      </c>
      <c r="Q167" s="22"/>
      <c r="R167" s="49"/>
      <c r="T167" s="48"/>
      <c r="V167" s="48"/>
      <c r="X167" s="48"/>
      <c r="Z167" s="48"/>
      <c r="AB167" s="48"/>
      <c r="AC167" s="22"/>
      <c r="AD167" s="50">
        <f t="shared" si="1"/>
        <v>2367.9</v>
      </c>
      <c r="AE167" s="51">
        <f t="shared" si="2"/>
        <v>90</v>
      </c>
      <c r="AF167" s="51">
        <f t="shared" si="3"/>
        <v>0</v>
      </c>
      <c r="AG167" s="51">
        <f t="shared" si="4"/>
        <v>90</v>
      </c>
      <c r="AH167" s="123">
        <f t="shared" si="5"/>
        <v>26.31</v>
      </c>
    </row>
    <row r="168" ht="15.75" customHeight="1">
      <c r="A168" s="120" t="s">
        <v>26</v>
      </c>
      <c r="B168" s="121">
        <f t="shared" si="6"/>
        <v>45821</v>
      </c>
      <c r="C168" s="51">
        <v>6.0</v>
      </c>
      <c r="D168" s="51" t="s">
        <v>31</v>
      </c>
      <c r="E168" s="122" t="s">
        <v>34</v>
      </c>
      <c r="F168" s="46">
        <v>0.0</v>
      </c>
      <c r="H168" s="47">
        <v>45.0</v>
      </c>
      <c r="J168" s="47">
        <v>45.0</v>
      </c>
      <c r="L168" s="47">
        <v>0.0</v>
      </c>
      <c r="N168" s="47">
        <v>0.0</v>
      </c>
      <c r="P168" s="47">
        <v>0.0</v>
      </c>
      <c r="Q168" s="22"/>
      <c r="R168" s="49"/>
      <c r="T168" s="48"/>
      <c r="V168" s="48"/>
      <c r="X168" s="48"/>
      <c r="Z168" s="48"/>
      <c r="AB168" s="48"/>
      <c r="AC168" s="22"/>
      <c r="AD168" s="50">
        <f t="shared" si="1"/>
        <v>2367.9</v>
      </c>
      <c r="AE168" s="51">
        <f t="shared" si="2"/>
        <v>90</v>
      </c>
      <c r="AF168" s="51">
        <f t="shared" si="3"/>
        <v>0</v>
      </c>
      <c r="AG168" s="51">
        <f t="shared" si="4"/>
        <v>90</v>
      </c>
      <c r="AH168" s="123">
        <f t="shared" si="5"/>
        <v>26.31</v>
      </c>
    </row>
    <row r="169" ht="15.75" customHeight="1">
      <c r="A169" s="120" t="s">
        <v>27</v>
      </c>
      <c r="B169" s="121">
        <f t="shared" si="6"/>
        <v>45822</v>
      </c>
      <c r="C169" s="51">
        <v>6.0</v>
      </c>
      <c r="D169" s="51" t="s">
        <v>31</v>
      </c>
      <c r="E169" s="122" t="s">
        <v>34</v>
      </c>
      <c r="F169" s="46">
        <v>0.0</v>
      </c>
      <c r="H169" s="47">
        <v>45.0</v>
      </c>
      <c r="J169" s="47">
        <v>45.0</v>
      </c>
      <c r="L169" s="47">
        <v>0.0</v>
      </c>
      <c r="N169" s="47">
        <v>0.0</v>
      </c>
      <c r="P169" s="47">
        <v>0.0</v>
      </c>
      <c r="Q169" s="22"/>
      <c r="R169" s="49"/>
      <c r="T169" s="48"/>
      <c r="V169" s="48"/>
      <c r="X169" s="48"/>
      <c r="Z169" s="48"/>
      <c r="AB169" s="48"/>
      <c r="AC169" s="22"/>
      <c r="AD169" s="50">
        <f t="shared" si="1"/>
        <v>2367.9</v>
      </c>
      <c r="AE169" s="51">
        <f t="shared" si="2"/>
        <v>90</v>
      </c>
      <c r="AF169" s="51">
        <f t="shared" si="3"/>
        <v>0</v>
      </c>
      <c r="AG169" s="51">
        <f t="shared" si="4"/>
        <v>90</v>
      </c>
      <c r="AH169" s="123">
        <f t="shared" si="5"/>
        <v>26.31</v>
      </c>
    </row>
    <row r="170" ht="15.75" customHeight="1">
      <c r="A170" s="128" t="s">
        <v>28</v>
      </c>
      <c r="B170" s="129">
        <f t="shared" si="6"/>
        <v>45823</v>
      </c>
      <c r="C170" s="130">
        <v>6.0</v>
      </c>
      <c r="D170" s="130" t="s">
        <v>31</v>
      </c>
      <c r="E170" s="131" t="s">
        <v>32</v>
      </c>
      <c r="F170" s="132">
        <v>0.0</v>
      </c>
      <c r="G170" s="35"/>
      <c r="H170" s="133">
        <v>0.0</v>
      </c>
      <c r="I170" s="35"/>
      <c r="J170" s="133">
        <v>0.0</v>
      </c>
      <c r="K170" s="35"/>
      <c r="L170" s="133">
        <v>0.0</v>
      </c>
      <c r="M170" s="35"/>
      <c r="N170" s="133">
        <v>0.0</v>
      </c>
      <c r="O170" s="35"/>
      <c r="P170" s="133">
        <v>0.0</v>
      </c>
      <c r="Q170" s="37"/>
      <c r="R170" s="134"/>
      <c r="S170" s="35"/>
      <c r="T170" s="135"/>
      <c r="U170" s="35"/>
      <c r="V170" s="135"/>
      <c r="W170" s="35"/>
      <c r="X170" s="135"/>
      <c r="Y170" s="35"/>
      <c r="Z170" s="135"/>
      <c r="AA170" s="35"/>
      <c r="AB170" s="135"/>
      <c r="AC170" s="37"/>
      <c r="AD170" s="136">
        <f t="shared" si="1"/>
        <v>0</v>
      </c>
      <c r="AE170" s="130">
        <f t="shared" si="2"/>
        <v>0</v>
      </c>
      <c r="AF170" s="130">
        <f t="shared" si="3"/>
        <v>0</v>
      </c>
      <c r="AG170" s="130">
        <f t="shared" si="4"/>
        <v>0</v>
      </c>
      <c r="AH170" s="137" t="str">
        <f t="shared" si="5"/>
        <v/>
      </c>
    </row>
    <row r="171" ht="15.75" customHeight="1">
      <c r="A171" s="116" t="s">
        <v>21</v>
      </c>
      <c r="B171" s="117">
        <f t="shared" si="6"/>
        <v>45824</v>
      </c>
      <c r="C171" s="87">
        <v>7.0</v>
      </c>
      <c r="D171" s="87" t="s">
        <v>22</v>
      </c>
      <c r="E171" s="118" t="s">
        <v>33</v>
      </c>
      <c r="F171" s="46">
        <v>0.0</v>
      </c>
      <c r="H171" s="47">
        <v>0.0</v>
      </c>
      <c r="J171" s="47">
        <v>0.0</v>
      </c>
      <c r="L171" s="47">
        <v>0.0</v>
      </c>
      <c r="N171" s="47">
        <v>0.0</v>
      </c>
      <c r="P171" s="47">
        <v>0.0</v>
      </c>
      <c r="Q171" s="22"/>
      <c r="R171" s="49"/>
      <c r="T171" s="48"/>
      <c r="V171" s="48"/>
      <c r="X171" s="48"/>
      <c r="Z171" s="48"/>
      <c r="AB171" s="48"/>
      <c r="AC171" s="22"/>
      <c r="AD171" s="86">
        <f t="shared" si="1"/>
        <v>0</v>
      </c>
      <c r="AE171" s="87">
        <f t="shared" si="2"/>
        <v>0</v>
      </c>
      <c r="AF171" s="87">
        <f t="shared" si="3"/>
        <v>0</v>
      </c>
      <c r="AG171" s="87">
        <f t="shared" si="4"/>
        <v>0</v>
      </c>
      <c r="AH171" s="119" t="str">
        <f t="shared" si="5"/>
        <v/>
      </c>
    </row>
    <row r="172" ht="15.75" customHeight="1">
      <c r="A172" s="120" t="s">
        <v>23</v>
      </c>
      <c r="B172" s="121">
        <f t="shared" si="6"/>
        <v>45825</v>
      </c>
      <c r="C172" s="51">
        <v>7.0</v>
      </c>
      <c r="D172" s="51" t="s">
        <v>22</v>
      </c>
      <c r="E172" s="122" t="s">
        <v>33</v>
      </c>
      <c r="F172" s="46">
        <v>0.0</v>
      </c>
      <c r="H172" s="47">
        <v>0.0</v>
      </c>
      <c r="J172" s="47">
        <v>0.0</v>
      </c>
      <c r="L172" s="47">
        <v>0.0</v>
      </c>
      <c r="N172" s="47">
        <v>0.0</v>
      </c>
      <c r="P172" s="47">
        <v>0.0</v>
      </c>
      <c r="Q172" s="22"/>
      <c r="R172" s="49"/>
      <c r="T172" s="48"/>
      <c r="V172" s="48"/>
      <c r="X172" s="48"/>
      <c r="Z172" s="48"/>
      <c r="AB172" s="48"/>
      <c r="AC172" s="22"/>
      <c r="AD172" s="50">
        <f t="shared" si="1"/>
        <v>0</v>
      </c>
      <c r="AE172" s="51">
        <f t="shared" si="2"/>
        <v>0</v>
      </c>
      <c r="AF172" s="51">
        <f t="shared" si="3"/>
        <v>0</v>
      </c>
      <c r="AG172" s="51">
        <f t="shared" si="4"/>
        <v>0</v>
      </c>
      <c r="AH172" s="123" t="str">
        <f t="shared" si="5"/>
        <v/>
      </c>
    </row>
    <row r="173" ht="15.75" customHeight="1">
      <c r="A173" s="120" t="s">
        <v>24</v>
      </c>
      <c r="B173" s="121">
        <f t="shared" si="6"/>
        <v>45826</v>
      </c>
      <c r="C173" s="51">
        <v>7.0</v>
      </c>
      <c r="D173" s="51" t="s">
        <v>22</v>
      </c>
      <c r="E173" s="122" t="s">
        <v>33</v>
      </c>
      <c r="F173" s="46">
        <v>0.0</v>
      </c>
      <c r="H173" s="47">
        <v>0.0</v>
      </c>
      <c r="J173" s="47">
        <v>0.0</v>
      </c>
      <c r="L173" s="47">
        <v>0.0</v>
      </c>
      <c r="N173" s="47">
        <v>0.0</v>
      </c>
      <c r="P173" s="47">
        <v>0.0</v>
      </c>
      <c r="Q173" s="22"/>
      <c r="R173" s="49"/>
      <c r="T173" s="48"/>
      <c r="V173" s="48"/>
      <c r="X173" s="48"/>
      <c r="Z173" s="48"/>
      <c r="AB173" s="48"/>
      <c r="AC173" s="22"/>
      <c r="AD173" s="50">
        <f t="shared" si="1"/>
        <v>0</v>
      </c>
      <c r="AE173" s="51">
        <f t="shared" si="2"/>
        <v>0</v>
      </c>
      <c r="AF173" s="51">
        <f t="shared" si="3"/>
        <v>0</v>
      </c>
      <c r="AG173" s="51">
        <f t="shared" si="4"/>
        <v>0</v>
      </c>
      <c r="AH173" s="123" t="str">
        <f t="shared" si="5"/>
        <v/>
      </c>
    </row>
    <row r="174" ht="15.75" customHeight="1">
      <c r="A174" s="120" t="s">
        <v>25</v>
      </c>
      <c r="B174" s="121">
        <f t="shared" si="6"/>
        <v>45827</v>
      </c>
      <c r="C174" s="51">
        <v>7.0</v>
      </c>
      <c r="D174" s="51" t="s">
        <v>22</v>
      </c>
      <c r="E174" s="122" t="s">
        <v>33</v>
      </c>
      <c r="F174" s="46">
        <v>0.0</v>
      </c>
      <c r="H174" s="47">
        <v>0.0</v>
      </c>
      <c r="J174" s="47">
        <v>0.0</v>
      </c>
      <c r="L174" s="47">
        <v>0.0</v>
      </c>
      <c r="N174" s="47">
        <v>0.0</v>
      </c>
      <c r="P174" s="47">
        <v>0.0</v>
      </c>
      <c r="Q174" s="22"/>
      <c r="R174" s="49"/>
      <c r="T174" s="48"/>
      <c r="V174" s="48"/>
      <c r="X174" s="48"/>
      <c r="Z174" s="48"/>
      <c r="AB174" s="48"/>
      <c r="AC174" s="22"/>
      <c r="AD174" s="50">
        <f t="shared" si="1"/>
        <v>0</v>
      </c>
      <c r="AE174" s="51">
        <f t="shared" si="2"/>
        <v>0</v>
      </c>
      <c r="AF174" s="51">
        <f t="shared" si="3"/>
        <v>0</v>
      </c>
      <c r="AG174" s="51">
        <f t="shared" si="4"/>
        <v>0</v>
      </c>
      <c r="AH174" s="123" t="str">
        <f t="shared" si="5"/>
        <v/>
      </c>
    </row>
    <row r="175" ht="15.75" customHeight="1">
      <c r="A175" s="120" t="s">
        <v>26</v>
      </c>
      <c r="B175" s="121">
        <f t="shared" si="6"/>
        <v>45828</v>
      </c>
      <c r="C175" s="51">
        <v>7.0</v>
      </c>
      <c r="D175" s="51" t="s">
        <v>22</v>
      </c>
      <c r="E175" s="122" t="s">
        <v>33</v>
      </c>
      <c r="F175" s="46">
        <v>0.0</v>
      </c>
      <c r="H175" s="47">
        <v>0.0</v>
      </c>
      <c r="J175" s="47">
        <v>0.0</v>
      </c>
      <c r="L175" s="47">
        <v>0.0</v>
      </c>
      <c r="N175" s="47">
        <v>0.0</v>
      </c>
      <c r="P175" s="47">
        <v>0.0</v>
      </c>
      <c r="Q175" s="22"/>
      <c r="R175" s="49"/>
      <c r="T175" s="48"/>
      <c r="V175" s="48"/>
      <c r="X175" s="48"/>
      <c r="Z175" s="48"/>
      <c r="AB175" s="48"/>
      <c r="AC175" s="22"/>
      <c r="AD175" s="50">
        <f t="shared" si="1"/>
        <v>0</v>
      </c>
      <c r="AE175" s="51">
        <f t="shared" si="2"/>
        <v>0</v>
      </c>
      <c r="AF175" s="51">
        <f t="shared" si="3"/>
        <v>0</v>
      </c>
      <c r="AG175" s="51">
        <f t="shared" si="4"/>
        <v>0</v>
      </c>
      <c r="AH175" s="123" t="str">
        <f t="shared" si="5"/>
        <v/>
      </c>
    </row>
    <row r="176" ht="15.75" customHeight="1">
      <c r="A176" s="120" t="s">
        <v>27</v>
      </c>
      <c r="B176" s="121">
        <f t="shared" si="6"/>
        <v>45829</v>
      </c>
      <c r="C176" s="51">
        <v>7.0</v>
      </c>
      <c r="D176" s="51" t="s">
        <v>22</v>
      </c>
      <c r="E176" s="122" t="s">
        <v>33</v>
      </c>
      <c r="F176" s="46">
        <v>0.0</v>
      </c>
      <c r="H176" s="47">
        <v>0.0</v>
      </c>
      <c r="J176" s="47">
        <v>0.0</v>
      </c>
      <c r="L176" s="47">
        <v>0.0</v>
      </c>
      <c r="N176" s="47">
        <v>0.0</v>
      </c>
      <c r="P176" s="47">
        <v>0.0</v>
      </c>
      <c r="Q176" s="22"/>
      <c r="R176" s="49"/>
      <c r="T176" s="48"/>
      <c r="V176" s="48"/>
      <c r="X176" s="48"/>
      <c r="Z176" s="48"/>
      <c r="AB176" s="48"/>
      <c r="AC176" s="22"/>
      <c r="AD176" s="50">
        <f t="shared" si="1"/>
        <v>0</v>
      </c>
      <c r="AE176" s="51">
        <f t="shared" si="2"/>
        <v>0</v>
      </c>
      <c r="AF176" s="51">
        <f t="shared" si="3"/>
        <v>0</v>
      </c>
      <c r="AG176" s="51">
        <f t="shared" si="4"/>
        <v>0</v>
      </c>
      <c r="AH176" s="123" t="str">
        <f t="shared" si="5"/>
        <v/>
      </c>
    </row>
    <row r="177" ht="15.75" customHeight="1">
      <c r="A177" s="124" t="s">
        <v>28</v>
      </c>
      <c r="B177" s="125">
        <f t="shared" si="6"/>
        <v>45830</v>
      </c>
      <c r="C177" s="57">
        <v>7.0</v>
      </c>
      <c r="D177" s="57" t="s">
        <v>22</v>
      </c>
      <c r="E177" s="126" t="s">
        <v>33</v>
      </c>
      <c r="F177" s="53">
        <v>0.0</v>
      </c>
      <c r="G177" s="35"/>
      <c r="H177" s="53">
        <v>0.0</v>
      </c>
      <c r="I177" s="35"/>
      <c r="J177" s="53">
        <v>0.0</v>
      </c>
      <c r="K177" s="35"/>
      <c r="L177" s="53">
        <v>0.0</v>
      </c>
      <c r="M177" s="35"/>
      <c r="N177" s="53">
        <v>0.0</v>
      </c>
      <c r="O177" s="35"/>
      <c r="P177" s="53">
        <v>0.0</v>
      </c>
      <c r="Q177" s="37"/>
      <c r="R177" s="55"/>
      <c r="S177" s="35"/>
      <c r="T177" s="54"/>
      <c r="U177" s="35"/>
      <c r="V177" s="54"/>
      <c r="W177" s="35"/>
      <c r="X177" s="54"/>
      <c r="Y177" s="35"/>
      <c r="Z177" s="54"/>
      <c r="AA177" s="35"/>
      <c r="AB177" s="54"/>
      <c r="AC177" s="37"/>
      <c r="AD177" s="56">
        <f t="shared" si="1"/>
        <v>0</v>
      </c>
      <c r="AE177" s="57">
        <f t="shared" si="2"/>
        <v>0</v>
      </c>
      <c r="AF177" s="57">
        <f t="shared" si="3"/>
        <v>0</v>
      </c>
      <c r="AG177" s="57">
        <f t="shared" si="4"/>
        <v>0</v>
      </c>
      <c r="AH177" s="127" t="str">
        <f t="shared" si="5"/>
        <v/>
      </c>
    </row>
    <row r="178" ht="15.75" customHeight="1">
      <c r="A178" s="116" t="s">
        <v>21</v>
      </c>
      <c r="B178" s="117">
        <f t="shared" si="6"/>
        <v>45831</v>
      </c>
      <c r="C178" s="87">
        <v>7.0</v>
      </c>
      <c r="D178" s="87" t="s">
        <v>29</v>
      </c>
      <c r="E178" s="118" t="s">
        <v>33</v>
      </c>
      <c r="F178" s="46">
        <v>0.0</v>
      </c>
      <c r="H178" s="47">
        <v>0.0</v>
      </c>
      <c r="J178" s="47">
        <v>0.0</v>
      </c>
      <c r="L178" s="47">
        <v>0.0</v>
      </c>
      <c r="N178" s="47">
        <v>0.0</v>
      </c>
      <c r="P178" s="47">
        <v>0.0</v>
      </c>
      <c r="Q178" s="22"/>
      <c r="R178" s="49"/>
      <c r="T178" s="48"/>
      <c r="V178" s="48"/>
      <c r="X178" s="48"/>
      <c r="Z178" s="48"/>
      <c r="AB178" s="48"/>
      <c r="AC178" s="22"/>
      <c r="AD178" s="86">
        <f t="shared" si="1"/>
        <v>0</v>
      </c>
      <c r="AE178" s="87">
        <f t="shared" si="2"/>
        <v>0</v>
      </c>
      <c r="AF178" s="87">
        <f t="shared" si="3"/>
        <v>0</v>
      </c>
      <c r="AG178" s="87">
        <f t="shared" si="4"/>
        <v>0</v>
      </c>
      <c r="AH178" s="119" t="str">
        <f t="shared" si="5"/>
        <v/>
      </c>
    </row>
    <row r="179" ht="15.75" customHeight="1">
      <c r="A179" s="120" t="s">
        <v>23</v>
      </c>
      <c r="B179" s="121">
        <f t="shared" si="6"/>
        <v>45832</v>
      </c>
      <c r="C179" s="51">
        <v>7.0</v>
      </c>
      <c r="D179" s="51" t="s">
        <v>29</v>
      </c>
      <c r="E179" s="122" t="s">
        <v>34</v>
      </c>
      <c r="F179" s="46">
        <v>0.0</v>
      </c>
      <c r="H179" s="47">
        <v>45.0</v>
      </c>
      <c r="J179" s="47">
        <v>45.0</v>
      </c>
      <c r="L179" s="47">
        <v>0.0</v>
      </c>
      <c r="N179" s="47">
        <v>0.0</v>
      </c>
      <c r="P179" s="47">
        <v>0.0</v>
      </c>
      <c r="Q179" s="22"/>
      <c r="R179" s="49"/>
      <c r="T179" s="48"/>
      <c r="V179" s="48"/>
      <c r="X179" s="48"/>
      <c r="Z179" s="48"/>
      <c r="AB179" s="48"/>
      <c r="AC179" s="22"/>
      <c r="AD179" s="50">
        <f t="shared" si="1"/>
        <v>2367.9</v>
      </c>
      <c r="AE179" s="51">
        <f t="shared" si="2"/>
        <v>90</v>
      </c>
      <c r="AF179" s="51">
        <f t="shared" si="3"/>
        <v>0</v>
      </c>
      <c r="AG179" s="51">
        <f t="shared" si="4"/>
        <v>90</v>
      </c>
      <c r="AH179" s="123">
        <f t="shared" si="5"/>
        <v>26.31</v>
      </c>
    </row>
    <row r="180" ht="15.75" customHeight="1">
      <c r="A180" s="120" t="s">
        <v>24</v>
      </c>
      <c r="B180" s="121">
        <f t="shared" si="6"/>
        <v>45833</v>
      </c>
      <c r="C180" s="51">
        <v>7.0</v>
      </c>
      <c r="D180" s="51" t="s">
        <v>29</v>
      </c>
      <c r="E180" s="122" t="s">
        <v>32</v>
      </c>
      <c r="F180" s="46">
        <v>45.0</v>
      </c>
      <c r="H180" s="47">
        <v>45.0</v>
      </c>
      <c r="J180" s="47">
        <v>0.0</v>
      </c>
      <c r="L180" s="47">
        <v>0.0</v>
      </c>
      <c r="N180" s="47">
        <v>0.0</v>
      </c>
      <c r="P180" s="47">
        <v>0.0</v>
      </c>
      <c r="Q180" s="22"/>
      <c r="R180" s="49"/>
      <c r="T180" s="48"/>
      <c r="V180" s="48"/>
      <c r="X180" s="48"/>
      <c r="Z180" s="48"/>
      <c r="AB180" s="48"/>
      <c r="AC180" s="22"/>
      <c r="AD180" s="50">
        <f t="shared" si="1"/>
        <v>2367.9</v>
      </c>
      <c r="AE180" s="51">
        <f t="shared" si="2"/>
        <v>90</v>
      </c>
      <c r="AF180" s="51">
        <f t="shared" si="3"/>
        <v>0</v>
      </c>
      <c r="AG180" s="51">
        <f t="shared" si="4"/>
        <v>90</v>
      </c>
      <c r="AH180" s="123">
        <f t="shared" si="5"/>
        <v>26.31</v>
      </c>
    </row>
    <row r="181" ht="15.75" customHeight="1">
      <c r="A181" s="120" t="s">
        <v>25</v>
      </c>
      <c r="B181" s="121">
        <f t="shared" si="6"/>
        <v>45834</v>
      </c>
      <c r="C181" s="51">
        <v>7.0</v>
      </c>
      <c r="D181" s="51" t="s">
        <v>29</v>
      </c>
      <c r="E181" s="122" t="s">
        <v>34</v>
      </c>
      <c r="F181" s="46">
        <v>0.0</v>
      </c>
      <c r="H181" s="47">
        <v>45.0</v>
      </c>
      <c r="J181" s="47">
        <v>45.0</v>
      </c>
      <c r="L181" s="47">
        <v>0.0</v>
      </c>
      <c r="N181" s="47">
        <v>0.0</v>
      </c>
      <c r="P181" s="47">
        <v>0.0</v>
      </c>
      <c r="Q181" s="22"/>
      <c r="R181" s="49"/>
      <c r="T181" s="48"/>
      <c r="V181" s="48"/>
      <c r="X181" s="48"/>
      <c r="Z181" s="48"/>
      <c r="AB181" s="48"/>
      <c r="AC181" s="22"/>
      <c r="AD181" s="50">
        <f t="shared" si="1"/>
        <v>2367.9</v>
      </c>
      <c r="AE181" s="51">
        <f t="shared" si="2"/>
        <v>90</v>
      </c>
      <c r="AF181" s="51">
        <f t="shared" si="3"/>
        <v>0</v>
      </c>
      <c r="AG181" s="51">
        <f t="shared" si="4"/>
        <v>90</v>
      </c>
      <c r="AH181" s="123">
        <f t="shared" si="5"/>
        <v>26.31</v>
      </c>
    </row>
    <row r="182" ht="15.75" customHeight="1">
      <c r="A182" s="120" t="s">
        <v>26</v>
      </c>
      <c r="B182" s="121">
        <f t="shared" si="6"/>
        <v>45835</v>
      </c>
      <c r="C182" s="51">
        <v>7.0</v>
      </c>
      <c r="D182" s="51" t="s">
        <v>29</v>
      </c>
      <c r="E182" s="122" t="s">
        <v>34</v>
      </c>
      <c r="F182" s="46">
        <v>0.0</v>
      </c>
      <c r="H182" s="47">
        <v>45.0</v>
      </c>
      <c r="J182" s="47">
        <v>45.0</v>
      </c>
      <c r="L182" s="47">
        <v>0.0</v>
      </c>
      <c r="N182" s="47">
        <v>0.0</v>
      </c>
      <c r="P182" s="47">
        <v>0.0</v>
      </c>
      <c r="Q182" s="22"/>
      <c r="R182" s="49"/>
      <c r="T182" s="48"/>
      <c r="V182" s="48"/>
      <c r="X182" s="48"/>
      <c r="Z182" s="48"/>
      <c r="AB182" s="48"/>
      <c r="AC182" s="22"/>
      <c r="AD182" s="50">
        <f t="shared" si="1"/>
        <v>2367.9</v>
      </c>
      <c r="AE182" s="51">
        <f t="shared" si="2"/>
        <v>90</v>
      </c>
      <c r="AF182" s="51">
        <f t="shared" si="3"/>
        <v>0</v>
      </c>
      <c r="AG182" s="51">
        <f t="shared" si="4"/>
        <v>90</v>
      </c>
      <c r="AH182" s="123">
        <f t="shared" si="5"/>
        <v>26.31</v>
      </c>
    </row>
    <row r="183" ht="15.75" customHeight="1">
      <c r="A183" s="120" t="s">
        <v>27</v>
      </c>
      <c r="B183" s="121">
        <f t="shared" si="6"/>
        <v>45836</v>
      </c>
      <c r="C183" s="51">
        <v>7.0</v>
      </c>
      <c r="D183" s="51" t="s">
        <v>29</v>
      </c>
      <c r="E183" s="122" t="s">
        <v>34</v>
      </c>
      <c r="F183" s="46">
        <v>0.0</v>
      </c>
      <c r="H183" s="47">
        <v>45.0</v>
      </c>
      <c r="J183" s="47">
        <v>45.0</v>
      </c>
      <c r="L183" s="47">
        <v>0.0</v>
      </c>
      <c r="N183" s="47">
        <v>0.0</v>
      </c>
      <c r="P183" s="47">
        <v>0.0</v>
      </c>
      <c r="Q183" s="22"/>
      <c r="R183" s="49"/>
      <c r="T183" s="48"/>
      <c r="V183" s="48"/>
      <c r="X183" s="48"/>
      <c r="Z183" s="48"/>
      <c r="AB183" s="48"/>
      <c r="AC183" s="22"/>
      <c r="AD183" s="50">
        <f t="shared" si="1"/>
        <v>2367.9</v>
      </c>
      <c r="AE183" s="51">
        <f t="shared" si="2"/>
        <v>90</v>
      </c>
      <c r="AF183" s="51">
        <f t="shared" si="3"/>
        <v>0</v>
      </c>
      <c r="AG183" s="51">
        <f t="shared" si="4"/>
        <v>90</v>
      </c>
      <c r="AH183" s="123">
        <f t="shared" si="5"/>
        <v>26.31</v>
      </c>
    </row>
    <row r="184" ht="15.75" customHeight="1">
      <c r="A184" s="128" t="s">
        <v>28</v>
      </c>
      <c r="B184" s="129">
        <f t="shared" si="6"/>
        <v>45837</v>
      </c>
      <c r="C184" s="130">
        <v>7.0</v>
      </c>
      <c r="D184" s="130" t="s">
        <v>29</v>
      </c>
      <c r="E184" s="131" t="s">
        <v>32</v>
      </c>
      <c r="F184" s="132">
        <v>0.0</v>
      </c>
      <c r="G184" s="35"/>
      <c r="H184" s="133">
        <v>0.0</v>
      </c>
      <c r="I184" s="35"/>
      <c r="J184" s="133">
        <v>0.0</v>
      </c>
      <c r="K184" s="35"/>
      <c r="L184" s="133">
        <v>0.0</v>
      </c>
      <c r="M184" s="35"/>
      <c r="N184" s="133">
        <v>0.0</v>
      </c>
      <c r="O184" s="35"/>
      <c r="P184" s="133">
        <v>0.0</v>
      </c>
      <c r="Q184" s="37"/>
      <c r="R184" s="134"/>
      <c r="S184" s="35"/>
      <c r="T184" s="135"/>
      <c r="U184" s="35"/>
      <c r="V184" s="135"/>
      <c r="W184" s="35"/>
      <c r="X184" s="135"/>
      <c r="Y184" s="35"/>
      <c r="Z184" s="135"/>
      <c r="AA184" s="35"/>
      <c r="AB184" s="135"/>
      <c r="AC184" s="37"/>
      <c r="AD184" s="136">
        <f t="shared" si="1"/>
        <v>0</v>
      </c>
      <c r="AE184" s="130">
        <f t="shared" si="2"/>
        <v>0</v>
      </c>
      <c r="AF184" s="130">
        <f t="shared" si="3"/>
        <v>0</v>
      </c>
      <c r="AG184" s="130">
        <f t="shared" si="4"/>
        <v>0</v>
      </c>
      <c r="AH184" s="137" t="str">
        <f t="shared" si="5"/>
        <v/>
      </c>
    </row>
    <row r="185" ht="15.75" customHeight="1">
      <c r="A185" s="116" t="s">
        <v>21</v>
      </c>
      <c r="B185" s="117">
        <f t="shared" si="6"/>
        <v>45838</v>
      </c>
      <c r="C185" s="87">
        <v>7.0</v>
      </c>
      <c r="D185" s="87" t="s">
        <v>30</v>
      </c>
      <c r="E185" s="118" t="s">
        <v>34</v>
      </c>
      <c r="F185" s="46">
        <v>0.0</v>
      </c>
      <c r="H185" s="47">
        <v>0.0</v>
      </c>
      <c r="J185" s="47">
        <v>0.0</v>
      </c>
      <c r="L185" s="47">
        <v>0.0</v>
      </c>
      <c r="N185" s="47">
        <v>0.0</v>
      </c>
      <c r="P185" s="47">
        <v>0.0</v>
      </c>
      <c r="Q185" s="22"/>
      <c r="R185" s="49"/>
      <c r="T185" s="48"/>
      <c r="V185" s="48"/>
      <c r="X185" s="48"/>
      <c r="Z185" s="48"/>
      <c r="AB185" s="48"/>
      <c r="AC185" s="22"/>
      <c r="AD185" s="86">
        <f t="shared" si="1"/>
        <v>0</v>
      </c>
      <c r="AE185" s="87">
        <f t="shared" si="2"/>
        <v>0</v>
      </c>
      <c r="AF185" s="87">
        <f t="shared" si="3"/>
        <v>0</v>
      </c>
      <c r="AG185" s="87">
        <f t="shared" si="4"/>
        <v>0</v>
      </c>
      <c r="AH185" s="119" t="str">
        <f t="shared" si="5"/>
        <v/>
      </c>
    </row>
    <row r="186" ht="15.75" customHeight="1">
      <c r="A186" s="120" t="s">
        <v>23</v>
      </c>
      <c r="B186" s="121">
        <f t="shared" si="6"/>
        <v>45839</v>
      </c>
      <c r="C186" s="51">
        <v>7.0</v>
      </c>
      <c r="D186" s="51" t="s">
        <v>30</v>
      </c>
      <c r="E186" s="122" t="s">
        <v>34</v>
      </c>
      <c r="F186" s="46">
        <v>0.0</v>
      </c>
      <c r="H186" s="47">
        <v>45.0</v>
      </c>
      <c r="J186" s="47">
        <v>45.0</v>
      </c>
      <c r="L186" s="47">
        <v>0.0</v>
      </c>
      <c r="N186" s="47">
        <v>0.0</v>
      </c>
      <c r="P186" s="47">
        <v>0.0</v>
      </c>
      <c r="Q186" s="22"/>
      <c r="R186" s="49"/>
      <c r="T186" s="48"/>
      <c r="V186" s="48"/>
      <c r="X186" s="48"/>
      <c r="Z186" s="48"/>
      <c r="AB186" s="48"/>
      <c r="AC186" s="22"/>
      <c r="AD186" s="50">
        <f t="shared" si="1"/>
        <v>2367.9</v>
      </c>
      <c r="AE186" s="51">
        <f t="shared" si="2"/>
        <v>90</v>
      </c>
      <c r="AF186" s="51">
        <f t="shared" si="3"/>
        <v>0</v>
      </c>
      <c r="AG186" s="51">
        <f t="shared" si="4"/>
        <v>90</v>
      </c>
      <c r="AH186" s="123">
        <f t="shared" si="5"/>
        <v>26.31</v>
      </c>
    </row>
    <row r="187" ht="15.75" customHeight="1">
      <c r="A187" s="120" t="s">
        <v>24</v>
      </c>
      <c r="B187" s="121">
        <f t="shared" si="6"/>
        <v>45840</v>
      </c>
      <c r="C187" s="51">
        <v>7.0</v>
      </c>
      <c r="D187" s="51" t="s">
        <v>30</v>
      </c>
      <c r="E187" s="122" t="s">
        <v>34</v>
      </c>
      <c r="F187" s="46">
        <v>0.0</v>
      </c>
      <c r="H187" s="47">
        <v>45.0</v>
      </c>
      <c r="J187" s="47">
        <v>45.0</v>
      </c>
      <c r="L187" s="47">
        <v>0.0</v>
      </c>
      <c r="N187" s="47">
        <v>0.0</v>
      </c>
      <c r="P187" s="47">
        <v>0.0</v>
      </c>
      <c r="Q187" s="22"/>
      <c r="R187" s="49"/>
      <c r="T187" s="48"/>
      <c r="V187" s="48"/>
      <c r="X187" s="48"/>
      <c r="Z187" s="48"/>
      <c r="AB187" s="48"/>
      <c r="AC187" s="22"/>
      <c r="AD187" s="50">
        <f t="shared" si="1"/>
        <v>2367.9</v>
      </c>
      <c r="AE187" s="51">
        <f t="shared" si="2"/>
        <v>90</v>
      </c>
      <c r="AF187" s="51">
        <f t="shared" si="3"/>
        <v>0</v>
      </c>
      <c r="AG187" s="51">
        <f t="shared" si="4"/>
        <v>90</v>
      </c>
      <c r="AH187" s="123">
        <f t="shared" si="5"/>
        <v>26.31</v>
      </c>
    </row>
    <row r="188" ht="15.75" customHeight="1">
      <c r="A188" s="120" t="s">
        <v>25</v>
      </c>
      <c r="B188" s="121">
        <f t="shared" si="6"/>
        <v>45841</v>
      </c>
      <c r="C188" s="51">
        <v>7.0</v>
      </c>
      <c r="D188" s="51" t="s">
        <v>30</v>
      </c>
      <c r="E188" s="122" t="s">
        <v>34</v>
      </c>
      <c r="F188" s="46">
        <v>0.0</v>
      </c>
      <c r="H188" s="47">
        <v>45.0</v>
      </c>
      <c r="J188" s="47">
        <v>45.0</v>
      </c>
      <c r="L188" s="47">
        <v>0.0</v>
      </c>
      <c r="N188" s="47">
        <v>0.0</v>
      </c>
      <c r="P188" s="47">
        <v>0.0</v>
      </c>
      <c r="Q188" s="22"/>
      <c r="R188" s="49"/>
      <c r="T188" s="48"/>
      <c r="V188" s="48"/>
      <c r="X188" s="48"/>
      <c r="Z188" s="48"/>
      <c r="AB188" s="48"/>
      <c r="AC188" s="22"/>
      <c r="AD188" s="50">
        <f t="shared" si="1"/>
        <v>2367.9</v>
      </c>
      <c r="AE188" s="51">
        <f t="shared" si="2"/>
        <v>90</v>
      </c>
      <c r="AF188" s="51">
        <f t="shared" si="3"/>
        <v>0</v>
      </c>
      <c r="AG188" s="51">
        <f t="shared" si="4"/>
        <v>90</v>
      </c>
      <c r="AH188" s="123">
        <f t="shared" si="5"/>
        <v>26.31</v>
      </c>
    </row>
    <row r="189" ht="15.75" customHeight="1">
      <c r="A189" s="120" t="s">
        <v>26</v>
      </c>
      <c r="B189" s="121">
        <f t="shared" si="6"/>
        <v>45842</v>
      </c>
      <c r="C189" s="51">
        <v>7.0</v>
      </c>
      <c r="D189" s="51" t="s">
        <v>30</v>
      </c>
      <c r="E189" s="122" t="s">
        <v>33</v>
      </c>
      <c r="F189" s="46">
        <v>0.0</v>
      </c>
      <c r="H189" s="47">
        <v>0.0</v>
      </c>
      <c r="J189" s="47">
        <v>0.0</v>
      </c>
      <c r="L189" s="47">
        <v>0.0</v>
      </c>
      <c r="N189" s="47">
        <v>0.0</v>
      </c>
      <c r="P189" s="47">
        <v>0.0</v>
      </c>
      <c r="Q189" s="22"/>
      <c r="R189" s="49"/>
      <c r="T189" s="48"/>
      <c r="V189" s="48"/>
      <c r="X189" s="48"/>
      <c r="Z189" s="48"/>
      <c r="AB189" s="48"/>
      <c r="AC189" s="22"/>
      <c r="AD189" s="50">
        <f t="shared" si="1"/>
        <v>0</v>
      </c>
      <c r="AE189" s="51">
        <f t="shared" si="2"/>
        <v>0</v>
      </c>
      <c r="AF189" s="51">
        <f t="shared" si="3"/>
        <v>0</v>
      </c>
      <c r="AG189" s="51">
        <f t="shared" si="4"/>
        <v>0</v>
      </c>
      <c r="AH189" s="123" t="str">
        <f t="shared" si="5"/>
        <v/>
      </c>
    </row>
    <row r="190" ht="15.75" customHeight="1">
      <c r="A190" s="120" t="s">
        <v>27</v>
      </c>
      <c r="B190" s="121">
        <f t="shared" si="6"/>
        <v>45843</v>
      </c>
      <c r="C190" s="51">
        <v>7.0</v>
      </c>
      <c r="D190" s="51" t="s">
        <v>30</v>
      </c>
      <c r="E190" s="122" t="s">
        <v>33</v>
      </c>
      <c r="F190" s="46">
        <v>0.0</v>
      </c>
      <c r="H190" s="47">
        <v>0.0</v>
      </c>
      <c r="J190" s="47">
        <v>0.0</v>
      </c>
      <c r="L190" s="47">
        <v>0.0</v>
      </c>
      <c r="N190" s="47">
        <v>0.0</v>
      </c>
      <c r="P190" s="47">
        <v>0.0</v>
      </c>
      <c r="Q190" s="22"/>
      <c r="R190" s="49"/>
      <c r="T190" s="48"/>
      <c r="V190" s="48"/>
      <c r="X190" s="48"/>
      <c r="Z190" s="48"/>
      <c r="AB190" s="48"/>
      <c r="AC190" s="22"/>
      <c r="AD190" s="50">
        <f t="shared" si="1"/>
        <v>0</v>
      </c>
      <c r="AE190" s="51">
        <f t="shared" si="2"/>
        <v>0</v>
      </c>
      <c r="AF190" s="51">
        <f t="shared" si="3"/>
        <v>0</v>
      </c>
      <c r="AG190" s="51">
        <f t="shared" si="4"/>
        <v>0</v>
      </c>
      <c r="AH190" s="123" t="str">
        <f t="shared" si="5"/>
        <v/>
      </c>
    </row>
    <row r="191" ht="15.75" customHeight="1">
      <c r="A191" s="124" t="s">
        <v>28</v>
      </c>
      <c r="B191" s="125">
        <f t="shared" si="6"/>
        <v>45844</v>
      </c>
      <c r="C191" s="57">
        <v>7.0</v>
      </c>
      <c r="D191" s="57" t="s">
        <v>30</v>
      </c>
      <c r="E191" s="126" t="s">
        <v>33</v>
      </c>
      <c r="F191" s="52">
        <v>0.0</v>
      </c>
      <c r="G191" s="35"/>
      <c r="H191" s="53">
        <v>0.0</v>
      </c>
      <c r="I191" s="35"/>
      <c r="J191" s="53">
        <v>0.0</v>
      </c>
      <c r="K191" s="35"/>
      <c r="L191" s="53">
        <v>0.0</v>
      </c>
      <c r="M191" s="35"/>
      <c r="N191" s="53">
        <v>0.0</v>
      </c>
      <c r="O191" s="35"/>
      <c r="P191" s="53">
        <v>0.0</v>
      </c>
      <c r="Q191" s="37"/>
      <c r="R191" s="55"/>
      <c r="S191" s="35"/>
      <c r="T191" s="54"/>
      <c r="U191" s="35"/>
      <c r="V191" s="54"/>
      <c r="W191" s="35"/>
      <c r="X191" s="54"/>
      <c r="Y191" s="35"/>
      <c r="Z191" s="54"/>
      <c r="AA191" s="35"/>
      <c r="AB191" s="54"/>
      <c r="AC191" s="37"/>
      <c r="AD191" s="56">
        <f t="shared" si="1"/>
        <v>0</v>
      </c>
      <c r="AE191" s="57">
        <f t="shared" si="2"/>
        <v>0</v>
      </c>
      <c r="AF191" s="57">
        <f t="shared" si="3"/>
        <v>0</v>
      </c>
      <c r="AG191" s="57">
        <f t="shared" si="4"/>
        <v>0</v>
      </c>
      <c r="AH191" s="127" t="str">
        <f t="shared" si="5"/>
        <v/>
      </c>
    </row>
    <row r="192" ht="15.75" customHeight="1">
      <c r="A192" s="116" t="s">
        <v>21</v>
      </c>
      <c r="B192" s="117">
        <f t="shared" si="6"/>
        <v>45845</v>
      </c>
      <c r="C192" s="87">
        <v>7.0</v>
      </c>
      <c r="D192" s="87" t="s">
        <v>31</v>
      </c>
      <c r="E192" s="118" t="s">
        <v>33</v>
      </c>
      <c r="F192" s="46">
        <v>0.0</v>
      </c>
      <c r="H192" s="47">
        <v>0.0</v>
      </c>
      <c r="J192" s="47">
        <v>0.0</v>
      </c>
      <c r="L192" s="47">
        <v>0.0</v>
      </c>
      <c r="N192" s="47">
        <v>0.0</v>
      </c>
      <c r="P192" s="47">
        <v>0.0</v>
      </c>
      <c r="Q192" s="22"/>
      <c r="R192" s="49"/>
      <c r="T192" s="48"/>
      <c r="V192" s="48"/>
      <c r="X192" s="48"/>
      <c r="Z192" s="48"/>
      <c r="AB192" s="48"/>
      <c r="AC192" s="22"/>
      <c r="AD192" s="86">
        <f t="shared" si="1"/>
        <v>0</v>
      </c>
      <c r="AE192" s="87">
        <f t="shared" si="2"/>
        <v>0</v>
      </c>
      <c r="AF192" s="87">
        <f t="shared" si="3"/>
        <v>0</v>
      </c>
      <c r="AG192" s="87">
        <f t="shared" si="4"/>
        <v>0</v>
      </c>
      <c r="AH192" s="119" t="str">
        <f t="shared" si="5"/>
        <v/>
      </c>
    </row>
    <row r="193" ht="15.75" customHeight="1">
      <c r="A193" s="120" t="s">
        <v>23</v>
      </c>
      <c r="B193" s="121">
        <f t="shared" si="6"/>
        <v>45846</v>
      </c>
      <c r="C193" s="51">
        <v>7.0</v>
      </c>
      <c r="D193" s="51" t="s">
        <v>31</v>
      </c>
      <c r="E193" s="122" t="s">
        <v>33</v>
      </c>
      <c r="F193" s="46">
        <v>0.0</v>
      </c>
      <c r="H193" s="47">
        <v>0.0</v>
      </c>
      <c r="J193" s="47">
        <v>0.0</v>
      </c>
      <c r="L193" s="47">
        <v>0.0</v>
      </c>
      <c r="N193" s="47">
        <v>0.0</v>
      </c>
      <c r="P193" s="47">
        <v>0.0</v>
      </c>
      <c r="Q193" s="22"/>
      <c r="R193" s="49"/>
      <c r="T193" s="48"/>
      <c r="V193" s="48"/>
      <c r="X193" s="48"/>
      <c r="Z193" s="48"/>
      <c r="AB193" s="48"/>
      <c r="AC193" s="22"/>
      <c r="AD193" s="50">
        <f t="shared" si="1"/>
        <v>0</v>
      </c>
      <c r="AE193" s="51">
        <f t="shared" si="2"/>
        <v>0</v>
      </c>
      <c r="AF193" s="51">
        <f t="shared" si="3"/>
        <v>0</v>
      </c>
      <c r="AG193" s="51">
        <f t="shared" si="4"/>
        <v>0</v>
      </c>
      <c r="AH193" s="123" t="str">
        <f t="shared" si="5"/>
        <v/>
      </c>
    </row>
    <row r="194" ht="15.75" customHeight="1">
      <c r="A194" s="120" t="s">
        <v>24</v>
      </c>
      <c r="B194" s="121">
        <f t="shared" si="6"/>
        <v>45847</v>
      </c>
      <c r="C194" s="51">
        <v>7.0</v>
      </c>
      <c r="D194" s="51" t="s">
        <v>31</v>
      </c>
      <c r="E194" s="122" t="s">
        <v>33</v>
      </c>
      <c r="F194" s="46">
        <v>0.0</v>
      </c>
      <c r="H194" s="47">
        <v>0.0</v>
      </c>
      <c r="J194" s="47">
        <v>0.0</v>
      </c>
      <c r="L194" s="47">
        <v>0.0</v>
      </c>
      <c r="N194" s="47">
        <v>0.0</v>
      </c>
      <c r="P194" s="47">
        <v>0.0</v>
      </c>
      <c r="Q194" s="22"/>
      <c r="R194" s="49"/>
      <c r="T194" s="48"/>
      <c r="V194" s="48"/>
      <c r="X194" s="48"/>
      <c r="Z194" s="48"/>
      <c r="AB194" s="48"/>
      <c r="AC194" s="22"/>
      <c r="AD194" s="50">
        <f t="shared" si="1"/>
        <v>0</v>
      </c>
      <c r="AE194" s="51">
        <f t="shared" si="2"/>
        <v>0</v>
      </c>
      <c r="AF194" s="51">
        <f t="shared" si="3"/>
        <v>0</v>
      </c>
      <c r="AG194" s="51">
        <f t="shared" si="4"/>
        <v>0</v>
      </c>
      <c r="AH194" s="123" t="str">
        <f t="shared" si="5"/>
        <v/>
      </c>
    </row>
    <row r="195" ht="15.75" customHeight="1">
      <c r="A195" s="120" t="s">
        <v>25</v>
      </c>
      <c r="B195" s="121">
        <f t="shared" si="6"/>
        <v>45848</v>
      </c>
      <c r="C195" s="51">
        <v>7.0</v>
      </c>
      <c r="D195" s="51" t="s">
        <v>31</v>
      </c>
      <c r="E195" s="122" t="s">
        <v>33</v>
      </c>
      <c r="F195" s="46">
        <v>0.0</v>
      </c>
      <c r="H195" s="47">
        <v>0.0</v>
      </c>
      <c r="J195" s="47">
        <v>0.0</v>
      </c>
      <c r="L195" s="47">
        <v>0.0</v>
      </c>
      <c r="N195" s="47">
        <v>0.0</v>
      </c>
      <c r="P195" s="47">
        <v>0.0</v>
      </c>
      <c r="Q195" s="22"/>
      <c r="R195" s="49"/>
      <c r="T195" s="48"/>
      <c r="V195" s="48"/>
      <c r="X195" s="48"/>
      <c r="Z195" s="48"/>
      <c r="AB195" s="48"/>
      <c r="AC195" s="22"/>
      <c r="AD195" s="50">
        <f t="shared" si="1"/>
        <v>0</v>
      </c>
      <c r="AE195" s="51">
        <f t="shared" si="2"/>
        <v>0</v>
      </c>
      <c r="AF195" s="51">
        <f t="shared" si="3"/>
        <v>0</v>
      </c>
      <c r="AG195" s="51">
        <f t="shared" si="4"/>
        <v>0</v>
      </c>
      <c r="AH195" s="123" t="str">
        <f t="shared" si="5"/>
        <v/>
      </c>
    </row>
    <row r="196" ht="15.75" customHeight="1">
      <c r="A196" s="120" t="s">
        <v>26</v>
      </c>
      <c r="B196" s="121">
        <f t="shared" si="6"/>
        <v>45849</v>
      </c>
      <c r="C196" s="51">
        <v>7.0</v>
      </c>
      <c r="D196" s="51" t="s">
        <v>31</v>
      </c>
      <c r="E196" s="122" t="s">
        <v>33</v>
      </c>
      <c r="F196" s="46">
        <v>0.0</v>
      </c>
      <c r="H196" s="47">
        <v>0.0</v>
      </c>
      <c r="J196" s="47">
        <v>0.0</v>
      </c>
      <c r="L196" s="47">
        <v>0.0</v>
      </c>
      <c r="N196" s="47">
        <v>0.0</v>
      </c>
      <c r="P196" s="47">
        <v>0.0</v>
      </c>
      <c r="Q196" s="22"/>
      <c r="R196" s="49"/>
      <c r="T196" s="48"/>
      <c r="V196" s="48"/>
      <c r="X196" s="48"/>
      <c r="Z196" s="48"/>
      <c r="AB196" s="48"/>
      <c r="AC196" s="22"/>
      <c r="AD196" s="50">
        <f t="shared" si="1"/>
        <v>0</v>
      </c>
      <c r="AE196" s="51">
        <f t="shared" si="2"/>
        <v>0</v>
      </c>
      <c r="AF196" s="51">
        <f t="shared" si="3"/>
        <v>0</v>
      </c>
      <c r="AG196" s="51">
        <f t="shared" si="4"/>
        <v>0</v>
      </c>
      <c r="AH196" s="123" t="str">
        <f t="shared" si="5"/>
        <v/>
      </c>
    </row>
    <row r="197" ht="15.75" customHeight="1">
      <c r="A197" s="120" t="s">
        <v>27</v>
      </c>
      <c r="B197" s="121">
        <f t="shared" si="6"/>
        <v>45850</v>
      </c>
      <c r="C197" s="51">
        <v>7.0</v>
      </c>
      <c r="D197" s="51" t="s">
        <v>31</v>
      </c>
      <c r="E197" s="122" t="s">
        <v>33</v>
      </c>
      <c r="F197" s="46">
        <v>0.0</v>
      </c>
      <c r="H197" s="47">
        <v>0.0</v>
      </c>
      <c r="J197" s="47">
        <v>0.0</v>
      </c>
      <c r="L197" s="47">
        <v>0.0</v>
      </c>
      <c r="N197" s="47">
        <v>0.0</v>
      </c>
      <c r="P197" s="47">
        <v>0.0</v>
      </c>
      <c r="Q197" s="22"/>
      <c r="R197" s="49"/>
      <c r="T197" s="48"/>
      <c r="V197" s="48"/>
      <c r="X197" s="48"/>
      <c r="Z197" s="48"/>
      <c r="AB197" s="48"/>
      <c r="AC197" s="22"/>
      <c r="AD197" s="50">
        <f t="shared" si="1"/>
        <v>0</v>
      </c>
      <c r="AE197" s="51">
        <f t="shared" si="2"/>
        <v>0</v>
      </c>
      <c r="AF197" s="51">
        <f t="shared" si="3"/>
        <v>0</v>
      </c>
      <c r="AG197" s="51">
        <f t="shared" si="4"/>
        <v>0</v>
      </c>
      <c r="AH197" s="123" t="str">
        <f t="shared" si="5"/>
        <v/>
      </c>
    </row>
    <row r="198" ht="15.75" customHeight="1">
      <c r="A198" s="124" t="s">
        <v>28</v>
      </c>
      <c r="B198" s="125">
        <f t="shared" si="6"/>
        <v>45851</v>
      </c>
      <c r="C198" s="57">
        <v>7.0</v>
      </c>
      <c r="D198" s="57" t="s">
        <v>31</v>
      </c>
      <c r="E198" s="126" t="s">
        <v>33</v>
      </c>
      <c r="F198" s="53">
        <v>0.0</v>
      </c>
      <c r="G198" s="35"/>
      <c r="H198" s="53">
        <v>0.0</v>
      </c>
      <c r="I198" s="35"/>
      <c r="J198" s="53">
        <v>0.0</v>
      </c>
      <c r="K198" s="35"/>
      <c r="L198" s="53">
        <v>0.0</v>
      </c>
      <c r="M198" s="35"/>
      <c r="N198" s="53">
        <v>0.0</v>
      </c>
      <c r="O198" s="35"/>
      <c r="P198" s="53">
        <v>0.0</v>
      </c>
      <c r="Q198" s="37"/>
      <c r="R198" s="55"/>
      <c r="S198" s="35"/>
      <c r="T198" s="54"/>
      <c r="U198" s="35"/>
      <c r="V198" s="54"/>
      <c r="W198" s="35"/>
      <c r="X198" s="54"/>
      <c r="Y198" s="35"/>
      <c r="Z198" s="54"/>
      <c r="AA198" s="35"/>
      <c r="AB198" s="54"/>
      <c r="AC198" s="37"/>
      <c r="AD198" s="56">
        <f t="shared" si="1"/>
        <v>0</v>
      </c>
      <c r="AE198" s="57">
        <f t="shared" si="2"/>
        <v>0</v>
      </c>
      <c r="AF198" s="57">
        <f t="shared" si="3"/>
        <v>0</v>
      </c>
      <c r="AG198" s="57">
        <f t="shared" si="4"/>
        <v>0</v>
      </c>
      <c r="AH198" s="127" t="str">
        <f t="shared" si="5"/>
        <v/>
      </c>
    </row>
    <row r="199" ht="15.75" customHeight="1">
      <c r="A199" s="116" t="s">
        <v>21</v>
      </c>
      <c r="B199" s="117">
        <f t="shared" si="6"/>
        <v>45852</v>
      </c>
      <c r="C199" s="87">
        <v>8.0</v>
      </c>
      <c r="D199" s="87" t="s">
        <v>22</v>
      </c>
      <c r="E199" s="118" t="s">
        <v>33</v>
      </c>
      <c r="F199" s="46">
        <v>0.0</v>
      </c>
      <c r="H199" s="47">
        <v>0.0</v>
      </c>
      <c r="J199" s="47">
        <v>0.0</v>
      </c>
      <c r="L199" s="47">
        <v>0.0</v>
      </c>
      <c r="N199" s="47">
        <v>0.0</v>
      </c>
      <c r="P199" s="47">
        <v>0.0</v>
      </c>
      <c r="Q199" s="22"/>
      <c r="R199" s="49"/>
      <c r="T199" s="48"/>
      <c r="V199" s="48"/>
      <c r="X199" s="48"/>
      <c r="Z199" s="48"/>
      <c r="AB199" s="48"/>
      <c r="AC199" s="22"/>
      <c r="AD199" s="86">
        <f t="shared" si="1"/>
        <v>0</v>
      </c>
      <c r="AE199" s="87">
        <f t="shared" si="2"/>
        <v>0</v>
      </c>
      <c r="AF199" s="87">
        <f t="shared" si="3"/>
        <v>0</v>
      </c>
      <c r="AG199" s="87">
        <f t="shared" si="4"/>
        <v>0</v>
      </c>
      <c r="AH199" s="119" t="str">
        <f t="shared" si="5"/>
        <v/>
      </c>
    </row>
    <row r="200" ht="15.75" customHeight="1">
      <c r="A200" s="120" t="s">
        <v>23</v>
      </c>
      <c r="B200" s="121">
        <f t="shared" si="6"/>
        <v>45853</v>
      </c>
      <c r="C200" s="51">
        <v>8.0</v>
      </c>
      <c r="D200" s="51" t="s">
        <v>22</v>
      </c>
      <c r="E200" s="122" t="s">
        <v>33</v>
      </c>
      <c r="F200" s="46">
        <v>0.0</v>
      </c>
      <c r="H200" s="47">
        <v>0.0</v>
      </c>
      <c r="J200" s="47">
        <v>0.0</v>
      </c>
      <c r="L200" s="47">
        <v>0.0</v>
      </c>
      <c r="N200" s="47">
        <v>0.0</v>
      </c>
      <c r="P200" s="47">
        <v>0.0</v>
      </c>
      <c r="Q200" s="22"/>
      <c r="R200" s="49"/>
      <c r="T200" s="48"/>
      <c r="V200" s="48"/>
      <c r="X200" s="48"/>
      <c r="Z200" s="48"/>
      <c r="AB200" s="48"/>
      <c r="AC200" s="22"/>
      <c r="AD200" s="50">
        <f t="shared" si="1"/>
        <v>0</v>
      </c>
      <c r="AE200" s="51">
        <f t="shared" si="2"/>
        <v>0</v>
      </c>
      <c r="AF200" s="51">
        <f t="shared" si="3"/>
        <v>0</v>
      </c>
      <c r="AG200" s="51">
        <f t="shared" si="4"/>
        <v>0</v>
      </c>
      <c r="AH200" s="123" t="str">
        <f t="shared" si="5"/>
        <v/>
      </c>
    </row>
    <row r="201" ht="15.75" customHeight="1">
      <c r="A201" s="120" t="s">
        <v>24</v>
      </c>
      <c r="B201" s="121">
        <f t="shared" si="6"/>
        <v>45854</v>
      </c>
      <c r="C201" s="51">
        <v>8.0</v>
      </c>
      <c r="D201" s="51" t="s">
        <v>22</v>
      </c>
      <c r="E201" s="122" t="s">
        <v>33</v>
      </c>
      <c r="F201" s="46">
        <v>0.0</v>
      </c>
      <c r="H201" s="47">
        <v>0.0</v>
      </c>
      <c r="J201" s="47">
        <v>0.0</v>
      </c>
      <c r="L201" s="47">
        <v>0.0</v>
      </c>
      <c r="N201" s="47">
        <v>0.0</v>
      </c>
      <c r="P201" s="47">
        <v>0.0</v>
      </c>
      <c r="Q201" s="22"/>
      <c r="R201" s="49"/>
      <c r="T201" s="48"/>
      <c r="V201" s="48"/>
      <c r="X201" s="48"/>
      <c r="Z201" s="48"/>
      <c r="AB201" s="48"/>
      <c r="AC201" s="22"/>
      <c r="AD201" s="50">
        <f t="shared" si="1"/>
        <v>0</v>
      </c>
      <c r="AE201" s="51">
        <f t="shared" si="2"/>
        <v>0</v>
      </c>
      <c r="AF201" s="51">
        <f t="shared" si="3"/>
        <v>0</v>
      </c>
      <c r="AG201" s="51">
        <f t="shared" si="4"/>
        <v>0</v>
      </c>
      <c r="AH201" s="123" t="str">
        <f t="shared" si="5"/>
        <v/>
      </c>
    </row>
    <row r="202" ht="15.75" customHeight="1">
      <c r="A202" s="120" t="s">
        <v>25</v>
      </c>
      <c r="B202" s="121">
        <f t="shared" si="6"/>
        <v>45855</v>
      </c>
      <c r="C202" s="51">
        <v>8.0</v>
      </c>
      <c r="D202" s="51" t="s">
        <v>22</v>
      </c>
      <c r="E202" s="122" t="s">
        <v>33</v>
      </c>
      <c r="F202" s="46">
        <v>0.0</v>
      </c>
      <c r="H202" s="47">
        <v>0.0</v>
      </c>
      <c r="J202" s="47">
        <v>0.0</v>
      </c>
      <c r="L202" s="47">
        <v>0.0</v>
      </c>
      <c r="N202" s="47">
        <v>0.0</v>
      </c>
      <c r="P202" s="47">
        <v>0.0</v>
      </c>
      <c r="Q202" s="22"/>
      <c r="R202" s="49"/>
      <c r="T202" s="48"/>
      <c r="V202" s="48"/>
      <c r="X202" s="48"/>
      <c r="Z202" s="48"/>
      <c r="AB202" s="48"/>
      <c r="AC202" s="22"/>
      <c r="AD202" s="50">
        <f t="shared" si="1"/>
        <v>0</v>
      </c>
      <c r="AE202" s="51">
        <f t="shared" si="2"/>
        <v>0</v>
      </c>
      <c r="AF202" s="51">
        <f t="shared" si="3"/>
        <v>0</v>
      </c>
      <c r="AG202" s="51">
        <f t="shared" si="4"/>
        <v>0</v>
      </c>
      <c r="AH202" s="123" t="str">
        <f t="shared" si="5"/>
        <v/>
      </c>
    </row>
    <row r="203" ht="15.75" customHeight="1">
      <c r="A203" s="120" t="s">
        <v>26</v>
      </c>
      <c r="B203" s="121">
        <f t="shared" si="6"/>
        <v>45856</v>
      </c>
      <c r="C203" s="51">
        <v>8.0</v>
      </c>
      <c r="D203" s="51" t="s">
        <v>22</v>
      </c>
      <c r="E203" s="122" t="s">
        <v>34</v>
      </c>
      <c r="F203" s="46">
        <v>0.0</v>
      </c>
      <c r="H203" s="47">
        <v>45.0</v>
      </c>
      <c r="J203" s="47">
        <v>45.0</v>
      </c>
      <c r="L203" s="47">
        <v>0.0</v>
      </c>
      <c r="N203" s="47">
        <v>0.0</v>
      </c>
      <c r="P203" s="47">
        <v>0.0</v>
      </c>
      <c r="Q203" s="22"/>
      <c r="R203" s="49"/>
      <c r="T203" s="48"/>
      <c r="V203" s="48"/>
      <c r="X203" s="48"/>
      <c r="Z203" s="48"/>
      <c r="AB203" s="48"/>
      <c r="AC203" s="22"/>
      <c r="AD203" s="50">
        <f t="shared" si="1"/>
        <v>2367.9</v>
      </c>
      <c r="AE203" s="51">
        <f t="shared" si="2"/>
        <v>90</v>
      </c>
      <c r="AF203" s="51">
        <f t="shared" si="3"/>
        <v>0</v>
      </c>
      <c r="AG203" s="51">
        <f t="shared" si="4"/>
        <v>90</v>
      </c>
      <c r="AH203" s="123">
        <f t="shared" si="5"/>
        <v>26.31</v>
      </c>
    </row>
    <row r="204" ht="15.75" customHeight="1">
      <c r="A204" s="120" t="s">
        <v>27</v>
      </c>
      <c r="B204" s="121">
        <f t="shared" si="6"/>
        <v>45857</v>
      </c>
      <c r="C204" s="51">
        <v>8.0</v>
      </c>
      <c r="D204" s="51" t="s">
        <v>22</v>
      </c>
      <c r="E204" s="122" t="s">
        <v>34</v>
      </c>
      <c r="F204" s="46">
        <v>0.0</v>
      </c>
      <c r="H204" s="47">
        <v>45.0</v>
      </c>
      <c r="J204" s="47">
        <v>45.0</v>
      </c>
      <c r="L204" s="47">
        <v>0.0</v>
      </c>
      <c r="N204" s="47">
        <v>0.0</v>
      </c>
      <c r="P204" s="47">
        <v>0.0</v>
      </c>
      <c r="Q204" s="22"/>
      <c r="R204" s="49"/>
      <c r="T204" s="48"/>
      <c r="V204" s="48"/>
      <c r="X204" s="48"/>
      <c r="Z204" s="48"/>
      <c r="AB204" s="48"/>
      <c r="AC204" s="22"/>
      <c r="AD204" s="50">
        <f t="shared" si="1"/>
        <v>2367.9</v>
      </c>
      <c r="AE204" s="51">
        <f t="shared" si="2"/>
        <v>90</v>
      </c>
      <c r="AF204" s="51">
        <f t="shared" si="3"/>
        <v>0</v>
      </c>
      <c r="AG204" s="51">
        <f t="shared" si="4"/>
        <v>90</v>
      </c>
      <c r="AH204" s="123">
        <f t="shared" si="5"/>
        <v>26.31</v>
      </c>
    </row>
    <row r="205" ht="15.75" customHeight="1">
      <c r="A205" s="128" t="s">
        <v>28</v>
      </c>
      <c r="B205" s="129">
        <f t="shared" si="6"/>
        <v>45858</v>
      </c>
      <c r="C205" s="130">
        <v>8.0</v>
      </c>
      <c r="D205" s="130" t="s">
        <v>22</v>
      </c>
      <c r="E205" s="131" t="s">
        <v>32</v>
      </c>
      <c r="F205" s="132">
        <v>0.0</v>
      </c>
      <c r="G205" s="35"/>
      <c r="H205" s="133">
        <v>0.0</v>
      </c>
      <c r="I205" s="35"/>
      <c r="J205" s="133">
        <v>0.0</v>
      </c>
      <c r="K205" s="35"/>
      <c r="L205" s="133">
        <v>0.0</v>
      </c>
      <c r="M205" s="35"/>
      <c r="N205" s="133">
        <v>0.0</v>
      </c>
      <c r="O205" s="35"/>
      <c r="P205" s="133">
        <v>0.0</v>
      </c>
      <c r="Q205" s="37"/>
      <c r="R205" s="134"/>
      <c r="S205" s="35"/>
      <c r="T205" s="135"/>
      <c r="U205" s="35"/>
      <c r="V205" s="135"/>
      <c r="W205" s="35"/>
      <c r="X205" s="135"/>
      <c r="Y205" s="35"/>
      <c r="Z205" s="135"/>
      <c r="AA205" s="35"/>
      <c r="AB205" s="135"/>
      <c r="AC205" s="37"/>
      <c r="AD205" s="136">
        <f t="shared" si="1"/>
        <v>0</v>
      </c>
      <c r="AE205" s="130">
        <f t="shared" si="2"/>
        <v>0</v>
      </c>
      <c r="AF205" s="130">
        <f t="shared" si="3"/>
        <v>0</v>
      </c>
      <c r="AG205" s="130">
        <f t="shared" si="4"/>
        <v>0</v>
      </c>
      <c r="AH205" s="137" t="str">
        <f t="shared" si="5"/>
        <v/>
      </c>
    </row>
    <row r="206" ht="15.75" customHeight="1">
      <c r="A206" s="116" t="s">
        <v>21</v>
      </c>
      <c r="B206" s="117">
        <f t="shared" si="6"/>
        <v>45859</v>
      </c>
      <c r="C206" s="87">
        <v>8.0</v>
      </c>
      <c r="D206" s="87" t="s">
        <v>29</v>
      </c>
      <c r="E206" s="118" t="s">
        <v>33</v>
      </c>
      <c r="F206" s="46">
        <v>0.0</v>
      </c>
      <c r="H206" s="47">
        <v>0.0</v>
      </c>
      <c r="J206" s="47">
        <v>0.0</v>
      </c>
      <c r="L206" s="47">
        <v>0.0</v>
      </c>
      <c r="N206" s="47">
        <v>0.0</v>
      </c>
      <c r="P206" s="47">
        <v>0.0</v>
      </c>
      <c r="Q206" s="22"/>
      <c r="R206" s="49"/>
      <c r="T206" s="48"/>
      <c r="V206" s="48"/>
      <c r="X206" s="48"/>
      <c r="Z206" s="48"/>
      <c r="AB206" s="48"/>
      <c r="AC206" s="22"/>
      <c r="AD206" s="86">
        <f t="shared" si="1"/>
        <v>0</v>
      </c>
      <c r="AE206" s="87">
        <f t="shared" si="2"/>
        <v>0</v>
      </c>
      <c r="AF206" s="87">
        <f t="shared" si="3"/>
        <v>0</v>
      </c>
      <c r="AG206" s="87">
        <f t="shared" si="4"/>
        <v>0</v>
      </c>
      <c r="AH206" s="119" t="str">
        <f t="shared" si="5"/>
        <v/>
      </c>
    </row>
    <row r="207" ht="15.75" customHeight="1">
      <c r="A207" s="120" t="s">
        <v>23</v>
      </c>
      <c r="B207" s="121">
        <f t="shared" si="6"/>
        <v>45860</v>
      </c>
      <c r="C207" s="51">
        <v>8.0</v>
      </c>
      <c r="D207" s="51" t="s">
        <v>29</v>
      </c>
      <c r="E207" s="122" t="s">
        <v>33</v>
      </c>
      <c r="F207" s="46">
        <v>0.0</v>
      </c>
      <c r="H207" s="47">
        <v>0.0</v>
      </c>
      <c r="J207" s="47">
        <v>0.0</v>
      </c>
      <c r="L207" s="47">
        <v>0.0</v>
      </c>
      <c r="N207" s="47">
        <v>0.0</v>
      </c>
      <c r="P207" s="47">
        <v>0.0</v>
      </c>
      <c r="Q207" s="22"/>
      <c r="R207" s="49"/>
      <c r="T207" s="48"/>
      <c r="V207" s="48"/>
      <c r="X207" s="48"/>
      <c r="Z207" s="48"/>
      <c r="AB207" s="48"/>
      <c r="AC207" s="22"/>
      <c r="AD207" s="50">
        <f t="shared" si="1"/>
        <v>0</v>
      </c>
      <c r="AE207" s="51">
        <f t="shared" si="2"/>
        <v>0</v>
      </c>
      <c r="AF207" s="51">
        <f t="shared" si="3"/>
        <v>0</v>
      </c>
      <c r="AG207" s="51">
        <f t="shared" si="4"/>
        <v>0</v>
      </c>
      <c r="AH207" s="123" t="str">
        <f t="shared" si="5"/>
        <v/>
      </c>
    </row>
    <row r="208" ht="15.75" customHeight="1">
      <c r="A208" s="120" t="s">
        <v>24</v>
      </c>
      <c r="B208" s="121">
        <f t="shared" si="6"/>
        <v>45861</v>
      </c>
      <c r="C208" s="51">
        <v>8.0</v>
      </c>
      <c r="D208" s="51" t="s">
        <v>29</v>
      </c>
      <c r="E208" s="122" t="s">
        <v>33</v>
      </c>
      <c r="F208" s="46">
        <v>0.0</v>
      </c>
      <c r="H208" s="47">
        <v>0.0</v>
      </c>
      <c r="J208" s="47">
        <v>0.0</v>
      </c>
      <c r="L208" s="47">
        <v>0.0</v>
      </c>
      <c r="N208" s="47">
        <v>0.0</v>
      </c>
      <c r="P208" s="47">
        <v>0.0</v>
      </c>
      <c r="Q208" s="22"/>
      <c r="R208" s="49"/>
      <c r="T208" s="48"/>
      <c r="V208" s="48"/>
      <c r="X208" s="48"/>
      <c r="Z208" s="48"/>
      <c r="AB208" s="48"/>
      <c r="AC208" s="22"/>
      <c r="AD208" s="50">
        <f t="shared" si="1"/>
        <v>0</v>
      </c>
      <c r="AE208" s="51">
        <f t="shared" si="2"/>
        <v>0</v>
      </c>
      <c r="AF208" s="51">
        <f t="shared" si="3"/>
        <v>0</v>
      </c>
      <c r="AG208" s="51">
        <f t="shared" si="4"/>
        <v>0</v>
      </c>
      <c r="AH208" s="123" t="str">
        <f t="shared" si="5"/>
        <v/>
      </c>
    </row>
    <row r="209" ht="15.75" customHeight="1">
      <c r="A209" s="120" t="s">
        <v>25</v>
      </c>
      <c r="B209" s="121">
        <f t="shared" si="6"/>
        <v>45862</v>
      </c>
      <c r="C209" s="51">
        <v>8.0</v>
      </c>
      <c r="D209" s="51" t="s">
        <v>29</v>
      </c>
      <c r="E209" s="122" t="s">
        <v>33</v>
      </c>
      <c r="F209" s="46">
        <v>0.0</v>
      </c>
      <c r="H209" s="47">
        <v>0.0</v>
      </c>
      <c r="J209" s="47">
        <v>0.0</v>
      </c>
      <c r="L209" s="47">
        <v>0.0</v>
      </c>
      <c r="N209" s="47">
        <v>0.0</v>
      </c>
      <c r="P209" s="47">
        <v>0.0</v>
      </c>
      <c r="Q209" s="22"/>
      <c r="R209" s="49"/>
      <c r="T209" s="48"/>
      <c r="V209" s="48"/>
      <c r="X209" s="48"/>
      <c r="Z209" s="48"/>
      <c r="AB209" s="48"/>
      <c r="AC209" s="22"/>
      <c r="AD209" s="50">
        <f t="shared" si="1"/>
        <v>0</v>
      </c>
      <c r="AE209" s="51">
        <f t="shared" si="2"/>
        <v>0</v>
      </c>
      <c r="AF209" s="51">
        <f t="shared" si="3"/>
        <v>0</v>
      </c>
      <c r="AG209" s="51">
        <f t="shared" si="4"/>
        <v>0</v>
      </c>
      <c r="AH209" s="123" t="str">
        <f t="shared" si="5"/>
        <v/>
      </c>
    </row>
    <row r="210" ht="15.75" customHeight="1">
      <c r="A210" s="120" t="s">
        <v>26</v>
      </c>
      <c r="B210" s="121">
        <f t="shared" si="6"/>
        <v>45863</v>
      </c>
      <c r="C210" s="51">
        <v>8.0</v>
      </c>
      <c r="D210" s="51" t="s">
        <v>29</v>
      </c>
      <c r="E210" s="122" t="s">
        <v>33</v>
      </c>
      <c r="F210" s="46">
        <v>0.0</v>
      </c>
      <c r="H210" s="47">
        <v>0.0</v>
      </c>
      <c r="J210" s="47">
        <v>0.0</v>
      </c>
      <c r="L210" s="47">
        <v>0.0</v>
      </c>
      <c r="N210" s="47">
        <v>0.0</v>
      </c>
      <c r="P210" s="47">
        <v>0.0</v>
      </c>
      <c r="Q210" s="22"/>
      <c r="R210" s="49"/>
      <c r="T210" s="48"/>
      <c r="V210" s="48"/>
      <c r="X210" s="48"/>
      <c r="Z210" s="48"/>
      <c r="AB210" s="48"/>
      <c r="AC210" s="22"/>
      <c r="AD210" s="50">
        <f t="shared" si="1"/>
        <v>0</v>
      </c>
      <c r="AE210" s="51">
        <f t="shared" si="2"/>
        <v>0</v>
      </c>
      <c r="AF210" s="51">
        <f t="shared" si="3"/>
        <v>0</v>
      </c>
      <c r="AG210" s="51">
        <f t="shared" si="4"/>
        <v>0</v>
      </c>
      <c r="AH210" s="123" t="str">
        <f t="shared" si="5"/>
        <v/>
      </c>
    </row>
    <row r="211" ht="15.75" customHeight="1">
      <c r="A211" s="120" t="s">
        <v>27</v>
      </c>
      <c r="B211" s="121">
        <f t="shared" si="6"/>
        <v>45864</v>
      </c>
      <c r="C211" s="51">
        <v>8.0</v>
      </c>
      <c r="D211" s="51" t="s">
        <v>29</v>
      </c>
      <c r="E211" s="122" t="s">
        <v>33</v>
      </c>
      <c r="F211" s="46">
        <v>0.0</v>
      </c>
      <c r="H211" s="47">
        <v>0.0</v>
      </c>
      <c r="J211" s="47">
        <v>0.0</v>
      </c>
      <c r="L211" s="47">
        <v>0.0</v>
      </c>
      <c r="N211" s="47">
        <v>0.0</v>
      </c>
      <c r="P211" s="47">
        <v>0.0</v>
      </c>
      <c r="Q211" s="22"/>
      <c r="R211" s="49"/>
      <c r="T211" s="48"/>
      <c r="V211" s="48"/>
      <c r="X211" s="48"/>
      <c r="Z211" s="48"/>
      <c r="AB211" s="48"/>
      <c r="AC211" s="22"/>
      <c r="AD211" s="50">
        <f t="shared" si="1"/>
        <v>0</v>
      </c>
      <c r="AE211" s="51">
        <f t="shared" si="2"/>
        <v>0</v>
      </c>
      <c r="AF211" s="51">
        <f t="shared" si="3"/>
        <v>0</v>
      </c>
      <c r="AG211" s="51">
        <f t="shared" si="4"/>
        <v>0</v>
      </c>
      <c r="AH211" s="123" t="str">
        <f t="shared" si="5"/>
        <v/>
      </c>
    </row>
    <row r="212" ht="15.75" customHeight="1">
      <c r="A212" s="124" t="s">
        <v>28</v>
      </c>
      <c r="B212" s="125">
        <f t="shared" si="6"/>
        <v>45865</v>
      </c>
      <c r="C212" s="57">
        <v>8.0</v>
      </c>
      <c r="D212" s="57" t="s">
        <v>29</v>
      </c>
      <c r="E212" s="126" t="s">
        <v>33</v>
      </c>
      <c r="F212" s="53">
        <v>0.0</v>
      </c>
      <c r="G212" s="35"/>
      <c r="H212" s="53">
        <v>0.0</v>
      </c>
      <c r="I212" s="35"/>
      <c r="J212" s="53">
        <v>0.0</v>
      </c>
      <c r="K212" s="35"/>
      <c r="L212" s="53">
        <v>0.0</v>
      </c>
      <c r="M212" s="35"/>
      <c r="N212" s="53">
        <v>0.0</v>
      </c>
      <c r="O212" s="35"/>
      <c r="P212" s="53">
        <v>0.0</v>
      </c>
      <c r="Q212" s="37"/>
      <c r="R212" s="55"/>
      <c r="S212" s="35"/>
      <c r="T212" s="54"/>
      <c r="U212" s="35"/>
      <c r="V212" s="54"/>
      <c r="W212" s="35"/>
      <c r="X212" s="54"/>
      <c r="Y212" s="35"/>
      <c r="Z212" s="54"/>
      <c r="AA212" s="35"/>
      <c r="AB212" s="54"/>
      <c r="AC212" s="37"/>
      <c r="AD212" s="56">
        <f t="shared" si="1"/>
        <v>0</v>
      </c>
      <c r="AE212" s="57">
        <f t="shared" si="2"/>
        <v>0</v>
      </c>
      <c r="AF212" s="57">
        <f t="shared" si="3"/>
        <v>0</v>
      </c>
      <c r="AG212" s="57">
        <f t="shared" si="4"/>
        <v>0</v>
      </c>
      <c r="AH212" s="127" t="str">
        <f t="shared" si="5"/>
        <v/>
      </c>
    </row>
    <row r="213" ht="15.75" customHeight="1">
      <c r="A213" s="116" t="s">
        <v>21</v>
      </c>
      <c r="B213" s="117">
        <f t="shared" si="6"/>
        <v>45866</v>
      </c>
      <c r="C213" s="87">
        <v>8.0</v>
      </c>
      <c r="D213" s="87" t="s">
        <v>30</v>
      </c>
      <c r="E213" s="118" t="s">
        <v>33</v>
      </c>
      <c r="F213" s="46">
        <v>0.0</v>
      </c>
      <c r="H213" s="47">
        <v>0.0</v>
      </c>
      <c r="J213" s="47">
        <v>0.0</v>
      </c>
      <c r="L213" s="47">
        <v>0.0</v>
      </c>
      <c r="N213" s="47">
        <v>0.0</v>
      </c>
      <c r="P213" s="47">
        <v>0.0</v>
      </c>
      <c r="Q213" s="22"/>
      <c r="R213" s="49"/>
      <c r="T213" s="48"/>
      <c r="V213" s="48"/>
      <c r="X213" s="48"/>
      <c r="Z213" s="48"/>
      <c r="AB213" s="48"/>
      <c r="AC213" s="22"/>
      <c r="AD213" s="86">
        <f t="shared" si="1"/>
        <v>0</v>
      </c>
      <c r="AE213" s="87">
        <f t="shared" si="2"/>
        <v>0</v>
      </c>
      <c r="AF213" s="87">
        <f t="shared" si="3"/>
        <v>0</v>
      </c>
      <c r="AG213" s="87">
        <f t="shared" si="4"/>
        <v>0</v>
      </c>
      <c r="AH213" s="119" t="str">
        <f t="shared" si="5"/>
        <v/>
      </c>
    </row>
    <row r="214" ht="15.75" customHeight="1">
      <c r="A214" s="120" t="s">
        <v>23</v>
      </c>
      <c r="B214" s="121">
        <f t="shared" si="6"/>
        <v>45867</v>
      </c>
      <c r="C214" s="51">
        <v>8.0</v>
      </c>
      <c r="D214" s="51" t="s">
        <v>30</v>
      </c>
      <c r="E214" s="122" t="s">
        <v>34</v>
      </c>
      <c r="F214" s="46">
        <v>0.0</v>
      </c>
      <c r="H214" s="47">
        <v>45.0</v>
      </c>
      <c r="J214" s="47">
        <v>45.0</v>
      </c>
      <c r="L214" s="47">
        <v>0.0</v>
      </c>
      <c r="N214" s="47">
        <v>0.0</v>
      </c>
      <c r="P214" s="47">
        <v>0.0</v>
      </c>
      <c r="Q214" s="22"/>
      <c r="R214" s="49"/>
      <c r="T214" s="48"/>
      <c r="V214" s="48"/>
      <c r="X214" s="48"/>
      <c r="Z214" s="48"/>
      <c r="AB214" s="48"/>
      <c r="AC214" s="22"/>
      <c r="AD214" s="50">
        <f t="shared" si="1"/>
        <v>2367.9</v>
      </c>
      <c r="AE214" s="51">
        <f t="shared" si="2"/>
        <v>90</v>
      </c>
      <c r="AF214" s="51">
        <f t="shared" si="3"/>
        <v>0</v>
      </c>
      <c r="AG214" s="51">
        <f t="shared" si="4"/>
        <v>90</v>
      </c>
      <c r="AH214" s="123">
        <f t="shared" si="5"/>
        <v>26.31</v>
      </c>
    </row>
    <row r="215" ht="15.75" customHeight="1">
      <c r="A215" s="120" t="s">
        <v>24</v>
      </c>
      <c r="B215" s="121">
        <f t="shared" si="6"/>
        <v>45868</v>
      </c>
      <c r="C215" s="51">
        <v>8.0</v>
      </c>
      <c r="D215" s="51" t="s">
        <v>30</v>
      </c>
      <c r="E215" s="122" t="s">
        <v>32</v>
      </c>
      <c r="F215" s="46">
        <v>45.0</v>
      </c>
      <c r="H215" s="47">
        <v>45.0</v>
      </c>
      <c r="J215" s="47">
        <v>0.0</v>
      </c>
      <c r="L215" s="47">
        <v>0.0</v>
      </c>
      <c r="N215" s="47">
        <v>0.0</v>
      </c>
      <c r="P215" s="47">
        <v>0.0</v>
      </c>
      <c r="Q215" s="22"/>
      <c r="R215" s="49"/>
      <c r="T215" s="48"/>
      <c r="V215" s="48"/>
      <c r="X215" s="48"/>
      <c r="Z215" s="48"/>
      <c r="AB215" s="48"/>
      <c r="AC215" s="22"/>
      <c r="AD215" s="50">
        <f t="shared" si="1"/>
        <v>2367.9</v>
      </c>
      <c r="AE215" s="51">
        <f t="shared" si="2"/>
        <v>90</v>
      </c>
      <c r="AF215" s="51">
        <f t="shared" si="3"/>
        <v>0</v>
      </c>
      <c r="AG215" s="51">
        <f t="shared" si="4"/>
        <v>90</v>
      </c>
      <c r="AH215" s="123">
        <f t="shared" si="5"/>
        <v>26.31</v>
      </c>
    </row>
    <row r="216" ht="15.75" customHeight="1">
      <c r="A216" s="120" t="s">
        <v>25</v>
      </c>
      <c r="B216" s="121">
        <f t="shared" si="6"/>
        <v>45869</v>
      </c>
      <c r="C216" s="51">
        <v>8.0</v>
      </c>
      <c r="D216" s="51" t="s">
        <v>30</v>
      </c>
      <c r="E216" s="122" t="s">
        <v>34</v>
      </c>
      <c r="F216" s="46">
        <v>0.0</v>
      </c>
      <c r="H216" s="47">
        <v>45.0</v>
      </c>
      <c r="J216" s="47">
        <v>45.0</v>
      </c>
      <c r="L216" s="47">
        <v>0.0</v>
      </c>
      <c r="N216" s="47">
        <v>0.0</v>
      </c>
      <c r="P216" s="47">
        <v>0.0</v>
      </c>
      <c r="Q216" s="22"/>
      <c r="R216" s="49"/>
      <c r="T216" s="48"/>
      <c r="V216" s="48"/>
      <c r="X216" s="48"/>
      <c r="Z216" s="48"/>
      <c r="AB216" s="48"/>
      <c r="AC216" s="22"/>
      <c r="AD216" s="50">
        <f t="shared" si="1"/>
        <v>2367.9</v>
      </c>
      <c r="AE216" s="51">
        <f t="shared" si="2"/>
        <v>90</v>
      </c>
      <c r="AF216" s="51">
        <f t="shared" si="3"/>
        <v>0</v>
      </c>
      <c r="AG216" s="51">
        <f t="shared" si="4"/>
        <v>90</v>
      </c>
      <c r="AH216" s="123">
        <f t="shared" si="5"/>
        <v>26.31</v>
      </c>
    </row>
    <row r="217" ht="15.75" customHeight="1">
      <c r="A217" s="120" t="s">
        <v>26</v>
      </c>
      <c r="B217" s="121">
        <f t="shared" si="6"/>
        <v>45870</v>
      </c>
      <c r="C217" s="51">
        <v>8.0</v>
      </c>
      <c r="D217" s="51" t="s">
        <v>30</v>
      </c>
      <c r="E217" s="122" t="s">
        <v>34</v>
      </c>
      <c r="F217" s="46">
        <v>0.0</v>
      </c>
      <c r="H217" s="47">
        <v>45.0</v>
      </c>
      <c r="J217" s="47">
        <v>45.0</v>
      </c>
      <c r="L217" s="47">
        <v>0.0</v>
      </c>
      <c r="N217" s="47">
        <v>0.0</v>
      </c>
      <c r="P217" s="47">
        <v>0.0</v>
      </c>
      <c r="Q217" s="22"/>
      <c r="R217" s="49"/>
      <c r="T217" s="48"/>
      <c r="V217" s="48"/>
      <c r="X217" s="48"/>
      <c r="Z217" s="48"/>
      <c r="AB217" s="48"/>
      <c r="AC217" s="22"/>
      <c r="AD217" s="50">
        <f t="shared" si="1"/>
        <v>2367.9</v>
      </c>
      <c r="AE217" s="51">
        <f t="shared" si="2"/>
        <v>90</v>
      </c>
      <c r="AF217" s="51">
        <f t="shared" si="3"/>
        <v>0</v>
      </c>
      <c r="AG217" s="51">
        <f t="shared" si="4"/>
        <v>90</v>
      </c>
      <c r="AH217" s="123">
        <f t="shared" si="5"/>
        <v>26.31</v>
      </c>
    </row>
    <row r="218" ht="15.75" customHeight="1">
      <c r="A218" s="120" t="s">
        <v>27</v>
      </c>
      <c r="B218" s="121">
        <f t="shared" si="6"/>
        <v>45871</v>
      </c>
      <c r="C218" s="51">
        <v>8.0</v>
      </c>
      <c r="D218" s="51" t="s">
        <v>30</v>
      </c>
      <c r="E218" s="122" t="s">
        <v>34</v>
      </c>
      <c r="F218" s="46">
        <v>0.0</v>
      </c>
      <c r="H218" s="47">
        <v>45.0</v>
      </c>
      <c r="J218" s="47">
        <v>45.0</v>
      </c>
      <c r="L218" s="47">
        <v>0.0</v>
      </c>
      <c r="N218" s="47">
        <v>0.0</v>
      </c>
      <c r="P218" s="47">
        <v>0.0</v>
      </c>
      <c r="Q218" s="22"/>
      <c r="R218" s="49"/>
      <c r="T218" s="48"/>
      <c r="V218" s="48"/>
      <c r="X218" s="48"/>
      <c r="Z218" s="48"/>
      <c r="AB218" s="48"/>
      <c r="AC218" s="22"/>
      <c r="AD218" s="50">
        <f t="shared" si="1"/>
        <v>2367.9</v>
      </c>
      <c r="AE218" s="51">
        <f t="shared" si="2"/>
        <v>90</v>
      </c>
      <c r="AF218" s="51">
        <f t="shared" si="3"/>
        <v>0</v>
      </c>
      <c r="AG218" s="51">
        <f t="shared" si="4"/>
        <v>90</v>
      </c>
      <c r="AH218" s="123">
        <f t="shared" si="5"/>
        <v>26.31</v>
      </c>
    </row>
    <row r="219" ht="15.75" customHeight="1">
      <c r="A219" s="128" t="s">
        <v>28</v>
      </c>
      <c r="B219" s="129">
        <f t="shared" si="6"/>
        <v>45872</v>
      </c>
      <c r="C219" s="130">
        <v>8.0</v>
      </c>
      <c r="D219" s="130" t="s">
        <v>30</v>
      </c>
      <c r="E219" s="131" t="s">
        <v>32</v>
      </c>
      <c r="F219" s="132">
        <v>0.0</v>
      </c>
      <c r="G219" s="35"/>
      <c r="H219" s="133">
        <v>0.0</v>
      </c>
      <c r="I219" s="35"/>
      <c r="J219" s="133">
        <v>0.0</v>
      </c>
      <c r="K219" s="35"/>
      <c r="L219" s="133">
        <v>0.0</v>
      </c>
      <c r="M219" s="35"/>
      <c r="N219" s="133">
        <v>0.0</v>
      </c>
      <c r="O219" s="35"/>
      <c r="P219" s="133">
        <v>0.0</v>
      </c>
      <c r="Q219" s="37"/>
      <c r="R219" s="134"/>
      <c r="S219" s="35"/>
      <c r="T219" s="135"/>
      <c r="U219" s="35"/>
      <c r="V219" s="135"/>
      <c r="W219" s="35"/>
      <c r="X219" s="135"/>
      <c r="Y219" s="35"/>
      <c r="Z219" s="135"/>
      <c r="AA219" s="35"/>
      <c r="AB219" s="135"/>
      <c r="AC219" s="37"/>
      <c r="AD219" s="136">
        <f t="shared" si="1"/>
        <v>0</v>
      </c>
      <c r="AE219" s="130">
        <f t="shared" si="2"/>
        <v>0</v>
      </c>
      <c r="AF219" s="130">
        <f t="shared" si="3"/>
        <v>0</v>
      </c>
      <c r="AG219" s="130">
        <f t="shared" si="4"/>
        <v>0</v>
      </c>
      <c r="AH219" s="137" t="str">
        <f t="shared" si="5"/>
        <v/>
      </c>
    </row>
    <row r="220" ht="15.75" customHeight="1">
      <c r="A220" s="116" t="s">
        <v>21</v>
      </c>
      <c r="B220" s="117">
        <f t="shared" si="6"/>
        <v>45873</v>
      </c>
      <c r="C220" s="87">
        <v>8.0</v>
      </c>
      <c r="D220" s="87" t="s">
        <v>31</v>
      </c>
      <c r="E220" s="118" t="s">
        <v>33</v>
      </c>
      <c r="F220" s="46">
        <v>0.0</v>
      </c>
      <c r="H220" s="47">
        <v>0.0</v>
      </c>
      <c r="J220" s="47">
        <v>0.0</v>
      </c>
      <c r="L220" s="47">
        <v>0.0</v>
      </c>
      <c r="N220" s="47">
        <v>0.0</v>
      </c>
      <c r="P220" s="47">
        <v>0.0</v>
      </c>
      <c r="Q220" s="22"/>
      <c r="R220" s="49"/>
      <c r="T220" s="48"/>
      <c r="V220" s="48"/>
      <c r="X220" s="48"/>
      <c r="Z220" s="48"/>
      <c r="AB220" s="48"/>
      <c r="AC220" s="22"/>
      <c r="AD220" s="86">
        <f t="shared" si="1"/>
        <v>0</v>
      </c>
      <c r="AE220" s="87">
        <f t="shared" si="2"/>
        <v>0</v>
      </c>
      <c r="AF220" s="87">
        <f t="shared" si="3"/>
        <v>0</v>
      </c>
      <c r="AG220" s="87">
        <f t="shared" si="4"/>
        <v>0</v>
      </c>
      <c r="AH220" s="119" t="str">
        <f t="shared" si="5"/>
        <v/>
      </c>
    </row>
    <row r="221" ht="15.75" customHeight="1">
      <c r="A221" s="120" t="s">
        <v>23</v>
      </c>
      <c r="B221" s="121">
        <f t="shared" si="6"/>
        <v>45874</v>
      </c>
      <c r="C221" s="51">
        <v>8.0</v>
      </c>
      <c r="D221" s="51" t="s">
        <v>31</v>
      </c>
      <c r="E221" s="122" t="s">
        <v>33</v>
      </c>
      <c r="F221" s="46">
        <v>0.0</v>
      </c>
      <c r="H221" s="47">
        <v>0.0</v>
      </c>
      <c r="J221" s="47">
        <v>0.0</v>
      </c>
      <c r="L221" s="47">
        <v>0.0</v>
      </c>
      <c r="N221" s="47">
        <v>0.0</v>
      </c>
      <c r="P221" s="47">
        <v>0.0</v>
      </c>
      <c r="Q221" s="22"/>
      <c r="R221" s="49"/>
      <c r="T221" s="48"/>
      <c r="V221" s="48"/>
      <c r="X221" s="48"/>
      <c r="Z221" s="48"/>
      <c r="AB221" s="48"/>
      <c r="AC221" s="22"/>
      <c r="AD221" s="50">
        <f t="shared" si="1"/>
        <v>0</v>
      </c>
      <c r="AE221" s="51">
        <f t="shared" si="2"/>
        <v>0</v>
      </c>
      <c r="AF221" s="51">
        <f t="shared" si="3"/>
        <v>0</v>
      </c>
      <c r="AG221" s="51">
        <f t="shared" si="4"/>
        <v>0</v>
      </c>
      <c r="AH221" s="123" t="str">
        <f t="shared" si="5"/>
        <v/>
      </c>
    </row>
    <row r="222" ht="15.75" customHeight="1">
      <c r="A222" s="120" t="s">
        <v>24</v>
      </c>
      <c r="B222" s="121">
        <f t="shared" si="6"/>
        <v>45875</v>
      </c>
      <c r="C222" s="51">
        <v>8.0</v>
      </c>
      <c r="D222" s="51" t="s">
        <v>31</v>
      </c>
      <c r="E222" s="122" t="s">
        <v>33</v>
      </c>
      <c r="F222" s="46">
        <v>0.0</v>
      </c>
      <c r="H222" s="47">
        <v>0.0</v>
      </c>
      <c r="J222" s="47">
        <v>0.0</v>
      </c>
      <c r="L222" s="47">
        <v>0.0</v>
      </c>
      <c r="N222" s="47">
        <v>0.0</v>
      </c>
      <c r="P222" s="47">
        <v>0.0</v>
      </c>
      <c r="Q222" s="22"/>
      <c r="R222" s="49"/>
      <c r="T222" s="48"/>
      <c r="V222" s="48"/>
      <c r="X222" s="48"/>
      <c r="Z222" s="48"/>
      <c r="AB222" s="48"/>
      <c r="AC222" s="22"/>
      <c r="AD222" s="50">
        <f t="shared" si="1"/>
        <v>0</v>
      </c>
      <c r="AE222" s="51">
        <f t="shared" si="2"/>
        <v>0</v>
      </c>
      <c r="AF222" s="51">
        <f t="shared" si="3"/>
        <v>0</v>
      </c>
      <c r="AG222" s="51">
        <f t="shared" si="4"/>
        <v>0</v>
      </c>
      <c r="AH222" s="123" t="str">
        <f t="shared" si="5"/>
        <v/>
      </c>
    </row>
    <row r="223" ht="15.75" customHeight="1">
      <c r="A223" s="120" t="s">
        <v>25</v>
      </c>
      <c r="B223" s="121">
        <f t="shared" si="6"/>
        <v>45876</v>
      </c>
      <c r="C223" s="51">
        <v>8.0</v>
      </c>
      <c r="D223" s="51" t="s">
        <v>31</v>
      </c>
      <c r="E223" s="122" t="s">
        <v>33</v>
      </c>
      <c r="F223" s="46">
        <v>0.0</v>
      </c>
      <c r="H223" s="47">
        <v>0.0</v>
      </c>
      <c r="J223" s="47">
        <v>0.0</v>
      </c>
      <c r="L223" s="47">
        <v>0.0</v>
      </c>
      <c r="N223" s="47">
        <v>0.0</v>
      </c>
      <c r="P223" s="47">
        <v>0.0</v>
      </c>
      <c r="Q223" s="22"/>
      <c r="R223" s="49"/>
      <c r="T223" s="48"/>
      <c r="V223" s="48"/>
      <c r="X223" s="48"/>
      <c r="Z223" s="48"/>
      <c r="AB223" s="48"/>
      <c r="AC223" s="22"/>
      <c r="AD223" s="50">
        <f t="shared" si="1"/>
        <v>0</v>
      </c>
      <c r="AE223" s="51">
        <f t="shared" si="2"/>
        <v>0</v>
      </c>
      <c r="AF223" s="51">
        <f t="shared" si="3"/>
        <v>0</v>
      </c>
      <c r="AG223" s="51">
        <f t="shared" si="4"/>
        <v>0</v>
      </c>
      <c r="AH223" s="123" t="str">
        <f t="shared" si="5"/>
        <v/>
      </c>
    </row>
    <row r="224" ht="15.75" customHeight="1">
      <c r="A224" s="120" t="s">
        <v>26</v>
      </c>
      <c r="B224" s="121">
        <f t="shared" si="6"/>
        <v>45877</v>
      </c>
      <c r="C224" s="51">
        <v>8.0</v>
      </c>
      <c r="D224" s="51" t="s">
        <v>31</v>
      </c>
      <c r="E224" s="122" t="s">
        <v>33</v>
      </c>
      <c r="F224" s="46">
        <v>0.0</v>
      </c>
      <c r="H224" s="47">
        <v>0.0</v>
      </c>
      <c r="J224" s="47">
        <v>0.0</v>
      </c>
      <c r="L224" s="47">
        <v>0.0</v>
      </c>
      <c r="N224" s="47">
        <v>0.0</v>
      </c>
      <c r="P224" s="47">
        <v>0.0</v>
      </c>
      <c r="Q224" s="22"/>
      <c r="R224" s="49"/>
      <c r="T224" s="48"/>
      <c r="V224" s="48"/>
      <c r="X224" s="48"/>
      <c r="Z224" s="48"/>
      <c r="AB224" s="48"/>
      <c r="AC224" s="22"/>
      <c r="AD224" s="50">
        <f t="shared" si="1"/>
        <v>0</v>
      </c>
      <c r="AE224" s="51">
        <f t="shared" si="2"/>
        <v>0</v>
      </c>
      <c r="AF224" s="51">
        <f t="shared" si="3"/>
        <v>0</v>
      </c>
      <c r="AG224" s="51">
        <f t="shared" si="4"/>
        <v>0</v>
      </c>
      <c r="AH224" s="123" t="str">
        <f t="shared" si="5"/>
        <v/>
      </c>
    </row>
    <row r="225" ht="15.75" customHeight="1">
      <c r="A225" s="120" t="s">
        <v>27</v>
      </c>
      <c r="B225" s="121">
        <f t="shared" si="6"/>
        <v>45878</v>
      </c>
      <c r="C225" s="51">
        <v>8.0</v>
      </c>
      <c r="D225" s="51" t="s">
        <v>31</v>
      </c>
      <c r="E225" s="122" t="s">
        <v>33</v>
      </c>
      <c r="F225" s="46">
        <v>0.0</v>
      </c>
      <c r="H225" s="47">
        <v>0.0</v>
      </c>
      <c r="J225" s="47">
        <v>0.0</v>
      </c>
      <c r="L225" s="47">
        <v>0.0</v>
      </c>
      <c r="N225" s="47">
        <v>0.0</v>
      </c>
      <c r="P225" s="47">
        <v>0.0</v>
      </c>
      <c r="Q225" s="22"/>
      <c r="R225" s="49"/>
      <c r="T225" s="48"/>
      <c r="V225" s="48"/>
      <c r="X225" s="48"/>
      <c r="Z225" s="48"/>
      <c r="AB225" s="48"/>
      <c r="AC225" s="22"/>
      <c r="AD225" s="50">
        <f t="shared" si="1"/>
        <v>0</v>
      </c>
      <c r="AE225" s="51">
        <f t="shared" si="2"/>
        <v>0</v>
      </c>
      <c r="AF225" s="51">
        <f t="shared" si="3"/>
        <v>0</v>
      </c>
      <c r="AG225" s="51">
        <f t="shared" si="4"/>
        <v>0</v>
      </c>
      <c r="AH225" s="123" t="str">
        <f t="shared" si="5"/>
        <v/>
      </c>
    </row>
    <row r="226" ht="15.75" customHeight="1">
      <c r="A226" s="124" t="s">
        <v>28</v>
      </c>
      <c r="B226" s="125">
        <f t="shared" si="6"/>
        <v>45879</v>
      </c>
      <c r="C226" s="57">
        <v>8.0</v>
      </c>
      <c r="D226" s="57" t="s">
        <v>31</v>
      </c>
      <c r="E226" s="126" t="s">
        <v>33</v>
      </c>
      <c r="F226" s="53">
        <v>0.0</v>
      </c>
      <c r="G226" s="35"/>
      <c r="H226" s="53">
        <v>0.0</v>
      </c>
      <c r="I226" s="35"/>
      <c r="J226" s="53">
        <v>0.0</v>
      </c>
      <c r="K226" s="35"/>
      <c r="L226" s="53">
        <v>0.0</v>
      </c>
      <c r="M226" s="35"/>
      <c r="N226" s="53">
        <v>0.0</v>
      </c>
      <c r="O226" s="35"/>
      <c r="P226" s="53">
        <v>0.0</v>
      </c>
      <c r="Q226" s="37"/>
      <c r="R226" s="55"/>
      <c r="S226" s="35"/>
      <c r="T226" s="54"/>
      <c r="U226" s="35"/>
      <c r="V226" s="54"/>
      <c r="W226" s="35"/>
      <c r="X226" s="54"/>
      <c r="Y226" s="35"/>
      <c r="Z226" s="54"/>
      <c r="AA226" s="35"/>
      <c r="AB226" s="54"/>
      <c r="AC226" s="37"/>
      <c r="AD226" s="56">
        <f t="shared" si="1"/>
        <v>0</v>
      </c>
      <c r="AE226" s="57">
        <f t="shared" si="2"/>
        <v>0</v>
      </c>
      <c r="AF226" s="57">
        <f t="shared" si="3"/>
        <v>0</v>
      </c>
      <c r="AG226" s="57">
        <f t="shared" si="4"/>
        <v>0</v>
      </c>
      <c r="AH226" s="127" t="str">
        <f t="shared" si="5"/>
        <v/>
      </c>
    </row>
    <row r="227" ht="15.75" customHeight="1">
      <c r="A227" s="116" t="s">
        <v>21</v>
      </c>
      <c r="B227" s="117">
        <f t="shared" si="6"/>
        <v>45880</v>
      </c>
      <c r="C227" s="87">
        <v>9.0</v>
      </c>
      <c r="D227" s="87" t="s">
        <v>22</v>
      </c>
      <c r="E227" s="118" t="s">
        <v>33</v>
      </c>
      <c r="F227" s="46">
        <v>0.0</v>
      </c>
      <c r="H227" s="47">
        <v>0.0</v>
      </c>
      <c r="J227" s="47">
        <v>0.0</v>
      </c>
      <c r="L227" s="47">
        <v>0.0</v>
      </c>
      <c r="N227" s="47">
        <v>0.0</v>
      </c>
      <c r="P227" s="47">
        <v>0.0</v>
      </c>
      <c r="Q227" s="22"/>
      <c r="R227" s="49"/>
      <c r="T227" s="48"/>
      <c r="V227" s="48"/>
      <c r="X227" s="48"/>
      <c r="Z227" s="48"/>
      <c r="AB227" s="48"/>
      <c r="AC227" s="22"/>
      <c r="AD227" s="86">
        <f t="shared" si="1"/>
        <v>0</v>
      </c>
      <c r="AE227" s="87">
        <f t="shared" si="2"/>
        <v>0</v>
      </c>
      <c r="AF227" s="87">
        <f t="shared" si="3"/>
        <v>0</v>
      </c>
      <c r="AG227" s="87">
        <f t="shared" si="4"/>
        <v>0</v>
      </c>
      <c r="AH227" s="119" t="str">
        <f t="shared" si="5"/>
        <v/>
      </c>
    </row>
    <row r="228" ht="15.75" customHeight="1">
      <c r="A228" s="120" t="s">
        <v>23</v>
      </c>
      <c r="B228" s="121">
        <f t="shared" si="6"/>
        <v>45881</v>
      </c>
      <c r="C228" s="51">
        <v>9.0</v>
      </c>
      <c r="D228" s="51" t="s">
        <v>22</v>
      </c>
      <c r="E228" s="122" t="s">
        <v>34</v>
      </c>
      <c r="F228" s="46">
        <v>0.0</v>
      </c>
      <c r="H228" s="47">
        <v>45.0</v>
      </c>
      <c r="J228" s="47">
        <v>45.0</v>
      </c>
      <c r="L228" s="47">
        <v>0.0</v>
      </c>
      <c r="N228" s="47">
        <v>0.0</v>
      </c>
      <c r="P228" s="47">
        <v>0.0</v>
      </c>
      <c r="Q228" s="22"/>
      <c r="R228" s="49"/>
      <c r="T228" s="48"/>
      <c r="V228" s="48"/>
      <c r="X228" s="48"/>
      <c r="Z228" s="48"/>
      <c r="AB228" s="48"/>
      <c r="AC228" s="22"/>
      <c r="AD228" s="50">
        <f t="shared" si="1"/>
        <v>2367.9</v>
      </c>
      <c r="AE228" s="51">
        <f t="shared" si="2"/>
        <v>90</v>
      </c>
      <c r="AF228" s="51">
        <f t="shared" si="3"/>
        <v>0</v>
      </c>
      <c r="AG228" s="51">
        <f t="shared" si="4"/>
        <v>90</v>
      </c>
      <c r="AH228" s="123">
        <f t="shared" si="5"/>
        <v>26.31</v>
      </c>
    </row>
    <row r="229" ht="15.75" customHeight="1">
      <c r="A229" s="120" t="s">
        <v>24</v>
      </c>
      <c r="B229" s="121">
        <f t="shared" si="6"/>
        <v>45882</v>
      </c>
      <c r="C229" s="51">
        <v>9.0</v>
      </c>
      <c r="D229" s="51" t="s">
        <v>22</v>
      </c>
      <c r="E229" s="122" t="s">
        <v>32</v>
      </c>
      <c r="F229" s="46">
        <v>45.0</v>
      </c>
      <c r="H229" s="47">
        <v>45.0</v>
      </c>
      <c r="J229" s="47">
        <v>0.0</v>
      </c>
      <c r="L229" s="47">
        <v>0.0</v>
      </c>
      <c r="N229" s="47">
        <v>0.0</v>
      </c>
      <c r="P229" s="47">
        <v>0.0</v>
      </c>
      <c r="Q229" s="22"/>
      <c r="R229" s="49"/>
      <c r="T229" s="48"/>
      <c r="V229" s="48"/>
      <c r="X229" s="48"/>
      <c r="Z229" s="48"/>
      <c r="AB229" s="48"/>
      <c r="AC229" s="22"/>
      <c r="AD229" s="50">
        <f t="shared" si="1"/>
        <v>2367.9</v>
      </c>
      <c r="AE229" s="51">
        <f t="shared" si="2"/>
        <v>90</v>
      </c>
      <c r="AF229" s="51">
        <f t="shared" si="3"/>
        <v>0</v>
      </c>
      <c r="AG229" s="51">
        <f t="shared" si="4"/>
        <v>90</v>
      </c>
      <c r="AH229" s="123">
        <f t="shared" si="5"/>
        <v>26.31</v>
      </c>
    </row>
    <row r="230" ht="15.75" customHeight="1">
      <c r="A230" s="120" t="s">
        <v>25</v>
      </c>
      <c r="B230" s="121">
        <f t="shared" si="6"/>
        <v>45883</v>
      </c>
      <c r="C230" s="51">
        <v>9.0</v>
      </c>
      <c r="D230" s="51" t="s">
        <v>22</v>
      </c>
      <c r="E230" s="122" t="s">
        <v>34</v>
      </c>
      <c r="F230" s="46">
        <v>0.0</v>
      </c>
      <c r="H230" s="47">
        <v>45.0</v>
      </c>
      <c r="J230" s="47">
        <v>45.0</v>
      </c>
      <c r="L230" s="47">
        <v>0.0</v>
      </c>
      <c r="N230" s="47">
        <v>0.0</v>
      </c>
      <c r="P230" s="47">
        <v>0.0</v>
      </c>
      <c r="Q230" s="22"/>
      <c r="R230" s="49"/>
      <c r="T230" s="48"/>
      <c r="V230" s="48"/>
      <c r="X230" s="48"/>
      <c r="Z230" s="48"/>
      <c r="AB230" s="48"/>
      <c r="AC230" s="22"/>
      <c r="AD230" s="50">
        <f t="shared" si="1"/>
        <v>2367.9</v>
      </c>
      <c r="AE230" s="51">
        <f t="shared" si="2"/>
        <v>90</v>
      </c>
      <c r="AF230" s="51">
        <f t="shared" si="3"/>
        <v>0</v>
      </c>
      <c r="AG230" s="51">
        <f t="shared" si="4"/>
        <v>90</v>
      </c>
      <c r="AH230" s="123">
        <f t="shared" si="5"/>
        <v>26.31</v>
      </c>
    </row>
    <row r="231" ht="15.75" customHeight="1">
      <c r="A231" s="120" t="s">
        <v>26</v>
      </c>
      <c r="B231" s="121">
        <f t="shared" si="6"/>
        <v>45884</v>
      </c>
      <c r="C231" s="51">
        <v>9.0</v>
      </c>
      <c r="D231" s="51" t="s">
        <v>22</v>
      </c>
      <c r="E231" s="122" t="s">
        <v>34</v>
      </c>
      <c r="F231" s="46">
        <v>0.0</v>
      </c>
      <c r="H231" s="47">
        <v>45.0</v>
      </c>
      <c r="J231" s="47">
        <v>45.0</v>
      </c>
      <c r="L231" s="47">
        <v>0.0</v>
      </c>
      <c r="N231" s="47">
        <v>0.0</v>
      </c>
      <c r="P231" s="47">
        <v>0.0</v>
      </c>
      <c r="Q231" s="22"/>
      <c r="R231" s="49"/>
      <c r="T231" s="48"/>
      <c r="V231" s="48"/>
      <c r="X231" s="48"/>
      <c r="Z231" s="48"/>
      <c r="AB231" s="48"/>
      <c r="AC231" s="22"/>
      <c r="AD231" s="50">
        <f t="shared" si="1"/>
        <v>2367.9</v>
      </c>
      <c r="AE231" s="51">
        <f t="shared" si="2"/>
        <v>90</v>
      </c>
      <c r="AF231" s="51">
        <f t="shared" si="3"/>
        <v>0</v>
      </c>
      <c r="AG231" s="51">
        <f t="shared" si="4"/>
        <v>90</v>
      </c>
      <c r="AH231" s="123">
        <f t="shared" si="5"/>
        <v>26.31</v>
      </c>
    </row>
    <row r="232" ht="15.75" customHeight="1">
      <c r="A232" s="120" t="s">
        <v>27</v>
      </c>
      <c r="B232" s="121">
        <f t="shared" si="6"/>
        <v>45885</v>
      </c>
      <c r="C232" s="51">
        <v>9.0</v>
      </c>
      <c r="D232" s="51" t="s">
        <v>22</v>
      </c>
      <c r="E232" s="122" t="s">
        <v>34</v>
      </c>
      <c r="F232" s="46">
        <v>0.0</v>
      </c>
      <c r="H232" s="47">
        <v>45.0</v>
      </c>
      <c r="J232" s="47">
        <v>45.0</v>
      </c>
      <c r="L232" s="47">
        <v>0.0</v>
      </c>
      <c r="N232" s="47">
        <v>0.0</v>
      </c>
      <c r="P232" s="47">
        <v>0.0</v>
      </c>
      <c r="Q232" s="22"/>
      <c r="R232" s="49"/>
      <c r="T232" s="48"/>
      <c r="V232" s="48"/>
      <c r="X232" s="48"/>
      <c r="Z232" s="48"/>
      <c r="AB232" s="48"/>
      <c r="AC232" s="22"/>
      <c r="AD232" s="50">
        <f t="shared" si="1"/>
        <v>2367.9</v>
      </c>
      <c r="AE232" s="51">
        <f t="shared" si="2"/>
        <v>90</v>
      </c>
      <c r="AF232" s="51">
        <f t="shared" si="3"/>
        <v>0</v>
      </c>
      <c r="AG232" s="51">
        <f t="shared" si="4"/>
        <v>90</v>
      </c>
      <c r="AH232" s="123">
        <f t="shared" si="5"/>
        <v>26.31</v>
      </c>
    </row>
    <row r="233" ht="15.75" customHeight="1">
      <c r="A233" s="128" t="s">
        <v>28</v>
      </c>
      <c r="B233" s="129">
        <f t="shared" si="6"/>
        <v>45886</v>
      </c>
      <c r="C233" s="130">
        <v>9.0</v>
      </c>
      <c r="D233" s="130" t="s">
        <v>22</v>
      </c>
      <c r="E233" s="131" t="s">
        <v>32</v>
      </c>
      <c r="F233" s="132">
        <v>0.0</v>
      </c>
      <c r="G233" s="35"/>
      <c r="H233" s="133">
        <v>0.0</v>
      </c>
      <c r="I233" s="35"/>
      <c r="J233" s="133">
        <v>0.0</v>
      </c>
      <c r="K233" s="35"/>
      <c r="L233" s="133">
        <v>0.0</v>
      </c>
      <c r="M233" s="35"/>
      <c r="N233" s="133">
        <v>0.0</v>
      </c>
      <c r="O233" s="35"/>
      <c r="P233" s="133">
        <v>0.0</v>
      </c>
      <c r="Q233" s="37"/>
      <c r="R233" s="134"/>
      <c r="S233" s="35"/>
      <c r="T233" s="135"/>
      <c r="U233" s="35"/>
      <c r="V233" s="135"/>
      <c r="W233" s="35"/>
      <c r="X233" s="135"/>
      <c r="Y233" s="35"/>
      <c r="Z233" s="135"/>
      <c r="AA233" s="35"/>
      <c r="AB233" s="135"/>
      <c r="AC233" s="37"/>
      <c r="AD233" s="136">
        <f t="shared" si="1"/>
        <v>0</v>
      </c>
      <c r="AE233" s="130">
        <f t="shared" si="2"/>
        <v>0</v>
      </c>
      <c r="AF233" s="130">
        <f t="shared" si="3"/>
        <v>0</v>
      </c>
      <c r="AG233" s="130">
        <f t="shared" si="4"/>
        <v>0</v>
      </c>
      <c r="AH233" s="137" t="str">
        <f t="shared" si="5"/>
        <v/>
      </c>
    </row>
    <row r="234" ht="15.75" customHeight="1">
      <c r="A234" s="116" t="s">
        <v>21</v>
      </c>
      <c r="B234" s="117">
        <f t="shared" si="6"/>
        <v>45887</v>
      </c>
      <c r="C234" s="87">
        <v>9.0</v>
      </c>
      <c r="D234" s="87" t="s">
        <v>29</v>
      </c>
      <c r="E234" s="118" t="s">
        <v>33</v>
      </c>
      <c r="F234" s="46">
        <v>0.0</v>
      </c>
      <c r="H234" s="47">
        <v>0.0</v>
      </c>
      <c r="J234" s="47">
        <v>0.0</v>
      </c>
      <c r="L234" s="47">
        <v>0.0</v>
      </c>
      <c r="N234" s="47">
        <v>0.0</v>
      </c>
      <c r="P234" s="47">
        <v>0.0</v>
      </c>
      <c r="Q234" s="22"/>
      <c r="R234" s="49"/>
      <c r="T234" s="48"/>
      <c r="V234" s="48"/>
      <c r="X234" s="48"/>
      <c r="Z234" s="48"/>
      <c r="AB234" s="48"/>
      <c r="AC234" s="22"/>
      <c r="AD234" s="86">
        <f t="shared" si="1"/>
        <v>0</v>
      </c>
      <c r="AE234" s="87">
        <f t="shared" si="2"/>
        <v>0</v>
      </c>
      <c r="AF234" s="87">
        <f t="shared" si="3"/>
        <v>0</v>
      </c>
      <c r="AG234" s="87">
        <f t="shared" si="4"/>
        <v>0</v>
      </c>
      <c r="AH234" s="119" t="str">
        <f t="shared" si="5"/>
        <v/>
      </c>
    </row>
    <row r="235" ht="15.75" customHeight="1">
      <c r="A235" s="120" t="s">
        <v>23</v>
      </c>
      <c r="B235" s="121">
        <f t="shared" si="6"/>
        <v>45888</v>
      </c>
      <c r="C235" s="51">
        <v>9.0</v>
      </c>
      <c r="D235" s="51" t="s">
        <v>29</v>
      </c>
      <c r="E235" s="122" t="s">
        <v>34</v>
      </c>
      <c r="F235" s="46">
        <v>0.0</v>
      </c>
      <c r="H235" s="47">
        <v>45.0</v>
      </c>
      <c r="J235" s="47">
        <v>45.0</v>
      </c>
      <c r="L235" s="47">
        <v>0.0</v>
      </c>
      <c r="N235" s="47">
        <v>0.0</v>
      </c>
      <c r="P235" s="47">
        <v>0.0</v>
      </c>
      <c r="Q235" s="22"/>
      <c r="R235" s="49"/>
      <c r="T235" s="48"/>
      <c r="V235" s="48"/>
      <c r="X235" s="48"/>
      <c r="Z235" s="48"/>
      <c r="AB235" s="48"/>
      <c r="AC235" s="22"/>
      <c r="AD235" s="50">
        <f t="shared" si="1"/>
        <v>2367.9</v>
      </c>
      <c r="AE235" s="51">
        <f t="shared" si="2"/>
        <v>90</v>
      </c>
      <c r="AF235" s="51">
        <f t="shared" si="3"/>
        <v>0</v>
      </c>
      <c r="AG235" s="51">
        <f t="shared" si="4"/>
        <v>90</v>
      </c>
      <c r="AH235" s="123">
        <f t="shared" si="5"/>
        <v>26.31</v>
      </c>
    </row>
    <row r="236" ht="15.75" customHeight="1">
      <c r="A236" s="120" t="s">
        <v>24</v>
      </c>
      <c r="B236" s="121">
        <f t="shared" si="6"/>
        <v>45889</v>
      </c>
      <c r="C236" s="51">
        <v>9.0</v>
      </c>
      <c r="D236" s="51" t="s">
        <v>29</v>
      </c>
      <c r="E236" s="122" t="s">
        <v>32</v>
      </c>
      <c r="F236" s="46">
        <v>45.0</v>
      </c>
      <c r="H236" s="47">
        <v>45.0</v>
      </c>
      <c r="J236" s="47">
        <v>0.0</v>
      </c>
      <c r="L236" s="47">
        <v>0.0</v>
      </c>
      <c r="N236" s="47">
        <v>0.0</v>
      </c>
      <c r="P236" s="47">
        <v>0.0</v>
      </c>
      <c r="Q236" s="22"/>
      <c r="R236" s="49"/>
      <c r="T236" s="48"/>
      <c r="V236" s="48"/>
      <c r="X236" s="48"/>
      <c r="Z236" s="48"/>
      <c r="AB236" s="48"/>
      <c r="AC236" s="22"/>
      <c r="AD236" s="50">
        <f t="shared" si="1"/>
        <v>2367.9</v>
      </c>
      <c r="AE236" s="51">
        <f t="shared" si="2"/>
        <v>90</v>
      </c>
      <c r="AF236" s="51">
        <f t="shared" si="3"/>
        <v>0</v>
      </c>
      <c r="AG236" s="51">
        <f t="shared" si="4"/>
        <v>90</v>
      </c>
      <c r="AH236" s="123">
        <f t="shared" si="5"/>
        <v>26.31</v>
      </c>
    </row>
    <row r="237" ht="15.75" customHeight="1">
      <c r="A237" s="120" t="s">
        <v>25</v>
      </c>
      <c r="B237" s="121">
        <f t="shared" si="6"/>
        <v>45890</v>
      </c>
      <c r="C237" s="51">
        <v>9.0</v>
      </c>
      <c r="D237" s="51" t="s">
        <v>29</v>
      </c>
      <c r="E237" s="122" t="s">
        <v>34</v>
      </c>
      <c r="F237" s="46">
        <v>0.0</v>
      </c>
      <c r="H237" s="47">
        <v>45.0</v>
      </c>
      <c r="J237" s="47">
        <v>45.0</v>
      </c>
      <c r="L237" s="47">
        <v>0.0</v>
      </c>
      <c r="N237" s="47">
        <v>0.0</v>
      </c>
      <c r="P237" s="47">
        <v>0.0</v>
      </c>
      <c r="Q237" s="22"/>
      <c r="R237" s="49"/>
      <c r="T237" s="48"/>
      <c r="V237" s="48"/>
      <c r="X237" s="48"/>
      <c r="Z237" s="48"/>
      <c r="AB237" s="48"/>
      <c r="AC237" s="22"/>
      <c r="AD237" s="50">
        <f t="shared" si="1"/>
        <v>2367.9</v>
      </c>
      <c r="AE237" s="51">
        <f t="shared" si="2"/>
        <v>90</v>
      </c>
      <c r="AF237" s="51">
        <f t="shared" si="3"/>
        <v>0</v>
      </c>
      <c r="AG237" s="51">
        <f t="shared" si="4"/>
        <v>90</v>
      </c>
      <c r="AH237" s="123">
        <f t="shared" si="5"/>
        <v>26.31</v>
      </c>
    </row>
    <row r="238" ht="15.75" customHeight="1">
      <c r="A238" s="120" t="s">
        <v>26</v>
      </c>
      <c r="B238" s="121">
        <f t="shared" si="6"/>
        <v>45891</v>
      </c>
      <c r="C238" s="51">
        <v>9.0</v>
      </c>
      <c r="D238" s="51" t="s">
        <v>29</v>
      </c>
      <c r="E238" s="122" t="s">
        <v>34</v>
      </c>
      <c r="F238" s="46">
        <v>0.0</v>
      </c>
      <c r="H238" s="47">
        <v>45.0</v>
      </c>
      <c r="J238" s="47">
        <v>45.0</v>
      </c>
      <c r="L238" s="47">
        <v>0.0</v>
      </c>
      <c r="N238" s="47">
        <v>0.0</v>
      </c>
      <c r="P238" s="47">
        <v>0.0</v>
      </c>
      <c r="Q238" s="22"/>
      <c r="R238" s="49"/>
      <c r="T238" s="48"/>
      <c r="V238" s="48"/>
      <c r="X238" s="48"/>
      <c r="Z238" s="48"/>
      <c r="AB238" s="48"/>
      <c r="AC238" s="22"/>
      <c r="AD238" s="50">
        <f t="shared" si="1"/>
        <v>2367.9</v>
      </c>
      <c r="AE238" s="51">
        <f t="shared" si="2"/>
        <v>90</v>
      </c>
      <c r="AF238" s="51">
        <f t="shared" si="3"/>
        <v>0</v>
      </c>
      <c r="AG238" s="51">
        <f t="shared" si="4"/>
        <v>90</v>
      </c>
      <c r="AH238" s="123">
        <f t="shared" si="5"/>
        <v>26.31</v>
      </c>
    </row>
    <row r="239" ht="15.75" customHeight="1">
      <c r="A239" s="120" t="s">
        <v>27</v>
      </c>
      <c r="B239" s="121">
        <f t="shared" si="6"/>
        <v>45892</v>
      </c>
      <c r="C239" s="51">
        <v>9.0</v>
      </c>
      <c r="D239" s="51" t="s">
        <v>29</v>
      </c>
      <c r="E239" s="122" t="s">
        <v>34</v>
      </c>
      <c r="F239" s="46">
        <v>0.0</v>
      </c>
      <c r="H239" s="47">
        <v>45.0</v>
      </c>
      <c r="J239" s="47">
        <v>45.0</v>
      </c>
      <c r="L239" s="47">
        <v>0.0</v>
      </c>
      <c r="N239" s="47">
        <v>0.0</v>
      </c>
      <c r="P239" s="47">
        <v>0.0</v>
      </c>
      <c r="Q239" s="22"/>
      <c r="R239" s="49"/>
      <c r="T239" s="48"/>
      <c r="V239" s="48"/>
      <c r="X239" s="48"/>
      <c r="Z239" s="48"/>
      <c r="AB239" s="48"/>
      <c r="AC239" s="22"/>
      <c r="AD239" s="50">
        <f t="shared" si="1"/>
        <v>2367.9</v>
      </c>
      <c r="AE239" s="51">
        <f t="shared" si="2"/>
        <v>90</v>
      </c>
      <c r="AF239" s="51">
        <f t="shared" si="3"/>
        <v>0</v>
      </c>
      <c r="AG239" s="51">
        <f t="shared" si="4"/>
        <v>90</v>
      </c>
      <c r="AH239" s="123">
        <f t="shared" si="5"/>
        <v>26.31</v>
      </c>
    </row>
    <row r="240" ht="15.75" customHeight="1">
      <c r="A240" s="128" t="s">
        <v>28</v>
      </c>
      <c r="B240" s="129">
        <f t="shared" si="6"/>
        <v>45893</v>
      </c>
      <c r="C240" s="130">
        <v>9.0</v>
      </c>
      <c r="D240" s="130" t="s">
        <v>29</v>
      </c>
      <c r="E240" s="131" t="s">
        <v>32</v>
      </c>
      <c r="F240" s="132">
        <v>0.0</v>
      </c>
      <c r="G240" s="35"/>
      <c r="H240" s="133">
        <v>0.0</v>
      </c>
      <c r="I240" s="35"/>
      <c r="J240" s="133">
        <v>0.0</v>
      </c>
      <c r="K240" s="35"/>
      <c r="L240" s="133">
        <v>0.0</v>
      </c>
      <c r="M240" s="35"/>
      <c r="N240" s="133">
        <v>0.0</v>
      </c>
      <c r="O240" s="35"/>
      <c r="P240" s="133">
        <v>0.0</v>
      </c>
      <c r="Q240" s="37"/>
      <c r="R240" s="134"/>
      <c r="S240" s="35"/>
      <c r="T240" s="135"/>
      <c r="U240" s="35"/>
      <c r="V240" s="135"/>
      <c r="W240" s="35"/>
      <c r="X240" s="135"/>
      <c r="Y240" s="35"/>
      <c r="Z240" s="135"/>
      <c r="AA240" s="35"/>
      <c r="AB240" s="135"/>
      <c r="AC240" s="37"/>
      <c r="AD240" s="136">
        <f t="shared" si="1"/>
        <v>0</v>
      </c>
      <c r="AE240" s="130">
        <f t="shared" si="2"/>
        <v>0</v>
      </c>
      <c r="AF240" s="130">
        <f t="shared" si="3"/>
        <v>0</v>
      </c>
      <c r="AG240" s="130">
        <f t="shared" si="4"/>
        <v>0</v>
      </c>
      <c r="AH240" s="137" t="str">
        <f t="shared" si="5"/>
        <v/>
      </c>
    </row>
    <row r="241" ht="15.75" customHeight="1">
      <c r="A241" s="116" t="s">
        <v>21</v>
      </c>
      <c r="B241" s="117">
        <f t="shared" si="6"/>
        <v>45894</v>
      </c>
      <c r="C241" s="87">
        <v>9.0</v>
      </c>
      <c r="D241" s="87" t="s">
        <v>30</v>
      </c>
      <c r="E241" s="118" t="s">
        <v>33</v>
      </c>
      <c r="F241" s="46">
        <v>0.0</v>
      </c>
      <c r="H241" s="47">
        <v>0.0</v>
      </c>
      <c r="J241" s="47">
        <v>0.0</v>
      </c>
      <c r="L241" s="47">
        <v>0.0</v>
      </c>
      <c r="N241" s="47">
        <v>0.0</v>
      </c>
      <c r="P241" s="47">
        <v>0.0</v>
      </c>
      <c r="Q241" s="22"/>
      <c r="R241" s="49"/>
      <c r="T241" s="48"/>
      <c r="V241" s="48"/>
      <c r="X241" s="48"/>
      <c r="Z241" s="48"/>
      <c r="AB241" s="48"/>
      <c r="AC241" s="22"/>
      <c r="AD241" s="86">
        <f t="shared" si="1"/>
        <v>0</v>
      </c>
      <c r="AE241" s="87">
        <f t="shared" si="2"/>
        <v>0</v>
      </c>
      <c r="AF241" s="87">
        <f t="shared" si="3"/>
        <v>0</v>
      </c>
      <c r="AG241" s="87">
        <f t="shared" si="4"/>
        <v>0</v>
      </c>
      <c r="AH241" s="119" t="str">
        <f t="shared" si="5"/>
        <v/>
      </c>
    </row>
    <row r="242" ht="15.75" customHeight="1">
      <c r="A242" s="120" t="s">
        <v>23</v>
      </c>
      <c r="B242" s="121">
        <f t="shared" si="6"/>
        <v>45895</v>
      </c>
      <c r="C242" s="51">
        <v>9.0</v>
      </c>
      <c r="D242" s="51" t="s">
        <v>30</v>
      </c>
      <c r="E242" s="122" t="s">
        <v>33</v>
      </c>
      <c r="F242" s="46">
        <v>0.0</v>
      </c>
      <c r="H242" s="47">
        <v>0.0</v>
      </c>
      <c r="J242" s="47">
        <v>0.0</v>
      </c>
      <c r="L242" s="47">
        <v>0.0</v>
      </c>
      <c r="N242" s="47">
        <v>0.0</v>
      </c>
      <c r="P242" s="47">
        <v>0.0</v>
      </c>
      <c r="Q242" s="22"/>
      <c r="R242" s="49"/>
      <c r="T242" s="48"/>
      <c r="V242" s="48"/>
      <c r="X242" s="48"/>
      <c r="Z242" s="48"/>
      <c r="AB242" s="48"/>
      <c r="AC242" s="22"/>
      <c r="AD242" s="50">
        <f t="shared" si="1"/>
        <v>0</v>
      </c>
      <c r="AE242" s="51">
        <f t="shared" si="2"/>
        <v>0</v>
      </c>
      <c r="AF242" s="51">
        <f t="shared" si="3"/>
        <v>0</v>
      </c>
      <c r="AG242" s="51">
        <f t="shared" si="4"/>
        <v>0</v>
      </c>
      <c r="AH242" s="123" t="str">
        <f t="shared" si="5"/>
        <v/>
      </c>
    </row>
    <row r="243" ht="15.75" customHeight="1">
      <c r="A243" s="120" t="s">
        <v>24</v>
      </c>
      <c r="B243" s="121">
        <f t="shared" si="6"/>
        <v>45896</v>
      </c>
      <c r="C243" s="51">
        <v>9.0</v>
      </c>
      <c r="D243" s="51" t="s">
        <v>30</v>
      </c>
      <c r="E243" s="122" t="s">
        <v>33</v>
      </c>
      <c r="F243" s="46">
        <v>0.0</v>
      </c>
      <c r="H243" s="47">
        <v>0.0</v>
      </c>
      <c r="J243" s="47">
        <v>0.0</v>
      </c>
      <c r="L243" s="47">
        <v>0.0</v>
      </c>
      <c r="N243" s="47">
        <v>0.0</v>
      </c>
      <c r="P243" s="47">
        <v>0.0</v>
      </c>
      <c r="Q243" s="22"/>
      <c r="R243" s="49"/>
      <c r="T243" s="48"/>
      <c r="V243" s="48"/>
      <c r="X243" s="48"/>
      <c r="Z243" s="48"/>
      <c r="AB243" s="48"/>
      <c r="AC243" s="22"/>
      <c r="AD243" s="50">
        <f t="shared" si="1"/>
        <v>0</v>
      </c>
      <c r="AE243" s="51">
        <f t="shared" si="2"/>
        <v>0</v>
      </c>
      <c r="AF243" s="51">
        <f t="shared" si="3"/>
        <v>0</v>
      </c>
      <c r="AG243" s="51">
        <f t="shared" si="4"/>
        <v>0</v>
      </c>
      <c r="AH243" s="123" t="str">
        <f t="shared" si="5"/>
        <v/>
      </c>
    </row>
    <row r="244" ht="15.75" customHeight="1">
      <c r="A244" s="120" t="s">
        <v>25</v>
      </c>
      <c r="B244" s="121">
        <f t="shared" si="6"/>
        <v>45897</v>
      </c>
      <c r="C244" s="51">
        <v>9.0</v>
      </c>
      <c r="D244" s="51" t="s">
        <v>30</v>
      </c>
      <c r="E244" s="122" t="s">
        <v>33</v>
      </c>
      <c r="F244" s="46">
        <v>0.0</v>
      </c>
      <c r="H244" s="47">
        <v>0.0</v>
      </c>
      <c r="J244" s="47">
        <v>0.0</v>
      </c>
      <c r="L244" s="47">
        <v>0.0</v>
      </c>
      <c r="N244" s="47">
        <v>0.0</v>
      </c>
      <c r="P244" s="47">
        <v>0.0</v>
      </c>
      <c r="Q244" s="22"/>
      <c r="R244" s="49"/>
      <c r="T244" s="48"/>
      <c r="V244" s="48"/>
      <c r="X244" s="48"/>
      <c r="Z244" s="48"/>
      <c r="AB244" s="48"/>
      <c r="AC244" s="22"/>
      <c r="AD244" s="50">
        <f t="shared" si="1"/>
        <v>0</v>
      </c>
      <c r="AE244" s="51">
        <f t="shared" si="2"/>
        <v>0</v>
      </c>
      <c r="AF244" s="51">
        <f t="shared" si="3"/>
        <v>0</v>
      </c>
      <c r="AG244" s="51">
        <f t="shared" si="4"/>
        <v>0</v>
      </c>
      <c r="AH244" s="123" t="str">
        <f t="shared" si="5"/>
        <v/>
      </c>
    </row>
    <row r="245" ht="15.75" customHeight="1">
      <c r="A245" s="120" t="s">
        <v>26</v>
      </c>
      <c r="B245" s="121">
        <f t="shared" si="6"/>
        <v>45898</v>
      </c>
      <c r="C245" s="51">
        <v>9.0</v>
      </c>
      <c r="D245" s="51" t="s">
        <v>30</v>
      </c>
      <c r="E245" s="122" t="s">
        <v>33</v>
      </c>
      <c r="F245" s="46">
        <v>0.0</v>
      </c>
      <c r="H245" s="47">
        <v>0.0</v>
      </c>
      <c r="J245" s="47">
        <v>0.0</v>
      </c>
      <c r="L245" s="47">
        <v>0.0</v>
      </c>
      <c r="N245" s="47">
        <v>0.0</v>
      </c>
      <c r="P245" s="47">
        <v>0.0</v>
      </c>
      <c r="Q245" s="22"/>
      <c r="R245" s="49"/>
      <c r="T245" s="48"/>
      <c r="V245" s="48"/>
      <c r="X245" s="48"/>
      <c r="Z245" s="48"/>
      <c r="AB245" s="48"/>
      <c r="AC245" s="22"/>
      <c r="AD245" s="50">
        <f t="shared" si="1"/>
        <v>0</v>
      </c>
      <c r="AE245" s="51">
        <f t="shared" si="2"/>
        <v>0</v>
      </c>
      <c r="AF245" s="51">
        <f t="shared" si="3"/>
        <v>0</v>
      </c>
      <c r="AG245" s="51">
        <f t="shared" si="4"/>
        <v>0</v>
      </c>
      <c r="AH245" s="123" t="str">
        <f t="shared" si="5"/>
        <v/>
      </c>
    </row>
    <row r="246" ht="15.75" customHeight="1">
      <c r="A246" s="120" t="s">
        <v>27</v>
      </c>
      <c r="B246" s="121">
        <f t="shared" si="6"/>
        <v>45899</v>
      </c>
      <c r="C246" s="51">
        <v>9.0</v>
      </c>
      <c r="D246" s="51" t="s">
        <v>30</v>
      </c>
      <c r="E246" s="122" t="s">
        <v>33</v>
      </c>
      <c r="F246" s="46">
        <v>0.0</v>
      </c>
      <c r="H246" s="47">
        <v>0.0</v>
      </c>
      <c r="J246" s="47">
        <v>0.0</v>
      </c>
      <c r="L246" s="47">
        <v>0.0</v>
      </c>
      <c r="N246" s="47">
        <v>0.0</v>
      </c>
      <c r="P246" s="47">
        <v>0.0</v>
      </c>
      <c r="Q246" s="22"/>
      <c r="R246" s="49"/>
      <c r="T246" s="48"/>
      <c r="V246" s="48"/>
      <c r="X246" s="48"/>
      <c r="Z246" s="48"/>
      <c r="AB246" s="48"/>
      <c r="AC246" s="22"/>
      <c r="AD246" s="50">
        <f t="shared" si="1"/>
        <v>0</v>
      </c>
      <c r="AE246" s="51">
        <f t="shared" si="2"/>
        <v>0</v>
      </c>
      <c r="AF246" s="51">
        <f t="shared" si="3"/>
        <v>0</v>
      </c>
      <c r="AG246" s="51">
        <f t="shared" si="4"/>
        <v>0</v>
      </c>
      <c r="AH246" s="123" t="str">
        <f t="shared" si="5"/>
        <v/>
      </c>
    </row>
    <row r="247" ht="15.75" customHeight="1">
      <c r="A247" s="124" t="s">
        <v>28</v>
      </c>
      <c r="B247" s="125">
        <f t="shared" si="6"/>
        <v>45900</v>
      </c>
      <c r="C247" s="57">
        <v>9.0</v>
      </c>
      <c r="D247" s="57" t="s">
        <v>30</v>
      </c>
      <c r="E247" s="126" t="s">
        <v>33</v>
      </c>
      <c r="F247" s="53">
        <v>0.0</v>
      </c>
      <c r="G247" s="35"/>
      <c r="H247" s="53">
        <v>0.0</v>
      </c>
      <c r="I247" s="35"/>
      <c r="J247" s="53">
        <v>0.0</v>
      </c>
      <c r="K247" s="35"/>
      <c r="L247" s="53">
        <v>0.0</v>
      </c>
      <c r="M247" s="35"/>
      <c r="N247" s="53">
        <v>0.0</v>
      </c>
      <c r="O247" s="35"/>
      <c r="P247" s="53">
        <v>0.0</v>
      </c>
      <c r="Q247" s="37"/>
      <c r="R247" s="55"/>
      <c r="S247" s="35"/>
      <c r="T247" s="54"/>
      <c r="U247" s="35"/>
      <c r="V247" s="54"/>
      <c r="W247" s="35"/>
      <c r="X247" s="54"/>
      <c r="Y247" s="35"/>
      <c r="Z247" s="54"/>
      <c r="AA247" s="35"/>
      <c r="AB247" s="54"/>
      <c r="AC247" s="37"/>
      <c r="AD247" s="56">
        <f t="shared" si="1"/>
        <v>0</v>
      </c>
      <c r="AE247" s="57">
        <f t="shared" si="2"/>
        <v>0</v>
      </c>
      <c r="AF247" s="57">
        <f t="shared" si="3"/>
        <v>0</v>
      </c>
      <c r="AG247" s="57">
        <f t="shared" si="4"/>
        <v>0</v>
      </c>
      <c r="AH247" s="127" t="str">
        <f t="shared" si="5"/>
        <v/>
      </c>
    </row>
    <row r="248" ht="15.75" customHeight="1">
      <c r="A248" s="116" t="s">
        <v>21</v>
      </c>
      <c r="B248" s="117">
        <f t="shared" si="6"/>
        <v>45901</v>
      </c>
      <c r="C248" s="87">
        <v>9.0</v>
      </c>
      <c r="D248" s="87" t="s">
        <v>31</v>
      </c>
      <c r="E248" s="118" t="s">
        <v>33</v>
      </c>
      <c r="F248" s="46">
        <v>0.0</v>
      </c>
      <c r="H248" s="47">
        <v>0.0</v>
      </c>
      <c r="J248" s="47">
        <v>0.0</v>
      </c>
      <c r="L248" s="47">
        <v>0.0</v>
      </c>
      <c r="N248" s="47">
        <v>0.0</v>
      </c>
      <c r="P248" s="47">
        <v>0.0</v>
      </c>
      <c r="Q248" s="22"/>
      <c r="R248" s="49"/>
      <c r="T248" s="48"/>
      <c r="V248" s="48"/>
      <c r="X248" s="48"/>
      <c r="Z248" s="48"/>
      <c r="AB248" s="48"/>
      <c r="AC248" s="22"/>
      <c r="AD248" s="86">
        <f t="shared" si="1"/>
        <v>0</v>
      </c>
      <c r="AE248" s="87">
        <f t="shared" si="2"/>
        <v>0</v>
      </c>
      <c r="AF248" s="87">
        <f t="shared" si="3"/>
        <v>0</v>
      </c>
      <c r="AG248" s="87">
        <f t="shared" si="4"/>
        <v>0</v>
      </c>
      <c r="AH248" s="119" t="str">
        <f t="shared" si="5"/>
        <v/>
      </c>
    </row>
    <row r="249" ht="15.75" customHeight="1">
      <c r="A249" s="120" t="s">
        <v>23</v>
      </c>
      <c r="B249" s="121">
        <f t="shared" si="6"/>
        <v>45902</v>
      </c>
      <c r="C249" s="51">
        <v>9.0</v>
      </c>
      <c r="D249" s="51" t="s">
        <v>31</v>
      </c>
      <c r="E249" s="122" t="s">
        <v>34</v>
      </c>
      <c r="F249" s="46">
        <v>0.0</v>
      </c>
      <c r="H249" s="47">
        <v>45.0</v>
      </c>
      <c r="J249" s="47">
        <v>45.0</v>
      </c>
      <c r="L249" s="47">
        <v>0.0</v>
      </c>
      <c r="N249" s="47">
        <v>0.0</v>
      </c>
      <c r="P249" s="47">
        <v>0.0</v>
      </c>
      <c r="Q249" s="22"/>
      <c r="R249" s="49"/>
      <c r="T249" s="48"/>
      <c r="V249" s="48"/>
      <c r="X249" s="48"/>
      <c r="Z249" s="48"/>
      <c r="AB249" s="48"/>
      <c r="AC249" s="22"/>
      <c r="AD249" s="50">
        <f t="shared" si="1"/>
        <v>2367.9</v>
      </c>
      <c r="AE249" s="51">
        <f t="shared" si="2"/>
        <v>90</v>
      </c>
      <c r="AF249" s="51">
        <f t="shared" si="3"/>
        <v>0</v>
      </c>
      <c r="AG249" s="51">
        <f t="shared" si="4"/>
        <v>90</v>
      </c>
      <c r="AH249" s="123">
        <f t="shared" si="5"/>
        <v>26.31</v>
      </c>
    </row>
    <row r="250" ht="15.75" customHeight="1">
      <c r="A250" s="120" t="s">
        <v>24</v>
      </c>
      <c r="B250" s="121">
        <f t="shared" si="6"/>
        <v>45903</v>
      </c>
      <c r="C250" s="51">
        <v>9.0</v>
      </c>
      <c r="D250" s="51" t="s">
        <v>31</v>
      </c>
      <c r="E250" s="122" t="s">
        <v>32</v>
      </c>
      <c r="F250" s="46">
        <v>45.0</v>
      </c>
      <c r="H250" s="47">
        <v>45.0</v>
      </c>
      <c r="J250" s="47">
        <v>0.0</v>
      </c>
      <c r="L250" s="47">
        <v>0.0</v>
      </c>
      <c r="N250" s="47">
        <v>0.0</v>
      </c>
      <c r="P250" s="47">
        <v>0.0</v>
      </c>
      <c r="Q250" s="22"/>
      <c r="R250" s="49"/>
      <c r="T250" s="48"/>
      <c r="V250" s="48"/>
      <c r="X250" s="48"/>
      <c r="Z250" s="48"/>
      <c r="AB250" s="48"/>
      <c r="AC250" s="22"/>
      <c r="AD250" s="50">
        <f t="shared" si="1"/>
        <v>2367.9</v>
      </c>
      <c r="AE250" s="51">
        <f t="shared" si="2"/>
        <v>90</v>
      </c>
      <c r="AF250" s="51">
        <f t="shared" si="3"/>
        <v>0</v>
      </c>
      <c r="AG250" s="51">
        <f t="shared" si="4"/>
        <v>90</v>
      </c>
      <c r="AH250" s="123">
        <f t="shared" si="5"/>
        <v>26.31</v>
      </c>
    </row>
    <row r="251" ht="15.75" customHeight="1">
      <c r="A251" s="120" t="s">
        <v>25</v>
      </c>
      <c r="B251" s="121">
        <f t="shared" si="6"/>
        <v>45904</v>
      </c>
      <c r="C251" s="51">
        <v>9.0</v>
      </c>
      <c r="D251" s="51" t="s">
        <v>31</v>
      </c>
      <c r="E251" s="122" t="s">
        <v>34</v>
      </c>
      <c r="F251" s="46">
        <v>0.0</v>
      </c>
      <c r="H251" s="47">
        <v>45.0</v>
      </c>
      <c r="J251" s="47">
        <v>45.0</v>
      </c>
      <c r="L251" s="47">
        <v>0.0</v>
      </c>
      <c r="N251" s="47">
        <v>0.0</v>
      </c>
      <c r="P251" s="47">
        <v>0.0</v>
      </c>
      <c r="Q251" s="22"/>
      <c r="R251" s="49"/>
      <c r="T251" s="48"/>
      <c r="V251" s="48"/>
      <c r="X251" s="48"/>
      <c r="Z251" s="48"/>
      <c r="AB251" s="48"/>
      <c r="AC251" s="22"/>
      <c r="AD251" s="50">
        <f t="shared" si="1"/>
        <v>2367.9</v>
      </c>
      <c r="AE251" s="51">
        <f t="shared" si="2"/>
        <v>90</v>
      </c>
      <c r="AF251" s="51">
        <f t="shared" si="3"/>
        <v>0</v>
      </c>
      <c r="AG251" s="51">
        <f t="shared" si="4"/>
        <v>90</v>
      </c>
      <c r="AH251" s="123">
        <f t="shared" si="5"/>
        <v>26.31</v>
      </c>
    </row>
    <row r="252" ht="15.75" customHeight="1">
      <c r="A252" s="120" t="s">
        <v>26</v>
      </c>
      <c r="B252" s="121">
        <f t="shared" si="6"/>
        <v>45905</v>
      </c>
      <c r="C252" s="51">
        <v>9.0</v>
      </c>
      <c r="D252" s="51" t="s">
        <v>31</v>
      </c>
      <c r="E252" s="122" t="s">
        <v>34</v>
      </c>
      <c r="F252" s="46">
        <v>0.0</v>
      </c>
      <c r="H252" s="47">
        <v>45.0</v>
      </c>
      <c r="J252" s="47">
        <v>45.0</v>
      </c>
      <c r="L252" s="47">
        <v>0.0</v>
      </c>
      <c r="N252" s="47">
        <v>0.0</v>
      </c>
      <c r="P252" s="47">
        <v>0.0</v>
      </c>
      <c r="Q252" s="22"/>
      <c r="R252" s="49"/>
      <c r="T252" s="48"/>
      <c r="V252" s="48"/>
      <c r="X252" s="48"/>
      <c r="Z252" s="48"/>
      <c r="AB252" s="48"/>
      <c r="AC252" s="22"/>
      <c r="AD252" s="50">
        <f t="shared" si="1"/>
        <v>2367.9</v>
      </c>
      <c r="AE252" s="51">
        <f t="shared" si="2"/>
        <v>90</v>
      </c>
      <c r="AF252" s="51">
        <f t="shared" si="3"/>
        <v>0</v>
      </c>
      <c r="AG252" s="51">
        <f t="shared" si="4"/>
        <v>90</v>
      </c>
      <c r="AH252" s="123">
        <f t="shared" si="5"/>
        <v>26.31</v>
      </c>
    </row>
    <row r="253" ht="15.75" customHeight="1">
      <c r="A253" s="120" t="s">
        <v>27</v>
      </c>
      <c r="B253" s="121">
        <f t="shared" si="6"/>
        <v>45906</v>
      </c>
      <c r="C253" s="51">
        <v>9.0</v>
      </c>
      <c r="D253" s="51" t="s">
        <v>31</v>
      </c>
      <c r="E253" s="122" t="s">
        <v>34</v>
      </c>
      <c r="F253" s="46">
        <v>0.0</v>
      </c>
      <c r="H253" s="47">
        <v>45.0</v>
      </c>
      <c r="J253" s="47">
        <v>45.0</v>
      </c>
      <c r="L253" s="47">
        <v>0.0</v>
      </c>
      <c r="N253" s="47">
        <v>0.0</v>
      </c>
      <c r="P253" s="47">
        <v>0.0</v>
      </c>
      <c r="Q253" s="22"/>
      <c r="R253" s="49"/>
      <c r="T253" s="48"/>
      <c r="V253" s="48"/>
      <c r="X253" s="48"/>
      <c r="Z253" s="48"/>
      <c r="AB253" s="48"/>
      <c r="AC253" s="22"/>
      <c r="AD253" s="50">
        <f t="shared" si="1"/>
        <v>2367.9</v>
      </c>
      <c r="AE253" s="51">
        <f t="shared" si="2"/>
        <v>90</v>
      </c>
      <c r="AF253" s="51">
        <f t="shared" si="3"/>
        <v>0</v>
      </c>
      <c r="AG253" s="51">
        <f t="shared" si="4"/>
        <v>90</v>
      </c>
      <c r="AH253" s="123">
        <f t="shared" si="5"/>
        <v>26.31</v>
      </c>
    </row>
    <row r="254" ht="15.75" customHeight="1">
      <c r="A254" s="128" t="s">
        <v>28</v>
      </c>
      <c r="B254" s="129">
        <f t="shared" si="6"/>
        <v>45907</v>
      </c>
      <c r="C254" s="130">
        <v>9.0</v>
      </c>
      <c r="D254" s="130" t="s">
        <v>31</v>
      </c>
      <c r="E254" s="131" t="s">
        <v>32</v>
      </c>
      <c r="F254" s="132">
        <v>0.0</v>
      </c>
      <c r="G254" s="35"/>
      <c r="H254" s="133">
        <v>0.0</v>
      </c>
      <c r="I254" s="35"/>
      <c r="J254" s="133">
        <v>0.0</v>
      </c>
      <c r="K254" s="35"/>
      <c r="L254" s="133">
        <v>0.0</v>
      </c>
      <c r="M254" s="35"/>
      <c r="N254" s="133">
        <v>0.0</v>
      </c>
      <c r="O254" s="35"/>
      <c r="P254" s="133">
        <v>0.0</v>
      </c>
      <c r="Q254" s="37"/>
      <c r="R254" s="134"/>
      <c r="S254" s="35"/>
      <c r="T254" s="135"/>
      <c r="U254" s="35"/>
      <c r="V254" s="135"/>
      <c r="W254" s="35"/>
      <c r="X254" s="135"/>
      <c r="Y254" s="35"/>
      <c r="Z254" s="135"/>
      <c r="AA254" s="35"/>
      <c r="AB254" s="135"/>
      <c r="AC254" s="37"/>
      <c r="AD254" s="136">
        <f t="shared" si="1"/>
        <v>0</v>
      </c>
      <c r="AE254" s="130">
        <f t="shared" si="2"/>
        <v>0</v>
      </c>
      <c r="AF254" s="130">
        <f t="shared" si="3"/>
        <v>0</v>
      </c>
      <c r="AG254" s="130">
        <f t="shared" si="4"/>
        <v>0</v>
      </c>
      <c r="AH254" s="137" t="str">
        <f t="shared" si="5"/>
        <v/>
      </c>
    </row>
    <row r="255" ht="15.75" customHeight="1">
      <c r="A255" s="116" t="s">
        <v>21</v>
      </c>
      <c r="B255" s="117">
        <f t="shared" si="6"/>
        <v>45908</v>
      </c>
      <c r="C255" s="87">
        <v>10.0</v>
      </c>
      <c r="D255" s="87" t="s">
        <v>22</v>
      </c>
      <c r="E255" s="118" t="s">
        <v>33</v>
      </c>
      <c r="F255" s="46">
        <v>0.0</v>
      </c>
      <c r="H255" s="47">
        <v>0.0</v>
      </c>
      <c r="J255" s="47">
        <v>0.0</v>
      </c>
      <c r="L255" s="47">
        <v>0.0</v>
      </c>
      <c r="N255" s="47">
        <v>0.0</v>
      </c>
      <c r="P255" s="47">
        <v>0.0</v>
      </c>
      <c r="Q255" s="22"/>
      <c r="R255" s="49"/>
      <c r="T255" s="48"/>
      <c r="V255" s="48"/>
      <c r="X255" s="48"/>
      <c r="Z255" s="48"/>
      <c r="AB255" s="48"/>
      <c r="AC255" s="22"/>
      <c r="AD255" s="86">
        <f t="shared" si="1"/>
        <v>0</v>
      </c>
      <c r="AE255" s="87">
        <f t="shared" si="2"/>
        <v>0</v>
      </c>
      <c r="AF255" s="87">
        <f t="shared" si="3"/>
        <v>0</v>
      </c>
      <c r="AG255" s="87">
        <f t="shared" si="4"/>
        <v>0</v>
      </c>
      <c r="AH255" s="119" t="str">
        <f t="shared" si="5"/>
        <v/>
      </c>
    </row>
    <row r="256" ht="15.75" customHeight="1">
      <c r="A256" s="120" t="s">
        <v>23</v>
      </c>
      <c r="B256" s="121">
        <f t="shared" si="6"/>
        <v>45909</v>
      </c>
      <c r="C256" s="51">
        <v>10.0</v>
      </c>
      <c r="D256" s="51" t="s">
        <v>22</v>
      </c>
      <c r="E256" s="122" t="s">
        <v>33</v>
      </c>
      <c r="F256" s="46">
        <v>0.0</v>
      </c>
      <c r="H256" s="47">
        <v>0.0</v>
      </c>
      <c r="J256" s="47">
        <v>0.0</v>
      </c>
      <c r="L256" s="47">
        <v>0.0</v>
      </c>
      <c r="N256" s="47">
        <v>0.0</v>
      </c>
      <c r="P256" s="47">
        <v>0.0</v>
      </c>
      <c r="Q256" s="22"/>
      <c r="R256" s="49"/>
      <c r="T256" s="48"/>
      <c r="V256" s="48"/>
      <c r="X256" s="48"/>
      <c r="Z256" s="48"/>
      <c r="AB256" s="48"/>
      <c r="AC256" s="22"/>
      <c r="AD256" s="50">
        <f t="shared" si="1"/>
        <v>0</v>
      </c>
      <c r="AE256" s="51">
        <f t="shared" si="2"/>
        <v>0</v>
      </c>
      <c r="AF256" s="51">
        <f t="shared" si="3"/>
        <v>0</v>
      </c>
      <c r="AG256" s="51">
        <f t="shared" si="4"/>
        <v>0</v>
      </c>
      <c r="AH256" s="123" t="str">
        <f t="shared" si="5"/>
        <v/>
      </c>
    </row>
    <row r="257" ht="15.75" customHeight="1">
      <c r="A257" s="120" t="s">
        <v>24</v>
      </c>
      <c r="B257" s="121">
        <f t="shared" si="6"/>
        <v>45910</v>
      </c>
      <c r="C257" s="51">
        <v>10.0</v>
      </c>
      <c r="D257" s="51" t="s">
        <v>22</v>
      </c>
      <c r="E257" s="122" t="s">
        <v>33</v>
      </c>
      <c r="F257" s="46">
        <v>0.0</v>
      </c>
      <c r="H257" s="47">
        <v>0.0</v>
      </c>
      <c r="J257" s="47">
        <v>0.0</v>
      </c>
      <c r="L257" s="47">
        <v>0.0</v>
      </c>
      <c r="N257" s="47">
        <v>0.0</v>
      </c>
      <c r="P257" s="47">
        <v>0.0</v>
      </c>
      <c r="Q257" s="22"/>
      <c r="R257" s="49"/>
      <c r="T257" s="48"/>
      <c r="V257" s="48"/>
      <c r="X257" s="48"/>
      <c r="Z257" s="48"/>
      <c r="AB257" s="48"/>
      <c r="AC257" s="22"/>
      <c r="AD257" s="50">
        <f t="shared" si="1"/>
        <v>0</v>
      </c>
      <c r="AE257" s="51">
        <f t="shared" si="2"/>
        <v>0</v>
      </c>
      <c r="AF257" s="51">
        <f t="shared" si="3"/>
        <v>0</v>
      </c>
      <c r="AG257" s="51">
        <f t="shared" si="4"/>
        <v>0</v>
      </c>
      <c r="AH257" s="123" t="str">
        <f t="shared" si="5"/>
        <v/>
      </c>
    </row>
    <row r="258" ht="15.75" customHeight="1">
      <c r="A258" s="120" t="s">
        <v>25</v>
      </c>
      <c r="B258" s="121">
        <f t="shared" si="6"/>
        <v>45911</v>
      </c>
      <c r="C258" s="51">
        <v>10.0</v>
      </c>
      <c r="D258" s="51" t="s">
        <v>22</v>
      </c>
      <c r="E258" s="122" t="s">
        <v>33</v>
      </c>
      <c r="F258" s="46">
        <v>0.0</v>
      </c>
      <c r="H258" s="47">
        <v>0.0</v>
      </c>
      <c r="J258" s="47">
        <v>0.0</v>
      </c>
      <c r="L258" s="47">
        <v>0.0</v>
      </c>
      <c r="N258" s="47">
        <v>0.0</v>
      </c>
      <c r="P258" s="47">
        <v>0.0</v>
      </c>
      <c r="Q258" s="22"/>
      <c r="R258" s="49"/>
      <c r="T258" s="48"/>
      <c r="V258" s="48"/>
      <c r="X258" s="48"/>
      <c r="Z258" s="48"/>
      <c r="AB258" s="48"/>
      <c r="AC258" s="22"/>
      <c r="AD258" s="50">
        <f t="shared" si="1"/>
        <v>0</v>
      </c>
      <c r="AE258" s="51">
        <f t="shared" si="2"/>
        <v>0</v>
      </c>
      <c r="AF258" s="51">
        <f t="shared" si="3"/>
        <v>0</v>
      </c>
      <c r="AG258" s="51">
        <f t="shared" si="4"/>
        <v>0</v>
      </c>
      <c r="AH258" s="123" t="str">
        <f t="shared" si="5"/>
        <v/>
      </c>
    </row>
    <row r="259" ht="15.75" customHeight="1">
      <c r="A259" s="120" t="s">
        <v>26</v>
      </c>
      <c r="B259" s="121">
        <f t="shared" si="6"/>
        <v>45912</v>
      </c>
      <c r="C259" s="51">
        <v>10.0</v>
      </c>
      <c r="D259" s="51" t="s">
        <v>22</v>
      </c>
      <c r="E259" s="122" t="s">
        <v>33</v>
      </c>
      <c r="F259" s="46">
        <v>0.0</v>
      </c>
      <c r="H259" s="47">
        <v>0.0</v>
      </c>
      <c r="J259" s="47">
        <v>0.0</v>
      </c>
      <c r="L259" s="47">
        <v>0.0</v>
      </c>
      <c r="N259" s="47">
        <v>0.0</v>
      </c>
      <c r="P259" s="47">
        <v>0.0</v>
      </c>
      <c r="Q259" s="22"/>
      <c r="R259" s="49"/>
      <c r="T259" s="48"/>
      <c r="V259" s="48"/>
      <c r="X259" s="48"/>
      <c r="Z259" s="48"/>
      <c r="AB259" s="48"/>
      <c r="AC259" s="22"/>
      <c r="AD259" s="50">
        <f t="shared" si="1"/>
        <v>0</v>
      </c>
      <c r="AE259" s="51">
        <f t="shared" si="2"/>
        <v>0</v>
      </c>
      <c r="AF259" s="51">
        <f t="shared" si="3"/>
        <v>0</v>
      </c>
      <c r="AG259" s="51">
        <f t="shared" si="4"/>
        <v>0</v>
      </c>
      <c r="AH259" s="123" t="str">
        <f t="shared" si="5"/>
        <v/>
      </c>
    </row>
    <row r="260" ht="15.75" customHeight="1">
      <c r="A260" s="120" t="s">
        <v>27</v>
      </c>
      <c r="B260" s="121">
        <f t="shared" si="6"/>
        <v>45913</v>
      </c>
      <c r="C260" s="51">
        <v>10.0</v>
      </c>
      <c r="D260" s="51" t="s">
        <v>22</v>
      </c>
      <c r="E260" s="122" t="s">
        <v>33</v>
      </c>
      <c r="F260" s="46">
        <v>0.0</v>
      </c>
      <c r="H260" s="47">
        <v>0.0</v>
      </c>
      <c r="J260" s="47">
        <v>0.0</v>
      </c>
      <c r="L260" s="47">
        <v>0.0</v>
      </c>
      <c r="N260" s="47">
        <v>0.0</v>
      </c>
      <c r="P260" s="47">
        <v>0.0</v>
      </c>
      <c r="Q260" s="22"/>
      <c r="R260" s="49"/>
      <c r="T260" s="48"/>
      <c r="V260" s="48"/>
      <c r="X260" s="48"/>
      <c r="Z260" s="48"/>
      <c r="AB260" s="48"/>
      <c r="AC260" s="22"/>
      <c r="AD260" s="50">
        <f t="shared" si="1"/>
        <v>0</v>
      </c>
      <c r="AE260" s="51">
        <f t="shared" si="2"/>
        <v>0</v>
      </c>
      <c r="AF260" s="51">
        <f t="shared" si="3"/>
        <v>0</v>
      </c>
      <c r="AG260" s="51">
        <f t="shared" si="4"/>
        <v>0</v>
      </c>
      <c r="AH260" s="123" t="str">
        <f t="shared" si="5"/>
        <v/>
      </c>
    </row>
    <row r="261" ht="15.75" customHeight="1">
      <c r="A261" s="124" t="s">
        <v>28</v>
      </c>
      <c r="B261" s="125">
        <f t="shared" si="6"/>
        <v>45914</v>
      </c>
      <c r="C261" s="57">
        <v>10.0</v>
      </c>
      <c r="D261" s="57" t="s">
        <v>22</v>
      </c>
      <c r="E261" s="126" t="s">
        <v>33</v>
      </c>
      <c r="F261" s="53">
        <v>0.0</v>
      </c>
      <c r="G261" s="35"/>
      <c r="H261" s="53">
        <v>0.0</v>
      </c>
      <c r="I261" s="35"/>
      <c r="J261" s="53">
        <v>0.0</v>
      </c>
      <c r="K261" s="35"/>
      <c r="L261" s="53">
        <v>0.0</v>
      </c>
      <c r="M261" s="35"/>
      <c r="N261" s="53">
        <v>0.0</v>
      </c>
      <c r="O261" s="35"/>
      <c r="P261" s="53">
        <v>0.0</v>
      </c>
      <c r="Q261" s="37"/>
      <c r="R261" s="55"/>
      <c r="S261" s="35"/>
      <c r="T261" s="54"/>
      <c r="U261" s="35"/>
      <c r="V261" s="54"/>
      <c r="W261" s="35"/>
      <c r="X261" s="54"/>
      <c r="Y261" s="35"/>
      <c r="Z261" s="54"/>
      <c r="AA261" s="35"/>
      <c r="AB261" s="54"/>
      <c r="AC261" s="37"/>
      <c r="AD261" s="56">
        <f t="shared" si="1"/>
        <v>0</v>
      </c>
      <c r="AE261" s="57">
        <f t="shared" si="2"/>
        <v>0</v>
      </c>
      <c r="AF261" s="57">
        <f t="shared" si="3"/>
        <v>0</v>
      </c>
      <c r="AG261" s="57">
        <f t="shared" si="4"/>
        <v>0</v>
      </c>
      <c r="AH261" s="127" t="str">
        <f t="shared" si="5"/>
        <v/>
      </c>
    </row>
    <row r="262" ht="15.75" customHeight="1">
      <c r="A262" s="116" t="s">
        <v>21</v>
      </c>
      <c r="B262" s="117">
        <f t="shared" si="6"/>
        <v>45915</v>
      </c>
      <c r="C262" s="87">
        <v>10.0</v>
      </c>
      <c r="D262" s="87" t="s">
        <v>29</v>
      </c>
      <c r="E262" s="118" t="s">
        <v>33</v>
      </c>
      <c r="F262" s="46">
        <v>0.0</v>
      </c>
      <c r="H262" s="47">
        <v>0.0</v>
      </c>
      <c r="J262" s="47">
        <v>0.0</v>
      </c>
      <c r="L262" s="47">
        <v>0.0</v>
      </c>
      <c r="N262" s="47">
        <v>0.0</v>
      </c>
      <c r="P262" s="47">
        <v>0.0</v>
      </c>
      <c r="Q262" s="22"/>
      <c r="R262" s="49"/>
      <c r="T262" s="48"/>
      <c r="V262" s="48"/>
      <c r="X262" s="48"/>
      <c r="Z262" s="48"/>
      <c r="AB262" s="48"/>
      <c r="AC262" s="22"/>
      <c r="AD262" s="86">
        <f t="shared" si="1"/>
        <v>0</v>
      </c>
      <c r="AE262" s="87">
        <f t="shared" si="2"/>
        <v>0</v>
      </c>
      <c r="AF262" s="87">
        <f t="shared" si="3"/>
        <v>0</v>
      </c>
      <c r="AG262" s="87">
        <f t="shared" si="4"/>
        <v>0</v>
      </c>
      <c r="AH262" s="119" t="str">
        <f t="shared" si="5"/>
        <v/>
      </c>
    </row>
    <row r="263" ht="15.75" customHeight="1">
      <c r="A263" s="120" t="s">
        <v>23</v>
      </c>
      <c r="B263" s="121">
        <f t="shared" si="6"/>
        <v>45916</v>
      </c>
      <c r="C263" s="51">
        <v>10.0</v>
      </c>
      <c r="D263" s="51" t="s">
        <v>29</v>
      </c>
      <c r="E263" s="122" t="s">
        <v>34</v>
      </c>
      <c r="F263" s="46">
        <v>0.0</v>
      </c>
      <c r="H263" s="47">
        <v>45.0</v>
      </c>
      <c r="J263" s="47">
        <v>45.0</v>
      </c>
      <c r="L263" s="47">
        <v>0.0</v>
      </c>
      <c r="N263" s="47">
        <v>0.0</v>
      </c>
      <c r="P263" s="47">
        <v>0.0</v>
      </c>
      <c r="Q263" s="22"/>
      <c r="R263" s="49"/>
      <c r="T263" s="48"/>
      <c r="V263" s="48"/>
      <c r="X263" s="48"/>
      <c r="Z263" s="48"/>
      <c r="AB263" s="48"/>
      <c r="AC263" s="22"/>
      <c r="AD263" s="50">
        <f t="shared" si="1"/>
        <v>2367.9</v>
      </c>
      <c r="AE263" s="51">
        <f t="shared" si="2"/>
        <v>90</v>
      </c>
      <c r="AF263" s="51">
        <f t="shared" si="3"/>
        <v>0</v>
      </c>
      <c r="AG263" s="51">
        <f t="shared" si="4"/>
        <v>90</v>
      </c>
      <c r="AH263" s="123">
        <f t="shared" si="5"/>
        <v>26.31</v>
      </c>
    </row>
    <row r="264" ht="15.75" customHeight="1">
      <c r="A264" s="120" t="s">
        <v>24</v>
      </c>
      <c r="B264" s="121">
        <f t="shared" si="6"/>
        <v>45917</v>
      </c>
      <c r="C264" s="51">
        <v>10.0</v>
      </c>
      <c r="D264" s="51" t="s">
        <v>29</v>
      </c>
      <c r="E264" s="122" t="s">
        <v>32</v>
      </c>
      <c r="F264" s="46">
        <v>45.0</v>
      </c>
      <c r="H264" s="47">
        <v>45.0</v>
      </c>
      <c r="J264" s="47">
        <v>0.0</v>
      </c>
      <c r="L264" s="47">
        <v>0.0</v>
      </c>
      <c r="N264" s="47">
        <v>0.0</v>
      </c>
      <c r="P264" s="47">
        <v>0.0</v>
      </c>
      <c r="Q264" s="22"/>
      <c r="R264" s="49"/>
      <c r="T264" s="48"/>
      <c r="V264" s="48"/>
      <c r="X264" s="48"/>
      <c r="Z264" s="48"/>
      <c r="AB264" s="48"/>
      <c r="AC264" s="22"/>
      <c r="AD264" s="50">
        <f t="shared" si="1"/>
        <v>2367.9</v>
      </c>
      <c r="AE264" s="51">
        <f t="shared" si="2"/>
        <v>90</v>
      </c>
      <c r="AF264" s="51">
        <f t="shared" si="3"/>
        <v>0</v>
      </c>
      <c r="AG264" s="51">
        <f t="shared" si="4"/>
        <v>90</v>
      </c>
      <c r="AH264" s="123">
        <f t="shared" si="5"/>
        <v>26.31</v>
      </c>
    </row>
    <row r="265" ht="15.75" customHeight="1">
      <c r="A265" s="120" t="s">
        <v>25</v>
      </c>
      <c r="B265" s="121">
        <f t="shared" si="6"/>
        <v>45918</v>
      </c>
      <c r="C265" s="51">
        <v>10.0</v>
      </c>
      <c r="D265" s="51" t="s">
        <v>29</v>
      </c>
      <c r="E265" s="122" t="s">
        <v>34</v>
      </c>
      <c r="F265" s="46">
        <v>0.0</v>
      </c>
      <c r="H265" s="47">
        <v>45.0</v>
      </c>
      <c r="J265" s="47">
        <v>45.0</v>
      </c>
      <c r="L265" s="47">
        <v>0.0</v>
      </c>
      <c r="N265" s="47">
        <v>0.0</v>
      </c>
      <c r="P265" s="47">
        <v>0.0</v>
      </c>
      <c r="Q265" s="22"/>
      <c r="R265" s="49"/>
      <c r="T265" s="48"/>
      <c r="V265" s="48"/>
      <c r="X265" s="48"/>
      <c r="Z265" s="48"/>
      <c r="AB265" s="48"/>
      <c r="AC265" s="22"/>
      <c r="AD265" s="50">
        <f t="shared" si="1"/>
        <v>2367.9</v>
      </c>
      <c r="AE265" s="51">
        <f t="shared" si="2"/>
        <v>90</v>
      </c>
      <c r="AF265" s="51">
        <f t="shared" si="3"/>
        <v>0</v>
      </c>
      <c r="AG265" s="51">
        <f t="shared" si="4"/>
        <v>90</v>
      </c>
      <c r="AH265" s="123">
        <f t="shared" si="5"/>
        <v>26.31</v>
      </c>
    </row>
    <row r="266" ht="15.75" customHeight="1">
      <c r="A266" s="120" t="s">
        <v>26</v>
      </c>
      <c r="B266" s="121">
        <f t="shared" si="6"/>
        <v>45919</v>
      </c>
      <c r="C266" s="51">
        <v>10.0</v>
      </c>
      <c r="D266" s="51" t="s">
        <v>29</v>
      </c>
      <c r="E266" s="122" t="s">
        <v>34</v>
      </c>
      <c r="F266" s="46">
        <v>0.0</v>
      </c>
      <c r="H266" s="47">
        <v>45.0</v>
      </c>
      <c r="J266" s="47">
        <v>45.0</v>
      </c>
      <c r="L266" s="47">
        <v>0.0</v>
      </c>
      <c r="N266" s="47">
        <v>0.0</v>
      </c>
      <c r="P266" s="47">
        <v>0.0</v>
      </c>
      <c r="Q266" s="22"/>
      <c r="R266" s="49"/>
      <c r="T266" s="48"/>
      <c r="V266" s="48"/>
      <c r="X266" s="48"/>
      <c r="Z266" s="48"/>
      <c r="AB266" s="48"/>
      <c r="AC266" s="22"/>
      <c r="AD266" s="50">
        <f t="shared" si="1"/>
        <v>2367.9</v>
      </c>
      <c r="AE266" s="51">
        <f t="shared" si="2"/>
        <v>90</v>
      </c>
      <c r="AF266" s="51">
        <f t="shared" si="3"/>
        <v>0</v>
      </c>
      <c r="AG266" s="51">
        <f t="shared" si="4"/>
        <v>90</v>
      </c>
      <c r="AH266" s="123">
        <f t="shared" si="5"/>
        <v>26.31</v>
      </c>
    </row>
    <row r="267" ht="15.75" customHeight="1">
      <c r="A267" s="120" t="s">
        <v>27</v>
      </c>
      <c r="B267" s="121">
        <f t="shared" si="6"/>
        <v>45920</v>
      </c>
      <c r="C267" s="51">
        <v>10.0</v>
      </c>
      <c r="D267" s="51" t="s">
        <v>29</v>
      </c>
      <c r="E267" s="122" t="s">
        <v>34</v>
      </c>
      <c r="F267" s="46">
        <v>0.0</v>
      </c>
      <c r="H267" s="47">
        <v>45.0</v>
      </c>
      <c r="J267" s="47">
        <v>45.0</v>
      </c>
      <c r="L267" s="47">
        <v>0.0</v>
      </c>
      <c r="N267" s="47">
        <v>0.0</v>
      </c>
      <c r="P267" s="47">
        <v>0.0</v>
      </c>
      <c r="Q267" s="22"/>
      <c r="R267" s="49"/>
      <c r="T267" s="48"/>
      <c r="V267" s="48"/>
      <c r="X267" s="48"/>
      <c r="Z267" s="48"/>
      <c r="AB267" s="48"/>
      <c r="AC267" s="22"/>
      <c r="AD267" s="50">
        <f t="shared" si="1"/>
        <v>2367.9</v>
      </c>
      <c r="AE267" s="51">
        <f t="shared" si="2"/>
        <v>90</v>
      </c>
      <c r="AF267" s="51">
        <f t="shared" si="3"/>
        <v>0</v>
      </c>
      <c r="AG267" s="51">
        <f t="shared" si="4"/>
        <v>90</v>
      </c>
      <c r="AH267" s="123">
        <f t="shared" si="5"/>
        <v>26.31</v>
      </c>
    </row>
    <row r="268" ht="15.75" customHeight="1">
      <c r="A268" s="128" t="s">
        <v>28</v>
      </c>
      <c r="B268" s="129">
        <f t="shared" si="6"/>
        <v>45921</v>
      </c>
      <c r="C268" s="130">
        <v>10.0</v>
      </c>
      <c r="D268" s="130" t="s">
        <v>29</v>
      </c>
      <c r="E268" s="131" t="s">
        <v>32</v>
      </c>
      <c r="F268" s="132">
        <v>0.0</v>
      </c>
      <c r="G268" s="35"/>
      <c r="H268" s="133">
        <v>0.0</v>
      </c>
      <c r="I268" s="35"/>
      <c r="J268" s="133">
        <v>0.0</v>
      </c>
      <c r="K268" s="35"/>
      <c r="L268" s="133">
        <v>0.0</v>
      </c>
      <c r="M268" s="35"/>
      <c r="N268" s="133">
        <v>0.0</v>
      </c>
      <c r="O268" s="35"/>
      <c r="P268" s="133">
        <v>0.0</v>
      </c>
      <c r="Q268" s="37"/>
      <c r="R268" s="134"/>
      <c r="S268" s="35"/>
      <c r="T268" s="135"/>
      <c r="U268" s="35"/>
      <c r="V268" s="135"/>
      <c r="W268" s="35"/>
      <c r="X268" s="135"/>
      <c r="Y268" s="35"/>
      <c r="Z268" s="135"/>
      <c r="AA268" s="35"/>
      <c r="AB268" s="135"/>
      <c r="AC268" s="37"/>
      <c r="AD268" s="136">
        <f t="shared" si="1"/>
        <v>0</v>
      </c>
      <c r="AE268" s="130">
        <f t="shared" si="2"/>
        <v>0</v>
      </c>
      <c r="AF268" s="130">
        <f t="shared" si="3"/>
        <v>0</v>
      </c>
      <c r="AG268" s="130">
        <f t="shared" si="4"/>
        <v>0</v>
      </c>
      <c r="AH268" s="137" t="str">
        <f t="shared" si="5"/>
        <v/>
      </c>
    </row>
    <row r="269" ht="15.75" customHeight="1">
      <c r="A269" s="116" t="s">
        <v>21</v>
      </c>
      <c r="B269" s="117">
        <f t="shared" si="6"/>
        <v>45922</v>
      </c>
      <c r="C269" s="87">
        <v>10.0</v>
      </c>
      <c r="D269" s="87" t="s">
        <v>30</v>
      </c>
      <c r="E269" s="118" t="s">
        <v>33</v>
      </c>
      <c r="F269" s="46">
        <v>0.0</v>
      </c>
      <c r="H269" s="47">
        <v>0.0</v>
      </c>
      <c r="J269" s="47">
        <v>0.0</v>
      </c>
      <c r="L269" s="47">
        <v>0.0</v>
      </c>
      <c r="N269" s="47">
        <v>0.0</v>
      </c>
      <c r="P269" s="47">
        <v>0.0</v>
      </c>
      <c r="Q269" s="22"/>
      <c r="R269" s="49"/>
      <c r="T269" s="48"/>
      <c r="V269" s="48"/>
      <c r="X269" s="48"/>
      <c r="Z269" s="48"/>
      <c r="AB269" s="48"/>
      <c r="AC269" s="22"/>
      <c r="AD269" s="86">
        <f t="shared" si="1"/>
        <v>0</v>
      </c>
      <c r="AE269" s="87">
        <f t="shared" si="2"/>
        <v>0</v>
      </c>
      <c r="AF269" s="87">
        <f t="shared" si="3"/>
        <v>0</v>
      </c>
      <c r="AG269" s="87">
        <f t="shared" si="4"/>
        <v>0</v>
      </c>
      <c r="AH269" s="119" t="str">
        <f t="shared" si="5"/>
        <v/>
      </c>
    </row>
    <row r="270" ht="15.75" customHeight="1">
      <c r="A270" s="120" t="s">
        <v>23</v>
      </c>
      <c r="B270" s="121">
        <f t="shared" si="6"/>
        <v>45923</v>
      </c>
      <c r="C270" s="51">
        <v>10.0</v>
      </c>
      <c r="D270" s="51" t="s">
        <v>30</v>
      </c>
      <c r="E270" s="122" t="s">
        <v>33</v>
      </c>
      <c r="F270" s="46">
        <v>0.0</v>
      </c>
      <c r="H270" s="47">
        <v>0.0</v>
      </c>
      <c r="J270" s="47">
        <v>0.0</v>
      </c>
      <c r="L270" s="47">
        <v>0.0</v>
      </c>
      <c r="N270" s="47">
        <v>0.0</v>
      </c>
      <c r="P270" s="47">
        <v>0.0</v>
      </c>
      <c r="Q270" s="22"/>
      <c r="R270" s="49"/>
      <c r="T270" s="48"/>
      <c r="V270" s="48"/>
      <c r="X270" s="48"/>
      <c r="Z270" s="48"/>
      <c r="AB270" s="48"/>
      <c r="AC270" s="22"/>
      <c r="AD270" s="50">
        <f t="shared" si="1"/>
        <v>0</v>
      </c>
      <c r="AE270" s="51">
        <f t="shared" si="2"/>
        <v>0</v>
      </c>
      <c r="AF270" s="51">
        <f t="shared" si="3"/>
        <v>0</v>
      </c>
      <c r="AG270" s="51">
        <f t="shared" si="4"/>
        <v>0</v>
      </c>
      <c r="AH270" s="123" t="str">
        <f t="shared" si="5"/>
        <v/>
      </c>
    </row>
    <row r="271" ht="15.75" customHeight="1">
      <c r="A271" s="120" t="s">
        <v>24</v>
      </c>
      <c r="B271" s="121">
        <f t="shared" si="6"/>
        <v>45924</v>
      </c>
      <c r="C271" s="51">
        <v>10.0</v>
      </c>
      <c r="D271" s="51" t="s">
        <v>30</v>
      </c>
      <c r="E271" s="122" t="s">
        <v>33</v>
      </c>
      <c r="F271" s="46">
        <v>0.0</v>
      </c>
      <c r="H271" s="47">
        <v>0.0</v>
      </c>
      <c r="J271" s="47">
        <v>0.0</v>
      </c>
      <c r="L271" s="47">
        <v>0.0</v>
      </c>
      <c r="N271" s="47">
        <v>0.0</v>
      </c>
      <c r="P271" s="47">
        <v>0.0</v>
      </c>
      <c r="Q271" s="22"/>
      <c r="R271" s="49"/>
      <c r="T271" s="48"/>
      <c r="V271" s="48"/>
      <c r="X271" s="48"/>
      <c r="Z271" s="48"/>
      <c r="AB271" s="48"/>
      <c r="AC271" s="22"/>
      <c r="AD271" s="50">
        <f t="shared" si="1"/>
        <v>0</v>
      </c>
      <c r="AE271" s="51">
        <f t="shared" si="2"/>
        <v>0</v>
      </c>
      <c r="AF271" s="51">
        <f t="shared" si="3"/>
        <v>0</v>
      </c>
      <c r="AG271" s="51">
        <f t="shared" si="4"/>
        <v>0</v>
      </c>
      <c r="AH271" s="123" t="str">
        <f t="shared" si="5"/>
        <v/>
      </c>
    </row>
    <row r="272" ht="15.75" customHeight="1">
      <c r="A272" s="120" t="s">
        <v>25</v>
      </c>
      <c r="B272" s="121">
        <f t="shared" si="6"/>
        <v>45925</v>
      </c>
      <c r="C272" s="51">
        <v>10.0</v>
      </c>
      <c r="D272" s="51" t="s">
        <v>30</v>
      </c>
      <c r="E272" s="122" t="s">
        <v>33</v>
      </c>
      <c r="F272" s="46">
        <v>0.0</v>
      </c>
      <c r="H272" s="47">
        <v>0.0</v>
      </c>
      <c r="J272" s="47">
        <v>0.0</v>
      </c>
      <c r="L272" s="47">
        <v>0.0</v>
      </c>
      <c r="N272" s="47">
        <v>0.0</v>
      </c>
      <c r="P272" s="47">
        <v>0.0</v>
      </c>
      <c r="Q272" s="22"/>
      <c r="R272" s="49"/>
      <c r="T272" s="48"/>
      <c r="V272" s="48"/>
      <c r="X272" s="48"/>
      <c r="Z272" s="48"/>
      <c r="AB272" s="48"/>
      <c r="AC272" s="22"/>
      <c r="AD272" s="50">
        <f t="shared" si="1"/>
        <v>0</v>
      </c>
      <c r="AE272" s="51">
        <f t="shared" si="2"/>
        <v>0</v>
      </c>
      <c r="AF272" s="51">
        <f t="shared" si="3"/>
        <v>0</v>
      </c>
      <c r="AG272" s="51">
        <f t="shared" si="4"/>
        <v>0</v>
      </c>
      <c r="AH272" s="123" t="str">
        <f t="shared" si="5"/>
        <v/>
      </c>
    </row>
    <row r="273" ht="15.75" customHeight="1">
      <c r="A273" s="120" t="s">
        <v>26</v>
      </c>
      <c r="B273" s="121">
        <f t="shared" si="6"/>
        <v>45926</v>
      </c>
      <c r="C273" s="51">
        <v>10.0</v>
      </c>
      <c r="D273" s="51" t="s">
        <v>30</v>
      </c>
      <c r="E273" s="122" t="s">
        <v>33</v>
      </c>
      <c r="F273" s="46">
        <v>0.0</v>
      </c>
      <c r="H273" s="47">
        <v>0.0</v>
      </c>
      <c r="J273" s="47">
        <v>0.0</v>
      </c>
      <c r="L273" s="47">
        <v>0.0</v>
      </c>
      <c r="N273" s="47">
        <v>0.0</v>
      </c>
      <c r="P273" s="47">
        <v>0.0</v>
      </c>
      <c r="Q273" s="22"/>
      <c r="R273" s="49"/>
      <c r="T273" s="48"/>
      <c r="V273" s="48"/>
      <c r="X273" s="48"/>
      <c r="Z273" s="48"/>
      <c r="AB273" s="48"/>
      <c r="AC273" s="22"/>
      <c r="AD273" s="50">
        <f t="shared" si="1"/>
        <v>0</v>
      </c>
      <c r="AE273" s="51">
        <f t="shared" si="2"/>
        <v>0</v>
      </c>
      <c r="AF273" s="51">
        <f t="shared" si="3"/>
        <v>0</v>
      </c>
      <c r="AG273" s="51">
        <f t="shared" si="4"/>
        <v>0</v>
      </c>
      <c r="AH273" s="123" t="str">
        <f t="shared" si="5"/>
        <v/>
      </c>
    </row>
    <row r="274" ht="15.75" customHeight="1">
      <c r="A274" s="120" t="s">
        <v>27</v>
      </c>
      <c r="B274" s="121">
        <f t="shared" si="6"/>
        <v>45927</v>
      </c>
      <c r="C274" s="51">
        <v>10.0</v>
      </c>
      <c r="D274" s="51" t="s">
        <v>30</v>
      </c>
      <c r="E274" s="122" t="s">
        <v>33</v>
      </c>
      <c r="F274" s="46">
        <v>0.0</v>
      </c>
      <c r="H274" s="47">
        <v>0.0</v>
      </c>
      <c r="J274" s="47">
        <v>0.0</v>
      </c>
      <c r="L274" s="47">
        <v>0.0</v>
      </c>
      <c r="N274" s="47">
        <v>0.0</v>
      </c>
      <c r="P274" s="47">
        <v>0.0</v>
      </c>
      <c r="Q274" s="22"/>
      <c r="R274" s="49"/>
      <c r="T274" s="48"/>
      <c r="V274" s="48"/>
      <c r="X274" s="48"/>
      <c r="Z274" s="48"/>
      <c r="AB274" s="48"/>
      <c r="AC274" s="22"/>
      <c r="AD274" s="50">
        <f t="shared" si="1"/>
        <v>0</v>
      </c>
      <c r="AE274" s="51">
        <f t="shared" si="2"/>
        <v>0</v>
      </c>
      <c r="AF274" s="51">
        <f t="shared" si="3"/>
        <v>0</v>
      </c>
      <c r="AG274" s="51">
        <f t="shared" si="4"/>
        <v>0</v>
      </c>
      <c r="AH274" s="123" t="str">
        <f t="shared" si="5"/>
        <v/>
      </c>
    </row>
    <row r="275" ht="15.75" customHeight="1">
      <c r="A275" s="124" t="s">
        <v>28</v>
      </c>
      <c r="B275" s="125">
        <f t="shared" si="6"/>
        <v>45928</v>
      </c>
      <c r="C275" s="57">
        <v>10.0</v>
      </c>
      <c r="D275" s="57" t="s">
        <v>30</v>
      </c>
      <c r="E275" s="126" t="s">
        <v>33</v>
      </c>
      <c r="F275" s="53">
        <v>0.0</v>
      </c>
      <c r="G275" s="35"/>
      <c r="H275" s="53">
        <v>0.0</v>
      </c>
      <c r="I275" s="35"/>
      <c r="J275" s="53">
        <v>0.0</v>
      </c>
      <c r="K275" s="35"/>
      <c r="L275" s="53">
        <v>0.0</v>
      </c>
      <c r="M275" s="35"/>
      <c r="N275" s="53">
        <v>0.0</v>
      </c>
      <c r="O275" s="35"/>
      <c r="P275" s="53">
        <v>0.0</v>
      </c>
      <c r="Q275" s="37"/>
      <c r="R275" s="55"/>
      <c r="S275" s="35"/>
      <c r="T275" s="54"/>
      <c r="U275" s="35"/>
      <c r="V275" s="54"/>
      <c r="W275" s="35"/>
      <c r="X275" s="54"/>
      <c r="Y275" s="35"/>
      <c r="Z275" s="54"/>
      <c r="AA275" s="35"/>
      <c r="AB275" s="54"/>
      <c r="AC275" s="37"/>
      <c r="AD275" s="56">
        <f t="shared" si="1"/>
        <v>0</v>
      </c>
      <c r="AE275" s="57">
        <f t="shared" si="2"/>
        <v>0</v>
      </c>
      <c r="AF275" s="57">
        <f t="shared" si="3"/>
        <v>0</v>
      </c>
      <c r="AG275" s="57">
        <f t="shared" si="4"/>
        <v>0</v>
      </c>
      <c r="AH275" s="127" t="str">
        <f t="shared" si="5"/>
        <v/>
      </c>
    </row>
    <row r="276" ht="15.75" customHeight="1">
      <c r="A276" s="16" t="s">
        <v>21</v>
      </c>
      <c r="B276" s="40">
        <f t="shared" si="6"/>
        <v>45929</v>
      </c>
      <c r="C276" s="18">
        <v>10.0</v>
      </c>
      <c r="D276" s="18" t="s">
        <v>31</v>
      </c>
      <c r="E276" s="19"/>
      <c r="F276" s="49"/>
      <c r="H276" s="48"/>
      <c r="J276" s="48"/>
      <c r="L276" s="48"/>
      <c r="N276" s="48"/>
      <c r="P276" s="48"/>
      <c r="Q276" s="22"/>
      <c r="R276" s="49"/>
      <c r="T276" s="48"/>
      <c r="V276" s="48"/>
      <c r="X276" s="48"/>
      <c r="Z276" s="48"/>
      <c r="AB276" s="48"/>
      <c r="AC276" s="22"/>
      <c r="AD276" s="86">
        <f t="shared" si="1"/>
        <v>0</v>
      </c>
      <c r="AE276" s="87">
        <f t="shared" si="2"/>
        <v>0</v>
      </c>
      <c r="AF276" s="18">
        <f t="shared" si="3"/>
        <v>0</v>
      </c>
      <c r="AG276" s="18">
        <f t="shared" si="4"/>
        <v>0</v>
      </c>
      <c r="AH276" s="41" t="str">
        <f t="shared" si="5"/>
        <v/>
      </c>
    </row>
    <row r="277" ht="15.75" customHeight="1">
      <c r="A277" s="25" t="s">
        <v>23</v>
      </c>
      <c r="B277" s="26">
        <f t="shared" si="6"/>
        <v>45930</v>
      </c>
      <c r="C277" s="27">
        <v>10.0</v>
      </c>
      <c r="D277" s="27" t="s">
        <v>31</v>
      </c>
      <c r="E277" s="28"/>
      <c r="F277" s="49"/>
      <c r="H277" s="48"/>
      <c r="J277" s="48"/>
      <c r="L277" s="48"/>
      <c r="N277" s="48"/>
      <c r="P277" s="48"/>
      <c r="Q277" s="22"/>
      <c r="R277" s="49"/>
      <c r="T277" s="48"/>
      <c r="V277" s="48"/>
      <c r="X277" s="48"/>
      <c r="Z277" s="48"/>
      <c r="AB277" s="48"/>
      <c r="AC277" s="22"/>
      <c r="AD277" s="50">
        <f t="shared" si="1"/>
        <v>0</v>
      </c>
      <c r="AE277" s="51">
        <f t="shared" si="2"/>
        <v>0</v>
      </c>
      <c r="AF277" s="27">
        <f t="shared" si="3"/>
        <v>0</v>
      </c>
      <c r="AG277" s="27">
        <f t="shared" si="4"/>
        <v>0</v>
      </c>
      <c r="AH277" s="24" t="str">
        <f t="shared" si="5"/>
        <v/>
      </c>
    </row>
    <row r="278" ht="15.75" customHeight="1">
      <c r="A278" s="25" t="s">
        <v>24</v>
      </c>
      <c r="B278" s="26">
        <f t="shared" si="6"/>
        <v>45931</v>
      </c>
      <c r="C278" s="27">
        <v>10.0</v>
      </c>
      <c r="D278" s="27" t="s">
        <v>31</v>
      </c>
      <c r="E278" s="28"/>
      <c r="F278" s="49"/>
      <c r="H278" s="48"/>
      <c r="J278" s="48"/>
      <c r="L278" s="48"/>
      <c r="N278" s="48"/>
      <c r="P278" s="48"/>
      <c r="Q278" s="22"/>
      <c r="R278" s="49"/>
      <c r="T278" s="48"/>
      <c r="V278" s="48"/>
      <c r="X278" s="48"/>
      <c r="Z278" s="48"/>
      <c r="AB278" s="48"/>
      <c r="AC278" s="22"/>
      <c r="AD278" s="50">
        <f t="shared" si="1"/>
        <v>0</v>
      </c>
      <c r="AE278" s="51">
        <f t="shared" si="2"/>
        <v>0</v>
      </c>
      <c r="AF278" s="27">
        <f t="shared" si="3"/>
        <v>0</v>
      </c>
      <c r="AG278" s="27">
        <f t="shared" si="4"/>
        <v>0</v>
      </c>
      <c r="AH278" s="24" t="str">
        <f t="shared" si="5"/>
        <v/>
      </c>
    </row>
    <row r="279" ht="15.75" customHeight="1">
      <c r="A279" s="25" t="s">
        <v>25</v>
      </c>
      <c r="B279" s="26">
        <f t="shared" si="6"/>
        <v>45932</v>
      </c>
      <c r="C279" s="27">
        <v>10.0</v>
      </c>
      <c r="D279" s="27" t="s">
        <v>31</v>
      </c>
      <c r="E279" s="28"/>
      <c r="F279" s="49"/>
      <c r="H279" s="48"/>
      <c r="J279" s="48"/>
      <c r="L279" s="48"/>
      <c r="N279" s="48"/>
      <c r="P279" s="48"/>
      <c r="Q279" s="22"/>
      <c r="R279" s="49"/>
      <c r="T279" s="48"/>
      <c r="V279" s="48"/>
      <c r="X279" s="48"/>
      <c r="Z279" s="48"/>
      <c r="AB279" s="48"/>
      <c r="AC279" s="22"/>
      <c r="AD279" s="50">
        <f t="shared" si="1"/>
        <v>0</v>
      </c>
      <c r="AE279" s="51">
        <f t="shared" si="2"/>
        <v>0</v>
      </c>
      <c r="AF279" s="27">
        <f t="shared" si="3"/>
        <v>0</v>
      </c>
      <c r="AG279" s="27">
        <f t="shared" si="4"/>
        <v>0</v>
      </c>
      <c r="AH279" s="24" t="str">
        <f t="shared" si="5"/>
        <v/>
      </c>
    </row>
    <row r="280" ht="15.75" customHeight="1">
      <c r="A280" s="25" t="s">
        <v>26</v>
      </c>
      <c r="B280" s="26">
        <f t="shared" si="6"/>
        <v>45933</v>
      </c>
      <c r="C280" s="27">
        <v>10.0</v>
      </c>
      <c r="D280" s="27" t="s">
        <v>31</v>
      </c>
      <c r="E280" s="28"/>
      <c r="F280" s="49"/>
      <c r="H280" s="48"/>
      <c r="J280" s="48"/>
      <c r="L280" s="48"/>
      <c r="N280" s="48"/>
      <c r="P280" s="48"/>
      <c r="Q280" s="22"/>
      <c r="R280" s="49"/>
      <c r="T280" s="48"/>
      <c r="V280" s="48"/>
      <c r="X280" s="48"/>
      <c r="Z280" s="48"/>
      <c r="AB280" s="48"/>
      <c r="AC280" s="22"/>
      <c r="AD280" s="50">
        <f t="shared" si="1"/>
        <v>0</v>
      </c>
      <c r="AE280" s="51">
        <f t="shared" si="2"/>
        <v>0</v>
      </c>
      <c r="AF280" s="27">
        <f t="shared" si="3"/>
        <v>0</v>
      </c>
      <c r="AG280" s="27">
        <f t="shared" si="4"/>
        <v>0</v>
      </c>
      <c r="AH280" s="24" t="str">
        <f t="shared" si="5"/>
        <v/>
      </c>
    </row>
    <row r="281" ht="15.75" customHeight="1">
      <c r="A281" s="25" t="s">
        <v>27</v>
      </c>
      <c r="B281" s="26">
        <f t="shared" si="6"/>
        <v>45934</v>
      </c>
      <c r="C281" s="27">
        <v>10.0</v>
      </c>
      <c r="D281" s="27" t="s">
        <v>31</v>
      </c>
      <c r="E281" s="28"/>
      <c r="F281" s="49"/>
      <c r="H281" s="48"/>
      <c r="J281" s="48"/>
      <c r="L281" s="48"/>
      <c r="N281" s="48"/>
      <c r="P281" s="48"/>
      <c r="Q281" s="22"/>
      <c r="R281" s="49"/>
      <c r="T281" s="48"/>
      <c r="V281" s="48"/>
      <c r="X281" s="48"/>
      <c r="Z281" s="48"/>
      <c r="AB281" s="48"/>
      <c r="AC281" s="22"/>
      <c r="AD281" s="50">
        <f t="shared" si="1"/>
        <v>0</v>
      </c>
      <c r="AE281" s="51">
        <f t="shared" si="2"/>
        <v>0</v>
      </c>
      <c r="AF281" s="27">
        <f t="shared" si="3"/>
        <v>0</v>
      </c>
      <c r="AG281" s="27">
        <f t="shared" si="4"/>
        <v>0</v>
      </c>
      <c r="AH281" s="24" t="str">
        <f t="shared" si="5"/>
        <v/>
      </c>
    </row>
    <row r="282" ht="15.75" customHeight="1">
      <c r="A282" s="30" t="s">
        <v>28</v>
      </c>
      <c r="B282" s="31">
        <f t="shared" si="6"/>
        <v>45935</v>
      </c>
      <c r="C282" s="32">
        <v>10.0</v>
      </c>
      <c r="D282" s="32" t="s">
        <v>31</v>
      </c>
      <c r="E282" s="33"/>
      <c r="F282" s="55"/>
      <c r="G282" s="35"/>
      <c r="H282" s="54"/>
      <c r="I282" s="35"/>
      <c r="J282" s="54"/>
      <c r="K282" s="35"/>
      <c r="L282" s="54"/>
      <c r="M282" s="35"/>
      <c r="N282" s="54"/>
      <c r="O282" s="35"/>
      <c r="P282" s="54"/>
      <c r="Q282" s="37"/>
      <c r="R282" s="55"/>
      <c r="S282" s="35"/>
      <c r="T282" s="54"/>
      <c r="U282" s="35"/>
      <c r="V282" s="54"/>
      <c r="W282" s="35"/>
      <c r="X282" s="54"/>
      <c r="Y282" s="35"/>
      <c r="Z282" s="54"/>
      <c r="AA282" s="35"/>
      <c r="AB282" s="54"/>
      <c r="AC282" s="37"/>
      <c r="AD282" s="56">
        <f t="shared" si="1"/>
        <v>0</v>
      </c>
      <c r="AE282" s="57">
        <f t="shared" si="2"/>
        <v>0</v>
      </c>
      <c r="AF282" s="32">
        <f t="shared" si="3"/>
        <v>0</v>
      </c>
      <c r="AG282" s="32">
        <f t="shared" si="4"/>
        <v>0</v>
      </c>
      <c r="AH282" s="39" t="str">
        <f t="shared" si="5"/>
        <v/>
      </c>
    </row>
    <row r="283" ht="15.75" customHeight="1">
      <c r="A283" s="16" t="s">
        <v>21</v>
      </c>
      <c r="B283" s="40">
        <f t="shared" si="6"/>
        <v>45936</v>
      </c>
      <c r="C283" s="18">
        <v>11.0</v>
      </c>
      <c r="D283" s="18" t="s">
        <v>22</v>
      </c>
      <c r="E283" s="19"/>
      <c r="F283" s="49"/>
      <c r="H283" s="48"/>
      <c r="J283" s="48"/>
      <c r="L283" s="48"/>
      <c r="N283" s="48"/>
      <c r="P283" s="48"/>
      <c r="Q283" s="22"/>
      <c r="R283" s="49"/>
      <c r="T283" s="48"/>
      <c r="V283" s="48"/>
      <c r="X283" s="48"/>
      <c r="Z283" s="48"/>
      <c r="AB283" s="48"/>
      <c r="AC283" s="22"/>
      <c r="AD283" s="86">
        <f t="shared" si="1"/>
        <v>0</v>
      </c>
      <c r="AE283" s="87">
        <f t="shared" si="2"/>
        <v>0</v>
      </c>
      <c r="AF283" s="18">
        <f t="shared" si="3"/>
        <v>0</v>
      </c>
      <c r="AG283" s="18">
        <f t="shared" si="4"/>
        <v>0</v>
      </c>
      <c r="AH283" s="41" t="str">
        <f t="shared" si="5"/>
        <v/>
      </c>
    </row>
    <row r="284" ht="15.75" customHeight="1">
      <c r="A284" s="25" t="s">
        <v>23</v>
      </c>
      <c r="B284" s="26">
        <f t="shared" si="6"/>
        <v>45937</v>
      </c>
      <c r="C284" s="27">
        <v>11.0</v>
      </c>
      <c r="D284" s="27" t="s">
        <v>22</v>
      </c>
      <c r="E284" s="28"/>
      <c r="F284" s="49"/>
      <c r="H284" s="48"/>
      <c r="J284" s="48"/>
      <c r="L284" s="48"/>
      <c r="N284" s="48"/>
      <c r="P284" s="48"/>
      <c r="Q284" s="22"/>
      <c r="R284" s="49"/>
      <c r="T284" s="48"/>
      <c r="V284" s="48"/>
      <c r="X284" s="48"/>
      <c r="Z284" s="48"/>
      <c r="AB284" s="48"/>
      <c r="AC284" s="22"/>
      <c r="AD284" s="50">
        <f t="shared" si="1"/>
        <v>0</v>
      </c>
      <c r="AE284" s="51">
        <f t="shared" si="2"/>
        <v>0</v>
      </c>
      <c r="AF284" s="27">
        <f t="shared" si="3"/>
        <v>0</v>
      </c>
      <c r="AG284" s="27">
        <f t="shared" si="4"/>
        <v>0</v>
      </c>
      <c r="AH284" s="24" t="str">
        <f t="shared" si="5"/>
        <v/>
      </c>
    </row>
    <row r="285" ht="15.75" customHeight="1">
      <c r="A285" s="25" t="s">
        <v>24</v>
      </c>
      <c r="B285" s="26">
        <f t="shared" si="6"/>
        <v>45938</v>
      </c>
      <c r="C285" s="27">
        <v>11.0</v>
      </c>
      <c r="D285" s="27" t="s">
        <v>22</v>
      </c>
      <c r="E285" s="28"/>
      <c r="F285" s="49"/>
      <c r="H285" s="48"/>
      <c r="J285" s="48"/>
      <c r="L285" s="48"/>
      <c r="N285" s="48"/>
      <c r="P285" s="48"/>
      <c r="Q285" s="22"/>
      <c r="R285" s="49"/>
      <c r="T285" s="48"/>
      <c r="V285" s="48"/>
      <c r="X285" s="48"/>
      <c r="Z285" s="48"/>
      <c r="AB285" s="48"/>
      <c r="AC285" s="22"/>
      <c r="AD285" s="50">
        <f t="shared" si="1"/>
        <v>0</v>
      </c>
      <c r="AE285" s="51">
        <f t="shared" si="2"/>
        <v>0</v>
      </c>
      <c r="AF285" s="27">
        <f t="shared" si="3"/>
        <v>0</v>
      </c>
      <c r="AG285" s="27">
        <f t="shared" si="4"/>
        <v>0</v>
      </c>
      <c r="AH285" s="24" t="str">
        <f t="shared" si="5"/>
        <v/>
      </c>
    </row>
    <row r="286" ht="15.75" customHeight="1">
      <c r="A286" s="25" t="s">
        <v>25</v>
      </c>
      <c r="B286" s="26">
        <f t="shared" si="6"/>
        <v>45939</v>
      </c>
      <c r="C286" s="27">
        <v>11.0</v>
      </c>
      <c r="D286" s="27" t="s">
        <v>22</v>
      </c>
      <c r="E286" s="28"/>
      <c r="F286" s="49"/>
      <c r="H286" s="48"/>
      <c r="J286" s="48"/>
      <c r="L286" s="48"/>
      <c r="N286" s="48"/>
      <c r="P286" s="48"/>
      <c r="Q286" s="22"/>
      <c r="R286" s="49"/>
      <c r="T286" s="48"/>
      <c r="V286" s="48"/>
      <c r="X286" s="48"/>
      <c r="Z286" s="48"/>
      <c r="AB286" s="48"/>
      <c r="AC286" s="22"/>
      <c r="AD286" s="50">
        <f t="shared" si="1"/>
        <v>0</v>
      </c>
      <c r="AE286" s="51">
        <f t="shared" si="2"/>
        <v>0</v>
      </c>
      <c r="AF286" s="27">
        <f t="shared" si="3"/>
        <v>0</v>
      </c>
      <c r="AG286" s="27">
        <f t="shared" si="4"/>
        <v>0</v>
      </c>
      <c r="AH286" s="24" t="str">
        <f t="shared" si="5"/>
        <v/>
      </c>
    </row>
    <row r="287" ht="15.75" customHeight="1">
      <c r="A287" s="25" t="s">
        <v>26</v>
      </c>
      <c r="B287" s="26">
        <f t="shared" si="6"/>
        <v>45940</v>
      </c>
      <c r="C287" s="27">
        <v>11.0</v>
      </c>
      <c r="D287" s="27" t="s">
        <v>22</v>
      </c>
      <c r="E287" s="28"/>
      <c r="F287" s="49"/>
      <c r="H287" s="48"/>
      <c r="J287" s="48"/>
      <c r="L287" s="48"/>
      <c r="N287" s="48"/>
      <c r="P287" s="48"/>
      <c r="Q287" s="22"/>
      <c r="R287" s="49"/>
      <c r="T287" s="48"/>
      <c r="V287" s="48"/>
      <c r="X287" s="48"/>
      <c r="Z287" s="48"/>
      <c r="AB287" s="48"/>
      <c r="AC287" s="22"/>
      <c r="AD287" s="50">
        <f t="shared" si="1"/>
        <v>0</v>
      </c>
      <c r="AE287" s="51">
        <f t="shared" si="2"/>
        <v>0</v>
      </c>
      <c r="AF287" s="27">
        <f t="shared" si="3"/>
        <v>0</v>
      </c>
      <c r="AG287" s="27">
        <f t="shared" si="4"/>
        <v>0</v>
      </c>
      <c r="AH287" s="24" t="str">
        <f t="shared" si="5"/>
        <v/>
      </c>
    </row>
    <row r="288" ht="15.75" customHeight="1">
      <c r="A288" s="25" t="s">
        <v>27</v>
      </c>
      <c r="B288" s="26">
        <f t="shared" si="6"/>
        <v>45941</v>
      </c>
      <c r="C288" s="27">
        <v>11.0</v>
      </c>
      <c r="D288" s="27" t="s">
        <v>22</v>
      </c>
      <c r="E288" s="28"/>
      <c r="F288" s="49"/>
      <c r="H288" s="48"/>
      <c r="J288" s="48"/>
      <c r="L288" s="48"/>
      <c r="N288" s="48"/>
      <c r="P288" s="48"/>
      <c r="Q288" s="22"/>
      <c r="R288" s="49"/>
      <c r="T288" s="48"/>
      <c r="V288" s="48"/>
      <c r="X288" s="48"/>
      <c r="Z288" s="48"/>
      <c r="AB288" s="48"/>
      <c r="AC288" s="22"/>
      <c r="AD288" s="50">
        <f t="shared" si="1"/>
        <v>0</v>
      </c>
      <c r="AE288" s="51">
        <f t="shared" si="2"/>
        <v>0</v>
      </c>
      <c r="AF288" s="27">
        <f t="shared" si="3"/>
        <v>0</v>
      </c>
      <c r="AG288" s="27">
        <f t="shared" si="4"/>
        <v>0</v>
      </c>
      <c r="AH288" s="24" t="str">
        <f t="shared" si="5"/>
        <v/>
      </c>
    </row>
    <row r="289" ht="15.75" customHeight="1">
      <c r="A289" s="30" t="s">
        <v>28</v>
      </c>
      <c r="B289" s="31">
        <f t="shared" si="6"/>
        <v>45942</v>
      </c>
      <c r="C289" s="32">
        <v>11.0</v>
      </c>
      <c r="D289" s="32" t="s">
        <v>22</v>
      </c>
      <c r="E289" s="33"/>
      <c r="F289" s="55"/>
      <c r="G289" s="35"/>
      <c r="H289" s="54"/>
      <c r="I289" s="35"/>
      <c r="J289" s="54"/>
      <c r="K289" s="35"/>
      <c r="L289" s="54"/>
      <c r="M289" s="35"/>
      <c r="N289" s="54"/>
      <c r="O289" s="35"/>
      <c r="P289" s="54"/>
      <c r="Q289" s="37"/>
      <c r="R289" s="55"/>
      <c r="S289" s="35"/>
      <c r="T289" s="54"/>
      <c r="U289" s="35"/>
      <c r="V289" s="54"/>
      <c r="W289" s="35"/>
      <c r="X289" s="54"/>
      <c r="Y289" s="35"/>
      <c r="Z289" s="54"/>
      <c r="AA289" s="35"/>
      <c r="AB289" s="54"/>
      <c r="AC289" s="37"/>
      <c r="AD289" s="56">
        <f t="shared" si="1"/>
        <v>0</v>
      </c>
      <c r="AE289" s="57">
        <f t="shared" si="2"/>
        <v>0</v>
      </c>
      <c r="AF289" s="32">
        <f t="shared" si="3"/>
        <v>0</v>
      </c>
      <c r="AG289" s="32">
        <f t="shared" si="4"/>
        <v>0</v>
      </c>
      <c r="AH289" s="39" t="str">
        <f t="shared" si="5"/>
        <v/>
      </c>
    </row>
    <row r="290" ht="15.75" customHeight="1">
      <c r="A290" s="16" t="s">
        <v>21</v>
      </c>
      <c r="B290" s="40">
        <f t="shared" si="6"/>
        <v>45943</v>
      </c>
      <c r="C290" s="18">
        <v>11.0</v>
      </c>
      <c r="D290" s="18" t="s">
        <v>29</v>
      </c>
      <c r="E290" s="19"/>
      <c r="F290" s="49"/>
      <c r="H290" s="48"/>
      <c r="J290" s="48"/>
      <c r="L290" s="48"/>
      <c r="N290" s="48"/>
      <c r="P290" s="48"/>
      <c r="Q290" s="22"/>
      <c r="R290" s="49"/>
      <c r="T290" s="48"/>
      <c r="V290" s="48"/>
      <c r="X290" s="48"/>
      <c r="Z290" s="48"/>
      <c r="AB290" s="48"/>
      <c r="AC290" s="22"/>
      <c r="AD290" s="86">
        <f t="shared" si="1"/>
        <v>0</v>
      </c>
      <c r="AE290" s="87">
        <f t="shared" si="2"/>
        <v>0</v>
      </c>
      <c r="AF290" s="18">
        <f t="shared" si="3"/>
        <v>0</v>
      </c>
      <c r="AG290" s="18">
        <f t="shared" si="4"/>
        <v>0</v>
      </c>
      <c r="AH290" s="41" t="str">
        <f t="shared" si="5"/>
        <v/>
      </c>
    </row>
    <row r="291" ht="15.75" customHeight="1">
      <c r="A291" s="25" t="s">
        <v>23</v>
      </c>
      <c r="B291" s="26">
        <f t="shared" si="6"/>
        <v>45944</v>
      </c>
      <c r="C291" s="27">
        <v>11.0</v>
      </c>
      <c r="D291" s="27" t="s">
        <v>29</v>
      </c>
      <c r="E291" s="28"/>
      <c r="F291" s="49"/>
      <c r="H291" s="48"/>
      <c r="J291" s="48"/>
      <c r="L291" s="48"/>
      <c r="N291" s="48"/>
      <c r="P291" s="48"/>
      <c r="Q291" s="22"/>
      <c r="R291" s="49"/>
      <c r="T291" s="48"/>
      <c r="V291" s="48"/>
      <c r="X291" s="48"/>
      <c r="Z291" s="48"/>
      <c r="AB291" s="48"/>
      <c r="AC291" s="22"/>
      <c r="AD291" s="50">
        <f t="shared" si="1"/>
        <v>0</v>
      </c>
      <c r="AE291" s="51">
        <f t="shared" si="2"/>
        <v>0</v>
      </c>
      <c r="AF291" s="27">
        <f t="shared" si="3"/>
        <v>0</v>
      </c>
      <c r="AG291" s="27">
        <f t="shared" si="4"/>
        <v>0</v>
      </c>
      <c r="AH291" s="24" t="str">
        <f t="shared" si="5"/>
        <v/>
      </c>
    </row>
    <row r="292" ht="15.75" customHeight="1">
      <c r="A292" s="25" t="s">
        <v>24</v>
      </c>
      <c r="B292" s="26">
        <f t="shared" si="6"/>
        <v>45945</v>
      </c>
      <c r="C292" s="27">
        <v>11.0</v>
      </c>
      <c r="D292" s="27" t="s">
        <v>29</v>
      </c>
      <c r="E292" s="28"/>
      <c r="F292" s="49"/>
      <c r="H292" s="48"/>
      <c r="J292" s="48"/>
      <c r="L292" s="48"/>
      <c r="N292" s="48"/>
      <c r="P292" s="48"/>
      <c r="Q292" s="22"/>
      <c r="R292" s="49"/>
      <c r="T292" s="48"/>
      <c r="V292" s="48"/>
      <c r="X292" s="48"/>
      <c r="Z292" s="48"/>
      <c r="AB292" s="48"/>
      <c r="AC292" s="22"/>
      <c r="AD292" s="50">
        <f t="shared" si="1"/>
        <v>0</v>
      </c>
      <c r="AE292" s="51">
        <f t="shared" si="2"/>
        <v>0</v>
      </c>
      <c r="AF292" s="27">
        <f t="shared" si="3"/>
        <v>0</v>
      </c>
      <c r="AG292" s="27">
        <f t="shared" si="4"/>
        <v>0</v>
      </c>
      <c r="AH292" s="24" t="str">
        <f t="shared" si="5"/>
        <v/>
      </c>
    </row>
    <row r="293" ht="15.75" customHeight="1">
      <c r="A293" s="25" t="s">
        <v>25</v>
      </c>
      <c r="B293" s="26">
        <f t="shared" si="6"/>
        <v>45946</v>
      </c>
      <c r="C293" s="27">
        <v>11.0</v>
      </c>
      <c r="D293" s="27" t="s">
        <v>29</v>
      </c>
      <c r="E293" s="28"/>
      <c r="F293" s="49"/>
      <c r="H293" s="48"/>
      <c r="J293" s="48"/>
      <c r="L293" s="48"/>
      <c r="N293" s="48"/>
      <c r="P293" s="48"/>
      <c r="Q293" s="22"/>
      <c r="R293" s="49"/>
      <c r="T293" s="48"/>
      <c r="V293" s="48"/>
      <c r="X293" s="48"/>
      <c r="Z293" s="48"/>
      <c r="AB293" s="48"/>
      <c r="AC293" s="22"/>
      <c r="AD293" s="50">
        <f t="shared" si="1"/>
        <v>0</v>
      </c>
      <c r="AE293" s="51">
        <f t="shared" si="2"/>
        <v>0</v>
      </c>
      <c r="AF293" s="27">
        <f t="shared" si="3"/>
        <v>0</v>
      </c>
      <c r="AG293" s="27">
        <f t="shared" si="4"/>
        <v>0</v>
      </c>
      <c r="AH293" s="24" t="str">
        <f t="shared" si="5"/>
        <v/>
      </c>
    </row>
    <row r="294" ht="15.75" customHeight="1">
      <c r="A294" s="25" t="s">
        <v>26</v>
      </c>
      <c r="B294" s="26">
        <f t="shared" si="6"/>
        <v>45947</v>
      </c>
      <c r="C294" s="27">
        <v>11.0</v>
      </c>
      <c r="D294" s="27" t="s">
        <v>29</v>
      </c>
      <c r="E294" s="28"/>
      <c r="F294" s="49"/>
      <c r="H294" s="48"/>
      <c r="J294" s="48"/>
      <c r="L294" s="48"/>
      <c r="N294" s="48"/>
      <c r="P294" s="48"/>
      <c r="Q294" s="22"/>
      <c r="R294" s="49"/>
      <c r="T294" s="48"/>
      <c r="V294" s="48"/>
      <c r="X294" s="48"/>
      <c r="Z294" s="48"/>
      <c r="AB294" s="48"/>
      <c r="AC294" s="22"/>
      <c r="AD294" s="50">
        <f t="shared" si="1"/>
        <v>0</v>
      </c>
      <c r="AE294" s="51">
        <f t="shared" si="2"/>
        <v>0</v>
      </c>
      <c r="AF294" s="27">
        <f t="shared" si="3"/>
        <v>0</v>
      </c>
      <c r="AG294" s="27">
        <f t="shared" si="4"/>
        <v>0</v>
      </c>
      <c r="AH294" s="24" t="str">
        <f t="shared" si="5"/>
        <v/>
      </c>
    </row>
    <row r="295" ht="15.75" customHeight="1">
      <c r="A295" s="25" t="s">
        <v>27</v>
      </c>
      <c r="B295" s="26">
        <f t="shared" si="6"/>
        <v>45948</v>
      </c>
      <c r="C295" s="27">
        <v>11.0</v>
      </c>
      <c r="D295" s="27" t="s">
        <v>29</v>
      </c>
      <c r="E295" s="28"/>
      <c r="F295" s="49"/>
      <c r="H295" s="48"/>
      <c r="J295" s="48"/>
      <c r="L295" s="48"/>
      <c r="N295" s="48"/>
      <c r="P295" s="48"/>
      <c r="Q295" s="22"/>
      <c r="R295" s="49"/>
      <c r="T295" s="48"/>
      <c r="V295" s="48"/>
      <c r="X295" s="48"/>
      <c r="Z295" s="48"/>
      <c r="AB295" s="48"/>
      <c r="AC295" s="22"/>
      <c r="AD295" s="50">
        <f t="shared" si="1"/>
        <v>0</v>
      </c>
      <c r="AE295" s="51">
        <f t="shared" si="2"/>
        <v>0</v>
      </c>
      <c r="AF295" s="27">
        <f t="shared" si="3"/>
        <v>0</v>
      </c>
      <c r="AG295" s="27">
        <f t="shared" si="4"/>
        <v>0</v>
      </c>
      <c r="AH295" s="24" t="str">
        <f t="shared" si="5"/>
        <v/>
      </c>
    </row>
    <row r="296" ht="15.75" customHeight="1">
      <c r="A296" s="30" t="s">
        <v>28</v>
      </c>
      <c r="B296" s="31">
        <f t="shared" si="6"/>
        <v>45949</v>
      </c>
      <c r="C296" s="32">
        <v>11.0</v>
      </c>
      <c r="D296" s="32" t="s">
        <v>29</v>
      </c>
      <c r="E296" s="33"/>
      <c r="F296" s="55"/>
      <c r="G296" s="35"/>
      <c r="H296" s="54"/>
      <c r="I296" s="35"/>
      <c r="J296" s="54"/>
      <c r="K296" s="35"/>
      <c r="L296" s="54"/>
      <c r="M296" s="35"/>
      <c r="N296" s="54"/>
      <c r="O296" s="35"/>
      <c r="P296" s="54"/>
      <c r="Q296" s="37"/>
      <c r="R296" s="55"/>
      <c r="S296" s="35"/>
      <c r="T296" s="54"/>
      <c r="U296" s="35"/>
      <c r="V296" s="54"/>
      <c r="W296" s="35"/>
      <c r="X296" s="54"/>
      <c r="Y296" s="35"/>
      <c r="Z296" s="54"/>
      <c r="AA296" s="35"/>
      <c r="AB296" s="54"/>
      <c r="AC296" s="37"/>
      <c r="AD296" s="56">
        <f t="shared" si="1"/>
        <v>0</v>
      </c>
      <c r="AE296" s="57">
        <f t="shared" si="2"/>
        <v>0</v>
      </c>
      <c r="AF296" s="32">
        <f t="shared" si="3"/>
        <v>0</v>
      </c>
      <c r="AG296" s="32">
        <f t="shared" si="4"/>
        <v>0</v>
      </c>
      <c r="AH296" s="39" t="str">
        <f t="shared" si="5"/>
        <v/>
      </c>
    </row>
    <row r="297" ht="15.75" customHeight="1">
      <c r="A297" s="16" t="s">
        <v>21</v>
      </c>
      <c r="B297" s="40">
        <f t="shared" si="6"/>
        <v>45950</v>
      </c>
      <c r="C297" s="18">
        <v>11.0</v>
      </c>
      <c r="D297" s="18" t="s">
        <v>30</v>
      </c>
      <c r="E297" s="19"/>
      <c r="F297" s="49"/>
      <c r="H297" s="48"/>
      <c r="J297" s="48"/>
      <c r="L297" s="48"/>
      <c r="N297" s="48"/>
      <c r="P297" s="48"/>
      <c r="Q297" s="22"/>
      <c r="R297" s="49"/>
      <c r="T297" s="48"/>
      <c r="V297" s="48"/>
      <c r="X297" s="48"/>
      <c r="Z297" s="48"/>
      <c r="AB297" s="48"/>
      <c r="AC297" s="22"/>
      <c r="AD297" s="86">
        <f t="shared" si="1"/>
        <v>0</v>
      </c>
      <c r="AE297" s="87">
        <f t="shared" si="2"/>
        <v>0</v>
      </c>
      <c r="AF297" s="18">
        <f t="shared" si="3"/>
        <v>0</v>
      </c>
      <c r="AG297" s="18">
        <f t="shared" si="4"/>
        <v>0</v>
      </c>
      <c r="AH297" s="41" t="str">
        <f t="shared" si="5"/>
        <v/>
      </c>
    </row>
    <row r="298" ht="15.75" customHeight="1">
      <c r="A298" s="25" t="s">
        <v>23</v>
      </c>
      <c r="B298" s="26">
        <f t="shared" si="6"/>
        <v>45951</v>
      </c>
      <c r="C298" s="27">
        <v>11.0</v>
      </c>
      <c r="D298" s="27" t="s">
        <v>30</v>
      </c>
      <c r="E298" s="28"/>
      <c r="F298" s="49"/>
      <c r="H298" s="48"/>
      <c r="J298" s="48"/>
      <c r="L298" s="48"/>
      <c r="N298" s="48"/>
      <c r="P298" s="48"/>
      <c r="Q298" s="22"/>
      <c r="R298" s="49"/>
      <c r="T298" s="48"/>
      <c r="V298" s="48"/>
      <c r="X298" s="48"/>
      <c r="Z298" s="48"/>
      <c r="AB298" s="48"/>
      <c r="AC298" s="22"/>
      <c r="AD298" s="50">
        <f t="shared" si="1"/>
        <v>0</v>
      </c>
      <c r="AE298" s="51">
        <f t="shared" si="2"/>
        <v>0</v>
      </c>
      <c r="AF298" s="27">
        <f t="shared" si="3"/>
        <v>0</v>
      </c>
      <c r="AG298" s="27">
        <f t="shared" si="4"/>
        <v>0</v>
      </c>
      <c r="AH298" s="24" t="str">
        <f t="shared" si="5"/>
        <v/>
      </c>
    </row>
    <row r="299" ht="15.75" customHeight="1">
      <c r="A299" s="25" t="s">
        <v>24</v>
      </c>
      <c r="B299" s="26">
        <f t="shared" si="6"/>
        <v>45952</v>
      </c>
      <c r="C299" s="27">
        <v>11.0</v>
      </c>
      <c r="D299" s="27" t="s">
        <v>30</v>
      </c>
      <c r="E299" s="28"/>
      <c r="F299" s="49"/>
      <c r="H299" s="48"/>
      <c r="J299" s="48"/>
      <c r="L299" s="48"/>
      <c r="N299" s="48"/>
      <c r="P299" s="48"/>
      <c r="Q299" s="22"/>
      <c r="R299" s="49"/>
      <c r="T299" s="48"/>
      <c r="V299" s="48"/>
      <c r="X299" s="48"/>
      <c r="Z299" s="48"/>
      <c r="AB299" s="48"/>
      <c r="AC299" s="22"/>
      <c r="AD299" s="50">
        <f t="shared" si="1"/>
        <v>0</v>
      </c>
      <c r="AE299" s="51">
        <f t="shared" si="2"/>
        <v>0</v>
      </c>
      <c r="AF299" s="27">
        <f t="shared" si="3"/>
        <v>0</v>
      </c>
      <c r="AG299" s="27">
        <f t="shared" si="4"/>
        <v>0</v>
      </c>
      <c r="AH299" s="24" t="str">
        <f t="shared" si="5"/>
        <v/>
      </c>
    </row>
    <row r="300" ht="15.75" customHeight="1">
      <c r="A300" s="25" t="s">
        <v>25</v>
      </c>
      <c r="B300" s="26">
        <f t="shared" si="6"/>
        <v>45953</v>
      </c>
      <c r="C300" s="27">
        <v>11.0</v>
      </c>
      <c r="D300" s="27" t="s">
        <v>30</v>
      </c>
      <c r="E300" s="28"/>
      <c r="F300" s="49"/>
      <c r="H300" s="48"/>
      <c r="J300" s="48"/>
      <c r="L300" s="48"/>
      <c r="N300" s="48"/>
      <c r="P300" s="48"/>
      <c r="Q300" s="22"/>
      <c r="R300" s="49"/>
      <c r="T300" s="48"/>
      <c r="V300" s="48"/>
      <c r="X300" s="48"/>
      <c r="Z300" s="48"/>
      <c r="AB300" s="48"/>
      <c r="AC300" s="22"/>
      <c r="AD300" s="50">
        <f t="shared" si="1"/>
        <v>0</v>
      </c>
      <c r="AE300" s="51">
        <f t="shared" si="2"/>
        <v>0</v>
      </c>
      <c r="AF300" s="27">
        <f t="shared" si="3"/>
        <v>0</v>
      </c>
      <c r="AG300" s="27">
        <f t="shared" si="4"/>
        <v>0</v>
      </c>
      <c r="AH300" s="24" t="str">
        <f t="shared" si="5"/>
        <v/>
      </c>
    </row>
    <row r="301" ht="15.75" customHeight="1">
      <c r="A301" s="25" t="s">
        <v>26</v>
      </c>
      <c r="B301" s="26">
        <f t="shared" si="6"/>
        <v>45954</v>
      </c>
      <c r="C301" s="27">
        <v>11.0</v>
      </c>
      <c r="D301" s="27" t="s">
        <v>30</v>
      </c>
      <c r="E301" s="28"/>
      <c r="F301" s="49"/>
      <c r="H301" s="48"/>
      <c r="J301" s="48"/>
      <c r="L301" s="48"/>
      <c r="N301" s="48"/>
      <c r="P301" s="48"/>
      <c r="Q301" s="22"/>
      <c r="R301" s="49"/>
      <c r="T301" s="48"/>
      <c r="V301" s="48"/>
      <c r="X301" s="48"/>
      <c r="Z301" s="48"/>
      <c r="AB301" s="48"/>
      <c r="AC301" s="22"/>
      <c r="AD301" s="50">
        <f t="shared" si="1"/>
        <v>0</v>
      </c>
      <c r="AE301" s="51">
        <f t="shared" si="2"/>
        <v>0</v>
      </c>
      <c r="AF301" s="27">
        <f t="shared" si="3"/>
        <v>0</v>
      </c>
      <c r="AG301" s="27">
        <f t="shared" si="4"/>
        <v>0</v>
      </c>
      <c r="AH301" s="24" t="str">
        <f t="shared" si="5"/>
        <v/>
      </c>
    </row>
    <row r="302" ht="15.75" customHeight="1">
      <c r="A302" s="25" t="s">
        <v>27</v>
      </c>
      <c r="B302" s="26">
        <f t="shared" si="6"/>
        <v>45955</v>
      </c>
      <c r="C302" s="27">
        <v>11.0</v>
      </c>
      <c r="D302" s="27" t="s">
        <v>30</v>
      </c>
      <c r="E302" s="28"/>
      <c r="F302" s="49"/>
      <c r="H302" s="48"/>
      <c r="J302" s="48"/>
      <c r="L302" s="48"/>
      <c r="N302" s="48"/>
      <c r="P302" s="48"/>
      <c r="Q302" s="22"/>
      <c r="R302" s="49"/>
      <c r="T302" s="48"/>
      <c r="V302" s="48"/>
      <c r="X302" s="48"/>
      <c r="Z302" s="48"/>
      <c r="AB302" s="48"/>
      <c r="AC302" s="22"/>
      <c r="AD302" s="50">
        <f t="shared" si="1"/>
        <v>0</v>
      </c>
      <c r="AE302" s="51">
        <f t="shared" si="2"/>
        <v>0</v>
      </c>
      <c r="AF302" s="27">
        <f t="shared" si="3"/>
        <v>0</v>
      </c>
      <c r="AG302" s="27">
        <f t="shared" si="4"/>
        <v>0</v>
      </c>
      <c r="AH302" s="24" t="str">
        <f t="shared" si="5"/>
        <v/>
      </c>
    </row>
    <row r="303" ht="15.75" customHeight="1">
      <c r="A303" s="30" t="s">
        <v>28</v>
      </c>
      <c r="B303" s="31">
        <f t="shared" si="6"/>
        <v>45956</v>
      </c>
      <c r="C303" s="32">
        <v>11.0</v>
      </c>
      <c r="D303" s="32" t="s">
        <v>30</v>
      </c>
      <c r="E303" s="33"/>
      <c r="F303" s="55"/>
      <c r="G303" s="35"/>
      <c r="H303" s="54"/>
      <c r="I303" s="35"/>
      <c r="J303" s="54"/>
      <c r="K303" s="35"/>
      <c r="L303" s="54"/>
      <c r="M303" s="35"/>
      <c r="N303" s="54"/>
      <c r="O303" s="35"/>
      <c r="P303" s="54"/>
      <c r="Q303" s="37"/>
      <c r="R303" s="55"/>
      <c r="S303" s="35"/>
      <c r="T303" s="54"/>
      <c r="U303" s="35"/>
      <c r="V303" s="54"/>
      <c r="W303" s="35"/>
      <c r="X303" s="54"/>
      <c r="Y303" s="35"/>
      <c r="Z303" s="54"/>
      <c r="AA303" s="35"/>
      <c r="AB303" s="54"/>
      <c r="AC303" s="37"/>
      <c r="AD303" s="56">
        <f t="shared" si="1"/>
        <v>0</v>
      </c>
      <c r="AE303" s="57">
        <f t="shared" si="2"/>
        <v>0</v>
      </c>
      <c r="AF303" s="32">
        <f t="shared" si="3"/>
        <v>0</v>
      </c>
      <c r="AG303" s="32">
        <f t="shared" si="4"/>
        <v>0</v>
      </c>
      <c r="AH303" s="39" t="str">
        <f t="shared" si="5"/>
        <v/>
      </c>
    </row>
    <row r="304" ht="15.75" customHeight="1">
      <c r="A304" s="16" t="s">
        <v>21</v>
      </c>
      <c r="B304" s="40">
        <f t="shared" si="6"/>
        <v>45957</v>
      </c>
      <c r="C304" s="18">
        <v>11.0</v>
      </c>
      <c r="D304" s="18" t="s">
        <v>31</v>
      </c>
      <c r="E304" s="19"/>
      <c r="F304" s="49"/>
      <c r="H304" s="48"/>
      <c r="J304" s="48"/>
      <c r="L304" s="48"/>
      <c r="N304" s="48"/>
      <c r="P304" s="48"/>
      <c r="Q304" s="22"/>
      <c r="R304" s="49"/>
      <c r="T304" s="48"/>
      <c r="V304" s="48"/>
      <c r="X304" s="48"/>
      <c r="Z304" s="48"/>
      <c r="AB304" s="48"/>
      <c r="AC304" s="22"/>
      <c r="AD304" s="86">
        <f t="shared" si="1"/>
        <v>0</v>
      </c>
      <c r="AE304" s="87">
        <f t="shared" si="2"/>
        <v>0</v>
      </c>
      <c r="AF304" s="18">
        <f t="shared" si="3"/>
        <v>0</v>
      </c>
      <c r="AG304" s="18">
        <f t="shared" si="4"/>
        <v>0</v>
      </c>
      <c r="AH304" s="41" t="str">
        <f t="shared" si="5"/>
        <v/>
      </c>
    </row>
    <row r="305" ht="15.75" customHeight="1">
      <c r="A305" s="25" t="s">
        <v>23</v>
      </c>
      <c r="B305" s="26">
        <f t="shared" si="6"/>
        <v>45958</v>
      </c>
      <c r="C305" s="27">
        <v>11.0</v>
      </c>
      <c r="D305" s="27" t="s">
        <v>31</v>
      </c>
      <c r="E305" s="28"/>
      <c r="F305" s="49"/>
      <c r="H305" s="48"/>
      <c r="J305" s="48"/>
      <c r="L305" s="48"/>
      <c r="N305" s="48"/>
      <c r="P305" s="48"/>
      <c r="Q305" s="22"/>
      <c r="R305" s="49"/>
      <c r="T305" s="48"/>
      <c r="V305" s="48"/>
      <c r="X305" s="48"/>
      <c r="Z305" s="48"/>
      <c r="AB305" s="48"/>
      <c r="AC305" s="22"/>
      <c r="AD305" s="50">
        <f t="shared" si="1"/>
        <v>0</v>
      </c>
      <c r="AE305" s="51">
        <f t="shared" si="2"/>
        <v>0</v>
      </c>
      <c r="AF305" s="27">
        <f t="shared" si="3"/>
        <v>0</v>
      </c>
      <c r="AG305" s="27">
        <f t="shared" si="4"/>
        <v>0</v>
      </c>
      <c r="AH305" s="24" t="str">
        <f t="shared" si="5"/>
        <v/>
      </c>
    </row>
    <row r="306" ht="15.75" customHeight="1">
      <c r="A306" s="25" t="s">
        <v>24</v>
      </c>
      <c r="B306" s="26">
        <f t="shared" si="6"/>
        <v>45959</v>
      </c>
      <c r="C306" s="27">
        <v>11.0</v>
      </c>
      <c r="D306" s="27" t="s">
        <v>31</v>
      </c>
      <c r="E306" s="28"/>
      <c r="F306" s="49"/>
      <c r="H306" s="48"/>
      <c r="J306" s="48"/>
      <c r="L306" s="48"/>
      <c r="N306" s="48"/>
      <c r="P306" s="48"/>
      <c r="Q306" s="22"/>
      <c r="R306" s="49"/>
      <c r="T306" s="48"/>
      <c r="V306" s="48"/>
      <c r="X306" s="48"/>
      <c r="Z306" s="48"/>
      <c r="AB306" s="48"/>
      <c r="AC306" s="22"/>
      <c r="AD306" s="50">
        <f t="shared" si="1"/>
        <v>0</v>
      </c>
      <c r="AE306" s="51">
        <f t="shared" si="2"/>
        <v>0</v>
      </c>
      <c r="AF306" s="27">
        <f t="shared" si="3"/>
        <v>0</v>
      </c>
      <c r="AG306" s="27">
        <f t="shared" si="4"/>
        <v>0</v>
      </c>
      <c r="AH306" s="24" t="str">
        <f t="shared" si="5"/>
        <v/>
      </c>
    </row>
    <row r="307" ht="15.75" customHeight="1">
      <c r="A307" s="25" t="s">
        <v>25</v>
      </c>
      <c r="B307" s="26">
        <f t="shared" si="6"/>
        <v>45960</v>
      </c>
      <c r="C307" s="27">
        <v>11.0</v>
      </c>
      <c r="D307" s="27" t="s">
        <v>31</v>
      </c>
      <c r="E307" s="28"/>
      <c r="F307" s="49"/>
      <c r="H307" s="48"/>
      <c r="J307" s="48"/>
      <c r="L307" s="48"/>
      <c r="N307" s="48"/>
      <c r="P307" s="48"/>
      <c r="Q307" s="22"/>
      <c r="R307" s="49"/>
      <c r="T307" s="48"/>
      <c r="V307" s="48"/>
      <c r="X307" s="48"/>
      <c r="Z307" s="48"/>
      <c r="AB307" s="48"/>
      <c r="AC307" s="22"/>
      <c r="AD307" s="50">
        <f t="shared" si="1"/>
        <v>0</v>
      </c>
      <c r="AE307" s="51">
        <f t="shared" si="2"/>
        <v>0</v>
      </c>
      <c r="AF307" s="27">
        <f t="shared" si="3"/>
        <v>0</v>
      </c>
      <c r="AG307" s="27">
        <f t="shared" si="4"/>
        <v>0</v>
      </c>
      <c r="AH307" s="24" t="str">
        <f t="shared" si="5"/>
        <v/>
      </c>
    </row>
    <row r="308" ht="15.75" customHeight="1">
      <c r="A308" s="25" t="s">
        <v>26</v>
      </c>
      <c r="B308" s="26">
        <f t="shared" si="6"/>
        <v>45961</v>
      </c>
      <c r="C308" s="27">
        <v>11.0</v>
      </c>
      <c r="D308" s="27" t="s">
        <v>31</v>
      </c>
      <c r="E308" s="28"/>
      <c r="F308" s="49"/>
      <c r="H308" s="48"/>
      <c r="J308" s="48"/>
      <c r="L308" s="48"/>
      <c r="N308" s="48"/>
      <c r="P308" s="48"/>
      <c r="Q308" s="22"/>
      <c r="R308" s="49"/>
      <c r="T308" s="48"/>
      <c r="V308" s="48"/>
      <c r="X308" s="48"/>
      <c r="Z308" s="48"/>
      <c r="AB308" s="48"/>
      <c r="AC308" s="22"/>
      <c r="AD308" s="50">
        <f t="shared" si="1"/>
        <v>0</v>
      </c>
      <c r="AE308" s="51">
        <f t="shared" si="2"/>
        <v>0</v>
      </c>
      <c r="AF308" s="27">
        <f t="shared" si="3"/>
        <v>0</v>
      </c>
      <c r="AG308" s="27">
        <f t="shared" si="4"/>
        <v>0</v>
      </c>
      <c r="AH308" s="24" t="str">
        <f t="shared" si="5"/>
        <v/>
      </c>
    </row>
    <row r="309" ht="15.75" customHeight="1">
      <c r="A309" s="25" t="s">
        <v>27</v>
      </c>
      <c r="B309" s="26">
        <f t="shared" si="6"/>
        <v>45962</v>
      </c>
      <c r="C309" s="27">
        <v>11.0</v>
      </c>
      <c r="D309" s="27" t="s">
        <v>31</v>
      </c>
      <c r="E309" s="28"/>
      <c r="F309" s="49"/>
      <c r="H309" s="48"/>
      <c r="J309" s="48"/>
      <c r="L309" s="48"/>
      <c r="N309" s="48"/>
      <c r="P309" s="48"/>
      <c r="Q309" s="22"/>
      <c r="R309" s="49"/>
      <c r="T309" s="48"/>
      <c r="V309" s="48"/>
      <c r="X309" s="48"/>
      <c r="Z309" s="48"/>
      <c r="AB309" s="48"/>
      <c r="AC309" s="22"/>
      <c r="AD309" s="50">
        <f t="shared" si="1"/>
        <v>0</v>
      </c>
      <c r="AE309" s="51">
        <f t="shared" si="2"/>
        <v>0</v>
      </c>
      <c r="AF309" s="27">
        <f t="shared" si="3"/>
        <v>0</v>
      </c>
      <c r="AG309" s="27">
        <f t="shared" si="4"/>
        <v>0</v>
      </c>
      <c r="AH309" s="24" t="str">
        <f t="shared" si="5"/>
        <v/>
      </c>
    </row>
    <row r="310" ht="15.75" customHeight="1">
      <c r="A310" s="30" t="s">
        <v>28</v>
      </c>
      <c r="B310" s="31">
        <f t="shared" si="6"/>
        <v>45963</v>
      </c>
      <c r="C310" s="32">
        <v>11.0</v>
      </c>
      <c r="D310" s="32" t="s">
        <v>31</v>
      </c>
      <c r="E310" s="33"/>
      <c r="F310" s="55"/>
      <c r="G310" s="35"/>
      <c r="H310" s="54"/>
      <c r="I310" s="35"/>
      <c r="J310" s="54"/>
      <c r="K310" s="35"/>
      <c r="L310" s="54"/>
      <c r="M310" s="35"/>
      <c r="N310" s="54"/>
      <c r="O310" s="35"/>
      <c r="P310" s="54"/>
      <c r="Q310" s="37"/>
      <c r="R310" s="55"/>
      <c r="S310" s="35"/>
      <c r="T310" s="54"/>
      <c r="U310" s="35"/>
      <c r="V310" s="54"/>
      <c r="W310" s="35"/>
      <c r="X310" s="54"/>
      <c r="Y310" s="35"/>
      <c r="Z310" s="54"/>
      <c r="AA310" s="35"/>
      <c r="AB310" s="54"/>
      <c r="AC310" s="37"/>
      <c r="AD310" s="56">
        <f t="shared" si="1"/>
        <v>0</v>
      </c>
      <c r="AE310" s="57">
        <f t="shared" si="2"/>
        <v>0</v>
      </c>
      <c r="AF310" s="32">
        <f t="shared" si="3"/>
        <v>0</v>
      </c>
      <c r="AG310" s="32">
        <f t="shared" si="4"/>
        <v>0</v>
      </c>
      <c r="AH310" s="39" t="str">
        <f t="shared" si="5"/>
        <v/>
      </c>
    </row>
    <row r="311" ht="15.75" customHeight="1">
      <c r="A311" s="16" t="s">
        <v>21</v>
      </c>
      <c r="B311" s="40">
        <f t="shared" si="6"/>
        <v>45964</v>
      </c>
      <c r="C311" s="18">
        <v>12.0</v>
      </c>
      <c r="D311" s="18" t="s">
        <v>22</v>
      </c>
      <c r="E311" s="19"/>
      <c r="F311" s="49"/>
      <c r="H311" s="48"/>
      <c r="J311" s="48"/>
      <c r="L311" s="48"/>
      <c r="N311" s="48"/>
      <c r="P311" s="48"/>
      <c r="Q311" s="22"/>
      <c r="R311" s="49"/>
      <c r="T311" s="48"/>
      <c r="V311" s="48"/>
      <c r="X311" s="48"/>
      <c r="Z311" s="48"/>
      <c r="AB311" s="48"/>
      <c r="AC311" s="22"/>
      <c r="AD311" s="86">
        <f t="shared" si="1"/>
        <v>0</v>
      </c>
      <c r="AE311" s="87">
        <f t="shared" si="2"/>
        <v>0</v>
      </c>
      <c r="AF311" s="18">
        <f t="shared" si="3"/>
        <v>0</v>
      </c>
      <c r="AG311" s="18">
        <f t="shared" si="4"/>
        <v>0</v>
      </c>
      <c r="AH311" s="41" t="str">
        <f t="shared" si="5"/>
        <v/>
      </c>
    </row>
    <row r="312" ht="15.75" customHeight="1">
      <c r="A312" s="25" t="s">
        <v>23</v>
      </c>
      <c r="B312" s="26">
        <f t="shared" si="6"/>
        <v>45965</v>
      </c>
      <c r="C312" s="27">
        <v>12.0</v>
      </c>
      <c r="D312" s="27" t="s">
        <v>22</v>
      </c>
      <c r="E312" s="28"/>
      <c r="F312" s="49"/>
      <c r="H312" s="48"/>
      <c r="J312" s="48"/>
      <c r="L312" s="48"/>
      <c r="N312" s="48"/>
      <c r="P312" s="48"/>
      <c r="Q312" s="22"/>
      <c r="R312" s="49"/>
      <c r="T312" s="48"/>
      <c r="V312" s="48"/>
      <c r="X312" s="48"/>
      <c r="Z312" s="48"/>
      <c r="AB312" s="48"/>
      <c r="AC312" s="22"/>
      <c r="AD312" s="50">
        <f t="shared" si="1"/>
        <v>0</v>
      </c>
      <c r="AE312" s="51">
        <f t="shared" si="2"/>
        <v>0</v>
      </c>
      <c r="AF312" s="27">
        <f t="shared" si="3"/>
        <v>0</v>
      </c>
      <c r="AG312" s="27">
        <f t="shared" si="4"/>
        <v>0</v>
      </c>
      <c r="AH312" s="24" t="str">
        <f t="shared" si="5"/>
        <v/>
      </c>
    </row>
    <row r="313" ht="15.75" customHeight="1">
      <c r="A313" s="25" t="s">
        <v>24</v>
      </c>
      <c r="B313" s="26">
        <f t="shared" si="6"/>
        <v>45966</v>
      </c>
      <c r="C313" s="27">
        <v>12.0</v>
      </c>
      <c r="D313" s="27" t="s">
        <v>22</v>
      </c>
      <c r="E313" s="28"/>
      <c r="F313" s="49"/>
      <c r="H313" s="48"/>
      <c r="J313" s="48"/>
      <c r="L313" s="48"/>
      <c r="N313" s="48"/>
      <c r="P313" s="48"/>
      <c r="Q313" s="22"/>
      <c r="R313" s="49"/>
      <c r="T313" s="48"/>
      <c r="V313" s="48"/>
      <c r="X313" s="48"/>
      <c r="Z313" s="48"/>
      <c r="AB313" s="48"/>
      <c r="AC313" s="22"/>
      <c r="AD313" s="50">
        <f t="shared" si="1"/>
        <v>0</v>
      </c>
      <c r="AE313" s="51">
        <f t="shared" si="2"/>
        <v>0</v>
      </c>
      <c r="AF313" s="27">
        <f t="shared" si="3"/>
        <v>0</v>
      </c>
      <c r="AG313" s="27">
        <f t="shared" si="4"/>
        <v>0</v>
      </c>
      <c r="AH313" s="24" t="str">
        <f t="shared" si="5"/>
        <v/>
      </c>
    </row>
    <row r="314" ht="15.75" customHeight="1">
      <c r="A314" s="25" t="s">
        <v>25</v>
      </c>
      <c r="B314" s="26">
        <f t="shared" si="6"/>
        <v>45967</v>
      </c>
      <c r="C314" s="27">
        <v>12.0</v>
      </c>
      <c r="D314" s="27" t="s">
        <v>22</v>
      </c>
      <c r="E314" s="28"/>
      <c r="F314" s="49"/>
      <c r="H314" s="48"/>
      <c r="J314" s="48"/>
      <c r="L314" s="48"/>
      <c r="N314" s="48"/>
      <c r="P314" s="48"/>
      <c r="Q314" s="22"/>
      <c r="R314" s="49"/>
      <c r="T314" s="48"/>
      <c r="V314" s="48"/>
      <c r="X314" s="48"/>
      <c r="Z314" s="48"/>
      <c r="AB314" s="48"/>
      <c r="AC314" s="22"/>
      <c r="AD314" s="50">
        <f t="shared" si="1"/>
        <v>0</v>
      </c>
      <c r="AE314" s="51">
        <f t="shared" si="2"/>
        <v>0</v>
      </c>
      <c r="AF314" s="27">
        <f t="shared" si="3"/>
        <v>0</v>
      </c>
      <c r="AG314" s="27">
        <f t="shared" si="4"/>
        <v>0</v>
      </c>
      <c r="AH314" s="24" t="str">
        <f t="shared" si="5"/>
        <v/>
      </c>
    </row>
    <row r="315" ht="15.75" customHeight="1">
      <c r="A315" s="25" t="s">
        <v>26</v>
      </c>
      <c r="B315" s="26">
        <f t="shared" si="6"/>
        <v>45968</v>
      </c>
      <c r="C315" s="27">
        <v>12.0</v>
      </c>
      <c r="D315" s="27" t="s">
        <v>22</v>
      </c>
      <c r="E315" s="28"/>
      <c r="F315" s="49"/>
      <c r="H315" s="48"/>
      <c r="J315" s="48"/>
      <c r="L315" s="48"/>
      <c r="N315" s="48"/>
      <c r="P315" s="48"/>
      <c r="Q315" s="22"/>
      <c r="R315" s="49"/>
      <c r="T315" s="48"/>
      <c r="V315" s="48"/>
      <c r="X315" s="48"/>
      <c r="Z315" s="48"/>
      <c r="AB315" s="48"/>
      <c r="AC315" s="22"/>
      <c r="AD315" s="50">
        <f t="shared" si="1"/>
        <v>0</v>
      </c>
      <c r="AE315" s="51">
        <f t="shared" si="2"/>
        <v>0</v>
      </c>
      <c r="AF315" s="27">
        <f t="shared" si="3"/>
        <v>0</v>
      </c>
      <c r="AG315" s="27">
        <f t="shared" si="4"/>
        <v>0</v>
      </c>
      <c r="AH315" s="24" t="str">
        <f t="shared" si="5"/>
        <v/>
      </c>
    </row>
    <row r="316" ht="15.75" customHeight="1">
      <c r="A316" s="25" t="s">
        <v>27</v>
      </c>
      <c r="B316" s="26">
        <f t="shared" si="6"/>
        <v>45969</v>
      </c>
      <c r="C316" s="27">
        <v>12.0</v>
      </c>
      <c r="D316" s="27" t="s">
        <v>22</v>
      </c>
      <c r="E316" s="28"/>
      <c r="F316" s="49"/>
      <c r="H316" s="48"/>
      <c r="J316" s="48"/>
      <c r="L316" s="48"/>
      <c r="N316" s="48"/>
      <c r="P316" s="48"/>
      <c r="Q316" s="22"/>
      <c r="R316" s="49"/>
      <c r="T316" s="48"/>
      <c r="V316" s="48"/>
      <c r="X316" s="48"/>
      <c r="Z316" s="48"/>
      <c r="AB316" s="48"/>
      <c r="AC316" s="22"/>
      <c r="AD316" s="50">
        <f t="shared" si="1"/>
        <v>0</v>
      </c>
      <c r="AE316" s="51">
        <f t="shared" si="2"/>
        <v>0</v>
      </c>
      <c r="AF316" s="27">
        <f t="shared" si="3"/>
        <v>0</v>
      </c>
      <c r="AG316" s="27">
        <f t="shared" si="4"/>
        <v>0</v>
      </c>
      <c r="AH316" s="24" t="str">
        <f t="shared" si="5"/>
        <v/>
      </c>
    </row>
    <row r="317" ht="15.75" customHeight="1">
      <c r="A317" s="30" t="s">
        <v>28</v>
      </c>
      <c r="B317" s="31">
        <f t="shared" si="6"/>
        <v>45970</v>
      </c>
      <c r="C317" s="32">
        <v>12.0</v>
      </c>
      <c r="D317" s="32" t="s">
        <v>22</v>
      </c>
      <c r="E317" s="33"/>
      <c r="F317" s="55"/>
      <c r="G317" s="35"/>
      <c r="H317" s="54"/>
      <c r="I317" s="35"/>
      <c r="J317" s="54"/>
      <c r="K317" s="35"/>
      <c r="L317" s="54"/>
      <c r="M317" s="35"/>
      <c r="N317" s="54"/>
      <c r="O317" s="35"/>
      <c r="P317" s="54"/>
      <c r="Q317" s="37"/>
      <c r="R317" s="55"/>
      <c r="S317" s="35"/>
      <c r="T317" s="54"/>
      <c r="U317" s="35"/>
      <c r="V317" s="54"/>
      <c r="W317" s="35"/>
      <c r="X317" s="54"/>
      <c r="Y317" s="35"/>
      <c r="Z317" s="54"/>
      <c r="AA317" s="35"/>
      <c r="AB317" s="54"/>
      <c r="AC317" s="37"/>
      <c r="AD317" s="56">
        <f t="shared" si="1"/>
        <v>0</v>
      </c>
      <c r="AE317" s="57">
        <f t="shared" si="2"/>
        <v>0</v>
      </c>
      <c r="AF317" s="32">
        <f t="shared" si="3"/>
        <v>0</v>
      </c>
      <c r="AG317" s="32">
        <f t="shared" si="4"/>
        <v>0</v>
      </c>
      <c r="AH317" s="39" t="str">
        <f t="shared" si="5"/>
        <v/>
      </c>
    </row>
    <row r="318" ht="15.75" customHeight="1">
      <c r="A318" s="16" t="s">
        <v>21</v>
      </c>
      <c r="B318" s="40">
        <f t="shared" si="6"/>
        <v>45971</v>
      </c>
      <c r="C318" s="18">
        <v>12.0</v>
      </c>
      <c r="D318" s="18" t="s">
        <v>29</v>
      </c>
      <c r="E318" s="19"/>
      <c r="F318" s="49"/>
      <c r="H318" s="48"/>
      <c r="J318" s="48"/>
      <c r="L318" s="48"/>
      <c r="N318" s="48"/>
      <c r="P318" s="48"/>
      <c r="Q318" s="22"/>
      <c r="R318" s="49"/>
      <c r="T318" s="48"/>
      <c r="V318" s="48"/>
      <c r="X318" s="48"/>
      <c r="Z318" s="48"/>
      <c r="AB318" s="48"/>
      <c r="AC318" s="22"/>
      <c r="AD318" s="86">
        <f t="shared" si="1"/>
        <v>0</v>
      </c>
      <c r="AE318" s="87">
        <f t="shared" si="2"/>
        <v>0</v>
      </c>
      <c r="AF318" s="18">
        <f t="shared" si="3"/>
        <v>0</v>
      </c>
      <c r="AG318" s="18">
        <f t="shared" si="4"/>
        <v>0</v>
      </c>
      <c r="AH318" s="41" t="str">
        <f t="shared" si="5"/>
        <v/>
      </c>
    </row>
    <row r="319" ht="15.75" customHeight="1">
      <c r="A319" s="25" t="s">
        <v>23</v>
      </c>
      <c r="B319" s="26">
        <f t="shared" si="6"/>
        <v>45972</v>
      </c>
      <c r="C319" s="27">
        <v>12.0</v>
      </c>
      <c r="D319" s="27" t="s">
        <v>29</v>
      </c>
      <c r="E319" s="28"/>
      <c r="F319" s="49"/>
      <c r="H319" s="48"/>
      <c r="J319" s="48"/>
      <c r="L319" s="48"/>
      <c r="N319" s="48"/>
      <c r="P319" s="48"/>
      <c r="Q319" s="22"/>
      <c r="R319" s="49"/>
      <c r="T319" s="48"/>
      <c r="V319" s="48"/>
      <c r="X319" s="48"/>
      <c r="Z319" s="48"/>
      <c r="AB319" s="48"/>
      <c r="AC319" s="22"/>
      <c r="AD319" s="50">
        <f t="shared" si="1"/>
        <v>0</v>
      </c>
      <c r="AE319" s="51">
        <f t="shared" si="2"/>
        <v>0</v>
      </c>
      <c r="AF319" s="27">
        <f t="shared" si="3"/>
        <v>0</v>
      </c>
      <c r="AG319" s="27">
        <f t="shared" si="4"/>
        <v>0</v>
      </c>
      <c r="AH319" s="24" t="str">
        <f t="shared" si="5"/>
        <v/>
      </c>
    </row>
    <row r="320" ht="15.75" customHeight="1">
      <c r="A320" s="25" t="s">
        <v>24</v>
      </c>
      <c r="B320" s="26">
        <f t="shared" si="6"/>
        <v>45973</v>
      </c>
      <c r="C320" s="27">
        <v>12.0</v>
      </c>
      <c r="D320" s="27" t="s">
        <v>29</v>
      </c>
      <c r="E320" s="28"/>
      <c r="F320" s="49"/>
      <c r="H320" s="48"/>
      <c r="J320" s="48"/>
      <c r="L320" s="48"/>
      <c r="N320" s="48"/>
      <c r="P320" s="48"/>
      <c r="Q320" s="22"/>
      <c r="R320" s="49"/>
      <c r="T320" s="48"/>
      <c r="V320" s="48"/>
      <c r="X320" s="48"/>
      <c r="Z320" s="48"/>
      <c r="AB320" s="48"/>
      <c r="AC320" s="22"/>
      <c r="AD320" s="50">
        <f t="shared" si="1"/>
        <v>0</v>
      </c>
      <c r="AE320" s="51">
        <f t="shared" si="2"/>
        <v>0</v>
      </c>
      <c r="AF320" s="27">
        <f t="shared" si="3"/>
        <v>0</v>
      </c>
      <c r="AG320" s="27">
        <f t="shared" si="4"/>
        <v>0</v>
      </c>
      <c r="AH320" s="24" t="str">
        <f t="shared" si="5"/>
        <v/>
      </c>
    </row>
    <row r="321" ht="15.75" customHeight="1">
      <c r="A321" s="25" t="s">
        <v>25</v>
      </c>
      <c r="B321" s="26">
        <f t="shared" si="6"/>
        <v>45974</v>
      </c>
      <c r="C321" s="27">
        <v>12.0</v>
      </c>
      <c r="D321" s="27" t="s">
        <v>29</v>
      </c>
      <c r="E321" s="28"/>
      <c r="F321" s="49"/>
      <c r="H321" s="48"/>
      <c r="J321" s="48"/>
      <c r="L321" s="48"/>
      <c r="N321" s="48"/>
      <c r="P321" s="48"/>
      <c r="Q321" s="22"/>
      <c r="R321" s="49"/>
      <c r="T321" s="48"/>
      <c r="V321" s="48"/>
      <c r="X321" s="48"/>
      <c r="Z321" s="48"/>
      <c r="AB321" s="48"/>
      <c r="AC321" s="22"/>
      <c r="AD321" s="50">
        <f t="shared" si="1"/>
        <v>0</v>
      </c>
      <c r="AE321" s="51">
        <f t="shared" si="2"/>
        <v>0</v>
      </c>
      <c r="AF321" s="27">
        <f t="shared" si="3"/>
        <v>0</v>
      </c>
      <c r="AG321" s="27">
        <f t="shared" si="4"/>
        <v>0</v>
      </c>
      <c r="AH321" s="24" t="str">
        <f t="shared" si="5"/>
        <v/>
      </c>
    </row>
    <row r="322" ht="15.75" customHeight="1">
      <c r="A322" s="25" t="s">
        <v>26</v>
      </c>
      <c r="B322" s="26">
        <f t="shared" si="6"/>
        <v>45975</v>
      </c>
      <c r="C322" s="27">
        <v>12.0</v>
      </c>
      <c r="D322" s="27" t="s">
        <v>29</v>
      </c>
      <c r="E322" s="28"/>
      <c r="F322" s="49"/>
      <c r="H322" s="48"/>
      <c r="J322" s="48"/>
      <c r="L322" s="48"/>
      <c r="N322" s="48"/>
      <c r="P322" s="48"/>
      <c r="Q322" s="22"/>
      <c r="R322" s="49"/>
      <c r="T322" s="48"/>
      <c r="V322" s="48"/>
      <c r="X322" s="48"/>
      <c r="Z322" s="48"/>
      <c r="AB322" s="48"/>
      <c r="AC322" s="22"/>
      <c r="AD322" s="50">
        <f t="shared" si="1"/>
        <v>0</v>
      </c>
      <c r="AE322" s="51">
        <f t="shared" si="2"/>
        <v>0</v>
      </c>
      <c r="AF322" s="27">
        <f t="shared" si="3"/>
        <v>0</v>
      </c>
      <c r="AG322" s="27">
        <f t="shared" si="4"/>
        <v>0</v>
      </c>
      <c r="AH322" s="24" t="str">
        <f t="shared" si="5"/>
        <v/>
      </c>
    </row>
    <row r="323" ht="15.75" customHeight="1">
      <c r="A323" s="25" t="s">
        <v>27</v>
      </c>
      <c r="B323" s="26">
        <f t="shared" si="6"/>
        <v>45976</v>
      </c>
      <c r="C323" s="27">
        <v>12.0</v>
      </c>
      <c r="D323" s="27" t="s">
        <v>29</v>
      </c>
      <c r="E323" s="28"/>
      <c r="F323" s="49"/>
      <c r="H323" s="48"/>
      <c r="J323" s="48"/>
      <c r="L323" s="48"/>
      <c r="N323" s="48"/>
      <c r="P323" s="48"/>
      <c r="Q323" s="22"/>
      <c r="R323" s="49"/>
      <c r="T323" s="48"/>
      <c r="V323" s="48"/>
      <c r="X323" s="48"/>
      <c r="Z323" s="48"/>
      <c r="AB323" s="48"/>
      <c r="AC323" s="22"/>
      <c r="AD323" s="50">
        <f t="shared" si="1"/>
        <v>0</v>
      </c>
      <c r="AE323" s="51">
        <f t="shared" si="2"/>
        <v>0</v>
      </c>
      <c r="AF323" s="27">
        <f t="shared" si="3"/>
        <v>0</v>
      </c>
      <c r="AG323" s="27">
        <f t="shared" si="4"/>
        <v>0</v>
      </c>
      <c r="AH323" s="24" t="str">
        <f t="shared" si="5"/>
        <v/>
      </c>
    </row>
    <row r="324" ht="15.75" customHeight="1">
      <c r="A324" s="30" t="s">
        <v>28</v>
      </c>
      <c r="B324" s="31">
        <f t="shared" si="6"/>
        <v>45977</v>
      </c>
      <c r="C324" s="32">
        <v>12.0</v>
      </c>
      <c r="D324" s="32" t="s">
        <v>29</v>
      </c>
      <c r="E324" s="33"/>
      <c r="F324" s="55"/>
      <c r="G324" s="35"/>
      <c r="H324" s="54"/>
      <c r="I324" s="35"/>
      <c r="J324" s="54"/>
      <c r="K324" s="35"/>
      <c r="L324" s="54"/>
      <c r="M324" s="35"/>
      <c r="N324" s="54"/>
      <c r="O324" s="35"/>
      <c r="P324" s="54"/>
      <c r="Q324" s="37"/>
      <c r="R324" s="55"/>
      <c r="S324" s="35"/>
      <c r="T324" s="54"/>
      <c r="U324" s="35"/>
      <c r="V324" s="54"/>
      <c r="W324" s="35"/>
      <c r="X324" s="54"/>
      <c r="Y324" s="35"/>
      <c r="Z324" s="54"/>
      <c r="AA324" s="35"/>
      <c r="AB324" s="54"/>
      <c r="AC324" s="37"/>
      <c r="AD324" s="56">
        <f t="shared" si="1"/>
        <v>0</v>
      </c>
      <c r="AE324" s="57">
        <f t="shared" si="2"/>
        <v>0</v>
      </c>
      <c r="AF324" s="32">
        <f t="shared" si="3"/>
        <v>0</v>
      </c>
      <c r="AG324" s="32">
        <f t="shared" si="4"/>
        <v>0</v>
      </c>
      <c r="AH324" s="39" t="str">
        <f t="shared" si="5"/>
        <v/>
      </c>
    </row>
    <row r="325" ht="15.75" customHeight="1">
      <c r="A325" s="16" t="s">
        <v>21</v>
      </c>
      <c r="B325" s="40">
        <f t="shared" si="6"/>
        <v>45978</v>
      </c>
      <c r="C325" s="18">
        <v>12.0</v>
      </c>
      <c r="D325" s="18" t="s">
        <v>30</v>
      </c>
      <c r="E325" s="19"/>
      <c r="F325" s="49"/>
      <c r="H325" s="48"/>
      <c r="J325" s="48"/>
      <c r="L325" s="48"/>
      <c r="N325" s="48"/>
      <c r="P325" s="48"/>
      <c r="Q325" s="22"/>
      <c r="R325" s="49"/>
      <c r="T325" s="48"/>
      <c r="V325" s="48"/>
      <c r="X325" s="48"/>
      <c r="Z325" s="48"/>
      <c r="AB325" s="48"/>
      <c r="AC325" s="22"/>
      <c r="AD325" s="86">
        <f t="shared" si="1"/>
        <v>0</v>
      </c>
      <c r="AE325" s="87">
        <f t="shared" si="2"/>
        <v>0</v>
      </c>
      <c r="AF325" s="18">
        <f t="shared" si="3"/>
        <v>0</v>
      </c>
      <c r="AG325" s="18">
        <f t="shared" si="4"/>
        <v>0</v>
      </c>
      <c r="AH325" s="41" t="str">
        <f t="shared" si="5"/>
        <v/>
      </c>
    </row>
    <row r="326" ht="15.75" customHeight="1">
      <c r="A326" s="25" t="s">
        <v>23</v>
      </c>
      <c r="B326" s="26">
        <f t="shared" si="6"/>
        <v>45979</v>
      </c>
      <c r="C326" s="27">
        <v>12.0</v>
      </c>
      <c r="D326" s="27" t="s">
        <v>30</v>
      </c>
      <c r="E326" s="28"/>
      <c r="F326" s="49"/>
      <c r="H326" s="48"/>
      <c r="J326" s="48"/>
      <c r="L326" s="48"/>
      <c r="N326" s="48"/>
      <c r="P326" s="48"/>
      <c r="Q326" s="22"/>
      <c r="R326" s="49"/>
      <c r="T326" s="48"/>
      <c r="V326" s="48"/>
      <c r="X326" s="48"/>
      <c r="Z326" s="48"/>
      <c r="AB326" s="48"/>
      <c r="AC326" s="22"/>
      <c r="AD326" s="50">
        <f t="shared" si="1"/>
        <v>0</v>
      </c>
      <c r="AE326" s="51">
        <f t="shared" si="2"/>
        <v>0</v>
      </c>
      <c r="AF326" s="27">
        <f t="shared" si="3"/>
        <v>0</v>
      </c>
      <c r="AG326" s="27">
        <f t="shared" si="4"/>
        <v>0</v>
      </c>
      <c r="AH326" s="24" t="str">
        <f t="shared" si="5"/>
        <v/>
      </c>
    </row>
    <row r="327" ht="15.75" customHeight="1">
      <c r="A327" s="25" t="s">
        <v>24</v>
      </c>
      <c r="B327" s="26">
        <f t="shared" si="6"/>
        <v>45980</v>
      </c>
      <c r="C327" s="27">
        <v>12.0</v>
      </c>
      <c r="D327" s="27" t="s">
        <v>30</v>
      </c>
      <c r="E327" s="28"/>
      <c r="F327" s="49"/>
      <c r="H327" s="48"/>
      <c r="J327" s="48"/>
      <c r="L327" s="48"/>
      <c r="N327" s="48"/>
      <c r="P327" s="48"/>
      <c r="Q327" s="22"/>
      <c r="R327" s="49"/>
      <c r="T327" s="48"/>
      <c r="V327" s="48"/>
      <c r="X327" s="48"/>
      <c r="Z327" s="48"/>
      <c r="AB327" s="48"/>
      <c r="AC327" s="22"/>
      <c r="AD327" s="50">
        <f t="shared" si="1"/>
        <v>0</v>
      </c>
      <c r="AE327" s="51">
        <f t="shared" si="2"/>
        <v>0</v>
      </c>
      <c r="AF327" s="27">
        <f t="shared" si="3"/>
        <v>0</v>
      </c>
      <c r="AG327" s="27">
        <f t="shared" si="4"/>
        <v>0</v>
      </c>
      <c r="AH327" s="24" t="str">
        <f t="shared" si="5"/>
        <v/>
      </c>
    </row>
    <row r="328" ht="15.75" customHeight="1">
      <c r="A328" s="25" t="s">
        <v>25</v>
      </c>
      <c r="B328" s="26">
        <f t="shared" si="6"/>
        <v>45981</v>
      </c>
      <c r="C328" s="27">
        <v>12.0</v>
      </c>
      <c r="D328" s="27" t="s">
        <v>30</v>
      </c>
      <c r="E328" s="28"/>
      <c r="F328" s="20"/>
      <c r="H328" s="21"/>
      <c r="J328" s="21"/>
      <c r="L328" s="21"/>
      <c r="N328" s="21"/>
      <c r="P328" s="21"/>
      <c r="Q328" s="22"/>
      <c r="R328" s="20"/>
      <c r="T328" s="21"/>
      <c r="V328" s="21"/>
      <c r="X328" s="21"/>
      <c r="Z328" s="21"/>
      <c r="AB328" s="21"/>
      <c r="AC328" s="22"/>
      <c r="AD328" s="29">
        <f t="shared" si="1"/>
        <v>0</v>
      </c>
      <c r="AE328" s="27">
        <f t="shared" si="2"/>
        <v>0</v>
      </c>
      <c r="AF328" s="27">
        <f t="shared" si="3"/>
        <v>0</v>
      </c>
      <c r="AG328" s="27">
        <f t="shared" si="4"/>
        <v>0</v>
      </c>
      <c r="AH328" s="24" t="str">
        <f t="shared" si="5"/>
        <v/>
      </c>
    </row>
    <row r="329" ht="15.75" customHeight="1">
      <c r="A329" s="25" t="s">
        <v>26</v>
      </c>
      <c r="B329" s="26">
        <f t="shared" si="6"/>
        <v>45982</v>
      </c>
      <c r="C329" s="27">
        <v>12.0</v>
      </c>
      <c r="D329" s="27" t="s">
        <v>30</v>
      </c>
      <c r="E329" s="28"/>
      <c r="F329" s="20"/>
      <c r="H329" s="21"/>
      <c r="J329" s="21"/>
      <c r="L329" s="21"/>
      <c r="N329" s="21"/>
      <c r="P329" s="21"/>
      <c r="Q329" s="22"/>
      <c r="R329" s="20"/>
      <c r="T329" s="21"/>
      <c r="V329" s="21"/>
      <c r="X329" s="21"/>
      <c r="Z329" s="21"/>
      <c r="AB329" s="21"/>
      <c r="AC329" s="22"/>
      <c r="AD329" s="29">
        <f t="shared" si="1"/>
        <v>0</v>
      </c>
      <c r="AE329" s="27">
        <f t="shared" si="2"/>
        <v>0</v>
      </c>
      <c r="AF329" s="27">
        <f t="shared" si="3"/>
        <v>0</v>
      </c>
      <c r="AG329" s="27">
        <f t="shared" si="4"/>
        <v>0</v>
      </c>
      <c r="AH329" s="24" t="str">
        <f t="shared" si="5"/>
        <v/>
      </c>
    </row>
    <row r="330" ht="15.75" customHeight="1">
      <c r="A330" s="25" t="s">
        <v>27</v>
      </c>
      <c r="B330" s="26">
        <f t="shared" si="6"/>
        <v>45983</v>
      </c>
      <c r="C330" s="27">
        <v>12.0</v>
      </c>
      <c r="D330" s="27" t="s">
        <v>30</v>
      </c>
      <c r="E330" s="28"/>
      <c r="F330" s="20"/>
      <c r="H330" s="21"/>
      <c r="J330" s="21"/>
      <c r="L330" s="21"/>
      <c r="N330" s="21"/>
      <c r="P330" s="21"/>
      <c r="Q330" s="22"/>
      <c r="R330" s="20"/>
      <c r="T330" s="21"/>
      <c r="V330" s="21"/>
      <c r="X330" s="21"/>
      <c r="Z330" s="21"/>
      <c r="AB330" s="21"/>
      <c r="AC330" s="22"/>
      <c r="AD330" s="29">
        <f t="shared" si="1"/>
        <v>0</v>
      </c>
      <c r="AE330" s="27">
        <f t="shared" si="2"/>
        <v>0</v>
      </c>
      <c r="AF330" s="27">
        <f t="shared" si="3"/>
        <v>0</v>
      </c>
      <c r="AG330" s="27">
        <f t="shared" si="4"/>
        <v>0</v>
      </c>
      <c r="AH330" s="24" t="str">
        <f t="shared" si="5"/>
        <v/>
      </c>
    </row>
    <row r="331" ht="15.75" customHeight="1">
      <c r="A331" s="30" t="s">
        <v>28</v>
      </c>
      <c r="B331" s="31">
        <f t="shared" si="6"/>
        <v>45984</v>
      </c>
      <c r="C331" s="32">
        <v>12.0</v>
      </c>
      <c r="D331" s="32" t="s">
        <v>30</v>
      </c>
      <c r="E331" s="33"/>
      <c r="F331" s="34"/>
      <c r="G331" s="35"/>
      <c r="H331" s="36"/>
      <c r="I331" s="35"/>
      <c r="J331" s="36"/>
      <c r="K331" s="35"/>
      <c r="L331" s="36"/>
      <c r="M331" s="35"/>
      <c r="N331" s="36"/>
      <c r="O331" s="35"/>
      <c r="P331" s="36"/>
      <c r="Q331" s="37"/>
      <c r="R331" s="34"/>
      <c r="S331" s="35"/>
      <c r="T331" s="36"/>
      <c r="U331" s="35"/>
      <c r="V331" s="36"/>
      <c r="W331" s="35"/>
      <c r="X331" s="36"/>
      <c r="Y331" s="35"/>
      <c r="Z331" s="36"/>
      <c r="AA331" s="35"/>
      <c r="AB331" s="36"/>
      <c r="AC331" s="37"/>
      <c r="AD331" s="38">
        <f t="shared" si="1"/>
        <v>0</v>
      </c>
      <c r="AE331" s="32">
        <f t="shared" si="2"/>
        <v>0</v>
      </c>
      <c r="AF331" s="32">
        <f t="shared" si="3"/>
        <v>0</v>
      </c>
      <c r="AG331" s="32">
        <f t="shared" si="4"/>
        <v>0</v>
      </c>
      <c r="AH331" s="39" t="str">
        <f t="shared" si="5"/>
        <v/>
      </c>
    </row>
    <row r="332" ht="15.75" customHeight="1">
      <c r="A332" s="16" t="s">
        <v>21</v>
      </c>
      <c r="B332" s="40">
        <f t="shared" si="6"/>
        <v>45985</v>
      </c>
      <c r="C332" s="18">
        <v>12.0</v>
      </c>
      <c r="D332" s="18" t="s">
        <v>31</v>
      </c>
      <c r="E332" s="19"/>
      <c r="F332" s="20"/>
      <c r="H332" s="21"/>
      <c r="J332" s="21"/>
      <c r="L332" s="21"/>
      <c r="N332" s="21"/>
      <c r="P332" s="21"/>
      <c r="Q332" s="22"/>
      <c r="R332" s="20"/>
      <c r="T332" s="21"/>
      <c r="V332" s="21"/>
      <c r="X332" s="21"/>
      <c r="Z332" s="21"/>
      <c r="AB332" s="21"/>
      <c r="AC332" s="22"/>
      <c r="AD332" s="23">
        <f t="shared" si="1"/>
        <v>0</v>
      </c>
      <c r="AE332" s="18">
        <f t="shared" si="2"/>
        <v>0</v>
      </c>
      <c r="AF332" s="18">
        <f t="shared" si="3"/>
        <v>0</v>
      </c>
      <c r="AG332" s="18">
        <f t="shared" si="4"/>
        <v>0</v>
      </c>
      <c r="AH332" s="41" t="str">
        <f t="shared" si="5"/>
        <v/>
      </c>
    </row>
    <row r="333" ht="15.75" customHeight="1">
      <c r="A333" s="25" t="s">
        <v>23</v>
      </c>
      <c r="B333" s="26">
        <f t="shared" si="6"/>
        <v>45986</v>
      </c>
      <c r="C333" s="27">
        <v>12.0</v>
      </c>
      <c r="D333" s="27" t="s">
        <v>31</v>
      </c>
      <c r="E333" s="28"/>
      <c r="F333" s="20"/>
      <c r="H333" s="21"/>
      <c r="J333" s="21"/>
      <c r="L333" s="21"/>
      <c r="N333" s="21"/>
      <c r="P333" s="21"/>
      <c r="Q333" s="22"/>
      <c r="R333" s="20"/>
      <c r="T333" s="21"/>
      <c r="V333" s="21"/>
      <c r="X333" s="21"/>
      <c r="Z333" s="21"/>
      <c r="AB333" s="21"/>
      <c r="AC333" s="22"/>
      <c r="AD333" s="29">
        <f t="shared" si="1"/>
        <v>0</v>
      </c>
      <c r="AE333" s="27">
        <f t="shared" si="2"/>
        <v>0</v>
      </c>
      <c r="AF333" s="27">
        <f t="shared" si="3"/>
        <v>0</v>
      </c>
      <c r="AG333" s="27">
        <f t="shared" si="4"/>
        <v>0</v>
      </c>
      <c r="AH333" s="24" t="str">
        <f t="shared" si="5"/>
        <v/>
      </c>
    </row>
    <row r="334" ht="15.75" customHeight="1">
      <c r="A334" s="25" t="s">
        <v>24</v>
      </c>
      <c r="B334" s="26">
        <f t="shared" si="6"/>
        <v>45987</v>
      </c>
      <c r="C334" s="27">
        <v>12.0</v>
      </c>
      <c r="D334" s="27" t="s">
        <v>31</v>
      </c>
      <c r="E334" s="28"/>
      <c r="F334" s="20"/>
      <c r="H334" s="21"/>
      <c r="J334" s="21"/>
      <c r="L334" s="21"/>
      <c r="N334" s="21"/>
      <c r="P334" s="21"/>
      <c r="Q334" s="22"/>
      <c r="R334" s="20"/>
      <c r="T334" s="21"/>
      <c r="V334" s="21"/>
      <c r="X334" s="21"/>
      <c r="Z334" s="21"/>
      <c r="AB334" s="21"/>
      <c r="AC334" s="22"/>
      <c r="AD334" s="29">
        <f t="shared" si="1"/>
        <v>0</v>
      </c>
      <c r="AE334" s="27">
        <f t="shared" si="2"/>
        <v>0</v>
      </c>
      <c r="AF334" s="27">
        <f t="shared" si="3"/>
        <v>0</v>
      </c>
      <c r="AG334" s="27">
        <f t="shared" si="4"/>
        <v>0</v>
      </c>
      <c r="AH334" s="24" t="str">
        <f t="shared" si="5"/>
        <v/>
      </c>
    </row>
    <row r="335" ht="15.75" customHeight="1">
      <c r="A335" s="25" t="s">
        <v>25</v>
      </c>
      <c r="B335" s="26">
        <f t="shared" si="6"/>
        <v>45988</v>
      </c>
      <c r="C335" s="27">
        <v>12.0</v>
      </c>
      <c r="D335" s="27" t="s">
        <v>31</v>
      </c>
      <c r="E335" s="28"/>
      <c r="F335" s="20"/>
      <c r="H335" s="21"/>
      <c r="J335" s="21"/>
      <c r="L335" s="21"/>
      <c r="N335" s="21"/>
      <c r="P335" s="21"/>
      <c r="Q335" s="22"/>
      <c r="R335" s="20"/>
      <c r="T335" s="21"/>
      <c r="V335" s="21"/>
      <c r="X335" s="21"/>
      <c r="Z335" s="21"/>
      <c r="AB335" s="21"/>
      <c r="AC335" s="22"/>
      <c r="AD335" s="29">
        <f t="shared" si="1"/>
        <v>0</v>
      </c>
      <c r="AE335" s="27">
        <f t="shared" si="2"/>
        <v>0</v>
      </c>
      <c r="AF335" s="27">
        <f t="shared" si="3"/>
        <v>0</v>
      </c>
      <c r="AG335" s="27">
        <f t="shared" si="4"/>
        <v>0</v>
      </c>
      <c r="AH335" s="24" t="str">
        <f t="shared" si="5"/>
        <v/>
      </c>
    </row>
    <row r="336" ht="15.75" customHeight="1">
      <c r="A336" s="25" t="s">
        <v>26</v>
      </c>
      <c r="B336" s="26">
        <f t="shared" si="6"/>
        <v>45989</v>
      </c>
      <c r="C336" s="27">
        <v>12.0</v>
      </c>
      <c r="D336" s="27" t="s">
        <v>31</v>
      </c>
      <c r="E336" s="28"/>
      <c r="F336" s="20"/>
      <c r="H336" s="21"/>
      <c r="J336" s="21"/>
      <c r="L336" s="21"/>
      <c r="N336" s="21"/>
      <c r="P336" s="21"/>
      <c r="Q336" s="22"/>
      <c r="R336" s="20"/>
      <c r="T336" s="21"/>
      <c r="V336" s="21"/>
      <c r="X336" s="21"/>
      <c r="Z336" s="21"/>
      <c r="AB336" s="21"/>
      <c r="AC336" s="22"/>
      <c r="AD336" s="29">
        <f t="shared" si="1"/>
        <v>0</v>
      </c>
      <c r="AE336" s="27">
        <f t="shared" si="2"/>
        <v>0</v>
      </c>
      <c r="AF336" s="27">
        <f t="shared" si="3"/>
        <v>0</v>
      </c>
      <c r="AG336" s="27">
        <f t="shared" si="4"/>
        <v>0</v>
      </c>
      <c r="AH336" s="24" t="str">
        <f t="shared" si="5"/>
        <v/>
      </c>
    </row>
    <row r="337" ht="15.75" customHeight="1">
      <c r="A337" s="25" t="s">
        <v>27</v>
      </c>
      <c r="B337" s="26">
        <f t="shared" si="6"/>
        <v>45990</v>
      </c>
      <c r="C337" s="27">
        <v>12.0</v>
      </c>
      <c r="D337" s="27" t="s">
        <v>31</v>
      </c>
      <c r="E337" s="28"/>
      <c r="F337" s="20"/>
      <c r="H337" s="21"/>
      <c r="J337" s="21"/>
      <c r="L337" s="21"/>
      <c r="N337" s="21"/>
      <c r="P337" s="21"/>
      <c r="Q337" s="22"/>
      <c r="R337" s="20"/>
      <c r="T337" s="21"/>
      <c r="V337" s="21"/>
      <c r="X337" s="21"/>
      <c r="Z337" s="21"/>
      <c r="AB337" s="21"/>
      <c r="AC337" s="22"/>
      <c r="AD337" s="29">
        <f t="shared" si="1"/>
        <v>0</v>
      </c>
      <c r="AE337" s="27">
        <f t="shared" si="2"/>
        <v>0</v>
      </c>
      <c r="AF337" s="27">
        <f t="shared" si="3"/>
        <v>0</v>
      </c>
      <c r="AG337" s="27">
        <f t="shared" si="4"/>
        <v>0</v>
      </c>
      <c r="AH337" s="24" t="str">
        <f t="shared" si="5"/>
        <v/>
      </c>
    </row>
    <row r="338" ht="15.75" customHeight="1">
      <c r="A338" s="30" t="s">
        <v>28</v>
      </c>
      <c r="B338" s="31">
        <f t="shared" si="6"/>
        <v>45991</v>
      </c>
      <c r="C338" s="32">
        <v>12.0</v>
      </c>
      <c r="D338" s="32" t="s">
        <v>31</v>
      </c>
      <c r="E338" s="33"/>
      <c r="F338" s="34"/>
      <c r="G338" s="35"/>
      <c r="H338" s="36"/>
      <c r="I338" s="35"/>
      <c r="J338" s="36"/>
      <c r="K338" s="35"/>
      <c r="L338" s="36"/>
      <c r="M338" s="35"/>
      <c r="N338" s="36"/>
      <c r="O338" s="35"/>
      <c r="P338" s="36"/>
      <c r="Q338" s="37"/>
      <c r="R338" s="34"/>
      <c r="S338" s="35"/>
      <c r="T338" s="36"/>
      <c r="U338" s="35"/>
      <c r="V338" s="36"/>
      <c r="W338" s="35"/>
      <c r="X338" s="36"/>
      <c r="Y338" s="35"/>
      <c r="Z338" s="36"/>
      <c r="AA338" s="35"/>
      <c r="AB338" s="36"/>
      <c r="AC338" s="37"/>
      <c r="AD338" s="38">
        <f t="shared" si="1"/>
        <v>0</v>
      </c>
      <c r="AE338" s="32">
        <f t="shared" si="2"/>
        <v>0</v>
      </c>
      <c r="AF338" s="32">
        <f t="shared" si="3"/>
        <v>0</v>
      </c>
      <c r="AG338" s="32">
        <f t="shared" si="4"/>
        <v>0</v>
      </c>
      <c r="AH338" s="39" t="str">
        <f t="shared" si="5"/>
        <v/>
      </c>
    </row>
    <row r="339" ht="15.75" customHeight="1">
      <c r="A339" s="16" t="s">
        <v>21</v>
      </c>
      <c r="B339" s="40">
        <f t="shared" si="6"/>
        <v>45992</v>
      </c>
      <c r="C339" s="18">
        <v>13.0</v>
      </c>
      <c r="D339" s="18" t="s">
        <v>29</v>
      </c>
      <c r="E339" s="19"/>
      <c r="F339" s="20"/>
      <c r="H339" s="21"/>
      <c r="J339" s="21"/>
      <c r="L339" s="21"/>
      <c r="N339" s="21"/>
      <c r="P339" s="21"/>
      <c r="Q339" s="22"/>
      <c r="R339" s="20"/>
      <c r="T339" s="21"/>
      <c r="V339" s="21"/>
      <c r="X339" s="21"/>
      <c r="Z339" s="21"/>
      <c r="AB339" s="21"/>
      <c r="AC339" s="22"/>
      <c r="AD339" s="23">
        <f t="shared" si="1"/>
        <v>0</v>
      </c>
      <c r="AE339" s="18">
        <f t="shared" si="2"/>
        <v>0</v>
      </c>
      <c r="AF339" s="18">
        <f t="shared" si="3"/>
        <v>0</v>
      </c>
      <c r="AG339" s="18">
        <f t="shared" si="4"/>
        <v>0</v>
      </c>
      <c r="AH339" s="41" t="str">
        <f t="shared" si="5"/>
        <v/>
      </c>
    </row>
    <row r="340" ht="15.75" customHeight="1">
      <c r="A340" s="25" t="s">
        <v>23</v>
      </c>
      <c r="B340" s="26">
        <f t="shared" si="6"/>
        <v>45993</v>
      </c>
      <c r="C340" s="27">
        <v>13.0</v>
      </c>
      <c r="D340" s="27" t="s">
        <v>29</v>
      </c>
      <c r="E340" s="28"/>
      <c r="F340" s="20"/>
      <c r="H340" s="21"/>
      <c r="J340" s="21"/>
      <c r="L340" s="21"/>
      <c r="N340" s="21"/>
      <c r="P340" s="21"/>
      <c r="Q340" s="22"/>
      <c r="R340" s="20"/>
      <c r="T340" s="21"/>
      <c r="V340" s="21"/>
      <c r="X340" s="21"/>
      <c r="Z340" s="21"/>
      <c r="AB340" s="21"/>
      <c r="AC340" s="22"/>
      <c r="AD340" s="29">
        <f t="shared" si="1"/>
        <v>0</v>
      </c>
      <c r="AE340" s="27">
        <f t="shared" si="2"/>
        <v>0</v>
      </c>
      <c r="AF340" s="27">
        <f t="shared" si="3"/>
        <v>0</v>
      </c>
      <c r="AG340" s="27">
        <f t="shared" si="4"/>
        <v>0</v>
      </c>
      <c r="AH340" s="24" t="str">
        <f t="shared" si="5"/>
        <v/>
      </c>
    </row>
    <row r="341" ht="15.75" customHeight="1">
      <c r="A341" s="25" t="s">
        <v>24</v>
      </c>
      <c r="B341" s="26">
        <f t="shared" si="6"/>
        <v>45994</v>
      </c>
      <c r="C341" s="27">
        <v>13.0</v>
      </c>
      <c r="D341" s="27" t="s">
        <v>29</v>
      </c>
      <c r="E341" s="28"/>
      <c r="F341" s="20"/>
      <c r="H341" s="21"/>
      <c r="J341" s="21"/>
      <c r="L341" s="21"/>
      <c r="N341" s="21"/>
      <c r="P341" s="21"/>
      <c r="Q341" s="22"/>
      <c r="R341" s="20"/>
      <c r="T341" s="21"/>
      <c r="V341" s="21"/>
      <c r="X341" s="21"/>
      <c r="Z341" s="21"/>
      <c r="AB341" s="21"/>
      <c r="AC341" s="22"/>
      <c r="AD341" s="29">
        <f t="shared" si="1"/>
        <v>0</v>
      </c>
      <c r="AE341" s="27">
        <f t="shared" si="2"/>
        <v>0</v>
      </c>
      <c r="AF341" s="27">
        <f t="shared" si="3"/>
        <v>0</v>
      </c>
      <c r="AG341" s="27">
        <f t="shared" si="4"/>
        <v>0</v>
      </c>
      <c r="AH341" s="24" t="str">
        <f t="shared" si="5"/>
        <v/>
      </c>
    </row>
    <row r="342" ht="15.75" customHeight="1">
      <c r="A342" s="25" t="s">
        <v>25</v>
      </c>
      <c r="B342" s="26">
        <f t="shared" si="6"/>
        <v>45995</v>
      </c>
      <c r="C342" s="27">
        <v>13.0</v>
      </c>
      <c r="D342" s="27" t="s">
        <v>29</v>
      </c>
      <c r="E342" s="28"/>
      <c r="F342" s="20"/>
      <c r="H342" s="21"/>
      <c r="J342" s="21"/>
      <c r="L342" s="21"/>
      <c r="N342" s="21"/>
      <c r="P342" s="21"/>
      <c r="Q342" s="22"/>
      <c r="R342" s="20"/>
      <c r="T342" s="21"/>
      <c r="V342" s="21"/>
      <c r="X342" s="21"/>
      <c r="Z342" s="21"/>
      <c r="AB342" s="21"/>
      <c r="AC342" s="22"/>
      <c r="AD342" s="29">
        <f t="shared" si="1"/>
        <v>0</v>
      </c>
      <c r="AE342" s="27">
        <f t="shared" si="2"/>
        <v>0</v>
      </c>
      <c r="AF342" s="27">
        <f t="shared" si="3"/>
        <v>0</v>
      </c>
      <c r="AG342" s="27">
        <f t="shared" si="4"/>
        <v>0</v>
      </c>
      <c r="AH342" s="24" t="str">
        <f t="shared" si="5"/>
        <v/>
      </c>
    </row>
    <row r="343" ht="15.75" customHeight="1">
      <c r="A343" s="25" t="s">
        <v>26</v>
      </c>
      <c r="B343" s="26">
        <f t="shared" si="6"/>
        <v>45996</v>
      </c>
      <c r="C343" s="27">
        <v>13.0</v>
      </c>
      <c r="D343" s="27" t="s">
        <v>29</v>
      </c>
      <c r="E343" s="28"/>
      <c r="F343" s="20"/>
      <c r="H343" s="21"/>
      <c r="J343" s="21"/>
      <c r="L343" s="21"/>
      <c r="N343" s="21"/>
      <c r="P343" s="21"/>
      <c r="Q343" s="22"/>
      <c r="R343" s="20"/>
      <c r="T343" s="21"/>
      <c r="V343" s="21"/>
      <c r="X343" s="21"/>
      <c r="Z343" s="21"/>
      <c r="AB343" s="21"/>
      <c r="AC343" s="22"/>
      <c r="AD343" s="29">
        <f t="shared" si="1"/>
        <v>0</v>
      </c>
      <c r="AE343" s="27">
        <f t="shared" si="2"/>
        <v>0</v>
      </c>
      <c r="AF343" s="27">
        <f t="shared" si="3"/>
        <v>0</v>
      </c>
      <c r="AG343" s="27">
        <f t="shared" si="4"/>
        <v>0</v>
      </c>
      <c r="AH343" s="24" t="str">
        <f t="shared" si="5"/>
        <v/>
      </c>
    </row>
    <row r="344" ht="15.75" customHeight="1">
      <c r="A344" s="25" t="s">
        <v>27</v>
      </c>
      <c r="B344" s="26">
        <f t="shared" si="6"/>
        <v>45997</v>
      </c>
      <c r="C344" s="27">
        <v>13.0</v>
      </c>
      <c r="D344" s="27" t="s">
        <v>29</v>
      </c>
      <c r="E344" s="28"/>
      <c r="F344" s="20"/>
      <c r="H344" s="21"/>
      <c r="J344" s="21"/>
      <c r="L344" s="21"/>
      <c r="N344" s="21"/>
      <c r="P344" s="21"/>
      <c r="Q344" s="22"/>
      <c r="R344" s="20"/>
      <c r="T344" s="21"/>
      <c r="V344" s="21"/>
      <c r="X344" s="21"/>
      <c r="Z344" s="21"/>
      <c r="AB344" s="21"/>
      <c r="AC344" s="22"/>
      <c r="AD344" s="29">
        <f t="shared" si="1"/>
        <v>0</v>
      </c>
      <c r="AE344" s="27">
        <f t="shared" si="2"/>
        <v>0</v>
      </c>
      <c r="AF344" s="27">
        <f t="shared" si="3"/>
        <v>0</v>
      </c>
      <c r="AG344" s="27">
        <f t="shared" si="4"/>
        <v>0</v>
      </c>
      <c r="AH344" s="24" t="str">
        <f t="shared" si="5"/>
        <v/>
      </c>
    </row>
    <row r="345" ht="15.75" customHeight="1">
      <c r="A345" s="30" t="s">
        <v>28</v>
      </c>
      <c r="B345" s="31">
        <f t="shared" si="6"/>
        <v>45998</v>
      </c>
      <c r="C345" s="32">
        <v>13.0</v>
      </c>
      <c r="D345" s="32" t="s">
        <v>29</v>
      </c>
      <c r="E345" s="33"/>
      <c r="F345" s="34"/>
      <c r="G345" s="35"/>
      <c r="H345" s="36"/>
      <c r="I345" s="35"/>
      <c r="J345" s="36"/>
      <c r="K345" s="35"/>
      <c r="L345" s="36"/>
      <c r="M345" s="35"/>
      <c r="N345" s="36"/>
      <c r="O345" s="35"/>
      <c r="P345" s="36"/>
      <c r="Q345" s="37"/>
      <c r="R345" s="34"/>
      <c r="S345" s="35"/>
      <c r="T345" s="36"/>
      <c r="U345" s="35"/>
      <c r="V345" s="36"/>
      <c r="W345" s="35"/>
      <c r="X345" s="36"/>
      <c r="Y345" s="35"/>
      <c r="Z345" s="36"/>
      <c r="AA345" s="35"/>
      <c r="AB345" s="36"/>
      <c r="AC345" s="37"/>
      <c r="AD345" s="38">
        <f t="shared" si="1"/>
        <v>0</v>
      </c>
      <c r="AE345" s="32">
        <f t="shared" si="2"/>
        <v>0</v>
      </c>
      <c r="AF345" s="32">
        <f t="shared" si="3"/>
        <v>0</v>
      </c>
      <c r="AG345" s="32">
        <f t="shared" si="4"/>
        <v>0</v>
      </c>
      <c r="AH345" s="39" t="str">
        <f t="shared" si="5"/>
        <v/>
      </c>
    </row>
    <row r="346" ht="15.75" customHeight="1">
      <c r="A346" s="16" t="s">
        <v>21</v>
      </c>
      <c r="B346" s="40">
        <f t="shared" si="6"/>
        <v>45999</v>
      </c>
      <c r="C346" s="18">
        <v>13.0</v>
      </c>
      <c r="D346" s="18" t="s">
        <v>30</v>
      </c>
      <c r="E346" s="19"/>
      <c r="F346" s="20"/>
      <c r="H346" s="21"/>
      <c r="J346" s="21"/>
      <c r="L346" s="21"/>
      <c r="N346" s="21"/>
      <c r="P346" s="21"/>
      <c r="Q346" s="22"/>
      <c r="R346" s="20"/>
      <c r="T346" s="21"/>
      <c r="V346" s="21"/>
      <c r="X346" s="21"/>
      <c r="Z346" s="21"/>
      <c r="AB346" s="21"/>
      <c r="AC346" s="22"/>
      <c r="AD346" s="23">
        <f t="shared" si="1"/>
        <v>0</v>
      </c>
      <c r="AE346" s="18">
        <f t="shared" si="2"/>
        <v>0</v>
      </c>
      <c r="AF346" s="18">
        <f t="shared" si="3"/>
        <v>0</v>
      </c>
      <c r="AG346" s="18">
        <f t="shared" si="4"/>
        <v>0</v>
      </c>
      <c r="AH346" s="41" t="str">
        <f t="shared" si="5"/>
        <v/>
      </c>
    </row>
    <row r="347" ht="15.75" customHeight="1">
      <c r="A347" s="25" t="s">
        <v>23</v>
      </c>
      <c r="B347" s="26">
        <f t="shared" si="6"/>
        <v>46000</v>
      </c>
      <c r="C347" s="27">
        <v>13.0</v>
      </c>
      <c r="D347" s="27" t="s">
        <v>30</v>
      </c>
      <c r="E347" s="28"/>
      <c r="F347" s="20"/>
      <c r="H347" s="21"/>
      <c r="J347" s="21"/>
      <c r="L347" s="21"/>
      <c r="N347" s="21"/>
      <c r="P347" s="21"/>
      <c r="Q347" s="22"/>
      <c r="R347" s="20"/>
      <c r="T347" s="21"/>
      <c r="V347" s="21"/>
      <c r="X347" s="21"/>
      <c r="Z347" s="21"/>
      <c r="AB347" s="21"/>
      <c r="AC347" s="22"/>
      <c r="AD347" s="29">
        <f t="shared" si="1"/>
        <v>0</v>
      </c>
      <c r="AE347" s="27">
        <f t="shared" si="2"/>
        <v>0</v>
      </c>
      <c r="AF347" s="27">
        <f t="shared" si="3"/>
        <v>0</v>
      </c>
      <c r="AG347" s="27">
        <f t="shared" si="4"/>
        <v>0</v>
      </c>
      <c r="AH347" s="24" t="str">
        <f t="shared" si="5"/>
        <v/>
      </c>
    </row>
    <row r="348" ht="15.75" customHeight="1">
      <c r="A348" s="25" t="s">
        <v>24</v>
      </c>
      <c r="B348" s="26">
        <f t="shared" si="6"/>
        <v>46001</v>
      </c>
      <c r="C348" s="27">
        <v>13.0</v>
      </c>
      <c r="D348" s="27" t="s">
        <v>30</v>
      </c>
      <c r="E348" s="28"/>
      <c r="F348" s="20"/>
      <c r="H348" s="21"/>
      <c r="J348" s="21"/>
      <c r="L348" s="21"/>
      <c r="N348" s="21"/>
      <c r="P348" s="21"/>
      <c r="Q348" s="22"/>
      <c r="R348" s="20"/>
      <c r="T348" s="21"/>
      <c r="V348" s="21"/>
      <c r="X348" s="21"/>
      <c r="Z348" s="21"/>
      <c r="AB348" s="21"/>
      <c r="AC348" s="22"/>
      <c r="AD348" s="29">
        <f t="shared" si="1"/>
        <v>0</v>
      </c>
      <c r="AE348" s="27">
        <f t="shared" si="2"/>
        <v>0</v>
      </c>
      <c r="AF348" s="27">
        <f t="shared" si="3"/>
        <v>0</v>
      </c>
      <c r="AG348" s="27">
        <f t="shared" si="4"/>
        <v>0</v>
      </c>
      <c r="AH348" s="24" t="str">
        <f t="shared" si="5"/>
        <v/>
      </c>
    </row>
    <row r="349" ht="15.75" customHeight="1">
      <c r="A349" s="25" t="s">
        <v>25</v>
      </c>
      <c r="B349" s="26">
        <f t="shared" si="6"/>
        <v>46002</v>
      </c>
      <c r="C349" s="27">
        <v>13.0</v>
      </c>
      <c r="D349" s="27" t="s">
        <v>30</v>
      </c>
      <c r="E349" s="28"/>
      <c r="F349" s="20"/>
      <c r="H349" s="21"/>
      <c r="J349" s="21"/>
      <c r="L349" s="21"/>
      <c r="N349" s="21"/>
      <c r="P349" s="21"/>
      <c r="Q349" s="22"/>
      <c r="R349" s="20"/>
      <c r="T349" s="21"/>
      <c r="V349" s="21"/>
      <c r="X349" s="21"/>
      <c r="Z349" s="21"/>
      <c r="AB349" s="21"/>
      <c r="AC349" s="22"/>
      <c r="AD349" s="29">
        <f t="shared" si="1"/>
        <v>0</v>
      </c>
      <c r="AE349" s="27">
        <f t="shared" si="2"/>
        <v>0</v>
      </c>
      <c r="AF349" s="27">
        <f t="shared" si="3"/>
        <v>0</v>
      </c>
      <c r="AG349" s="27">
        <f t="shared" si="4"/>
        <v>0</v>
      </c>
      <c r="AH349" s="24" t="str">
        <f t="shared" si="5"/>
        <v/>
      </c>
    </row>
    <row r="350" ht="15.75" customHeight="1">
      <c r="A350" s="25" t="s">
        <v>26</v>
      </c>
      <c r="B350" s="26">
        <f t="shared" si="6"/>
        <v>46003</v>
      </c>
      <c r="C350" s="27">
        <v>13.0</v>
      </c>
      <c r="D350" s="27" t="s">
        <v>30</v>
      </c>
      <c r="E350" s="28"/>
      <c r="F350" s="20"/>
      <c r="H350" s="21"/>
      <c r="J350" s="21"/>
      <c r="L350" s="21"/>
      <c r="N350" s="21"/>
      <c r="P350" s="21"/>
      <c r="Q350" s="22"/>
      <c r="R350" s="20"/>
      <c r="T350" s="21"/>
      <c r="V350" s="21"/>
      <c r="X350" s="21"/>
      <c r="Z350" s="21"/>
      <c r="AB350" s="21"/>
      <c r="AC350" s="22"/>
      <c r="AD350" s="29">
        <f t="shared" si="1"/>
        <v>0</v>
      </c>
      <c r="AE350" s="27">
        <f t="shared" si="2"/>
        <v>0</v>
      </c>
      <c r="AF350" s="27">
        <f t="shared" si="3"/>
        <v>0</v>
      </c>
      <c r="AG350" s="27">
        <f t="shared" si="4"/>
        <v>0</v>
      </c>
      <c r="AH350" s="24" t="str">
        <f t="shared" si="5"/>
        <v/>
      </c>
    </row>
    <row r="351" ht="15.75" customHeight="1">
      <c r="A351" s="25" t="s">
        <v>27</v>
      </c>
      <c r="B351" s="26">
        <f t="shared" si="6"/>
        <v>46004</v>
      </c>
      <c r="C351" s="27">
        <v>13.0</v>
      </c>
      <c r="D351" s="27" t="s">
        <v>30</v>
      </c>
      <c r="E351" s="28"/>
      <c r="F351" s="20"/>
      <c r="H351" s="21"/>
      <c r="J351" s="21"/>
      <c r="L351" s="21"/>
      <c r="N351" s="21"/>
      <c r="P351" s="21"/>
      <c r="Q351" s="22"/>
      <c r="R351" s="20"/>
      <c r="T351" s="21"/>
      <c r="V351" s="21"/>
      <c r="X351" s="21"/>
      <c r="Z351" s="21"/>
      <c r="AB351" s="21"/>
      <c r="AC351" s="22"/>
      <c r="AD351" s="29">
        <f t="shared" si="1"/>
        <v>0</v>
      </c>
      <c r="AE351" s="27">
        <f t="shared" si="2"/>
        <v>0</v>
      </c>
      <c r="AF351" s="27">
        <f t="shared" si="3"/>
        <v>0</v>
      </c>
      <c r="AG351" s="27">
        <f t="shared" si="4"/>
        <v>0</v>
      </c>
      <c r="AH351" s="24" t="str">
        <f t="shared" si="5"/>
        <v/>
      </c>
    </row>
    <row r="352" ht="15.75" customHeight="1">
      <c r="A352" s="30" t="s">
        <v>28</v>
      </c>
      <c r="B352" s="31">
        <f t="shared" si="6"/>
        <v>46005</v>
      </c>
      <c r="C352" s="32">
        <v>13.0</v>
      </c>
      <c r="D352" s="32" t="s">
        <v>30</v>
      </c>
      <c r="E352" s="33"/>
      <c r="F352" s="34"/>
      <c r="G352" s="35"/>
      <c r="H352" s="36"/>
      <c r="I352" s="35"/>
      <c r="J352" s="36"/>
      <c r="K352" s="35"/>
      <c r="L352" s="36"/>
      <c r="M352" s="35"/>
      <c r="N352" s="36"/>
      <c r="O352" s="35"/>
      <c r="P352" s="36"/>
      <c r="Q352" s="37"/>
      <c r="R352" s="34"/>
      <c r="S352" s="35"/>
      <c r="T352" s="36"/>
      <c r="U352" s="35"/>
      <c r="V352" s="36"/>
      <c r="W352" s="35"/>
      <c r="X352" s="36"/>
      <c r="Y352" s="35"/>
      <c r="Z352" s="36"/>
      <c r="AA352" s="35"/>
      <c r="AB352" s="36"/>
      <c r="AC352" s="37"/>
      <c r="AD352" s="38">
        <f t="shared" si="1"/>
        <v>0</v>
      </c>
      <c r="AE352" s="32">
        <f t="shared" si="2"/>
        <v>0</v>
      </c>
      <c r="AF352" s="32">
        <f t="shared" si="3"/>
        <v>0</v>
      </c>
      <c r="AG352" s="32">
        <f t="shared" si="4"/>
        <v>0</v>
      </c>
      <c r="AH352" s="39" t="str">
        <f t="shared" si="5"/>
        <v/>
      </c>
    </row>
    <row r="353" ht="15.75" customHeight="1">
      <c r="A353" s="16" t="s">
        <v>21</v>
      </c>
      <c r="B353" s="40">
        <f t="shared" si="6"/>
        <v>46006</v>
      </c>
      <c r="C353" s="18">
        <v>13.0</v>
      </c>
      <c r="D353" s="18" t="s">
        <v>31</v>
      </c>
      <c r="E353" s="19"/>
      <c r="F353" s="20"/>
      <c r="H353" s="21"/>
      <c r="J353" s="21"/>
      <c r="L353" s="21"/>
      <c r="N353" s="21"/>
      <c r="P353" s="21"/>
      <c r="Q353" s="22"/>
      <c r="R353" s="20"/>
      <c r="T353" s="21"/>
      <c r="V353" s="21"/>
      <c r="X353" s="21"/>
      <c r="Z353" s="21"/>
      <c r="AB353" s="21"/>
      <c r="AC353" s="22"/>
      <c r="AD353" s="23">
        <f t="shared" si="1"/>
        <v>0</v>
      </c>
      <c r="AE353" s="18">
        <f t="shared" si="2"/>
        <v>0</v>
      </c>
      <c r="AF353" s="18">
        <f t="shared" si="3"/>
        <v>0</v>
      </c>
      <c r="AG353" s="18">
        <f t="shared" si="4"/>
        <v>0</v>
      </c>
      <c r="AH353" s="41" t="str">
        <f t="shared" si="5"/>
        <v/>
      </c>
    </row>
    <row r="354" ht="15.75" customHeight="1">
      <c r="A354" s="25" t="s">
        <v>23</v>
      </c>
      <c r="B354" s="26">
        <f t="shared" si="6"/>
        <v>46007</v>
      </c>
      <c r="C354" s="27">
        <v>13.0</v>
      </c>
      <c r="D354" s="27" t="s">
        <v>31</v>
      </c>
      <c r="E354" s="28"/>
      <c r="F354" s="20"/>
      <c r="H354" s="21"/>
      <c r="J354" s="21"/>
      <c r="L354" s="21"/>
      <c r="N354" s="21"/>
      <c r="P354" s="21"/>
      <c r="Q354" s="22"/>
      <c r="R354" s="20"/>
      <c r="T354" s="21"/>
      <c r="V354" s="21"/>
      <c r="X354" s="21"/>
      <c r="Z354" s="21"/>
      <c r="AB354" s="21"/>
      <c r="AC354" s="22"/>
      <c r="AD354" s="29">
        <f t="shared" si="1"/>
        <v>0</v>
      </c>
      <c r="AE354" s="27">
        <f t="shared" si="2"/>
        <v>0</v>
      </c>
      <c r="AF354" s="27">
        <f t="shared" si="3"/>
        <v>0</v>
      </c>
      <c r="AG354" s="27">
        <f t="shared" si="4"/>
        <v>0</v>
      </c>
      <c r="AH354" s="24" t="str">
        <f t="shared" si="5"/>
        <v/>
      </c>
    </row>
    <row r="355" ht="15.75" customHeight="1">
      <c r="A355" s="25" t="s">
        <v>24</v>
      </c>
      <c r="B355" s="26">
        <f t="shared" si="6"/>
        <v>46008</v>
      </c>
      <c r="C355" s="27">
        <v>13.0</v>
      </c>
      <c r="D355" s="27" t="s">
        <v>31</v>
      </c>
      <c r="E355" s="28"/>
      <c r="F355" s="20"/>
      <c r="H355" s="21"/>
      <c r="J355" s="21"/>
      <c r="L355" s="21"/>
      <c r="N355" s="21"/>
      <c r="P355" s="21"/>
      <c r="Q355" s="22"/>
      <c r="R355" s="20"/>
      <c r="T355" s="21"/>
      <c r="V355" s="21"/>
      <c r="X355" s="21"/>
      <c r="Z355" s="21"/>
      <c r="AB355" s="21"/>
      <c r="AC355" s="22"/>
      <c r="AD355" s="29">
        <f t="shared" si="1"/>
        <v>0</v>
      </c>
      <c r="AE355" s="27">
        <f t="shared" si="2"/>
        <v>0</v>
      </c>
      <c r="AF355" s="27">
        <f t="shared" si="3"/>
        <v>0</v>
      </c>
      <c r="AG355" s="27">
        <f t="shared" si="4"/>
        <v>0</v>
      </c>
      <c r="AH355" s="24" t="str">
        <f t="shared" si="5"/>
        <v/>
      </c>
    </row>
    <row r="356" ht="15.75" customHeight="1">
      <c r="A356" s="25" t="s">
        <v>25</v>
      </c>
      <c r="B356" s="26">
        <f t="shared" si="6"/>
        <v>46009</v>
      </c>
      <c r="C356" s="27">
        <v>13.0</v>
      </c>
      <c r="D356" s="27" t="s">
        <v>31</v>
      </c>
      <c r="E356" s="28"/>
      <c r="F356" s="20"/>
      <c r="H356" s="21"/>
      <c r="J356" s="21"/>
      <c r="L356" s="21"/>
      <c r="N356" s="21"/>
      <c r="P356" s="21"/>
      <c r="Q356" s="22"/>
      <c r="R356" s="20"/>
      <c r="T356" s="21"/>
      <c r="V356" s="21"/>
      <c r="X356" s="21"/>
      <c r="Z356" s="21"/>
      <c r="AB356" s="21"/>
      <c r="AC356" s="22"/>
      <c r="AD356" s="29">
        <f t="shared" si="1"/>
        <v>0</v>
      </c>
      <c r="AE356" s="27">
        <f t="shared" si="2"/>
        <v>0</v>
      </c>
      <c r="AF356" s="27">
        <f t="shared" si="3"/>
        <v>0</v>
      </c>
      <c r="AG356" s="27">
        <f t="shared" si="4"/>
        <v>0</v>
      </c>
      <c r="AH356" s="24" t="str">
        <f t="shared" si="5"/>
        <v/>
      </c>
    </row>
    <row r="357" ht="15.75" customHeight="1">
      <c r="A357" s="25" t="s">
        <v>26</v>
      </c>
      <c r="B357" s="26">
        <f t="shared" si="6"/>
        <v>46010</v>
      </c>
      <c r="C357" s="27">
        <v>13.0</v>
      </c>
      <c r="D357" s="27" t="s">
        <v>31</v>
      </c>
      <c r="E357" s="28"/>
      <c r="F357" s="20"/>
      <c r="H357" s="21"/>
      <c r="J357" s="21"/>
      <c r="L357" s="21"/>
      <c r="N357" s="21"/>
      <c r="P357" s="21"/>
      <c r="Q357" s="22"/>
      <c r="R357" s="20"/>
      <c r="T357" s="21"/>
      <c r="V357" s="21"/>
      <c r="X357" s="21"/>
      <c r="Z357" s="21"/>
      <c r="AB357" s="21"/>
      <c r="AC357" s="22"/>
      <c r="AD357" s="29">
        <f t="shared" si="1"/>
        <v>0</v>
      </c>
      <c r="AE357" s="27">
        <f t="shared" si="2"/>
        <v>0</v>
      </c>
      <c r="AF357" s="27">
        <f t="shared" si="3"/>
        <v>0</v>
      </c>
      <c r="AG357" s="27">
        <f t="shared" si="4"/>
        <v>0</v>
      </c>
      <c r="AH357" s="24" t="str">
        <f t="shared" si="5"/>
        <v/>
      </c>
    </row>
    <row r="358" ht="15.75" customHeight="1">
      <c r="A358" s="25" t="s">
        <v>27</v>
      </c>
      <c r="B358" s="26">
        <f t="shared" si="6"/>
        <v>46011</v>
      </c>
      <c r="C358" s="27">
        <v>13.0</v>
      </c>
      <c r="D358" s="27" t="s">
        <v>31</v>
      </c>
      <c r="E358" s="28"/>
      <c r="F358" s="20"/>
      <c r="H358" s="21"/>
      <c r="J358" s="21"/>
      <c r="L358" s="21"/>
      <c r="N358" s="21"/>
      <c r="P358" s="21"/>
      <c r="Q358" s="22"/>
      <c r="R358" s="20"/>
      <c r="T358" s="21"/>
      <c r="V358" s="21"/>
      <c r="X358" s="21"/>
      <c r="Z358" s="21"/>
      <c r="AB358" s="21"/>
      <c r="AC358" s="22"/>
      <c r="AD358" s="29">
        <f t="shared" si="1"/>
        <v>0</v>
      </c>
      <c r="AE358" s="27">
        <f t="shared" si="2"/>
        <v>0</v>
      </c>
      <c r="AF358" s="27">
        <f t="shared" si="3"/>
        <v>0</v>
      </c>
      <c r="AG358" s="27">
        <f t="shared" si="4"/>
        <v>0</v>
      </c>
      <c r="AH358" s="24" t="str">
        <f t="shared" si="5"/>
        <v/>
      </c>
    </row>
    <row r="359" ht="15.75" customHeight="1">
      <c r="A359" s="30" t="s">
        <v>28</v>
      </c>
      <c r="B359" s="31">
        <f t="shared" si="6"/>
        <v>46012</v>
      </c>
      <c r="C359" s="32">
        <v>13.0</v>
      </c>
      <c r="D359" s="32" t="s">
        <v>31</v>
      </c>
      <c r="E359" s="33"/>
      <c r="F359" s="34"/>
      <c r="G359" s="35"/>
      <c r="H359" s="36"/>
      <c r="I359" s="35"/>
      <c r="J359" s="36"/>
      <c r="K359" s="35"/>
      <c r="L359" s="36"/>
      <c r="M359" s="35"/>
      <c r="N359" s="36"/>
      <c r="O359" s="35"/>
      <c r="P359" s="36"/>
      <c r="Q359" s="37"/>
      <c r="R359" s="34"/>
      <c r="S359" s="35"/>
      <c r="T359" s="36"/>
      <c r="U359" s="35"/>
      <c r="V359" s="36"/>
      <c r="W359" s="35"/>
      <c r="X359" s="36"/>
      <c r="Y359" s="35"/>
      <c r="Z359" s="36"/>
      <c r="AA359" s="35"/>
      <c r="AB359" s="36"/>
      <c r="AC359" s="37"/>
      <c r="AD359" s="38">
        <f t="shared" si="1"/>
        <v>0</v>
      </c>
      <c r="AE359" s="32">
        <f t="shared" si="2"/>
        <v>0</v>
      </c>
      <c r="AF359" s="32">
        <f t="shared" si="3"/>
        <v>0</v>
      </c>
      <c r="AG359" s="32">
        <f t="shared" si="4"/>
        <v>0</v>
      </c>
      <c r="AH359" s="39" t="str">
        <f t="shared" si="5"/>
        <v/>
      </c>
    </row>
    <row r="360" ht="15.75" customHeight="1">
      <c r="A360" s="175"/>
      <c r="B360" s="176"/>
      <c r="C360" s="177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78"/>
    </row>
    <row r="361" ht="15.75" customHeight="1">
      <c r="A361" s="175"/>
      <c r="B361" s="176"/>
      <c r="C361" s="177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9">
        <f>SUM(AD3:AD359)</f>
        <v>149177.7</v>
      </c>
      <c r="AE361" s="178"/>
      <c r="AF361" s="178"/>
      <c r="AG361" s="180">
        <f>SUM(AG3:AG359)</f>
        <v>5670</v>
      </c>
      <c r="AH361" s="178"/>
    </row>
    <row r="362" ht="15.75" customHeight="1">
      <c r="A362" s="175"/>
      <c r="B362" s="176"/>
      <c r="C362" s="177"/>
      <c r="D362" s="181" t="s">
        <v>36</v>
      </c>
      <c r="E362" s="182">
        <v>0.054</v>
      </c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78"/>
    </row>
    <row r="363" ht="15.75" customHeight="1">
      <c r="A363" s="175"/>
      <c r="B363" s="176"/>
      <c r="C363" s="177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78"/>
    </row>
    <row r="364" ht="15.75" customHeight="1">
      <c r="A364" s="175"/>
      <c r="B364" s="176"/>
      <c r="C364" s="177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78"/>
    </row>
    <row r="365" ht="15.75" customHeight="1">
      <c r="A365" s="175"/>
      <c r="B365" s="176"/>
      <c r="C365" s="177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78"/>
    </row>
    <row r="366" ht="15.75" customHeight="1">
      <c r="A366" s="183"/>
      <c r="B366" s="178"/>
      <c r="C366" s="177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78"/>
    </row>
    <row r="367" ht="15.75" customHeight="1">
      <c r="A367" s="183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78"/>
    </row>
    <row r="368" ht="15.75" customHeight="1">
      <c r="A368" s="183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78"/>
    </row>
    <row r="369" ht="15.75" customHeight="1">
      <c r="A369" s="183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78"/>
    </row>
    <row r="370" ht="15.75" customHeight="1">
      <c r="A370" s="183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78"/>
    </row>
    <row r="371" ht="15.75" customHeight="1">
      <c r="A371" s="183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78"/>
    </row>
    <row r="372" ht="15.75" customHeight="1">
      <c r="A372" s="183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78"/>
    </row>
    <row r="373" ht="15.75" customHeight="1">
      <c r="A373" s="183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78"/>
    </row>
    <row r="374" ht="15.75" customHeight="1">
      <c r="A374" s="183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78"/>
    </row>
    <row r="375" ht="15.75" customHeight="1">
      <c r="A375" s="183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78"/>
    </row>
    <row r="376" ht="15.75" customHeight="1">
      <c r="A376" s="183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78"/>
    </row>
    <row r="377" ht="15.75" customHeight="1">
      <c r="A377" s="183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78"/>
    </row>
    <row r="378" ht="15.75" customHeight="1">
      <c r="A378" s="183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78"/>
    </row>
    <row r="379" ht="15.75" customHeight="1">
      <c r="A379" s="183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78"/>
    </row>
    <row r="380" ht="15.75" customHeight="1">
      <c r="A380" s="183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78"/>
    </row>
    <row r="381" ht="15.75" customHeight="1">
      <c r="A381" s="183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78"/>
    </row>
    <row r="382" ht="15.75" customHeight="1">
      <c r="A382" s="183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78"/>
    </row>
    <row r="383" ht="15.75" customHeight="1">
      <c r="A383" s="183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78"/>
    </row>
    <row r="384" ht="15.75" customHeight="1">
      <c r="A384" s="183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78"/>
    </row>
    <row r="385" ht="15.75" customHeight="1">
      <c r="A385" s="183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78"/>
    </row>
    <row r="386" ht="15.75" customHeight="1">
      <c r="A386" s="183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78"/>
    </row>
    <row r="387" ht="15.75" customHeight="1">
      <c r="A387" s="183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78"/>
    </row>
    <row r="388" ht="15.75" customHeight="1">
      <c r="A388" s="183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78"/>
    </row>
    <row r="389" ht="15.75" customHeight="1">
      <c r="A389" s="183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78"/>
    </row>
    <row r="390" ht="15.75" customHeight="1">
      <c r="A390" s="183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</row>
    <row r="391" ht="15.75" customHeight="1">
      <c r="A391" s="183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78"/>
    </row>
    <row r="392" ht="15.75" customHeight="1">
      <c r="A392" s="183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78"/>
    </row>
    <row r="393" ht="15.75" customHeight="1">
      <c r="A393" s="183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78"/>
    </row>
    <row r="394" ht="15.75" customHeight="1">
      <c r="A394" s="183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78"/>
    </row>
    <row r="395" ht="15.75" customHeight="1">
      <c r="A395" s="183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78"/>
    </row>
    <row r="396" ht="15.75" customHeight="1">
      <c r="A396" s="183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78"/>
    </row>
    <row r="397" ht="15.75" customHeight="1">
      <c r="A397" s="183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78"/>
    </row>
    <row r="398" ht="15.75" customHeight="1">
      <c r="A398" s="183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78"/>
    </row>
    <row r="399" ht="15.75" customHeight="1">
      <c r="A399" s="183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</row>
    <row r="400" ht="15.75" customHeight="1">
      <c r="A400" s="183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78"/>
    </row>
    <row r="401" ht="15.75" customHeight="1">
      <c r="A401" s="183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78"/>
    </row>
    <row r="402" ht="15.75" customHeight="1">
      <c r="A402" s="183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78"/>
    </row>
    <row r="403" ht="15.75" customHeight="1">
      <c r="A403" s="183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78"/>
    </row>
    <row r="404" ht="15.75" customHeight="1">
      <c r="A404" s="183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78"/>
    </row>
    <row r="405" ht="15.75" customHeight="1">
      <c r="A405" s="183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78"/>
    </row>
    <row r="406" ht="15.75" customHeight="1">
      <c r="A406" s="183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78"/>
    </row>
    <row r="407" ht="15.75" customHeight="1">
      <c r="A407" s="183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78"/>
    </row>
    <row r="408" ht="15.75" customHeight="1">
      <c r="A408" s="183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78"/>
    </row>
    <row r="409" ht="15.75" customHeight="1">
      <c r="A409" s="183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78"/>
    </row>
    <row r="410" ht="15.75" customHeight="1">
      <c r="A410" s="183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78"/>
    </row>
    <row r="411" ht="15.75" customHeight="1">
      <c r="A411" s="183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78"/>
    </row>
    <row r="412" ht="15.75" customHeight="1">
      <c r="A412" s="183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78"/>
    </row>
    <row r="413" ht="15.75" customHeight="1">
      <c r="A413" s="183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78"/>
    </row>
    <row r="414" ht="15.75" customHeight="1">
      <c r="A414" s="183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78"/>
    </row>
    <row r="415" ht="15.75" customHeight="1">
      <c r="A415" s="183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78"/>
    </row>
    <row r="416" ht="15.75" customHeight="1">
      <c r="A416" s="183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78"/>
    </row>
    <row r="417" ht="15.75" customHeight="1">
      <c r="A417" s="183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78"/>
    </row>
    <row r="418" ht="15.75" customHeight="1">
      <c r="A418" s="183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78"/>
    </row>
    <row r="419" ht="15.75" customHeight="1">
      <c r="A419" s="183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78"/>
    </row>
    <row r="420" ht="15.75" customHeight="1">
      <c r="A420" s="183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78"/>
    </row>
    <row r="421" ht="15.75" customHeight="1">
      <c r="A421" s="183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78"/>
    </row>
    <row r="422" ht="15.75" customHeight="1">
      <c r="A422" s="183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78"/>
    </row>
    <row r="423" ht="15.75" customHeight="1">
      <c r="A423" s="183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78"/>
    </row>
    <row r="424" ht="15.75" customHeight="1">
      <c r="A424" s="183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78"/>
    </row>
    <row r="425" ht="15.75" customHeight="1">
      <c r="A425" s="183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78"/>
    </row>
    <row r="426" ht="15.75" customHeight="1">
      <c r="A426" s="183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78"/>
    </row>
    <row r="427" ht="15.75" customHeight="1">
      <c r="A427" s="183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78"/>
    </row>
    <row r="428" ht="15.75" customHeight="1">
      <c r="A428" s="183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78"/>
    </row>
    <row r="429" ht="15.75" customHeight="1">
      <c r="A429" s="183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78"/>
    </row>
    <row r="430" ht="15.75" customHeight="1">
      <c r="A430" s="183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78"/>
    </row>
    <row r="431" ht="15.75" customHeight="1">
      <c r="A431" s="183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78"/>
    </row>
    <row r="432" ht="15.75" customHeight="1">
      <c r="A432" s="183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78"/>
    </row>
    <row r="433" ht="15.75" customHeight="1">
      <c r="A433" s="183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78"/>
    </row>
    <row r="434" ht="15.75" customHeight="1">
      <c r="A434" s="183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78"/>
    </row>
    <row r="435" ht="15.75" customHeight="1">
      <c r="A435" s="183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78"/>
    </row>
    <row r="436" ht="15.75" customHeight="1">
      <c r="A436" s="183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78"/>
    </row>
    <row r="437" ht="15.75" customHeight="1">
      <c r="A437" s="183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78"/>
    </row>
    <row r="438" ht="15.75" customHeight="1">
      <c r="A438" s="183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78"/>
    </row>
    <row r="439" ht="15.75" customHeight="1">
      <c r="A439" s="183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78"/>
    </row>
    <row r="440" ht="15.75" customHeight="1">
      <c r="A440" s="183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78"/>
    </row>
    <row r="441" ht="15.75" customHeight="1">
      <c r="A441" s="183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78"/>
    </row>
    <row r="442" ht="15.75" customHeight="1">
      <c r="A442" s="183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78"/>
    </row>
    <row r="443" ht="15.75" customHeight="1">
      <c r="A443" s="183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78"/>
    </row>
    <row r="444" ht="15.75" customHeight="1">
      <c r="A444" s="183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78"/>
    </row>
    <row r="445" ht="15.75" customHeight="1">
      <c r="A445" s="183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78"/>
    </row>
    <row r="446" ht="15.75" customHeight="1">
      <c r="A446" s="183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78"/>
    </row>
    <row r="447" ht="15.75" customHeight="1">
      <c r="A447" s="183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78"/>
    </row>
    <row r="448" ht="15.75" customHeight="1">
      <c r="A448" s="183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78"/>
    </row>
    <row r="449" ht="15.75" customHeight="1">
      <c r="A449" s="183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78"/>
    </row>
    <row r="450" ht="15.75" customHeight="1">
      <c r="A450" s="183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78"/>
    </row>
    <row r="451" ht="15.75" customHeight="1">
      <c r="A451" s="183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78"/>
    </row>
    <row r="452" ht="15.75" customHeight="1">
      <c r="A452" s="183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78"/>
    </row>
    <row r="453" ht="15.75" customHeight="1">
      <c r="A453" s="183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78"/>
    </row>
    <row r="454" ht="15.75" customHeight="1">
      <c r="A454" s="183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78"/>
    </row>
    <row r="455" ht="15.75" customHeight="1">
      <c r="A455" s="183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78"/>
    </row>
    <row r="456" ht="15.75" customHeight="1">
      <c r="A456" s="183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78"/>
    </row>
    <row r="457" ht="15.75" customHeight="1">
      <c r="A457" s="183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78"/>
    </row>
    <row r="458" ht="15.75" customHeight="1">
      <c r="A458" s="183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78"/>
    </row>
    <row r="459" ht="15.75" customHeight="1">
      <c r="A459" s="183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78"/>
    </row>
    <row r="460" ht="15.75" customHeight="1">
      <c r="A460" s="183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78"/>
    </row>
    <row r="461" ht="15.75" customHeight="1">
      <c r="A461" s="183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78"/>
    </row>
    <row r="462" ht="15.75" customHeight="1">
      <c r="A462" s="183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78"/>
    </row>
    <row r="463" ht="15.75" customHeight="1">
      <c r="A463" s="183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78"/>
    </row>
    <row r="464" ht="15.75" customHeight="1">
      <c r="A464" s="183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78"/>
    </row>
    <row r="465" ht="15.75" customHeight="1">
      <c r="A465" s="183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78"/>
    </row>
    <row r="466" ht="15.75" customHeight="1">
      <c r="A466" s="183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78"/>
    </row>
    <row r="467" ht="15.75" customHeight="1">
      <c r="A467" s="183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78"/>
    </row>
    <row r="468" ht="15.75" customHeight="1">
      <c r="A468" s="183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78"/>
    </row>
    <row r="469" ht="15.75" customHeight="1">
      <c r="A469" s="183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78"/>
    </row>
    <row r="470" ht="15.75" customHeight="1">
      <c r="A470" s="183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78"/>
    </row>
    <row r="471" ht="15.75" customHeight="1">
      <c r="A471" s="183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78"/>
    </row>
    <row r="472" ht="15.75" customHeight="1">
      <c r="A472" s="183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78"/>
    </row>
    <row r="473" ht="15.75" customHeight="1">
      <c r="A473" s="183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78"/>
    </row>
    <row r="474" ht="15.75" customHeight="1">
      <c r="A474" s="183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78"/>
    </row>
    <row r="475" ht="15.75" customHeight="1">
      <c r="A475" s="183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78"/>
    </row>
    <row r="476" ht="15.75" customHeight="1">
      <c r="A476" s="183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78"/>
    </row>
    <row r="477" ht="15.75" customHeight="1">
      <c r="A477" s="183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78"/>
    </row>
    <row r="478" ht="15.75" customHeight="1">
      <c r="A478" s="183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78"/>
    </row>
    <row r="479" ht="15.75" customHeight="1">
      <c r="A479" s="183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78"/>
    </row>
    <row r="480" ht="15.75" customHeight="1">
      <c r="A480" s="183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78"/>
    </row>
    <row r="481" ht="15.75" customHeight="1">
      <c r="A481" s="183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78"/>
    </row>
    <row r="482" ht="15.75" customHeight="1">
      <c r="A482" s="183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78"/>
    </row>
    <row r="483" ht="15.75" customHeight="1">
      <c r="A483" s="183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78"/>
    </row>
    <row r="484" ht="15.75" customHeight="1">
      <c r="A484" s="183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78"/>
    </row>
    <row r="485" ht="15.75" customHeight="1">
      <c r="A485" s="183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78"/>
    </row>
    <row r="486" ht="15.75" customHeight="1">
      <c r="A486" s="183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78"/>
    </row>
    <row r="487" ht="15.75" customHeight="1">
      <c r="A487" s="183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78"/>
    </row>
    <row r="488" ht="15.75" customHeight="1">
      <c r="A488" s="183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78"/>
    </row>
    <row r="489" ht="15.75" customHeight="1">
      <c r="A489" s="183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78"/>
    </row>
    <row r="490" ht="15.75" customHeight="1">
      <c r="A490" s="183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78"/>
    </row>
    <row r="491" ht="15.75" customHeight="1">
      <c r="A491" s="183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78"/>
    </row>
    <row r="492" ht="15.75" customHeight="1">
      <c r="A492" s="183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78"/>
    </row>
    <row r="493" ht="15.75" customHeight="1">
      <c r="A493" s="183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78"/>
    </row>
    <row r="494" ht="15.75" customHeight="1">
      <c r="A494" s="183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78"/>
    </row>
    <row r="495" ht="15.75" customHeight="1">
      <c r="A495" s="183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78"/>
    </row>
    <row r="496" ht="15.75" customHeight="1">
      <c r="A496" s="183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78"/>
    </row>
    <row r="497" ht="15.75" customHeight="1">
      <c r="A497" s="183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78"/>
    </row>
    <row r="498" ht="15.75" customHeight="1">
      <c r="A498" s="183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78"/>
    </row>
    <row r="499" ht="15.75" customHeight="1">
      <c r="A499" s="183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</row>
    <row r="500" ht="15.75" customHeight="1">
      <c r="A500" s="183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78"/>
    </row>
    <row r="501" ht="15.75" customHeight="1">
      <c r="A501" s="183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78"/>
    </row>
    <row r="502" ht="15.75" customHeight="1">
      <c r="A502" s="183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78"/>
    </row>
    <row r="503" ht="15.75" customHeight="1">
      <c r="A503" s="183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78"/>
    </row>
    <row r="504" ht="15.75" customHeight="1">
      <c r="A504" s="183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78"/>
    </row>
    <row r="505" ht="15.75" customHeight="1">
      <c r="A505" s="183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78"/>
    </row>
    <row r="506" ht="15.75" customHeight="1">
      <c r="A506" s="183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78"/>
    </row>
    <row r="507" ht="15.75" customHeight="1">
      <c r="A507" s="183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78"/>
    </row>
    <row r="508" ht="15.75" customHeight="1">
      <c r="A508" s="183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78"/>
    </row>
    <row r="509" ht="15.75" customHeight="1">
      <c r="A509" s="183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78"/>
    </row>
    <row r="510" ht="15.75" customHeight="1">
      <c r="A510" s="183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78"/>
    </row>
    <row r="511" ht="15.75" customHeight="1">
      <c r="A511" s="183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78"/>
    </row>
    <row r="512" ht="15.75" customHeight="1">
      <c r="A512" s="183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78"/>
    </row>
    <row r="513" ht="15.75" customHeight="1">
      <c r="A513" s="183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78"/>
    </row>
    <row r="514" ht="15.75" customHeight="1">
      <c r="A514" s="183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78"/>
    </row>
    <row r="515" ht="15.75" customHeight="1">
      <c r="A515" s="183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78"/>
    </row>
    <row r="516" ht="15.75" customHeight="1">
      <c r="A516" s="183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78"/>
    </row>
    <row r="517" ht="15.75" customHeight="1">
      <c r="A517" s="183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78"/>
    </row>
    <row r="518" ht="15.75" customHeight="1">
      <c r="A518" s="183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78"/>
    </row>
    <row r="519" ht="15.75" customHeight="1">
      <c r="A519" s="183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78"/>
    </row>
    <row r="520" ht="15.75" customHeight="1">
      <c r="A520" s="183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78"/>
    </row>
    <row r="521" ht="15.75" customHeight="1">
      <c r="A521" s="183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78"/>
    </row>
    <row r="522" ht="15.75" customHeight="1">
      <c r="A522" s="183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78"/>
    </row>
    <row r="523" ht="15.75" customHeight="1">
      <c r="A523" s="183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78"/>
    </row>
    <row r="524" ht="15.75" customHeight="1">
      <c r="A524" s="183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78"/>
    </row>
    <row r="525" ht="15.75" customHeight="1">
      <c r="A525" s="183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78"/>
    </row>
    <row r="526" ht="15.75" customHeight="1">
      <c r="A526" s="183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78"/>
    </row>
    <row r="527" ht="15.75" customHeight="1">
      <c r="A527" s="183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78"/>
    </row>
    <row r="528" ht="15.75" customHeight="1">
      <c r="A528" s="183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78"/>
    </row>
    <row r="529" ht="15.75" customHeight="1">
      <c r="A529" s="183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78"/>
    </row>
    <row r="530" ht="15.75" customHeight="1">
      <c r="A530" s="183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78"/>
    </row>
    <row r="531" ht="15.75" customHeight="1">
      <c r="A531" s="183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78"/>
    </row>
    <row r="532" ht="15.75" customHeight="1">
      <c r="A532" s="183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78"/>
    </row>
    <row r="533" ht="15.75" customHeight="1">
      <c r="A533" s="183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78"/>
    </row>
    <row r="534" ht="15.75" customHeight="1">
      <c r="A534" s="183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78"/>
    </row>
    <row r="535" ht="15.75" customHeight="1">
      <c r="A535" s="183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78"/>
    </row>
    <row r="536" ht="15.75" customHeight="1">
      <c r="A536" s="183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78"/>
    </row>
    <row r="537" ht="15.75" customHeight="1">
      <c r="A537" s="183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78"/>
    </row>
    <row r="538" ht="15.75" customHeight="1">
      <c r="A538" s="183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78"/>
    </row>
    <row r="539" ht="15.75" customHeight="1">
      <c r="A539" s="183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78"/>
    </row>
    <row r="540" ht="15.75" customHeight="1">
      <c r="A540" s="183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78"/>
    </row>
    <row r="541" ht="15.75" customHeight="1">
      <c r="A541" s="183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78"/>
    </row>
    <row r="542" ht="15.75" customHeight="1">
      <c r="A542" s="183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78"/>
    </row>
    <row r="543" ht="15.75" customHeight="1">
      <c r="A543" s="183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78"/>
    </row>
    <row r="544" ht="15.75" customHeight="1">
      <c r="A544" s="183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78"/>
    </row>
    <row r="545" ht="15.75" customHeight="1">
      <c r="A545" s="183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78"/>
    </row>
    <row r="546" ht="15.75" customHeight="1">
      <c r="A546" s="183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78"/>
    </row>
    <row r="547" ht="15.75" customHeight="1">
      <c r="A547" s="183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78"/>
    </row>
    <row r="548" ht="15.75" customHeight="1">
      <c r="A548" s="183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78"/>
    </row>
    <row r="549" ht="15.75" customHeight="1">
      <c r="A549" s="183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78"/>
    </row>
    <row r="550" ht="15.75" customHeight="1">
      <c r="A550" s="183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78"/>
    </row>
    <row r="551" ht="15.75" customHeight="1">
      <c r="A551" s="183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78"/>
    </row>
    <row r="552" ht="15.75" customHeight="1">
      <c r="A552" s="183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78"/>
    </row>
    <row r="553" ht="15.75" customHeight="1">
      <c r="A553" s="183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78"/>
    </row>
    <row r="554" ht="15.75" customHeight="1">
      <c r="A554" s="183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78"/>
    </row>
    <row r="555" ht="15.75" customHeight="1">
      <c r="A555" s="183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78"/>
    </row>
    <row r="556" ht="15.75" customHeight="1">
      <c r="A556" s="183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78"/>
    </row>
    <row r="557" ht="15.75" customHeight="1">
      <c r="A557" s="183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78"/>
    </row>
    <row r="558" ht="15.75" customHeight="1">
      <c r="A558" s="183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78"/>
    </row>
    <row r="559" ht="15.75" customHeight="1">
      <c r="A559" s="183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78"/>
    </row>
    <row r="560" ht="15.75" customHeight="1">
      <c r="A560" s="183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78"/>
    </row>
    <row r="561" ht="15.75" customHeight="1">
      <c r="A561" s="183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78"/>
    </row>
    <row r="562" ht="15.75" customHeight="1">
      <c r="A562" s="183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78"/>
    </row>
    <row r="563" ht="15.75" customHeight="1">
      <c r="A563" s="183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78"/>
    </row>
    <row r="564" ht="15.75" customHeight="1">
      <c r="A564" s="183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78"/>
    </row>
    <row r="565" ht="15.75" customHeight="1">
      <c r="A565" s="183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78"/>
    </row>
    <row r="566" ht="15.75" customHeight="1">
      <c r="A566" s="183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78"/>
    </row>
    <row r="567" ht="15.75" customHeight="1">
      <c r="A567" s="183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78"/>
    </row>
    <row r="568" ht="15.75" customHeight="1">
      <c r="A568" s="183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78"/>
    </row>
    <row r="569" ht="15.75" customHeight="1">
      <c r="A569" s="183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78"/>
    </row>
    <row r="570" ht="15.75" customHeight="1">
      <c r="A570" s="183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78"/>
    </row>
    <row r="571" ht="15.75" customHeight="1">
      <c r="A571" s="183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78"/>
    </row>
    <row r="572" ht="15.75" customHeight="1">
      <c r="A572" s="183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78"/>
    </row>
    <row r="573" ht="15.75" customHeight="1">
      <c r="A573" s="183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78"/>
    </row>
    <row r="574" ht="15.75" customHeight="1">
      <c r="A574" s="183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78"/>
    </row>
    <row r="575" ht="15.75" customHeight="1">
      <c r="A575" s="183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78"/>
    </row>
    <row r="576" ht="15.75" customHeight="1">
      <c r="A576" s="183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78"/>
    </row>
    <row r="577" ht="15.75" customHeight="1">
      <c r="A577" s="183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78"/>
    </row>
    <row r="578" ht="15.75" customHeight="1">
      <c r="A578" s="183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78"/>
    </row>
    <row r="579" ht="15.75" customHeight="1">
      <c r="A579" s="183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78"/>
    </row>
    <row r="580" ht="15.75" customHeight="1">
      <c r="A580" s="183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78"/>
    </row>
    <row r="581" ht="15.75" customHeight="1">
      <c r="A581" s="183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78"/>
    </row>
    <row r="582" ht="15.75" customHeight="1">
      <c r="A582" s="183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78"/>
    </row>
    <row r="583" ht="15.75" customHeight="1">
      <c r="A583" s="183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78"/>
    </row>
    <row r="584" ht="15.75" customHeight="1">
      <c r="A584" s="183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78"/>
    </row>
    <row r="585" ht="15.75" customHeight="1">
      <c r="A585" s="183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78"/>
    </row>
    <row r="586" ht="15.75" customHeight="1">
      <c r="A586" s="183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78"/>
    </row>
    <row r="587" ht="15.75" customHeight="1">
      <c r="A587" s="183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78"/>
    </row>
    <row r="588" ht="15.75" customHeight="1">
      <c r="A588" s="183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78"/>
    </row>
    <row r="589" ht="15.75" customHeight="1">
      <c r="A589" s="183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78"/>
    </row>
    <row r="590" ht="15.75" customHeight="1">
      <c r="A590" s="183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78"/>
    </row>
    <row r="591" ht="15.75" customHeight="1">
      <c r="A591" s="183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78"/>
    </row>
    <row r="592" ht="15.75" customHeight="1">
      <c r="A592" s="183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78"/>
    </row>
    <row r="593" ht="15.75" customHeight="1">
      <c r="A593" s="183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78"/>
    </row>
    <row r="594" ht="15.75" customHeight="1">
      <c r="A594" s="183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78"/>
    </row>
    <row r="595" ht="15.75" customHeight="1">
      <c r="A595" s="183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78"/>
    </row>
    <row r="596" ht="15.75" customHeight="1">
      <c r="A596" s="183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78"/>
    </row>
    <row r="597" ht="15.75" customHeight="1">
      <c r="A597" s="183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78"/>
    </row>
    <row r="598" ht="15.75" customHeight="1">
      <c r="A598" s="183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78"/>
    </row>
    <row r="599" ht="15.75" customHeight="1">
      <c r="A599" s="183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78"/>
    </row>
    <row r="600" ht="15.75" customHeight="1">
      <c r="A600" s="183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78"/>
    </row>
    <row r="601" ht="15.75" customHeight="1">
      <c r="A601" s="183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78"/>
    </row>
    <row r="602" ht="15.75" customHeight="1">
      <c r="A602" s="183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78"/>
    </row>
    <row r="603" ht="15.75" customHeight="1">
      <c r="A603" s="183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78"/>
    </row>
    <row r="604" ht="15.75" customHeight="1">
      <c r="A604" s="183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78"/>
    </row>
    <row r="605" ht="15.75" customHeight="1">
      <c r="A605" s="183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78"/>
    </row>
    <row r="606" ht="15.75" customHeight="1">
      <c r="A606" s="183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78"/>
    </row>
    <row r="607" ht="15.75" customHeight="1">
      <c r="A607" s="183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78"/>
    </row>
    <row r="608" ht="15.75" customHeight="1">
      <c r="A608" s="183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78"/>
    </row>
    <row r="609" ht="15.75" customHeight="1">
      <c r="A609" s="183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78"/>
    </row>
    <row r="610" ht="15.75" customHeight="1">
      <c r="A610" s="183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78"/>
    </row>
    <row r="611" ht="15.75" customHeight="1">
      <c r="A611" s="183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78"/>
    </row>
    <row r="612" ht="15.75" customHeight="1">
      <c r="A612" s="183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78"/>
    </row>
    <row r="613" ht="15.75" customHeight="1">
      <c r="A613" s="183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78"/>
    </row>
    <row r="614" ht="15.75" customHeight="1">
      <c r="A614" s="183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78"/>
    </row>
    <row r="615" ht="15.75" customHeight="1">
      <c r="A615" s="183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78"/>
    </row>
    <row r="616" ht="15.75" customHeight="1">
      <c r="A616" s="183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78"/>
    </row>
    <row r="617" ht="15.75" customHeight="1">
      <c r="A617" s="183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78"/>
    </row>
    <row r="618" ht="15.75" customHeight="1">
      <c r="A618" s="183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78"/>
    </row>
    <row r="619" ht="15.75" customHeight="1">
      <c r="A619" s="183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78"/>
    </row>
    <row r="620" ht="15.75" customHeight="1">
      <c r="A620" s="183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78"/>
    </row>
    <row r="621" ht="15.75" customHeight="1">
      <c r="A621" s="183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78"/>
    </row>
    <row r="622" ht="15.75" customHeight="1">
      <c r="A622" s="183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78"/>
    </row>
    <row r="623" ht="15.75" customHeight="1">
      <c r="A623" s="183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78"/>
    </row>
    <row r="624" ht="15.75" customHeight="1">
      <c r="A624" s="183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78"/>
    </row>
    <row r="625" ht="15.75" customHeight="1">
      <c r="A625" s="183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78"/>
    </row>
    <row r="626" ht="15.75" customHeight="1">
      <c r="A626" s="183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78"/>
    </row>
    <row r="627" ht="15.75" customHeight="1">
      <c r="A627" s="183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78"/>
    </row>
    <row r="628" ht="15.75" customHeight="1">
      <c r="A628" s="183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78"/>
    </row>
    <row r="629" ht="15.75" customHeight="1">
      <c r="A629" s="183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78"/>
    </row>
    <row r="630" ht="15.75" customHeight="1">
      <c r="A630" s="183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78"/>
    </row>
    <row r="631" ht="15.75" customHeight="1">
      <c r="A631" s="183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78"/>
    </row>
    <row r="632" ht="15.75" customHeight="1">
      <c r="A632" s="183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78"/>
    </row>
    <row r="633" ht="15.75" customHeight="1">
      <c r="A633" s="183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78"/>
    </row>
    <row r="634" ht="15.75" customHeight="1">
      <c r="A634" s="183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78"/>
    </row>
    <row r="635" ht="15.75" customHeight="1">
      <c r="A635" s="183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78"/>
    </row>
    <row r="636" ht="15.75" customHeight="1">
      <c r="A636" s="183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78"/>
    </row>
    <row r="637" ht="15.75" customHeight="1">
      <c r="A637" s="183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78"/>
    </row>
    <row r="638" ht="15.75" customHeight="1">
      <c r="A638" s="183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78"/>
    </row>
    <row r="639" ht="15.75" customHeight="1">
      <c r="A639" s="183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78"/>
    </row>
    <row r="640" ht="15.75" customHeight="1">
      <c r="A640" s="183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78"/>
    </row>
    <row r="641" ht="15.75" customHeight="1">
      <c r="A641" s="183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78"/>
    </row>
    <row r="642" ht="15.75" customHeight="1">
      <c r="A642" s="183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78"/>
    </row>
    <row r="643" ht="15.75" customHeight="1">
      <c r="A643" s="183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78"/>
    </row>
    <row r="644" ht="15.75" customHeight="1">
      <c r="A644" s="183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78"/>
    </row>
    <row r="645" ht="15.75" customHeight="1">
      <c r="A645" s="183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78"/>
    </row>
    <row r="646" ht="15.75" customHeight="1">
      <c r="A646" s="183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78"/>
    </row>
    <row r="647" ht="15.75" customHeight="1">
      <c r="A647" s="183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78"/>
    </row>
    <row r="648" ht="15.75" customHeight="1">
      <c r="A648" s="183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78"/>
    </row>
    <row r="649" ht="15.75" customHeight="1">
      <c r="A649" s="183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78"/>
    </row>
    <row r="650" ht="15.75" customHeight="1">
      <c r="A650" s="183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78"/>
    </row>
    <row r="651" ht="15.75" customHeight="1">
      <c r="A651" s="183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78"/>
    </row>
    <row r="652" ht="15.75" customHeight="1">
      <c r="A652" s="183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78"/>
    </row>
    <row r="653" ht="15.75" customHeight="1">
      <c r="A653" s="183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78"/>
    </row>
    <row r="654" ht="15.75" customHeight="1">
      <c r="A654" s="183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78"/>
    </row>
    <row r="655" ht="15.75" customHeight="1">
      <c r="A655" s="183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78"/>
    </row>
    <row r="656" ht="15.75" customHeight="1">
      <c r="A656" s="183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78"/>
    </row>
    <row r="657" ht="15.75" customHeight="1">
      <c r="A657" s="183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78"/>
    </row>
    <row r="658" ht="15.75" customHeight="1">
      <c r="A658" s="183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78"/>
    </row>
    <row r="659" ht="15.75" customHeight="1">
      <c r="A659" s="183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78"/>
    </row>
    <row r="660" ht="15.75" customHeight="1">
      <c r="A660" s="183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78"/>
    </row>
    <row r="661" ht="15.75" customHeight="1">
      <c r="A661" s="183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78"/>
    </row>
    <row r="662" ht="15.75" customHeight="1">
      <c r="A662" s="183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78"/>
    </row>
    <row r="663" ht="15.75" customHeight="1">
      <c r="A663" s="183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78"/>
    </row>
    <row r="664" ht="15.75" customHeight="1">
      <c r="A664" s="183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78"/>
    </row>
    <row r="665" ht="15.75" customHeight="1">
      <c r="A665" s="183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78"/>
    </row>
    <row r="666" ht="15.75" customHeight="1">
      <c r="A666" s="183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78"/>
    </row>
    <row r="667" ht="15.75" customHeight="1">
      <c r="A667" s="183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78"/>
    </row>
    <row r="668" ht="15.75" customHeight="1">
      <c r="A668" s="183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78"/>
    </row>
    <row r="669" ht="15.75" customHeight="1">
      <c r="A669" s="183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78"/>
    </row>
    <row r="670" ht="15.75" customHeight="1">
      <c r="A670" s="183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78"/>
    </row>
    <row r="671" ht="15.75" customHeight="1">
      <c r="A671" s="183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78"/>
    </row>
    <row r="672" ht="15.75" customHeight="1">
      <c r="A672" s="183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78"/>
    </row>
    <row r="673" ht="15.75" customHeight="1">
      <c r="A673" s="183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78"/>
    </row>
    <row r="674" ht="15.75" customHeight="1">
      <c r="A674" s="183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78"/>
    </row>
    <row r="675" ht="15.75" customHeight="1">
      <c r="A675" s="183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78"/>
    </row>
    <row r="676" ht="15.75" customHeight="1">
      <c r="A676" s="183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78"/>
    </row>
    <row r="677" ht="15.75" customHeight="1">
      <c r="A677" s="183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78"/>
    </row>
    <row r="678" ht="15.75" customHeight="1">
      <c r="A678" s="183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78"/>
    </row>
    <row r="679" ht="15.75" customHeight="1">
      <c r="A679" s="183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78"/>
    </row>
    <row r="680" ht="15.75" customHeight="1">
      <c r="A680" s="183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78"/>
    </row>
    <row r="681" ht="15.75" customHeight="1">
      <c r="A681" s="183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78"/>
    </row>
    <row r="682" ht="15.75" customHeight="1">
      <c r="A682" s="183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78"/>
    </row>
    <row r="683" ht="15.75" customHeight="1">
      <c r="A683" s="183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78"/>
    </row>
    <row r="684" ht="15.75" customHeight="1">
      <c r="A684" s="183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78"/>
    </row>
    <row r="685" ht="15.75" customHeight="1">
      <c r="A685" s="183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78"/>
    </row>
    <row r="686" ht="15.75" customHeight="1">
      <c r="A686" s="183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78"/>
    </row>
    <row r="687" ht="15.75" customHeight="1">
      <c r="A687" s="183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78"/>
    </row>
    <row r="688" ht="15.75" customHeight="1">
      <c r="A688" s="183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78"/>
    </row>
    <row r="689" ht="15.75" customHeight="1">
      <c r="A689" s="183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78"/>
    </row>
    <row r="690" ht="15.75" customHeight="1">
      <c r="A690" s="183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78"/>
    </row>
    <row r="691" ht="15.75" customHeight="1">
      <c r="A691" s="183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78"/>
    </row>
    <row r="692" ht="15.75" customHeight="1">
      <c r="A692" s="183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78"/>
    </row>
    <row r="693" ht="15.75" customHeight="1">
      <c r="A693" s="183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78"/>
    </row>
    <row r="694" ht="15.75" customHeight="1">
      <c r="A694" s="183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78"/>
    </row>
    <row r="695" ht="15.75" customHeight="1">
      <c r="A695" s="183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78"/>
    </row>
    <row r="696" ht="15.75" customHeight="1">
      <c r="A696" s="183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78"/>
    </row>
    <row r="697" ht="15.75" customHeight="1">
      <c r="A697" s="183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78"/>
    </row>
    <row r="698" ht="15.75" customHeight="1">
      <c r="A698" s="183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78"/>
    </row>
    <row r="699" ht="15.75" customHeight="1">
      <c r="A699" s="183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78"/>
    </row>
    <row r="700" ht="15.75" customHeight="1">
      <c r="A700" s="183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78"/>
    </row>
    <row r="701" ht="15.75" customHeight="1">
      <c r="A701" s="183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78"/>
    </row>
    <row r="702" ht="15.75" customHeight="1">
      <c r="A702" s="183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78"/>
    </row>
    <row r="703" ht="15.75" customHeight="1">
      <c r="A703" s="183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78"/>
    </row>
    <row r="704" ht="15.75" customHeight="1">
      <c r="A704" s="183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78"/>
    </row>
    <row r="705" ht="15.75" customHeight="1">
      <c r="A705" s="183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78"/>
    </row>
    <row r="706" ht="15.75" customHeight="1">
      <c r="A706" s="183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78"/>
    </row>
    <row r="707" ht="15.75" customHeight="1">
      <c r="A707" s="183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78"/>
    </row>
    <row r="708" ht="15.75" customHeight="1">
      <c r="A708" s="183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78"/>
    </row>
    <row r="709" ht="15.75" customHeight="1">
      <c r="A709" s="183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78"/>
    </row>
    <row r="710" ht="15.75" customHeight="1">
      <c r="A710" s="183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78"/>
    </row>
    <row r="711" ht="15.75" customHeight="1">
      <c r="A711" s="183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78"/>
    </row>
    <row r="712" ht="15.75" customHeight="1">
      <c r="A712" s="183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78"/>
    </row>
    <row r="713" ht="15.75" customHeight="1">
      <c r="A713" s="183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78"/>
    </row>
    <row r="714" ht="15.75" customHeight="1">
      <c r="A714" s="183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78"/>
    </row>
    <row r="715" ht="15.75" customHeight="1">
      <c r="A715" s="183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78"/>
    </row>
    <row r="716" ht="15.75" customHeight="1">
      <c r="A716" s="183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78"/>
    </row>
    <row r="717" ht="15.75" customHeight="1">
      <c r="A717" s="183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78"/>
    </row>
    <row r="718" ht="15.75" customHeight="1">
      <c r="A718" s="183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78"/>
    </row>
    <row r="719" ht="15.75" customHeight="1">
      <c r="A719" s="183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78"/>
    </row>
    <row r="720" ht="15.75" customHeight="1">
      <c r="A720" s="183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78"/>
    </row>
    <row r="721" ht="15.75" customHeight="1">
      <c r="A721" s="183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78"/>
    </row>
    <row r="722" ht="15.75" customHeight="1">
      <c r="A722" s="183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78"/>
    </row>
    <row r="723" ht="15.75" customHeight="1">
      <c r="A723" s="183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78"/>
    </row>
    <row r="724" ht="15.75" customHeight="1">
      <c r="A724" s="183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78"/>
    </row>
    <row r="725" ht="15.75" customHeight="1">
      <c r="A725" s="183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78"/>
    </row>
    <row r="726" ht="15.75" customHeight="1">
      <c r="A726" s="183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78"/>
    </row>
    <row r="727" ht="15.75" customHeight="1">
      <c r="A727" s="183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78"/>
    </row>
    <row r="728" ht="15.75" customHeight="1">
      <c r="A728" s="183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78"/>
    </row>
    <row r="729" ht="15.75" customHeight="1">
      <c r="A729" s="183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78"/>
    </row>
    <row r="730" ht="15.75" customHeight="1">
      <c r="A730" s="183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78"/>
    </row>
    <row r="731" ht="15.75" customHeight="1">
      <c r="A731" s="183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78"/>
    </row>
    <row r="732" ht="15.75" customHeight="1">
      <c r="A732" s="183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78"/>
    </row>
    <row r="733" ht="15.75" customHeight="1">
      <c r="A733" s="183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78"/>
    </row>
    <row r="734" ht="15.75" customHeight="1">
      <c r="A734" s="183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78"/>
    </row>
    <row r="735" ht="15.75" customHeight="1">
      <c r="A735" s="183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78"/>
    </row>
    <row r="736" ht="15.75" customHeight="1">
      <c r="A736" s="183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78"/>
    </row>
    <row r="737" ht="15.75" customHeight="1">
      <c r="A737" s="183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78"/>
    </row>
    <row r="738" ht="15.75" customHeight="1">
      <c r="A738" s="183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78"/>
    </row>
    <row r="739" ht="15.75" customHeight="1">
      <c r="A739" s="183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78"/>
    </row>
    <row r="740" ht="15.75" customHeight="1">
      <c r="A740" s="183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78"/>
    </row>
    <row r="741" ht="15.75" customHeight="1">
      <c r="A741" s="183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78"/>
    </row>
    <row r="742" ht="15.75" customHeight="1">
      <c r="A742" s="183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78"/>
    </row>
    <row r="743" ht="15.75" customHeight="1">
      <c r="A743" s="183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78"/>
    </row>
    <row r="744" ht="15.75" customHeight="1">
      <c r="A744" s="183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78"/>
    </row>
    <row r="745" ht="15.75" customHeight="1">
      <c r="A745" s="183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78"/>
    </row>
    <row r="746" ht="15.75" customHeight="1">
      <c r="A746" s="183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78"/>
    </row>
    <row r="747" ht="15.75" customHeight="1">
      <c r="A747" s="183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78"/>
    </row>
    <row r="748" ht="15.75" customHeight="1">
      <c r="A748" s="183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78"/>
    </row>
    <row r="749" ht="15.75" customHeight="1">
      <c r="A749" s="183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78"/>
    </row>
    <row r="750" ht="15.75" customHeight="1">
      <c r="A750" s="183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78"/>
    </row>
    <row r="751" ht="15.75" customHeight="1">
      <c r="A751" s="183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78"/>
    </row>
    <row r="752" ht="15.75" customHeight="1">
      <c r="A752" s="183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78"/>
    </row>
    <row r="753" ht="15.75" customHeight="1">
      <c r="A753" s="183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78"/>
    </row>
    <row r="754" ht="15.75" customHeight="1">
      <c r="A754" s="183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78"/>
    </row>
    <row r="755" ht="15.75" customHeight="1">
      <c r="A755" s="183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78"/>
    </row>
    <row r="756" ht="15.75" customHeight="1">
      <c r="A756" s="183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78"/>
    </row>
    <row r="757" ht="15.75" customHeight="1">
      <c r="A757" s="183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78"/>
    </row>
    <row r="758" ht="15.75" customHeight="1">
      <c r="A758" s="183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78"/>
    </row>
    <row r="759" ht="15.75" customHeight="1">
      <c r="A759" s="183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78"/>
    </row>
    <row r="760" ht="15.75" customHeight="1">
      <c r="A760" s="183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78"/>
    </row>
    <row r="761" ht="15.75" customHeight="1">
      <c r="A761" s="183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78"/>
    </row>
    <row r="762" ht="15.75" customHeight="1">
      <c r="A762" s="183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78"/>
    </row>
    <row r="763" ht="15.75" customHeight="1">
      <c r="A763" s="183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78"/>
    </row>
    <row r="764" ht="15.75" customHeight="1">
      <c r="A764" s="183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78"/>
    </row>
    <row r="765" ht="15.75" customHeight="1">
      <c r="A765" s="183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78"/>
    </row>
    <row r="766" ht="15.75" customHeight="1">
      <c r="A766" s="183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78"/>
    </row>
    <row r="767" ht="15.75" customHeight="1">
      <c r="A767" s="183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78"/>
    </row>
    <row r="768" ht="15.75" customHeight="1">
      <c r="A768" s="183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78"/>
    </row>
    <row r="769" ht="15.75" customHeight="1">
      <c r="A769" s="183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78"/>
    </row>
    <row r="770" ht="15.75" customHeight="1">
      <c r="A770" s="183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78"/>
    </row>
    <row r="771" ht="15.75" customHeight="1">
      <c r="A771" s="183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78"/>
    </row>
    <row r="772" ht="15.75" customHeight="1">
      <c r="A772" s="183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78"/>
    </row>
    <row r="773" ht="15.75" customHeight="1">
      <c r="A773" s="183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78"/>
    </row>
    <row r="774" ht="15.75" customHeight="1">
      <c r="A774" s="183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78"/>
    </row>
    <row r="775" ht="15.75" customHeight="1">
      <c r="A775" s="183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78"/>
    </row>
    <row r="776" ht="15.75" customHeight="1">
      <c r="A776" s="183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78"/>
    </row>
    <row r="777" ht="15.75" customHeight="1">
      <c r="A777" s="183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78"/>
    </row>
    <row r="778" ht="15.75" customHeight="1">
      <c r="A778" s="183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78"/>
    </row>
    <row r="779" ht="15.75" customHeight="1">
      <c r="A779" s="183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78"/>
    </row>
    <row r="780" ht="15.75" customHeight="1">
      <c r="A780" s="183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78"/>
    </row>
    <row r="781" ht="15.75" customHeight="1">
      <c r="A781" s="183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78"/>
    </row>
    <row r="782" ht="15.75" customHeight="1">
      <c r="A782" s="183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78"/>
    </row>
    <row r="783" ht="15.75" customHeight="1">
      <c r="A783" s="183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78"/>
    </row>
    <row r="784" ht="15.75" customHeight="1">
      <c r="A784" s="183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78"/>
    </row>
    <row r="785" ht="15.75" customHeight="1">
      <c r="A785" s="183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78"/>
    </row>
    <row r="786" ht="15.75" customHeight="1">
      <c r="A786" s="183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78"/>
    </row>
    <row r="787" ht="15.75" customHeight="1">
      <c r="A787" s="183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78"/>
    </row>
    <row r="788" ht="15.75" customHeight="1">
      <c r="A788" s="183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78"/>
    </row>
    <row r="789" ht="15.75" customHeight="1">
      <c r="A789" s="183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78"/>
    </row>
    <row r="790" ht="15.75" customHeight="1">
      <c r="A790" s="183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78"/>
    </row>
    <row r="791" ht="15.75" customHeight="1">
      <c r="A791" s="183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78"/>
    </row>
    <row r="792" ht="15.75" customHeight="1">
      <c r="A792" s="183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78"/>
    </row>
    <row r="793" ht="15.75" customHeight="1">
      <c r="A793" s="183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78"/>
    </row>
    <row r="794" ht="15.75" customHeight="1">
      <c r="A794" s="183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78"/>
    </row>
    <row r="795" ht="15.75" customHeight="1">
      <c r="A795" s="183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78"/>
    </row>
    <row r="796" ht="15.75" customHeight="1">
      <c r="A796" s="183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78"/>
    </row>
    <row r="797" ht="15.75" customHeight="1">
      <c r="A797" s="183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78"/>
    </row>
    <row r="798" ht="15.75" customHeight="1">
      <c r="A798" s="183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78"/>
    </row>
    <row r="799" ht="15.75" customHeight="1">
      <c r="A799" s="183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78"/>
    </row>
    <row r="800" ht="15.75" customHeight="1">
      <c r="A800" s="183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78"/>
    </row>
    <row r="801" ht="15.75" customHeight="1">
      <c r="A801" s="183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78"/>
    </row>
    <row r="802" ht="15.75" customHeight="1">
      <c r="A802" s="183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78"/>
    </row>
    <row r="803" ht="15.75" customHeight="1">
      <c r="A803" s="183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78"/>
    </row>
    <row r="804" ht="15.75" customHeight="1">
      <c r="A804" s="183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78"/>
    </row>
    <row r="805" ht="15.75" customHeight="1">
      <c r="A805" s="183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78"/>
    </row>
    <row r="806" ht="15.75" customHeight="1">
      <c r="A806" s="183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78"/>
    </row>
    <row r="807" ht="15.75" customHeight="1">
      <c r="A807" s="183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78"/>
    </row>
    <row r="808" ht="15.75" customHeight="1">
      <c r="A808" s="183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78"/>
    </row>
    <row r="809" ht="15.75" customHeight="1">
      <c r="A809" s="183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78"/>
    </row>
    <row r="810" ht="15.75" customHeight="1">
      <c r="A810" s="183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78"/>
    </row>
    <row r="811" ht="15.75" customHeight="1">
      <c r="A811" s="183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78"/>
    </row>
    <row r="812" ht="15.75" customHeight="1">
      <c r="A812" s="183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78"/>
    </row>
    <row r="813" ht="15.75" customHeight="1">
      <c r="A813" s="183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78"/>
    </row>
    <row r="814" ht="15.75" customHeight="1">
      <c r="A814" s="183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78"/>
    </row>
    <row r="815" ht="15.75" customHeight="1">
      <c r="A815" s="183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78"/>
    </row>
    <row r="816" ht="15.75" customHeight="1">
      <c r="A816" s="183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78"/>
    </row>
    <row r="817" ht="15.75" customHeight="1">
      <c r="A817" s="183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78"/>
    </row>
    <row r="818" ht="15.75" customHeight="1">
      <c r="A818" s="183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78"/>
    </row>
    <row r="819" ht="15.75" customHeight="1">
      <c r="A819" s="183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78"/>
    </row>
    <row r="820" ht="15.75" customHeight="1">
      <c r="A820" s="183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78"/>
    </row>
    <row r="821" ht="15.75" customHeight="1">
      <c r="A821" s="183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78"/>
    </row>
    <row r="822" ht="15.75" customHeight="1">
      <c r="A822" s="183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78"/>
    </row>
    <row r="823" ht="15.75" customHeight="1">
      <c r="A823" s="183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78"/>
    </row>
    <row r="824" ht="15.75" customHeight="1">
      <c r="A824" s="183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78"/>
    </row>
    <row r="825" ht="15.75" customHeight="1">
      <c r="A825" s="183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78"/>
    </row>
    <row r="826" ht="15.75" customHeight="1">
      <c r="A826" s="183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78"/>
    </row>
    <row r="827" ht="15.75" customHeight="1">
      <c r="A827" s="183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78"/>
    </row>
    <row r="828" ht="15.75" customHeight="1">
      <c r="A828" s="183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78"/>
    </row>
    <row r="829" ht="15.75" customHeight="1">
      <c r="A829" s="183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78"/>
    </row>
    <row r="830" ht="15.75" customHeight="1">
      <c r="A830" s="183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78"/>
    </row>
    <row r="831" ht="15.75" customHeight="1">
      <c r="A831" s="183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78"/>
    </row>
    <row r="832" ht="15.75" customHeight="1">
      <c r="A832" s="183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78"/>
    </row>
    <row r="833" ht="15.75" customHeight="1">
      <c r="A833" s="183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78"/>
    </row>
    <row r="834" ht="15.75" customHeight="1">
      <c r="A834" s="183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78"/>
    </row>
    <row r="835" ht="15.75" customHeight="1">
      <c r="A835" s="183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78"/>
    </row>
    <row r="836" ht="15.75" customHeight="1">
      <c r="A836" s="183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78"/>
    </row>
    <row r="837" ht="15.75" customHeight="1">
      <c r="A837" s="183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78"/>
    </row>
    <row r="838" ht="15.75" customHeight="1">
      <c r="A838" s="183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78"/>
    </row>
    <row r="839" ht="15.75" customHeight="1">
      <c r="A839" s="183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78"/>
    </row>
    <row r="840" ht="15.75" customHeight="1">
      <c r="A840" s="183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78"/>
    </row>
    <row r="841" ht="15.75" customHeight="1">
      <c r="A841" s="183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78"/>
    </row>
    <row r="842" ht="15.75" customHeight="1">
      <c r="A842" s="183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78"/>
    </row>
    <row r="843" ht="15.75" customHeight="1">
      <c r="A843" s="183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78"/>
    </row>
    <row r="844" ht="15.75" customHeight="1">
      <c r="A844" s="183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78"/>
    </row>
    <row r="845" ht="15.75" customHeight="1">
      <c r="A845" s="183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78"/>
    </row>
    <row r="846" ht="15.75" customHeight="1">
      <c r="A846" s="183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78"/>
    </row>
    <row r="847" ht="15.75" customHeight="1">
      <c r="A847" s="183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78"/>
    </row>
    <row r="848" ht="15.75" customHeight="1">
      <c r="A848" s="183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78"/>
    </row>
    <row r="849" ht="15.75" customHeight="1">
      <c r="A849" s="183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78"/>
    </row>
    <row r="850" ht="15.75" customHeight="1">
      <c r="A850" s="183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78"/>
    </row>
    <row r="851" ht="15.75" customHeight="1">
      <c r="A851" s="183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78"/>
    </row>
    <row r="852" ht="15.75" customHeight="1">
      <c r="A852" s="183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78"/>
    </row>
    <row r="853" ht="15.75" customHeight="1">
      <c r="A853" s="183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78"/>
    </row>
    <row r="854" ht="15.75" customHeight="1">
      <c r="A854" s="183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78"/>
    </row>
    <row r="855" ht="15.75" customHeight="1">
      <c r="A855" s="183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78"/>
    </row>
    <row r="856" ht="15.75" customHeight="1">
      <c r="A856" s="183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78"/>
    </row>
    <row r="857" ht="15.75" customHeight="1">
      <c r="A857" s="183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78"/>
    </row>
    <row r="858" ht="15.75" customHeight="1">
      <c r="A858" s="183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78"/>
    </row>
    <row r="859" ht="15.75" customHeight="1">
      <c r="A859" s="183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78"/>
    </row>
    <row r="860" ht="15.75" customHeight="1">
      <c r="A860" s="183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78"/>
    </row>
    <row r="861" ht="15.75" customHeight="1">
      <c r="A861" s="183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78"/>
    </row>
    <row r="862" ht="15.75" customHeight="1">
      <c r="A862" s="183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78"/>
    </row>
    <row r="863" ht="15.75" customHeight="1">
      <c r="A863" s="183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78"/>
    </row>
    <row r="864" ht="15.75" customHeight="1">
      <c r="A864" s="183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78"/>
    </row>
    <row r="865" ht="15.75" customHeight="1">
      <c r="A865" s="183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78"/>
    </row>
    <row r="866" ht="15.75" customHeight="1">
      <c r="A866" s="183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78"/>
    </row>
    <row r="867" ht="15.75" customHeight="1">
      <c r="A867" s="183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78"/>
    </row>
    <row r="868" ht="15.75" customHeight="1">
      <c r="A868" s="183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78"/>
    </row>
    <row r="869" ht="15.75" customHeight="1">
      <c r="A869" s="183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78"/>
    </row>
    <row r="870" ht="15.75" customHeight="1">
      <c r="A870" s="183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78"/>
    </row>
    <row r="871" ht="15.75" customHeight="1">
      <c r="A871" s="183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78"/>
    </row>
    <row r="872" ht="15.75" customHeight="1">
      <c r="A872" s="183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78"/>
    </row>
    <row r="873" ht="15.75" customHeight="1">
      <c r="A873" s="183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78"/>
    </row>
    <row r="874" ht="15.75" customHeight="1">
      <c r="A874" s="183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78"/>
    </row>
    <row r="875" ht="15.75" customHeight="1">
      <c r="A875" s="183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78"/>
    </row>
    <row r="876" ht="15.75" customHeight="1">
      <c r="A876" s="183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78"/>
    </row>
    <row r="877" ht="15.75" customHeight="1">
      <c r="A877" s="183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78"/>
    </row>
    <row r="878" ht="15.75" customHeight="1">
      <c r="A878" s="183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78"/>
    </row>
    <row r="879" ht="15.75" customHeight="1">
      <c r="A879" s="183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78"/>
    </row>
    <row r="880" ht="15.75" customHeight="1">
      <c r="A880" s="183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78"/>
    </row>
    <row r="881" ht="15.75" customHeight="1">
      <c r="A881" s="183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78"/>
    </row>
    <row r="882" ht="15.75" customHeight="1">
      <c r="A882" s="183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78"/>
    </row>
    <row r="883" ht="15.75" customHeight="1">
      <c r="A883" s="183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78"/>
    </row>
    <row r="884" ht="15.75" customHeight="1">
      <c r="A884" s="183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78"/>
    </row>
    <row r="885" ht="15.75" customHeight="1">
      <c r="A885" s="183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78"/>
    </row>
    <row r="886" ht="15.75" customHeight="1">
      <c r="A886" s="183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78"/>
    </row>
    <row r="887" ht="15.75" customHeight="1">
      <c r="A887" s="183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78"/>
    </row>
    <row r="888" ht="15.75" customHeight="1">
      <c r="A888" s="183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78"/>
    </row>
    <row r="889" ht="15.75" customHeight="1">
      <c r="A889" s="183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78"/>
    </row>
    <row r="890" ht="15.75" customHeight="1">
      <c r="A890" s="183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78"/>
    </row>
    <row r="891" ht="15.75" customHeight="1">
      <c r="A891" s="183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78"/>
    </row>
    <row r="892" ht="15.75" customHeight="1">
      <c r="A892" s="183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78"/>
    </row>
    <row r="893" ht="15.75" customHeight="1">
      <c r="A893" s="183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78"/>
    </row>
    <row r="894" ht="15.75" customHeight="1">
      <c r="A894" s="183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78"/>
    </row>
    <row r="895" ht="15.75" customHeight="1">
      <c r="A895" s="183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78"/>
    </row>
    <row r="896" ht="15.75" customHeight="1">
      <c r="A896" s="183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78"/>
    </row>
    <row r="897" ht="15.75" customHeight="1">
      <c r="A897" s="183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78"/>
    </row>
    <row r="898" ht="15.75" customHeight="1">
      <c r="A898" s="183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78"/>
    </row>
    <row r="899" ht="15.75" customHeight="1">
      <c r="A899" s="183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78"/>
    </row>
    <row r="900" ht="15.75" customHeight="1">
      <c r="A900" s="183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78"/>
    </row>
    <row r="901" ht="15.75" customHeight="1">
      <c r="A901" s="183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78"/>
    </row>
    <row r="902" ht="15.75" customHeight="1">
      <c r="A902" s="183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78"/>
    </row>
    <row r="903" ht="15.75" customHeight="1">
      <c r="A903" s="183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78"/>
    </row>
    <row r="904" ht="15.75" customHeight="1">
      <c r="A904" s="183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78"/>
    </row>
    <row r="905" ht="15.75" customHeight="1">
      <c r="A905" s="183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78"/>
    </row>
    <row r="906" ht="15.75" customHeight="1">
      <c r="A906" s="183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78"/>
    </row>
    <row r="907" ht="15.75" customHeight="1">
      <c r="A907" s="183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78"/>
    </row>
    <row r="908" ht="15.75" customHeight="1">
      <c r="A908" s="183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78"/>
    </row>
    <row r="909" ht="15.75" customHeight="1">
      <c r="A909" s="183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78"/>
    </row>
    <row r="910" ht="15.75" customHeight="1">
      <c r="A910" s="183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78"/>
    </row>
    <row r="911" ht="15.75" customHeight="1">
      <c r="A911" s="183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78"/>
    </row>
    <row r="912" ht="15.75" customHeight="1">
      <c r="A912" s="183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78"/>
    </row>
    <row r="913" ht="15.75" customHeight="1">
      <c r="A913" s="183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78"/>
    </row>
    <row r="914" ht="15.75" customHeight="1">
      <c r="A914" s="183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78"/>
    </row>
    <row r="915" ht="15.75" customHeight="1">
      <c r="A915" s="183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78"/>
    </row>
    <row r="916" ht="15.75" customHeight="1">
      <c r="A916" s="183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78"/>
    </row>
    <row r="917" ht="15.75" customHeight="1">
      <c r="A917" s="183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78"/>
    </row>
    <row r="918" ht="15.75" customHeight="1">
      <c r="A918" s="183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78"/>
    </row>
    <row r="919" ht="15.75" customHeight="1">
      <c r="A919" s="183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78"/>
    </row>
    <row r="920" ht="15.75" customHeight="1">
      <c r="A920" s="183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78"/>
    </row>
    <row r="921" ht="15.75" customHeight="1">
      <c r="A921" s="183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78"/>
    </row>
    <row r="922" ht="15.75" customHeight="1">
      <c r="A922" s="183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78"/>
    </row>
    <row r="923" ht="15.75" customHeight="1">
      <c r="A923" s="183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78"/>
    </row>
    <row r="924" ht="15.75" customHeight="1">
      <c r="A924" s="183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78"/>
    </row>
    <row r="925" ht="15.75" customHeight="1">
      <c r="A925" s="183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78"/>
    </row>
    <row r="926" ht="15.75" customHeight="1">
      <c r="A926" s="183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78"/>
    </row>
    <row r="927" ht="15.75" customHeight="1">
      <c r="A927" s="183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78"/>
    </row>
    <row r="928" ht="15.75" customHeight="1">
      <c r="A928" s="183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78"/>
    </row>
    <row r="929" ht="15.75" customHeight="1">
      <c r="A929" s="183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78"/>
    </row>
    <row r="930" ht="15.75" customHeight="1">
      <c r="A930" s="183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78"/>
    </row>
    <row r="931" ht="15.75" customHeight="1">
      <c r="A931" s="183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78"/>
    </row>
    <row r="932" ht="15.75" customHeight="1">
      <c r="A932" s="183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78"/>
    </row>
    <row r="933" ht="15.75" customHeight="1">
      <c r="A933" s="183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78"/>
    </row>
    <row r="934" ht="15.75" customHeight="1">
      <c r="A934" s="183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78"/>
    </row>
    <row r="935" ht="15.75" customHeight="1">
      <c r="A935" s="183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78"/>
    </row>
    <row r="936" ht="15.75" customHeight="1">
      <c r="A936" s="183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78"/>
    </row>
    <row r="937" ht="15.75" customHeight="1">
      <c r="A937" s="183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78"/>
    </row>
    <row r="938" ht="15.75" customHeight="1">
      <c r="A938" s="183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78"/>
    </row>
    <row r="939" ht="15.75" customHeight="1">
      <c r="A939" s="183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78"/>
    </row>
    <row r="940" ht="15.75" customHeight="1">
      <c r="A940" s="183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78"/>
    </row>
    <row r="941" ht="15.75" customHeight="1">
      <c r="A941" s="183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78"/>
    </row>
    <row r="942" ht="15.75" customHeight="1">
      <c r="A942" s="183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78"/>
    </row>
    <row r="943" ht="15.75" customHeight="1">
      <c r="A943" s="183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78"/>
    </row>
    <row r="944" ht="15.75" customHeight="1">
      <c r="A944" s="183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78"/>
    </row>
    <row r="945" ht="15.75" customHeight="1">
      <c r="A945" s="183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78"/>
    </row>
    <row r="946" ht="15.75" customHeight="1">
      <c r="A946" s="183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78"/>
    </row>
    <row r="947" ht="15.75" customHeight="1">
      <c r="A947" s="183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78"/>
    </row>
    <row r="948" ht="15.75" customHeight="1">
      <c r="A948" s="183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78"/>
    </row>
    <row r="949" ht="15.75" customHeight="1">
      <c r="A949" s="183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78"/>
    </row>
    <row r="950" ht="15.75" customHeight="1">
      <c r="A950" s="183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78"/>
    </row>
    <row r="951" ht="15.75" customHeight="1">
      <c r="A951" s="183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78"/>
    </row>
    <row r="952" ht="15.75" customHeight="1">
      <c r="A952" s="183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78"/>
    </row>
    <row r="953" ht="15.75" customHeight="1">
      <c r="A953" s="183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78"/>
    </row>
    <row r="954" ht="15.75" customHeight="1">
      <c r="A954" s="183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78"/>
    </row>
    <row r="955" ht="15.75" customHeight="1">
      <c r="A955" s="183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78"/>
    </row>
    <row r="956" ht="15.75" customHeight="1">
      <c r="A956" s="183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78"/>
    </row>
    <row r="957" ht="15.75" customHeight="1">
      <c r="A957" s="183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78"/>
    </row>
    <row r="958" ht="15.75" customHeight="1">
      <c r="A958" s="183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78"/>
    </row>
    <row r="959" ht="15.75" customHeight="1">
      <c r="A959" s="183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78"/>
    </row>
    <row r="960" ht="15.75" customHeight="1">
      <c r="A960" s="183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78"/>
    </row>
    <row r="961" ht="15.75" customHeight="1">
      <c r="A961" s="183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78"/>
    </row>
    <row r="962" ht="15.75" customHeight="1">
      <c r="A962" s="183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78"/>
    </row>
    <row r="963" ht="15.75" customHeight="1">
      <c r="A963" s="183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78"/>
    </row>
    <row r="964" ht="15.75" customHeight="1">
      <c r="A964" s="183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78"/>
    </row>
    <row r="965" ht="15.75" customHeight="1">
      <c r="A965" s="183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78"/>
    </row>
    <row r="966" ht="15.75" customHeight="1">
      <c r="A966" s="183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78"/>
    </row>
    <row r="967" ht="15.75" customHeight="1">
      <c r="A967" s="183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78"/>
    </row>
    <row r="968" ht="15.75" customHeight="1">
      <c r="A968" s="183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78"/>
    </row>
    <row r="969" ht="15.75" customHeight="1">
      <c r="A969" s="183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78"/>
    </row>
    <row r="970" ht="15.75" customHeight="1">
      <c r="A970" s="183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78"/>
    </row>
    <row r="971" ht="15.75" customHeight="1">
      <c r="A971" s="183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78"/>
    </row>
    <row r="972" ht="15.75" customHeight="1">
      <c r="A972" s="183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78"/>
    </row>
    <row r="973" ht="15.75" customHeight="1">
      <c r="A973" s="183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78"/>
    </row>
    <row r="974" ht="15.75" customHeight="1">
      <c r="A974" s="183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78"/>
    </row>
    <row r="975" ht="15.75" customHeight="1">
      <c r="A975" s="183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78"/>
    </row>
    <row r="976" ht="15.75" customHeight="1">
      <c r="A976" s="183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78"/>
    </row>
    <row r="977" ht="15.75" customHeight="1">
      <c r="A977" s="183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78"/>
    </row>
    <row r="978" ht="15.75" customHeight="1">
      <c r="A978" s="183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78"/>
    </row>
    <row r="979" ht="15.75" customHeight="1">
      <c r="A979" s="183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78"/>
    </row>
    <row r="980" ht="15.75" customHeight="1">
      <c r="A980" s="183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78"/>
    </row>
    <row r="981" ht="15.75" customHeight="1">
      <c r="A981" s="183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78"/>
    </row>
    <row r="982" ht="15.75" customHeight="1">
      <c r="A982" s="183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78"/>
    </row>
    <row r="983" ht="15.75" customHeight="1">
      <c r="A983" s="183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78"/>
    </row>
    <row r="984" ht="15.75" customHeight="1">
      <c r="A984" s="183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78"/>
    </row>
    <row r="985" ht="15.75" customHeight="1">
      <c r="A985" s="183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78"/>
    </row>
    <row r="986" ht="15.75" customHeight="1">
      <c r="A986" s="183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78"/>
    </row>
    <row r="987" ht="15.75" customHeight="1">
      <c r="A987" s="183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78"/>
    </row>
    <row r="988" ht="15.75" customHeight="1">
      <c r="A988" s="183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78"/>
    </row>
    <row r="989" ht="15.75" customHeight="1">
      <c r="A989" s="183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78"/>
    </row>
    <row r="990" ht="15.75" customHeight="1">
      <c r="A990" s="183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78"/>
    </row>
    <row r="991" ht="15.75" customHeight="1">
      <c r="A991" s="183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78"/>
    </row>
    <row r="992" ht="15.75" customHeight="1">
      <c r="A992" s="183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78"/>
    </row>
    <row r="993" ht="15.75" customHeight="1">
      <c r="A993" s="183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78"/>
    </row>
    <row r="994" ht="15.75" customHeight="1">
      <c r="A994" s="183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78"/>
    </row>
    <row r="995" ht="15.75" customHeight="1">
      <c r="A995" s="183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78"/>
    </row>
    <row r="996" ht="15.75" customHeight="1">
      <c r="A996" s="183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78"/>
    </row>
    <row r="997" ht="15.75" customHeight="1">
      <c r="A997" s="183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78"/>
    </row>
    <row r="998" ht="15.75" customHeight="1">
      <c r="A998" s="183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78"/>
    </row>
    <row r="999" ht="15.75" customHeight="1">
      <c r="A999" s="183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78"/>
    </row>
  </sheetData>
  <mergeCells count="4288">
    <mergeCell ref="P3:Q3"/>
    <mergeCell ref="R3:S3"/>
    <mergeCell ref="P4:Q4"/>
    <mergeCell ref="R4:S4"/>
    <mergeCell ref="T3:U3"/>
    <mergeCell ref="V3:W3"/>
    <mergeCell ref="T4:U4"/>
    <mergeCell ref="V4:W4"/>
    <mergeCell ref="X3:Y3"/>
    <mergeCell ref="Z3:AA3"/>
    <mergeCell ref="X4:Y4"/>
    <mergeCell ref="Z4:AA4"/>
    <mergeCell ref="AB4:AC4"/>
    <mergeCell ref="A1:E1"/>
    <mergeCell ref="F1:Q1"/>
    <mergeCell ref="R1:AC1"/>
    <mergeCell ref="AD1:AH1"/>
    <mergeCell ref="F3:G3"/>
    <mergeCell ref="H3:I3"/>
    <mergeCell ref="J3:K3"/>
    <mergeCell ref="AB3:AC3"/>
    <mergeCell ref="L3:M3"/>
    <mergeCell ref="N3:O3"/>
    <mergeCell ref="F4:G4"/>
    <mergeCell ref="H4:I4"/>
    <mergeCell ref="J4:K4"/>
    <mergeCell ref="L4:M4"/>
    <mergeCell ref="N4:O4"/>
    <mergeCell ref="T5:U5"/>
    <mergeCell ref="V5:W5"/>
    <mergeCell ref="X5:Y5"/>
    <mergeCell ref="Z5:AA5"/>
    <mergeCell ref="AB5:AC5"/>
    <mergeCell ref="F5:G5"/>
    <mergeCell ref="H5:I5"/>
    <mergeCell ref="J5:K5"/>
    <mergeCell ref="L5:M5"/>
    <mergeCell ref="N5:O5"/>
    <mergeCell ref="P5:Q5"/>
    <mergeCell ref="R5:S5"/>
    <mergeCell ref="T9:U9"/>
    <mergeCell ref="V9:W9"/>
    <mergeCell ref="X9:Y9"/>
    <mergeCell ref="Z9:AA9"/>
    <mergeCell ref="AB9:AC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F301:G301"/>
    <mergeCell ref="H301:I301"/>
    <mergeCell ref="J301:K301"/>
    <mergeCell ref="L301:M301"/>
    <mergeCell ref="N301:O301"/>
    <mergeCell ref="P301:Q301"/>
    <mergeCell ref="R301:S301"/>
    <mergeCell ref="T358:U358"/>
    <mergeCell ref="V358:W358"/>
    <mergeCell ref="X358:Y358"/>
    <mergeCell ref="Z358:AA358"/>
    <mergeCell ref="AB358:AC358"/>
    <mergeCell ref="F358:G358"/>
    <mergeCell ref="H358:I358"/>
    <mergeCell ref="J358:K358"/>
    <mergeCell ref="L358:M358"/>
    <mergeCell ref="N358:O358"/>
    <mergeCell ref="P358:Q358"/>
    <mergeCell ref="R358:S358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F8:G8"/>
    <mergeCell ref="H8:I8"/>
    <mergeCell ref="J8:K8"/>
    <mergeCell ref="L8:M8"/>
    <mergeCell ref="N8:O8"/>
    <mergeCell ref="P8:Q8"/>
    <mergeCell ref="R8:S8"/>
    <mergeCell ref="T359:U359"/>
    <mergeCell ref="V359:W359"/>
    <mergeCell ref="X359:Y359"/>
    <mergeCell ref="Z359:AA359"/>
    <mergeCell ref="AB359:AC359"/>
    <mergeCell ref="F359:G359"/>
    <mergeCell ref="H359:I359"/>
    <mergeCell ref="J359:K359"/>
    <mergeCell ref="L359:M359"/>
    <mergeCell ref="N359:O359"/>
    <mergeCell ref="P359:Q359"/>
    <mergeCell ref="R359:S359"/>
    <mergeCell ref="T351:U351"/>
    <mergeCell ref="V351:W351"/>
    <mergeCell ref="X351:Y351"/>
    <mergeCell ref="Z351:AA351"/>
    <mergeCell ref="AB351:AC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F357:G357"/>
    <mergeCell ref="H357:I357"/>
    <mergeCell ref="J357:K357"/>
    <mergeCell ref="L357:M357"/>
    <mergeCell ref="N357:O357"/>
    <mergeCell ref="P357:Q357"/>
    <mergeCell ref="R357:S357"/>
    <mergeCell ref="T302:U302"/>
    <mergeCell ref="V302:W302"/>
    <mergeCell ref="X302:Y302"/>
    <mergeCell ref="Z302:AA302"/>
    <mergeCell ref="AB302:AC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F350:G350"/>
    <mergeCell ref="H350:I350"/>
    <mergeCell ref="J350:K350"/>
    <mergeCell ref="L350:M350"/>
    <mergeCell ref="N350:O350"/>
    <mergeCell ref="P350:Q350"/>
    <mergeCell ref="R350:S35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.33"/>
    <col customWidth="1" min="2" max="2" width="9.89"/>
    <col customWidth="1" min="3" max="3" width="6.44"/>
    <col customWidth="1" min="4" max="4" width="10.56"/>
    <col customWidth="1" min="5" max="5" width="11.78"/>
    <col customWidth="1" min="6" max="29" width="3.67"/>
    <col customWidth="1" min="30" max="30" width="10.78"/>
    <col customWidth="1" min="31" max="32" width="8.0"/>
    <col customWidth="1" min="33" max="33" width="11.44"/>
    <col customWidth="1" min="34" max="34" width="8.0"/>
  </cols>
  <sheetData>
    <row r="1" ht="15.7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5" t="s">
        <v>2</v>
      </c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6" t="s">
        <v>3</v>
      </c>
      <c r="AE1" s="7"/>
      <c r="AF1" s="7"/>
      <c r="AG1" s="7"/>
      <c r="AH1" s="8"/>
    </row>
    <row r="2" ht="130.5" customHeight="1">
      <c r="A2" s="9" t="s">
        <v>4</v>
      </c>
      <c r="B2" s="10" t="s">
        <v>5</v>
      </c>
      <c r="C2" s="10" t="s">
        <v>6</v>
      </c>
      <c r="D2" s="10" t="s">
        <v>7</v>
      </c>
      <c r="E2" s="11" t="s">
        <v>8</v>
      </c>
      <c r="F2" s="12" t="s">
        <v>9</v>
      </c>
      <c r="G2" s="13">
        <v>26.31</v>
      </c>
      <c r="H2" s="12" t="s">
        <v>10</v>
      </c>
      <c r="I2" s="13">
        <v>26.31</v>
      </c>
      <c r="J2" s="14" t="s">
        <v>11</v>
      </c>
      <c r="K2" s="13">
        <v>26.31</v>
      </c>
      <c r="L2" s="14" t="s">
        <v>12</v>
      </c>
      <c r="M2" s="13">
        <v>26.31</v>
      </c>
      <c r="N2" s="14" t="s">
        <v>13</v>
      </c>
      <c r="O2" s="13">
        <v>0.0</v>
      </c>
      <c r="P2" s="14" t="s">
        <v>14</v>
      </c>
      <c r="Q2" s="13">
        <v>0.0</v>
      </c>
      <c r="R2" s="13" t="s">
        <v>15</v>
      </c>
      <c r="S2" s="13">
        <v>0.0</v>
      </c>
      <c r="T2" s="13" t="s">
        <v>15</v>
      </c>
      <c r="U2" s="13">
        <v>0.0</v>
      </c>
      <c r="V2" s="13" t="s">
        <v>15</v>
      </c>
      <c r="W2" s="13">
        <v>0.0</v>
      </c>
      <c r="X2" s="13" t="s">
        <v>15</v>
      </c>
      <c r="Y2" s="13">
        <v>0.0</v>
      </c>
      <c r="Z2" s="13" t="s">
        <v>15</v>
      </c>
      <c r="AA2" s="13">
        <v>0.0</v>
      </c>
      <c r="AB2" s="13" t="s">
        <v>15</v>
      </c>
      <c r="AC2" s="13">
        <v>0.0</v>
      </c>
      <c r="AD2" s="15" t="s">
        <v>16</v>
      </c>
      <c r="AE2" s="15" t="s">
        <v>17</v>
      </c>
      <c r="AF2" s="15" t="s">
        <v>18</v>
      </c>
      <c r="AG2" s="15" t="s">
        <v>19</v>
      </c>
      <c r="AH2" s="15" t="s">
        <v>20</v>
      </c>
    </row>
    <row r="3" ht="15.75" customHeight="1">
      <c r="A3" s="16" t="s">
        <v>21</v>
      </c>
      <c r="B3" s="17">
        <v>45656.0</v>
      </c>
      <c r="C3" s="18">
        <v>1.0</v>
      </c>
      <c r="D3" s="18" t="s">
        <v>22</v>
      </c>
      <c r="E3" s="19"/>
      <c r="F3" s="20"/>
      <c r="H3" s="21"/>
      <c r="J3" s="21"/>
      <c r="L3" s="21"/>
      <c r="N3" s="21"/>
      <c r="P3" s="21"/>
      <c r="Q3" s="22"/>
      <c r="R3" s="20"/>
      <c r="T3" s="21"/>
      <c r="V3" s="21"/>
      <c r="X3" s="21"/>
      <c r="Z3" s="21"/>
      <c r="AB3" s="21"/>
      <c r="AC3" s="22"/>
      <c r="AD3" s="23">
        <f t="shared" ref="AD3:AD359" si="1">(F3*G$2)+(H3*I$2)+(J3*K$2)+(L3*M$2)+(N3*O$2)+(P3*Q$2)+(R3*S$2)+(T3*U$2)+(V3*W$2)+(X3*Y$2)+(Z3*AA$2)+(AB3*AC$2)</f>
        <v>0</v>
      </c>
      <c r="AE3" s="18">
        <f t="shared" ref="AE3:AE359" si="2">sum(F3:M3)</f>
        <v>0</v>
      </c>
      <c r="AF3" s="18">
        <f t="shared" ref="AF3:AF359" si="3">sum(N3:Q3)</f>
        <v>0</v>
      </c>
      <c r="AG3" s="18">
        <f t="shared" ref="AG3:AG359" si="4">sum(F3:AC3)</f>
        <v>0</v>
      </c>
      <c r="AH3" s="24" t="str">
        <f t="shared" ref="AH3:AH359" si="5">iferror(AD3/AG3,"")</f>
        <v/>
      </c>
    </row>
    <row r="4" ht="15.75" customHeight="1">
      <c r="A4" s="25" t="s">
        <v>23</v>
      </c>
      <c r="B4" s="26">
        <f t="shared" ref="B4:B359" si="6">B3+1</f>
        <v>45657</v>
      </c>
      <c r="C4" s="27">
        <v>1.0</v>
      </c>
      <c r="D4" s="27" t="s">
        <v>22</v>
      </c>
      <c r="E4" s="28"/>
      <c r="F4" s="20"/>
      <c r="H4" s="21"/>
      <c r="J4" s="21"/>
      <c r="L4" s="21"/>
      <c r="N4" s="21"/>
      <c r="P4" s="21"/>
      <c r="Q4" s="22"/>
      <c r="R4" s="20"/>
      <c r="T4" s="21"/>
      <c r="V4" s="21"/>
      <c r="X4" s="21"/>
      <c r="Z4" s="21"/>
      <c r="AB4" s="21"/>
      <c r="AC4" s="22"/>
      <c r="AD4" s="29">
        <f t="shared" si="1"/>
        <v>0</v>
      </c>
      <c r="AE4" s="27">
        <f t="shared" si="2"/>
        <v>0</v>
      </c>
      <c r="AF4" s="27">
        <f t="shared" si="3"/>
        <v>0</v>
      </c>
      <c r="AG4" s="27">
        <f t="shared" si="4"/>
        <v>0</v>
      </c>
      <c r="AH4" s="24" t="str">
        <f t="shared" si="5"/>
        <v/>
      </c>
    </row>
    <row r="5" ht="15.75" customHeight="1">
      <c r="A5" s="25" t="s">
        <v>24</v>
      </c>
      <c r="B5" s="26">
        <f t="shared" si="6"/>
        <v>45658</v>
      </c>
      <c r="C5" s="27">
        <v>1.0</v>
      </c>
      <c r="D5" s="27" t="s">
        <v>22</v>
      </c>
      <c r="E5" s="28"/>
      <c r="F5" s="20"/>
      <c r="H5" s="21"/>
      <c r="J5" s="21"/>
      <c r="L5" s="21"/>
      <c r="N5" s="21"/>
      <c r="P5" s="21"/>
      <c r="Q5" s="22"/>
      <c r="R5" s="20"/>
      <c r="T5" s="21"/>
      <c r="V5" s="21"/>
      <c r="X5" s="21"/>
      <c r="Z5" s="21"/>
      <c r="AB5" s="21"/>
      <c r="AC5" s="22"/>
      <c r="AD5" s="29">
        <f t="shared" si="1"/>
        <v>0</v>
      </c>
      <c r="AE5" s="27">
        <f t="shared" si="2"/>
        <v>0</v>
      </c>
      <c r="AF5" s="27">
        <f t="shared" si="3"/>
        <v>0</v>
      </c>
      <c r="AG5" s="27">
        <f t="shared" si="4"/>
        <v>0</v>
      </c>
      <c r="AH5" s="24" t="str">
        <f t="shared" si="5"/>
        <v/>
      </c>
    </row>
    <row r="6" ht="15.75" customHeight="1">
      <c r="A6" s="25" t="s">
        <v>25</v>
      </c>
      <c r="B6" s="26">
        <f t="shared" si="6"/>
        <v>45659</v>
      </c>
      <c r="C6" s="27">
        <v>1.0</v>
      </c>
      <c r="D6" s="27" t="s">
        <v>22</v>
      </c>
      <c r="E6" s="28"/>
      <c r="F6" s="20"/>
      <c r="H6" s="21"/>
      <c r="J6" s="21"/>
      <c r="L6" s="21"/>
      <c r="N6" s="21"/>
      <c r="P6" s="21"/>
      <c r="Q6" s="22"/>
      <c r="R6" s="20"/>
      <c r="T6" s="21"/>
      <c r="V6" s="21"/>
      <c r="X6" s="21"/>
      <c r="Z6" s="21"/>
      <c r="AB6" s="21"/>
      <c r="AC6" s="22"/>
      <c r="AD6" s="29">
        <f t="shared" si="1"/>
        <v>0</v>
      </c>
      <c r="AE6" s="27">
        <f t="shared" si="2"/>
        <v>0</v>
      </c>
      <c r="AF6" s="27">
        <f t="shared" si="3"/>
        <v>0</v>
      </c>
      <c r="AG6" s="27">
        <f t="shared" si="4"/>
        <v>0</v>
      </c>
      <c r="AH6" s="24" t="str">
        <f t="shared" si="5"/>
        <v/>
      </c>
    </row>
    <row r="7" ht="15.75" customHeight="1">
      <c r="A7" s="25" t="s">
        <v>26</v>
      </c>
      <c r="B7" s="26">
        <f t="shared" si="6"/>
        <v>45660</v>
      </c>
      <c r="C7" s="27">
        <v>1.0</v>
      </c>
      <c r="D7" s="27" t="s">
        <v>22</v>
      </c>
      <c r="E7" s="28"/>
      <c r="F7" s="20"/>
      <c r="H7" s="21"/>
      <c r="J7" s="21"/>
      <c r="L7" s="21"/>
      <c r="N7" s="21"/>
      <c r="P7" s="21"/>
      <c r="Q7" s="22"/>
      <c r="R7" s="20"/>
      <c r="T7" s="21"/>
      <c r="V7" s="21"/>
      <c r="X7" s="21"/>
      <c r="Z7" s="21"/>
      <c r="AB7" s="21"/>
      <c r="AC7" s="22"/>
      <c r="AD7" s="29">
        <f t="shared" si="1"/>
        <v>0</v>
      </c>
      <c r="AE7" s="27">
        <f t="shared" si="2"/>
        <v>0</v>
      </c>
      <c r="AF7" s="27">
        <f t="shared" si="3"/>
        <v>0</v>
      </c>
      <c r="AG7" s="27">
        <f t="shared" si="4"/>
        <v>0</v>
      </c>
      <c r="AH7" s="24" t="str">
        <f t="shared" si="5"/>
        <v/>
      </c>
    </row>
    <row r="8" ht="15.75" customHeight="1">
      <c r="A8" s="25" t="s">
        <v>27</v>
      </c>
      <c r="B8" s="26">
        <f t="shared" si="6"/>
        <v>45661</v>
      </c>
      <c r="C8" s="27">
        <v>1.0</v>
      </c>
      <c r="D8" s="27" t="s">
        <v>22</v>
      </c>
      <c r="E8" s="28"/>
      <c r="F8" s="20"/>
      <c r="H8" s="21"/>
      <c r="J8" s="21"/>
      <c r="L8" s="21"/>
      <c r="N8" s="21"/>
      <c r="P8" s="21"/>
      <c r="Q8" s="22"/>
      <c r="R8" s="20"/>
      <c r="T8" s="21"/>
      <c r="V8" s="21"/>
      <c r="X8" s="21"/>
      <c r="Z8" s="21"/>
      <c r="AB8" s="21"/>
      <c r="AC8" s="22"/>
      <c r="AD8" s="29">
        <f t="shared" si="1"/>
        <v>0</v>
      </c>
      <c r="AE8" s="27">
        <f t="shared" si="2"/>
        <v>0</v>
      </c>
      <c r="AF8" s="27">
        <f t="shared" si="3"/>
        <v>0</v>
      </c>
      <c r="AG8" s="27">
        <f t="shared" si="4"/>
        <v>0</v>
      </c>
      <c r="AH8" s="24" t="str">
        <f t="shared" si="5"/>
        <v/>
      </c>
    </row>
    <row r="9" ht="15.75" customHeight="1">
      <c r="A9" s="30" t="s">
        <v>28</v>
      </c>
      <c r="B9" s="31">
        <f t="shared" si="6"/>
        <v>45662</v>
      </c>
      <c r="C9" s="32">
        <v>1.0</v>
      </c>
      <c r="D9" s="32" t="s">
        <v>22</v>
      </c>
      <c r="E9" s="33"/>
      <c r="F9" s="34"/>
      <c r="G9" s="35"/>
      <c r="H9" s="36"/>
      <c r="I9" s="35"/>
      <c r="J9" s="36"/>
      <c r="K9" s="35"/>
      <c r="L9" s="36"/>
      <c r="M9" s="35"/>
      <c r="N9" s="36"/>
      <c r="O9" s="35"/>
      <c r="P9" s="36"/>
      <c r="Q9" s="37"/>
      <c r="R9" s="34"/>
      <c r="S9" s="35"/>
      <c r="T9" s="36"/>
      <c r="U9" s="35"/>
      <c r="V9" s="36"/>
      <c r="W9" s="35"/>
      <c r="X9" s="36"/>
      <c r="Y9" s="35"/>
      <c r="Z9" s="36"/>
      <c r="AA9" s="35"/>
      <c r="AB9" s="36"/>
      <c r="AC9" s="37"/>
      <c r="AD9" s="38">
        <f t="shared" si="1"/>
        <v>0</v>
      </c>
      <c r="AE9" s="32">
        <f t="shared" si="2"/>
        <v>0</v>
      </c>
      <c r="AF9" s="32">
        <f t="shared" si="3"/>
        <v>0</v>
      </c>
      <c r="AG9" s="32">
        <f t="shared" si="4"/>
        <v>0</v>
      </c>
      <c r="AH9" s="39" t="str">
        <f t="shared" si="5"/>
        <v/>
      </c>
    </row>
    <row r="10" ht="15.75" customHeight="1">
      <c r="A10" s="16" t="s">
        <v>21</v>
      </c>
      <c r="B10" s="40">
        <f t="shared" si="6"/>
        <v>45663</v>
      </c>
      <c r="C10" s="18">
        <v>1.0</v>
      </c>
      <c r="D10" s="18" t="s">
        <v>29</v>
      </c>
      <c r="E10" s="19"/>
      <c r="F10" s="20"/>
      <c r="H10" s="21"/>
      <c r="J10" s="21"/>
      <c r="L10" s="21"/>
      <c r="N10" s="21"/>
      <c r="P10" s="21"/>
      <c r="Q10" s="22"/>
      <c r="R10" s="20"/>
      <c r="T10" s="21"/>
      <c r="V10" s="21"/>
      <c r="X10" s="21"/>
      <c r="Z10" s="21"/>
      <c r="AB10" s="21"/>
      <c r="AC10" s="22"/>
      <c r="AD10" s="23">
        <f t="shared" si="1"/>
        <v>0</v>
      </c>
      <c r="AE10" s="18">
        <f t="shared" si="2"/>
        <v>0</v>
      </c>
      <c r="AF10" s="18">
        <f t="shared" si="3"/>
        <v>0</v>
      </c>
      <c r="AG10" s="18">
        <f t="shared" si="4"/>
        <v>0</v>
      </c>
      <c r="AH10" s="41" t="str">
        <f t="shared" si="5"/>
        <v/>
      </c>
    </row>
    <row r="11" ht="15.75" customHeight="1">
      <c r="A11" s="25" t="s">
        <v>23</v>
      </c>
      <c r="B11" s="26">
        <f t="shared" si="6"/>
        <v>45664</v>
      </c>
      <c r="C11" s="27">
        <v>1.0</v>
      </c>
      <c r="D11" s="27" t="s">
        <v>29</v>
      </c>
      <c r="E11" s="28"/>
      <c r="F11" s="20"/>
      <c r="H11" s="21"/>
      <c r="J11" s="21"/>
      <c r="L11" s="21"/>
      <c r="N11" s="21"/>
      <c r="P11" s="21"/>
      <c r="Q11" s="22"/>
      <c r="R11" s="20"/>
      <c r="T11" s="21"/>
      <c r="V11" s="21"/>
      <c r="X11" s="21"/>
      <c r="Z11" s="21"/>
      <c r="AB11" s="21"/>
      <c r="AC11" s="22"/>
      <c r="AD11" s="29">
        <f t="shared" si="1"/>
        <v>0</v>
      </c>
      <c r="AE11" s="27">
        <f t="shared" si="2"/>
        <v>0</v>
      </c>
      <c r="AF11" s="27">
        <f t="shared" si="3"/>
        <v>0</v>
      </c>
      <c r="AG11" s="27">
        <f t="shared" si="4"/>
        <v>0</v>
      </c>
      <c r="AH11" s="24" t="str">
        <f t="shared" si="5"/>
        <v/>
      </c>
    </row>
    <row r="12" ht="15.75" customHeight="1">
      <c r="A12" s="25" t="s">
        <v>24</v>
      </c>
      <c r="B12" s="26">
        <f t="shared" si="6"/>
        <v>45665</v>
      </c>
      <c r="C12" s="27">
        <v>1.0</v>
      </c>
      <c r="D12" s="27" t="s">
        <v>29</v>
      </c>
      <c r="E12" s="28"/>
      <c r="F12" s="20"/>
      <c r="H12" s="21"/>
      <c r="J12" s="21"/>
      <c r="L12" s="21"/>
      <c r="N12" s="21"/>
      <c r="P12" s="21"/>
      <c r="Q12" s="22"/>
      <c r="R12" s="20"/>
      <c r="T12" s="21"/>
      <c r="V12" s="21"/>
      <c r="X12" s="21"/>
      <c r="Z12" s="21"/>
      <c r="AB12" s="21"/>
      <c r="AC12" s="22"/>
      <c r="AD12" s="29">
        <f t="shared" si="1"/>
        <v>0</v>
      </c>
      <c r="AE12" s="27">
        <f t="shared" si="2"/>
        <v>0</v>
      </c>
      <c r="AF12" s="27">
        <f t="shared" si="3"/>
        <v>0</v>
      </c>
      <c r="AG12" s="27">
        <f t="shared" si="4"/>
        <v>0</v>
      </c>
      <c r="AH12" s="24" t="str">
        <f t="shared" si="5"/>
        <v/>
      </c>
    </row>
    <row r="13" ht="15.75" customHeight="1">
      <c r="A13" s="25" t="s">
        <v>25</v>
      </c>
      <c r="B13" s="26">
        <f t="shared" si="6"/>
        <v>45666</v>
      </c>
      <c r="C13" s="27">
        <v>1.0</v>
      </c>
      <c r="D13" s="27" t="s">
        <v>29</v>
      </c>
      <c r="E13" s="28"/>
      <c r="F13" s="20"/>
      <c r="H13" s="21"/>
      <c r="J13" s="21"/>
      <c r="L13" s="21"/>
      <c r="N13" s="21"/>
      <c r="P13" s="21"/>
      <c r="Q13" s="22"/>
      <c r="R13" s="20"/>
      <c r="T13" s="21"/>
      <c r="V13" s="21"/>
      <c r="X13" s="21"/>
      <c r="Z13" s="21"/>
      <c r="AB13" s="21"/>
      <c r="AC13" s="22"/>
      <c r="AD13" s="29">
        <f t="shared" si="1"/>
        <v>0</v>
      </c>
      <c r="AE13" s="27">
        <f t="shared" si="2"/>
        <v>0</v>
      </c>
      <c r="AF13" s="27">
        <f t="shared" si="3"/>
        <v>0</v>
      </c>
      <c r="AG13" s="27">
        <f t="shared" si="4"/>
        <v>0</v>
      </c>
      <c r="AH13" s="24" t="str">
        <f t="shared" si="5"/>
        <v/>
      </c>
    </row>
    <row r="14" ht="15.75" customHeight="1">
      <c r="A14" s="25" t="s">
        <v>26</v>
      </c>
      <c r="B14" s="26">
        <f t="shared" si="6"/>
        <v>45667</v>
      </c>
      <c r="C14" s="27">
        <v>1.0</v>
      </c>
      <c r="D14" s="27" t="s">
        <v>29</v>
      </c>
      <c r="E14" s="28"/>
      <c r="F14" s="20"/>
      <c r="H14" s="21"/>
      <c r="J14" s="21"/>
      <c r="L14" s="21"/>
      <c r="N14" s="21"/>
      <c r="P14" s="21"/>
      <c r="Q14" s="22"/>
      <c r="R14" s="20"/>
      <c r="T14" s="21"/>
      <c r="V14" s="21"/>
      <c r="X14" s="21"/>
      <c r="Z14" s="21"/>
      <c r="AB14" s="21"/>
      <c r="AC14" s="22"/>
      <c r="AD14" s="29">
        <f t="shared" si="1"/>
        <v>0</v>
      </c>
      <c r="AE14" s="27">
        <f t="shared" si="2"/>
        <v>0</v>
      </c>
      <c r="AF14" s="27">
        <f t="shared" si="3"/>
        <v>0</v>
      </c>
      <c r="AG14" s="27">
        <f t="shared" si="4"/>
        <v>0</v>
      </c>
      <c r="AH14" s="24" t="str">
        <f t="shared" si="5"/>
        <v/>
      </c>
    </row>
    <row r="15" ht="15.75" customHeight="1">
      <c r="A15" s="25" t="s">
        <v>27</v>
      </c>
      <c r="B15" s="26">
        <f t="shared" si="6"/>
        <v>45668</v>
      </c>
      <c r="C15" s="27">
        <v>1.0</v>
      </c>
      <c r="D15" s="27" t="s">
        <v>29</v>
      </c>
      <c r="E15" s="28"/>
      <c r="F15" s="20"/>
      <c r="H15" s="21"/>
      <c r="J15" s="21"/>
      <c r="L15" s="21"/>
      <c r="N15" s="21"/>
      <c r="P15" s="21"/>
      <c r="Q15" s="22"/>
      <c r="R15" s="20"/>
      <c r="T15" s="21"/>
      <c r="V15" s="21"/>
      <c r="X15" s="21"/>
      <c r="Z15" s="21"/>
      <c r="AB15" s="21"/>
      <c r="AC15" s="22"/>
      <c r="AD15" s="29">
        <f t="shared" si="1"/>
        <v>0</v>
      </c>
      <c r="AE15" s="27">
        <f t="shared" si="2"/>
        <v>0</v>
      </c>
      <c r="AF15" s="27">
        <f t="shared" si="3"/>
        <v>0</v>
      </c>
      <c r="AG15" s="27">
        <f t="shared" si="4"/>
        <v>0</v>
      </c>
      <c r="AH15" s="24" t="str">
        <f t="shared" si="5"/>
        <v/>
      </c>
    </row>
    <row r="16" ht="15.75" customHeight="1">
      <c r="A16" s="30" t="s">
        <v>28</v>
      </c>
      <c r="B16" s="31">
        <f t="shared" si="6"/>
        <v>45669</v>
      </c>
      <c r="C16" s="32">
        <v>1.0</v>
      </c>
      <c r="D16" s="32" t="s">
        <v>29</v>
      </c>
      <c r="E16" s="33"/>
      <c r="F16" s="34"/>
      <c r="G16" s="35"/>
      <c r="H16" s="36"/>
      <c r="I16" s="35"/>
      <c r="J16" s="36"/>
      <c r="K16" s="35"/>
      <c r="L16" s="36"/>
      <c r="M16" s="35"/>
      <c r="N16" s="36"/>
      <c r="O16" s="35"/>
      <c r="P16" s="36"/>
      <c r="Q16" s="37"/>
      <c r="R16" s="34"/>
      <c r="S16" s="35"/>
      <c r="T16" s="36"/>
      <c r="U16" s="35"/>
      <c r="V16" s="36"/>
      <c r="W16" s="35"/>
      <c r="X16" s="36"/>
      <c r="Y16" s="35"/>
      <c r="Z16" s="36"/>
      <c r="AA16" s="35"/>
      <c r="AB16" s="36"/>
      <c r="AC16" s="37"/>
      <c r="AD16" s="38">
        <f t="shared" si="1"/>
        <v>0</v>
      </c>
      <c r="AE16" s="32">
        <f t="shared" si="2"/>
        <v>0</v>
      </c>
      <c r="AF16" s="32">
        <f t="shared" si="3"/>
        <v>0</v>
      </c>
      <c r="AG16" s="32">
        <f t="shared" si="4"/>
        <v>0</v>
      </c>
      <c r="AH16" s="39" t="str">
        <f t="shared" si="5"/>
        <v/>
      </c>
    </row>
    <row r="17" ht="15.75" customHeight="1">
      <c r="A17" s="16" t="s">
        <v>21</v>
      </c>
      <c r="B17" s="40">
        <f t="shared" si="6"/>
        <v>45670</v>
      </c>
      <c r="C17" s="18">
        <v>1.0</v>
      </c>
      <c r="D17" s="18" t="s">
        <v>30</v>
      </c>
      <c r="E17" s="19"/>
      <c r="F17" s="20"/>
      <c r="H17" s="21"/>
      <c r="J17" s="21"/>
      <c r="L17" s="21"/>
      <c r="N17" s="21"/>
      <c r="P17" s="21"/>
      <c r="Q17" s="22"/>
      <c r="R17" s="20"/>
      <c r="T17" s="21"/>
      <c r="V17" s="21"/>
      <c r="X17" s="21"/>
      <c r="Z17" s="21"/>
      <c r="AB17" s="21"/>
      <c r="AC17" s="22"/>
      <c r="AD17" s="23">
        <f t="shared" si="1"/>
        <v>0</v>
      </c>
      <c r="AE17" s="18">
        <f t="shared" si="2"/>
        <v>0</v>
      </c>
      <c r="AF17" s="18">
        <f t="shared" si="3"/>
        <v>0</v>
      </c>
      <c r="AG17" s="18">
        <f t="shared" si="4"/>
        <v>0</v>
      </c>
      <c r="AH17" s="41" t="str">
        <f t="shared" si="5"/>
        <v/>
      </c>
    </row>
    <row r="18" ht="15.75" customHeight="1">
      <c r="A18" s="25" t="s">
        <v>23</v>
      </c>
      <c r="B18" s="26">
        <f t="shared" si="6"/>
        <v>45671</v>
      </c>
      <c r="C18" s="27">
        <v>1.0</v>
      </c>
      <c r="D18" s="27" t="s">
        <v>30</v>
      </c>
      <c r="E18" s="28"/>
      <c r="F18" s="20"/>
      <c r="H18" s="21"/>
      <c r="J18" s="21"/>
      <c r="L18" s="21"/>
      <c r="N18" s="21"/>
      <c r="P18" s="21"/>
      <c r="Q18" s="22"/>
      <c r="R18" s="20"/>
      <c r="T18" s="21"/>
      <c r="V18" s="21"/>
      <c r="X18" s="21"/>
      <c r="Z18" s="21"/>
      <c r="AB18" s="21"/>
      <c r="AC18" s="22"/>
      <c r="AD18" s="29">
        <f t="shared" si="1"/>
        <v>0</v>
      </c>
      <c r="AE18" s="27">
        <f t="shared" si="2"/>
        <v>0</v>
      </c>
      <c r="AF18" s="27">
        <f t="shared" si="3"/>
        <v>0</v>
      </c>
      <c r="AG18" s="27">
        <f t="shared" si="4"/>
        <v>0</v>
      </c>
      <c r="AH18" s="24" t="str">
        <f t="shared" si="5"/>
        <v/>
      </c>
    </row>
    <row r="19" ht="15.75" customHeight="1">
      <c r="A19" s="25" t="s">
        <v>24</v>
      </c>
      <c r="B19" s="26">
        <f t="shared" si="6"/>
        <v>45672</v>
      </c>
      <c r="C19" s="27">
        <v>1.0</v>
      </c>
      <c r="D19" s="27" t="s">
        <v>30</v>
      </c>
      <c r="E19" s="28"/>
      <c r="F19" s="20"/>
      <c r="H19" s="21"/>
      <c r="J19" s="21"/>
      <c r="L19" s="21"/>
      <c r="N19" s="21"/>
      <c r="P19" s="21"/>
      <c r="Q19" s="22"/>
      <c r="R19" s="20"/>
      <c r="T19" s="21"/>
      <c r="V19" s="21"/>
      <c r="X19" s="21"/>
      <c r="Z19" s="21"/>
      <c r="AB19" s="21"/>
      <c r="AC19" s="22"/>
      <c r="AD19" s="29">
        <f t="shared" si="1"/>
        <v>0</v>
      </c>
      <c r="AE19" s="27">
        <f t="shared" si="2"/>
        <v>0</v>
      </c>
      <c r="AF19" s="27">
        <f t="shared" si="3"/>
        <v>0</v>
      </c>
      <c r="AG19" s="27">
        <f t="shared" si="4"/>
        <v>0</v>
      </c>
      <c r="AH19" s="24" t="str">
        <f t="shared" si="5"/>
        <v/>
      </c>
    </row>
    <row r="20" ht="15.75" customHeight="1">
      <c r="A20" s="25" t="s">
        <v>25</v>
      </c>
      <c r="B20" s="26">
        <f t="shared" si="6"/>
        <v>45673</v>
      </c>
      <c r="C20" s="27">
        <v>1.0</v>
      </c>
      <c r="D20" s="27" t="s">
        <v>30</v>
      </c>
      <c r="E20" s="28"/>
      <c r="F20" s="20"/>
      <c r="H20" s="21"/>
      <c r="J20" s="21"/>
      <c r="L20" s="21"/>
      <c r="N20" s="21"/>
      <c r="P20" s="21"/>
      <c r="Q20" s="22"/>
      <c r="R20" s="20"/>
      <c r="T20" s="21"/>
      <c r="V20" s="21"/>
      <c r="X20" s="21"/>
      <c r="Z20" s="21"/>
      <c r="AB20" s="21"/>
      <c r="AC20" s="22"/>
      <c r="AD20" s="29">
        <f t="shared" si="1"/>
        <v>0</v>
      </c>
      <c r="AE20" s="27">
        <f t="shared" si="2"/>
        <v>0</v>
      </c>
      <c r="AF20" s="27">
        <f t="shared" si="3"/>
        <v>0</v>
      </c>
      <c r="AG20" s="27">
        <f t="shared" si="4"/>
        <v>0</v>
      </c>
      <c r="AH20" s="24" t="str">
        <f t="shared" si="5"/>
        <v/>
      </c>
    </row>
    <row r="21" ht="15.75" customHeight="1">
      <c r="A21" s="25" t="s">
        <v>26</v>
      </c>
      <c r="B21" s="26">
        <f t="shared" si="6"/>
        <v>45674</v>
      </c>
      <c r="C21" s="27">
        <v>1.0</v>
      </c>
      <c r="D21" s="27" t="s">
        <v>30</v>
      </c>
      <c r="E21" s="28"/>
      <c r="F21" s="20"/>
      <c r="H21" s="21"/>
      <c r="J21" s="21"/>
      <c r="L21" s="21"/>
      <c r="N21" s="21"/>
      <c r="P21" s="21"/>
      <c r="Q21" s="22"/>
      <c r="R21" s="20"/>
      <c r="T21" s="21"/>
      <c r="V21" s="21"/>
      <c r="X21" s="21"/>
      <c r="Z21" s="21"/>
      <c r="AB21" s="21"/>
      <c r="AC21" s="22"/>
      <c r="AD21" s="29">
        <f t="shared" si="1"/>
        <v>0</v>
      </c>
      <c r="AE21" s="27">
        <f t="shared" si="2"/>
        <v>0</v>
      </c>
      <c r="AF21" s="27">
        <f t="shared" si="3"/>
        <v>0</v>
      </c>
      <c r="AG21" s="27">
        <f t="shared" si="4"/>
        <v>0</v>
      </c>
      <c r="AH21" s="24" t="str">
        <f t="shared" si="5"/>
        <v/>
      </c>
    </row>
    <row r="22" ht="15.75" customHeight="1">
      <c r="A22" s="25" t="s">
        <v>27</v>
      </c>
      <c r="B22" s="26">
        <f t="shared" si="6"/>
        <v>45675</v>
      </c>
      <c r="C22" s="27">
        <v>1.0</v>
      </c>
      <c r="D22" s="27" t="s">
        <v>30</v>
      </c>
      <c r="E22" s="28"/>
      <c r="F22" s="20"/>
      <c r="H22" s="21"/>
      <c r="J22" s="21"/>
      <c r="L22" s="21"/>
      <c r="N22" s="21"/>
      <c r="P22" s="21"/>
      <c r="Q22" s="22"/>
      <c r="R22" s="20"/>
      <c r="T22" s="21"/>
      <c r="V22" s="21"/>
      <c r="X22" s="21"/>
      <c r="Z22" s="21"/>
      <c r="AB22" s="21"/>
      <c r="AC22" s="22"/>
      <c r="AD22" s="29">
        <f t="shared" si="1"/>
        <v>0</v>
      </c>
      <c r="AE22" s="27">
        <f t="shared" si="2"/>
        <v>0</v>
      </c>
      <c r="AF22" s="27">
        <f t="shared" si="3"/>
        <v>0</v>
      </c>
      <c r="AG22" s="27">
        <f t="shared" si="4"/>
        <v>0</v>
      </c>
      <c r="AH22" s="24" t="str">
        <f t="shared" si="5"/>
        <v/>
      </c>
    </row>
    <row r="23" ht="15.75" customHeight="1">
      <c r="A23" s="30" t="s">
        <v>28</v>
      </c>
      <c r="B23" s="31">
        <f t="shared" si="6"/>
        <v>45676</v>
      </c>
      <c r="C23" s="32">
        <v>1.0</v>
      </c>
      <c r="D23" s="32" t="s">
        <v>30</v>
      </c>
      <c r="E23" s="33"/>
      <c r="F23" s="34"/>
      <c r="G23" s="35"/>
      <c r="H23" s="36"/>
      <c r="I23" s="35"/>
      <c r="J23" s="36"/>
      <c r="K23" s="35"/>
      <c r="L23" s="36"/>
      <c r="M23" s="35"/>
      <c r="N23" s="36"/>
      <c r="O23" s="35"/>
      <c r="P23" s="36"/>
      <c r="Q23" s="37"/>
      <c r="R23" s="34"/>
      <c r="S23" s="35"/>
      <c r="T23" s="36"/>
      <c r="U23" s="35"/>
      <c r="V23" s="36"/>
      <c r="W23" s="35"/>
      <c r="X23" s="36"/>
      <c r="Y23" s="35"/>
      <c r="Z23" s="36"/>
      <c r="AA23" s="35"/>
      <c r="AB23" s="36"/>
      <c r="AC23" s="37"/>
      <c r="AD23" s="38">
        <f t="shared" si="1"/>
        <v>0</v>
      </c>
      <c r="AE23" s="32">
        <f t="shared" si="2"/>
        <v>0</v>
      </c>
      <c r="AF23" s="32">
        <f t="shared" si="3"/>
        <v>0</v>
      </c>
      <c r="AG23" s="32">
        <f t="shared" si="4"/>
        <v>0</v>
      </c>
      <c r="AH23" s="39" t="str">
        <f t="shared" si="5"/>
        <v/>
      </c>
    </row>
    <row r="24" ht="15.75" customHeight="1">
      <c r="A24" s="16" t="s">
        <v>21</v>
      </c>
      <c r="B24" s="40">
        <f t="shared" si="6"/>
        <v>45677</v>
      </c>
      <c r="C24" s="18">
        <v>1.0</v>
      </c>
      <c r="D24" s="18" t="s">
        <v>31</v>
      </c>
      <c r="E24" s="19"/>
      <c r="F24" s="20"/>
      <c r="H24" s="21"/>
      <c r="J24" s="21"/>
      <c r="L24" s="21"/>
      <c r="N24" s="21"/>
      <c r="P24" s="21"/>
      <c r="Q24" s="22"/>
      <c r="R24" s="20"/>
      <c r="T24" s="21"/>
      <c r="V24" s="21"/>
      <c r="X24" s="21"/>
      <c r="Z24" s="21"/>
      <c r="AB24" s="21"/>
      <c r="AC24" s="22"/>
      <c r="AD24" s="23">
        <f t="shared" si="1"/>
        <v>0</v>
      </c>
      <c r="AE24" s="18">
        <f t="shared" si="2"/>
        <v>0</v>
      </c>
      <c r="AF24" s="18">
        <f t="shared" si="3"/>
        <v>0</v>
      </c>
      <c r="AG24" s="18">
        <f t="shared" si="4"/>
        <v>0</v>
      </c>
      <c r="AH24" s="41" t="str">
        <f t="shared" si="5"/>
        <v/>
      </c>
    </row>
    <row r="25" ht="15.75" customHeight="1">
      <c r="A25" s="25" t="s">
        <v>23</v>
      </c>
      <c r="B25" s="26">
        <f t="shared" si="6"/>
        <v>45678</v>
      </c>
      <c r="C25" s="27">
        <v>1.0</v>
      </c>
      <c r="D25" s="27" t="s">
        <v>31</v>
      </c>
      <c r="E25" s="28"/>
      <c r="F25" s="20"/>
      <c r="H25" s="21"/>
      <c r="J25" s="21"/>
      <c r="L25" s="21"/>
      <c r="N25" s="21"/>
      <c r="P25" s="21"/>
      <c r="Q25" s="22"/>
      <c r="R25" s="20"/>
      <c r="T25" s="21"/>
      <c r="V25" s="21"/>
      <c r="X25" s="21"/>
      <c r="Z25" s="21"/>
      <c r="AB25" s="21"/>
      <c r="AC25" s="22"/>
      <c r="AD25" s="29">
        <f t="shared" si="1"/>
        <v>0</v>
      </c>
      <c r="AE25" s="27">
        <f t="shared" si="2"/>
        <v>0</v>
      </c>
      <c r="AF25" s="27">
        <f t="shared" si="3"/>
        <v>0</v>
      </c>
      <c r="AG25" s="27">
        <f t="shared" si="4"/>
        <v>0</v>
      </c>
      <c r="AH25" s="24" t="str">
        <f t="shared" si="5"/>
        <v/>
      </c>
    </row>
    <row r="26" ht="15.75" customHeight="1">
      <c r="A26" s="25" t="s">
        <v>24</v>
      </c>
      <c r="B26" s="26">
        <f t="shared" si="6"/>
        <v>45679</v>
      </c>
      <c r="C26" s="27">
        <v>1.0</v>
      </c>
      <c r="D26" s="27" t="s">
        <v>31</v>
      </c>
      <c r="E26" s="28"/>
      <c r="F26" s="20"/>
      <c r="H26" s="21"/>
      <c r="J26" s="21"/>
      <c r="L26" s="21"/>
      <c r="N26" s="21"/>
      <c r="P26" s="21"/>
      <c r="Q26" s="22"/>
      <c r="R26" s="20"/>
      <c r="T26" s="21"/>
      <c r="V26" s="21"/>
      <c r="X26" s="21"/>
      <c r="Z26" s="21"/>
      <c r="AB26" s="21"/>
      <c r="AC26" s="22"/>
      <c r="AD26" s="29">
        <f t="shared" si="1"/>
        <v>0</v>
      </c>
      <c r="AE26" s="27">
        <f t="shared" si="2"/>
        <v>0</v>
      </c>
      <c r="AF26" s="27">
        <f t="shared" si="3"/>
        <v>0</v>
      </c>
      <c r="AG26" s="27">
        <f t="shared" si="4"/>
        <v>0</v>
      </c>
      <c r="AH26" s="24" t="str">
        <f t="shared" si="5"/>
        <v/>
      </c>
    </row>
    <row r="27" ht="15.75" customHeight="1">
      <c r="A27" s="25" t="s">
        <v>25</v>
      </c>
      <c r="B27" s="26">
        <f t="shared" si="6"/>
        <v>45680</v>
      </c>
      <c r="C27" s="27">
        <v>1.0</v>
      </c>
      <c r="D27" s="27" t="s">
        <v>31</v>
      </c>
      <c r="E27" s="28"/>
      <c r="F27" s="20"/>
      <c r="H27" s="21"/>
      <c r="J27" s="21"/>
      <c r="L27" s="21"/>
      <c r="N27" s="21"/>
      <c r="P27" s="21"/>
      <c r="Q27" s="22"/>
      <c r="R27" s="20"/>
      <c r="T27" s="21"/>
      <c r="V27" s="21"/>
      <c r="X27" s="21"/>
      <c r="Z27" s="21"/>
      <c r="AB27" s="21"/>
      <c r="AC27" s="22"/>
      <c r="AD27" s="29">
        <f t="shared" si="1"/>
        <v>0</v>
      </c>
      <c r="AE27" s="27">
        <f t="shared" si="2"/>
        <v>0</v>
      </c>
      <c r="AF27" s="27">
        <f t="shared" si="3"/>
        <v>0</v>
      </c>
      <c r="AG27" s="27">
        <f t="shared" si="4"/>
        <v>0</v>
      </c>
      <c r="AH27" s="24" t="str">
        <f t="shared" si="5"/>
        <v/>
      </c>
    </row>
    <row r="28" ht="15.75" customHeight="1">
      <c r="A28" s="25" t="s">
        <v>26</v>
      </c>
      <c r="B28" s="26">
        <f t="shared" si="6"/>
        <v>45681</v>
      </c>
      <c r="C28" s="27">
        <v>1.0</v>
      </c>
      <c r="D28" s="27" t="s">
        <v>31</v>
      </c>
      <c r="E28" s="28"/>
      <c r="F28" s="20"/>
      <c r="H28" s="21"/>
      <c r="J28" s="21"/>
      <c r="L28" s="21"/>
      <c r="N28" s="21"/>
      <c r="P28" s="21"/>
      <c r="Q28" s="22"/>
      <c r="R28" s="20"/>
      <c r="T28" s="21"/>
      <c r="V28" s="21"/>
      <c r="X28" s="21"/>
      <c r="Z28" s="21"/>
      <c r="AB28" s="21"/>
      <c r="AC28" s="22"/>
      <c r="AD28" s="29">
        <f t="shared" si="1"/>
        <v>0</v>
      </c>
      <c r="AE28" s="27">
        <f t="shared" si="2"/>
        <v>0</v>
      </c>
      <c r="AF28" s="27">
        <f t="shared" si="3"/>
        <v>0</v>
      </c>
      <c r="AG28" s="27">
        <f t="shared" si="4"/>
        <v>0</v>
      </c>
      <c r="AH28" s="24" t="str">
        <f t="shared" si="5"/>
        <v/>
      </c>
    </row>
    <row r="29" ht="15.75" customHeight="1">
      <c r="A29" s="25" t="s">
        <v>27</v>
      </c>
      <c r="B29" s="26">
        <f t="shared" si="6"/>
        <v>45682</v>
      </c>
      <c r="C29" s="27">
        <v>1.0</v>
      </c>
      <c r="D29" s="27" t="s">
        <v>31</v>
      </c>
      <c r="E29" s="28"/>
      <c r="F29" s="20"/>
      <c r="H29" s="21"/>
      <c r="J29" s="21"/>
      <c r="L29" s="21"/>
      <c r="N29" s="21"/>
      <c r="P29" s="21"/>
      <c r="Q29" s="22"/>
      <c r="R29" s="20"/>
      <c r="T29" s="21"/>
      <c r="V29" s="21"/>
      <c r="X29" s="21"/>
      <c r="Z29" s="21"/>
      <c r="AB29" s="21"/>
      <c r="AC29" s="22"/>
      <c r="AD29" s="29">
        <f t="shared" si="1"/>
        <v>0</v>
      </c>
      <c r="AE29" s="27">
        <f t="shared" si="2"/>
        <v>0</v>
      </c>
      <c r="AF29" s="27">
        <f t="shared" si="3"/>
        <v>0</v>
      </c>
      <c r="AG29" s="27">
        <f t="shared" si="4"/>
        <v>0</v>
      </c>
      <c r="AH29" s="24" t="str">
        <f t="shared" si="5"/>
        <v/>
      </c>
    </row>
    <row r="30" ht="15.75" customHeight="1">
      <c r="A30" s="30" t="s">
        <v>28</v>
      </c>
      <c r="B30" s="31">
        <f t="shared" si="6"/>
        <v>45683</v>
      </c>
      <c r="C30" s="32">
        <v>1.0</v>
      </c>
      <c r="D30" s="32" t="s">
        <v>31</v>
      </c>
      <c r="E30" s="33"/>
      <c r="F30" s="34"/>
      <c r="G30" s="35"/>
      <c r="H30" s="36"/>
      <c r="I30" s="35"/>
      <c r="J30" s="36"/>
      <c r="K30" s="35"/>
      <c r="L30" s="36"/>
      <c r="M30" s="35"/>
      <c r="N30" s="36"/>
      <c r="O30" s="35"/>
      <c r="P30" s="36"/>
      <c r="Q30" s="37"/>
      <c r="R30" s="34"/>
      <c r="S30" s="35"/>
      <c r="T30" s="36"/>
      <c r="U30" s="35"/>
      <c r="V30" s="36"/>
      <c r="W30" s="35"/>
      <c r="X30" s="36"/>
      <c r="Y30" s="35"/>
      <c r="Z30" s="36"/>
      <c r="AA30" s="35"/>
      <c r="AB30" s="36"/>
      <c r="AC30" s="37"/>
      <c r="AD30" s="38">
        <f t="shared" si="1"/>
        <v>0</v>
      </c>
      <c r="AE30" s="32">
        <f t="shared" si="2"/>
        <v>0</v>
      </c>
      <c r="AF30" s="32">
        <f t="shared" si="3"/>
        <v>0</v>
      </c>
      <c r="AG30" s="32">
        <f t="shared" si="4"/>
        <v>0</v>
      </c>
      <c r="AH30" s="39" t="str">
        <f t="shared" si="5"/>
        <v/>
      </c>
    </row>
    <row r="31" ht="15.75" customHeight="1">
      <c r="A31" s="16" t="s">
        <v>21</v>
      </c>
      <c r="B31" s="40">
        <f t="shared" si="6"/>
        <v>45684</v>
      </c>
      <c r="C31" s="18">
        <v>2.0</v>
      </c>
      <c r="D31" s="18" t="s">
        <v>22</v>
      </c>
      <c r="E31" s="19"/>
      <c r="F31" s="20"/>
      <c r="H31" s="21"/>
      <c r="J31" s="21"/>
      <c r="L31" s="21"/>
      <c r="N31" s="21"/>
      <c r="P31" s="21"/>
      <c r="Q31" s="22"/>
      <c r="R31" s="20"/>
      <c r="T31" s="21"/>
      <c r="V31" s="21"/>
      <c r="X31" s="21"/>
      <c r="Z31" s="21"/>
      <c r="AB31" s="21"/>
      <c r="AC31" s="22"/>
      <c r="AD31" s="23">
        <f t="shared" si="1"/>
        <v>0</v>
      </c>
      <c r="AE31" s="18">
        <f t="shared" si="2"/>
        <v>0</v>
      </c>
      <c r="AF31" s="18">
        <f t="shared" si="3"/>
        <v>0</v>
      </c>
      <c r="AG31" s="18">
        <f t="shared" si="4"/>
        <v>0</v>
      </c>
      <c r="AH31" s="41" t="str">
        <f t="shared" si="5"/>
        <v/>
      </c>
    </row>
    <row r="32" ht="15.75" customHeight="1">
      <c r="A32" s="25" t="s">
        <v>23</v>
      </c>
      <c r="B32" s="26">
        <f t="shared" si="6"/>
        <v>45685</v>
      </c>
      <c r="C32" s="27">
        <v>2.0</v>
      </c>
      <c r="D32" s="27" t="s">
        <v>22</v>
      </c>
      <c r="E32" s="28"/>
      <c r="F32" s="20"/>
      <c r="H32" s="21"/>
      <c r="J32" s="21"/>
      <c r="L32" s="21"/>
      <c r="N32" s="21"/>
      <c r="P32" s="21"/>
      <c r="Q32" s="22"/>
      <c r="R32" s="20"/>
      <c r="T32" s="21"/>
      <c r="V32" s="21"/>
      <c r="X32" s="21"/>
      <c r="Z32" s="21"/>
      <c r="AB32" s="21"/>
      <c r="AC32" s="22"/>
      <c r="AD32" s="29">
        <f t="shared" si="1"/>
        <v>0</v>
      </c>
      <c r="AE32" s="27">
        <f t="shared" si="2"/>
        <v>0</v>
      </c>
      <c r="AF32" s="27">
        <f t="shared" si="3"/>
        <v>0</v>
      </c>
      <c r="AG32" s="27">
        <f t="shared" si="4"/>
        <v>0</v>
      </c>
      <c r="AH32" s="24" t="str">
        <f t="shared" si="5"/>
        <v/>
      </c>
    </row>
    <row r="33" ht="15.75" customHeight="1">
      <c r="A33" s="25" t="s">
        <v>24</v>
      </c>
      <c r="B33" s="26">
        <f t="shared" si="6"/>
        <v>45686</v>
      </c>
      <c r="C33" s="27">
        <v>2.0</v>
      </c>
      <c r="D33" s="27" t="s">
        <v>22</v>
      </c>
      <c r="E33" s="28"/>
      <c r="F33" s="20"/>
      <c r="H33" s="21"/>
      <c r="J33" s="21"/>
      <c r="L33" s="21"/>
      <c r="N33" s="21"/>
      <c r="P33" s="21"/>
      <c r="Q33" s="22"/>
      <c r="R33" s="20"/>
      <c r="T33" s="21"/>
      <c r="V33" s="21"/>
      <c r="X33" s="21"/>
      <c r="Z33" s="21"/>
      <c r="AB33" s="21"/>
      <c r="AC33" s="22"/>
      <c r="AD33" s="29">
        <f t="shared" si="1"/>
        <v>0</v>
      </c>
      <c r="AE33" s="27">
        <f t="shared" si="2"/>
        <v>0</v>
      </c>
      <c r="AF33" s="27">
        <f t="shared" si="3"/>
        <v>0</v>
      </c>
      <c r="AG33" s="27">
        <f t="shared" si="4"/>
        <v>0</v>
      </c>
      <c r="AH33" s="24" t="str">
        <f t="shared" si="5"/>
        <v/>
      </c>
    </row>
    <row r="34" ht="15.75" customHeight="1">
      <c r="A34" s="25" t="s">
        <v>25</v>
      </c>
      <c r="B34" s="26">
        <f t="shared" si="6"/>
        <v>45687</v>
      </c>
      <c r="C34" s="27">
        <v>2.0</v>
      </c>
      <c r="D34" s="27" t="s">
        <v>22</v>
      </c>
      <c r="E34" s="28"/>
      <c r="F34" s="20"/>
      <c r="H34" s="21"/>
      <c r="J34" s="21"/>
      <c r="L34" s="21"/>
      <c r="N34" s="21"/>
      <c r="P34" s="21"/>
      <c r="Q34" s="22"/>
      <c r="R34" s="20"/>
      <c r="T34" s="21"/>
      <c r="V34" s="21"/>
      <c r="X34" s="21"/>
      <c r="Z34" s="21"/>
      <c r="AB34" s="21"/>
      <c r="AC34" s="22"/>
      <c r="AD34" s="29">
        <f t="shared" si="1"/>
        <v>0</v>
      </c>
      <c r="AE34" s="27">
        <f t="shared" si="2"/>
        <v>0</v>
      </c>
      <c r="AF34" s="27">
        <f t="shared" si="3"/>
        <v>0</v>
      </c>
      <c r="AG34" s="27">
        <f t="shared" si="4"/>
        <v>0</v>
      </c>
      <c r="AH34" s="24" t="str">
        <f t="shared" si="5"/>
        <v/>
      </c>
    </row>
    <row r="35" ht="15.75" customHeight="1">
      <c r="A35" s="25" t="s">
        <v>26</v>
      </c>
      <c r="B35" s="26">
        <f t="shared" si="6"/>
        <v>45688</v>
      </c>
      <c r="C35" s="27">
        <v>2.0</v>
      </c>
      <c r="D35" s="27" t="s">
        <v>22</v>
      </c>
      <c r="E35" s="28"/>
      <c r="F35" s="20"/>
      <c r="H35" s="21"/>
      <c r="J35" s="21"/>
      <c r="L35" s="21"/>
      <c r="N35" s="21"/>
      <c r="P35" s="21"/>
      <c r="Q35" s="22"/>
      <c r="R35" s="20"/>
      <c r="T35" s="21"/>
      <c r="V35" s="21"/>
      <c r="X35" s="21"/>
      <c r="Z35" s="21"/>
      <c r="AB35" s="21"/>
      <c r="AC35" s="22"/>
      <c r="AD35" s="29">
        <f t="shared" si="1"/>
        <v>0</v>
      </c>
      <c r="AE35" s="27">
        <f t="shared" si="2"/>
        <v>0</v>
      </c>
      <c r="AF35" s="27">
        <f t="shared" si="3"/>
        <v>0</v>
      </c>
      <c r="AG35" s="27">
        <f t="shared" si="4"/>
        <v>0</v>
      </c>
      <c r="AH35" s="24" t="str">
        <f t="shared" si="5"/>
        <v/>
      </c>
    </row>
    <row r="36" ht="15.75" customHeight="1">
      <c r="A36" s="25" t="s">
        <v>27</v>
      </c>
      <c r="B36" s="26">
        <f t="shared" si="6"/>
        <v>45689</v>
      </c>
      <c r="C36" s="27">
        <v>2.0</v>
      </c>
      <c r="D36" s="27" t="s">
        <v>22</v>
      </c>
      <c r="E36" s="28"/>
      <c r="F36" s="20"/>
      <c r="H36" s="21"/>
      <c r="J36" s="21"/>
      <c r="L36" s="21"/>
      <c r="N36" s="21"/>
      <c r="P36" s="21"/>
      <c r="Q36" s="22"/>
      <c r="R36" s="20"/>
      <c r="T36" s="21"/>
      <c r="V36" s="21"/>
      <c r="X36" s="21"/>
      <c r="Z36" s="21"/>
      <c r="AB36" s="21"/>
      <c r="AC36" s="22"/>
      <c r="AD36" s="29">
        <f t="shared" si="1"/>
        <v>0</v>
      </c>
      <c r="AE36" s="27">
        <f t="shared" si="2"/>
        <v>0</v>
      </c>
      <c r="AF36" s="27">
        <f t="shared" si="3"/>
        <v>0</v>
      </c>
      <c r="AG36" s="27">
        <f t="shared" si="4"/>
        <v>0</v>
      </c>
      <c r="AH36" s="24" t="str">
        <f t="shared" si="5"/>
        <v/>
      </c>
    </row>
    <row r="37" ht="15.75" customHeight="1">
      <c r="A37" s="30" t="s">
        <v>28</v>
      </c>
      <c r="B37" s="31">
        <f t="shared" si="6"/>
        <v>45690</v>
      </c>
      <c r="C37" s="32">
        <v>2.0</v>
      </c>
      <c r="D37" s="32" t="s">
        <v>22</v>
      </c>
      <c r="E37" s="33"/>
      <c r="F37" s="34"/>
      <c r="G37" s="35"/>
      <c r="H37" s="36"/>
      <c r="I37" s="35"/>
      <c r="J37" s="36"/>
      <c r="K37" s="35"/>
      <c r="L37" s="36"/>
      <c r="M37" s="35"/>
      <c r="N37" s="36"/>
      <c r="O37" s="35"/>
      <c r="P37" s="36"/>
      <c r="Q37" s="37"/>
      <c r="R37" s="34"/>
      <c r="S37" s="35"/>
      <c r="T37" s="36"/>
      <c r="U37" s="35"/>
      <c r="V37" s="36"/>
      <c r="W37" s="35"/>
      <c r="X37" s="36"/>
      <c r="Y37" s="35"/>
      <c r="Z37" s="36"/>
      <c r="AA37" s="35"/>
      <c r="AB37" s="36"/>
      <c r="AC37" s="37"/>
      <c r="AD37" s="38">
        <f t="shared" si="1"/>
        <v>0</v>
      </c>
      <c r="AE37" s="32">
        <f t="shared" si="2"/>
        <v>0</v>
      </c>
      <c r="AF37" s="32">
        <f t="shared" si="3"/>
        <v>0</v>
      </c>
      <c r="AG37" s="32">
        <f t="shared" si="4"/>
        <v>0</v>
      </c>
      <c r="AH37" s="39" t="str">
        <f t="shared" si="5"/>
        <v/>
      </c>
    </row>
    <row r="38" ht="15.75" customHeight="1">
      <c r="A38" s="16" t="s">
        <v>21</v>
      </c>
      <c r="B38" s="40">
        <f t="shared" si="6"/>
        <v>45691</v>
      </c>
      <c r="C38" s="18">
        <v>2.0</v>
      </c>
      <c r="D38" s="18" t="s">
        <v>29</v>
      </c>
      <c r="E38" s="19"/>
      <c r="F38" s="20"/>
      <c r="H38" s="21"/>
      <c r="J38" s="21"/>
      <c r="L38" s="21"/>
      <c r="N38" s="21"/>
      <c r="P38" s="21"/>
      <c r="Q38" s="22"/>
      <c r="R38" s="20"/>
      <c r="T38" s="21"/>
      <c r="V38" s="21"/>
      <c r="X38" s="21"/>
      <c r="Z38" s="21"/>
      <c r="AB38" s="21"/>
      <c r="AC38" s="22"/>
      <c r="AD38" s="23">
        <f t="shared" si="1"/>
        <v>0</v>
      </c>
      <c r="AE38" s="18">
        <f t="shared" si="2"/>
        <v>0</v>
      </c>
      <c r="AF38" s="18">
        <f t="shared" si="3"/>
        <v>0</v>
      </c>
      <c r="AG38" s="18">
        <f t="shared" si="4"/>
        <v>0</v>
      </c>
      <c r="AH38" s="41" t="str">
        <f t="shared" si="5"/>
        <v/>
      </c>
    </row>
    <row r="39" ht="15.75" customHeight="1">
      <c r="A39" s="25" t="s">
        <v>23</v>
      </c>
      <c r="B39" s="26">
        <f t="shared" si="6"/>
        <v>45692</v>
      </c>
      <c r="C39" s="27">
        <v>2.0</v>
      </c>
      <c r="D39" s="27" t="s">
        <v>29</v>
      </c>
      <c r="E39" s="28"/>
      <c r="F39" s="20"/>
      <c r="H39" s="21"/>
      <c r="J39" s="21"/>
      <c r="L39" s="21"/>
      <c r="N39" s="21"/>
      <c r="P39" s="21"/>
      <c r="Q39" s="22"/>
      <c r="R39" s="20"/>
      <c r="T39" s="21"/>
      <c r="V39" s="21"/>
      <c r="X39" s="21"/>
      <c r="Z39" s="21"/>
      <c r="AB39" s="21"/>
      <c r="AC39" s="22"/>
      <c r="AD39" s="29">
        <f t="shared" si="1"/>
        <v>0</v>
      </c>
      <c r="AE39" s="27">
        <f t="shared" si="2"/>
        <v>0</v>
      </c>
      <c r="AF39" s="27">
        <f t="shared" si="3"/>
        <v>0</v>
      </c>
      <c r="AG39" s="27">
        <f t="shared" si="4"/>
        <v>0</v>
      </c>
      <c r="AH39" s="24" t="str">
        <f t="shared" si="5"/>
        <v/>
      </c>
    </row>
    <row r="40" ht="15.75" customHeight="1">
      <c r="A40" s="25" t="s">
        <v>24</v>
      </c>
      <c r="B40" s="26">
        <f t="shared" si="6"/>
        <v>45693</v>
      </c>
      <c r="C40" s="27">
        <v>2.0</v>
      </c>
      <c r="D40" s="27" t="s">
        <v>29</v>
      </c>
      <c r="E40" s="28"/>
      <c r="F40" s="20"/>
      <c r="H40" s="21"/>
      <c r="J40" s="21"/>
      <c r="L40" s="21"/>
      <c r="N40" s="21"/>
      <c r="P40" s="21"/>
      <c r="Q40" s="22"/>
      <c r="R40" s="20"/>
      <c r="T40" s="21"/>
      <c r="V40" s="21"/>
      <c r="X40" s="21"/>
      <c r="Z40" s="21"/>
      <c r="AB40" s="21"/>
      <c r="AC40" s="22"/>
      <c r="AD40" s="29">
        <f t="shared" si="1"/>
        <v>0</v>
      </c>
      <c r="AE40" s="27">
        <f t="shared" si="2"/>
        <v>0</v>
      </c>
      <c r="AF40" s="27">
        <f t="shared" si="3"/>
        <v>0</v>
      </c>
      <c r="AG40" s="27">
        <f t="shared" si="4"/>
        <v>0</v>
      </c>
      <c r="AH40" s="24" t="str">
        <f t="shared" si="5"/>
        <v/>
      </c>
    </row>
    <row r="41" ht="15.75" customHeight="1">
      <c r="A41" s="25" t="s">
        <v>25</v>
      </c>
      <c r="B41" s="26">
        <f t="shared" si="6"/>
        <v>45694</v>
      </c>
      <c r="C41" s="27">
        <v>2.0</v>
      </c>
      <c r="D41" s="27" t="s">
        <v>29</v>
      </c>
      <c r="E41" s="28"/>
      <c r="F41" s="20"/>
      <c r="H41" s="21"/>
      <c r="J41" s="21"/>
      <c r="L41" s="21"/>
      <c r="N41" s="21"/>
      <c r="P41" s="21"/>
      <c r="Q41" s="22"/>
      <c r="R41" s="20"/>
      <c r="T41" s="21"/>
      <c r="V41" s="21"/>
      <c r="X41" s="21"/>
      <c r="Z41" s="21"/>
      <c r="AB41" s="21"/>
      <c r="AC41" s="22"/>
      <c r="AD41" s="29">
        <f t="shared" si="1"/>
        <v>0</v>
      </c>
      <c r="AE41" s="27">
        <f t="shared" si="2"/>
        <v>0</v>
      </c>
      <c r="AF41" s="27">
        <f t="shared" si="3"/>
        <v>0</v>
      </c>
      <c r="AG41" s="27">
        <f t="shared" si="4"/>
        <v>0</v>
      </c>
      <c r="AH41" s="24" t="str">
        <f t="shared" si="5"/>
        <v/>
      </c>
    </row>
    <row r="42" ht="15.75" customHeight="1">
      <c r="A42" s="25" t="s">
        <v>26</v>
      </c>
      <c r="B42" s="26">
        <f t="shared" si="6"/>
        <v>45695</v>
      </c>
      <c r="C42" s="27">
        <v>2.0</v>
      </c>
      <c r="D42" s="27" t="s">
        <v>29</v>
      </c>
      <c r="E42" s="28"/>
      <c r="F42" s="20"/>
      <c r="H42" s="21"/>
      <c r="J42" s="21"/>
      <c r="L42" s="21"/>
      <c r="N42" s="21"/>
      <c r="P42" s="21"/>
      <c r="Q42" s="22"/>
      <c r="R42" s="20"/>
      <c r="T42" s="21"/>
      <c r="V42" s="21"/>
      <c r="X42" s="21"/>
      <c r="Z42" s="21"/>
      <c r="AB42" s="21"/>
      <c r="AC42" s="22"/>
      <c r="AD42" s="29">
        <f t="shared" si="1"/>
        <v>0</v>
      </c>
      <c r="AE42" s="27">
        <f t="shared" si="2"/>
        <v>0</v>
      </c>
      <c r="AF42" s="27">
        <f t="shared" si="3"/>
        <v>0</v>
      </c>
      <c r="AG42" s="27">
        <f t="shared" si="4"/>
        <v>0</v>
      </c>
      <c r="AH42" s="24" t="str">
        <f t="shared" si="5"/>
        <v/>
      </c>
    </row>
    <row r="43" ht="15.75" customHeight="1">
      <c r="A43" s="25" t="s">
        <v>27</v>
      </c>
      <c r="B43" s="26">
        <f t="shared" si="6"/>
        <v>45696</v>
      </c>
      <c r="C43" s="27">
        <v>2.0</v>
      </c>
      <c r="D43" s="27" t="s">
        <v>29</v>
      </c>
      <c r="E43" s="28"/>
      <c r="F43" s="20"/>
      <c r="H43" s="21"/>
      <c r="J43" s="21"/>
      <c r="L43" s="21"/>
      <c r="N43" s="21"/>
      <c r="P43" s="21"/>
      <c r="Q43" s="22"/>
      <c r="R43" s="20"/>
      <c r="T43" s="21"/>
      <c r="V43" s="21"/>
      <c r="X43" s="21"/>
      <c r="Z43" s="21"/>
      <c r="AB43" s="21"/>
      <c r="AC43" s="22"/>
      <c r="AD43" s="29">
        <f t="shared" si="1"/>
        <v>0</v>
      </c>
      <c r="AE43" s="27">
        <f t="shared" si="2"/>
        <v>0</v>
      </c>
      <c r="AF43" s="27">
        <f t="shared" si="3"/>
        <v>0</v>
      </c>
      <c r="AG43" s="27">
        <f t="shared" si="4"/>
        <v>0</v>
      </c>
      <c r="AH43" s="24" t="str">
        <f t="shared" si="5"/>
        <v/>
      </c>
    </row>
    <row r="44" ht="15.75" customHeight="1">
      <c r="A44" s="30" t="s">
        <v>28</v>
      </c>
      <c r="B44" s="31">
        <f t="shared" si="6"/>
        <v>45697</v>
      </c>
      <c r="C44" s="32">
        <v>2.0</v>
      </c>
      <c r="D44" s="32" t="s">
        <v>29</v>
      </c>
      <c r="E44" s="33"/>
      <c r="F44" s="34"/>
      <c r="G44" s="35"/>
      <c r="H44" s="36"/>
      <c r="I44" s="35"/>
      <c r="J44" s="36"/>
      <c r="K44" s="35"/>
      <c r="L44" s="36"/>
      <c r="M44" s="35"/>
      <c r="N44" s="36"/>
      <c r="O44" s="35"/>
      <c r="P44" s="36"/>
      <c r="Q44" s="37"/>
      <c r="R44" s="34"/>
      <c r="S44" s="35"/>
      <c r="T44" s="36"/>
      <c r="U44" s="35"/>
      <c r="V44" s="36"/>
      <c r="W44" s="35"/>
      <c r="X44" s="36"/>
      <c r="Y44" s="35"/>
      <c r="Z44" s="36"/>
      <c r="AA44" s="35"/>
      <c r="AB44" s="36"/>
      <c r="AC44" s="37"/>
      <c r="AD44" s="38">
        <f t="shared" si="1"/>
        <v>0</v>
      </c>
      <c r="AE44" s="32">
        <f t="shared" si="2"/>
        <v>0</v>
      </c>
      <c r="AF44" s="32">
        <f t="shared" si="3"/>
        <v>0</v>
      </c>
      <c r="AG44" s="32">
        <f t="shared" si="4"/>
        <v>0</v>
      </c>
      <c r="AH44" s="39" t="str">
        <f t="shared" si="5"/>
        <v/>
      </c>
    </row>
    <row r="45" ht="15.75" customHeight="1">
      <c r="A45" s="16" t="s">
        <v>21</v>
      </c>
      <c r="B45" s="40">
        <f t="shared" si="6"/>
        <v>45698</v>
      </c>
      <c r="C45" s="18">
        <v>2.0</v>
      </c>
      <c r="D45" s="18" t="s">
        <v>30</v>
      </c>
      <c r="E45" s="19"/>
      <c r="F45" s="42"/>
      <c r="H45" s="43"/>
      <c r="J45" s="21"/>
      <c r="L45" s="21"/>
      <c r="N45" s="21"/>
      <c r="P45" s="21"/>
      <c r="Q45" s="22"/>
      <c r="R45" s="20"/>
      <c r="T45" s="21"/>
      <c r="V45" s="21"/>
      <c r="X45" s="21"/>
      <c r="Z45" s="21"/>
      <c r="AB45" s="21"/>
      <c r="AC45" s="22"/>
      <c r="AD45" s="23">
        <f t="shared" si="1"/>
        <v>0</v>
      </c>
      <c r="AE45" s="18">
        <f t="shared" si="2"/>
        <v>0</v>
      </c>
      <c r="AF45" s="18">
        <f t="shared" si="3"/>
        <v>0</v>
      </c>
      <c r="AG45" s="18">
        <f t="shared" si="4"/>
        <v>0</v>
      </c>
      <c r="AH45" s="41" t="str">
        <f t="shared" si="5"/>
        <v/>
      </c>
    </row>
    <row r="46" ht="15.75" customHeight="1">
      <c r="A46" s="25" t="s">
        <v>23</v>
      </c>
      <c r="B46" s="26">
        <f t="shared" si="6"/>
        <v>45699</v>
      </c>
      <c r="C46" s="27">
        <v>2.0</v>
      </c>
      <c r="D46" s="27" t="s">
        <v>30</v>
      </c>
      <c r="E46" s="28"/>
      <c r="F46" s="42"/>
      <c r="H46" s="43"/>
      <c r="J46" s="21"/>
      <c r="L46" s="21"/>
      <c r="N46" s="21"/>
      <c r="P46" s="21"/>
      <c r="Q46" s="22"/>
      <c r="R46" s="20"/>
      <c r="T46" s="21"/>
      <c r="V46" s="21"/>
      <c r="X46" s="21"/>
      <c r="Z46" s="21"/>
      <c r="AB46" s="21"/>
      <c r="AC46" s="22"/>
      <c r="AD46" s="29">
        <f t="shared" si="1"/>
        <v>0</v>
      </c>
      <c r="AE46" s="27">
        <f t="shared" si="2"/>
        <v>0</v>
      </c>
      <c r="AF46" s="27">
        <f t="shared" si="3"/>
        <v>0</v>
      </c>
      <c r="AG46" s="27">
        <f t="shared" si="4"/>
        <v>0</v>
      </c>
      <c r="AH46" s="24" t="str">
        <f t="shared" si="5"/>
        <v/>
      </c>
    </row>
    <row r="47" ht="15.75" customHeight="1">
      <c r="A47" s="25" t="s">
        <v>24</v>
      </c>
      <c r="B47" s="26">
        <f t="shared" si="6"/>
        <v>45700</v>
      </c>
      <c r="C47" s="27">
        <v>2.0</v>
      </c>
      <c r="D47" s="27" t="s">
        <v>30</v>
      </c>
      <c r="E47" s="28"/>
      <c r="F47" s="42"/>
      <c r="H47" s="43"/>
      <c r="J47" s="21"/>
      <c r="L47" s="21"/>
      <c r="N47" s="21"/>
      <c r="P47" s="21"/>
      <c r="Q47" s="22"/>
      <c r="R47" s="20"/>
      <c r="T47" s="21"/>
      <c r="V47" s="21"/>
      <c r="X47" s="21"/>
      <c r="Z47" s="21"/>
      <c r="AB47" s="21"/>
      <c r="AC47" s="22"/>
      <c r="AD47" s="29">
        <f t="shared" si="1"/>
        <v>0</v>
      </c>
      <c r="AE47" s="27">
        <f t="shared" si="2"/>
        <v>0</v>
      </c>
      <c r="AF47" s="27">
        <f t="shared" si="3"/>
        <v>0</v>
      </c>
      <c r="AG47" s="27">
        <f t="shared" si="4"/>
        <v>0</v>
      </c>
      <c r="AH47" s="24" t="str">
        <f t="shared" si="5"/>
        <v/>
      </c>
    </row>
    <row r="48" ht="15.75" customHeight="1">
      <c r="A48" s="25" t="s">
        <v>25</v>
      </c>
      <c r="B48" s="26">
        <f t="shared" si="6"/>
        <v>45701</v>
      </c>
      <c r="C48" s="27">
        <v>2.0</v>
      </c>
      <c r="D48" s="27" t="s">
        <v>30</v>
      </c>
      <c r="E48" s="28"/>
      <c r="F48" s="42"/>
      <c r="H48" s="43"/>
      <c r="J48" s="21"/>
      <c r="L48" s="21"/>
      <c r="N48" s="21"/>
      <c r="P48" s="21"/>
      <c r="Q48" s="22"/>
      <c r="R48" s="20"/>
      <c r="T48" s="21"/>
      <c r="V48" s="21"/>
      <c r="X48" s="21"/>
      <c r="Z48" s="21"/>
      <c r="AB48" s="21"/>
      <c r="AC48" s="22"/>
      <c r="AD48" s="29">
        <f t="shared" si="1"/>
        <v>0</v>
      </c>
      <c r="AE48" s="27">
        <f t="shared" si="2"/>
        <v>0</v>
      </c>
      <c r="AF48" s="27">
        <f t="shared" si="3"/>
        <v>0</v>
      </c>
      <c r="AG48" s="27">
        <f t="shared" si="4"/>
        <v>0</v>
      </c>
      <c r="AH48" s="24" t="str">
        <f t="shared" si="5"/>
        <v/>
      </c>
    </row>
    <row r="49" ht="15.75" customHeight="1">
      <c r="A49" s="25" t="s">
        <v>26</v>
      </c>
      <c r="B49" s="26">
        <f t="shared" si="6"/>
        <v>45702</v>
      </c>
      <c r="C49" s="27">
        <v>2.0</v>
      </c>
      <c r="D49" s="27" t="s">
        <v>30</v>
      </c>
      <c r="E49" s="28"/>
      <c r="F49" s="42"/>
      <c r="H49" s="43"/>
      <c r="J49" s="21"/>
      <c r="L49" s="21"/>
      <c r="N49" s="21"/>
      <c r="P49" s="21"/>
      <c r="Q49" s="22"/>
      <c r="R49" s="20"/>
      <c r="T49" s="21"/>
      <c r="V49" s="21"/>
      <c r="X49" s="21"/>
      <c r="Z49" s="21"/>
      <c r="AB49" s="21"/>
      <c r="AC49" s="22"/>
      <c r="AD49" s="29">
        <f t="shared" si="1"/>
        <v>0</v>
      </c>
      <c r="AE49" s="27">
        <f t="shared" si="2"/>
        <v>0</v>
      </c>
      <c r="AF49" s="27">
        <f t="shared" si="3"/>
        <v>0</v>
      </c>
      <c r="AG49" s="27">
        <f t="shared" si="4"/>
        <v>0</v>
      </c>
      <c r="AH49" s="24" t="str">
        <f t="shared" si="5"/>
        <v/>
      </c>
    </row>
    <row r="50" ht="15.75" customHeight="1">
      <c r="A50" s="25" t="s">
        <v>27</v>
      </c>
      <c r="B50" s="26">
        <f t="shared" si="6"/>
        <v>45703</v>
      </c>
      <c r="C50" s="27">
        <v>2.0</v>
      </c>
      <c r="D50" s="27" t="s">
        <v>30</v>
      </c>
      <c r="E50" s="28"/>
      <c r="F50" s="42"/>
      <c r="H50" s="43"/>
      <c r="J50" s="21"/>
      <c r="L50" s="21"/>
      <c r="N50" s="21"/>
      <c r="P50" s="21"/>
      <c r="Q50" s="22"/>
      <c r="R50" s="20"/>
      <c r="T50" s="21"/>
      <c r="V50" s="21"/>
      <c r="X50" s="21"/>
      <c r="Z50" s="21"/>
      <c r="AB50" s="21"/>
      <c r="AC50" s="22"/>
      <c r="AD50" s="29">
        <f t="shared" si="1"/>
        <v>0</v>
      </c>
      <c r="AE50" s="27">
        <f t="shared" si="2"/>
        <v>0</v>
      </c>
      <c r="AF50" s="27">
        <f t="shared" si="3"/>
        <v>0</v>
      </c>
      <c r="AG50" s="27">
        <f t="shared" si="4"/>
        <v>0</v>
      </c>
      <c r="AH50" s="24" t="str">
        <f t="shared" si="5"/>
        <v/>
      </c>
    </row>
    <row r="51" ht="15.75" customHeight="1">
      <c r="A51" s="30" t="s">
        <v>28</v>
      </c>
      <c r="B51" s="31">
        <f t="shared" si="6"/>
        <v>45704</v>
      </c>
      <c r="C51" s="32">
        <v>2.0</v>
      </c>
      <c r="D51" s="32" t="s">
        <v>30</v>
      </c>
      <c r="E51" s="33"/>
      <c r="F51" s="44"/>
      <c r="G51" s="35"/>
      <c r="H51" s="45"/>
      <c r="I51" s="35"/>
      <c r="J51" s="36"/>
      <c r="K51" s="35"/>
      <c r="L51" s="36"/>
      <c r="M51" s="35"/>
      <c r="N51" s="36"/>
      <c r="O51" s="35"/>
      <c r="P51" s="36"/>
      <c r="Q51" s="37"/>
      <c r="R51" s="34"/>
      <c r="S51" s="35"/>
      <c r="T51" s="36"/>
      <c r="U51" s="35"/>
      <c r="V51" s="36"/>
      <c r="W51" s="35"/>
      <c r="X51" s="36"/>
      <c r="Y51" s="35"/>
      <c r="Z51" s="36"/>
      <c r="AA51" s="35"/>
      <c r="AB51" s="36"/>
      <c r="AC51" s="37"/>
      <c r="AD51" s="38">
        <f t="shared" si="1"/>
        <v>0</v>
      </c>
      <c r="AE51" s="32">
        <f t="shared" si="2"/>
        <v>0</v>
      </c>
      <c r="AF51" s="32">
        <f t="shared" si="3"/>
        <v>0</v>
      </c>
      <c r="AG51" s="32">
        <f t="shared" si="4"/>
        <v>0</v>
      </c>
      <c r="AH51" s="39" t="str">
        <f t="shared" si="5"/>
        <v/>
      </c>
    </row>
    <row r="52" ht="15.75" customHeight="1">
      <c r="A52" s="16" t="s">
        <v>21</v>
      </c>
      <c r="B52" s="40">
        <f t="shared" si="6"/>
        <v>45705</v>
      </c>
      <c r="C52" s="18">
        <v>2.0</v>
      </c>
      <c r="D52" s="18" t="s">
        <v>31</v>
      </c>
      <c r="E52" s="19"/>
      <c r="F52" s="42"/>
      <c r="H52" s="43"/>
      <c r="J52" s="21"/>
      <c r="L52" s="21"/>
      <c r="N52" s="21"/>
      <c r="P52" s="21"/>
      <c r="Q52" s="22"/>
      <c r="R52" s="20"/>
      <c r="T52" s="21"/>
      <c r="V52" s="21"/>
      <c r="X52" s="21"/>
      <c r="Z52" s="21"/>
      <c r="AB52" s="21"/>
      <c r="AC52" s="22"/>
      <c r="AD52" s="23">
        <f t="shared" si="1"/>
        <v>0</v>
      </c>
      <c r="AE52" s="18">
        <f t="shared" si="2"/>
        <v>0</v>
      </c>
      <c r="AF52" s="18">
        <f t="shared" si="3"/>
        <v>0</v>
      </c>
      <c r="AG52" s="18">
        <f t="shared" si="4"/>
        <v>0</v>
      </c>
      <c r="AH52" s="41" t="str">
        <f t="shared" si="5"/>
        <v/>
      </c>
    </row>
    <row r="53" ht="15.75" customHeight="1">
      <c r="A53" s="25" t="s">
        <v>23</v>
      </c>
      <c r="B53" s="26">
        <f t="shared" si="6"/>
        <v>45706</v>
      </c>
      <c r="C53" s="27">
        <v>2.0</v>
      </c>
      <c r="D53" s="27" t="s">
        <v>31</v>
      </c>
      <c r="E53" s="28"/>
      <c r="F53" s="42"/>
      <c r="H53" s="43"/>
      <c r="J53" s="21"/>
      <c r="L53" s="21"/>
      <c r="N53" s="21"/>
      <c r="P53" s="21"/>
      <c r="Q53" s="22"/>
      <c r="R53" s="20"/>
      <c r="T53" s="21"/>
      <c r="V53" s="21"/>
      <c r="X53" s="21"/>
      <c r="Z53" s="21"/>
      <c r="AB53" s="21"/>
      <c r="AC53" s="22"/>
      <c r="AD53" s="29">
        <f t="shared" si="1"/>
        <v>0</v>
      </c>
      <c r="AE53" s="27">
        <f t="shared" si="2"/>
        <v>0</v>
      </c>
      <c r="AF53" s="27">
        <f t="shared" si="3"/>
        <v>0</v>
      </c>
      <c r="AG53" s="27">
        <f t="shared" si="4"/>
        <v>0</v>
      </c>
      <c r="AH53" s="24" t="str">
        <f t="shared" si="5"/>
        <v/>
      </c>
    </row>
    <row r="54" ht="15.75" customHeight="1">
      <c r="A54" s="25" t="s">
        <v>24</v>
      </c>
      <c r="B54" s="26">
        <f t="shared" si="6"/>
        <v>45707</v>
      </c>
      <c r="C54" s="27">
        <v>2.0</v>
      </c>
      <c r="D54" s="27" t="s">
        <v>31</v>
      </c>
      <c r="E54" s="28"/>
      <c r="F54" s="42"/>
      <c r="H54" s="43"/>
      <c r="J54" s="21"/>
      <c r="L54" s="21"/>
      <c r="N54" s="21"/>
      <c r="P54" s="21"/>
      <c r="Q54" s="22"/>
      <c r="R54" s="20"/>
      <c r="T54" s="21"/>
      <c r="V54" s="21"/>
      <c r="X54" s="21"/>
      <c r="Z54" s="21"/>
      <c r="AB54" s="21"/>
      <c r="AC54" s="22"/>
      <c r="AD54" s="29">
        <f t="shared" si="1"/>
        <v>0</v>
      </c>
      <c r="AE54" s="27">
        <f t="shared" si="2"/>
        <v>0</v>
      </c>
      <c r="AF54" s="27">
        <f t="shared" si="3"/>
        <v>0</v>
      </c>
      <c r="AG54" s="27">
        <f t="shared" si="4"/>
        <v>0</v>
      </c>
      <c r="AH54" s="24" t="str">
        <f t="shared" si="5"/>
        <v/>
      </c>
    </row>
    <row r="55" ht="15.75" customHeight="1">
      <c r="A55" s="25" t="s">
        <v>25</v>
      </c>
      <c r="B55" s="26">
        <f t="shared" si="6"/>
        <v>45708</v>
      </c>
      <c r="C55" s="27">
        <v>2.0</v>
      </c>
      <c r="D55" s="27" t="s">
        <v>31</v>
      </c>
      <c r="E55" s="28"/>
      <c r="F55" s="42"/>
      <c r="H55" s="43"/>
      <c r="J55" s="21"/>
      <c r="L55" s="21"/>
      <c r="N55" s="21"/>
      <c r="P55" s="21"/>
      <c r="Q55" s="22"/>
      <c r="R55" s="20"/>
      <c r="T55" s="21"/>
      <c r="V55" s="21"/>
      <c r="X55" s="21"/>
      <c r="Z55" s="21"/>
      <c r="AB55" s="21"/>
      <c r="AC55" s="22"/>
      <c r="AD55" s="29">
        <f t="shared" si="1"/>
        <v>0</v>
      </c>
      <c r="AE55" s="27">
        <f t="shared" si="2"/>
        <v>0</v>
      </c>
      <c r="AF55" s="27">
        <f t="shared" si="3"/>
        <v>0</v>
      </c>
      <c r="AG55" s="27">
        <f t="shared" si="4"/>
        <v>0</v>
      </c>
      <c r="AH55" s="24" t="str">
        <f t="shared" si="5"/>
        <v/>
      </c>
    </row>
    <row r="56" ht="15.75" customHeight="1">
      <c r="A56" s="25" t="s">
        <v>26</v>
      </c>
      <c r="B56" s="26">
        <f t="shared" si="6"/>
        <v>45709</v>
      </c>
      <c r="C56" s="27">
        <v>2.0</v>
      </c>
      <c r="D56" s="27" t="s">
        <v>31</v>
      </c>
      <c r="E56" s="28"/>
      <c r="F56" s="42"/>
      <c r="H56" s="43"/>
      <c r="J56" s="21"/>
      <c r="L56" s="21"/>
      <c r="N56" s="21"/>
      <c r="P56" s="21"/>
      <c r="Q56" s="22"/>
      <c r="R56" s="20"/>
      <c r="T56" s="21"/>
      <c r="V56" s="21"/>
      <c r="X56" s="21"/>
      <c r="Z56" s="21"/>
      <c r="AB56" s="21"/>
      <c r="AC56" s="22"/>
      <c r="AD56" s="29">
        <f t="shared" si="1"/>
        <v>0</v>
      </c>
      <c r="AE56" s="27">
        <f t="shared" si="2"/>
        <v>0</v>
      </c>
      <c r="AF56" s="27">
        <f t="shared" si="3"/>
        <v>0</v>
      </c>
      <c r="AG56" s="27">
        <f t="shared" si="4"/>
        <v>0</v>
      </c>
      <c r="AH56" s="24" t="str">
        <f t="shared" si="5"/>
        <v/>
      </c>
    </row>
    <row r="57" ht="15.75" customHeight="1">
      <c r="A57" s="25" t="s">
        <v>27</v>
      </c>
      <c r="B57" s="26">
        <f t="shared" si="6"/>
        <v>45710</v>
      </c>
      <c r="C57" s="27">
        <v>2.0</v>
      </c>
      <c r="D57" s="27" t="s">
        <v>31</v>
      </c>
      <c r="E57" s="28"/>
      <c r="F57" s="42"/>
      <c r="H57" s="43"/>
      <c r="J57" s="21"/>
      <c r="L57" s="21"/>
      <c r="N57" s="21"/>
      <c r="P57" s="21"/>
      <c r="Q57" s="22"/>
      <c r="R57" s="20"/>
      <c r="T57" s="21"/>
      <c r="V57" s="21"/>
      <c r="X57" s="21"/>
      <c r="Z57" s="21"/>
      <c r="AB57" s="21"/>
      <c r="AC57" s="22"/>
      <c r="AD57" s="29">
        <f t="shared" si="1"/>
        <v>0</v>
      </c>
      <c r="AE57" s="27">
        <f t="shared" si="2"/>
        <v>0</v>
      </c>
      <c r="AF57" s="27">
        <f t="shared" si="3"/>
        <v>0</v>
      </c>
      <c r="AG57" s="27">
        <f t="shared" si="4"/>
        <v>0</v>
      </c>
      <c r="AH57" s="24" t="str">
        <f t="shared" si="5"/>
        <v/>
      </c>
    </row>
    <row r="58" ht="15.75" customHeight="1">
      <c r="A58" s="30" t="s">
        <v>28</v>
      </c>
      <c r="B58" s="31">
        <f t="shared" si="6"/>
        <v>45711</v>
      </c>
      <c r="C58" s="32">
        <v>2.0</v>
      </c>
      <c r="D58" s="32" t="s">
        <v>31</v>
      </c>
      <c r="E58" s="33"/>
      <c r="F58" s="44"/>
      <c r="G58" s="35"/>
      <c r="H58" s="45"/>
      <c r="I58" s="35"/>
      <c r="J58" s="36"/>
      <c r="K58" s="35"/>
      <c r="L58" s="36"/>
      <c r="M58" s="35"/>
      <c r="N58" s="36"/>
      <c r="O58" s="35"/>
      <c r="P58" s="36"/>
      <c r="Q58" s="37"/>
      <c r="R58" s="34"/>
      <c r="S58" s="35"/>
      <c r="T58" s="36"/>
      <c r="U58" s="35"/>
      <c r="V58" s="36"/>
      <c r="W58" s="35"/>
      <c r="X58" s="36"/>
      <c r="Y58" s="35"/>
      <c r="Z58" s="36"/>
      <c r="AA58" s="35"/>
      <c r="AB58" s="36"/>
      <c r="AC58" s="37"/>
      <c r="AD58" s="38">
        <f t="shared" si="1"/>
        <v>0</v>
      </c>
      <c r="AE58" s="32">
        <f t="shared" si="2"/>
        <v>0</v>
      </c>
      <c r="AF58" s="32">
        <f t="shared" si="3"/>
        <v>0</v>
      </c>
      <c r="AG58" s="32">
        <f t="shared" si="4"/>
        <v>0</v>
      </c>
      <c r="AH58" s="39" t="str">
        <f t="shared" si="5"/>
        <v/>
      </c>
    </row>
    <row r="59" ht="15.75" customHeight="1">
      <c r="A59" s="16" t="s">
        <v>21</v>
      </c>
      <c r="B59" s="40">
        <f t="shared" si="6"/>
        <v>45712</v>
      </c>
      <c r="C59" s="18">
        <v>3.0</v>
      </c>
      <c r="D59" s="18" t="s">
        <v>22</v>
      </c>
      <c r="E59" s="19"/>
      <c r="F59" s="42"/>
      <c r="H59" s="43"/>
      <c r="J59" s="21"/>
      <c r="L59" s="21"/>
      <c r="N59" s="21"/>
      <c r="P59" s="21"/>
      <c r="Q59" s="22"/>
      <c r="R59" s="20"/>
      <c r="T59" s="21"/>
      <c r="V59" s="21"/>
      <c r="X59" s="21"/>
      <c r="Z59" s="21"/>
      <c r="AB59" s="21"/>
      <c r="AC59" s="22"/>
      <c r="AD59" s="23">
        <f t="shared" si="1"/>
        <v>0</v>
      </c>
      <c r="AE59" s="18">
        <f t="shared" si="2"/>
        <v>0</v>
      </c>
      <c r="AF59" s="18">
        <f t="shared" si="3"/>
        <v>0</v>
      </c>
      <c r="AG59" s="18">
        <f t="shared" si="4"/>
        <v>0</v>
      </c>
      <c r="AH59" s="41" t="str">
        <f t="shared" si="5"/>
        <v/>
      </c>
    </row>
    <row r="60" ht="15.75" customHeight="1">
      <c r="A60" s="25" t="s">
        <v>23</v>
      </c>
      <c r="B60" s="26">
        <f t="shared" si="6"/>
        <v>45713</v>
      </c>
      <c r="C60" s="27">
        <v>3.0</v>
      </c>
      <c r="D60" s="27" t="s">
        <v>22</v>
      </c>
      <c r="E60" s="28"/>
      <c r="F60" s="42"/>
      <c r="H60" s="43"/>
      <c r="J60" s="21"/>
      <c r="L60" s="21"/>
      <c r="N60" s="21"/>
      <c r="P60" s="21"/>
      <c r="Q60" s="22"/>
      <c r="R60" s="20"/>
      <c r="T60" s="21"/>
      <c r="V60" s="21"/>
      <c r="X60" s="21"/>
      <c r="Z60" s="21"/>
      <c r="AB60" s="21"/>
      <c r="AC60" s="22"/>
      <c r="AD60" s="29">
        <f t="shared" si="1"/>
        <v>0</v>
      </c>
      <c r="AE60" s="27">
        <f t="shared" si="2"/>
        <v>0</v>
      </c>
      <c r="AF60" s="27">
        <f t="shared" si="3"/>
        <v>0</v>
      </c>
      <c r="AG60" s="27">
        <f t="shared" si="4"/>
        <v>0</v>
      </c>
      <c r="AH60" s="24" t="str">
        <f t="shared" si="5"/>
        <v/>
      </c>
    </row>
    <row r="61" ht="15.75" customHeight="1">
      <c r="A61" s="25" t="s">
        <v>24</v>
      </c>
      <c r="B61" s="26">
        <f t="shared" si="6"/>
        <v>45714</v>
      </c>
      <c r="C61" s="27">
        <v>3.0</v>
      </c>
      <c r="D61" s="27" t="s">
        <v>22</v>
      </c>
      <c r="E61" s="28"/>
      <c r="F61" s="42"/>
      <c r="H61" s="43"/>
      <c r="J61" s="21"/>
      <c r="L61" s="21"/>
      <c r="N61" s="21"/>
      <c r="P61" s="21"/>
      <c r="Q61" s="22"/>
      <c r="R61" s="20"/>
      <c r="T61" s="21"/>
      <c r="V61" s="21"/>
      <c r="X61" s="21"/>
      <c r="Z61" s="21"/>
      <c r="AB61" s="21"/>
      <c r="AC61" s="22"/>
      <c r="AD61" s="29">
        <f t="shared" si="1"/>
        <v>0</v>
      </c>
      <c r="AE61" s="27">
        <f t="shared" si="2"/>
        <v>0</v>
      </c>
      <c r="AF61" s="27">
        <f t="shared" si="3"/>
        <v>0</v>
      </c>
      <c r="AG61" s="27">
        <f t="shared" si="4"/>
        <v>0</v>
      </c>
      <c r="AH61" s="24" t="str">
        <f t="shared" si="5"/>
        <v/>
      </c>
    </row>
    <row r="62" ht="15.75" customHeight="1">
      <c r="A62" s="25" t="s">
        <v>25</v>
      </c>
      <c r="B62" s="26">
        <f t="shared" si="6"/>
        <v>45715</v>
      </c>
      <c r="C62" s="27">
        <v>3.0</v>
      </c>
      <c r="D62" s="27" t="s">
        <v>22</v>
      </c>
      <c r="E62" s="28"/>
      <c r="F62" s="42"/>
      <c r="H62" s="43"/>
      <c r="J62" s="21"/>
      <c r="L62" s="21"/>
      <c r="N62" s="21"/>
      <c r="P62" s="21"/>
      <c r="Q62" s="22"/>
      <c r="R62" s="20"/>
      <c r="T62" s="21"/>
      <c r="V62" s="21"/>
      <c r="X62" s="21"/>
      <c r="Z62" s="21"/>
      <c r="AB62" s="21"/>
      <c r="AC62" s="22"/>
      <c r="AD62" s="29">
        <f t="shared" si="1"/>
        <v>0</v>
      </c>
      <c r="AE62" s="27">
        <f t="shared" si="2"/>
        <v>0</v>
      </c>
      <c r="AF62" s="27">
        <f t="shared" si="3"/>
        <v>0</v>
      </c>
      <c r="AG62" s="27">
        <f t="shared" si="4"/>
        <v>0</v>
      </c>
      <c r="AH62" s="24" t="str">
        <f t="shared" si="5"/>
        <v/>
      </c>
    </row>
    <row r="63" ht="15.75" customHeight="1">
      <c r="A63" s="25" t="s">
        <v>26</v>
      </c>
      <c r="B63" s="26">
        <f t="shared" si="6"/>
        <v>45716</v>
      </c>
      <c r="C63" s="27">
        <v>3.0</v>
      </c>
      <c r="D63" s="27" t="s">
        <v>22</v>
      </c>
      <c r="E63" s="28"/>
      <c r="F63" s="42"/>
      <c r="H63" s="43"/>
      <c r="J63" s="21"/>
      <c r="L63" s="21"/>
      <c r="N63" s="21"/>
      <c r="P63" s="21"/>
      <c r="Q63" s="22"/>
      <c r="R63" s="20"/>
      <c r="T63" s="21"/>
      <c r="V63" s="21"/>
      <c r="X63" s="21"/>
      <c r="Z63" s="21"/>
      <c r="AB63" s="21"/>
      <c r="AC63" s="22"/>
      <c r="AD63" s="29">
        <f t="shared" si="1"/>
        <v>0</v>
      </c>
      <c r="AE63" s="27">
        <f t="shared" si="2"/>
        <v>0</v>
      </c>
      <c r="AF63" s="27">
        <f t="shared" si="3"/>
        <v>0</v>
      </c>
      <c r="AG63" s="27">
        <f t="shared" si="4"/>
        <v>0</v>
      </c>
      <c r="AH63" s="24" t="str">
        <f t="shared" si="5"/>
        <v/>
      </c>
    </row>
    <row r="64" ht="15.75" customHeight="1">
      <c r="A64" s="25" t="s">
        <v>27</v>
      </c>
      <c r="B64" s="26">
        <f t="shared" si="6"/>
        <v>45717</v>
      </c>
      <c r="C64" s="27">
        <v>3.0</v>
      </c>
      <c r="D64" s="27" t="s">
        <v>22</v>
      </c>
      <c r="E64" s="28"/>
      <c r="F64" s="42"/>
      <c r="H64" s="43"/>
      <c r="J64" s="21"/>
      <c r="L64" s="21"/>
      <c r="N64" s="21"/>
      <c r="P64" s="21"/>
      <c r="Q64" s="22"/>
      <c r="R64" s="20"/>
      <c r="T64" s="21"/>
      <c r="V64" s="21"/>
      <c r="X64" s="21"/>
      <c r="Z64" s="21"/>
      <c r="AB64" s="21"/>
      <c r="AC64" s="22"/>
      <c r="AD64" s="29">
        <f t="shared" si="1"/>
        <v>0</v>
      </c>
      <c r="AE64" s="27">
        <f t="shared" si="2"/>
        <v>0</v>
      </c>
      <c r="AF64" s="27">
        <f t="shared" si="3"/>
        <v>0</v>
      </c>
      <c r="AG64" s="27">
        <f t="shared" si="4"/>
        <v>0</v>
      </c>
      <c r="AH64" s="24" t="str">
        <f t="shared" si="5"/>
        <v/>
      </c>
    </row>
    <row r="65" ht="15.75" customHeight="1">
      <c r="A65" s="30" t="s">
        <v>28</v>
      </c>
      <c r="B65" s="31">
        <f t="shared" si="6"/>
        <v>45718</v>
      </c>
      <c r="C65" s="32">
        <v>3.0</v>
      </c>
      <c r="D65" s="32" t="s">
        <v>22</v>
      </c>
      <c r="E65" s="33"/>
      <c r="F65" s="44"/>
      <c r="G65" s="35"/>
      <c r="H65" s="45"/>
      <c r="I65" s="35"/>
      <c r="J65" s="36"/>
      <c r="K65" s="35"/>
      <c r="L65" s="36"/>
      <c r="M65" s="35"/>
      <c r="N65" s="36"/>
      <c r="O65" s="35"/>
      <c r="P65" s="36"/>
      <c r="Q65" s="37"/>
      <c r="R65" s="34"/>
      <c r="S65" s="35"/>
      <c r="T65" s="36"/>
      <c r="U65" s="35"/>
      <c r="V65" s="36"/>
      <c r="W65" s="35"/>
      <c r="X65" s="36"/>
      <c r="Y65" s="35"/>
      <c r="Z65" s="36"/>
      <c r="AA65" s="35"/>
      <c r="AB65" s="36"/>
      <c r="AC65" s="37"/>
      <c r="AD65" s="38">
        <f t="shared" si="1"/>
        <v>0</v>
      </c>
      <c r="AE65" s="32">
        <f t="shared" si="2"/>
        <v>0</v>
      </c>
      <c r="AF65" s="32">
        <f t="shared" si="3"/>
        <v>0</v>
      </c>
      <c r="AG65" s="32">
        <f t="shared" si="4"/>
        <v>0</v>
      </c>
      <c r="AH65" s="39" t="str">
        <f t="shared" si="5"/>
        <v/>
      </c>
    </row>
    <row r="66" ht="15.75" customHeight="1">
      <c r="A66" s="16" t="s">
        <v>21</v>
      </c>
      <c r="B66" s="40">
        <f t="shared" si="6"/>
        <v>45719</v>
      </c>
      <c r="C66" s="18">
        <v>3.0</v>
      </c>
      <c r="D66" s="18" t="s">
        <v>29</v>
      </c>
      <c r="E66" s="19"/>
      <c r="F66" s="42"/>
      <c r="H66" s="43"/>
      <c r="J66" s="21"/>
      <c r="L66" s="21"/>
      <c r="N66" s="21"/>
      <c r="P66" s="21"/>
      <c r="Q66" s="22"/>
      <c r="R66" s="20"/>
      <c r="T66" s="21"/>
      <c r="V66" s="21"/>
      <c r="X66" s="21"/>
      <c r="Z66" s="21"/>
      <c r="AB66" s="21"/>
      <c r="AC66" s="22"/>
      <c r="AD66" s="23">
        <f t="shared" si="1"/>
        <v>0</v>
      </c>
      <c r="AE66" s="18">
        <f t="shared" si="2"/>
        <v>0</v>
      </c>
      <c r="AF66" s="18">
        <f t="shared" si="3"/>
        <v>0</v>
      </c>
      <c r="AG66" s="18">
        <f t="shared" si="4"/>
        <v>0</v>
      </c>
      <c r="AH66" s="41" t="str">
        <f t="shared" si="5"/>
        <v/>
      </c>
    </row>
    <row r="67" ht="15.75" customHeight="1">
      <c r="A67" s="25" t="s">
        <v>23</v>
      </c>
      <c r="B67" s="26">
        <f t="shared" si="6"/>
        <v>45720</v>
      </c>
      <c r="C67" s="27">
        <v>3.0</v>
      </c>
      <c r="D67" s="27" t="s">
        <v>29</v>
      </c>
      <c r="E67" s="28"/>
      <c r="F67" s="42"/>
      <c r="H67" s="43"/>
      <c r="J67" s="21"/>
      <c r="L67" s="21"/>
      <c r="N67" s="21"/>
      <c r="P67" s="21"/>
      <c r="Q67" s="22"/>
      <c r="R67" s="20"/>
      <c r="T67" s="21"/>
      <c r="V67" s="21"/>
      <c r="X67" s="21"/>
      <c r="Z67" s="21"/>
      <c r="AB67" s="21"/>
      <c r="AC67" s="22"/>
      <c r="AD67" s="29">
        <f t="shared" si="1"/>
        <v>0</v>
      </c>
      <c r="AE67" s="27">
        <f t="shared" si="2"/>
        <v>0</v>
      </c>
      <c r="AF67" s="27">
        <f t="shared" si="3"/>
        <v>0</v>
      </c>
      <c r="AG67" s="27">
        <f t="shared" si="4"/>
        <v>0</v>
      </c>
      <c r="AH67" s="24" t="str">
        <f t="shared" si="5"/>
        <v/>
      </c>
    </row>
    <row r="68" ht="15.75" customHeight="1">
      <c r="A68" s="25" t="s">
        <v>24</v>
      </c>
      <c r="B68" s="26">
        <f t="shared" si="6"/>
        <v>45721</v>
      </c>
      <c r="C68" s="27">
        <v>3.0</v>
      </c>
      <c r="D68" s="27" t="s">
        <v>29</v>
      </c>
      <c r="E68" s="28"/>
      <c r="F68" s="42"/>
      <c r="H68" s="43"/>
      <c r="J68" s="21"/>
      <c r="L68" s="21"/>
      <c r="N68" s="21"/>
      <c r="P68" s="21"/>
      <c r="Q68" s="22"/>
      <c r="R68" s="20"/>
      <c r="T68" s="21"/>
      <c r="V68" s="21"/>
      <c r="X68" s="21"/>
      <c r="Z68" s="21"/>
      <c r="AB68" s="21"/>
      <c r="AC68" s="22"/>
      <c r="AD68" s="29">
        <f t="shared" si="1"/>
        <v>0</v>
      </c>
      <c r="AE68" s="27">
        <f t="shared" si="2"/>
        <v>0</v>
      </c>
      <c r="AF68" s="27">
        <f t="shared" si="3"/>
        <v>0</v>
      </c>
      <c r="AG68" s="27">
        <f t="shared" si="4"/>
        <v>0</v>
      </c>
      <c r="AH68" s="24" t="str">
        <f t="shared" si="5"/>
        <v/>
      </c>
    </row>
    <row r="69" ht="15.75" customHeight="1">
      <c r="A69" s="25" t="s">
        <v>25</v>
      </c>
      <c r="B69" s="26">
        <f t="shared" si="6"/>
        <v>45722</v>
      </c>
      <c r="C69" s="27">
        <v>3.0</v>
      </c>
      <c r="D69" s="27" t="s">
        <v>29</v>
      </c>
      <c r="E69" s="28"/>
      <c r="F69" s="42"/>
      <c r="H69" s="43"/>
      <c r="J69" s="21"/>
      <c r="L69" s="21"/>
      <c r="N69" s="21"/>
      <c r="P69" s="21"/>
      <c r="Q69" s="22"/>
      <c r="R69" s="20"/>
      <c r="T69" s="21"/>
      <c r="V69" s="21"/>
      <c r="X69" s="21"/>
      <c r="Z69" s="21"/>
      <c r="AB69" s="21"/>
      <c r="AC69" s="22"/>
      <c r="AD69" s="29">
        <f t="shared" si="1"/>
        <v>0</v>
      </c>
      <c r="AE69" s="27">
        <f t="shared" si="2"/>
        <v>0</v>
      </c>
      <c r="AF69" s="27">
        <f t="shared" si="3"/>
        <v>0</v>
      </c>
      <c r="AG69" s="27">
        <f t="shared" si="4"/>
        <v>0</v>
      </c>
      <c r="AH69" s="24" t="str">
        <f t="shared" si="5"/>
        <v/>
      </c>
    </row>
    <row r="70" ht="15.75" customHeight="1">
      <c r="A70" s="25" t="s">
        <v>26</v>
      </c>
      <c r="B70" s="26">
        <f t="shared" si="6"/>
        <v>45723</v>
      </c>
      <c r="C70" s="27">
        <v>3.0</v>
      </c>
      <c r="D70" s="27" t="s">
        <v>29</v>
      </c>
      <c r="E70" s="28"/>
      <c r="F70" s="42"/>
      <c r="H70" s="43"/>
      <c r="J70" s="21"/>
      <c r="L70" s="21"/>
      <c r="N70" s="21"/>
      <c r="P70" s="21"/>
      <c r="Q70" s="22"/>
      <c r="R70" s="20"/>
      <c r="T70" s="21"/>
      <c r="V70" s="21"/>
      <c r="X70" s="21"/>
      <c r="Z70" s="21"/>
      <c r="AB70" s="21"/>
      <c r="AC70" s="22"/>
      <c r="AD70" s="29">
        <f t="shared" si="1"/>
        <v>0</v>
      </c>
      <c r="AE70" s="27">
        <f t="shared" si="2"/>
        <v>0</v>
      </c>
      <c r="AF70" s="27">
        <f t="shared" si="3"/>
        <v>0</v>
      </c>
      <c r="AG70" s="27">
        <f t="shared" si="4"/>
        <v>0</v>
      </c>
      <c r="AH70" s="24" t="str">
        <f t="shared" si="5"/>
        <v/>
      </c>
    </row>
    <row r="71" ht="15.75" customHeight="1">
      <c r="A71" s="25" t="s">
        <v>27</v>
      </c>
      <c r="B71" s="26">
        <f t="shared" si="6"/>
        <v>45724</v>
      </c>
      <c r="C71" s="27">
        <v>3.0</v>
      </c>
      <c r="D71" s="27" t="s">
        <v>29</v>
      </c>
      <c r="E71" s="28"/>
      <c r="F71" s="42"/>
      <c r="H71" s="43"/>
      <c r="J71" s="21"/>
      <c r="L71" s="21"/>
      <c r="N71" s="21"/>
      <c r="P71" s="21"/>
      <c r="Q71" s="22"/>
      <c r="R71" s="20"/>
      <c r="T71" s="21"/>
      <c r="V71" s="21"/>
      <c r="X71" s="21"/>
      <c r="Z71" s="21"/>
      <c r="AB71" s="21"/>
      <c r="AC71" s="22"/>
      <c r="AD71" s="29">
        <f t="shared" si="1"/>
        <v>0</v>
      </c>
      <c r="AE71" s="27">
        <f t="shared" si="2"/>
        <v>0</v>
      </c>
      <c r="AF71" s="27">
        <f t="shared" si="3"/>
        <v>0</v>
      </c>
      <c r="AG71" s="27">
        <f t="shared" si="4"/>
        <v>0</v>
      </c>
      <c r="AH71" s="24" t="str">
        <f t="shared" si="5"/>
        <v/>
      </c>
    </row>
    <row r="72" ht="15.75" customHeight="1">
      <c r="A72" s="30" t="s">
        <v>28</v>
      </c>
      <c r="B72" s="31">
        <f t="shared" si="6"/>
        <v>45725</v>
      </c>
      <c r="C72" s="32">
        <v>3.0</v>
      </c>
      <c r="D72" s="32" t="s">
        <v>29</v>
      </c>
      <c r="E72" s="33"/>
      <c r="F72" s="44"/>
      <c r="G72" s="35"/>
      <c r="H72" s="45"/>
      <c r="I72" s="35"/>
      <c r="J72" s="36"/>
      <c r="K72" s="35"/>
      <c r="L72" s="36"/>
      <c r="M72" s="35"/>
      <c r="N72" s="36"/>
      <c r="O72" s="35"/>
      <c r="P72" s="36"/>
      <c r="Q72" s="37"/>
      <c r="R72" s="34"/>
      <c r="S72" s="35"/>
      <c r="T72" s="36"/>
      <c r="U72" s="35"/>
      <c r="V72" s="36"/>
      <c r="W72" s="35"/>
      <c r="X72" s="36"/>
      <c r="Y72" s="35"/>
      <c r="Z72" s="36"/>
      <c r="AA72" s="35"/>
      <c r="AB72" s="36"/>
      <c r="AC72" s="37"/>
      <c r="AD72" s="38">
        <f t="shared" si="1"/>
        <v>0</v>
      </c>
      <c r="AE72" s="32">
        <f t="shared" si="2"/>
        <v>0</v>
      </c>
      <c r="AF72" s="32">
        <f t="shared" si="3"/>
        <v>0</v>
      </c>
      <c r="AG72" s="32">
        <f t="shared" si="4"/>
        <v>0</v>
      </c>
      <c r="AH72" s="39" t="str">
        <f t="shared" si="5"/>
        <v/>
      </c>
    </row>
    <row r="73" ht="15.75" customHeight="1">
      <c r="A73" s="16" t="s">
        <v>21</v>
      </c>
      <c r="B73" s="40">
        <f t="shared" si="6"/>
        <v>45726</v>
      </c>
      <c r="C73" s="18">
        <v>3.0</v>
      </c>
      <c r="D73" s="18" t="s">
        <v>30</v>
      </c>
      <c r="E73" s="19"/>
      <c r="F73" s="42"/>
      <c r="H73" s="43"/>
      <c r="J73" s="21"/>
      <c r="L73" s="21"/>
      <c r="N73" s="21"/>
      <c r="P73" s="21"/>
      <c r="Q73" s="22"/>
      <c r="R73" s="20"/>
      <c r="T73" s="21"/>
      <c r="V73" s="21"/>
      <c r="X73" s="21"/>
      <c r="Z73" s="21"/>
      <c r="AB73" s="21"/>
      <c r="AC73" s="22"/>
      <c r="AD73" s="23">
        <f t="shared" si="1"/>
        <v>0</v>
      </c>
      <c r="AE73" s="18">
        <f t="shared" si="2"/>
        <v>0</v>
      </c>
      <c r="AF73" s="18">
        <f t="shared" si="3"/>
        <v>0</v>
      </c>
      <c r="AG73" s="18">
        <f t="shared" si="4"/>
        <v>0</v>
      </c>
      <c r="AH73" s="41" t="str">
        <f t="shared" si="5"/>
        <v/>
      </c>
    </row>
    <row r="74" ht="15.75" customHeight="1">
      <c r="A74" s="25" t="s">
        <v>23</v>
      </c>
      <c r="B74" s="26">
        <f t="shared" si="6"/>
        <v>45727</v>
      </c>
      <c r="C74" s="27">
        <v>3.0</v>
      </c>
      <c r="D74" s="27" t="s">
        <v>30</v>
      </c>
      <c r="E74" s="28"/>
      <c r="F74" s="42"/>
      <c r="H74" s="43"/>
      <c r="J74" s="21"/>
      <c r="L74" s="21"/>
      <c r="N74" s="21"/>
      <c r="P74" s="21"/>
      <c r="Q74" s="22"/>
      <c r="R74" s="20"/>
      <c r="T74" s="21"/>
      <c r="V74" s="21"/>
      <c r="X74" s="21"/>
      <c r="Z74" s="21"/>
      <c r="AB74" s="21"/>
      <c r="AC74" s="22"/>
      <c r="AD74" s="29">
        <f t="shared" si="1"/>
        <v>0</v>
      </c>
      <c r="AE74" s="27">
        <f t="shared" si="2"/>
        <v>0</v>
      </c>
      <c r="AF74" s="27">
        <f t="shared" si="3"/>
        <v>0</v>
      </c>
      <c r="AG74" s="27">
        <f t="shared" si="4"/>
        <v>0</v>
      </c>
      <c r="AH74" s="24" t="str">
        <f t="shared" si="5"/>
        <v/>
      </c>
    </row>
    <row r="75" ht="15.75" customHeight="1">
      <c r="A75" s="25" t="s">
        <v>24</v>
      </c>
      <c r="B75" s="26">
        <f t="shared" si="6"/>
        <v>45728</v>
      </c>
      <c r="C75" s="27">
        <v>3.0</v>
      </c>
      <c r="D75" s="27" t="s">
        <v>30</v>
      </c>
      <c r="E75" s="28"/>
      <c r="F75" s="42"/>
      <c r="H75" s="43"/>
      <c r="J75" s="21"/>
      <c r="L75" s="21"/>
      <c r="N75" s="21"/>
      <c r="P75" s="21"/>
      <c r="Q75" s="22"/>
      <c r="R75" s="20"/>
      <c r="T75" s="21"/>
      <c r="V75" s="21"/>
      <c r="X75" s="21"/>
      <c r="Z75" s="21"/>
      <c r="AB75" s="21"/>
      <c r="AC75" s="22"/>
      <c r="AD75" s="29">
        <f t="shared" si="1"/>
        <v>0</v>
      </c>
      <c r="AE75" s="27">
        <f t="shared" si="2"/>
        <v>0</v>
      </c>
      <c r="AF75" s="27">
        <f t="shared" si="3"/>
        <v>0</v>
      </c>
      <c r="AG75" s="27">
        <f t="shared" si="4"/>
        <v>0</v>
      </c>
      <c r="AH75" s="24" t="str">
        <f t="shared" si="5"/>
        <v/>
      </c>
    </row>
    <row r="76" ht="15.75" customHeight="1">
      <c r="A76" s="25" t="s">
        <v>25</v>
      </c>
      <c r="B76" s="26">
        <f t="shared" si="6"/>
        <v>45729</v>
      </c>
      <c r="C76" s="27">
        <v>3.0</v>
      </c>
      <c r="D76" s="27" t="s">
        <v>30</v>
      </c>
      <c r="E76" s="28"/>
      <c r="F76" s="42"/>
      <c r="H76" s="43"/>
      <c r="J76" s="21"/>
      <c r="L76" s="21"/>
      <c r="N76" s="21"/>
      <c r="P76" s="21"/>
      <c r="Q76" s="22"/>
      <c r="R76" s="20"/>
      <c r="T76" s="21"/>
      <c r="V76" s="21"/>
      <c r="X76" s="21"/>
      <c r="Z76" s="21"/>
      <c r="AB76" s="21"/>
      <c r="AC76" s="22"/>
      <c r="AD76" s="29">
        <f t="shared" si="1"/>
        <v>0</v>
      </c>
      <c r="AE76" s="27">
        <f t="shared" si="2"/>
        <v>0</v>
      </c>
      <c r="AF76" s="27">
        <f t="shared" si="3"/>
        <v>0</v>
      </c>
      <c r="AG76" s="27">
        <f t="shared" si="4"/>
        <v>0</v>
      </c>
      <c r="AH76" s="24" t="str">
        <f t="shared" si="5"/>
        <v/>
      </c>
    </row>
    <row r="77" ht="15.75" customHeight="1">
      <c r="A77" s="25" t="s">
        <v>26</v>
      </c>
      <c r="B77" s="26">
        <f t="shared" si="6"/>
        <v>45730</v>
      </c>
      <c r="C77" s="27">
        <v>3.0</v>
      </c>
      <c r="D77" s="27" t="s">
        <v>30</v>
      </c>
      <c r="E77" s="28"/>
      <c r="F77" s="42"/>
      <c r="H77" s="43"/>
      <c r="J77" s="21"/>
      <c r="L77" s="21"/>
      <c r="N77" s="21"/>
      <c r="P77" s="21"/>
      <c r="Q77" s="22"/>
      <c r="R77" s="20"/>
      <c r="T77" s="21"/>
      <c r="V77" s="21"/>
      <c r="X77" s="21"/>
      <c r="Z77" s="21"/>
      <c r="AB77" s="21"/>
      <c r="AC77" s="22"/>
      <c r="AD77" s="29">
        <f t="shared" si="1"/>
        <v>0</v>
      </c>
      <c r="AE77" s="27">
        <f t="shared" si="2"/>
        <v>0</v>
      </c>
      <c r="AF77" s="27">
        <f t="shared" si="3"/>
        <v>0</v>
      </c>
      <c r="AG77" s="27">
        <f t="shared" si="4"/>
        <v>0</v>
      </c>
      <c r="AH77" s="24" t="str">
        <f t="shared" si="5"/>
        <v/>
      </c>
    </row>
    <row r="78" ht="15.75" customHeight="1">
      <c r="A78" s="25" t="s">
        <v>27</v>
      </c>
      <c r="B78" s="26">
        <f t="shared" si="6"/>
        <v>45731</v>
      </c>
      <c r="C78" s="27">
        <v>3.0</v>
      </c>
      <c r="D78" s="27" t="s">
        <v>30</v>
      </c>
      <c r="E78" s="28"/>
      <c r="F78" s="42"/>
      <c r="H78" s="43"/>
      <c r="J78" s="21"/>
      <c r="L78" s="21"/>
      <c r="N78" s="21"/>
      <c r="P78" s="21"/>
      <c r="Q78" s="22"/>
      <c r="R78" s="20"/>
      <c r="T78" s="21"/>
      <c r="V78" s="21"/>
      <c r="X78" s="21"/>
      <c r="Z78" s="21"/>
      <c r="AB78" s="21"/>
      <c r="AC78" s="22"/>
      <c r="AD78" s="29">
        <f t="shared" si="1"/>
        <v>0</v>
      </c>
      <c r="AE78" s="27">
        <f t="shared" si="2"/>
        <v>0</v>
      </c>
      <c r="AF78" s="27">
        <f t="shared" si="3"/>
        <v>0</v>
      </c>
      <c r="AG78" s="27">
        <f t="shared" si="4"/>
        <v>0</v>
      </c>
      <c r="AH78" s="24" t="str">
        <f t="shared" si="5"/>
        <v/>
      </c>
    </row>
    <row r="79" ht="15.75" customHeight="1">
      <c r="A79" s="30" t="s">
        <v>28</v>
      </c>
      <c r="B79" s="31">
        <f t="shared" si="6"/>
        <v>45732</v>
      </c>
      <c r="C79" s="32">
        <v>3.0</v>
      </c>
      <c r="D79" s="32" t="s">
        <v>30</v>
      </c>
      <c r="E79" s="33"/>
      <c r="F79" s="44"/>
      <c r="G79" s="35"/>
      <c r="H79" s="45"/>
      <c r="I79" s="35"/>
      <c r="J79" s="36"/>
      <c r="K79" s="35"/>
      <c r="L79" s="36"/>
      <c r="M79" s="35"/>
      <c r="N79" s="36"/>
      <c r="O79" s="35"/>
      <c r="P79" s="36"/>
      <c r="Q79" s="37"/>
      <c r="R79" s="34"/>
      <c r="S79" s="35"/>
      <c r="T79" s="36"/>
      <c r="U79" s="35"/>
      <c r="V79" s="36"/>
      <c r="W79" s="35"/>
      <c r="X79" s="36"/>
      <c r="Y79" s="35"/>
      <c r="Z79" s="36"/>
      <c r="AA79" s="35"/>
      <c r="AB79" s="36"/>
      <c r="AC79" s="37"/>
      <c r="AD79" s="38">
        <f t="shared" si="1"/>
        <v>0</v>
      </c>
      <c r="AE79" s="32">
        <f t="shared" si="2"/>
        <v>0</v>
      </c>
      <c r="AF79" s="32">
        <f t="shared" si="3"/>
        <v>0</v>
      </c>
      <c r="AG79" s="32">
        <f t="shared" si="4"/>
        <v>0</v>
      </c>
      <c r="AH79" s="39" t="str">
        <f t="shared" si="5"/>
        <v/>
      </c>
    </row>
    <row r="80" ht="15.75" customHeight="1">
      <c r="A80" s="16" t="s">
        <v>21</v>
      </c>
      <c r="B80" s="40">
        <f t="shared" si="6"/>
        <v>45733</v>
      </c>
      <c r="C80" s="18">
        <v>3.0</v>
      </c>
      <c r="D80" s="18" t="s">
        <v>31</v>
      </c>
      <c r="E80" s="19"/>
      <c r="F80" s="42"/>
      <c r="H80" s="43"/>
      <c r="J80" s="21"/>
      <c r="L80" s="21"/>
      <c r="N80" s="21"/>
      <c r="P80" s="21"/>
      <c r="Q80" s="22"/>
      <c r="R80" s="20"/>
      <c r="T80" s="21"/>
      <c r="V80" s="21"/>
      <c r="X80" s="21"/>
      <c r="Z80" s="21"/>
      <c r="AB80" s="21"/>
      <c r="AC80" s="22"/>
      <c r="AD80" s="23">
        <f t="shared" si="1"/>
        <v>0</v>
      </c>
      <c r="AE80" s="18">
        <f t="shared" si="2"/>
        <v>0</v>
      </c>
      <c r="AF80" s="18">
        <f t="shared" si="3"/>
        <v>0</v>
      </c>
      <c r="AG80" s="18">
        <f t="shared" si="4"/>
        <v>0</v>
      </c>
      <c r="AH80" s="41" t="str">
        <f t="shared" si="5"/>
        <v/>
      </c>
    </row>
    <row r="81" ht="15.75" customHeight="1">
      <c r="A81" s="25" t="s">
        <v>23</v>
      </c>
      <c r="B81" s="26">
        <f t="shared" si="6"/>
        <v>45734</v>
      </c>
      <c r="C81" s="27">
        <v>3.0</v>
      </c>
      <c r="D81" s="27" t="s">
        <v>31</v>
      </c>
      <c r="E81" s="28"/>
      <c r="F81" s="42"/>
      <c r="H81" s="43"/>
      <c r="J81" s="21"/>
      <c r="L81" s="21"/>
      <c r="N81" s="21"/>
      <c r="P81" s="21"/>
      <c r="Q81" s="22"/>
      <c r="R81" s="20"/>
      <c r="T81" s="21"/>
      <c r="V81" s="21"/>
      <c r="X81" s="21"/>
      <c r="Z81" s="21"/>
      <c r="AB81" s="21"/>
      <c r="AC81" s="22"/>
      <c r="AD81" s="29">
        <f t="shared" si="1"/>
        <v>0</v>
      </c>
      <c r="AE81" s="27">
        <f t="shared" si="2"/>
        <v>0</v>
      </c>
      <c r="AF81" s="27">
        <f t="shared" si="3"/>
        <v>0</v>
      </c>
      <c r="AG81" s="27">
        <f t="shared" si="4"/>
        <v>0</v>
      </c>
      <c r="AH81" s="24" t="str">
        <f t="shared" si="5"/>
        <v/>
      </c>
    </row>
    <row r="82" ht="15.75" customHeight="1">
      <c r="A82" s="25" t="s">
        <v>24</v>
      </c>
      <c r="B82" s="26">
        <f t="shared" si="6"/>
        <v>45735</v>
      </c>
      <c r="C82" s="27">
        <v>3.0</v>
      </c>
      <c r="D82" s="27" t="s">
        <v>31</v>
      </c>
      <c r="E82" s="28"/>
      <c r="F82" s="46"/>
      <c r="H82" s="47"/>
      <c r="J82" s="48"/>
      <c r="L82" s="48"/>
      <c r="N82" s="48"/>
      <c r="P82" s="48"/>
      <c r="Q82" s="22"/>
      <c r="R82" s="49"/>
      <c r="T82" s="48"/>
      <c r="V82" s="48"/>
      <c r="X82" s="48"/>
      <c r="Z82" s="48"/>
      <c r="AB82" s="48"/>
      <c r="AC82" s="22"/>
      <c r="AD82" s="50">
        <f t="shared" si="1"/>
        <v>0</v>
      </c>
      <c r="AE82" s="51">
        <f t="shared" si="2"/>
        <v>0</v>
      </c>
      <c r="AF82" s="27">
        <f t="shared" si="3"/>
        <v>0</v>
      </c>
      <c r="AG82" s="27">
        <f t="shared" si="4"/>
        <v>0</v>
      </c>
      <c r="AH82" s="24" t="str">
        <f t="shared" si="5"/>
        <v/>
      </c>
    </row>
    <row r="83" ht="15.75" customHeight="1">
      <c r="A83" s="25" t="s">
        <v>25</v>
      </c>
      <c r="B83" s="26">
        <f t="shared" si="6"/>
        <v>45736</v>
      </c>
      <c r="C83" s="27">
        <v>3.0</v>
      </c>
      <c r="D83" s="27" t="s">
        <v>31</v>
      </c>
      <c r="E83" s="28"/>
      <c r="F83" s="46"/>
      <c r="H83" s="47"/>
      <c r="J83" s="48"/>
      <c r="L83" s="48"/>
      <c r="N83" s="48"/>
      <c r="P83" s="48"/>
      <c r="Q83" s="22"/>
      <c r="R83" s="49"/>
      <c r="T83" s="48"/>
      <c r="V83" s="48"/>
      <c r="X83" s="48"/>
      <c r="Z83" s="48"/>
      <c r="AB83" s="48"/>
      <c r="AC83" s="22"/>
      <c r="AD83" s="50">
        <f t="shared" si="1"/>
        <v>0</v>
      </c>
      <c r="AE83" s="51">
        <f t="shared" si="2"/>
        <v>0</v>
      </c>
      <c r="AF83" s="27">
        <f t="shared" si="3"/>
        <v>0</v>
      </c>
      <c r="AG83" s="27">
        <f t="shared" si="4"/>
        <v>0</v>
      </c>
      <c r="AH83" s="24" t="str">
        <f t="shared" si="5"/>
        <v/>
      </c>
    </row>
    <row r="84" ht="15.75" customHeight="1">
      <c r="A84" s="25" t="s">
        <v>26</v>
      </c>
      <c r="B84" s="26">
        <f t="shared" si="6"/>
        <v>45737</v>
      </c>
      <c r="C84" s="27">
        <v>3.0</v>
      </c>
      <c r="D84" s="27" t="s">
        <v>31</v>
      </c>
      <c r="E84" s="28"/>
      <c r="F84" s="46"/>
      <c r="H84" s="47"/>
      <c r="J84" s="48"/>
      <c r="L84" s="48"/>
      <c r="N84" s="48"/>
      <c r="P84" s="48"/>
      <c r="Q84" s="22"/>
      <c r="R84" s="49"/>
      <c r="T84" s="48"/>
      <c r="V84" s="48"/>
      <c r="X84" s="48"/>
      <c r="Z84" s="48"/>
      <c r="AB84" s="48"/>
      <c r="AC84" s="22"/>
      <c r="AD84" s="50">
        <f t="shared" si="1"/>
        <v>0</v>
      </c>
      <c r="AE84" s="51">
        <f t="shared" si="2"/>
        <v>0</v>
      </c>
      <c r="AF84" s="27">
        <f t="shared" si="3"/>
        <v>0</v>
      </c>
      <c r="AG84" s="27">
        <f t="shared" si="4"/>
        <v>0</v>
      </c>
      <c r="AH84" s="24" t="str">
        <f t="shared" si="5"/>
        <v/>
      </c>
    </row>
    <row r="85" ht="15.75" customHeight="1">
      <c r="A85" s="25" t="s">
        <v>27</v>
      </c>
      <c r="B85" s="26">
        <f t="shared" si="6"/>
        <v>45738</v>
      </c>
      <c r="C85" s="27">
        <v>3.0</v>
      </c>
      <c r="D85" s="27" t="s">
        <v>31</v>
      </c>
      <c r="E85" s="28"/>
      <c r="F85" s="46"/>
      <c r="H85" s="47"/>
      <c r="J85" s="48"/>
      <c r="L85" s="48"/>
      <c r="N85" s="48"/>
      <c r="P85" s="48"/>
      <c r="Q85" s="22"/>
      <c r="R85" s="49"/>
      <c r="T85" s="48"/>
      <c r="V85" s="48"/>
      <c r="X85" s="48"/>
      <c r="Z85" s="48"/>
      <c r="AB85" s="48"/>
      <c r="AC85" s="22"/>
      <c r="AD85" s="50">
        <f t="shared" si="1"/>
        <v>0</v>
      </c>
      <c r="AE85" s="51">
        <f t="shared" si="2"/>
        <v>0</v>
      </c>
      <c r="AF85" s="27">
        <f t="shared" si="3"/>
        <v>0</v>
      </c>
      <c r="AG85" s="27">
        <f t="shared" si="4"/>
        <v>0</v>
      </c>
      <c r="AH85" s="24" t="str">
        <f t="shared" si="5"/>
        <v/>
      </c>
    </row>
    <row r="86" ht="15.75" customHeight="1">
      <c r="A86" s="30" t="s">
        <v>28</v>
      </c>
      <c r="B86" s="31">
        <f t="shared" si="6"/>
        <v>45739</v>
      </c>
      <c r="C86" s="32">
        <v>3.0</v>
      </c>
      <c r="D86" s="32" t="s">
        <v>31</v>
      </c>
      <c r="E86" s="33"/>
      <c r="F86" s="52"/>
      <c r="G86" s="35"/>
      <c r="H86" s="53"/>
      <c r="I86" s="35"/>
      <c r="J86" s="54"/>
      <c r="K86" s="35"/>
      <c r="L86" s="54"/>
      <c r="M86" s="35"/>
      <c r="N86" s="54"/>
      <c r="O86" s="35"/>
      <c r="P86" s="54"/>
      <c r="Q86" s="37"/>
      <c r="R86" s="55"/>
      <c r="S86" s="35"/>
      <c r="T86" s="54"/>
      <c r="U86" s="35"/>
      <c r="V86" s="54"/>
      <c r="W86" s="35"/>
      <c r="X86" s="54"/>
      <c r="Y86" s="35"/>
      <c r="Z86" s="54"/>
      <c r="AA86" s="35"/>
      <c r="AB86" s="54"/>
      <c r="AC86" s="37"/>
      <c r="AD86" s="56">
        <f t="shared" si="1"/>
        <v>0</v>
      </c>
      <c r="AE86" s="57">
        <f t="shared" si="2"/>
        <v>0</v>
      </c>
      <c r="AF86" s="32">
        <f t="shared" si="3"/>
        <v>0</v>
      </c>
      <c r="AG86" s="32">
        <f t="shared" si="4"/>
        <v>0</v>
      </c>
      <c r="AH86" s="39" t="str">
        <f t="shared" si="5"/>
        <v/>
      </c>
    </row>
    <row r="87" ht="15.75" customHeight="1">
      <c r="A87" s="58" t="s">
        <v>21</v>
      </c>
      <c r="B87" s="59">
        <f t="shared" si="6"/>
        <v>45740</v>
      </c>
      <c r="C87" s="60">
        <v>4.0</v>
      </c>
      <c r="D87" s="60" t="s">
        <v>22</v>
      </c>
      <c r="E87" s="61"/>
      <c r="F87" s="62">
        <v>0.0</v>
      </c>
      <c r="H87" s="63">
        <v>0.0</v>
      </c>
      <c r="J87" s="63">
        <v>0.0</v>
      </c>
      <c r="L87" s="63">
        <v>0.0</v>
      </c>
      <c r="N87" s="63">
        <v>0.0</v>
      </c>
      <c r="P87" s="63">
        <v>0.0</v>
      </c>
      <c r="Q87" s="22"/>
      <c r="R87" s="64"/>
      <c r="T87" s="65"/>
      <c r="V87" s="65"/>
      <c r="X87" s="65"/>
      <c r="Z87" s="65"/>
      <c r="AB87" s="65"/>
      <c r="AC87" s="22"/>
      <c r="AD87" s="66">
        <f t="shared" si="1"/>
        <v>0</v>
      </c>
      <c r="AE87" s="60">
        <f t="shared" si="2"/>
        <v>0</v>
      </c>
      <c r="AF87" s="60">
        <f t="shared" si="3"/>
        <v>0</v>
      </c>
      <c r="AG87" s="60">
        <f t="shared" si="4"/>
        <v>0</v>
      </c>
      <c r="AH87" s="67" t="str">
        <f t="shared" si="5"/>
        <v/>
      </c>
    </row>
    <row r="88" ht="15.75" customHeight="1">
      <c r="A88" s="68" t="s">
        <v>23</v>
      </c>
      <c r="B88" s="69">
        <f t="shared" si="6"/>
        <v>45741</v>
      </c>
      <c r="C88" s="70">
        <v>4.0</v>
      </c>
      <c r="D88" s="70" t="s">
        <v>22</v>
      </c>
      <c r="E88" s="71"/>
      <c r="F88" s="62">
        <v>0.0</v>
      </c>
      <c r="H88" s="63">
        <v>0.0</v>
      </c>
      <c r="J88" s="63">
        <v>0.0</v>
      </c>
      <c r="L88" s="63">
        <v>0.0</v>
      </c>
      <c r="N88" s="63">
        <v>0.0</v>
      </c>
      <c r="P88" s="63">
        <v>0.0</v>
      </c>
      <c r="Q88" s="22"/>
      <c r="R88" s="64"/>
      <c r="T88" s="65"/>
      <c r="V88" s="65"/>
      <c r="X88" s="65"/>
      <c r="Z88" s="65"/>
      <c r="AB88" s="65"/>
      <c r="AC88" s="22"/>
      <c r="AD88" s="72">
        <f t="shared" si="1"/>
        <v>0</v>
      </c>
      <c r="AE88" s="70">
        <f t="shared" si="2"/>
        <v>0</v>
      </c>
      <c r="AF88" s="70">
        <f t="shared" si="3"/>
        <v>0</v>
      </c>
      <c r="AG88" s="70">
        <f t="shared" si="4"/>
        <v>0</v>
      </c>
      <c r="AH88" s="73" t="str">
        <f t="shared" si="5"/>
        <v/>
      </c>
    </row>
    <row r="89" ht="15.75" customHeight="1">
      <c r="A89" s="68" t="s">
        <v>24</v>
      </c>
      <c r="B89" s="69">
        <f t="shared" si="6"/>
        <v>45742</v>
      </c>
      <c r="C89" s="70">
        <v>4.0</v>
      </c>
      <c r="D89" s="70" t="s">
        <v>22</v>
      </c>
      <c r="E89" s="71"/>
      <c r="F89" s="62">
        <v>0.0</v>
      </c>
      <c r="H89" s="63">
        <v>0.0</v>
      </c>
      <c r="J89" s="63">
        <v>0.0</v>
      </c>
      <c r="L89" s="63">
        <v>0.0</v>
      </c>
      <c r="N89" s="63">
        <v>0.0</v>
      </c>
      <c r="P89" s="63">
        <v>0.0</v>
      </c>
      <c r="Q89" s="22"/>
      <c r="R89" s="64"/>
      <c r="T89" s="65"/>
      <c r="V89" s="65"/>
      <c r="X89" s="65"/>
      <c r="Z89" s="65"/>
      <c r="AB89" s="65"/>
      <c r="AC89" s="22"/>
      <c r="AD89" s="72">
        <f t="shared" si="1"/>
        <v>0</v>
      </c>
      <c r="AE89" s="70">
        <f t="shared" si="2"/>
        <v>0</v>
      </c>
      <c r="AF89" s="70">
        <f t="shared" si="3"/>
        <v>0</v>
      </c>
      <c r="AG89" s="70">
        <f t="shared" si="4"/>
        <v>0</v>
      </c>
      <c r="AH89" s="73" t="str">
        <f t="shared" si="5"/>
        <v/>
      </c>
    </row>
    <row r="90" ht="15.75" customHeight="1">
      <c r="A90" s="68" t="s">
        <v>25</v>
      </c>
      <c r="B90" s="69">
        <f t="shared" si="6"/>
        <v>45743</v>
      </c>
      <c r="C90" s="70">
        <v>4.0</v>
      </c>
      <c r="D90" s="70" t="s">
        <v>22</v>
      </c>
      <c r="E90" s="71"/>
      <c r="F90" s="62">
        <v>0.0</v>
      </c>
      <c r="H90" s="63">
        <v>35.0</v>
      </c>
      <c r="J90" s="63">
        <v>0.0</v>
      </c>
      <c r="L90" s="63">
        <v>0.0</v>
      </c>
      <c r="N90" s="63">
        <v>0.0</v>
      </c>
      <c r="P90" s="63">
        <v>0.0</v>
      </c>
      <c r="Q90" s="22"/>
      <c r="R90" s="64"/>
      <c r="T90" s="65"/>
      <c r="V90" s="65"/>
      <c r="X90" s="65"/>
      <c r="Z90" s="65"/>
      <c r="AB90" s="65"/>
      <c r="AC90" s="22"/>
      <c r="AD90" s="72">
        <f t="shared" si="1"/>
        <v>920.85</v>
      </c>
      <c r="AE90" s="70">
        <f t="shared" si="2"/>
        <v>35</v>
      </c>
      <c r="AF90" s="70">
        <f t="shared" si="3"/>
        <v>0</v>
      </c>
      <c r="AG90" s="70">
        <f t="shared" si="4"/>
        <v>35</v>
      </c>
      <c r="AH90" s="73">
        <f t="shared" si="5"/>
        <v>26.31</v>
      </c>
    </row>
    <row r="91" ht="15.75" customHeight="1">
      <c r="A91" s="68" t="s">
        <v>26</v>
      </c>
      <c r="B91" s="69">
        <f t="shared" si="6"/>
        <v>45744</v>
      </c>
      <c r="C91" s="70">
        <v>4.0</v>
      </c>
      <c r="D91" s="70" t="s">
        <v>22</v>
      </c>
      <c r="E91" s="74" t="s">
        <v>32</v>
      </c>
      <c r="F91" s="62">
        <v>55.0</v>
      </c>
      <c r="H91" s="63">
        <v>0.0</v>
      </c>
      <c r="J91" s="63">
        <v>55.0</v>
      </c>
      <c r="L91" s="63">
        <v>0.0</v>
      </c>
      <c r="N91" s="63">
        <v>0.0</v>
      </c>
      <c r="P91" s="63">
        <v>0.0</v>
      </c>
      <c r="Q91" s="22"/>
      <c r="R91" s="64"/>
      <c r="T91" s="65"/>
      <c r="V91" s="65"/>
      <c r="X91" s="65"/>
      <c r="Z91" s="65"/>
      <c r="AB91" s="65"/>
      <c r="AC91" s="22"/>
      <c r="AD91" s="72">
        <f t="shared" si="1"/>
        <v>2894.1</v>
      </c>
      <c r="AE91" s="70">
        <f t="shared" si="2"/>
        <v>110</v>
      </c>
      <c r="AF91" s="70">
        <f t="shared" si="3"/>
        <v>0</v>
      </c>
      <c r="AG91" s="70">
        <f t="shared" si="4"/>
        <v>110</v>
      </c>
      <c r="AH91" s="73">
        <f t="shared" si="5"/>
        <v>26.31</v>
      </c>
    </row>
    <row r="92" ht="15.75" customHeight="1">
      <c r="A92" s="68" t="s">
        <v>27</v>
      </c>
      <c r="B92" s="69">
        <f t="shared" si="6"/>
        <v>45745</v>
      </c>
      <c r="C92" s="70">
        <v>4.0</v>
      </c>
      <c r="D92" s="70" t="s">
        <v>22</v>
      </c>
      <c r="E92" s="74" t="s">
        <v>32</v>
      </c>
      <c r="F92" s="62">
        <v>55.0</v>
      </c>
      <c r="H92" s="63">
        <v>0.0</v>
      </c>
      <c r="J92" s="63">
        <v>55.0</v>
      </c>
      <c r="L92" s="63">
        <v>0.0</v>
      </c>
      <c r="N92" s="63">
        <v>0.0</v>
      </c>
      <c r="P92" s="63">
        <v>0.0</v>
      </c>
      <c r="Q92" s="22"/>
      <c r="R92" s="64"/>
      <c r="T92" s="65"/>
      <c r="V92" s="65"/>
      <c r="X92" s="65"/>
      <c r="Z92" s="65"/>
      <c r="AB92" s="65"/>
      <c r="AC92" s="22"/>
      <c r="AD92" s="72">
        <f t="shared" si="1"/>
        <v>2894.1</v>
      </c>
      <c r="AE92" s="70">
        <f t="shared" si="2"/>
        <v>110</v>
      </c>
      <c r="AF92" s="70">
        <f t="shared" si="3"/>
        <v>0</v>
      </c>
      <c r="AG92" s="70">
        <f t="shared" si="4"/>
        <v>110</v>
      </c>
      <c r="AH92" s="73">
        <f t="shared" si="5"/>
        <v>26.31</v>
      </c>
    </row>
    <row r="93" ht="15.75" customHeight="1">
      <c r="A93" s="75" t="s">
        <v>28</v>
      </c>
      <c r="B93" s="76">
        <f t="shared" si="6"/>
        <v>45746</v>
      </c>
      <c r="C93" s="77">
        <v>4.0</v>
      </c>
      <c r="D93" s="77" t="s">
        <v>22</v>
      </c>
      <c r="E93" s="78" t="s">
        <v>32</v>
      </c>
      <c r="F93" s="79">
        <v>55.0</v>
      </c>
      <c r="G93" s="35"/>
      <c r="H93" s="80">
        <v>0.0</v>
      </c>
      <c r="I93" s="35"/>
      <c r="J93" s="80">
        <v>0.0</v>
      </c>
      <c r="K93" s="35"/>
      <c r="L93" s="80">
        <v>0.0</v>
      </c>
      <c r="M93" s="35"/>
      <c r="N93" s="80">
        <v>0.0</v>
      </c>
      <c r="O93" s="35"/>
      <c r="P93" s="80">
        <v>0.0</v>
      </c>
      <c r="Q93" s="37"/>
      <c r="R93" s="81"/>
      <c r="S93" s="35"/>
      <c r="T93" s="82"/>
      <c r="U93" s="35"/>
      <c r="V93" s="82"/>
      <c r="W93" s="35"/>
      <c r="X93" s="82"/>
      <c r="Y93" s="35"/>
      <c r="Z93" s="82"/>
      <c r="AA93" s="35"/>
      <c r="AB93" s="82"/>
      <c r="AC93" s="37"/>
      <c r="AD93" s="83">
        <f t="shared" si="1"/>
        <v>1447.05</v>
      </c>
      <c r="AE93" s="77">
        <f t="shared" si="2"/>
        <v>55</v>
      </c>
      <c r="AF93" s="77">
        <f t="shared" si="3"/>
        <v>0</v>
      </c>
      <c r="AG93" s="77">
        <f t="shared" si="4"/>
        <v>55</v>
      </c>
      <c r="AH93" s="84">
        <f t="shared" si="5"/>
        <v>26.31</v>
      </c>
    </row>
    <row r="94" ht="15.75" customHeight="1">
      <c r="A94" s="16" t="s">
        <v>21</v>
      </c>
      <c r="B94" s="40">
        <f t="shared" si="6"/>
        <v>45747</v>
      </c>
      <c r="C94" s="18">
        <v>4.0</v>
      </c>
      <c r="D94" s="18" t="s">
        <v>29</v>
      </c>
      <c r="E94" s="85" t="s">
        <v>33</v>
      </c>
      <c r="F94" s="46"/>
      <c r="H94" s="47"/>
      <c r="J94" s="47"/>
      <c r="L94" s="47"/>
      <c r="N94" s="47"/>
      <c r="P94" s="47"/>
      <c r="Q94" s="22"/>
      <c r="R94" s="46"/>
      <c r="T94" s="47"/>
      <c r="V94" s="47"/>
      <c r="X94" s="47"/>
      <c r="Z94" s="47"/>
      <c r="AB94" s="47"/>
      <c r="AC94" s="22"/>
      <c r="AD94" s="86">
        <f t="shared" si="1"/>
        <v>0</v>
      </c>
      <c r="AE94" s="87">
        <f t="shared" si="2"/>
        <v>0</v>
      </c>
      <c r="AF94" s="18">
        <f t="shared" si="3"/>
        <v>0</v>
      </c>
      <c r="AG94" s="18">
        <f t="shared" si="4"/>
        <v>0</v>
      </c>
      <c r="AH94" s="41" t="str">
        <f t="shared" si="5"/>
        <v/>
      </c>
    </row>
    <row r="95" ht="15.75" customHeight="1">
      <c r="A95" s="25" t="s">
        <v>23</v>
      </c>
      <c r="B95" s="26">
        <f t="shared" si="6"/>
        <v>45748</v>
      </c>
      <c r="C95" s="27">
        <v>4.0</v>
      </c>
      <c r="D95" s="27" t="s">
        <v>29</v>
      </c>
      <c r="E95" s="88" t="s">
        <v>33</v>
      </c>
      <c r="F95" s="46"/>
      <c r="H95" s="47"/>
      <c r="J95" s="47"/>
      <c r="L95" s="47"/>
      <c r="N95" s="47"/>
      <c r="P95" s="47"/>
      <c r="Q95" s="22"/>
      <c r="R95" s="46"/>
      <c r="T95" s="47"/>
      <c r="V95" s="47"/>
      <c r="X95" s="47"/>
      <c r="Z95" s="47"/>
      <c r="AB95" s="47"/>
      <c r="AC95" s="22"/>
      <c r="AD95" s="50">
        <f t="shared" si="1"/>
        <v>0</v>
      </c>
      <c r="AE95" s="51">
        <f t="shared" si="2"/>
        <v>0</v>
      </c>
      <c r="AF95" s="27">
        <f t="shared" si="3"/>
        <v>0</v>
      </c>
      <c r="AG95" s="27">
        <f t="shared" si="4"/>
        <v>0</v>
      </c>
      <c r="AH95" s="24" t="str">
        <f t="shared" si="5"/>
        <v/>
      </c>
    </row>
    <row r="96" ht="15.75" customHeight="1">
      <c r="A96" s="25" t="s">
        <v>24</v>
      </c>
      <c r="B96" s="26">
        <f t="shared" si="6"/>
        <v>45749</v>
      </c>
      <c r="C96" s="27">
        <v>4.0</v>
      </c>
      <c r="D96" s="27" t="s">
        <v>29</v>
      </c>
      <c r="E96" s="88" t="s">
        <v>33</v>
      </c>
      <c r="F96" s="46"/>
      <c r="H96" s="47"/>
      <c r="J96" s="47"/>
      <c r="L96" s="47"/>
      <c r="N96" s="47"/>
      <c r="P96" s="47"/>
      <c r="Q96" s="22"/>
      <c r="R96" s="46"/>
      <c r="T96" s="47"/>
      <c r="V96" s="47"/>
      <c r="X96" s="47"/>
      <c r="Z96" s="47"/>
      <c r="AB96" s="47"/>
      <c r="AC96" s="22"/>
      <c r="AD96" s="50">
        <f t="shared" si="1"/>
        <v>0</v>
      </c>
      <c r="AE96" s="51">
        <f t="shared" si="2"/>
        <v>0</v>
      </c>
      <c r="AF96" s="27">
        <f t="shared" si="3"/>
        <v>0</v>
      </c>
      <c r="AG96" s="27">
        <f t="shared" si="4"/>
        <v>0</v>
      </c>
      <c r="AH96" s="24" t="str">
        <f t="shared" si="5"/>
        <v/>
      </c>
    </row>
    <row r="97" ht="15.75" customHeight="1">
      <c r="A97" s="25" t="s">
        <v>25</v>
      </c>
      <c r="B97" s="26">
        <f t="shared" si="6"/>
        <v>45750</v>
      </c>
      <c r="C97" s="27">
        <v>4.0</v>
      </c>
      <c r="D97" s="27" t="s">
        <v>29</v>
      </c>
      <c r="E97" s="88" t="s">
        <v>33</v>
      </c>
      <c r="F97" s="46"/>
      <c r="H97" s="47"/>
      <c r="J97" s="47"/>
      <c r="L97" s="47"/>
      <c r="N97" s="47"/>
      <c r="P97" s="47"/>
      <c r="Q97" s="22"/>
      <c r="R97" s="46"/>
      <c r="T97" s="47"/>
      <c r="V97" s="47"/>
      <c r="X97" s="47"/>
      <c r="Z97" s="47"/>
      <c r="AB97" s="47"/>
      <c r="AC97" s="22"/>
      <c r="AD97" s="50">
        <f t="shared" si="1"/>
        <v>0</v>
      </c>
      <c r="AE97" s="51">
        <f t="shared" si="2"/>
        <v>0</v>
      </c>
      <c r="AF97" s="27">
        <f t="shared" si="3"/>
        <v>0</v>
      </c>
      <c r="AG97" s="27">
        <f t="shared" si="4"/>
        <v>0</v>
      </c>
      <c r="AH97" s="24" t="str">
        <f t="shared" si="5"/>
        <v/>
      </c>
    </row>
    <row r="98" ht="15.75" customHeight="1">
      <c r="A98" s="25" t="s">
        <v>26</v>
      </c>
      <c r="B98" s="26">
        <f t="shared" si="6"/>
        <v>45751</v>
      </c>
      <c r="C98" s="27">
        <v>4.0</v>
      </c>
      <c r="D98" s="27" t="s">
        <v>29</v>
      </c>
      <c r="E98" s="88" t="s">
        <v>33</v>
      </c>
      <c r="F98" s="46"/>
      <c r="H98" s="47"/>
      <c r="J98" s="47"/>
      <c r="L98" s="47"/>
      <c r="N98" s="47"/>
      <c r="P98" s="47"/>
      <c r="Q98" s="22"/>
      <c r="R98" s="46"/>
      <c r="T98" s="47"/>
      <c r="V98" s="47"/>
      <c r="X98" s="47"/>
      <c r="Z98" s="47"/>
      <c r="AB98" s="47"/>
      <c r="AC98" s="22"/>
      <c r="AD98" s="50">
        <f t="shared" si="1"/>
        <v>0</v>
      </c>
      <c r="AE98" s="51">
        <f t="shared" si="2"/>
        <v>0</v>
      </c>
      <c r="AF98" s="27">
        <f t="shared" si="3"/>
        <v>0</v>
      </c>
      <c r="AG98" s="27">
        <f t="shared" si="4"/>
        <v>0</v>
      </c>
      <c r="AH98" s="24" t="str">
        <f t="shared" si="5"/>
        <v/>
      </c>
    </row>
    <row r="99" ht="15.75" customHeight="1">
      <c r="A99" s="25" t="s">
        <v>27</v>
      </c>
      <c r="B99" s="26">
        <f t="shared" si="6"/>
        <v>45752</v>
      </c>
      <c r="C99" s="27">
        <v>4.0</v>
      </c>
      <c r="D99" s="27" t="s">
        <v>29</v>
      </c>
      <c r="E99" s="88" t="s">
        <v>33</v>
      </c>
      <c r="F99" s="46"/>
      <c r="H99" s="47"/>
      <c r="J99" s="47"/>
      <c r="L99" s="47"/>
      <c r="N99" s="47"/>
      <c r="P99" s="47"/>
      <c r="Q99" s="22"/>
      <c r="R99" s="46"/>
      <c r="T99" s="47"/>
      <c r="V99" s="47"/>
      <c r="X99" s="47"/>
      <c r="Z99" s="47"/>
      <c r="AB99" s="47"/>
      <c r="AC99" s="22"/>
      <c r="AD99" s="50">
        <f t="shared" si="1"/>
        <v>0</v>
      </c>
      <c r="AE99" s="51">
        <f t="shared" si="2"/>
        <v>0</v>
      </c>
      <c r="AF99" s="27">
        <f t="shared" si="3"/>
        <v>0</v>
      </c>
      <c r="AG99" s="27">
        <f t="shared" si="4"/>
        <v>0</v>
      </c>
      <c r="AH99" s="24" t="str">
        <f t="shared" si="5"/>
        <v/>
      </c>
    </row>
    <row r="100" ht="15.75" customHeight="1">
      <c r="A100" s="30" t="s">
        <v>28</v>
      </c>
      <c r="B100" s="31">
        <f t="shared" si="6"/>
        <v>45753</v>
      </c>
      <c r="C100" s="32">
        <v>4.0</v>
      </c>
      <c r="D100" s="32" t="s">
        <v>29</v>
      </c>
      <c r="E100" s="89" t="s">
        <v>33</v>
      </c>
      <c r="F100" s="53"/>
      <c r="G100" s="35"/>
      <c r="H100" s="53"/>
      <c r="I100" s="35"/>
      <c r="J100" s="53"/>
      <c r="K100" s="35"/>
      <c r="L100" s="53"/>
      <c r="M100" s="35"/>
      <c r="N100" s="53"/>
      <c r="O100" s="35"/>
      <c r="P100" s="53"/>
      <c r="Q100" s="37"/>
      <c r="R100" s="52"/>
      <c r="S100" s="35"/>
      <c r="T100" s="53"/>
      <c r="U100" s="35"/>
      <c r="V100" s="53"/>
      <c r="W100" s="35"/>
      <c r="X100" s="53"/>
      <c r="Y100" s="35"/>
      <c r="Z100" s="53"/>
      <c r="AA100" s="35"/>
      <c r="AB100" s="53"/>
      <c r="AC100" s="37"/>
      <c r="AD100" s="56">
        <f t="shared" si="1"/>
        <v>0</v>
      </c>
      <c r="AE100" s="57">
        <f t="shared" si="2"/>
        <v>0</v>
      </c>
      <c r="AF100" s="32">
        <f t="shared" si="3"/>
        <v>0</v>
      </c>
      <c r="AG100" s="32">
        <f t="shared" si="4"/>
        <v>0</v>
      </c>
      <c r="AH100" s="39" t="str">
        <f t="shared" si="5"/>
        <v/>
      </c>
    </row>
    <row r="101" ht="15.75" customHeight="1">
      <c r="A101" s="90" t="s">
        <v>21</v>
      </c>
      <c r="B101" s="91">
        <f t="shared" si="6"/>
        <v>45754</v>
      </c>
      <c r="C101" s="92">
        <v>4.0</v>
      </c>
      <c r="D101" s="92" t="s">
        <v>30</v>
      </c>
      <c r="E101" s="93" t="s">
        <v>33</v>
      </c>
      <c r="F101" s="94">
        <v>0.0</v>
      </c>
      <c r="H101" s="95">
        <v>0.0</v>
      </c>
      <c r="J101" s="95">
        <v>0.0</v>
      </c>
      <c r="L101" s="95">
        <v>0.0</v>
      </c>
      <c r="N101" s="95">
        <v>0.0</v>
      </c>
      <c r="P101" s="95">
        <v>0.0</v>
      </c>
      <c r="Q101" s="22"/>
      <c r="R101" s="96"/>
      <c r="T101" s="97"/>
      <c r="V101" s="97"/>
      <c r="X101" s="97"/>
      <c r="Z101" s="97"/>
      <c r="AB101" s="97"/>
      <c r="AC101" s="22"/>
      <c r="AD101" s="98">
        <f t="shared" si="1"/>
        <v>0</v>
      </c>
      <c r="AE101" s="92">
        <f t="shared" si="2"/>
        <v>0</v>
      </c>
      <c r="AF101" s="92">
        <f t="shared" si="3"/>
        <v>0</v>
      </c>
      <c r="AG101" s="92">
        <f t="shared" si="4"/>
        <v>0</v>
      </c>
      <c r="AH101" s="99" t="str">
        <f t="shared" si="5"/>
        <v/>
      </c>
    </row>
    <row r="102" ht="15.75" customHeight="1">
      <c r="A102" s="100" t="s">
        <v>23</v>
      </c>
      <c r="B102" s="101">
        <f t="shared" si="6"/>
        <v>45755</v>
      </c>
      <c r="C102" s="102">
        <v>4.0</v>
      </c>
      <c r="D102" s="102" t="s">
        <v>30</v>
      </c>
      <c r="E102" s="103" t="s">
        <v>34</v>
      </c>
      <c r="F102" s="94">
        <v>55.0</v>
      </c>
      <c r="H102" s="95">
        <v>0.0</v>
      </c>
      <c r="J102" s="95">
        <v>0.0</v>
      </c>
      <c r="L102" s="95">
        <v>0.0</v>
      </c>
      <c r="N102" s="95">
        <v>0.0</v>
      </c>
      <c r="P102" s="95">
        <v>0.0</v>
      </c>
      <c r="Q102" s="22"/>
      <c r="R102" s="96"/>
      <c r="T102" s="97"/>
      <c r="V102" s="97"/>
      <c r="X102" s="97"/>
      <c r="Z102" s="97"/>
      <c r="AB102" s="97"/>
      <c r="AC102" s="22"/>
      <c r="AD102" s="104">
        <f t="shared" si="1"/>
        <v>1447.05</v>
      </c>
      <c r="AE102" s="102">
        <f t="shared" si="2"/>
        <v>55</v>
      </c>
      <c r="AF102" s="102">
        <f t="shared" si="3"/>
        <v>0</v>
      </c>
      <c r="AG102" s="102">
        <f t="shared" si="4"/>
        <v>55</v>
      </c>
      <c r="AH102" s="105">
        <f t="shared" si="5"/>
        <v>26.31</v>
      </c>
    </row>
    <row r="103" ht="15.75" customHeight="1">
      <c r="A103" s="100" t="s">
        <v>24</v>
      </c>
      <c r="B103" s="101">
        <f t="shared" si="6"/>
        <v>45756</v>
      </c>
      <c r="C103" s="102">
        <v>4.0</v>
      </c>
      <c r="D103" s="102" t="s">
        <v>30</v>
      </c>
      <c r="E103" s="103" t="s">
        <v>34</v>
      </c>
      <c r="F103" s="94">
        <v>0.0</v>
      </c>
      <c r="H103" s="95">
        <v>55.0</v>
      </c>
      <c r="J103" s="95">
        <v>55.0</v>
      </c>
      <c r="L103" s="95">
        <v>0.0</v>
      </c>
      <c r="N103" s="95">
        <v>0.0</v>
      </c>
      <c r="P103" s="95">
        <v>0.0</v>
      </c>
      <c r="Q103" s="22"/>
      <c r="R103" s="96"/>
      <c r="T103" s="97"/>
      <c r="V103" s="97"/>
      <c r="X103" s="97"/>
      <c r="Z103" s="97"/>
      <c r="AB103" s="97"/>
      <c r="AC103" s="22"/>
      <c r="AD103" s="104">
        <f t="shared" si="1"/>
        <v>2894.1</v>
      </c>
      <c r="AE103" s="102">
        <f t="shared" si="2"/>
        <v>110</v>
      </c>
      <c r="AF103" s="102">
        <f t="shared" si="3"/>
        <v>0</v>
      </c>
      <c r="AG103" s="102">
        <f t="shared" si="4"/>
        <v>110</v>
      </c>
      <c r="AH103" s="105">
        <f t="shared" si="5"/>
        <v>26.31</v>
      </c>
    </row>
    <row r="104" ht="15.75" customHeight="1">
      <c r="A104" s="100" t="s">
        <v>25</v>
      </c>
      <c r="B104" s="101">
        <f t="shared" si="6"/>
        <v>45757</v>
      </c>
      <c r="C104" s="102">
        <v>4.0</v>
      </c>
      <c r="D104" s="102" t="s">
        <v>30</v>
      </c>
      <c r="E104" s="103" t="s">
        <v>34</v>
      </c>
      <c r="F104" s="94">
        <v>0.0</v>
      </c>
      <c r="H104" s="95">
        <v>55.0</v>
      </c>
      <c r="J104" s="95">
        <v>0.0</v>
      </c>
      <c r="L104" s="95">
        <v>0.0</v>
      </c>
      <c r="N104" s="95">
        <v>0.0</v>
      </c>
      <c r="P104" s="95">
        <v>0.0</v>
      </c>
      <c r="Q104" s="22"/>
      <c r="R104" s="96"/>
      <c r="T104" s="97"/>
      <c r="V104" s="97"/>
      <c r="X104" s="97"/>
      <c r="Z104" s="97"/>
      <c r="AB104" s="97"/>
      <c r="AC104" s="22"/>
      <c r="AD104" s="104">
        <f t="shared" si="1"/>
        <v>1447.05</v>
      </c>
      <c r="AE104" s="102">
        <f t="shared" si="2"/>
        <v>55</v>
      </c>
      <c r="AF104" s="102">
        <f t="shared" si="3"/>
        <v>0</v>
      </c>
      <c r="AG104" s="102">
        <f t="shared" si="4"/>
        <v>55</v>
      </c>
      <c r="AH104" s="105">
        <f t="shared" si="5"/>
        <v>26.31</v>
      </c>
    </row>
    <row r="105" ht="15.75" customHeight="1">
      <c r="A105" s="100" t="s">
        <v>26</v>
      </c>
      <c r="B105" s="101">
        <f t="shared" si="6"/>
        <v>45758</v>
      </c>
      <c r="C105" s="102">
        <v>4.0</v>
      </c>
      <c r="D105" s="102" t="s">
        <v>30</v>
      </c>
      <c r="E105" s="103" t="s">
        <v>34</v>
      </c>
      <c r="F105" s="94">
        <v>0.0</v>
      </c>
      <c r="H105" s="95">
        <v>55.0</v>
      </c>
      <c r="J105" s="95">
        <v>0.0</v>
      </c>
      <c r="L105" s="95">
        <v>0.0</v>
      </c>
      <c r="N105" s="95">
        <v>0.0</v>
      </c>
      <c r="P105" s="95">
        <v>0.0</v>
      </c>
      <c r="Q105" s="22"/>
      <c r="R105" s="96"/>
      <c r="T105" s="97"/>
      <c r="V105" s="97"/>
      <c r="X105" s="97"/>
      <c r="Z105" s="97"/>
      <c r="AB105" s="97"/>
      <c r="AC105" s="22"/>
      <c r="AD105" s="104">
        <f t="shared" si="1"/>
        <v>1447.05</v>
      </c>
      <c r="AE105" s="102">
        <f t="shared" si="2"/>
        <v>55</v>
      </c>
      <c r="AF105" s="102">
        <f t="shared" si="3"/>
        <v>0</v>
      </c>
      <c r="AG105" s="102">
        <f t="shared" si="4"/>
        <v>55</v>
      </c>
      <c r="AH105" s="105">
        <f t="shared" si="5"/>
        <v>26.31</v>
      </c>
    </row>
    <row r="106" ht="15.75" customHeight="1">
      <c r="A106" s="100" t="s">
        <v>27</v>
      </c>
      <c r="B106" s="101">
        <f t="shared" si="6"/>
        <v>45759</v>
      </c>
      <c r="C106" s="102">
        <v>4.0</v>
      </c>
      <c r="D106" s="102" t="s">
        <v>30</v>
      </c>
      <c r="E106" s="103" t="s">
        <v>32</v>
      </c>
      <c r="F106" s="94">
        <v>55.0</v>
      </c>
      <c r="H106" s="95">
        <v>0.0</v>
      </c>
      <c r="J106" s="95">
        <v>55.0</v>
      </c>
      <c r="L106" s="95">
        <v>0.0</v>
      </c>
      <c r="N106" s="95">
        <v>0.0</v>
      </c>
      <c r="P106" s="95">
        <v>0.0</v>
      </c>
      <c r="Q106" s="22"/>
      <c r="R106" s="96"/>
      <c r="T106" s="97"/>
      <c r="V106" s="97"/>
      <c r="X106" s="97"/>
      <c r="Z106" s="97"/>
      <c r="AB106" s="97"/>
      <c r="AC106" s="22"/>
      <c r="AD106" s="104">
        <f t="shared" si="1"/>
        <v>2894.1</v>
      </c>
      <c r="AE106" s="102">
        <f t="shared" si="2"/>
        <v>110</v>
      </c>
      <c r="AF106" s="102">
        <f t="shared" si="3"/>
        <v>0</v>
      </c>
      <c r="AG106" s="102">
        <f t="shared" si="4"/>
        <v>110</v>
      </c>
      <c r="AH106" s="105">
        <f t="shared" si="5"/>
        <v>26.31</v>
      </c>
    </row>
    <row r="107" ht="15.75" customHeight="1">
      <c r="A107" s="106" t="s">
        <v>28</v>
      </c>
      <c r="B107" s="107">
        <f t="shared" si="6"/>
        <v>45760</v>
      </c>
      <c r="C107" s="108">
        <v>4.0</v>
      </c>
      <c r="D107" s="108" t="s">
        <v>30</v>
      </c>
      <c r="E107" s="109" t="s">
        <v>32</v>
      </c>
      <c r="F107" s="110">
        <v>55.0</v>
      </c>
      <c r="G107" s="35"/>
      <c r="H107" s="111">
        <v>0.0</v>
      </c>
      <c r="I107" s="35"/>
      <c r="J107" s="111">
        <v>0.0</v>
      </c>
      <c r="K107" s="35"/>
      <c r="L107" s="111">
        <v>0.0</v>
      </c>
      <c r="M107" s="35"/>
      <c r="N107" s="111">
        <v>0.0</v>
      </c>
      <c r="O107" s="35"/>
      <c r="P107" s="111">
        <v>0.0</v>
      </c>
      <c r="Q107" s="37"/>
      <c r="R107" s="112"/>
      <c r="S107" s="35"/>
      <c r="T107" s="113"/>
      <c r="U107" s="35"/>
      <c r="V107" s="113"/>
      <c r="W107" s="35"/>
      <c r="X107" s="113"/>
      <c r="Y107" s="35"/>
      <c r="Z107" s="113"/>
      <c r="AA107" s="35"/>
      <c r="AB107" s="113"/>
      <c r="AC107" s="37"/>
      <c r="AD107" s="114">
        <f t="shared" si="1"/>
        <v>1447.05</v>
      </c>
      <c r="AE107" s="108">
        <f t="shared" si="2"/>
        <v>55</v>
      </c>
      <c r="AF107" s="108">
        <f t="shared" si="3"/>
        <v>0</v>
      </c>
      <c r="AG107" s="108">
        <f t="shared" si="4"/>
        <v>55</v>
      </c>
      <c r="AH107" s="115">
        <f t="shared" si="5"/>
        <v>26.31</v>
      </c>
    </row>
    <row r="108" ht="15.75" customHeight="1">
      <c r="A108" s="116" t="s">
        <v>21</v>
      </c>
      <c r="B108" s="117">
        <f t="shared" si="6"/>
        <v>45761</v>
      </c>
      <c r="C108" s="87">
        <v>4.0</v>
      </c>
      <c r="D108" s="87" t="s">
        <v>31</v>
      </c>
      <c r="E108" s="118" t="s">
        <v>33</v>
      </c>
      <c r="F108" s="46"/>
      <c r="H108" s="47"/>
      <c r="J108" s="47"/>
      <c r="L108" s="47"/>
      <c r="N108" s="47"/>
      <c r="P108" s="47"/>
      <c r="Q108" s="22"/>
      <c r="R108" s="49"/>
      <c r="T108" s="48"/>
      <c r="V108" s="48"/>
      <c r="X108" s="48"/>
      <c r="Z108" s="48"/>
      <c r="AB108" s="48"/>
      <c r="AC108" s="22"/>
      <c r="AD108" s="86">
        <f t="shared" si="1"/>
        <v>0</v>
      </c>
      <c r="AE108" s="87">
        <f t="shared" si="2"/>
        <v>0</v>
      </c>
      <c r="AF108" s="87">
        <f t="shared" si="3"/>
        <v>0</v>
      </c>
      <c r="AG108" s="87">
        <f t="shared" si="4"/>
        <v>0</v>
      </c>
      <c r="AH108" s="119" t="str">
        <f t="shared" si="5"/>
        <v/>
      </c>
    </row>
    <row r="109" ht="15.75" customHeight="1">
      <c r="A109" s="120" t="s">
        <v>23</v>
      </c>
      <c r="B109" s="121">
        <f t="shared" si="6"/>
        <v>45762</v>
      </c>
      <c r="C109" s="51">
        <v>4.0</v>
      </c>
      <c r="D109" s="51" t="s">
        <v>31</v>
      </c>
      <c r="E109" s="122" t="s">
        <v>33</v>
      </c>
      <c r="F109" s="46"/>
      <c r="H109" s="47"/>
      <c r="J109" s="47"/>
      <c r="L109" s="47"/>
      <c r="N109" s="47"/>
      <c r="P109" s="47"/>
      <c r="Q109" s="22"/>
      <c r="R109" s="49"/>
      <c r="T109" s="48"/>
      <c r="V109" s="48"/>
      <c r="X109" s="48"/>
      <c r="Z109" s="48"/>
      <c r="AB109" s="48"/>
      <c r="AC109" s="22"/>
      <c r="AD109" s="50">
        <f t="shared" si="1"/>
        <v>0</v>
      </c>
      <c r="AE109" s="51">
        <f t="shared" si="2"/>
        <v>0</v>
      </c>
      <c r="AF109" s="51">
        <f t="shared" si="3"/>
        <v>0</v>
      </c>
      <c r="AG109" s="51">
        <f t="shared" si="4"/>
        <v>0</v>
      </c>
      <c r="AH109" s="123" t="str">
        <f t="shared" si="5"/>
        <v/>
      </c>
    </row>
    <row r="110" ht="15.75" customHeight="1">
      <c r="A110" s="120" t="s">
        <v>24</v>
      </c>
      <c r="B110" s="121">
        <f t="shared" si="6"/>
        <v>45763</v>
      </c>
      <c r="C110" s="51">
        <v>4.0</v>
      </c>
      <c r="D110" s="51" t="s">
        <v>31</v>
      </c>
      <c r="E110" s="122" t="s">
        <v>33</v>
      </c>
      <c r="F110" s="46"/>
      <c r="H110" s="47"/>
      <c r="J110" s="47"/>
      <c r="L110" s="47"/>
      <c r="N110" s="47"/>
      <c r="P110" s="47"/>
      <c r="Q110" s="22"/>
      <c r="R110" s="49"/>
      <c r="T110" s="48"/>
      <c r="V110" s="48"/>
      <c r="X110" s="48"/>
      <c r="Z110" s="48"/>
      <c r="AB110" s="48"/>
      <c r="AC110" s="22"/>
      <c r="AD110" s="50">
        <f t="shared" si="1"/>
        <v>0</v>
      </c>
      <c r="AE110" s="51">
        <f t="shared" si="2"/>
        <v>0</v>
      </c>
      <c r="AF110" s="51">
        <f t="shared" si="3"/>
        <v>0</v>
      </c>
      <c r="AG110" s="51">
        <f t="shared" si="4"/>
        <v>0</v>
      </c>
      <c r="AH110" s="123" t="str">
        <f t="shared" si="5"/>
        <v/>
      </c>
    </row>
    <row r="111" ht="15.75" customHeight="1">
      <c r="A111" s="120" t="s">
        <v>25</v>
      </c>
      <c r="B111" s="121">
        <f t="shared" si="6"/>
        <v>45764</v>
      </c>
      <c r="C111" s="51">
        <v>4.0</v>
      </c>
      <c r="D111" s="51" t="s">
        <v>31</v>
      </c>
      <c r="E111" s="122" t="s">
        <v>33</v>
      </c>
      <c r="F111" s="46"/>
      <c r="H111" s="47"/>
      <c r="J111" s="47"/>
      <c r="L111" s="47"/>
      <c r="N111" s="47"/>
      <c r="P111" s="47"/>
      <c r="Q111" s="22"/>
      <c r="R111" s="49"/>
      <c r="T111" s="48"/>
      <c r="V111" s="48"/>
      <c r="X111" s="48"/>
      <c r="Z111" s="48"/>
      <c r="AB111" s="48"/>
      <c r="AC111" s="22"/>
      <c r="AD111" s="50">
        <f t="shared" si="1"/>
        <v>0</v>
      </c>
      <c r="AE111" s="51">
        <f t="shared" si="2"/>
        <v>0</v>
      </c>
      <c r="AF111" s="51">
        <f t="shared" si="3"/>
        <v>0</v>
      </c>
      <c r="AG111" s="51">
        <f t="shared" si="4"/>
        <v>0</v>
      </c>
      <c r="AH111" s="123" t="str">
        <f t="shared" si="5"/>
        <v/>
      </c>
    </row>
    <row r="112" ht="15.75" customHeight="1">
      <c r="A112" s="120" t="s">
        <v>26</v>
      </c>
      <c r="B112" s="121">
        <f t="shared" si="6"/>
        <v>45765</v>
      </c>
      <c r="C112" s="51">
        <v>4.0</v>
      </c>
      <c r="D112" s="51" t="s">
        <v>31</v>
      </c>
      <c r="E112" s="122" t="s">
        <v>33</v>
      </c>
      <c r="F112" s="46"/>
      <c r="H112" s="47"/>
      <c r="J112" s="47"/>
      <c r="L112" s="47"/>
      <c r="N112" s="47"/>
      <c r="P112" s="47"/>
      <c r="Q112" s="22"/>
      <c r="R112" s="49"/>
      <c r="T112" s="48"/>
      <c r="V112" s="48"/>
      <c r="X112" s="48"/>
      <c r="Z112" s="48"/>
      <c r="AB112" s="48"/>
      <c r="AC112" s="22"/>
      <c r="AD112" s="50">
        <f t="shared" si="1"/>
        <v>0</v>
      </c>
      <c r="AE112" s="51">
        <f t="shared" si="2"/>
        <v>0</v>
      </c>
      <c r="AF112" s="51">
        <f t="shared" si="3"/>
        <v>0</v>
      </c>
      <c r="AG112" s="51">
        <f t="shared" si="4"/>
        <v>0</v>
      </c>
      <c r="AH112" s="123" t="str">
        <f t="shared" si="5"/>
        <v/>
      </c>
    </row>
    <row r="113" ht="15.75" customHeight="1">
      <c r="A113" s="120" t="s">
        <v>27</v>
      </c>
      <c r="B113" s="121">
        <f t="shared" si="6"/>
        <v>45766</v>
      </c>
      <c r="C113" s="51">
        <v>4.0</v>
      </c>
      <c r="D113" s="51" t="s">
        <v>31</v>
      </c>
      <c r="E113" s="122" t="s">
        <v>33</v>
      </c>
      <c r="F113" s="46"/>
      <c r="H113" s="47"/>
      <c r="J113" s="47"/>
      <c r="L113" s="47"/>
      <c r="N113" s="47"/>
      <c r="P113" s="47"/>
      <c r="Q113" s="22"/>
      <c r="R113" s="49"/>
      <c r="T113" s="48"/>
      <c r="V113" s="48"/>
      <c r="X113" s="48"/>
      <c r="Z113" s="48"/>
      <c r="AB113" s="48"/>
      <c r="AC113" s="22"/>
      <c r="AD113" s="50">
        <f t="shared" si="1"/>
        <v>0</v>
      </c>
      <c r="AE113" s="51">
        <f t="shared" si="2"/>
        <v>0</v>
      </c>
      <c r="AF113" s="51">
        <f t="shared" si="3"/>
        <v>0</v>
      </c>
      <c r="AG113" s="51">
        <f t="shared" si="4"/>
        <v>0</v>
      </c>
      <c r="AH113" s="123" t="str">
        <f t="shared" si="5"/>
        <v/>
      </c>
    </row>
    <row r="114" ht="15.75" customHeight="1">
      <c r="A114" s="124" t="s">
        <v>28</v>
      </c>
      <c r="B114" s="125">
        <f t="shared" si="6"/>
        <v>45767</v>
      </c>
      <c r="C114" s="57">
        <v>4.0</v>
      </c>
      <c r="D114" s="57" t="s">
        <v>31</v>
      </c>
      <c r="E114" s="126" t="s">
        <v>33</v>
      </c>
      <c r="F114" s="53"/>
      <c r="G114" s="35"/>
      <c r="H114" s="53"/>
      <c r="I114" s="35"/>
      <c r="J114" s="53"/>
      <c r="K114" s="35"/>
      <c r="L114" s="53"/>
      <c r="M114" s="35"/>
      <c r="N114" s="53"/>
      <c r="O114" s="35"/>
      <c r="P114" s="53"/>
      <c r="Q114" s="37"/>
      <c r="R114" s="55"/>
      <c r="S114" s="35"/>
      <c r="T114" s="54"/>
      <c r="U114" s="35"/>
      <c r="V114" s="54"/>
      <c r="W114" s="35"/>
      <c r="X114" s="54"/>
      <c r="Y114" s="35"/>
      <c r="Z114" s="54"/>
      <c r="AA114" s="35"/>
      <c r="AB114" s="54"/>
      <c r="AC114" s="37"/>
      <c r="AD114" s="56">
        <f t="shared" si="1"/>
        <v>0</v>
      </c>
      <c r="AE114" s="57">
        <f t="shared" si="2"/>
        <v>0</v>
      </c>
      <c r="AF114" s="57">
        <f t="shared" si="3"/>
        <v>0</v>
      </c>
      <c r="AG114" s="57">
        <f t="shared" si="4"/>
        <v>0</v>
      </c>
      <c r="AH114" s="127" t="str">
        <f t="shared" si="5"/>
        <v/>
      </c>
    </row>
    <row r="115" ht="15.75" customHeight="1">
      <c r="A115" s="116" t="s">
        <v>21</v>
      </c>
      <c r="B115" s="117">
        <f t="shared" si="6"/>
        <v>45768</v>
      </c>
      <c r="C115" s="87">
        <v>5.0</v>
      </c>
      <c r="D115" s="87" t="s">
        <v>22</v>
      </c>
      <c r="E115" s="118" t="s">
        <v>33</v>
      </c>
      <c r="F115" s="94">
        <v>0.0</v>
      </c>
      <c r="H115" s="95">
        <v>0.0</v>
      </c>
      <c r="J115" s="95">
        <v>0.0</v>
      </c>
      <c r="L115" s="95">
        <v>0.0</v>
      </c>
      <c r="N115" s="95">
        <v>0.0</v>
      </c>
      <c r="P115" s="95">
        <v>0.0</v>
      </c>
      <c r="Q115" s="22"/>
      <c r="R115" s="96"/>
      <c r="T115" s="97"/>
      <c r="V115" s="97"/>
      <c r="X115" s="97"/>
      <c r="Z115" s="97"/>
      <c r="AB115" s="97"/>
      <c r="AC115" s="22"/>
      <c r="AD115" s="86">
        <f t="shared" si="1"/>
        <v>0</v>
      </c>
      <c r="AE115" s="87">
        <f t="shared" si="2"/>
        <v>0</v>
      </c>
      <c r="AF115" s="87">
        <f t="shared" si="3"/>
        <v>0</v>
      </c>
      <c r="AG115" s="87">
        <f t="shared" si="4"/>
        <v>0</v>
      </c>
      <c r="AH115" s="119" t="str">
        <f t="shared" si="5"/>
        <v/>
      </c>
    </row>
    <row r="116" ht="15.75" customHeight="1">
      <c r="A116" s="120" t="s">
        <v>23</v>
      </c>
      <c r="B116" s="121">
        <f t="shared" si="6"/>
        <v>45769</v>
      </c>
      <c r="C116" s="51">
        <v>5.0</v>
      </c>
      <c r="D116" s="51" t="s">
        <v>22</v>
      </c>
      <c r="E116" s="122" t="s">
        <v>34</v>
      </c>
      <c r="F116" s="94">
        <v>0.0</v>
      </c>
      <c r="H116" s="95">
        <v>50.0</v>
      </c>
      <c r="J116" s="95">
        <v>55.0</v>
      </c>
      <c r="L116" s="95">
        <v>0.0</v>
      </c>
      <c r="N116" s="95">
        <v>0.0</v>
      </c>
      <c r="P116" s="95">
        <v>0.0</v>
      </c>
      <c r="Q116" s="22"/>
      <c r="R116" s="96"/>
      <c r="T116" s="97"/>
      <c r="V116" s="97"/>
      <c r="X116" s="97"/>
      <c r="Z116" s="97"/>
      <c r="AB116" s="97"/>
      <c r="AC116" s="22"/>
      <c r="AD116" s="50">
        <f t="shared" si="1"/>
        <v>2762.55</v>
      </c>
      <c r="AE116" s="51">
        <f t="shared" si="2"/>
        <v>105</v>
      </c>
      <c r="AF116" s="51">
        <f t="shared" si="3"/>
        <v>0</v>
      </c>
      <c r="AG116" s="51">
        <f t="shared" si="4"/>
        <v>105</v>
      </c>
      <c r="AH116" s="123">
        <f t="shared" si="5"/>
        <v>26.31</v>
      </c>
    </row>
    <row r="117" ht="15.75" customHeight="1">
      <c r="A117" s="120" t="s">
        <v>24</v>
      </c>
      <c r="B117" s="121">
        <f t="shared" si="6"/>
        <v>45770</v>
      </c>
      <c r="C117" s="51">
        <v>5.0</v>
      </c>
      <c r="D117" s="51" t="s">
        <v>22</v>
      </c>
      <c r="E117" s="122" t="s">
        <v>34</v>
      </c>
      <c r="F117" s="94">
        <v>0.0</v>
      </c>
      <c r="H117" s="95">
        <v>50.0</v>
      </c>
      <c r="J117" s="95">
        <v>55.0</v>
      </c>
      <c r="L117" s="95">
        <v>0.0</v>
      </c>
      <c r="N117" s="95">
        <v>0.0</v>
      </c>
      <c r="P117" s="95">
        <v>0.0</v>
      </c>
      <c r="Q117" s="22"/>
      <c r="R117" s="96"/>
      <c r="T117" s="97"/>
      <c r="V117" s="97"/>
      <c r="X117" s="97"/>
      <c r="Z117" s="97"/>
      <c r="AB117" s="97"/>
      <c r="AC117" s="22"/>
      <c r="AD117" s="50">
        <f t="shared" si="1"/>
        <v>2762.55</v>
      </c>
      <c r="AE117" s="51">
        <f t="shared" si="2"/>
        <v>105</v>
      </c>
      <c r="AF117" s="51">
        <f t="shared" si="3"/>
        <v>0</v>
      </c>
      <c r="AG117" s="51">
        <f t="shared" si="4"/>
        <v>105</v>
      </c>
      <c r="AH117" s="123">
        <f t="shared" si="5"/>
        <v>26.31</v>
      </c>
    </row>
    <row r="118" ht="15.75" customHeight="1">
      <c r="A118" s="120" t="s">
        <v>25</v>
      </c>
      <c r="B118" s="121">
        <f t="shared" si="6"/>
        <v>45771</v>
      </c>
      <c r="C118" s="51">
        <v>5.0</v>
      </c>
      <c r="D118" s="51" t="s">
        <v>22</v>
      </c>
      <c r="E118" s="122" t="s">
        <v>34</v>
      </c>
      <c r="F118" s="94">
        <v>0.0</v>
      </c>
      <c r="H118" s="95">
        <v>50.0</v>
      </c>
      <c r="J118" s="95">
        <v>0.0</v>
      </c>
      <c r="L118" s="95">
        <v>0.0</v>
      </c>
      <c r="N118" s="95">
        <v>0.0</v>
      </c>
      <c r="P118" s="95">
        <v>0.0</v>
      </c>
      <c r="Q118" s="22"/>
      <c r="R118" s="96"/>
      <c r="T118" s="97"/>
      <c r="V118" s="97"/>
      <c r="X118" s="97"/>
      <c r="Z118" s="97"/>
      <c r="AB118" s="97"/>
      <c r="AC118" s="22"/>
      <c r="AD118" s="50">
        <f t="shared" si="1"/>
        <v>1315.5</v>
      </c>
      <c r="AE118" s="51">
        <f t="shared" si="2"/>
        <v>50</v>
      </c>
      <c r="AF118" s="51">
        <f t="shared" si="3"/>
        <v>0</v>
      </c>
      <c r="AG118" s="51">
        <f t="shared" si="4"/>
        <v>50</v>
      </c>
      <c r="AH118" s="123">
        <f t="shared" si="5"/>
        <v>26.31</v>
      </c>
    </row>
    <row r="119" ht="15.75" customHeight="1">
      <c r="A119" s="120" t="s">
        <v>26</v>
      </c>
      <c r="B119" s="121">
        <f t="shared" si="6"/>
        <v>45772</v>
      </c>
      <c r="C119" s="51">
        <v>5.0</v>
      </c>
      <c r="D119" s="51" t="s">
        <v>22</v>
      </c>
      <c r="E119" s="122" t="s">
        <v>35</v>
      </c>
      <c r="F119" s="94">
        <v>0.0</v>
      </c>
      <c r="H119" s="95">
        <v>50.0</v>
      </c>
      <c r="J119" s="95">
        <v>55.0</v>
      </c>
      <c r="L119" s="95">
        <v>0.0</v>
      </c>
      <c r="N119" s="95">
        <v>0.0</v>
      </c>
      <c r="P119" s="95">
        <v>0.0</v>
      </c>
      <c r="Q119" s="22"/>
      <c r="R119" s="96"/>
      <c r="T119" s="97"/>
      <c r="V119" s="97"/>
      <c r="X119" s="97"/>
      <c r="Z119" s="97"/>
      <c r="AB119" s="97"/>
      <c r="AC119" s="22"/>
      <c r="AD119" s="50">
        <f t="shared" si="1"/>
        <v>2762.55</v>
      </c>
      <c r="AE119" s="51">
        <f t="shared" si="2"/>
        <v>105</v>
      </c>
      <c r="AF119" s="51">
        <f t="shared" si="3"/>
        <v>0</v>
      </c>
      <c r="AG119" s="51">
        <f t="shared" si="4"/>
        <v>105</v>
      </c>
      <c r="AH119" s="123">
        <f t="shared" si="5"/>
        <v>26.31</v>
      </c>
    </row>
    <row r="120" ht="15.75" customHeight="1">
      <c r="A120" s="120" t="s">
        <v>27</v>
      </c>
      <c r="B120" s="121">
        <f t="shared" si="6"/>
        <v>45773</v>
      </c>
      <c r="C120" s="51">
        <v>5.0</v>
      </c>
      <c r="D120" s="51" t="s">
        <v>22</v>
      </c>
      <c r="E120" s="122" t="s">
        <v>32</v>
      </c>
      <c r="F120" s="94">
        <v>50.0</v>
      </c>
      <c r="H120" s="95">
        <v>0.0</v>
      </c>
      <c r="J120" s="95">
        <v>55.0</v>
      </c>
      <c r="L120" s="95">
        <v>0.0</v>
      </c>
      <c r="N120" s="95">
        <v>0.0</v>
      </c>
      <c r="P120" s="95">
        <v>0.0</v>
      </c>
      <c r="Q120" s="22"/>
      <c r="R120" s="96"/>
      <c r="T120" s="97"/>
      <c r="V120" s="97"/>
      <c r="X120" s="97"/>
      <c r="Z120" s="97"/>
      <c r="AB120" s="97"/>
      <c r="AC120" s="22"/>
      <c r="AD120" s="50">
        <f t="shared" si="1"/>
        <v>2762.55</v>
      </c>
      <c r="AE120" s="51">
        <f t="shared" si="2"/>
        <v>105</v>
      </c>
      <c r="AF120" s="51">
        <f t="shared" si="3"/>
        <v>0</v>
      </c>
      <c r="AG120" s="51">
        <f t="shared" si="4"/>
        <v>105</v>
      </c>
      <c r="AH120" s="123">
        <f t="shared" si="5"/>
        <v>26.31</v>
      </c>
    </row>
    <row r="121" ht="15.75" customHeight="1">
      <c r="A121" s="124" t="s">
        <v>28</v>
      </c>
      <c r="B121" s="125">
        <f t="shared" si="6"/>
        <v>45774</v>
      </c>
      <c r="C121" s="57">
        <v>5.0</v>
      </c>
      <c r="D121" s="57" t="s">
        <v>22</v>
      </c>
      <c r="E121" s="126" t="s">
        <v>32</v>
      </c>
      <c r="F121" s="110">
        <v>50.0</v>
      </c>
      <c r="G121" s="35"/>
      <c r="H121" s="111">
        <v>0.0</v>
      </c>
      <c r="I121" s="35"/>
      <c r="J121" s="111">
        <v>0.0</v>
      </c>
      <c r="K121" s="35"/>
      <c r="L121" s="111">
        <v>0.0</v>
      </c>
      <c r="M121" s="35"/>
      <c r="N121" s="111">
        <v>0.0</v>
      </c>
      <c r="O121" s="35"/>
      <c r="P121" s="111">
        <v>0.0</v>
      </c>
      <c r="Q121" s="37"/>
      <c r="R121" s="112"/>
      <c r="S121" s="35"/>
      <c r="T121" s="113"/>
      <c r="U121" s="35"/>
      <c r="V121" s="113"/>
      <c r="W121" s="35"/>
      <c r="X121" s="113"/>
      <c r="Y121" s="35"/>
      <c r="Z121" s="113"/>
      <c r="AA121" s="35"/>
      <c r="AB121" s="113"/>
      <c r="AC121" s="37"/>
      <c r="AD121" s="56">
        <f t="shared" si="1"/>
        <v>1315.5</v>
      </c>
      <c r="AE121" s="57">
        <f t="shared" si="2"/>
        <v>50</v>
      </c>
      <c r="AF121" s="57">
        <f t="shared" si="3"/>
        <v>0</v>
      </c>
      <c r="AG121" s="57">
        <f t="shared" si="4"/>
        <v>50</v>
      </c>
      <c r="AH121" s="127">
        <f t="shared" si="5"/>
        <v>26.31</v>
      </c>
    </row>
    <row r="122" ht="15.75" customHeight="1">
      <c r="A122" s="116" t="s">
        <v>21</v>
      </c>
      <c r="B122" s="117">
        <f t="shared" si="6"/>
        <v>45775</v>
      </c>
      <c r="C122" s="87">
        <v>5.0</v>
      </c>
      <c r="D122" s="87" t="s">
        <v>29</v>
      </c>
      <c r="E122" s="118" t="s">
        <v>33</v>
      </c>
      <c r="F122" s="46"/>
      <c r="H122" s="47"/>
      <c r="J122" s="47"/>
      <c r="L122" s="47"/>
      <c r="N122" s="47"/>
      <c r="P122" s="47"/>
      <c r="Q122" s="22"/>
      <c r="R122" s="49"/>
      <c r="T122" s="48"/>
      <c r="V122" s="48"/>
      <c r="X122" s="48"/>
      <c r="Z122" s="48"/>
      <c r="AB122" s="48"/>
      <c r="AC122" s="22"/>
      <c r="AD122" s="86">
        <f t="shared" si="1"/>
        <v>0</v>
      </c>
      <c r="AE122" s="87">
        <f t="shared" si="2"/>
        <v>0</v>
      </c>
      <c r="AF122" s="87">
        <f t="shared" si="3"/>
        <v>0</v>
      </c>
      <c r="AG122" s="87">
        <f t="shared" si="4"/>
        <v>0</v>
      </c>
      <c r="AH122" s="119" t="str">
        <f t="shared" si="5"/>
        <v/>
      </c>
    </row>
    <row r="123" ht="15.75" customHeight="1">
      <c r="A123" s="120" t="s">
        <v>23</v>
      </c>
      <c r="B123" s="121">
        <f t="shared" si="6"/>
        <v>45776</v>
      </c>
      <c r="C123" s="51">
        <v>5.0</v>
      </c>
      <c r="D123" s="51" t="s">
        <v>29</v>
      </c>
      <c r="E123" s="122" t="s">
        <v>33</v>
      </c>
      <c r="F123" s="46"/>
      <c r="H123" s="47"/>
      <c r="J123" s="47"/>
      <c r="L123" s="47"/>
      <c r="N123" s="47"/>
      <c r="P123" s="47"/>
      <c r="Q123" s="22"/>
      <c r="R123" s="49"/>
      <c r="T123" s="48"/>
      <c r="V123" s="48"/>
      <c r="X123" s="48"/>
      <c r="Z123" s="48"/>
      <c r="AB123" s="48"/>
      <c r="AC123" s="22"/>
      <c r="AD123" s="50">
        <f t="shared" si="1"/>
        <v>0</v>
      </c>
      <c r="AE123" s="51">
        <f t="shared" si="2"/>
        <v>0</v>
      </c>
      <c r="AF123" s="51">
        <f t="shared" si="3"/>
        <v>0</v>
      </c>
      <c r="AG123" s="51">
        <f t="shared" si="4"/>
        <v>0</v>
      </c>
      <c r="AH123" s="123" t="str">
        <f t="shared" si="5"/>
        <v/>
      </c>
    </row>
    <row r="124" ht="15.75" customHeight="1">
      <c r="A124" s="120" t="s">
        <v>24</v>
      </c>
      <c r="B124" s="121">
        <f t="shared" si="6"/>
        <v>45777</v>
      </c>
      <c r="C124" s="51">
        <v>5.0</v>
      </c>
      <c r="D124" s="51" t="s">
        <v>29</v>
      </c>
      <c r="E124" s="122" t="s">
        <v>33</v>
      </c>
      <c r="F124" s="46"/>
      <c r="H124" s="47"/>
      <c r="J124" s="47"/>
      <c r="L124" s="47"/>
      <c r="N124" s="47"/>
      <c r="P124" s="47"/>
      <c r="Q124" s="22"/>
      <c r="R124" s="49"/>
      <c r="T124" s="48"/>
      <c r="V124" s="48"/>
      <c r="X124" s="48"/>
      <c r="Z124" s="48"/>
      <c r="AB124" s="48"/>
      <c r="AC124" s="22"/>
      <c r="AD124" s="50">
        <f t="shared" si="1"/>
        <v>0</v>
      </c>
      <c r="AE124" s="51">
        <f t="shared" si="2"/>
        <v>0</v>
      </c>
      <c r="AF124" s="51">
        <f t="shared" si="3"/>
        <v>0</v>
      </c>
      <c r="AG124" s="51">
        <f t="shared" si="4"/>
        <v>0</v>
      </c>
      <c r="AH124" s="123" t="str">
        <f t="shared" si="5"/>
        <v/>
      </c>
    </row>
    <row r="125" ht="15.75" customHeight="1">
      <c r="A125" s="120" t="s">
        <v>25</v>
      </c>
      <c r="B125" s="121">
        <f t="shared" si="6"/>
        <v>45778</v>
      </c>
      <c r="C125" s="51">
        <v>5.0</v>
      </c>
      <c r="D125" s="51" t="s">
        <v>29</v>
      </c>
      <c r="E125" s="122" t="s">
        <v>33</v>
      </c>
      <c r="F125" s="46"/>
      <c r="H125" s="47"/>
      <c r="J125" s="47"/>
      <c r="L125" s="47"/>
      <c r="N125" s="47"/>
      <c r="P125" s="47"/>
      <c r="Q125" s="22"/>
      <c r="R125" s="49"/>
      <c r="T125" s="48"/>
      <c r="V125" s="48"/>
      <c r="X125" s="48"/>
      <c r="Z125" s="48"/>
      <c r="AB125" s="48"/>
      <c r="AC125" s="22"/>
      <c r="AD125" s="50">
        <f t="shared" si="1"/>
        <v>0</v>
      </c>
      <c r="AE125" s="51">
        <f t="shared" si="2"/>
        <v>0</v>
      </c>
      <c r="AF125" s="51">
        <f t="shared" si="3"/>
        <v>0</v>
      </c>
      <c r="AG125" s="51">
        <f t="shared" si="4"/>
        <v>0</v>
      </c>
      <c r="AH125" s="123" t="str">
        <f t="shared" si="5"/>
        <v/>
      </c>
    </row>
    <row r="126" ht="15.75" customHeight="1">
      <c r="A126" s="120" t="s">
        <v>26</v>
      </c>
      <c r="B126" s="121">
        <f t="shared" si="6"/>
        <v>45779</v>
      </c>
      <c r="C126" s="51">
        <v>5.0</v>
      </c>
      <c r="D126" s="51" t="s">
        <v>29</v>
      </c>
      <c r="E126" s="122" t="s">
        <v>33</v>
      </c>
      <c r="F126" s="46"/>
      <c r="H126" s="47"/>
      <c r="J126" s="47"/>
      <c r="L126" s="47"/>
      <c r="N126" s="47"/>
      <c r="P126" s="47"/>
      <c r="Q126" s="22"/>
      <c r="R126" s="49"/>
      <c r="T126" s="48"/>
      <c r="V126" s="48"/>
      <c r="X126" s="48"/>
      <c r="Z126" s="48"/>
      <c r="AB126" s="48"/>
      <c r="AC126" s="22"/>
      <c r="AD126" s="50">
        <f t="shared" si="1"/>
        <v>0</v>
      </c>
      <c r="AE126" s="51">
        <f t="shared" si="2"/>
        <v>0</v>
      </c>
      <c r="AF126" s="51">
        <f t="shared" si="3"/>
        <v>0</v>
      </c>
      <c r="AG126" s="51">
        <f t="shared" si="4"/>
        <v>0</v>
      </c>
      <c r="AH126" s="123" t="str">
        <f t="shared" si="5"/>
        <v/>
      </c>
    </row>
    <row r="127" ht="15.75" customHeight="1">
      <c r="A127" s="120" t="s">
        <v>27</v>
      </c>
      <c r="B127" s="121">
        <f t="shared" si="6"/>
        <v>45780</v>
      </c>
      <c r="C127" s="51">
        <v>5.0</v>
      </c>
      <c r="D127" s="51" t="s">
        <v>29</v>
      </c>
      <c r="E127" s="122" t="s">
        <v>33</v>
      </c>
      <c r="F127" s="46"/>
      <c r="H127" s="47"/>
      <c r="J127" s="47"/>
      <c r="L127" s="47"/>
      <c r="N127" s="47"/>
      <c r="P127" s="47"/>
      <c r="Q127" s="22"/>
      <c r="R127" s="49"/>
      <c r="T127" s="48"/>
      <c r="V127" s="48"/>
      <c r="X127" s="48"/>
      <c r="Z127" s="48"/>
      <c r="AB127" s="48"/>
      <c r="AC127" s="22"/>
      <c r="AD127" s="50">
        <f t="shared" si="1"/>
        <v>0</v>
      </c>
      <c r="AE127" s="51">
        <f t="shared" si="2"/>
        <v>0</v>
      </c>
      <c r="AF127" s="51">
        <f t="shared" si="3"/>
        <v>0</v>
      </c>
      <c r="AG127" s="51">
        <f t="shared" si="4"/>
        <v>0</v>
      </c>
      <c r="AH127" s="123" t="str">
        <f t="shared" si="5"/>
        <v/>
      </c>
    </row>
    <row r="128" ht="15.75" customHeight="1">
      <c r="A128" s="124" t="s">
        <v>28</v>
      </c>
      <c r="B128" s="125">
        <f t="shared" si="6"/>
        <v>45781</v>
      </c>
      <c r="C128" s="57">
        <v>5.0</v>
      </c>
      <c r="D128" s="57" t="s">
        <v>29</v>
      </c>
      <c r="E128" s="126" t="s">
        <v>33</v>
      </c>
      <c r="F128" s="53"/>
      <c r="G128" s="35"/>
      <c r="H128" s="53"/>
      <c r="I128" s="35"/>
      <c r="J128" s="53"/>
      <c r="K128" s="35"/>
      <c r="L128" s="53"/>
      <c r="M128" s="35"/>
      <c r="N128" s="53"/>
      <c r="O128" s="35"/>
      <c r="P128" s="53"/>
      <c r="Q128" s="37"/>
      <c r="R128" s="55"/>
      <c r="S128" s="35"/>
      <c r="T128" s="54"/>
      <c r="U128" s="35"/>
      <c r="V128" s="54"/>
      <c r="W128" s="35"/>
      <c r="X128" s="54"/>
      <c r="Y128" s="35"/>
      <c r="Z128" s="54"/>
      <c r="AA128" s="35"/>
      <c r="AB128" s="54"/>
      <c r="AC128" s="37"/>
      <c r="AD128" s="56">
        <f t="shared" si="1"/>
        <v>0</v>
      </c>
      <c r="AE128" s="57">
        <f t="shared" si="2"/>
        <v>0</v>
      </c>
      <c r="AF128" s="57">
        <f t="shared" si="3"/>
        <v>0</v>
      </c>
      <c r="AG128" s="57">
        <f t="shared" si="4"/>
        <v>0</v>
      </c>
      <c r="AH128" s="127" t="str">
        <f t="shared" si="5"/>
        <v/>
      </c>
    </row>
    <row r="129" ht="15.75" customHeight="1">
      <c r="A129" s="116" t="s">
        <v>21</v>
      </c>
      <c r="B129" s="117">
        <f t="shared" si="6"/>
        <v>45782</v>
      </c>
      <c r="C129" s="87">
        <v>5.0</v>
      </c>
      <c r="D129" s="87" t="s">
        <v>30</v>
      </c>
      <c r="E129" s="118" t="s">
        <v>33</v>
      </c>
      <c r="F129" s="46"/>
      <c r="H129" s="47"/>
      <c r="J129" s="47"/>
      <c r="L129" s="47"/>
      <c r="N129" s="47"/>
      <c r="P129" s="47"/>
      <c r="Q129" s="22"/>
      <c r="R129" s="49"/>
      <c r="T129" s="48"/>
      <c r="V129" s="48"/>
      <c r="X129" s="48"/>
      <c r="Z129" s="48"/>
      <c r="AB129" s="48"/>
      <c r="AC129" s="22"/>
      <c r="AD129" s="86">
        <f t="shared" si="1"/>
        <v>0</v>
      </c>
      <c r="AE129" s="87">
        <f t="shared" si="2"/>
        <v>0</v>
      </c>
      <c r="AF129" s="87">
        <f t="shared" si="3"/>
        <v>0</v>
      </c>
      <c r="AG129" s="87">
        <f t="shared" si="4"/>
        <v>0</v>
      </c>
      <c r="AH129" s="119" t="str">
        <f t="shared" si="5"/>
        <v/>
      </c>
    </row>
    <row r="130" ht="15.75" customHeight="1">
      <c r="A130" s="120" t="s">
        <v>23</v>
      </c>
      <c r="B130" s="121">
        <f t="shared" si="6"/>
        <v>45783</v>
      </c>
      <c r="C130" s="51">
        <v>5.0</v>
      </c>
      <c r="D130" s="51" t="s">
        <v>30</v>
      </c>
      <c r="E130" s="122" t="s">
        <v>33</v>
      </c>
      <c r="F130" s="46"/>
      <c r="H130" s="47"/>
      <c r="J130" s="47"/>
      <c r="L130" s="47"/>
      <c r="N130" s="47"/>
      <c r="P130" s="47"/>
      <c r="Q130" s="22"/>
      <c r="R130" s="49"/>
      <c r="T130" s="48"/>
      <c r="V130" s="48"/>
      <c r="X130" s="48"/>
      <c r="Z130" s="48"/>
      <c r="AB130" s="48"/>
      <c r="AC130" s="22"/>
      <c r="AD130" s="50">
        <f t="shared" si="1"/>
        <v>0</v>
      </c>
      <c r="AE130" s="51">
        <f t="shared" si="2"/>
        <v>0</v>
      </c>
      <c r="AF130" s="51">
        <f t="shared" si="3"/>
        <v>0</v>
      </c>
      <c r="AG130" s="51">
        <f t="shared" si="4"/>
        <v>0</v>
      </c>
      <c r="AH130" s="123" t="str">
        <f t="shared" si="5"/>
        <v/>
      </c>
    </row>
    <row r="131" ht="15.75" customHeight="1">
      <c r="A131" s="120" t="s">
        <v>24</v>
      </c>
      <c r="B131" s="121">
        <f t="shared" si="6"/>
        <v>45784</v>
      </c>
      <c r="C131" s="51">
        <v>5.0</v>
      </c>
      <c r="D131" s="51" t="s">
        <v>30</v>
      </c>
      <c r="E131" s="122" t="s">
        <v>33</v>
      </c>
      <c r="F131" s="46"/>
      <c r="H131" s="47"/>
      <c r="J131" s="47"/>
      <c r="L131" s="47"/>
      <c r="N131" s="47"/>
      <c r="P131" s="47"/>
      <c r="Q131" s="22"/>
      <c r="R131" s="49"/>
      <c r="T131" s="48"/>
      <c r="V131" s="48"/>
      <c r="X131" s="48"/>
      <c r="Z131" s="48"/>
      <c r="AB131" s="48"/>
      <c r="AC131" s="22"/>
      <c r="AD131" s="50">
        <f t="shared" si="1"/>
        <v>0</v>
      </c>
      <c r="AE131" s="51">
        <f t="shared" si="2"/>
        <v>0</v>
      </c>
      <c r="AF131" s="51">
        <f t="shared" si="3"/>
        <v>0</v>
      </c>
      <c r="AG131" s="51">
        <f t="shared" si="4"/>
        <v>0</v>
      </c>
      <c r="AH131" s="123" t="str">
        <f t="shared" si="5"/>
        <v/>
      </c>
    </row>
    <row r="132" ht="15.75" customHeight="1">
      <c r="A132" s="120" t="s">
        <v>25</v>
      </c>
      <c r="B132" s="121">
        <f t="shared" si="6"/>
        <v>45785</v>
      </c>
      <c r="C132" s="51">
        <v>5.0</v>
      </c>
      <c r="D132" s="51" t="s">
        <v>30</v>
      </c>
      <c r="E132" s="122" t="s">
        <v>33</v>
      </c>
      <c r="F132" s="46"/>
      <c r="H132" s="47"/>
      <c r="J132" s="47"/>
      <c r="L132" s="47"/>
      <c r="N132" s="47"/>
      <c r="P132" s="47"/>
      <c r="Q132" s="22"/>
      <c r="R132" s="49"/>
      <c r="T132" s="48"/>
      <c r="V132" s="48"/>
      <c r="X132" s="48"/>
      <c r="Z132" s="48"/>
      <c r="AB132" s="48"/>
      <c r="AC132" s="22"/>
      <c r="AD132" s="50">
        <f t="shared" si="1"/>
        <v>0</v>
      </c>
      <c r="AE132" s="51">
        <f t="shared" si="2"/>
        <v>0</v>
      </c>
      <c r="AF132" s="51">
        <f t="shared" si="3"/>
        <v>0</v>
      </c>
      <c r="AG132" s="51">
        <f t="shared" si="4"/>
        <v>0</v>
      </c>
      <c r="AH132" s="123" t="str">
        <f t="shared" si="5"/>
        <v/>
      </c>
    </row>
    <row r="133" ht="15.75" customHeight="1">
      <c r="A133" s="120" t="s">
        <v>26</v>
      </c>
      <c r="B133" s="121">
        <f t="shared" si="6"/>
        <v>45786</v>
      </c>
      <c r="C133" s="51">
        <v>5.0</v>
      </c>
      <c r="D133" s="51" t="s">
        <v>30</v>
      </c>
      <c r="E133" s="122" t="s">
        <v>33</v>
      </c>
      <c r="F133" s="46"/>
      <c r="H133" s="47"/>
      <c r="J133" s="47"/>
      <c r="L133" s="47"/>
      <c r="N133" s="47"/>
      <c r="P133" s="47"/>
      <c r="Q133" s="22"/>
      <c r="R133" s="49"/>
      <c r="T133" s="48"/>
      <c r="V133" s="48"/>
      <c r="X133" s="48"/>
      <c r="Z133" s="48"/>
      <c r="AB133" s="48"/>
      <c r="AC133" s="22"/>
      <c r="AD133" s="50">
        <f t="shared" si="1"/>
        <v>0</v>
      </c>
      <c r="AE133" s="51">
        <f t="shared" si="2"/>
        <v>0</v>
      </c>
      <c r="AF133" s="51">
        <f t="shared" si="3"/>
        <v>0</v>
      </c>
      <c r="AG133" s="51">
        <f t="shared" si="4"/>
        <v>0</v>
      </c>
      <c r="AH133" s="123" t="str">
        <f t="shared" si="5"/>
        <v/>
      </c>
    </row>
    <row r="134" ht="15.75" customHeight="1">
      <c r="A134" s="120" t="s">
        <v>27</v>
      </c>
      <c r="B134" s="121">
        <f t="shared" si="6"/>
        <v>45787</v>
      </c>
      <c r="C134" s="51">
        <v>5.0</v>
      </c>
      <c r="D134" s="51" t="s">
        <v>30</v>
      </c>
      <c r="E134" s="122" t="s">
        <v>33</v>
      </c>
      <c r="F134" s="46"/>
      <c r="H134" s="47"/>
      <c r="J134" s="47"/>
      <c r="L134" s="47"/>
      <c r="N134" s="47"/>
      <c r="P134" s="47"/>
      <c r="Q134" s="22"/>
      <c r="R134" s="49"/>
      <c r="T134" s="48"/>
      <c r="V134" s="48"/>
      <c r="X134" s="48"/>
      <c r="Z134" s="48"/>
      <c r="AB134" s="48"/>
      <c r="AC134" s="22"/>
      <c r="AD134" s="50">
        <f t="shared" si="1"/>
        <v>0</v>
      </c>
      <c r="AE134" s="51">
        <f t="shared" si="2"/>
        <v>0</v>
      </c>
      <c r="AF134" s="51">
        <f t="shared" si="3"/>
        <v>0</v>
      </c>
      <c r="AG134" s="51">
        <f t="shared" si="4"/>
        <v>0</v>
      </c>
      <c r="AH134" s="123" t="str">
        <f t="shared" si="5"/>
        <v/>
      </c>
    </row>
    <row r="135" ht="15.75" customHeight="1">
      <c r="A135" s="124" t="s">
        <v>28</v>
      </c>
      <c r="B135" s="125">
        <f t="shared" si="6"/>
        <v>45788</v>
      </c>
      <c r="C135" s="57">
        <v>5.0</v>
      </c>
      <c r="D135" s="57" t="s">
        <v>30</v>
      </c>
      <c r="E135" s="126" t="s">
        <v>33</v>
      </c>
      <c r="F135" s="53"/>
      <c r="G135" s="35"/>
      <c r="H135" s="53"/>
      <c r="I135" s="35"/>
      <c r="J135" s="53"/>
      <c r="K135" s="35"/>
      <c r="L135" s="53"/>
      <c r="M135" s="35"/>
      <c r="N135" s="53"/>
      <c r="O135" s="35"/>
      <c r="P135" s="53"/>
      <c r="Q135" s="37"/>
      <c r="R135" s="55"/>
      <c r="S135" s="35"/>
      <c r="T135" s="54"/>
      <c r="U135" s="35"/>
      <c r="V135" s="54"/>
      <c r="W135" s="35"/>
      <c r="X135" s="54"/>
      <c r="Y135" s="35"/>
      <c r="Z135" s="54"/>
      <c r="AA135" s="35"/>
      <c r="AB135" s="54"/>
      <c r="AC135" s="37"/>
      <c r="AD135" s="56">
        <f t="shared" si="1"/>
        <v>0</v>
      </c>
      <c r="AE135" s="57">
        <f t="shared" si="2"/>
        <v>0</v>
      </c>
      <c r="AF135" s="57">
        <f t="shared" si="3"/>
        <v>0</v>
      </c>
      <c r="AG135" s="57">
        <f t="shared" si="4"/>
        <v>0</v>
      </c>
      <c r="AH135" s="127" t="str">
        <f t="shared" si="5"/>
        <v/>
      </c>
    </row>
    <row r="136" ht="15.75" customHeight="1">
      <c r="A136" s="116" t="s">
        <v>21</v>
      </c>
      <c r="B136" s="117">
        <f t="shared" si="6"/>
        <v>45789</v>
      </c>
      <c r="C136" s="87">
        <v>5.0</v>
      </c>
      <c r="D136" s="87" t="s">
        <v>31</v>
      </c>
      <c r="E136" s="118" t="s">
        <v>33</v>
      </c>
      <c r="F136" s="138">
        <v>0.0</v>
      </c>
      <c r="H136" s="139">
        <v>0.0</v>
      </c>
      <c r="J136" s="139">
        <v>0.0</v>
      </c>
      <c r="L136" s="139">
        <v>0.0</v>
      </c>
      <c r="N136" s="139">
        <v>0.0</v>
      </c>
      <c r="P136" s="139">
        <v>0.0</v>
      </c>
      <c r="Q136" s="22"/>
      <c r="R136" s="140"/>
      <c r="T136" s="141"/>
      <c r="V136" s="141"/>
      <c r="X136" s="141"/>
      <c r="Z136" s="141"/>
      <c r="AB136" s="141"/>
      <c r="AC136" s="22"/>
      <c r="AD136" s="86">
        <f t="shared" si="1"/>
        <v>0</v>
      </c>
      <c r="AE136" s="87">
        <f t="shared" si="2"/>
        <v>0</v>
      </c>
      <c r="AF136" s="87">
        <f t="shared" si="3"/>
        <v>0</v>
      </c>
      <c r="AG136" s="87">
        <f t="shared" si="4"/>
        <v>0</v>
      </c>
      <c r="AH136" s="119" t="str">
        <f t="shared" si="5"/>
        <v/>
      </c>
    </row>
    <row r="137" ht="15.75" customHeight="1">
      <c r="A137" s="120" t="s">
        <v>23</v>
      </c>
      <c r="B137" s="121">
        <f t="shared" si="6"/>
        <v>45790</v>
      </c>
      <c r="C137" s="51">
        <v>5.0</v>
      </c>
      <c r="D137" s="51" t="s">
        <v>31</v>
      </c>
      <c r="E137" s="122" t="s">
        <v>34</v>
      </c>
      <c r="F137" s="138">
        <v>0.0</v>
      </c>
      <c r="H137" s="139">
        <v>45.0</v>
      </c>
      <c r="J137" s="139">
        <v>50.0</v>
      </c>
      <c r="L137" s="139">
        <v>0.0</v>
      </c>
      <c r="N137" s="139">
        <v>0.0</v>
      </c>
      <c r="P137" s="139">
        <v>0.0</v>
      </c>
      <c r="Q137" s="22"/>
      <c r="R137" s="140"/>
      <c r="T137" s="141"/>
      <c r="V137" s="141"/>
      <c r="X137" s="141"/>
      <c r="Z137" s="141"/>
      <c r="AB137" s="141"/>
      <c r="AC137" s="22"/>
      <c r="AD137" s="50">
        <f t="shared" si="1"/>
        <v>2499.45</v>
      </c>
      <c r="AE137" s="51">
        <f t="shared" si="2"/>
        <v>95</v>
      </c>
      <c r="AF137" s="51">
        <f t="shared" si="3"/>
        <v>0</v>
      </c>
      <c r="AG137" s="51">
        <f t="shared" si="4"/>
        <v>95</v>
      </c>
      <c r="AH137" s="123">
        <f t="shared" si="5"/>
        <v>26.31</v>
      </c>
    </row>
    <row r="138" ht="15.75" customHeight="1">
      <c r="A138" s="120" t="s">
        <v>24</v>
      </c>
      <c r="B138" s="121">
        <f t="shared" si="6"/>
        <v>45791</v>
      </c>
      <c r="C138" s="51">
        <v>5.0</v>
      </c>
      <c r="D138" s="51" t="s">
        <v>31</v>
      </c>
      <c r="E138" s="122" t="s">
        <v>34</v>
      </c>
      <c r="F138" s="138">
        <v>0.0</v>
      </c>
      <c r="H138" s="139">
        <v>50.0</v>
      </c>
      <c r="J138" s="139">
        <v>55.0</v>
      </c>
      <c r="L138" s="139">
        <v>0.0</v>
      </c>
      <c r="N138" s="139">
        <v>0.0</v>
      </c>
      <c r="P138" s="139">
        <v>0.0</v>
      </c>
      <c r="Q138" s="22"/>
      <c r="R138" s="140"/>
      <c r="T138" s="141"/>
      <c r="V138" s="141"/>
      <c r="X138" s="141"/>
      <c r="Z138" s="141"/>
      <c r="AB138" s="141"/>
      <c r="AC138" s="22"/>
      <c r="AD138" s="50">
        <f t="shared" si="1"/>
        <v>2762.55</v>
      </c>
      <c r="AE138" s="51">
        <f t="shared" si="2"/>
        <v>105</v>
      </c>
      <c r="AF138" s="51">
        <f t="shared" si="3"/>
        <v>0</v>
      </c>
      <c r="AG138" s="51">
        <f t="shared" si="4"/>
        <v>105</v>
      </c>
      <c r="AH138" s="123">
        <f t="shared" si="5"/>
        <v>26.31</v>
      </c>
    </row>
    <row r="139" ht="15.75" customHeight="1">
      <c r="A139" s="120" t="s">
        <v>25</v>
      </c>
      <c r="B139" s="121">
        <f t="shared" si="6"/>
        <v>45792</v>
      </c>
      <c r="C139" s="51">
        <v>5.0</v>
      </c>
      <c r="D139" s="51" t="s">
        <v>31</v>
      </c>
      <c r="E139" s="122" t="s">
        <v>34</v>
      </c>
      <c r="F139" s="138">
        <v>0.0</v>
      </c>
      <c r="H139" s="139">
        <v>50.0</v>
      </c>
      <c r="J139" s="139">
        <v>0.0</v>
      </c>
      <c r="L139" s="139">
        <v>0.0</v>
      </c>
      <c r="N139" s="139">
        <v>0.0</v>
      </c>
      <c r="P139" s="139">
        <v>0.0</v>
      </c>
      <c r="Q139" s="22"/>
      <c r="R139" s="140"/>
      <c r="T139" s="141"/>
      <c r="V139" s="141"/>
      <c r="X139" s="141"/>
      <c r="Z139" s="141"/>
      <c r="AB139" s="141"/>
      <c r="AC139" s="22"/>
      <c r="AD139" s="50">
        <f t="shared" si="1"/>
        <v>1315.5</v>
      </c>
      <c r="AE139" s="51">
        <f t="shared" si="2"/>
        <v>50</v>
      </c>
      <c r="AF139" s="51">
        <f t="shared" si="3"/>
        <v>0</v>
      </c>
      <c r="AG139" s="51">
        <f t="shared" si="4"/>
        <v>50</v>
      </c>
      <c r="AH139" s="123">
        <f t="shared" si="5"/>
        <v>26.31</v>
      </c>
    </row>
    <row r="140" ht="15.75" customHeight="1">
      <c r="A140" s="120" t="s">
        <v>26</v>
      </c>
      <c r="B140" s="121">
        <f t="shared" si="6"/>
        <v>45793</v>
      </c>
      <c r="C140" s="51">
        <v>5.0</v>
      </c>
      <c r="D140" s="51" t="s">
        <v>31</v>
      </c>
      <c r="E140" s="122" t="s">
        <v>34</v>
      </c>
      <c r="F140" s="138">
        <v>0.0</v>
      </c>
      <c r="H140" s="139">
        <v>50.0</v>
      </c>
      <c r="J140" s="139">
        <v>55.0</v>
      </c>
      <c r="L140" s="139">
        <v>0.0</v>
      </c>
      <c r="N140" s="139">
        <v>0.0</v>
      </c>
      <c r="P140" s="139">
        <v>0.0</v>
      </c>
      <c r="Q140" s="22"/>
      <c r="R140" s="140"/>
      <c r="T140" s="141"/>
      <c r="V140" s="141"/>
      <c r="X140" s="141"/>
      <c r="Z140" s="141"/>
      <c r="AB140" s="141"/>
      <c r="AC140" s="22"/>
      <c r="AD140" s="50">
        <f t="shared" si="1"/>
        <v>2762.55</v>
      </c>
      <c r="AE140" s="51">
        <f t="shared" si="2"/>
        <v>105</v>
      </c>
      <c r="AF140" s="51">
        <f t="shared" si="3"/>
        <v>0</v>
      </c>
      <c r="AG140" s="51">
        <f t="shared" si="4"/>
        <v>105</v>
      </c>
      <c r="AH140" s="123">
        <f t="shared" si="5"/>
        <v>26.31</v>
      </c>
    </row>
    <row r="141" ht="15.75" customHeight="1">
      <c r="A141" s="120" t="s">
        <v>27</v>
      </c>
      <c r="B141" s="121">
        <f t="shared" si="6"/>
        <v>45794</v>
      </c>
      <c r="C141" s="51">
        <v>5.0</v>
      </c>
      <c r="D141" s="51" t="s">
        <v>31</v>
      </c>
      <c r="E141" s="122" t="s">
        <v>32</v>
      </c>
      <c r="F141" s="138">
        <v>50.0</v>
      </c>
      <c r="H141" s="139">
        <v>0.0</v>
      </c>
      <c r="J141" s="139">
        <v>55.0</v>
      </c>
      <c r="L141" s="139">
        <v>0.0</v>
      </c>
      <c r="N141" s="139">
        <v>0.0</v>
      </c>
      <c r="P141" s="139">
        <v>0.0</v>
      </c>
      <c r="Q141" s="22"/>
      <c r="R141" s="140"/>
      <c r="T141" s="141"/>
      <c r="V141" s="141"/>
      <c r="X141" s="141"/>
      <c r="Z141" s="141"/>
      <c r="AB141" s="141"/>
      <c r="AC141" s="22"/>
      <c r="AD141" s="50">
        <f t="shared" si="1"/>
        <v>2762.55</v>
      </c>
      <c r="AE141" s="51">
        <f t="shared" si="2"/>
        <v>105</v>
      </c>
      <c r="AF141" s="51">
        <f t="shared" si="3"/>
        <v>0</v>
      </c>
      <c r="AG141" s="51">
        <f t="shared" si="4"/>
        <v>105</v>
      </c>
      <c r="AH141" s="123">
        <f t="shared" si="5"/>
        <v>26.31</v>
      </c>
    </row>
    <row r="142" ht="15.75" customHeight="1">
      <c r="A142" s="124" t="s">
        <v>28</v>
      </c>
      <c r="B142" s="125">
        <f t="shared" si="6"/>
        <v>45795</v>
      </c>
      <c r="C142" s="57">
        <v>5.0</v>
      </c>
      <c r="D142" s="57" t="s">
        <v>31</v>
      </c>
      <c r="E142" s="126" t="s">
        <v>32</v>
      </c>
      <c r="F142" s="142">
        <v>50.0</v>
      </c>
      <c r="G142" s="35"/>
      <c r="H142" s="143">
        <v>0.0</v>
      </c>
      <c r="I142" s="35"/>
      <c r="J142" s="143">
        <v>0.0</v>
      </c>
      <c r="K142" s="35"/>
      <c r="L142" s="143">
        <v>0.0</v>
      </c>
      <c r="M142" s="35"/>
      <c r="N142" s="143">
        <v>0.0</v>
      </c>
      <c r="O142" s="35"/>
      <c r="P142" s="143">
        <v>0.0</v>
      </c>
      <c r="Q142" s="37"/>
      <c r="R142" s="144"/>
      <c r="S142" s="35"/>
      <c r="T142" s="145"/>
      <c r="U142" s="35"/>
      <c r="V142" s="145"/>
      <c r="W142" s="35"/>
      <c r="X142" s="145"/>
      <c r="Y142" s="35"/>
      <c r="Z142" s="145"/>
      <c r="AA142" s="35"/>
      <c r="AB142" s="145"/>
      <c r="AC142" s="37"/>
      <c r="AD142" s="56">
        <f t="shared" si="1"/>
        <v>1315.5</v>
      </c>
      <c r="AE142" s="57">
        <f t="shared" si="2"/>
        <v>50</v>
      </c>
      <c r="AF142" s="57">
        <f t="shared" si="3"/>
        <v>0</v>
      </c>
      <c r="AG142" s="57">
        <f t="shared" si="4"/>
        <v>50</v>
      </c>
      <c r="AH142" s="127">
        <f t="shared" si="5"/>
        <v>26.31</v>
      </c>
    </row>
    <row r="143" ht="15.75" customHeight="1">
      <c r="A143" s="116" t="s">
        <v>21</v>
      </c>
      <c r="B143" s="117">
        <f t="shared" si="6"/>
        <v>45796</v>
      </c>
      <c r="C143" s="87">
        <v>6.0</v>
      </c>
      <c r="D143" s="87" t="s">
        <v>22</v>
      </c>
      <c r="E143" s="118" t="s">
        <v>33</v>
      </c>
      <c r="F143" s="46"/>
      <c r="H143" s="47"/>
      <c r="J143" s="47"/>
      <c r="L143" s="47"/>
      <c r="N143" s="47"/>
      <c r="P143" s="47"/>
      <c r="Q143" s="22"/>
      <c r="R143" s="49"/>
      <c r="T143" s="48"/>
      <c r="V143" s="48"/>
      <c r="X143" s="48"/>
      <c r="Z143" s="48"/>
      <c r="AB143" s="48"/>
      <c r="AC143" s="22"/>
      <c r="AD143" s="86">
        <f t="shared" si="1"/>
        <v>0</v>
      </c>
      <c r="AE143" s="87">
        <f t="shared" si="2"/>
        <v>0</v>
      </c>
      <c r="AF143" s="87">
        <f t="shared" si="3"/>
        <v>0</v>
      </c>
      <c r="AG143" s="87">
        <f t="shared" si="4"/>
        <v>0</v>
      </c>
      <c r="AH143" s="119" t="str">
        <f t="shared" si="5"/>
        <v/>
      </c>
    </row>
    <row r="144" ht="15.75" customHeight="1">
      <c r="A144" s="120" t="s">
        <v>23</v>
      </c>
      <c r="B144" s="121">
        <f t="shared" si="6"/>
        <v>45797</v>
      </c>
      <c r="C144" s="51">
        <v>6.0</v>
      </c>
      <c r="D144" s="51" t="s">
        <v>22</v>
      </c>
      <c r="E144" s="122" t="s">
        <v>33</v>
      </c>
      <c r="F144" s="46"/>
      <c r="H144" s="47"/>
      <c r="J144" s="47"/>
      <c r="L144" s="47"/>
      <c r="N144" s="47"/>
      <c r="P144" s="47"/>
      <c r="Q144" s="22"/>
      <c r="R144" s="49"/>
      <c r="T144" s="48"/>
      <c r="V144" s="48"/>
      <c r="X144" s="48"/>
      <c r="Z144" s="48"/>
      <c r="AB144" s="48"/>
      <c r="AC144" s="22"/>
      <c r="AD144" s="50">
        <f t="shared" si="1"/>
        <v>0</v>
      </c>
      <c r="AE144" s="51">
        <f t="shared" si="2"/>
        <v>0</v>
      </c>
      <c r="AF144" s="51">
        <f t="shared" si="3"/>
        <v>0</v>
      </c>
      <c r="AG144" s="51">
        <f t="shared" si="4"/>
        <v>0</v>
      </c>
      <c r="AH144" s="123" t="str">
        <f t="shared" si="5"/>
        <v/>
      </c>
    </row>
    <row r="145" ht="15.75" customHeight="1">
      <c r="A145" s="120" t="s">
        <v>24</v>
      </c>
      <c r="B145" s="121">
        <f t="shared" si="6"/>
        <v>45798</v>
      </c>
      <c r="C145" s="51">
        <v>6.0</v>
      </c>
      <c r="D145" s="51" t="s">
        <v>22</v>
      </c>
      <c r="E145" s="122" t="s">
        <v>33</v>
      </c>
      <c r="F145" s="46"/>
      <c r="H145" s="47"/>
      <c r="J145" s="47"/>
      <c r="L145" s="47"/>
      <c r="N145" s="47"/>
      <c r="P145" s="47"/>
      <c r="Q145" s="22"/>
      <c r="R145" s="49"/>
      <c r="T145" s="48"/>
      <c r="V145" s="48"/>
      <c r="X145" s="48"/>
      <c r="Z145" s="48"/>
      <c r="AB145" s="48"/>
      <c r="AC145" s="22"/>
      <c r="AD145" s="50">
        <f t="shared" si="1"/>
        <v>0</v>
      </c>
      <c r="AE145" s="51">
        <f t="shared" si="2"/>
        <v>0</v>
      </c>
      <c r="AF145" s="51">
        <f t="shared" si="3"/>
        <v>0</v>
      </c>
      <c r="AG145" s="51">
        <f t="shared" si="4"/>
        <v>0</v>
      </c>
      <c r="AH145" s="123" t="str">
        <f t="shared" si="5"/>
        <v/>
      </c>
    </row>
    <row r="146" ht="15.75" customHeight="1">
      <c r="A146" s="120" t="s">
        <v>25</v>
      </c>
      <c r="B146" s="121">
        <f t="shared" si="6"/>
        <v>45799</v>
      </c>
      <c r="C146" s="51">
        <v>6.0</v>
      </c>
      <c r="D146" s="51" t="s">
        <v>22</v>
      </c>
      <c r="E146" s="122" t="s">
        <v>33</v>
      </c>
      <c r="F146" s="46"/>
      <c r="H146" s="47"/>
      <c r="J146" s="47"/>
      <c r="L146" s="47"/>
      <c r="N146" s="47"/>
      <c r="P146" s="47"/>
      <c r="Q146" s="22"/>
      <c r="R146" s="49"/>
      <c r="T146" s="48"/>
      <c r="V146" s="48"/>
      <c r="X146" s="48"/>
      <c r="Z146" s="48"/>
      <c r="AB146" s="48"/>
      <c r="AC146" s="22"/>
      <c r="AD146" s="50">
        <f t="shared" si="1"/>
        <v>0</v>
      </c>
      <c r="AE146" s="51">
        <f t="shared" si="2"/>
        <v>0</v>
      </c>
      <c r="AF146" s="51">
        <f t="shared" si="3"/>
        <v>0</v>
      </c>
      <c r="AG146" s="51">
        <f t="shared" si="4"/>
        <v>0</v>
      </c>
      <c r="AH146" s="123" t="str">
        <f t="shared" si="5"/>
        <v/>
      </c>
    </row>
    <row r="147" ht="15.75" customHeight="1">
      <c r="A147" s="120" t="s">
        <v>26</v>
      </c>
      <c r="B147" s="121">
        <f t="shared" si="6"/>
        <v>45800</v>
      </c>
      <c r="C147" s="51">
        <v>6.0</v>
      </c>
      <c r="D147" s="51" t="s">
        <v>22</v>
      </c>
      <c r="E147" s="122" t="s">
        <v>33</v>
      </c>
      <c r="F147" s="46"/>
      <c r="H147" s="47"/>
      <c r="J147" s="47"/>
      <c r="L147" s="47"/>
      <c r="N147" s="47"/>
      <c r="P147" s="47"/>
      <c r="Q147" s="22"/>
      <c r="R147" s="49"/>
      <c r="T147" s="48"/>
      <c r="V147" s="48"/>
      <c r="X147" s="48"/>
      <c r="Z147" s="48"/>
      <c r="AB147" s="48"/>
      <c r="AC147" s="22"/>
      <c r="AD147" s="50">
        <f t="shared" si="1"/>
        <v>0</v>
      </c>
      <c r="AE147" s="51">
        <f t="shared" si="2"/>
        <v>0</v>
      </c>
      <c r="AF147" s="51">
        <f t="shared" si="3"/>
        <v>0</v>
      </c>
      <c r="AG147" s="51">
        <f t="shared" si="4"/>
        <v>0</v>
      </c>
      <c r="AH147" s="123" t="str">
        <f t="shared" si="5"/>
        <v/>
      </c>
    </row>
    <row r="148" ht="15.75" customHeight="1">
      <c r="A148" s="120" t="s">
        <v>27</v>
      </c>
      <c r="B148" s="121">
        <f t="shared" si="6"/>
        <v>45801</v>
      </c>
      <c r="C148" s="51">
        <v>6.0</v>
      </c>
      <c r="D148" s="51" t="s">
        <v>22</v>
      </c>
      <c r="E148" s="122" t="s">
        <v>33</v>
      </c>
      <c r="F148" s="46"/>
      <c r="H148" s="47"/>
      <c r="J148" s="47"/>
      <c r="L148" s="47"/>
      <c r="N148" s="47"/>
      <c r="P148" s="47"/>
      <c r="Q148" s="22"/>
      <c r="R148" s="49"/>
      <c r="T148" s="48"/>
      <c r="V148" s="48"/>
      <c r="X148" s="48"/>
      <c r="Z148" s="48"/>
      <c r="AB148" s="48"/>
      <c r="AC148" s="22"/>
      <c r="AD148" s="50">
        <f t="shared" si="1"/>
        <v>0</v>
      </c>
      <c r="AE148" s="51">
        <f t="shared" si="2"/>
        <v>0</v>
      </c>
      <c r="AF148" s="51">
        <f t="shared" si="3"/>
        <v>0</v>
      </c>
      <c r="AG148" s="51">
        <f t="shared" si="4"/>
        <v>0</v>
      </c>
      <c r="AH148" s="123" t="str">
        <f t="shared" si="5"/>
        <v/>
      </c>
    </row>
    <row r="149" ht="15.75" customHeight="1">
      <c r="A149" s="124" t="s">
        <v>28</v>
      </c>
      <c r="B149" s="125">
        <f t="shared" si="6"/>
        <v>45802</v>
      </c>
      <c r="C149" s="57">
        <v>6.0</v>
      </c>
      <c r="D149" s="57" t="s">
        <v>22</v>
      </c>
      <c r="E149" s="126" t="s">
        <v>33</v>
      </c>
      <c r="F149" s="53"/>
      <c r="G149" s="35"/>
      <c r="H149" s="53"/>
      <c r="I149" s="35"/>
      <c r="J149" s="53"/>
      <c r="K149" s="35"/>
      <c r="L149" s="53"/>
      <c r="M149" s="35"/>
      <c r="N149" s="53"/>
      <c r="O149" s="35"/>
      <c r="P149" s="53"/>
      <c r="Q149" s="37"/>
      <c r="R149" s="55"/>
      <c r="S149" s="35"/>
      <c r="T149" s="54"/>
      <c r="U149" s="35"/>
      <c r="V149" s="54"/>
      <c r="W149" s="35"/>
      <c r="X149" s="54"/>
      <c r="Y149" s="35"/>
      <c r="Z149" s="54"/>
      <c r="AA149" s="35"/>
      <c r="AB149" s="54"/>
      <c r="AC149" s="37"/>
      <c r="AD149" s="56">
        <f t="shared" si="1"/>
        <v>0</v>
      </c>
      <c r="AE149" s="57">
        <f t="shared" si="2"/>
        <v>0</v>
      </c>
      <c r="AF149" s="57">
        <f t="shared" si="3"/>
        <v>0</v>
      </c>
      <c r="AG149" s="57">
        <f t="shared" si="4"/>
        <v>0</v>
      </c>
      <c r="AH149" s="127" t="str">
        <f t="shared" si="5"/>
        <v/>
      </c>
    </row>
    <row r="150" ht="15.75" customHeight="1">
      <c r="A150" s="116" t="s">
        <v>21</v>
      </c>
      <c r="B150" s="117">
        <f t="shared" si="6"/>
        <v>45803</v>
      </c>
      <c r="C150" s="87">
        <v>6.0</v>
      </c>
      <c r="D150" s="87" t="s">
        <v>29</v>
      </c>
      <c r="E150" s="118" t="s">
        <v>33</v>
      </c>
      <c r="F150" s="138">
        <v>0.0</v>
      </c>
      <c r="H150" s="139">
        <v>0.0</v>
      </c>
      <c r="J150" s="139">
        <v>0.0</v>
      </c>
      <c r="L150" s="139">
        <v>0.0</v>
      </c>
      <c r="N150" s="139">
        <v>0.0</v>
      </c>
      <c r="P150" s="139">
        <v>0.0</v>
      </c>
      <c r="Q150" s="22"/>
      <c r="R150" s="140"/>
      <c r="T150" s="141"/>
      <c r="V150" s="141"/>
      <c r="X150" s="141"/>
      <c r="Z150" s="141"/>
      <c r="AB150" s="141"/>
      <c r="AC150" s="22"/>
      <c r="AD150" s="86">
        <f t="shared" si="1"/>
        <v>0</v>
      </c>
      <c r="AE150" s="87">
        <f t="shared" si="2"/>
        <v>0</v>
      </c>
      <c r="AF150" s="87">
        <f t="shared" si="3"/>
        <v>0</v>
      </c>
      <c r="AG150" s="87">
        <f t="shared" si="4"/>
        <v>0</v>
      </c>
      <c r="AH150" s="119" t="str">
        <f t="shared" si="5"/>
        <v/>
      </c>
    </row>
    <row r="151" ht="15.75" customHeight="1">
      <c r="A151" s="120" t="s">
        <v>23</v>
      </c>
      <c r="B151" s="121">
        <f t="shared" si="6"/>
        <v>45804</v>
      </c>
      <c r="C151" s="51">
        <v>6.0</v>
      </c>
      <c r="D151" s="51" t="s">
        <v>29</v>
      </c>
      <c r="E151" s="122" t="s">
        <v>34</v>
      </c>
      <c r="F151" s="138">
        <v>0.0</v>
      </c>
      <c r="H151" s="139">
        <v>50.0</v>
      </c>
      <c r="J151" s="139">
        <v>0.0</v>
      </c>
      <c r="L151" s="139">
        <v>0.0</v>
      </c>
      <c r="N151" s="139">
        <v>0.0</v>
      </c>
      <c r="P151" s="139">
        <v>0.0</v>
      </c>
      <c r="Q151" s="22"/>
      <c r="R151" s="140"/>
      <c r="T151" s="141"/>
      <c r="V151" s="141"/>
      <c r="X151" s="141"/>
      <c r="Z151" s="141"/>
      <c r="AB151" s="141"/>
      <c r="AC151" s="22"/>
      <c r="AD151" s="50">
        <f t="shared" si="1"/>
        <v>1315.5</v>
      </c>
      <c r="AE151" s="51">
        <f t="shared" si="2"/>
        <v>50</v>
      </c>
      <c r="AF151" s="51">
        <f t="shared" si="3"/>
        <v>0</v>
      </c>
      <c r="AG151" s="51">
        <f t="shared" si="4"/>
        <v>50</v>
      </c>
      <c r="AH151" s="123">
        <f t="shared" si="5"/>
        <v>26.31</v>
      </c>
    </row>
    <row r="152" ht="15.75" customHeight="1">
      <c r="A152" s="120" t="s">
        <v>24</v>
      </c>
      <c r="B152" s="121">
        <f t="shared" si="6"/>
        <v>45805</v>
      </c>
      <c r="C152" s="51">
        <v>6.0</v>
      </c>
      <c r="D152" s="51" t="s">
        <v>29</v>
      </c>
      <c r="E152" s="122" t="s">
        <v>34</v>
      </c>
      <c r="F152" s="138">
        <v>0.0</v>
      </c>
      <c r="H152" s="139">
        <v>50.0</v>
      </c>
      <c r="J152" s="139">
        <v>0.0</v>
      </c>
      <c r="L152" s="139">
        <v>0.0</v>
      </c>
      <c r="N152" s="139">
        <v>0.0</v>
      </c>
      <c r="P152" s="139">
        <v>0.0</v>
      </c>
      <c r="Q152" s="22"/>
      <c r="R152" s="140"/>
      <c r="T152" s="141"/>
      <c r="V152" s="141"/>
      <c r="X152" s="141"/>
      <c r="Z152" s="141"/>
      <c r="AB152" s="141"/>
      <c r="AC152" s="22"/>
      <c r="AD152" s="50">
        <f t="shared" si="1"/>
        <v>1315.5</v>
      </c>
      <c r="AE152" s="51">
        <f t="shared" si="2"/>
        <v>50</v>
      </c>
      <c r="AF152" s="51">
        <f t="shared" si="3"/>
        <v>0</v>
      </c>
      <c r="AG152" s="51">
        <f t="shared" si="4"/>
        <v>50</v>
      </c>
      <c r="AH152" s="123">
        <f t="shared" si="5"/>
        <v>26.31</v>
      </c>
    </row>
    <row r="153" ht="15.75" customHeight="1">
      <c r="A153" s="120" t="s">
        <v>25</v>
      </c>
      <c r="B153" s="121">
        <f t="shared" si="6"/>
        <v>45806</v>
      </c>
      <c r="C153" s="51">
        <v>6.0</v>
      </c>
      <c r="D153" s="51" t="s">
        <v>29</v>
      </c>
      <c r="E153" s="122" t="s">
        <v>34</v>
      </c>
      <c r="F153" s="138">
        <v>0.0</v>
      </c>
      <c r="H153" s="139">
        <v>0.0</v>
      </c>
      <c r="J153" s="139">
        <v>0.0</v>
      </c>
      <c r="L153" s="139">
        <v>0.0</v>
      </c>
      <c r="N153" s="139">
        <v>0.0</v>
      </c>
      <c r="P153" s="139">
        <v>0.0</v>
      </c>
      <c r="Q153" s="22"/>
      <c r="R153" s="140"/>
      <c r="T153" s="141"/>
      <c r="V153" s="141"/>
      <c r="X153" s="141"/>
      <c r="Z153" s="141"/>
      <c r="AB153" s="141"/>
      <c r="AC153" s="22"/>
      <c r="AD153" s="50">
        <f t="shared" si="1"/>
        <v>0</v>
      </c>
      <c r="AE153" s="51">
        <f t="shared" si="2"/>
        <v>0</v>
      </c>
      <c r="AF153" s="51">
        <f t="shared" si="3"/>
        <v>0</v>
      </c>
      <c r="AG153" s="51">
        <f t="shared" si="4"/>
        <v>0</v>
      </c>
      <c r="AH153" s="123" t="str">
        <f t="shared" si="5"/>
        <v/>
      </c>
    </row>
    <row r="154" ht="15.75" customHeight="1">
      <c r="A154" s="120" t="s">
        <v>26</v>
      </c>
      <c r="B154" s="121">
        <f t="shared" si="6"/>
        <v>45807</v>
      </c>
      <c r="C154" s="51">
        <v>6.0</v>
      </c>
      <c r="D154" s="51" t="s">
        <v>29</v>
      </c>
      <c r="E154" s="122" t="s">
        <v>34</v>
      </c>
      <c r="F154" s="138">
        <v>0.0</v>
      </c>
      <c r="H154" s="139">
        <v>0.0</v>
      </c>
      <c r="J154" s="139">
        <v>0.0</v>
      </c>
      <c r="L154" s="139">
        <v>0.0</v>
      </c>
      <c r="N154" s="139">
        <v>0.0</v>
      </c>
      <c r="P154" s="139">
        <v>0.0</v>
      </c>
      <c r="Q154" s="22"/>
      <c r="R154" s="140"/>
      <c r="T154" s="141"/>
      <c r="V154" s="141"/>
      <c r="X154" s="141"/>
      <c r="Z154" s="141"/>
      <c r="AB154" s="141"/>
      <c r="AC154" s="22"/>
      <c r="AD154" s="50">
        <f t="shared" si="1"/>
        <v>0</v>
      </c>
      <c r="AE154" s="51">
        <f t="shared" si="2"/>
        <v>0</v>
      </c>
      <c r="AF154" s="51">
        <f t="shared" si="3"/>
        <v>0</v>
      </c>
      <c r="AG154" s="51">
        <f t="shared" si="4"/>
        <v>0</v>
      </c>
      <c r="AH154" s="123" t="str">
        <f t="shared" si="5"/>
        <v/>
      </c>
    </row>
    <row r="155" ht="15.75" customHeight="1">
      <c r="A155" s="120" t="s">
        <v>27</v>
      </c>
      <c r="B155" s="121">
        <f t="shared" si="6"/>
        <v>45808</v>
      </c>
      <c r="C155" s="51">
        <v>6.0</v>
      </c>
      <c r="D155" s="51" t="s">
        <v>29</v>
      </c>
      <c r="E155" s="122" t="s">
        <v>32</v>
      </c>
      <c r="F155" s="138">
        <v>0.0</v>
      </c>
      <c r="H155" s="139">
        <v>50.0</v>
      </c>
      <c r="J155" s="139">
        <v>0.0</v>
      </c>
      <c r="L155" s="139">
        <v>0.0</v>
      </c>
      <c r="N155" s="139">
        <v>0.0</v>
      </c>
      <c r="P155" s="139">
        <v>0.0</v>
      </c>
      <c r="Q155" s="22"/>
      <c r="R155" s="140"/>
      <c r="T155" s="141"/>
      <c r="V155" s="141"/>
      <c r="X155" s="141"/>
      <c r="Z155" s="141"/>
      <c r="AB155" s="141"/>
      <c r="AC155" s="22"/>
      <c r="AD155" s="50">
        <f t="shared" si="1"/>
        <v>1315.5</v>
      </c>
      <c r="AE155" s="51">
        <f t="shared" si="2"/>
        <v>50</v>
      </c>
      <c r="AF155" s="51">
        <f t="shared" si="3"/>
        <v>0</v>
      </c>
      <c r="AG155" s="51">
        <f t="shared" si="4"/>
        <v>50</v>
      </c>
      <c r="AH155" s="123">
        <f t="shared" si="5"/>
        <v>26.31</v>
      </c>
    </row>
    <row r="156" ht="15.75" customHeight="1">
      <c r="A156" s="124" t="s">
        <v>28</v>
      </c>
      <c r="B156" s="125">
        <f t="shared" si="6"/>
        <v>45809</v>
      </c>
      <c r="C156" s="57">
        <v>6.0</v>
      </c>
      <c r="D156" s="57" t="s">
        <v>29</v>
      </c>
      <c r="E156" s="126" t="s">
        <v>32</v>
      </c>
      <c r="F156" s="142">
        <v>0.0</v>
      </c>
      <c r="G156" s="35"/>
      <c r="H156" s="143">
        <v>0.0</v>
      </c>
      <c r="I156" s="35"/>
      <c r="J156" s="143">
        <v>0.0</v>
      </c>
      <c r="K156" s="35"/>
      <c r="L156" s="143">
        <v>0.0</v>
      </c>
      <c r="M156" s="35"/>
      <c r="N156" s="143">
        <v>0.0</v>
      </c>
      <c r="O156" s="35"/>
      <c r="P156" s="143">
        <v>0.0</v>
      </c>
      <c r="Q156" s="37"/>
      <c r="R156" s="144"/>
      <c r="S156" s="35"/>
      <c r="T156" s="145"/>
      <c r="U156" s="35"/>
      <c r="V156" s="145"/>
      <c r="W156" s="35"/>
      <c r="X156" s="145"/>
      <c r="Y156" s="35"/>
      <c r="Z156" s="145"/>
      <c r="AA156" s="35"/>
      <c r="AB156" s="145"/>
      <c r="AC156" s="37"/>
      <c r="AD156" s="56">
        <f t="shared" si="1"/>
        <v>0</v>
      </c>
      <c r="AE156" s="57">
        <f t="shared" si="2"/>
        <v>0</v>
      </c>
      <c r="AF156" s="57">
        <f t="shared" si="3"/>
        <v>0</v>
      </c>
      <c r="AG156" s="57">
        <f t="shared" si="4"/>
        <v>0</v>
      </c>
      <c r="AH156" s="127" t="str">
        <f t="shared" si="5"/>
        <v/>
      </c>
    </row>
    <row r="157" ht="15.75" customHeight="1">
      <c r="A157" s="116" t="s">
        <v>21</v>
      </c>
      <c r="B157" s="117">
        <f t="shared" si="6"/>
        <v>45810</v>
      </c>
      <c r="C157" s="87">
        <v>6.0</v>
      </c>
      <c r="D157" s="87" t="s">
        <v>30</v>
      </c>
      <c r="E157" s="118" t="s">
        <v>33</v>
      </c>
      <c r="F157" s="46"/>
      <c r="H157" s="47"/>
      <c r="J157" s="47"/>
      <c r="L157" s="47"/>
      <c r="N157" s="47"/>
      <c r="P157" s="47"/>
      <c r="Q157" s="22"/>
      <c r="R157" s="49"/>
      <c r="T157" s="48"/>
      <c r="V157" s="48"/>
      <c r="X157" s="48"/>
      <c r="Z157" s="48"/>
      <c r="AB157" s="48"/>
      <c r="AC157" s="22"/>
      <c r="AD157" s="86">
        <f t="shared" si="1"/>
        <v>0</v>
      </c>
      <c r="AE157" s="87">
        <f t="shared" si="2"/>
        <v>0</v>
      </c>
      <c r="AF157" s="87">
        <f t="shared" si="3"/>
        <v>0</v>
      </c>
      <c r="AG157" s="87">
        <f t="shared" si="4"/>
        <v>0</v>
      </c>
      <c r="AH157" s="119" t="str">
        <f t="shared" si="5"/>
        <v/>
      </c>
    </row>
    <row r="158" ht="15.75" customHeight="1">
      <c r="A158" s="120" t="s">
        <v>23</v>
      </c>
      <c r="B158" s="121">
        <f t="shared" si="6"/>
        <v>45811</v>
      </c>
      <c r="C158" s="51">
        <v>6.0</v>
      </c>
      <c r="D158" s="51" t="s">
        <v>30</v>
      </c>
      <c r="E158" s="122" t="s">
        <v>33</v>
      </c>
      <c r="F158" s="46"/>
      <c r="H158" s="47"/>
      <c r="J158" s="47"/>
      <c r="L158" s="47"/>
      <c r="N158" s="47"/>
      <c r="P158" s="47"/>
      <c r="Q158" s="22"/>
      <c r="R158" s="49"/>
      <c r="T158" s="48"/>
      <c r="V158" s="48"/>
      <c r="X158" s="48"/>
      <c r="Z158" s="48"/>
      <c r="AB158" s="48"/>
      <c r="AC158" s="22"/>
      <c r="AD158" s="50">
        <f t="shared" si="1"/>
        <v>0</v>
      </c>
      <c r="AE158" s="51">
        <f t="shared" si="2"/>
        <v>0</v>
      </c>
      <c r="AF158" s="51">
        <f t="shared" si="3"/>
        <v>0</v>
      </c>
      <c r="AG158" s="51">
        <f t="shared" si="4"/>
        <v>0</v>
      </c>
      <c r="AH158" s="123" t="str">
        <f t="shared" si="5"/>
        <v/>
      </c>
    </row>
    <row r="159" ht="15.75" customHeight="1">
      <c r="A159" s="120" t="s">
        <v>24</v>
      </c>
      <c r="B159" s="121">
        <f t="shared" si="6"/>
        <v>45812</v>
      </c>
      <c r="C159" s="51">
        <v>6.0</v>
      </c>
      <c r="D159" s="51" t="s">
        <v>30</v>
      </c>
      <c r="E159" s="122" t="s">
        <v>33</v>
      </c>
      <c r="F159" s="46"/>
      <c r="H159" s="47"/>
      <c r="J159" s="47"/>
      <c r="L159" s="47"/>
      <c r="N159" s="47"/>
      <c r="P159" s="47"/>
      <c r="Q159" s="22"/>
      <c r="R159" s="49"/>
      <c r="T159" s="48"/>
      <c r="V159" s="48"/>
      <c r="X159" s="48"/>
      <c r="Z159" s="48"/>
      <c r="AB159" s="48"/>
      <c r="AC159" s="22"/>
      <c r="AD159" s="50">
        <f t="shared" si="1"/>
        <v>0</v>
      </c>
      <c r="AE159" s="51">
        <f t="shared" si="2"/>
        <v>0</v>
      </c>
      <c r="AF159" s="51">
        <f t="shared" si="3"/>
        <v>0</v>
      </c>
      <c r="AG159" s="51">
        <f t="shared" si="4"/>
        <v>0</v>
      </c>
      <c r="AH159" s="123" t="str">
        <f t="shared" si="5"/>
        <v/>
      </c>
    </row>
    <row r="160" ht="15.75" customHeight="1">
      <c r="A160" s="120" t="s">
        <v>25</v>
      </c>
      <c r="B160" s="121">
        <f t="shared" si="6"/>
        <v>45813</v>
      </c>
      <c r="C160" s="51">
        <v>6.0</v>
      </c>
      <c r="D160" s="51" t="s">
        <v>30</v>
      </c>
      <c r="E160" s="122" t="s">
        <v>33</v>
      </c>
      <c r="F160" s="46"/>
      <c r="H160" s="47"/>
      <c r="J160" s="47"/>
      <c r="L160" s="47"/>
      <c r="N160" s="47"/>
      <c r="P160" s="47"/>
      <c r="Q160" s="22"/>
      <c r="R160" s="49"/>
      <c r="T160" s="48"/>
      <c r="V160" s="48"/>
      <c r="X160" s="48"/>
      <c r="Z160" s="48"/>
      <c r="AB160" s="48"/>
      <c r="AC160" s="22"/>
      <c r="AD160" s="50">
        <f t="shared" si="1"/>
        <v>0</v>
      </c>
      <c r="AE160" s="51">
        <f t="shared" si="2"/>
        <v>0</v>
      </c>
      <c r="AF160" s="51">
        <f t="shared" si="3"/>
        <v>0</v>
      </c>
      <c r="AG160" s="51">
        <f t="shared" si="4"/>
        <v>0</v>
      </c>
      <c r="AH160" s="123" t="str">
        <f t="shared" si="5"/>
        <v/>
      </c>
    </row>
    <row r="161" ht="15.75" customHeight="1">
      <c r="A161" s="120" t="s">
        <v>26</v>
      </c>
      <c r="B161" s="121">
        <f t="shared" si="6"/>
        <v>45814</v>
      </c>
      <c r="C161" s="51">
        <v>6.0</v>
      </c>
      <c r="D161" s="51" t="s">
        <v>30</v>
      </c>
      <c r="E161" s="122" t="s">
        <v>33</v>
      </c>
      <c r="F161" s="46"/>
      <c r="H161" s="47"/>
      <c r="J161" s="47"/>
      <c r="L161" s="47"/>
      <c r="N161" s="47"/>
      <c r="P161" s="47"/>
      <c r="Q161" s="22"/>
      <c r="R161" s="49"/>
      <c r="T161" s="48"/>
      <c r="V161" s="48"/>
      <c r="X161" s="48"/>
      <c r="Z161" s="48"/>
      <c r="AB161" s="48"/>
      <c r="AC161" s="22"/>
      <c r="AD161" s="50">
        <f t="shared" si="1"/>
        <v>0</v>
      </c>
      <c r="AE161" s="51">
        <f t="shared" si="2"/>
        <v>0</v>
      </c>
      <c r="AF161" s="51">
        <f t="shared" si="3"/>
        <v>0</v>
      </c>
      <c r="AG161" s="51">
        <f t="shared" si="4"/>
        <v>0</v>
      </c>
      <c r="AH161" s="123" t="str">
        <f t="shared" si="5"/>
        <v/>
      </c>
    </row>
    <row r="162" ht="15.75" customHeight="1">
      <c r="A162" s="120" t="s">
        <v>27</v>
      </c>
      <c r="B162" s="121">
        <f t="shared" si="6"/>
        <v>45815</v>
      </c>
      <c r="C162" s="51">
        <v>6.0</v>
      </c>
      <c r="D162" s="51" t="s">
        <v>30</v>
      </c>
      <c r="E162" s="122" t="s">
        <v>33</v>
      </c>
      <c r="F162" s="46"/>
      <c r="H162" s="47"/>
      <c r="J162" s="47"/>
      <c r="L162" s="47"/>
      <c r="N162" s="47"/>
      <c r="P162" s="47"/>
      <c r="Q162" s="22"/>
      <c r="R162" s="49"/>
      <c r="T162" s="48"/>
      <c r="V162" s="48"/>
      <c r="X162" s="48"/>
      <c r="Z162" s="48"/>
      <c r="AB162" s="48"/>
      <c r="AC162" s="22"/>
      <c r="AD162" s="50">
        <f t="shared" si="1"/>
        <v>0</v>
      </c>
      <c r="AE162" s="51">
        <f t="shared" si="2"/>
        <v>0</v>
      </c>
      <c r="AF162" s="51">
        <f t="shared" si="3"/>
        <v>0</v>
      </c>
      <c r="AG162" s="51">
        <f t="shared" si="4"/>
        <v>0</v>
      </c>
      <c r="AH162" s="123" t="str">
        <f t="shared" si="5"/>
        <v/>
      </c>
    </row>
    <row r="163" ht="15.75" customHeight="1">
      <c r="A163" s="124" t="s">
        <v>28</v>
      </c>
      <c r="B163" s="125">
        <f t="shared" si="6"/>
        <v>45816</v>
      </c>
      <c r="C163" s="57">
        <v>6.0</v>
      </c>
      <c r="D163" s="57" t="s">
        <v>30</v>
      </c>
      <c r="E163" s="126" t="s">
        <v>33</v>
      </c>
      <c r="F163" s="53"/>
      <c r="G163" s="35"/>
      <c r="H163" s="53"/>
      <c r="I163" s="35"/>
      <c r="J163" s="53"/>
      <c r="K163" s="35"/>
      <c r="L163" s="53"/>
      <c r="M163" s="35"/>
      <c r="N163" s="53"/>
      <c r="O163" s="35"/>
      <c r="P163" s="53"/>
      <c r="Q163" s="37"/>
      <c r="R163" s="55"/>
      <c r="S163" s="35"/>
      <c r="T163" s="54"/>
      <c r="U163" s="35"/>
      <c r="V163" s="54"/>
      <c r="W163" s="35"/>
      <c r="X163" s="54"/>
      <c r="Y163" s="35"/>
      <c r="Z163" s="54"/>
      <c r="AA163" s="35"/>
      <c r="AB163" s="54"/>
      <c r="AC163" s="37"/>
      <c r="AD163" s="56">
        <f t="shared" si="1"/>
        <v>0</v>
      </c>
      <c r="AE163" s="57">
        <f t="shared" si="2"/>
        <v>0</v>
      </c>
      <c r="AF163" s="57">
        <f t="shared" si="3"/>
        <v>0</v>
      </c>
      <c r="AG163" s="57">
        <f t="shared" si="4"/>
        <v>0</v>
      </c>
      <c r="AH163" s="127" t="str">
        <f t="shared" si="5"/>
        <v/>
      </c>
    </row>
    <row r="164" ht="15.75" customHeight="1">
      <c r="A164" s="116" t="s">
        <v>21</v>
      </c>
      <c r="B164" s="117">
        <f t="shared" si="6"/>
        <v>45817</v>
      </c>
      <c r="C164" s="87">
        <v>6.0</v>
      </c>
      <c r="D164" s="87" t="s">
        <v>31</v>
      </c>
      <c r="E164" s="118" t="s">
        <v>33</v>
      </c>
      <c r="F164" s="94">
        <v>0.0</v>
      </c>
      <c r="H164" s="95">
        <v>0.0</v>
      </c>
      <c r="J164" s="95">
        <v>0.0</v>
      </c>
      <c r="L164" s="95">
        <v>0.0</v>
      </c>
      <c r="N164" s="95">
        <v>0.0</v>
      </c>
      <c r="P164" s="95">
        <v>0.0</v>
      </c>
      <c r="Q164" s="22"/>
      <c r="R164" s="96"/>
      <c r="T164" s="97"/>
      <c r="V164" s="97"/>
      <c r="X164" s="97"/>
      <c r="Z164" s="97"/>
      <c r="AB164" s="97"/>
      <c r="AC164" s="22"/>
      <c r="AD164" s="86">
        <f t="shared" si="1"/>
        <v>0</v>
      </c>
      <c r="AE164" s="87">
        <f t="shared" si="2"/>
        <v>0</v>
      </c>
      <c r="AF164" s="87">
        <f t="shared" si="3"/>
        <v>0</v>
      </c>
      <c r="AG164" s="87">
        <f t="shared" si="4"/>
        <v>0</v>
      </c>
      <c r="AH164" s="119" t="str">
        <f t="shared" si="5"/>
        <v/>
      </c>
    </row>
    <row r="165" ht="15.75" customHeight="1">
      <c r="A165" s="120" t="s">
        <v>23</v>
      </c>
      <c r="B165" s="121">
        <f t="shared" si="6"/>
        <v>45818</v>
      </c>
      <c r="C165" s="51">
        <v>6.0</v>
      </c>
      <c r="D165" s="51" t="s">
        <v>31</v>
      </c>
      <c r="E165" s="122" t="s">
        <v>34</v>
      </c>
      <c r="F165" s="94">
        <v>0.0</v>
      </c>
      <c r="H165" s="95">
        <v>50.0</v>
      </c>
      <c r="J165" s="95">
        <v>55.0</v>
      </c>
      <c r="L165" s="95">
        <v>0.0</v>
      </c>
      <c r="N165" s="95">
        <v>0.0</v>
      </c>
      <c r="P165" s="95">
        <v>0.0</v>
      </c>
      <c r="Q165" s="22"/>
      <c r="R165" s="96"/>
      <c r="T165" s="97"/>
      <c r="V165" s="97"/>
      <c r="X165" s="97"/>
      <c r="Z165" s="97"/>
      <c r="AB165" s="97"/>
      <c r="AC165" s="22"/>
      <c r="AD165" s="50">
        <f t="shared" si="1"/>
        <v>2762.55</v>
      </c>
      <c r="AE165" s="51">
        <f t="shared" si="2"/>
        <v>105</v>
      </c>
      <c r="AF165" s="51">
        <f t="shared" si="3"/>
        <v>0</v>
      </c>
      <c r="AG165" s="51">
        <f t="shared" si="4"/>
        <v>105</v>
      </c>
      <c r="AH165" s="123">
        <f t="shared" si="5"/>
        <v>26.31</v>
      </c>
    </row>
    <row r="166" ht="15.75" customHeight="1">
      <c r="A166" s="120" t="s">
        <v>24</v>
      </c>
      <c r="B166" s="121">
        <f t="shared" si="6"/>
        <v>45819</v>
      </c>
      <c r="C166" s="51">
        <v>6.0</v>
      </c>
      <c r="D166" s="51" t="s">
        <v>31</v>
      </c>
      <c r="E166" s="122" t="s">
        <v>34</v>
      </c>
      <c r="F166" s="94">
        <v>0.0</v>
      </c>
      <c r="H166" s="95">
        <v>50.0</v>
      </c>
      <c r="J166" s="95">
        <v>55.0</v>
      </c>
      <c r="L166" s="95">
        <v>0.0</v>
      </c>
      <c r="N166" s="95">
        <v>0.0</v>
      </c>
      <c r="P166" s="95">
        <v>0.0</v>
      </c>
      <c r="Q166" s="22"/>
      <c r="R166" s="96"/>
      <c r="T166" s="97"/>
      <c r="V166" s="97"/>
      <c r="X166" s="97"/>
      <c r="Z166" s="97"/>
      <c r="AB166" s="97"/>
      <c r="AC166" s="22"/>
      <c r="AD166" s="50">
        <f t="shared" si="1"/>
        <v>2762.55</v>
      </c>
      <c r="AE166" s="51">
        <f t="shared" si="2"/>
        <v>105</v>
      </c>
      <c r="AF166" s="51">
        <f t="shared" si="3"/>
        <v>0</v>
      </c>
      <c r="AG166" s="51">
        <f t="shared" si="4"/>
        <v>105</v>
      </c>
      <c r="AH166" s="123">
        <f t="shared" si="5"/>
        <v>26.31</v>
      </c>
    </row>
    <row r="167" ht="15.75" customHeight="1">
      <c r="A167" s="120" t="s">
        <v>25</v>
      </c>
      <c r="B167" s="121">
        <f t="shared" si="6"/>
        <v>45820</v>
      </c>
      <c r="C167" s="51">
        <v>6.0</v>
      </c>
      <c r="D167" s="51" t="s">
        <v>31</v>
      </c>
      <c r="E167" s="122" t="s">
        <v>34</v>
      </c>
      <c r="F167" s="94">
        <v>0.0</v>
      </c>
      <c r="H167" s="95">
        <v>50.0</v>
      </c>
      <c r="J167" s="95">
        <v>0.0</v>
      </c>
      <c r="L167" s="95">
        <v>0.0</v>
      </c>
      <c r="N167" s="95">
        <v>0.0</v>
      </c>
      <c r="P167" s="95">
        <v>0.0</v>
      </c>
      <c r="Q167" s="22"/>
      <c r="R167" s="96"/>
      <c r="T167" s="97"/>
      <c r="V167" s="97"/>
      <c r="X167" s="97"/>
      <c r="Z167" s="97"/>
      <c r="AB167" s="97"/>
      <c r="AC167" s="22"/>
      <c r="AD167" s="50">
        <f t="shared" si="1"/>
        <v>1315.5</v>
      </c>
      <c r="AE167" s="51">
        <f t="shared" si="2"/>
        <v>50</v>
      </c>
      <c r="AF167" s="51">
        <f t="shared" si="3"/>
        <v>0</v>
      </c>
      <c r="AG167" s="51">
        <f t="shared" si="4"/>
        <v>50</v>
      </c>
      <c r="AH167" s="123">
        <f t="shared" si="5"/>
        <v>26.31</v>
      </c>
    </row>
    <row r="168" ht="15.75" customHeight="1">
      <c r="A168" s="120" t="s">
        <v>26</v>
      </c>
      <c r="B168" s="121">
        <f t="shared" si="6"/>
        <v>45821</v>
      </c>
      <c r="C168" s="51">
        <v>6.0</v>
      </c>
      <c r="D168" s="51" t="s">
        <v>31</v>
      </c>
      <c r="E168" s="122" t="s">
        <v>34</v>
      </c>
      <c r="F168" s="94">
        <v>0.0</v>
      </c>
      <c r="H168" s="95">
        <v>50.0</v>
      </c>
      <c r="J168" s="95">
        <v>0.0</v>
      </c>
      <c r="L168" s="95">
        <v>0.0</v>
      </c>
      <c r="N168" s="95">
        <v>0.0</v>
      </c>
      <c r="P168" s="95">
        <v>0.0</v>
      </c>
      <c r="Q168" s="22"/>
      <c r="R168" s="96"/>
      <c r="T168" s="97"/>
      <c r="V168" s="97"/>
      <c r="X168" s="97"/>
      <c r="Z168" s="97"/>
      <c r="AB168" s="97"/>
      <c r="AC168" s="22"/>
      <c r="AD168" s="50">
        <f t="shared" si="1"/>
        <v>1315.5</v>
      </c>
      <c r="AE168" s="51">
        <f t="shared" si="2"/>
        <v>50</v>
      </c>
      <c r="AF168" s="51">
        <f t="shared" si="3"/>
        <v>0</v>
      </c>
      <c r="AG168" s="51">
        <f t="shared" si="4"/>
        <v>50</v>
      </c>
      <c r="AH168" s="123">
        <f t="shared" si="5"/>
        <v>26.31</v>
      </c>
    </row>
    <row r="169" ht="15.75" customHeight="1">
      <c r="A169" s="120" t="s">
        <v>27</v>
      </c>
      <c r="B169" s="121">
        <f t="shared" si="6"/>
        <v>45822</v>
      </c>
      <c r="C169" s="51">
        <v>6.0</v>
      </c>
      <c r="D169" s="51" t="s">
        <v>31</v>
      </c>
      <c r="E169" s="122" t="s">
        <v>34</v>
      </c>
      <c r="F169" s="94">
        <v>0.0</v>
      </c>
      <c r="H169" s="95">
        <v>50.0</v>
      </c>
      <c r="J169" s="95">
        <v>55.0</v>
      </c>
      <c r="L169" s="95">
        <v>0.0</v>
      </c>
      <c r="N169" s="95">
        <v>0.0</v>
      </c>
      <c r="P169" s="95">
        <v>0.0</v>
      </c>
      <c r="Q169" s="22"/>
      <c r="R169" s="96"/>
      <c r="T169" s="97"/>
      <c r="V169" s="97"/>
      <c r="X169" s="97"/>
      <c r="Z169" s="97"/>
      <c r="AB169" s="97"/>
      <c r="AC169" s="22"/>
      <c r="AD169" s="50">
        <f t="shared" si="1"/>
        <v>2762.55</v>
      </c>
      <c r="AE169" s="51">
        <f t="shared" si="2"/>
        <v>105</v>
      </c>
      <c r="AF169" s="51">
        <f t="shared" si="3"/>
        <v>0</v>
      </c>
      <c r="AG169" s="51">
        <f t="shared" si="4"/>
        <v>105</v>
      </c>
      <c r="AH169" s="123">
        <f t="shared" si="5"/>
        <v>26.31</v>
      </c>
    </row>
    <row r="170" ht="15.75" customHeight="1">
      <c r="A170" s="124" t="s">
        <v>28</v>
      </c>
      <c r="B170" s="125">
        <f t="shared" si="6"/>
        <v>45823</v>
      </c>
      <c r="C170" s="57">
        <v>6.0</v>
      </c>
      <c r="D170" s="57" t="s">
        <v>31</v>
      </c>
      <c r="E170" s="126" t="s">
        <v>32</v>
      </c>
      <c r="F170" s="110">
        <v>50.0</v>
      </c>
      <c r="G170" s="35"/>
      <c r="H170" s="111">
        <v>0.0</v>
      </c>
      <c r="I170" s="35"/>
      <c r="J170" s="111">
        <v>0.0</v>
      </c>
      <c r="K170" s="35"/>
      <c r="L170" s="111">
        <v>0.0</v>
      </c>
      <c r="M170" s="35"/>
      <c r="N170" s="111">
        <v>0.0</v>
      </c>
      <c r="O170" s="35"/>
      <c r="P170" s="111">
        <v>0.0</v>
      </c>
      <c r="Q170" s="37"/>
      <c r="R170" s="112"/>
      <c r="S170" s="35"/>
      <c r="T170" s="113"/>
      <c r="U170" s="35"/>
      <c r="V170" s="113"/>
      <c r="W170" s="35"/>
      <c r="X170" s="113"/>
      <c r="Y170" s="35"/>
      <c r="Z170" s="113"/>
      <c r="AA170" s="35"/>
      <c r="AB170" s="113"/>
      <c r="AC170" s="37"/>
      <c r="AD170" s="56">
        <f t="shared" si="1"/>
        <v>1315.5</v>
      </c>
      <c r="AE170" s="57">
        <f t="shared" si="2"/>
        <v>50</v>
      </c>
      <c r="AF170" s="57">
        <f t="shared" si="3"/>
        <v>0</v>
      </c>
      <c r="AG170" s="57">
        <f t="shared" si="4"/>
        <v>50</v>
      </c>
      <c r="AH170" s="127">
        <f t="shared" si="5"/>
        <v>26.31</v>
      </c>
    </row>
    <row r="171" ht="15.75" customHeight="1">
      <c r="A171" s="116" t="s">
        <v>21</v>
      </c>
      <c r="B171" s="117">
        <f t="shared" si="6"/>
        <v>45824</v>
      </c>
      <c r="C171" s="87">
        <v>7.0</v>
      </c>
      <c r="D171" s="87" t="s">
        <v>22</v>
      </c>
      <c r="E171" s="118" t="s">
        <v>33</v>
      </c>
      <c r="F171" s="46"/>
      <c r="H171" s="47"/>
      <c r="J171" s="47"/>
      <c r="L171" s="47"/>
      <c r="N171" s="47"/>
      <c r="P171" s="47"/>
      <c r="Q171" s="22"/>
      <c r="R171" s="49"/>
      <c r="T171" s="48"/>
      <c r="V171" s="48"/>
      <c r="X171" s="48"/>
      <c r="Z171" s="48"/>
      <c r="AB171" s="48"/>
      <c r="AC171" s="22"/>
      <c r="AD171" s="86">
        <f t="shared" si="1"/>
        <v>0</v>
      </c>
      <c r="AE171" s="87">
        <f t="shared" si="2"/>
        <v>0</v>
      </c>
      <c r="AF171" s="87">
        <f t="shared" si="3"/>
        <v>0</v>
      </c>
      <c r="AG171" s="87">
        <f t="shared" si="4"/>
        <v>0</v>
      </c>
      <c r="AH171" s="119" t="str">
        <f t="shared" si="5"/>
        <v/>
      </c>
    </row>
    <row r="172" ht="15.75" customHeight="1">
      <c r="A172" s="120" t="s">
        <v>23</v>
      </c>
      <c r="B172" s="121">
        <f t="shared" si="6"/>
        <v>45825</v>
      </c>
      <c r="C172" s="51">
        <v>7.0</v>
      </c>
      <c r="D172" s="51" t="s">
        <v>22</v>
      </c>
      <c r="E172" s="122" t="s">
        <v>33</v>
      </c>
      <c r="F172" s="46"/>
      <c r="H172" s="47"/>
      <c r="J172" s="47"/>
      <c r="L172" s="47"/>
      <c r="N172" s="47"/>
      <c r="P172" s="47"/>
      <c r="Q172" s="22"/>
      <c r="R172" s="49"/>
      <c r="T172" s="48"/>
      <c r="V172" s="48"/>
      <c r="X172" s="48"/>
      <c r="Z172" s="48"/>
      <c r="AB172" s="48"/>
      <c r="AC172" s="22"/>
      <c r="AD172" s="50">
        <f t="shared" si="1"/>
        <v>0</v>
      </c>
      <c r="AE172" s="51">
        <f t="shared" si="2"/>
        <v>0</v>
      </c>
      <c r="AF172" s="51">
        <f t="shared" si="3"/>
        <v>0</v>
      </c>
      <c r="AG172" s="51">
        <f t="shared" si="4"/>
        <v>0</v>
      </c>
      <c r="AH172" s="123" t="str">
        <f t="shared" si="5"/>
        <v/>
      </c>
    </row>
    <row r="173" ht="15.75" customHeight="1">
      <c r="A173" s="120" t="s">
        <v>24</v>
      </c>
      <c r="B173" s="121">
        <f t="shared" si="6"/>
        <v>45826</v>
      </c>
      <c r="C173" s="51">
        <v>7.0</v>
      </c>
      <c r="D173" s="51" t="s">
        <v>22</v>
      </c>
      <c r="E173" s="122" t="s">
        <v>33</v>
      </c>
      <c r="F173" s="46"/>
      <c r="H173" s="47"/>
      <c r="J173" s="47"/>
      <c r="L173" s="47"/>
      <c r="N173" s="47"/>
      <c r="P173" s="47"/>
      <c r="Q173" s="22"/>
      <c r="R173" s="49"/>
      <c r="T173" s="48"/>
      <c r="V173" s="48"/>
      <c r="X173" s="48"/>
      <c r="Z173" s="48"/>
      <c r="AB173" s="48"/>
      <c r="AC173" s="22"/>
      <c r="AD173" s="50">
        <f t="shared" si="1"/>
        <v>0</v>
      </c>
      <c r="AE173" s="51">
        <f t="shared" si="2"/>
        <v>0</v>
      </c>
      <c r="AF173" s="51">
        <f t="shared" si="3"/>
        <v>0</v>
      </c>
      <c r="AG173" s="51">
        <f t="shared" si="4"/>
        <v>0</v>
      </c>
      <c r="AH173" s="123" t="str">
        <f t="shared" si="5"/>
        <v/>
      </c>
    </row>
    <row r="174" ht="15.75" customHeight="1">
      <c r="A174" s="120" t="s">
        <v>25</v>
      </c>
      <c r="B174" s="121">
        <f t="shared" si="6"/>
        <v>45827</v>
      </c>
      <c r="C174" s="51">
        <v>7.0</v>
      </c>
      <c r="D174" s="51" t="s">
        <v>22</v>
      </c>
      <c r="E174" s="122" t="s">
        <v>33</v>
      </c>
      <c r="F174" s="46"/>
      <c r="H174" s="47"/>
      <c r="J174" s="47"/>
      <c r="L174" s="47"/>
      <c r="N174" s="47"/>
      <c r="P174" s="47"/>
      <c r="Q174" s="22"/>
      <c r="R174" s="49"/>
      <c r="T174" s="48"/>
      <c r="V174" s="48"/>
      <c r="X174" s="48"/>
      <c r="Z174" s="48"/>
      <c r="AB174" s="48"/>
      <c r="AC174" s="22"/>
      <c r="AD174" s="50">
        <f t="shared" si="1"/>
        <v>0</v>
      </c>
      <c r="AE174" s="51">
        <f t="shared" si="2"/>
        <v>0</v>
      </c>
      <c r="AF174" s="51">
        <f t="shared" si="3"/>
        <v>0</v>
      </c>
      <c r="AG174" s="51">
        <f t="shared" si="4"/>
        <v>0</v>
      </c>
      <c r="AH174" s="123" t="str">
        <f t="shared" si="5"/>
        <v/>
      </c>
    </row>
    <row r="175" ht="15.75" customHeight="1">
      <c r="A175" s="120" t="s">
        <v>26</v>
      </c>
      <c r="B175" s="121">
        <f t="shared" si="6"/>
        <v>45828</v>
      </c>
      <c r="C175" s="51">
        <v>7.0</v>
      </c>
      <c r="D175" s="51" t="s">
        <v>22</v>
      </c>
      <c r="E175" s="122" t="s">
        <v>33</v>
      </c>
      <c r="F175" s="46"/>
      <c r="H175" s="47"/>
      <c r="J175" s="47"/>
      <c r="L175" s="47"/>
      <c r="N175" s="47"/>
      <c r="P175" s="47"/>
      <c r="Q175" s="22"/>
      <c r="R175" s="49"/>
      <c r="T175" s="48"/>
      <c r="V175" s="48"/>
      <c r="X175" s="48"/>
      <c r="Z175" s="48"/>
      <c r="AB175" s="48"/>
      <c r="AC175" s="22"/>
      <c r="AD175" s="50">
        <f t="shared" si="1"/>
        <v>0</v>
      </c>
      <c r="AE175" s="51">
        <f t="shared" si="2"/>
        <v>0</v>
      </c>
      <c r="AF175" s="51">
        <f t="shared" si="3"/>
        <v>0</v>
      </c>
      <c r="AG175" s="51">
        <f t="shared" si="4"/>
        <v>0</v>
      </c>
      <c r="AH175" s="123" t="str">
        <f t="shared" si="5"/>
        <v/>
      </c>
    </row>
    <row r="176" ht="15.75" customHeight="1">
      <c r="A176" s="120" t="s">
        <v>27</v>
      </c>
      <c r="B176" s="121">
        <f t="shared" si="6"/>
        <v>45829</v>
      </c>
      <c r="C176" s="51">
        <v>7.0</v>
      </c>
      <c r="D176" s="51" t="s">
        <v>22</v>
      </c>
      <c r="E176" s="122" t="s">
        <v>33</v>
      </c>
      <c r="F176" s="46"/>
      <c r="H176" s="47"/>
      <c r="J176" s="47"/>
      <c r="L176" s="47"/>
      <c r="N176" s="47"/>
      <c r="P176" s="47"/>
      <c r="Q176" s="22"/>
      <c r="R176" s="49"/>
      <c r="T176" s="48"/>
      <c r="V176" s="48"/>
      <c r="X176" s="48"/>
      <c r="Z176" s="48"/>
      <c r="AB176" s="48"/>
      <c r="AC176" s="22"/>
      <c r="AD176" s="50">
        <f t="shared" si="1"/>
        <v>0</v>
      </c>
      <c r="AE176" s="51">
        <f t="shared" si="2"/>
        <v>0</v>
      </c>
      <c r="AF176" s="51">
        <f t="shared" si="3"/>
        <v>0</v>
      </c>
      <c r="AG176" s="51">
        <f t="shared" si="4"/>
        <v>0</v>
      </c>
      <c r="AH176" s="123" t="str">
        <f t="shared" si="5"/>
        <v/>
      </c>
    </row>
    <row r="177" ht="15.75" customHeight="1">
      <c r="A177" s="124" t="s">
        <v>28</v>
      </c>
      <c r="B177" s="125">
        <f t="shared" si="6"/>
        <v>45830</v>
      </c>
      <c r="C177" s="57">
        <v>7.0</v>
      </c>
      <c r="D177" s="57" t="s">
        <v>22</v>
      </c>
      <c r="E177" s="126" t="s">
        <v>33</v>
      </c>
      <c r="F177" s="53"/>
      <c r="G177" s="35"/>
      <c r="H177" s="53"/>
      <c r="I177" s="35"/>
      <c r="J177" s="53"/>
      <c r="K177" s="35"/>
      <c r="L177" s="53"/>
      <c r="M177" s="35"/>
      <c r="N177" s="53"/>
      <c r="O177" s="35"/>
      <c r="P177" s="53"/>
      <c r="Q177" s="37"/>
      <c r="R177" s="55"/>
      <c r="S177" s="35"/>
      <c r="T177" s="54"/>
      <c r="U177" s="35"/>
      <c r="V177" s="54"/>
      <c r="W177" s="35"/>
      <c r="X177" s="54"/>
      <c r="Y177" s="35"/>
      <c r="Z177" s="54"/>
      <c r="AA177" s="35"/>
      <c r="AB177" s="54"/>
      <c r="AC177" s="37"/>
      <c r="AD177" s="56">
        <f t="shared" si="1"/>
        <v>0</v>
      </c>
      <c r="AE177" s="57">
        <f t="shared" si="2"/>
        <v>0</v>
      </c>
      <c r="AF177" s="57">
        <f t="shared" si="3"/>
        <v>0</v>
      </c>
      <c r="AG177" s="57">
        <f t="shared" si="4"/>
        <v>0</v>
      </c>
      <c r="AH177" s="127" t="str">
        <f t="shared" si="5"/>
        <v/>
      </c>
    </row>
    <row r="178" ht="15.75" customHeight="1">
      <c r="A178" s="146" t="s">
        <v>21</v>
      </c>
      <c r="B178" s="147">
        <f t="shared" si="6"/>
        <v>45831</v>
      </c>
      <c r="C178" s="148">
        <v>7.0</v>
      </c>
      <c r="D178" s="148" t="s">
        <v>29</v>
      </c>
      <c r="E178" s="149" t="s">
        <v>33</v>
      </c>
      <c r="F178" s="150">
        <v>0.0</v>
      </c>
      <c r="H178" s="151">
        <v>0.0</v>
      </c>
      <c r="J178" s="151">
        <v>0.0</v>
      </c>
      <c r="L178" s="151">
        <v>0.0</v>
      </c>
      <c r="N178" s="151">
        <v>0.0</v>
      </c>
      <c r="P178" s="151">
        <v>0.0</v>
      </c>
      <c r="Q178" s="22"/>
      <c r="R178" s="152"/>
      <c r="T178" s="153"/>
      <c r="V178" s="153"/>
      <c r="X178" s="153"/>
      <c r="Z178" s="153"/>
      <c r="AB178" s="153"/>
      <c r="AC178" s="22"/>
      <c r="AD178" s="154">
        <f t="shared" si="1"/>
        <v>0</v>
      </c>
      <c r="AE178" s="148">
        <f t="shared" si="2"/>
        <v>0</v>
      </c>
      <c r="AF178" s="148">
        <f t="shared" si="3"/>
        <v>0</v>
      </c>
      <c r="AG178" s="148">
        <f t="shared" si="4"/>
        <v>0</v>
      </c>
      <c r="AH178" s="155" t="str">
        <f t="shared" si="5"/>
        <v/>
      </c>
    </row>
    <row r="179" ht="15.75" customHeight="1">
      <c r="A179" s="156" t="s">
        <v>23</v>
      </c>
      <c r="B179" s="157">
        <f t="shared" si="6"/>
        <v>45832</v>
      </c>
      <c r="C179" s="158">
        <v>7.0</v>
      </c>
      <c r="D179" s="158" t="s">
        <v>29</v>
      </c>
      <c r="E179" s="159" t="s">
        <v>34</v>
      </c>
      <c r="F179" s="150">
        <v>0.0</v>
      </c>
      <c r="H179" s="151">
        <v>50.0</v>
      </c>
      <c r="J179" s="151">
        <v>0.0</v>
      </c>
      <c r="L179" s="151">
        <v>0.0</v>
      </c>
      <c r="N179" s="151">
        <v>0.0</v>
      </c>
      <c r="P179" s="151">
        <v>0.0</v>
      </c>
      <c r="Q179" s="22"/>
      <c r="R179" s="152"/>
      <c r="T179" s="153"/>
      <c r="V179" s="153"/>
      <c r="X179" s="153"/>
      <c r="Z179" s="153"/>
      <c r="AB179" s="153"/>
      <c r="AC179" s="22"/>
      <c r="AD179" s="160">
        <f t="shared" si="1"/>
        <v>1315.5</v>
      </c>
      <c r="AE179" s="158">
        <f t="shared" si="2"/>
        <v>50</v>
      </c>
      <c r="AF179" s="158">
        <f t="shared" si="3"/>
        <v>0</v>
      </c>
      <c r="AG179" s="158">
        <f t="shared" si="4"/>
        <v>50</v>
      </c>
      <c r="AH179" s="161">
        <f t="shared" si="5"/>
        <v>26.31</v>
      </c>
    </row>
    <row r="180" ht="15.75" customHeight="1">
      <c r="A180" s="156" t="s">
        <v>24</v>
      </c>
      <c r="B180" s="157">
        <f t="shared" si="6"/>
        <v>45833</v>
      </c>
      <c r="C180" s="158">
        <v>7.0</v>
      </c>
      <c r="D180" s="158" t="s">
        <v>29</v>
      </c>
      <c r="E180" s="159" t="s">
        <v>32</v>
      </c>
      <c r="F180" s="150">
        <v>50.0</v>
      </c>
      <c r="H180" s="151">
        <v>0.0</v>
      </c>
      <c r="J180" s="151">
        <v>55.0</v>
      </c>
      <c r="L180" s="151">
        <v>0.0</v>
      </c>
      <c r="N180" s="151">
        <v>0.0</v>
      </c>
      <c r="P180" s="151">
        <v>0.0</v>
      </c>
      <c r="Q180" s="22"/>
      <c r="R180" s="152"/>
      <c r="T180" s="153"/>
      <c r="V180" s="153"/>
      <c r="X180" s="153"/>
      <c r="Z180" s="153"/>
      <c r="AB180" s="153"/>
      <c r="AC180" s="22"/>
      <c r="AD180" s="160">
        <f t="shared" si="1"/>
        <v>2762.55</v>
      </c>
      <c r="AE180" s="158">
        <f t="shared" si="2"/>
        <v>105</v>
      </c>
      <c r="AF180" s="158">
        <f t="shared" si="3"/>
        <v>0</v>
      </c>
      <c r="AG180" s="158">
        <f t="shared" si="4"/>
        <v>105</v>
      </c>
      <c r="AH180" s="161">
        <f t="shared" si="5"/>
        <v>26.31</v>
      </c>
    </row>
    <row r="181" ht="15.75" customHeight="1">
      <c r="A181" s="156" t="s">
        <v>25</v>
      </c>
      <c r="B181" s="157">
        <f t="shared" si="6"/>
        <v>45834</v>
      </c>
      <c r="C181" s="158">
        <v>7.0</v>
      </c>
      <c r="D181" s="158" t="s">
        <v>29</v>
      </c>
      <c r="E181" s="159" t="s">
        <v>34</v>
      </c>
      <c r="F181" s="150">
        <v>0.0</v>
      </c>
      <c r="H181" s="151">
        <v>50.0</v>
      </c>
      <c r="J181" s="151">
        <v>55.0</v>
      </c>
      <c r="L181" s="151">
        <v>0.0</v>
      </c>
      <c r="N181" s="151">
        <v>0.0</v>
      </c>
      <c r="P181" s="151">
        <v>0.0</v>
      </c>
      <c r="Q181" s="22"/>
      <c r="R181" s="152"/>
      <c r="T181" s="153"/>
      <c r="V181" s="153"/>
      <c r="X181" s="153"/>
      <c r="Z181" s="153"/>
      <c r="AB181" s="153"/>
      <c r="AC181" s="22"/>
      <c r="AD181" s="160">
        <f t="shared" si="1"/>
        <v>2762.55</v>
      </c>
      <c r="AE181" s="158">
        <f t="shared" si="2"/>
        <v>105</v>
      </c>
      <c r="AF181" s="158">
        <f t="shared" si="3"/>
        <v>0</v>
      </c>
      <c r="AG181" s="158">
        <f t="shared" si="4"/>
        <v>105</v>
      </c>
      <c r="AH181" s="161">
        <f t="shared" si="5"/>
        <v>26.31</v>
      </c>
    </row>
    <row r="182" ht="15.75" customHeight="1">
      <c r="A182" s="156" t="s">
        <v>26</v>
      </c>
      <c r="B182" s="157">
        <f t="shared" si="6"/>
        <v>45835</v>
      </c>
      <c r="C182" s="158">
        <v>7.0</v>
      </c>
      <c r="D182" s="158" t="s">
        <v>29</v>
      </c>
      <c r="E182" s="159" t="s">
        <v>34</v>
      </c>
      <c r="F182" s="150">
        <v>0.0</v>
      </c>
      <c r="H182" s="151">
        <v>50.0</v>
      </c>
      <c r="J182" s="151">
        <v>55.0</v>
      </c>
      <c r="L182" s="151">
        <v>0.0</v>
      </c>
      <c r="N182" s="151">
        <v>0.0</v>
      </c>
      <c r="P182" s="151">
        <v>0.0</v>
      </c>
      <c r="Q182" s="22"/>
      <c r="R182" s="152"/>
      <c r="T182" s="153"/>
      <c r="V182" s="153"/>
      <c r="X182" s="153"/>
      <c r="Z182" s="153"/>
      <c r="AB182" s="153"/>
      <c r="AC182" s="22"/>
      <c r="AD182" s="160">
        <f t="shared" si="1"/>
        <v>2762.55</v>
      </c>
      <c r="AE182" s="158">
        <f t="shared" si="2"/>
        <v>105</v>
      </c>
      <c r="AF182" s="158">
        <f t="shared" si="3"/>
        <v>0</v>
      </c>
      <c r="AG182" s="158">
        <f t="shared" si="4"/>
        <v>105</v>
      </c>
      <c r="AH182" s="161">
        <f t="shared" si="5"/>
        <v>26.31</v>
      </c>
    </row>
    <row r="183" ht="15.75" customHeight="1">
      <c r="A183" s="156" t="s">
        <v>27</v>
      </c>
      <c r="B183" s="157">
        <f t="shared" si="6"/>
        <v>45836</v>
      </c>
      <c r="C183" s="158">
        <v>7.0</v>
      </c>
      <c r="D183" s="158" t="s">
        <v>29</v>
      </c>
      <c r="E183" s="159" t="s">
        <v>34</v>
      </c>
      <c r="F183" s="150">
        <v>0.0</v>
      </c>
      <c r="H183" s="151">
        <v>50.0</v>
      </c>
      <c r="J183" s="151">
        <v>55.0</v>
      </c>
      <c r="L183" s="151">
        <v>0.0</v>
      </c>
      <c r="N183" s="151">
        <v>0.0</v>
      </c>
      <c r="P183" s="151">
        <v>0.0</v>
      </c>
      <c r="Q183" s="22"/>
      <c r="R183" s="152"/>
      <c r="T183" s="153"/>
      <c r="V183" s="153"/>
      <c r="X183" s="153"/>
      <c r="Z183" s="153"/>
      <c r="AB183" s="153"/>
      <c r="AC183" s="22"/>
      <c r="AD183" s="160">
        <f t="shared" si="1"/>
        <v>2762.55</v>
      </c>
      <c r="AE183" s="158">
        <f t="shared" si="2"/>
        <v>105</v>
      </c>
      <c r="AF183" s="158">
        <f t="shared" si="3"/>
        <v>0</v>
      </c>
      <c r="AG183" s="158">
        <f t="shared" si="4"/>
        <v>105</v>
      </c>
      <c r="AH183" s="161">
        <f t="shared" si="5"/>
        <v>26.31</v>
      </c>
    </row>
    <row r="184" ht="15.75" customHeight="1">
      <c r="A184" s="162" t="s">
        <v>28</v>
      </c>
      <c r="B184" s="163">
        <f t="shared" si="6"/>
        <v>45837</v>
      </c>
      <c r="C184" s="164">
        <v>7.0</v>
      </c>
      <c r="D184" s="164" t="s">
        <v>29</v>
      </c>
      <c r="E184" s="165" t="s">
        <v>32</v>
      </c>
      <c r="F184" s="166">
        <v>50.0</v>
      </c>
      <c r="G184" s="35"/>
      <c r="H184" s="167">
        <v>0.0</v>
      </c>
      <c r="I184" s="35"/>
      <c r="J184" s="167">
        <v>0.0</v>
      </c>
      <c r="K184" s="35"/>
      <c r="L184" s="167">
        <v>0.0</v>
      </c>
      <c r="M184" s="35"/>
      <c r="N184" s="167">
        <v>0.0</v>
      </c>
      <c r="O184" s="35"/>
      <c r="P184" s="167">
        <v>0.0</v>
      </c>
      <c r="Q184" s="37"/>
      <c r="R184" s="168"/>
      <c r="S184" s="35"/>
      <c r="T184" s="169"/>
      <c r="U184" s="35"/>
      <c r="V184" s="169"/>
      <c r="W184" s="35"/>
      <c r="X184" s="169"/>
      <c r="Y184" s="35"/>
      <c r="Z184" s="169"/>
      <c r="AA184" s="35"/>
      <c r="AB184" s="169"/>
      <c r="AC184" s="37"/>
      <c r="AD184" s="170">
        <f t="shared" si="1"/>
        <v>1315.5</v>
      </c>
      <c r="AE184" s="164">
        <f t="shared" si="2"/>
        <v>50</v>
      </c>
      <c r="AF184" s="164">
        <f t="shared" si="3"/>
        <v>0</v>
      </c>
      <c r="AG184" s="164">
        <f t="shared" si="4"/>
        <v>50</v>
      </c>
      <c r="AH184" s="171">
        <f t="shared" si="5"/>
        <v>26.31</v>
      </c>
    </row>
    <row r="185" ht="15.75" customHeight="1">
      <c r="A185" s="90" t="s">
        <v>21</v>
      </c>
      <c r="B185" s="91">
        <f t="shared" si="6"/>
        <v>45838</v>
      </c>
      <c r="C185" s="92">
        <v>7.0</v>
      </c>
      <c r="D185" s="92" t="s">
        <v>30</v>
      </c>
      <c r="E185" s="103" t="s">
        <v>33</v>
      </c>
      <c r="F185" s="94">
        <v>0.0</v>
      </c>
      <c r="H185" s="95">
        <v>0.0</v>
      </c>
      <c r="J185" s="95">
        <v>0.0</v>
      </c>
      <c r="L185" s="95">
        <v>0.0</v>
      </c>
      <c r="N185" s="95">
        <v>0.0</v>
      </c>
      <c r="P185" s="95">
        <v>0.0</v>
      </c>
      <c r="Q185" s="22"/>
      <c r="R185" s="96"/>
      <c r="T185" s="97"/>
      <c r="V185" s="97"/>
      <c r="X185" s="97"/>
      <c r="Z185" s="97"/>
      <c r="AB185" s="97"/>
      <c r="AC185" s="22"/>
      <c r="AD185" s="98">
        <f t="shared" si="1"/>
        <v>0</v>
      </c>
      <c r="AE185" s="92">
        <f t="shared" si="2"/>
        <v>0</v>
      </c>
      <c r="AF185" s="92">
        <f t="shared" si="3"/>
        <v>0</v>
      </c>
      <c r="AG185" s="92">
        <f t="shared" si="4"/>
        <v>0</v>
      </c>
      <c r="AH185" s="99" t="str">
        <f t="shared" si="5"/>
        <v/>
      </c>
    </row>
    <row r="186" ht="15.75" customHeight="1">
      <c r="A186" s="100" t="s">
        <v>23</v>
      </c>
      <c r="B186" s="101">
        <f t="shared" si="6"/>
        <v>45839</v>
      </c>
      <c r="C186" s="102">
        <v>7.0</v>
      </c>
      <c r="D186" s="102" t="s">
        <v>30</v>
      </c>
      <c r="E186" s="103" t="s">
        <v>34</v>
      </c>
      <c r="F186" s="94">
        <v>0.0</v>
      </c>
      <c r="H186" s="95">
        <v>50.0</v>
      </c>
      <c r="J186" s="95">
        <v>55.0</v>
      </c>
      <c r="L186" s="95">
        <v>0.0</v>
      </c>
      <c r="N186" s="95">
        <v>0.0</v>
      </c>
      <c r="P186" s="95">
        <v>0.0</v>
      </c>
      <c r="Q186" s="22"/>
      <c r="R186" s="96"/>
      <c r="T186" s="97"/>
      <c r="V186" s="97"/>
      <c r="X186" s="97"/>
      <c r="Z186" s="97"/>
      <c r="AB186" s="97"/>
      <c r="AC186" s="22"/>
      <c r="AD186" s="104">
        <f t="shared" si="1"/>
        <v>2762.55</v>
      </c>
      <c r="AE186" s="102">
        <f t="shared" si="2"/>
        <v>105</v>
      </c>
      <c r="AF186" s="102">
        <f t="shared" si="3"/>
        <v>0</v>
      </c>
      <c r="AG186" s="102">
        <f t="shared" si="4"/>
        <v>105</v>
      </c>
      <c r="AH186" s="105">
        <f t="shared" si="5"/>
        <v>26.31</v>
      </c>
    </row>
    <row r="187" ht="15.75" customHeight="1">
      <c r="A187" s="100" t="s">
        <v>24</v>
      </c>
      <c r="B187" s="101">
        <f t="shared" si="6"/>
        <v>45840</v>
      </c>
      <c r="C187" s="102">
        <v>7.0</v>
      </c>
      <c r="D187" s="102" t="s">
        <v>30</v>
      </c>
      <c r="E187" s="103" t="s">
        <v>34</v>
      </c>
      <c r="F187" s="94">
        <v>0.0</v>
      </c>
      <c r="H187" s="95">
        <v>50.0</v>
      </c>
      <c r="J187" s="95">
        <v>55.0</v>
      </c>
      <c r="L187" s="95">
        <v>0.0</v>
      </c>
      <c r="N187" s="95">
        <v>0.0</v>
      </c>
      <c r="P187" s="95">
        <v>0.0</v>
      </c>
      <c r="Q187" s="22"/>
      <c r="R187" s="96"/>
      <c r="T187" s="97"/>
      <c r="V187" s="97"/>
      <c r="X187" s="97"/>
      <c r="Z187" s="97"/>
      <c r="AB187" s="97"/>
      <c r="AC187" s="22"/>
      <c r="AD187" s="104">
        <f t="shared" si="1"/>
        <v>2762.55</v>
      </c>
      <c r="AE187" s="102">
        <f t="shared" si="2"/>
        <v>105</v>
      </c>
      <c r="AF187" s="102">
        <f t="shared" si="3"/>
        <v>0</v>
      </c>
      <c r="AG187" s="102">
        <f t="shared" si="4"/>
        <v>105</v>
      </c>
      <c r="AH187" s="105">
        <f t="shared" si="5"/>
        <v>26.31</v>
      </c>
    </row>
    <row r="188" ht="15.75" customHeight="1">
      <c r="A188" s="100" t="s">
        <v>25</v>
      </c>
      <c r="B188" s="101">
        <f t="shared" si="6"/>
        <v>45841</v>
      </c>
      <c r="C188" s="102">
        <v>7.0</v>
      </c>
      <c r="D188" s="102" t="s">
        <v>30</v>
      </c>
      <c r="E188" s="103" t="s">
        <v>34</v>
      </c>
      <c r="F188" s="94">
        <v>0.0</v>
      </c>
      <c r="H188" s="95">
        <v>50.0</v>
      </c>
      <c r="J188" s="95">
        <v>0.0</v>
      </c>
      <c r="L188" s="95">
        <v>0.0</v>
      </c>
      <c r="N188" s="95">
        <v>0.0</v>
      </c>
      <c r="P188" s="95">
        <v>0.0</v>
      </c>
      <c r="Q188" s="22"/>
      <c r="R188" s="96"/>
      <c r="T188" s="97"/>
      <c r="V188" s="97"/>
      <c r="X188" s="97"/>
      <c r="Z188" s="97"/>
      <c r="AB188" s="97"/>
      <c r="AC188" s="22"/>
      <c r="AD188" s="104">
        <f t="shared" si="1"/>
        <v>1315.5</v>
      </c>
      <c r="AE188" s="102">
        <f t="shared" si="2"/>
        <v>50</v>
      </c>
      <c r="AF188" s="102">
        <f t="shared" si="3"/>
        <v>0</v>
      </c>
      <c r="AG188" s="102">
        <f t="shared" si="4"/>
        <v>50</v>
      </c>
      <c r="AH188" s="105">
        <f t="shared" si="5"/>
        <v>26.31</v>
      </c>
    </row>
    <row r="189" ht="15.75" customHeight="1">
      <c r="A189" s="100" t="s">
        <v>26</v>
      </c>
      <c r="B189" s="101">
        <f t="shared" si="6"/>
        <v>45842</v>
      </c>
      <c r="C189" s="102">
        <v>7.0</v>
      </c>
      <c r="D189" s="102" t="s">
        <v>30</v>
      </c>
      <c r="E189" s="103" t="s">
        <v>33</v>
      </c>
      <c r="F189" s="94">
        <v>0.0</v>
      </c>
      <c r="H189" s="95">
        <v>0.0</v>
      </c>
      <c r="J189" s="95">
        <v>0.0</v>
      </c>
      <c r="L189" s="95">
        <v>0.0</v>
      </c>
      <c r="N189" s="95">
        <v>0.0</v>
      </c>
      <c r="P189" s="95">
        <v>0.0</v>
      </c>
      <c r="Q189" s="22"/>
      <c r="R189" s="96"/>
      <c r="T189" s="97"/>
      <c r="V189" s="97"/>
      <c r="X189" s="97"/>
      <c r="Z189" s="97"/>
      <c r="AB189" s="97"/>
      <c r="AC189" s="22"/>
      <c r="AD189" s="104">
        <f t="shared" si="1"/>
        <v>0</v>
      </c>
      <c r="AE189" s="102">
        <f t="shared" si="2"/>
        <v>0</v>
      </c>
      <c r="AF189" s="102">
        <f t="shared" si="3"/>
        <v>0</v>
      </c>
      <c r="AG189" s="102">
        <f t="shared" si="4"/>
        <v>0</v>
      </c>
      <c r="AH189" s="105" t="str">
        <f t="shared" si="5"/>
        <v/>
      </c>
    </row>
    <row r="190" ht="15.75" customHeight="1">
      <c r="A190" s="100" t="s">
        <v>27</v>
      </c>
      <c r="B190" s="101">
        <f t="shared" si="6"/>
        <v>45843</v>
      </c>
      <c r="C190" s="102">
        <v>7.0</v>
      </c>
      <c r="D190" s="102" t="s">
        <v>30</v>
      </c>
      <c r="E190" s="103" t="s">
        <v>33</v>
      </c>
      <c r="F190" s="94">
        <v>0.0</v>
      </c>
      <c r="H190" s="95">
        <v>0.0</v>
      </c>
      <c r="J190" s="95">
        <v>0.0</v>
      </c>
      <c r="L190" s="95">
        <v>0.0</v>
      </c>
      <c r="N190" s="95">
        <v>0.0</v>
      </c>
      <c r="P190" s="95">
        <v>0.0</v>
      </c>
      <c r="Q190" s="22"/>
      <c r="R190" s="96"/>
      <c r="T190" s="97"/>
      <c r="V190" s="97"/>
      <c r="X190" s="97"/>
      <c r="Z190" s="97"/>
      <c r="AB190" s="97"/>
      <c r="AC190" s="22"/>
      <c r="AD190" s="104">
        <f t="shared" si="1"/>
        <v>0</v>
      </c>
      <c r="AE190" s="102">
        <f t="shared" si="2"/>
        <v>0</v>
      </c>
      <c r="AF190" s="102">
        <f t="shared" si="3"/>
        <v>0</v>
      </c>
      <c r="AG190" s="102">
        <f t="shared" si="4"/>
        <v>0</v>
      </c>
      <c r="AH190" s="105" t="str">
        <f t="shared" si="5"/>
        <v/>
      </c>
    </row>
    <row r="191" ht="15.75" customHeight="1">
      <c r="A191" s="106" t="s">
        <v>28</v>
      </c>
      <c r="B191" s="107">
        <f t="shared" si="6"/>
        <v>45844</v>
      </c>
      <c r="C191" s="108">
        <v>7.0</v>
      </c>
      <c r="D191" s="108" t="s">
        <v>30</v>
      </c>
      <c r="E191" s="109" t="s">
        <v>33</v>
      </c>
      <c r="F191" s="110">
        <v>0.0</v>
      </c>
      <c r="G191" s="35"/>
      <c r="H191" s="111">
        <v>0.0</v>
      </c>
      <c r="I191" s="35"/>
      <c r="J191" s="111">
        <v>0.0</v>
      </c>
      <c r="K191" s="35"/>
      <c r="L191" s="111">
        <v>0.0</v>
      </c>
      <c r="M191" s="35"/>
      <c r="N191" s="111">
        <v>0.0</v>
      </c>
      <c r="O191" s="35"/>
      <c r="P191" s="111">
        <v>0.0</v>
      </c>
      <c r="Q191" s="37"/>
      <c r="R191" s="112"/>
      <c r="S191" s="35"/>
      <c r="T191" s="113"/>
      <c r="U191" s="35"/>
      <c r="V191" s="113"/>
      <c r="W191" s="35"/>
      <c r="X191" s="113"/>
      <c r="Y191" s="35"/>
      <c r="Z191" s="113"/>
      <c r="AA191" s="35"/>
      <c r="AB191" s="113"/>
      <c r="AC191" s="37"/>
      <c r="AD191" s="114">
        <f t="shared" si="1"/>
        <v>0</v>
      </c>
      <c r="AE191" s="108">
        <f t="shared" si="2"/>
        <v>0</v>
      </c>
      <c r="AF191" s="108">
        <f t="shared" si="3"/>
        <v>0</v>
      </c>
      <c r="AG191" s="108">
        <f t="shared" si="4"/>
        <v>0</v>
      </c>
      <c r="AH191" s="115" t="str">
        <f t="shared" si="5"/>
        <v/>
      </c>
    </row>
    <row r="192" ht="15.75" customHeight="1">
      <c r="A192" s="116" t="s">
        <v>21</v>
      </c>
      <c r="B192" s="117">
        <f t="shared" si="6"/>
        <v>45845</v>
      </c>
      <c r="C192" s="87">
        <v>7.0</v>
      </c>
      <c r="D192" s="87" t="s">
        <v>31</v>
      </c>
      <c r="E192" s="118" t="s">
        <v>33</v>
      </c>
      <c r="F192" s="46"/>
      <c r="H192" s="47"/>
      <c r="J192" s="47"/>
      <c r="L192" s="47"/>
      <c r="N192" s="47"/>
      <c r="P192" s="47"/>
      <c r="Q192" s="22"/>
      <c r="R192" s="49"/>
      <c r="T192" s="48"/>
      <c r="V192" s="48"/>
      <c r="X192" s="48"/>
      <c r="Z192" s="48"/>
      <c r="AB192" s="48"/>
      <c r="AC192" s="22"/>
      <c r="AD192" s="86">
        <f t="shared" si="1"/>
        <v>0</v>
      </c>
      <c r="AE192" s="87">
        <f t="shared" si="2"/>
        <v>0</v>
      </c>
      <c r="AF192" s="87">
        <f t="shared" si="3"/>
        <v>0</v>
      </c>
      <c r="AG192" s="87">
        <f t="shared" si="4"/>
        <v>0</v>
      </c>
      <c r="AH192" s="119" t="str">
        <f t="shared" si="5"/>
        <v/>
      </c>
    </row>
    <row r="193" ht="15.75" customHeight="1">
      <c r="A193" s="120" t="s">
        <v>23</v>
      </c>
      <c r="B193" s="121">
        <f t="shared" si="6"/>
        <v>45846</v>
      </c>
      <c r="C193" s="51">
        <v>7.0</v>
      </c>
      <c r="D193" s="51" t="s">
        <v>31</v>
      </c>
      <c r="E193" s="122" t="s">
        <v>33</v>
      </c>
      <c r="F193" s="46"/>
      <c r="H193" s="47"/>
      <c r="J193" s="47"/>
      <c r="L193" s="47"/>
      <c r="N193" s="47"/>
      <c r="P193" s="47"/>
      <c r="Q193" s="22"/>
      <c r="R193" s="49"/>
      <c r="T193" s="48"/>
      <c r="V193" s="48"/>
      <c r="X193" s="48"/>
      <c r="Z193" s="48"/>
      <c r="AB193" s="48"/>
      <c r="AC193" s="22"/>
      <c r="AD193" s="50">
        <f t="shared" si="1"/>
        <v>0</v>
      </c>
      <c r="AE193" s="51">
        <f t="shared" si="2"/>
        <v>0</v>
      </c>
      <c r="AF193" s="51">
        <f t="shared" si="3"/>
        <v>0</v>
      </c>
      <c r="AG193" s="51">
        <f t="shared" si="4"/>
        <v>0</v>
      </c>
      <c r="AH193" s="123" t="str">
        <f t="shared" si="5"/>
        <v/>
      </c>
    </row>
    <row r="194" ht="15.75" customHeight="1">
      <c r="A194" s="120" t="s">
        <v>24</v>
      </c>
      <c r="B194" s="121">
        <f t="shared" si="6"/>
        <v>45847</v>
      </c>
      <c r="C194" s="51">
        <v>7.0</v>
      </c>
      <c r="D194" s="51" t="s">
        <v>31</v>
      </c>
      <c r="E194" s="122" t="s">
        <v>33</v>
      </c>
      <c r="F194" s="46"/>
      <c r="H194" s="47"/>
      <c r="J194" s="47"/>
      <c r="L194" s="47"/>
      <c r="N194" s="47"/>
      <c r="P194" s="47"/>
      <c r="Q194" s="22"/>
      <c r="R194" s="49"/>
      <c r="T194" s="48"/>
      <c r="V194" s="48"/>
      <c r="X194" s="48"/>
      <c r="Z194" s="48"/>
      <c r="AB194" s="48"/>
      <c r="AC194" s="22"/>
      <c r="AD194" s="50">
        <f t="shared" si="1"/>
        <v>0</v>
      </c>
      <c r="AE194" s="51">
        <f t="shared" si="2"/>
        <v>0</v>
      </c>
      <c r="AF194" s="51">
        <f t="shared" si="3"/>
        <v>0</v>
      </c>
      <c r="AG194" s="51">
        <f t="shared" si="4"/>
        <v>0</v>
      </c>
      <c r="AH194" s="123" t="str">
        <f t="shared" si="5"/>
        <v/>
      </c>
    </row>
    <row r="195" ht="15.75" customHeight="1">
      <c r="A195" s="120" t="s">
        <v>25</v>
      </c>
      <c r="B195" s="121">
        <f t="shared" si="6"/>
        <v>45848</v>
      </c>
      <c r="C195" s="51">
        <v>7.0</v>
      </c>
      <c r="D195" s="51" t="s">
        <v>31</v>
      </c>
      <c r="E195" s="122" t="s">
        <v>33</v>
      </c>
      <c r="F195" s="46"/>
      <c r="H195" s="47"/>
      <c r="J195" s="47"/>
      <c r="L195" s="47"/>
      <c r="N195" s="47"/>
      <c r="P195" s="47"/>
      <c r="Q195" s="22"/>
      <c r="R195" s="49"/>
      <c r="T195" s="48"/>
      <c r="V195" s="48"/>
      <c r="X195" s="48"/>
      <c r="Z195" s="48"/>
      <c r="AB195" s="48"/>
      <c r="AC195" s="22"/>
      <c r="AD195" s="50">
        <f t="shared" si="1"/>
        <v>0</v>
      </c>
      <c r="AE195" s="51">
        <f t="shared" si="2"/>
        <v>0</v>
      </c>
      <c r="AF195" s="51">
        <f t="shared" si="3"/>
        <v>0</v>
      </c>
      <c r="AG195" s="51">
        <f t="shared" si="4"/>
        <v>0</v>
      </c>
      <c r="AH195" s="123" t="str">
        <f t="shared" si="5"/>
        <v/>
      </c>
    </row>
    <row r="196" ht="15.75" customHeight="1">
      <c r="A196" s="120" t="s">
        <v>26</v>
      </c>
      <c r="B196" s="121">
        <f t="shared" si="6"/>
        <v>45849</v>
      </c>
      <c r="C196" s="51">
        <v>7.0</v>
      </c>
      <c r="D196" s="51" t="s">
        <v>31</v>
      </c>
      <c r="E196" s="122" t="s">
        <v>33</v>
      </c>
      <c r="F196" s="46"/>
      <c r="H196" s="47"/>
      <c r="J196" s="47"/>
      <c r="L196" s="47"/>
      <c r="N196" s="47"/>
      <c r="P196" s="47"/>
      <c r="Q196" s="22"/>
      <c r="R196" s="49"/>
      <c r="T196" s="48"/>
      <c r="V196" s="48"/>
      <c r="X196" s="48"/>
      <c r="Z196" s="48"/>
      <c r="AB196" s="48"/>
      <c r="AC196" s="22"/>
      <c r="AD196" s="50">
        <f t="shared" si="1"/>
        <v>0</v>
      </c>
      <c r="AE196" s="51">
        <f t="shared" si="2"/>
        <v>0</v>
      </c>
      <c r="AF196" s="51">
        <f t="shared" si="3"/>
        <v>0</v>
      </c>
      <c r="AG196" s="51">
        <f t="shared" si="4"/>
        <v>0</v>
      </c>
      <c r="AH196" s="123" t="str">
        <f t="shared" si="5"/>
        <v/>
      </c>
    </row>
    <row r="197" ht="15.75" customHeight="1">
      <c r="A197" s="120" t="s">
        <v>27</v>
      </c>
      <c r="B197" s="121">
        <f t="shared" si="6"/>
        <v>45850</v>
      </c>
      <c r="C197" s="51">
        <v>7.0</v>
      </c>
      <c r="D197" s="51" t="s">
        <v>31</v>
      </c>
      <c r="E197" s="122" t="s">
        <v>33</v>
      </c>
      <c r="F197" s="46"/>
      <c r="H197" s="47"/>
      <c r="J197" s="47"/>
      <c r="L197" s="47"/>
      <c r="N197" s="47"/>
      <c r="P197" s="47"/>
      <c r="Q197" s="22"/>
      <c r="R197" s="49"/>
      <c r="T197" s="48"/>
      <c r="V197" s="48"/>
      <c r="X197" s="48"/>
      <c r="Z197" s="48"/>
      <c r="AB197" s="48"/>
      <c r="AC197" s="22"/>
      <c r="AD197" s="50">
        <f t="shared" si="1"/>
        <v>0</v>
      </c>
      <c r="AE197" s="51">
        <f t="shared" si="2"/>
        <v>0</v>
      </c>
      <c r="AF197" s="51">
        <f t="shared" si="3"/>
        <v>0</v>
      </c>
      <c r="AG197" s="51">
        <f t="shared" si="4"/>
        <v>0</v>
      </c>
      <c r="AH197" s="123" t="str">
        <f t="shared" si="5"/>
        <v/>
      </c>
    </row>
    <row r="198" ht="15.75" customHeight="1">
      <c r="A198" s="124" t="s">
        <v>28</v>
      </c>
      <c r="B198" s="125">
        <f t="shared" si="6"/>
        <v>45851</v>
      </c>
      <c r="C198" s="57">
        <v>7.0</v>
      </c>
      <c r="D198" s="57" t="s">
        <v>31</v>
      </c>
      <c r="E198" s="126" t="s">
        <v>33</v>
      </c>
      <c r="F198" s="53"/>
      <c r="G198" s="35"/>
      <c r="H198" s="53"/>
      <c r="I198" s="35"/>
      <c r="J198" s="53"/>
      <c r="K198" s="35"/>
      <c r="L198" s="53"/>
      <c r="M198" s="35"/>
      <c r="N198" s="53"/>
      <c r="O198" s="35"/>
      <c r="P198" s="53"/>
      <c r="Q198" s="37"/>
      <c r="R198" s="55"/>
      <c r="S198" s="35"/>
      <c r="T198" s="54"/>
      <c r="U198" s="35"/>
      <c r="V198" s="54"/>
      <c r="W198" s="35"/>
      <c r="X198" s="54"/>
      <c r="Y198" s="35"/>
      <c r="Z198" s="54"/>
      <c r="AA198" s="35"/>
      <c r="AB198" s="54"/>
      <c r="AC198" s="37"/>
      <c r="AD198" s="56">
        <f t="shared" si="1"/>
        <v>0</v>
      </c>
      <c r="AE198" s="57">
        <f t="shared" si="2"/>
        <v>0</v>
      </c>
      <c r="AF198" s="57">
        <f t="shared" si="3"/>
        <v>0</v>
      </c>
      <c r="AG198" s="57">
        <f t="shared" si="4"/>
        <v>0</v>
      </c>
      <c r="AH198" s="127" t="str">
        <f t="shared" si="5"/>
        <v/>
      </c>
    </row>
    <row r="199" ht="15.75" customHeight="1">
      <c r="A199" s="116" t="s">
        <v>21</v>
      </c>
      <c r="B199" s="117">
        <f t="shared" si="6"/>
        <v>45852</v>
      </c>
      <c r="C199" s="87">
        <v>8.0</v>
      </c>
      <c r="D199" s="87" t="s">
        <v>22</v>
      </c>
      <c r="E199" s="118" t="s">
        <v>33</v>
      </c>
      <c r="F199" s="138">
        <v>0.0</v>
      </c>
      <c r="H199" s="139">
        <v>0.0</v>
      </c>
      <c r="J199" s="139">
        <v>0.0</v>
      </c>
      <c r="L199" s="139">
        <v>0.0</v>
      </c>
      <c r="N199" s="139">
        <v>0.0</v>
      </c>
      <c r="P199" s="139">
        <v>0.0</v>
      </c>
      <c r="Q199" s="22"/>
      <c r="R199" s="140"/>
      <c r="T199" s="141"/>
      <c r="V199" s="141"/>
      <c r="X199" s="141"/>
      <c r="Z199" s="141"/>
      <c r="AB199" s="141"/>
      <c r="AC199" s="22"/>
      <c r="AD199" s="86">
        <f t="shared" si="1"/>
        <v>0</v>
      </c>
      <c r="AE199" s="87">
        <f t="shared" si="2"/>
        <v>0</v>
      </c>
      <c r="AF199" s="87">
        <f t="shared" si="3"/>
        <v>0</v>
      </c>
      <c r="AG199" s="87">
        <f t="shared" si="4"/>
        <v>0</v>
      </c>
      <c r="AH199" s="119" t="str">
        <f t="shared" si="5"/>
        <v/>
      </c>
    </row>
    <row r="200" ht="15.75" customHeight="1">
      <c r="A200" s="120" t="s">
        <v>23</v>
      </c>
      <c r="B200" s="121">
        <f t="shared" si="6"/>
        <v>45853</v>
      </c>
      <c r="C200" s="51">
        <v>8.0</v>
      </c>
      <c r="D200" s="51" t="s">
        <v>22</v>
      </c>
      <c r="E200" s="122" t="s">
        <v>33</v>
      </c>
      <c r="F200" s="138">
        <v>0.0</v>
      </c>
      <c r="H200" s="139">
        <v>0.0</v>
      </c>
      <c r="J200" s="139">
        <v>0.0</v>
      </c>
      <c r="L200" s="139">
        <v>0.0</v>
      </c>
      <c r="N200" s="139">
        <v>0.0</v>
      </c>
      <c r="P200" s="139">
        <v>0.0</v>
      </c>
      <c r="Q200" s="22"/>
      <c r="R200" s="140"/>
      <c r="T200" s="141"/>
      <c r="V200" s="141"/>
      <c r="X200" s="141"/>
      <c r="Z200" s="141"/>
      <c r="AB200" s="141"/>
      <c r="AC200" s="22"/>
      <c r="AD200" s="50">
        <f t="shared" si="1"/>
        <v>0</v>
      </c>
      <c r="AE200" s="51">
        <f t="shared" si="2"/>
        <v>0</v>
      </c>
      <c r="AF200" s="51">
        <f t="shared" si="3"/>
        <v>0</v>
      </c>
      <c r="AG200" s="51">
        <f t="shared" si="4"/>
        <v>0</v>
      </c>
      <c r="AH200" s="123" t="str">
        <f t="shared" si="5"/>
        <v/>
      </c>
    </row>
    <row r="201" ht="15.75" customHeight="1">
      <c r="A201" s="120" t="s">
        <v>24</v>
      </c>
      <c r="B201" s="121">
        <f t="shared" si="6"/>
        <v>45854</v>
      </c>
      <c r="C201" s="51">
        <v>8.0</v>
      </c>
      <c r="D201" s="51" t="s">
        <v>22</v>
      </c>
      <c r="E201" s="122" t="s">
        <v>33</v>
      </c>
      <c r="F201" s="138">
        <v>0.0</v>
      </c>
      <c r="H201" s="139">
        <v>0.0</v>
      </c>
      <c r="J201" s="139">
        <v>0.0</v>
      </c>
      <c r="L201" s="139">
        <v>0.0</v>
      </c>
      <c r="N201" s="139">
        <v>0.0</v>
      </c>
      <c r="P201" s="139">
        <v>0.0</v>
      </c>
      <c r="Q201" s="22"/>
      <c r="R201" s="140"/>
      <c r="T201" s="141"/>
      <c r="V201" s="141"/>
      <c r="X201" s="141"/>
      <c r="Z201" s="141"/>
      <c r="AB201" s="141"/>
      <c r="AC201" s="22"/>
      <c r="AD201" s="50">
        <f t="shared" si="1"/>
        <v>0</v>
      </c>
      <c r="AE201" s="51">
        <f t="shared" si="2"/>
        <v>0</v>
      </c>
      <c r="AF201" s="51">
        <f t="shared" si="3"/>
        <v>0</v>
      </c>
      <c r="AG201" s="51">
        <f t="shared" si="4"/>
        <v>0</v>
      </c>
      <c r="AH201" s="123" t="str">
        <f t="shared" si="5"/>
        <v/>
      </c>
    </row>
    <row r="202" ht="15.75" customHeight="1">
      <c r="A202" s="120" t="s">
        <v>25</v>
      </c>
      <c r="B202" s="121">
        <f t="shared" si="6"/>
        <v>45855</v>
      </c>
      <c r="C202" s="51">
        <v>8.0</v>
      </c>
      <c r="D202" s="51" t="s">
        <v>22</v>
      </c>
      <c r="E202" s="122" t="s">
        <v>33</v>
      </c>
      <c r="F202" s="138">
        <v>0.0</v>
      </c>
      <c r="H202" s="139">
        <v>0.0</v>
      </c>
      <c r="J202" s="139">
        <v>0.0</v>
      </c>
      <c r="L202" s="139">
        <v>0.0</v>
      </c>
      <c r="N202" s="139">
        <v>0.0</v>
      </c>
      <c r="P202" s="139">
        <v>0.0</v>
      </c>
      <c r="Q202" s="22"/>
      <c r="R202" s="140"/>
      <c r="T202" s="141"/>
      <c r="V202" s="141"/>
      <c r="X202" s="141"/>
      <c r="Z202" s="141"/>
      <c r="AB202" s="141"/>
      <c r="AC202" s="22"/>
      <c r="AD202" s="50">
        <f t="shared" si="1"/>
        <v>0</v>
      </c>
      <c r="AE202" s="51">
        <f t="shared" si="2"/>
        <v>0</v>
      </c>
      <c r="AF202" s="51">
        <f t="shared" si="3"/>
        <v>0</v>
      </c>
      <c r="AG202" s="51">
        <f t="shared" si="4"/>
        <v>0</v>
      </c>
      <c r="AH202" s="123" t="str">
        <f t="shared" si="5"/>
        <v/>
      </c>
    </row>
    <row r="203" ht="15.75" customHeight="1">
      <c r="A203" s="120" t="s">
        <v>26</v>
      </c>
      <c r="B203" s="121">
        <f t="shared" si="6"/>
        <v>45856</v>
      </c>
      <c r="C203" s="51">
        <v>8.0</v>
      </c>
      <c r="D203" s="51" t="s">
        <v>22</v>
      </c>
      <c r="E203" s="122" t="s">
        <v>34</v>
      </c>
      <c r="F203" s="138">
        <v>0.0</v>
      </c>
      <c r="H203" s="139">
        <v>50.0</v>
      </c>
      <c r="J203" s="139">
        <v>55.0</v>
      </c>
      <c r="L203" s="139">
        <v>0.0</v>
      </c>
      <c r="N203" s="139">
        <v>0.0</v>
      </c>
      <c r="P203" s="139">
        <v>0.0</v>
      </c>
      <c r="Q203" s="22"/>
      <c r="R203" s="140"/>
      <c r="T203" s="141"/>
      <c r="V203" s="141"/>
      <c r="X203" s="141"/>
      <c r="Z203" s="141"/>
      <c r="AB203" s="141"/>
      <c r="AC203" s="22"/>
      <c r="AD203" s="50">
        <f t="shared" si="1"/>
        <v>2762.55</v>
      </c>
      <c r="AE203" s="51">
        <f t="shared" si="2"/>
        <v>105</v>
      </c>
      <c r="AF203" s="51">
        <f t="shared" si="3"/>
        <v>0</v>
      </c>
      <c r="AG203" s="51">
        <f t="shared" si="4"/>
        <v>105</v>
      </c>
      <c r="AH203" s="123">
        <f t="shared" si="5"/>
        <v>26.31</v>
      </c>
    </row>
    <row r="204" ht="15.75" customHeight="1">
      <c r="A204" s="120" t="s">
        <v>27</v>
      </c>
      <c r="B204" s="121">
        <f t="shared" si="6"/>
        <v>45857</v>
      </c>
      <c r="C204" s="51">
        <v>8.0</v>
      </c>
      <c r="D204" s="51" t="s">
        <v>22</v>
      </c>
      <c r="E204" s="122" t="s">
        <v>34</v>
      </c>
      <c r="F204" s="138">
        <v>0.0</v>
      </c>
      <c r="H204" s="139">
        <v>50.0</v>
      </c>
      <c r="J204" s="139">
        <v>55.0</v>
      </c>
      <c r="L204" s="139">
        <v>0.0</v>
      </c>
      <c r="N204" s="139">
        <v>0.0</v>
      </c>
      <c r="P204" s="139">
        <v>0.0</v>
      </c>
      <c r="Q204" s="22"/>
      <c r="R204" s="140"/>
      <c r="T204" s="141"/>
      <c r="V204" s="141"/>
      <c r="X204" s="141"/>
      <c r="Z204" s="141"/>
      <c r="AB204" s="141"/>
      <c r="AC204" s="22"/>
      <c r="AD204" s="50">
        <f t="shared" si="1"/>
        <v>2762.55</v>
      </c>
      <c r="AE204" s="51">
        <f t="shared" si="2"/>
        <v>105</v>
      </c>
      <c r="AF204" s="51">
        <f t="shared" si="3"/>
        <v>0</v>
      </c>
      <c r="AG204" s="51">
        <f t="shared" si="4"/>
        <v>105</v>
      </c>
      <c r="AH204" s="123">
        <f t="shared" si="5"/>
        <v>26.31</v>
      </c>
    </row>
    <row r="205" ht="15.75" customHeight="1">
      <c r="A205" s="124" t="s">
        <v>28</v>
      </c>
      <c r="B205" s="125">
        <f t="shared" si="6"/>
        <v>45858</v>
      </c>
      <c r="C205" s="57">
        <v>8.0</v>
      </c>
      <c r="D205" s="57" t="s">
        <v>22</v>
      </c>
      <c r="E205" s="126" t="s">
        <v>32</v>
      </c>
      <c r="F205" s="142">
        <v>50.0</v>
      </c>
      <c r="G205" s="35"/>
      <c r="H205" s="143">
        <v>0.0</v>
      </c>
      <c r="I205" s="35"/>
      <c r="J205" s="143">
        <v>55.0</v>
      </c>
      <c r="K205" s="35"/>
      <c r="L205" s="143">
        <v>0.0</v>
      </c>
      <c r="M205" s="35"/>
      <c r="N205" s="143">
        <v>0.0</v>
      </c>
      <c r="O205" s="35"/>
      <c r="P205" s="143">
        <v>0.0</v>
      </c>
      <c r="Q205" s="37"/>
      <c r="R205" s="144"/>
      <c r="S205" s="35"/>
      <c r="T205" s="145"/>
      <c r="U205" s="35"/>
      <c r="V205" s="145"/>
      <c r="W205" s="35"/>
      <c r="X205" s="145"/>
      <c r="Y205" s="35"/>
      <c r="Z205" s="145"/>
      <c r="AA205" s="35"/>
      <c r="AB205" s="145"/>
      <c r="AC205" s="37"/>
      <c r="AD205" s="56">
        <f t="shared" si="1"/>
        <v>2762.55</v>
      </c>
      <c r="AE205" s="57">
        <f t="shared" si="2"/>
        <v>105</v>
      </c>
      <c r="AF205" s="57">
        <f t="shared" si="3"/>
        <v>0</v>
      </c>
      <c r="AG205" s="57">
        <f t="shared" si="4"/>
        <v>105</v>
      </c>
      <c r="AH205" s="127">
        <f t="shared" si="5"/>
        <v>26.31</v>
      </c>
    </row>
    <row r="206" ht="15.75" customHeight="1">
      <c r="A206" s="116" t="s">
        <v>21</v>
      </c>
      <c r="B206" s="117">
        <f t="shared" si="6"/>
        <v>45859</v>
      </c>
      <c r="C206" s="87">
        <v>8.0</v>
      </c>
      <c r="D206" s="87" t="s">
        <v>29</v>
      </c>
      <c r="E206" s="118" t="s">
        <v>33</v>
      </c>
      <c r="F206" s="46"/>
      <c r="H206" s="47"/>
      <c r="J206" s="47"/>
      <c r="L206" s="47"/>
      <c r="N206" s="47"/>
      <c r="P206" s="47"/>
      <c r="Q206" s="22"/>
      <c r="R206" s="49"/>
      <c r="T206" s="48"/>
      <c r="V206" s="48"/>
      <c r="X206" s="48"/>
      <c r="Z206" s="48"/>
      <c r="AB206" s="48"/>
      <c r="AC206" s="22"/>
      <c r="AD206" s="86">
        <f t="shared" si="1"/>
        <v>0</v>
      </c>
      <c r="AE206" s="87">
        <f t="shared" si="2"/>
        <v>0</v>
      </c>
      <c r="AF206" s="87">
        <f t="shared" si="3"/>
        <v>0</v>
      </c>
      <c r="AG206" s="87">
        <f t="shared" si="4"/>
        <v>0</v>
      </c>
      <c r="AH206" s="119" t="str">
        <f t="shared" si="5"/>
        <v/>
      </c>
    </row>
    <row r="207" ht="15.75" customHeight="1">
      <c r="A207" s="120" t="s">
        <v>23</v>
      </c>
      <c r="B207" s="121">
        <f t="shared" si="6"/>
        <v>45860</v>
      </c>
      <c r="C207" s="51">
        <v>8.0</v>
      </c>
      <c r="D207" s="51" t="s">
        <v>29</v>
      </c>
      <c r="E207" s="122" t="s">
        <v>33</v>
      </c>
      <c r="F207" s="46"/>
      <c r="H207" s="47"/>
      <c r="J207" s="47"/>
      <c r="L207" s="47"/>
      <c r="N207" s="47"/>
      <c r="P207" s="47"/>
      <c r="Q207" s="22"/>
      <c r="R207" s="49"/>
      <c r="T207" s="48"/>
      <c r="V207" s="48"/>
      <c r="X207" s="48"/>
      <c r="Z207" s="48"/>
      <c r="AB207" s="48"/>
      <c r="AC207" s="22"/>
      <c r="AD207" s="50">
        <f t="shared" si="1"/>
        <v>0</v>
      </c>
      <c r="AE207" s="51">
        <f t="shared" si="2"/>
        <v>0</v>
      </c>
      <c r="AF207" s="51">
        <f t="shared" si="3"/>
        <v>0</v>
      </c>
      <c r="AG207" s="51">
        <f t="shared" si="4"/>
        <v>0</v>
      </c>
      <c r="AH207" s="123" t="str">
        <f t="shared" si="5"/>
        <v/>
      </c>
    </row>
    <row r="208" ht="15.75" customHeight="1">
      <c r="A208" s="120" t="s">
        <v>24</v>
      </c>
      <c r="B208" s="121">
        <f t="shared" si="6"/>
        <v>45861</v>
      </c>
      <c r="C208" s="51">
        <v>8.0</v>
      </c>
      <c r="D208" s="51" t="s">
        <v>29</v>
      </c>
      <c r="E208" s="122" t="s">
        <v>33</v>
      </c>
      <c r="F208" s="46"/>
      <c r="H208" s="47"/>
      <c r="J208" s="47"/>
      <c r="L208" s="47"/>
      <c r="N208" s="47"/>
      <c r="P208" s="47"/>
      <c r="Q208" s="22"/>
      <c r="R208" s="49"/>
      <c r="T208" s="48"/>
      <c r="V208" s="48"/>
      <c r="X208" s="48"/>
      <c r="Z208" s="48"/>
      <c r="AB208" s="48"/>
      <c r="AC208" s="22"/>
      <c r="AD208" s="50">
        <f t="shared" si="1"/>
        <v>0</v>
      </c>
      <c r="AE208" s="51">
        <f t="shared" si="2"/>
        <v>0</v>
      </c>
      <c r="AF208" s="51">
        <f t="shared" si="3"/>
        <v>0</v>
      </c>
      <c r="AG208" s="51">
        <f t="shared" si="4"/>
        <v>0</v>
      </c>
      <c r="AH208" s="123" t="str">
        <f t="shared" si="5"/>
        <v/>
      </c>
    </row>
    <row r="209" ht="15.75" customHeight="1">
      <c r="A209" s="120" t="s">
        <v>25</v>
      </c>
      <c r="B209" s="121">
        <f t="shared" si="6"/>
        <v>45862</v>
      </c>
      <c r="C209" s="51">
        <v>8.0</v>
      </c>
      <c r="D209" s="51" t="s">
        <v>29</v>
      </c>
      <c r="E209" s="122" t="s">
        <v>33</v>
      </c>
      <c r="F209" s="46"/>
      <c r="H209" s="47"/>
      <c r="J209" s="47"/>
      <c r="L209" s="47"/>
      <c r="N209" s="47"/>
      <c r="P209" s="47"/>
      <c r="Q209" s="22"/>
      <c r="R209" s="49"/>
      <c r="T209" s="48"/>
      <c r="V209" s="48"/>
      <c r="X209" s="48"/>
      <c r="Z209" s="48"/>
      <c r="AB209" s="48"/>
      <c r="AC209" s="22"/>
      <c r="AD209" s="50">
        <f t="shared" si="1"/>
        <v>0</v>
      </c>
      <c r="AE209" s="51">
        <f t="shared" si="2"/>
        <v>0</v>
      </c>
      <c r="AF209" s="51">
        <f t="shared" si="3"/>
        <v>0</v>
      </c>
      <c r="AG209" s="51">
        <f t="shared" si="4"/>
        <v>0</v>
      </c>
      <c r="AH209" s="123" t="str">
        <f t="shared" si="5"/>
        <v/>
      </c>
    </row>
    <row r="210" ht="15.75" customHeight="1">
      <c r="A210" s="120" t="s">
        <v>26</v>
      </c>
      <c r="B210" s="121">
        <f t="shared" si="6"/>
        <v>45863</v>
      </c>
      <c r="C210" s="51">
        <v>8.0</v>
      </c>
      <c r="D210" s="51" t="s">
        <v>29</v>
      </c>
      <c r="E210" s="122" t="s">
        <v>33</v>
      </c>
      <c r="F210" s="46"/>
      <c r="H210" s="47"/>
      <c r="J210" s="47"/>
      <c r="L210" s="47"/>
      <c r="N210" s="47"/>
      <c r="P210" s="47"/>
      <c r="Q210" s="22"/>
      <c r="R210" s="49"/>
      <c r="T210" s="48"/>
      <c r="V210" s="48"/>
      <c r="X210" s="48"/>
      <c r="Z210" s="48"/>
      <c r="AB210" s="48"/>
      <c r="AC210" s="22"/>
      <c r="AD210" s="50">
        <f t="shared" si="1"/>
        <v>0</v>
      </c>
      <c r="AE210" s="51">
        <f t="shared" si="2"/>
        <v>0</v>
      </c>
      <c r="AF210" s="51">
        <f t="shared" si="3"/>
        <v>0</v>
      </c>
      <c r="AG210" s="51">
        <f t="shared" si="4"/>
        <v>0</v>
      </c>
      <c r="AH210" s="123" t="str">
        <f t="shared" si="5"/>
        <v/>
      </c>
    </row>
    <row r="211" ht="15.75" customHeight="1">
      <c r="A211" s="120" t="s">
        <v>27</v>
      </c>
      <c r="B211" s="121">
        <f t="shared" si="6"/>
        <v>45864</v>
      </c>
      <c r="C211" s="51">
        <v>8.0</v>
      </c>
      <c r="D211" s="51" t="s">
        <v>29</v>
      </c>
      <c r="E211" s="122" t="s">
        <v>33</v>
      </c>
      <c r="F211" s="46"/>
      <c r="H211" s="47"/>
      <c r="J211" s="47"/>
      <c r="L211" s="47"/>
      <c r="N211" s="47"/>
      <c r="P211" s="47"/>
      <c r="Q211" s="22"/>
      <c r="R211" s="49"/>
      <c r="T211" s="48"/>
      <c r="V211" s="48"/>
      <c r="X211" s="48"/>
      <c r="Z211" s="48"/>
      <c r="AB211" s="48"/>
      <c r="AC211" s="22"/>
      <c r="AD211" s="50">
        <f t="shared" si="1"/>
        <v>0</v>
      </c>
      <c r="AE211" s="51">
        <f t="shared" si="2"/>
        <v>0</v>
      </c>
      <c r="AF211" s="51">
        <f t="shared" si="3"/>
        <v>0</v>
      </c>
      <c r="AG211" s="51">
        <f t="shared" si="4"/>
        <v>0</v>
      </c>
      <c r="AH211" s="123" t="str">
        <f t="shared" si="5"/>
        <v/>
      </c>
    </row>
    <row r="212" ht="15.75" customHeight="1">
      <c r="A212" s="124" t="s">
        <v>28</v>
      </c>
      <c r="B212" s="125">
        <f t="shared" si="6"/>
        <v>45865</v>
      </c>
      <c r="C212" s="57">
        <v>8.0</v>
      </c>
      <c r="D212" s="57" t="s">
        <v>29</v>
      </c>
      <c r="E212" s="126" t="s">
        <v>33</v>
      </c>
      <c r="F212" s="53"/>
      <c r="G212" s="35"/>
      <c r="H212" s="53"/>
      <c r="I212" s="35"/>
      <c r="J212" s="53"/>
      <c r="K212" s="35"/>
      <c r="L212" s="53"/>
      <c r="M212" s="35"/>
      <c r="N212" s="53"/>
      <c r="O212" s="35"/>
      <c r="P212" s="53"/>
      <c r="Q212" s="37"/>
      <c r="R212" s="55"/>
      <c r="S212" s="35"/>
      <c r="T212" s="54"/>
      <c r="U212" s="35"/>
      <c r="V212" s="54"/>
      <c r="W212" s="35"/>
      <c r="X212" s="54"/>
      <c r="Y212" s="35"/>
      <c r="Z212" s="54"/>
      <c r="AA212" s="35"/>
      <c r="AB212" s="54"/>
      <c r="AC212" s="37"/>
      <c r="AD212" s="56">
        <f t="shared" si="1"/>
        <v>0</v>
      </c>
      <c r="AE212" s="57">
        <f t="shared" si="2"/>
        <v>0</v>
      </c>
      <c r="AF212" s="57">
        <f t="shared" si="3"/>
        <v>0</v>
      </c>
      <c r="AG212" s="57">
        <f t="shared" si="4"/>
        <v>0</v>
      </c>
      <c r="AH212" s="127" t="str">
        <f t="shared" si="5"/>
        <v/>
      </c>
    </row>
    <row r="213" ht="15.75" customHeight="1">
      <c r="A213" s="116" t="s">
        <v>21</v>
      </c>
      <c r="B213" s="117">
        <f t="shared" si="6"/>
        <v>45866</v>
      </c>
      <c r="C213" s="87">
        <v>8.0</v>
      </c>
      <c r="D213" s="87" t="s">
        <v>30</v>
      </c>
      <c r="E213" s="118" t="s">
        <v>33</v>
      </c>
      <c r="F213" s="94">
        <v>0.0</v>
      </c>
      <c r="H213" s="95">
        <v>0.0</v>
      </c>
      <c r="J213" s="95">
        <v>0.0</v>
      </c>
      <c r="L213" s="95">
        <v>0.0</v>
      </c>
      <c r="N213" s="95">
        <v>0.0</v>
      </c>
      <c r="P213" s="95">
        <v>0.0</v>
      </c>
      <c r="Q213" s="22"/>
      <c r="R213" s="96"/>
      <c r="T213" s="97"/>
      <c r="V213" s="97"/>
      <c r="X213" s="97"/>
      <c r="Z213" s="97"/>
      <c r="AB213" s="97"/>
      <c r="AC213" s="22"/>
      <c r="AD213" s="86">
        <f t="shared" si="1"/>
        <v>0</v>
      </c>
      <c r="AE213" s="87">
        <f t="shared" si="2"/>
        <v>0</v>
      </c>
      <c r="AF213" s="87">
        <f t="shared" si="3"/>
        <v>0</v>
      </c>
      <c r="AG213" s="87">
        <f t="shared" si="4"/>
        <v>0</v>
      </c>
      <c r="AH213" s="119" t="str">
        <f t="shared" si="5"/>
        <v/>
      </c>
    </row>
    <row r="214" ht="15.75" customHeight="1">
      <c r="A214" s="120" t="s">
        <v>23</v>
      </c>
      <c r="B214" s="121">
        <f t="shared" si="6"/>
        <v>45867</v>
      </c>
      <c r="C214" s="51">
        <v>8.0</v>
      </c>
      <c r="D214" s="51" t="s">
        <v>30</v>
      </c>
      <c r="E214" s="122" t="s">
        <v>34</v>
      </c>
      <c r="F214" s="94">
        <v>0.0</v>
      </c>
      <c r="H214" s="95">
        <v>55.0</v>
      </c>
      <c r="J214" s="95">
        <v>0.0</v>
      </c>
      <c r="L214" s="95">
        <v>0.0</v>
      </c>
      <c r="N214" s="95">
        <v>0.0</v>
      </c>
      <c r="P214" s="95">
        <v>0.0</v>
      </c>
      <c r="Q214" s="22"/>
      <c r="R214" s="96"/>
      <c r="T214" s="97"/>
      <c r="V214" s="97"/>
      <c r="X214" s="97"/>
      <c r="Z214" s="97"/>
      <c r="AB214" s="97"/>
      <c r="AC214" s="22"/>
      <c r="AD214" s="50">
        <f t="shared" si="1"/>
        <v>1447.05</v>
      </c>
      <c r="AE214" s="51">
        <f t="shared" si="2"/>
        <v>55</v>
      </c>
      <c r="AF214" s="51">
        <f t="shared" si="3"/>
        <v>0</v>
      </c>
      <c r="AG214" s="51">
        <f t="shared" si="4"/>
        <v>55</v>
      </c>
      <c r="AH214" s="123">
        <f t="shared" si="5"/>
        <v>26.31</v>
      </c>
    </row>
    <row r="215" ht="15.75" customHeight="1">
      <c r="A215" s="120" t="s">
        <v>24</v>
      </c>
      <c r="B215" s="121">
        <f t="shared" si="6"/>
        <v>45868</v>
      </c>
      <c r="C215" s="51">
        <v>8.0</v>
      </c>
      <c r="D215" s="51" t="s">
        <v>30</v>
      </c>
      <c r="E215" s="122" t="s">
        <v>32</v>
      </c>
      <c r="F215" s="94">
        <v>55.0</v>
      </c>
      <c r="H215" s="95">
        <v>0.0</v>
      </c>
      <c r="J215" s="95">
        <v>60.0</v>
      </c>
      <c r="L215" s="95">
        <v>0.0</v>
      </c>
      <c r="N215" s="95">
        <v>0.0</v>
      </c>
      <c r="P215" s="95">
        <v>0.0</v>
      </c>
      <c r="Q215" s="22"/>
      <c r="R215" s="96"/>
      <c r="T215" s="97"/>
      <c r="V215" s="97"/>
      <c r="X215" s="97"/>
      <c r="Z215" s="97"/>
      <c r="AB215" s="97"/>
      <c r="AC215" s="22"/>
      <c r="AD215" s="50">
        <f t="shared" si="1"/>
        <v>3025.65</v>
      </c>
      <c r="AE215" s="51">
        <f t="shared" si="2"/>
        <v>115</v>
      </c>
      <c r="AF215" s="51">
        <f t="shared" si="3"/>
        <v>0</v>
      </c>
      <c r="AG215" s="51">
        <f t="shared" si="4"/>
        <v>115</v>
      </c>
      <c r="AH215" s="123">
        <f t="shared" si="5"/>
        <v>26.31</v>
      </c>
    </row>
    <row r="216" ht="15.75" customHeight="1">
      <c r="A216" s="120" t="s">
        <v>25</v>
      </c>
      <c r="B216" s="121">
        <f t="shared" si="6"/>
        <v>45869</v>
      </c>
      <c r="C216" s="51">
        <v>8.0</v>
      </c>
      <c r="D216" s="51" t="s">
        <v>30</v>
      </c>
      <c r="E216" s="122" t="s">
        <v>34</v>
      </c>
      <c r="F216" s="94">
        <v>0.0</v>
      </c>
      <c r="H216" s="95">
        <v>55.0</v>
      </c>
      <c r="J216" s="95">
        <v>60.0</v>
      </c>
      <c r="L216" s="95">
        <v>0.0</v>
      </c>
      <c r="N216" s="95">
        <v>0.0</v>
      </c>
      <c r="P216" s="95">
        <v>0.0</v>
      </c>
      <c r="Q216" s="22"/>
      <c r="R216" s="96"/>
      <c r="T216" s="97"/>
      <c r="V216" s="97"/>
      <c r="X216" s="97"/>
      <c r="Z216" s="97"/>
      <c r="AB216" s="97"/>
      <c r="AC216" s="22"/>
      <c r="AD216" s="50">
        <f t="shared" si="1"/>
        <v>3025.65</v>
      </c>
      <c r="AE216" s="51">
        <f t="shared" si="2"/>
        <v>115</v>
      </c>
      <c r="AF216" s="51">
        <f t="shared" si="3"/>
        <v>0</v>
      </c>
      <c r="AG216" s="51">
        <f t="shared" si="4"/>
        <v>115</v>
      </c>
      <c r="AH216" s="123">
        <f t="shared" si="5"/>
        <v>26.31</v>
      </c>
    </row>
    <row r="217" ht="15.75" customHeight="1">
      <c r="A217" s="120" t="s">
        <v>26</v>
      </c>
      <c r="B217" s="121">
        <f t="shared" si="6"/>
        <v>45870</v>
      </c>
      <c r="C217" s="51">
        <v>8.0</v>
      </c>
      <c r="D217" s="51" t="s">
        <v>30</v>
      </c>
      <c r="E217" s="122" t="s">
        <v>34</v>
      </c>
      <c r="F217" s="94">
        <v>0.0</v>
      </c>
      <c r="H217" s="95">
        <v>55.0</v>
      </c>
      <c r="J217" s="95">
        <v>60.0</v>
      </c>
      <c r="L217" s="95">
        <v>0.0</v>
      </c>
      <c r="N217" s="95">
        <v>0.0</v>
      </c>
      <c r="P217" s="95">
        <v>0.0</v>
      </c>
      <c r="Q217" s="22"/>
      <c r="R217" s="96"/>
      <c r="T217" s="97"/>
      <c r="V217" s="97"/>
      <c r="X217" s="97"/>
      <c r="Z217" s="97"/>
      <c r="AB217" s="97"/>
      <c r="AC217" s="22"/>
      <c r="AD217" s="50">
        <f t="shared" si="1"/>
        <v>3025.65</v>
      </c>
      <c r="AE217" s="51">
        <f t="shared" si="2"/>
        <v>115</v>
      </c>
      <c r="AF217" s="51">
        <f t="shared" si="3"/>
        <v>0</v>
      </c>
      <c r="AG217" s="51">
        <f t="shared" si="4"/>
        <v>115</v>
      </c>
      <c r="AH217" s="123">
        <f t="shared" si="5"/>
        <v>26.31</v>
      </c>
    </row>
    <row r="218" ht="15.75" customHeight="1">
      <c r="A218" s="120" t="s">
        <v>27</v>
      </c>
      <c r="B218" s="121">
        <f t="shared" si="6"/>
        <v>45871</v>
      </c>
      <c r="C218" s="51">
        <v>8.0</v>
      </c>
      <c r="D218" s="51" t="s">
        <v>30</v>
      </c>
      <c r="E218" s="122" t="s">
        <v>34</v>
      </c>
      <c r="F218" s="94">
        <v>0.0</v>
      </c>
      <c r="H218" s="95">
        <v>55.0</v>
      </c>
      <c r="J218" s="95">
        <v>60.0</v>
      </c>
      <c r="L218" s="95">
        <v>0.0</v>
      </c>
      <c r="N218" s="95">
        <v>0.0</v>
      </c>
      <c r="P218" s="95">
        <v>0.0</v>
      </c>
      <c r="Q218" s="22"/>
      <c r="R218" s="96"/>
      <c r="T218" s="97"/>
      <c r="V218" s="97"/>
      <c r="X218" s="97"/>
      <c r="Z218" s="97"/>
      <c r="AB218" s="97"/>
      <c r="AC218" s="22"/>
      <c r="AD218" s="50">
        <f t="shared" si="1"/>
        <v>3025.65</v>
      </c>
      <c r="AE218" s="51">
        <f t="shared" si="2"/>
        <v>115</v>
      </c>
      <c r="AF218" s="51">
        <f t="shared" si="3"/>
        <v>0</v>
      </c>
      <c r="AG218" s="51">
        <f t="shared" si="4"/>
        <v>115</v>
      </c>
      <c r="AH218" s="123">
        <f t="shared" si="5"/>
        <v>26.31</v>
      </c>
    </row>
    <row r="219" ht="15.75" customHeight="1">
      <c r="A219" s="124" t="s">
        <v>28</v>
      </c>
      <c r="B219" s="125">
        <f t="shared" si="6"/>
        <v>45872</v>
      </c>
      <c r="C219" s="57">
        <v>8.0</v>
      </c>
      <c r="D219" s="57" t="s">
        <v>30</v>
      </c>
      <c r="E219" s="126" t="s">
        <v>32</v>
      </c>
      <c r="F219" s="110">
        <v>55.0</v>
      </c>
      <c r="G219" s="35"/>
      <c r="H219" s="111">
        <v>0.0</v>
      </c>
      <c r="I219" s="35"/>
      <c r="J219" s="111">
        <v>0.0</v>
      </c>
      <c r="K219" s="35"/>
      <c r="L219" s="111">
        <v>0.0</v>
      </c>
      <c r="M219" s="35"/>
      <c r="N219" s="111">
        <v>0.0</v>
      </c>
      <c r="O219" s="35"/>
      <c r="P219" s="111">
        <v>0.0</v>
      </c>
      <c r="Q219" s="37"/>
      <c r="R219" s="112"/>
      <c r="S219" s="35"/>
      <c r="T219" s="113"/>
      <c r="U219" s="35"/>
      <c r="V219" s="113"/>
      <c r="W219" s="35"/>
      <c r="X219" s="113"/>
      <c r="Y219" s="35"/>
      <c r="Z219" s="113"/>
      <c r="AA219" s="35"/>
      <c r="AB219" s="113"/>
      <c r="AC219" s="37"/>
      <c r="AD219" s="56">
        <f t="shared" si="1"/>
        <v>1447.05</v>
      </c>
      <c r="AE219" s="57">
        <f t="shared" si="2"/>
        <v>55</v>
      </c>
      <c r="AF219" s="57">
        <f t="shared" si="3"/>
        <v>0</v>
      </c>
      <c r="AG219" s="57">
        <f t="shared" si="4"/>
        <v>55</v>
      </c>
      <c r="AH219" s="127">
        <f t="shared" si="5"/>
        <v>26.31</v>
      </c>
    </row>
    <row r="220" ht="15.75" customHeight="1">
      <c r="A220" s="116" t="s">
        <v>21</v>
      </c>
      <c r="B220" s="117">
        <f t="shared" si="6"/>
        <v>45873</v>
      </c>
      <c r="C220" s="87">
        <v>8.0</v>
      </c>
      <c r="D220" s="87" t="s">
        <v>31</v>
      </c>
      <c r="E220" s="118" t="s">
        <v>33</v>
      </c>
      <c r="F220" s="46"/>
      <c r="H220" s="47"/>
      <c r="J220" s="47"/>
      <c r="L220" s="47"/>
      <c r="N220" s="47"/>
      <c r="P220" s="47"/>
      <c r="Q220" s="22"/>
      <c r="R220" s="49"/>
      <c r="T220" s="48"/>
      <c r="V220" s="48"/>
      <c r="X220" s="48"/>
      <c r="Z220" s="48"/>
      <c r="AB220" s="48"/>
      <c r="AC220" s="22"/>
      <c r="AD220" s="86">
        <f t="shared" si="1"/>
        <v>0</v>
      </c>
      <c r="AE220" s="87">
        <f t="shared" si="2"/>
        <v>0</v>
      </c>
      <c r="AF220" s="87">
        <f t="shared" si="3"/>
        <v>0</v>
      </c>
      <c r="AG220" s="87">
        <f t="shared" si="4"/>
        <v>0</v>
      </c>
      <c r="AH220" s="119" t="str">
        <f t="shared" si="5"/>
        <v/>
      </c>
    </row>
    <row r="221" ht="15.75" customHeight="1">
      <c r="A221" s="120" t="s">
        <v>23</v>
      </c>
      <c r="B221" s="121">
        <f t="shared" si="6"/>
        <v>45874</v>
      </c>
      <c r="C221" s="51">
        <v>8.0</v>
      </c>
      <c r="D221" s="51" t="s">
        <v>31</v>
      </c>
      <c r="E221" s="122" t="s">
        <v>33</v>
      </c>
      <c r="F221" s="46"/>
      <c r="H221" s="47"/>
      <c r="J221" s="47"/>
      <c r="L221" s="47"/>
      <c r="N221" s="47"/>
      <c r="P221" s="47"/>
      <c r="Q221" s="22"/>
      <c r="R221" s="49"/>
      <c r="T221" s="48"/>
      <c r="V221" s="48"/>
      <c r="X221" s="48"/>
      <c r="Z221" s="48"/>
      <c r="AB221" s="48"/>
      <c r="AC221" s="22"/>
      <c r="AD221" s="50">
        <f t="shared" si="1"/>
        <v>0</v>
      </c>
      <c r="AE221" s="51">
        <f t="shared" si="2"/>
        <v>0</v>
      </c>
      <c r="AF221" s="51">
        <f t="shared" si="3"/>
        <v>0</v>
      </c>
      <c r="AG221" s="51">
        <f t="shared" si="4"/>
        <v>0</v>
      </c>
      <c r="AH221" s="123" t="str">
        <f t="shared" si="5"/>
        <v/>
      </c>
    </row>
    <row r="222" ht="15.75" customHeight="1">
      <c r="A222" s="120" t="s">
        <v>24</v>
      </c>
      <c r="B222" s="121">
        <f t="shared" si="6"/>
        <v>45875</v>
      </c>
      <c r="C222" s="51">
        <v>8.0</v>
      </c>
      <c r="D222" s="51" t="s">
        <v>31</v>
      </c>
      <c r="E222" s="122" t="s">
        <v>33</v>
      </c>
      <c r="F222" s="46"/>
      <c r="H222" s="47"/>
      <c r="J222" s="47"/>
      <c r="L222" s="47"/>
      <c r="N222" s="47"/>
      <c r="P222" s="47"/>
      <c r="Q222" s="22"/>
      <c r="R222" s="49"/>
      <c r="T222" s="48"/>
      <c r="V222" s="48"/>
      <c r="X222" s="48"/>
      <c r="Z222" s="48"/>
      <c r="AB222" s="48"/>
      <c r="AC222" s="22"/>
      <c r="AD222" s="50">
        <f t="shared" si="1"/>
        <v>0</v>
      </c>
      <c r="AE222" s="51">
        <f t="shared" si="2"/>
        <v>0</v>
      </c>
      <c r="AF222" s="51">
        <f t="shared" si="3"/>
        <v>0</v>
      </c>
      <c r="AG222" s="51">
        <f t="shared" si="4"/>
        <v>0</v>
      </c>
      <c r="AH222" s="123" t="str">
        <f t="shared" si="5"/>
        <v/>
      </c>
    </row>
    <row r="223" ht="15.75" customHeight="1">
      <c r="A223" s="120" t="s">
        <v>25</v>
      </c>
      <c r="B223" s="121">
        <f t="shared" si="6"/>
        <v>45876</v>
      </c>
      <c r="C223" s="51">
        <v>8.0</v>
      </c>
      <c r="D223" s="51" t="s">
        <v>31</v>
      </c>
      <c r="E223" s="122" t="s">
        <v>33</v>
      </c>
      <c r="F223" s="46"/>
      <c r="H223" s="47"/>
      <c r="J223" s="47"/>
      <c r="L223" s="47"/>
      <c r="N223" s="47"/>
      <c r="P223" s="47"/>
      <c r="Q223" s="22"/>
      <c r="R223" s="49"/>
      <c r="T223" s="48"/>
      <c r="V223" s="48"/>
      <c r="X223" s="48"/>
      <c r="Z223" s="48"/>
      <c r="AB223" s="48"/>
      <c r="AC223" s="22"/>
      <c r="AD223" s="50">
        <f t="shared" si="1"/>
        <v>0</v>
      </c>
      <c r="AE223" s="51">
        <f t="shared" si="2"/>
        <v>0</v>
      </c>
      <c r="AF223" s="51">
        <f t="shared" si="3"/>
        <v>0</v>
      </c>
      <c r="AG223" s="51">
        <f t="shared" si="4"/>
        <v>0</v>
      </c>
      <c r="AH223" s="123" t="str">
        <f t="shared" si="5"/>
        <v/>
      </c>
    </row>
    <row r="224" ht="15.75" customHeight="1">
      <c r="A224" s="120" t="s">
        <v>26</v>
      </c>
      <c r="B224" s="121">
        <f t="shared" si="6"/>
        <v>45877</v>
      </c>
      <c r="C224" s="51">
        <v>8.0</v>
      </c>
      <c r="D224" s="51" t="s">
        <v>31</v>
      </c>
      <c r="E224" s="122" t="s">
        <v>33</v>
      </c>
      <c r="F224" s="46"/>
      <c r="H224" s="47"/>
      <c r="J224" s="47"/>
      <c r="L224" s="47"/>
      <c r="N224" s="47"/>
      <c r="P224" s="47"/>
      <c r="Q224" s="22"/>
      <c r="R224" s="49"/>
      <c r="T224" s="48"/>
      <c r="V224" s="48"/>
      <c r="X224" s="48"/>
      <c r="Z224" s="48"/>
      <c r="AB224" s="48"/>
      <c r="AC224" s="22"/>
      <c r="AD224" s="50">
        <f t="shared" si="1"/>
        <v>0</v>
      </c>
      <c r="AE224" s="51">
        <f t="shared" si="2"/>
        <v>0</v>
      </c>
      <c r="AF224" s="51">
        <f t="shared" si="3"/>
        <v>0</v>
      </c>
      <c r="AG224" s="51">
        <f t="shared" si="4"/>
        <v>0</v>
      </c>
      <c r="AH224" s="123" t="str">
        <f t="shared" si="5"/>
        <v/>
      </c>
    </row>
    <row r="225" ht="15.75" customHeight="1">
      <c r="A225" s="120" t="s">
        <v>27</v>
      </c>
      <c r="B225" s="121">
        <f t="shared" si="6"/>
        <v>45878</v>
      </c>
      <c r="C225" s="51">
        <v>8.0</v>
      </c>
      <c r="D225" s="51" t="s">
        <v>31</v>
      </c>
      <c r="E225" s="122" t="s">
        <v>33</v>
      </c>
      <c r="F225" s="46"/>
      <c r="H225" s="47"/>
      <c r="J225" s="47"/>
      <c r="L225" s="47"/>
      <c r="N225" s="47"/>
      <c r="P225" s="47"/>
      <c r="Q225" s="22"/>
      <c r="R225" s="49"/>
      <c r="T225" s="48"/>
      <c r="V225" s="48"/>
      <c r="X225" s="48"/>
      <c r="Z225" s="48"/>
      <c r="AB225" s="48"/>
      <c r="AC225" s="22"/>
      <c r="AD225" s="50">
        <f t="shared" si="1"/>
        <v>0</v>
      </c>
      <c r="AE225" s="51">
        <f t="shared" si="2"/>
        <v>0</v>
      </c>
      <c r="AF225" s="51">
        <f t="shared" si="3"/>
        <v>0</v>
      </c>
      <c r="AG225" s="51">
        <f t="shared" si="4"/>
        <v>0</v>
      </c>
      <c r="AH225" s="123" t="str">
        <f t="shared" si="5"/>
        <v/>
      </c>
    </row>
    <row r="226" ht="15.75" customHeight="1">
      <c r="A226" s="124" t="s">
        <v>28</v>
      </c>
      <c r="B226" s="125">
        <f t="shared" si="6"/>
        <v>45879</v>
      </c>
      <c r="C226" s="57">
        <v>8.0</v>
      </c>
      <c r="D226" s="57" t="s">
        <v>31</v>
      </c>
      <c r="E226" s="126" t="s">
        <v>33</v>
      </c>
      <c r="F226" s="53"/>
      <c r="G226" s="35"/>
      <c r="H226" s="53"/>
      <c r="I226" s="35"/>
      <c r="J226" s="53"/>
      <c r="K226" s="35"/>
      <c r="L226" s="53"/>
      <c r="M226" s="35"/>
      <c r="N226" s="53"/>
      <c r="O226" s="35"/>
      <c r="P226" s="53"/>
      <c r="Q226" s="37"/>
      <c r="R226" s="55"/>
      <c r="S226" s="35"/>
      <c r="T226" s="54"/>
      <c r="U226" s="35"/>
      <c r="V226" s="54"/>
      <c r="W226" s="35"/>
      <c r="X226" s="54"/>
      <c r="Y226" s="35"/>
      <c r="Z226" s="54"/>
      <c r="AA226" s="35"/>
      <c r="AB226" s="54"/>
      <c r="AC226" s="37"/>
      <c r="AD226" s="56">
        <f t="shared" si="1"/>
        <v>0</v>
      </c>
      <c r="AE226" s="57">
        <f t="shared" si="2"/>
        <v>0</v>
      </c>
      <c r="AF226" s="57">
        <f t="shared" si="3"/>
        <v>0</v>
      </c>
      <c r="AG226" s="57">
        <f t="shared" si="4"/>
        <v>0</v>
      </c>
      <c r="AH226" s="127" t="str">
        <f t="shared" si="5"/>
        <v/>
      </c>
    </row>
    <row r="227" ht="15.75" customHeight="1">
      <c r="A227" s="116" t="s">
        <v>21</v>
      </c>
      <c r="B227" s="117">
        <f t="shared" si="6"/>
        <v>45880</v>
      </c>
      <c r="C227" s="87">
        <v>9.0</v>
      </c>
      <c r="D227" s="87" t="s">
        <v>22</v>
      </c>
      <c r="E227" s="118" t="s">
        <v>33</v>
      </c>
      <c r="F227" s="94">
        <v>0.0</v>
      </c>
      <c r="H227" s="95">
        <v>0.0</v>
      </c>
      <c r="J227" s="95">
        <v>0.0</v>
      </c>
      <c r="L227" s="95">
        <v>0.0</v>
      </c>
      <c r="N227" s="95">
        <v>0.0</v>
      </c>
      <c r="P227" s="95">
        <v>0.0</v>
      </c>
      <c r="Q227" s="22"/>
      <c r="R227" s="96"/>
      <c r="T227" s="97"/>
      <c r="V227" s="97"/>
      <c r="X227" s="97"/>
      <c r="Z227" s="97"/>
      <c r="AB227" s="97"/>
      <c r="AC227" s="22"/>
      <c r="AD227" s="86">
        <f t="shared" si="1"/>
        <v>0</v>
      </c>
      <c r="AE227" s="87">
        <f t="shared" si="2"/>
        <v>0</v>
      </c>
      <c r="AF227" s="87">
        <f t="shared" si="3"/>
        <v>0</v>
      </c>
      <c r="AG227" s="87">
        <f t="shared" si="4"/>
        <v>0</v>
      </c>
      <c r="AH227" s="119" t="str">
        <f t="shared" si="5"/>
        <v/>
      </c>
    </row>
    <row r="228" ht="15.75" customHeight="1">
      <c r="A228" s="120" t="s">
        <v>23</v>
      </c>
      <c r="B228" s="121">
        <f t="shared" si="6"/>
        <v>45881</v>
      </c>
      <c r="C228" s="51">
        <v>9.0</v>
      </c>
      <c r="D228" s="51" t="s">
        <v>22</v>
      </c>
      <c r="E228" s="122" t="s">
        <v>34</v>
      </c>
      <c r="F228" s="94">
        <v>0.0</v>
      </c>
      <c r="H228" s="95">
        <v>50.0</v>
      </c>
      <c r="J228" s="95">
        <v>0.0</v>
      </c>
      <c r="L228" s="95">
        <v>0.0</v>
      </c>
      <c r="N228" s="95">
        <v>0.0</v>
      </c>
      <c r="P228" s="95">
        <v>0.0</v>
      </c>
      <c r="Q228" s="22"/>
      <c r="R228" s="96"/>
      <c r="T228" s="97"/>
      <c r="V228" s="97"/>
      <c r="X228" s="97"/>
      <c r="Z228" s="97"/>
      <c r="AB228" s="97"/>
      <c r="AC228" s="22"/>
      <c r="AD228" s="50">
        <f t="shared" si="1"/>
        <v>1315.5</v>
      </c>
      <c r="AE228" s="51">
        <f t="shared" si="2"/>
        <v>50</v>
      </c>
      <c r="AF228" s="51">
        <f t="shared" si="3"/>
        <v>0</v>
      </c>
      <c r="AG228" s="51">
        <f t="shared" si="4"/>
        <v>50</v>
      </c>
      <c r="AH228" s="123">
        <f t="shared" si="5"/>
        <v>26.31</v>
      </c>
    </row>
    <row r="229" ht="15.75" customHeight="1">
      <c r="A229" s="120" t="s">
        <v>24</v>
      </c>
      <c r="B229" s="121">
        <f t="shared" si="6"/>
        <v>45882</v>
      </c>
      <c r="C229" s="51">
        <v>9.0</v>
      </c>
      <c r="D229" s="51" t="s">
        <v>22</v>
      </c>
      <c r="E229" s="122" t="s">
        <v>32</v>
      </c>
      <c r="F229" s="94">
        <v>50.0</v>
      </c>
      <c r="H229" s="95">
        <v>0.0</v>
      </c>
      <c r="J229" s="95">
        <v>55.0</v>
      </c>
      <c r="L229" s="95">
        <v>0.0</v>
      </c>
      <c r="N229" s="95">
        <v>0.0</v>
      </c>
      <c r="P229" s="95">
        <v>0.0</v>
      </c>
      <c r="Q229" s="22"/>
      <c r="R229" s="96"/>
      <c r="T229" s="97"/>
      <c r="V229" s="97"/>
      <c r="X229" s="97"/>
      <c r="Z229" s="97"/>
      <c r="AB229" s="97"/>
      <c r="AC229" s="22"/>
      <c r="AD229" s="50">
        <f t="shared" si="1"/>
        <v>2762.55</v>
      </c>
      <c r="AE229" s="51">
        <f t="shared" si="2"/>
        <v>105</v>
      </c>
      <c r="AF229" s="51">
        <f t="shared" si="3"/>
        <v>0</v>
      </c>
      <c r="AG229" s="51">
        <f t="shared" si="4"/>
        <v>105</v>
      </c>
      <c r="AH229" s="123">
        <f t="shared" si="5"/>
        <v>26.31</v>
      </c>
    </row>
    <row r="230" ht="15.75" customHeight="1">
      <c r="A230" s="120" t="s">
        <v>25</v>
      </c>
      <c r="B230" s="121">
        <f t="shared" si="6"/>
        <v>45883</v>
      </c>
      <c r="C230" s="51">
        <v>9.0</v>
      </c>
      <c r="D230" s="51" t="s">
        <v>22</v>
      </c>
      <c r="E230" s="122" t="s">
        <v>34</v>
      </c>
      <c r="F230" s="94">
        <v>0.0</v>
      </c>
      <c r="H230" s="95">
        <v>50.0</v>
      </c>
      <c r="J230" s="95">
        <v>55.0</v>
      </c>
      <c r="L230" s="95">
        <v>0.0</v>
      </c>
      <c r="N230" s="95">
        <v>0.0</v>
      </c>
      <c r="P230" s="95">
        <v>0.0</v>
      </c>
      <c r="Q230" s="22"/>
      <c r="R230" s="96"/>
      <c r="T230" s="97"/>
      <c r="V230" s="97"/>
      <c r="X230" s="97"/>
      <c r="Z230" s="97"/>
      <c r="AB230" s="97"/>
      <c r="AC230" s="22"/>
      <c r="AD230" s="50">
        <f t="shared" si="1"/>
        <v>2762.55</v>
      </c>
      <c r="AE230" s="51">
        <f t="shared" si="2"/>
        <v>105</v>
      </c>
      <c r="AF230" s="51">
        <f t="shared" si="3"/>
        <v>0</v>
      </c>
      <c r="AG230" s="51">
        <f t="shared" si="4"/>
        <v>105</v>
      </c>
      <c r="AH230" s="123">
        <f t="shared" si="5"/>
        <v>26.31</v>
      </c>
    </row>
    <row r="231" ht="15.75" customHeight="1">
      <c r="A231" s="120" t="s">
        <v>26</v>
      </c>
      <c r="B231" s="121">
        <f t="shared" si="6"/>
        <v>45884</v>
      </c>
      <c r="C231" s="51">
        <v>9.0</v>
      </c>
      <c r="D231" s="51" t="s">
        <v>22</v>
      </c>
      <c r="E231" s="122" t="s">
        <v>34</v>
      </c>
      <c r="F231" s="94">
        <v>0.0</v>
      </c>
      <c r="H231" s="95">
        <v>45.0</v>
      </c>
      <c r="J231" s="95">
        <v>55.0</v>
      </c>
      <c r="L231" s="95">
        <v>0.0</v>
      </c>
      <c r="N231" s="95">
        <v>0.0</v>
      </c>
      <c r="P231" s="95">
        <v>0.0</v>
      </c>
      <c r="Q231" s="22"/>
      <c r="R231" s="96"/>
      <c r="T231" s="97"/>
      <c r="V231" s="97"/>
      <c r="X231" s="97"/>
      <c r="Z231" s="97"/>
      <c r="AB231" s="97"/>
      <c r="AC231" s="22"/>
      <c r="AD231" s="50">
        <f t="shared" si="1"/>
        <v>2631</v>
      </c>
      <c r="AE231" s="51">
        <f t="shared" si="2"/>
        <v>100</v>
      </c>
      <c r="AF231" s="51">
        <f t="shared" si="3"/>
        <v>0</v>
      </c>
      <c r="AG231" s="51">
        <f t="shared" si="4"/>
        <v>100</v>
      </c>
      <c r="AH231" s="123">
        <f t="shared" si="5"/>
        <v>26.31</v>
      </c>
    </row>
    <row r="232" ht="15.75" customHeight="1">
      <c r="A232" s="120" t="s">
        <v>27</v>
      </c>
      <c r="B232" s="121">
        <f t="shared" si="6"/>
        <v>45885</v>
      </c>
      <c r="C232" s="51">
        <v>9.0</v>
      </c>
      <c r="D232" s="51" t="s">
        <v>22</v>
      </c>
      <c r="E232" s="122" t="s">
        <v>34</v>
      </c>
      <c r="F232" s="94">
        <v>0.0</v>
      </c>
      <c r="H232" s="95">
        <v>50.0</v>
      </c>
      <c r="J232" s="95">
        <v>55.0</v>
      </c>
      <c r="L232" s="95">
        <v>0.0</v>
      </c>
      <c r="N232" s="95">
        <v>0.0</v>
      </c>
      <c r="P232" s="95">
        <v>0.0</v>
      </c>
      <c r="Q232" s="22"/>
      <c r="R232" s="96"/>
      <c r="T232" s="97"/>
      <c r="V232" s="97"/>
      <c r="X232" s="97"/>
      <c r="Z232" s="97"/>
      <c r="AB232" s="97"/>
      <c r="AC232" s="22"/>
      <c r="AD232" s="50">
        <f t="shared" si="1"/>
        <v>2762.55</v>
      </c>
      <c r="AE232" s="51">
        <f t="shared" si="2"/>
        <v>105</v>
      </c>
      <c r="AF232" s="51">
        <f t="shared" si="3"/>
        <v>0</v>
      </c>
      <c r="AG232" s="51">
        <f t="shared" si="4"/>
        <v>105</v>
      </c>
      <c r="AH232" s="123">
        <f t="shared" si="5"/>
        <v>26.31</v>
      </c>
    </row>
    <row r="233" ht="15.75" customHeight="1">
      <c r="A233" s="124" t="s">
        <v>28</v>
      </c>
      <c r="B233" s="125">
        <f t="shared" si="6"/>
        <v>45886</v>
      </c>
      <c r="C233" s="57">
        <v>9.0</v>
      </c>
      <c r="D233" s="57" t="s">
        <v>22</v>
      </c>
      <c r="E233" s="126" t="s">
        <v>32</v>
      </c>
      <c r="F233" s="110">
        <v>50.0</v>
      </c>
      <c r="G233" s="35"/>
      <c r="H233" s="111">
        <v>0.0</v>
      </c>
      <c r="I233" s="35"/>
      <c r="J233" s="111">
        <v>0.0</v>
      </c>
      <c r="K233" s="35"/>
      <c r="L233" s="111">
        <v>0.0</v>
      </c>
      <c r="M233" s="35"/>
      <c r="N233" s="111">
        <v>0.0</v>
      </c>
      <c r="O233" s="35"/>
      <c r="P233" s="111">
        <v>0.0</v>
      </c>
      <c r="Q233" s="37"/>
      <c r="R233" s="112"/>
      <c r="S233" s="35"/>
      <c r="T233" s="113"/>
      <c r="U233" s="35"/>
      <c r="V233" s="113"/>
      <c r="W233" s="35"/>
      <c r="X233" s="113"/>
      <c r="Y233" s="35"/>
      <c r="Z233" s="113"/>
      <c r="AA233" s="35"/>
      <c r="AB233" s="113"/>
      <c r="AC233" s="37"/>
      <c r="AD233" s="56">
        <f t="shared" si="1"/>
        <v>1315.5</v>
      </c>
      <c r="AE233" s="57">
        <f t="shared" si="2"/>
        <v>50</v>
      </c>
      <c r="AF233" s="57">
        <f t="shared" si="3"/>
        <v>0</v>
      </c>
      <c r="AG233" s="57">
        <f t="shared" si="4"/>
        <v>50</v>
      </c>
      <c r="AH233" s="127">
        <f t="shared" si="5"/>
        <v>26.31</v>
      </c>
    </row>
    <row r="234" ht="15.75" customHeight="1">
      <c r="A234" s="116" t="s">
        <v>21</v>
      </c>
      <c r="B234" s="117">
        <f t="shared" si="6"/>
        <v>45887</v>
      </c>
      <c r="C234" s="87">
        <v>9.0</v>
      </c>
      <c r="D234" s="87" t="s">
        <v>29</v>
      </c>
      <c r="E234" s="118" t="s">
        <v>33</v>
      </c>
      <c r="F234" s="94">
        <v>0.0</v>
      </c>
      <c r="H234" s="95">
        <v>0.0</v>
      </c>
      <c r="J234" s="95">
        <v>0.0</v>
      </c>
      <c r="L234" s="95">
        <v>0.0</v>
      </c>
      <c r="N234" s="95">
        <v>0.0</v>
      </c>
      <c r="P234" s="95">
        <v>0.0</v>
      </c>
      <c r="Q234" s="22"/>
      <c r="R234" s="96"/>
      <c r="T234" s="97"/>
      <c r="V234" s="97"/>
      <c r="X234" s="97"/>
      <c r="Z234" s="97"/>
      <c r="AB234" s="97"/>
      <c r="AC234" s="22"/>
      <c r="AD234" s="86">
        <f t="shared" si="1"/>
        <v>0</v>
      </c>
      <c r="AE234" s="87">
        <f t="shared" si="2"/>
        <v>0</v>
      </c>
      <c r="AF234" s="87">
        <f t="shared" si="3"/>
        <v>0</v>
      </c>
      <c r="AG234" s="87">
        <f t="shared" si="4"/>
        <v>0</v>
      </c>
      <c r="AH234" s="119" t="str">
        <f t="shared" si="5"/>
        <v/>
      </c>
    </row>
    <row r="235" ht="15.75" customHeight="1">
      <c r="A235" s="120" t="s">
        <v>23</v>
      </c>
      <c r="B235" s="121">
        <f t="shared" si="6"/>
        <v>45888</v>
      </c>
      <c r="C235" s="51">
        <v>9.0</v>
      </c>
      <c r="D235" s="51" t="s">
        <v>29</v>
      </c>
      <c r="E235" s="122" t="s">
        <v>34</v>
      </c>
      <c r="F235" s="94">
        <v>0.0</v>
      </c>
      <c r="H235" s="95">
        <v>50.0</v>
      </c>
      <c r="J235" s="95">
        <v>0.0</v>
      </c>
      <c r="L235" s="95">
        <v>0.0</v>
      </c>
      <c r="N235" s="95">
        <v>0.0</v>
      </c>
      <c r="P235" s="95">
        <v>0.0</v>
      </c>
      <c r="Q235" s="22"/>
      <c r="R235" s="96"/>
      <c r="T235" s="97"/>
      <c r="V235" s="97"/>
      <c r="X235" s="97"/>
      <c r="Z235" s="97"/>
      <c r="AB235" s="97"/>
      <c r="AC235" s="22"/>
      <c r="AD235" s="50">
        <f t="shared" si="1"/>
        <v>1315.5</v>
      </c>
      <c r="AE235" s="51">
        <f t="shared" si="2"/>
        <v>50</v>
      </c>
      <c r="AF235" s="51">
        <f t="shared" si="3"/>
        <v>0</v>
      </c>
      <c r="AG235" s="51">
        <f t="shared" si="4"/>
        <v>50</v>
      </c>
      <c r="AH235" s="123">
        <f t="shared" si="5"/>
        <v>26.31</v>
      </c>
    </row>
    <row r="236" ht="15.75" customHeight="1">
      <c r="A236" s="120" t="s">
        <v>24</v>
      </c>
      <c r="B236" s="121">
        <f t="shared" si="6"/>
        <v>45889</v>
      </c>
      <c r="C236" s="51">
        <v>9.0</v>
      </c>
      <c r="D236" s="51" t="s">
        <v>29</v>
      </c>
      <c r="E236" s="122" t="s">
        <v>32</v>
      </c>
      <c r="F236" s="94">
        <v>50.0</v>
      </c>
      <c r="H236" s="95">
        <v>0.0</v>
      </c>
      <c r="J236" s="95">
        <v>55.0</v>
      </c>
      <c r="L236" s="95">
        <v>0.0</v>
      </c>
      <c r="N236" s="95">
        <v>0.0</v>
      </c>
      <c r="P236" s="95">
        <v>0.0</v>
      </c>
      <c r="Q236" s="22"/>
      <c r="R236" s="96"/>
      <c r="T236" s="97"/>
      <c r="V236" s="97"/>
      <c r="X236" s="97"/>
      <c r="Z236" s="97"/>
      <c r="AB236" s="97"/>
      <c r="AC236" s="22"/>
      <c r="AD236" s="50">
        <f t="shared" si="1"/>
        <v>2762.55</v>
      </c>
      <c r="AE236" s="51">
        <f t="shared" si="2"/>
        <v>105</v>
      </c>
      <c r="AF236" s="51">
        <f t="shared" si="3"/>
        <v>0</v>
      </c>
      <c r="AG236" s="51">
        <f t="shared" si="4"/>
        <v>105</v>
      </c>
      <c r="AH236" s="123">
        <f t="shared" si="5"/>
        <v>26.31</v>
      </c>
    </row>
    <row r="237" ht="15.75" customHeight="1">
      <c r="A237" s="120" t="s">
        <v>25</v>
      </c>
      <c r="B237" s="121">
        <f t="shared" si="6"/>
        <v>45890</v>
      </c>
      <c r="C237" s="51">
        <v>9.0</v>
      </c>
      <c r="D237" s="51" t="s">
        <v>29</v>
      </c>
      <c r="E237" s="122" t="s">
        <v>34</v>
      </c>
      <c r="F237" s="94">
        <v>0.0</v>
      </c>
      <c r="H237" s="95">
        <v>50.0</v>
      </c>
      <c r="J237" s="95">
        <v>0.0</v>
      </c>
      <c r="L237" s="95">
        <v>0.0</v>
      </c>
      <c r="N237" s="95">
        <v>0.0</v>
      </c>
      <c r="P237" s="95">
        <v>0.0</v>
      </c>
      <c r="Q237" s="22"/>
      <c r="R237" s="96"/>
      <c r="T237" s="97"/>
      <c r="V237" s="97"/>
      <c r="X237" s="97"/>
      <c r="Z237" s="97"/>
      <c r="AB237" s="97"/>
      <c r="AC237" s="22"/>
      <c r="AD237" s="50">
        <f t="shared" si="1"/>
        <v>1315.5</v>
      </c>
      <c r="AE237" s="51">
        <f t="shared" si="2"/>
        <v>50</v>
      </c>
      <c r="AF237" s="51">
        <f t="shared" si="3"/>
        <v>0</v>
      </c>
      <c r="AG237" s="51">
        <f t="shared" si="4"/>
        <v>50</v>
      </c>
      <c r="AH237" s="123">
        <f t="shared" si="5"/>
        <v>26.31</v>
      </c>
    </row>
    <row r="238" ht="15.75" customHeight="1">
      <c r="A238" s="120" t="s">
        <v>26</v>
      </c>
      <c r="B238" s="121">
        <f t="shared" si="6"/>
        <v>45891</v>
      </c>
      <c r="C238" s="51">
        <v>9.0</v>
      </c>
      <c r="D238" s="51" t="s">
        <v>29</v>
      </c>
      <c r="E238" s="122" t="s">
        <v>34</v>
      </c>
      <c r="F238" s="94">
        <v>0.0</v>
      </c>
      <c r="H238" s="95">
        <v>50.0</v>
      </c>
      <c r="J238" s="95">
        <v>55.0</v>
      </c>
      <c r="L238" s="95">
        <v>0.0</v>
      </c>
      <c r="N238" s="95">
        <v>0.0</v>
      </c>
      <c r="P238" s="95">
        <v>0.0</v>
      </c>
      <c r="Q238" s="22"/>
      <c r="R238" s="96"/>
      <c r="T238" s="97"/>
      <c r="V238" s="97"/>
      <c r="X238" s="97"/>
      <c r="Z238" s="97"/>
      <c r="AB238" s="97"/>
      <c r="AC238" s="22"/>
      <c r="AD238" s="50">
        <f t="shared" si="1"/>
        <v>2762.55</v>
      </c>
      <c r="AE238" s="51">
        <f t="shared" si="2"/>
        <v>105</v>
      </c>
      <c r="AF238" s="51">
        <f t="shared" si="3"/>
        <v>0</v>
      </c>
      <c r="AG238" s="51">
        <f t="shared" si="4"/>
        <v>105</v>
      </c>
      <c r="AH238" s="123">
        <f t="shared" si="5"/>
        <v>26.31</v>
      </c>
    </row>
    <row r="239" ht="15.75" customHeight="1">
      <c r="A239" s="120" t="s">
        <v>27</v>
      </c>
      <c r="B239" s="121">
        <f t="shared" si="6"/>
        <v>45892</v>
      </c>
      <c r="C239" s="51">
        <v>9.0</v>
      </c>
      <c r="D239" s="51" t="s">
        <v>29</v>
      </c>
      <c r="E239" s="122" t="s">
        <v>34</v>
      </c>
      <c r="F239" s="94">
        <v>0.0</v>
      </c>
      <c r="H239" s="95">
        <v>50.0</v>
      </c>
      <c r="J239" s="95">
        <v>0.0</v>
      </c>
      <c r="L239" s="95">
        <v>0.0</v>
      </c>
      <c r="N239" s="95">
        <v>0.0</v>
      </c>
      <c r="P239" s="95">
        <v>0.0</v>
      </c>
      <c r="Q239" s="22"/>
      <c r="R239" s="96"/>
      <c r="T239" s="97"/>
      <c r="V239" s="97"/>
      <c r="X239" s="97"/>
      <c r="Z239" s="97"/>
      <c r="AB239" s="97"/>
      <c r="AC239" s="22"/>
      <c r="AD239" s="50">
        <f t="shared" si="1"/>
        <v>1315.5</v>
      </c>
      <c r="AE239" s="51">
        <f t="shared" si="2"/>
        <v>50</v>
      </c>
      <c r="AF239" s="51">
        <f t="shared" si="3"/>
        <v>0</v>
      </c>
      <c r="AG239" s="51">
        <f t="shared" si="4"/>
        <v>50</v>
      </c>
      <c r="AH239" s="123">
        <f t="shared" si="5"/>
        <v>26.31</v>
      </c>
    </row>
    <row r="240" ht="15.75" customHeight="1">
      <c r="A240" s="124" t="s">
        <v>28</v>
      </c>
      <c r="B240" s="125">
        <f t="shared" si="6"/>
        <v>45893</v>
      </c>
      <c r="C240" s="57">
        <v>9.0</v>
      </c>
      <c r="D240" s="57" t="s">
        <v>29</v>
      </c>
      <c r="E240" s="126" t="s">
        <v>32</v>
      </c>
      <c r="F240" s="110">
        <v>50.0</v>
      </c>
      <c r="G240" s="35"/>
      <c r="H240" s="111">
        <v>0.0</v>
      </c>
      <c r="I240" s="35"/>
      <c r="J240" s="111">
        <v>0.0</v>
      </c>
      <c r="K240" s="35"/>
      <c r="L240" s="111">
        <v>0.0</v>
      </c>
      <c r="M240" s="35"/>
      <c r="N240" s="111">
        <v>0.0</v>
      </c>
      <c r="O240" s="35"/>
      <c r="P240" s="111">
        <v>0.0</v>
      </c>
      <c r="Q240" s="37"/>
      <c r="R240" s="112"/>
      <c r="S240" s="35"/>
      <c r="T240" s="113"/>
      <c r="U240" s="35"/>
      <c r="V240" s="113"/>
      <c r="W240" s="35"/>
      <c r="X240" s="113"/>
      <c r="Y240" s="35"/>
      <c r="Z240" s="113"/>
      <c r="AA240" s="35"/>
      <c r="AB240" s="113"/>
      <c r="AC240" s="37"/>
      <c r="AD240" s="56">
        <f t="shared" si="1"/>
        <v>1315.5</v>
      </c>
      <c r="AE240" s="57">
        <f t="shared" si="2"/>
        <v>50</v>
      </c>
      <c r="AF240" s="57">
        <f t="shared" si="3"/>
        <v>0</v>
      </c>
      <c r="AG240" s="57">
        <f t="shared" si="4"/>
        <v>50</v>
      </c>
      <c r="AH240" s="127">
        <f t="shared" si="5"/>
        <v>26.31</v>
      </c>
    </row>
    <row r="241" ht="15.75" customHeight="1">
      <c r="A241" s="116" t="s">
        <v>21</v>
      </c>
      <c r="B241" s="117">
        <f t="shared" si="6"/>
        <v>45894</v>
      </c>
      <c r="C241" s="87">
        <v>9.0</v>
      </c>
      <c r="D241" s="87" t="s">
        <v>30</v>
      </c>
      <c r="E241" s="118" t="s">
        <v>33</v>
      </c>
      <c r="F241" s="46"/>
      <c r="H241" s="47"/>
      <c r="J241" s="47"/>
      <c r="L241" s="47"/>
      <c r="N241" s="47"/>
      <c r="P241" s="47"/>
      <c r="Q241" s="22"/>
      <c r="R241" s="49"/>
      <c r="T241" s="48"/>
      <c r="V241" s="48"/>
      <c r="X241" s="48"/>
      <c r="Z241" s="48"/>
      <c r="AB241" s="48"/>
      <c r="AC241" s="22"/>
      <c r="AD241" s="86">
        <f t="shared" si="1"/>
        <v>0</v>
      </c>
      <c r="AE241" s="87">
        <f t="shared" si="2"/>
        <v>0</v>
      </c>
      <c r="AF241" s="87">
        <f t="shared" si="3"/>
        <v>0</v>
      </c>
      <c r="AG241" s="87">
        <f t="shared" si="4"/>
        <v>0</v>
      </c>
      <c r="AH241" s="119" t="str">
        <f t="shared" si="5"/>
        <v/>
      </c>
    </row>
    <row r="242" ht="15.75" customHeight="1">
      <c r="A242" s="120" t="s">
        <v>23</v>
      </c>
      <c r="B242" s="121">
        <f t="shared" si="6"/>
        <v>45895</v>
      </c>
      <c r="C242" s="51">
        <v>9.0</v>
      </c>
      <c r="D242" s="51" t="s">
        <v>30</v>
      </c>
      <c r="E242" s="122" t="s">
        <v>33</v>
      </c>
      <c r="F242" s="46"/>
      <c r="H242" s="47"/>
      <c r="J242" s="47"/>
      <c r="L242" s="47"/>
      <c r="N242" s="47"/>
      <c r="P242" s="47"/>
      <c r="Q242" s="22"/>
      <c r="R242" s="49"/>
      <c r="T242" s="48"/>
      <c r="V242" s="48"/>
      <c r="X242" s="48"/>
      <c r="Z242" s="48"/>
      <c r="AB242" s="48"/>
      <c r="AC242" s="22"/>
      <c r="AD242" s="50">
        <f t="shared" si="1"/>
        <v>0</v>
      </c>
      <c r="AE242" s="51">
        <f t="shared" si="2"/>
        <v>0</v>
      </c>
      <c r="AF242" s="51">
        <f t="shared" si="3"/>
        <v>0</v>
      </c>
      <c r="AG242" s="51">
        <f t="shared" si="4"/>
        <v>0</v>
      </c>
      <c r="AH242" s="123" t="str">
        <f t="shared" si="5"/>
        <v/>
      </c>
    </row>
    <row r="243" ht="15.75" customHeight="1">
      <c r="A243" s="120" t="s">
        <v>24</v>
      </c>
      <c r="B243" s="121">
        <f t="shared" si="6"/>
        <v>45896</v>
      </c>
      <c r="C243" s="51">
        <v>9.0</v>
      </c>
      <c r="D243" s="51" t="s">
        <v>30</v>
      </c>
      <c r="E243" s="122" t="s">
        <v>33</v>
      </c>
      <c r="F243" s="46"/>
      <c r="H243" s="47"/>
      <c r="J243" s="47"/>
      <c r="L243" s="47"/>
      <c r="N243" s="47"/>
      <c r="P243" s="47"/>
      <c r="Q243" s="22"/>
      <c r="R243" s="49"/>
      <c r="T243" s="48"/>
      <c r="V243" s="48"/>
      <c r="X243" s="48"/>
      <c r="Z243" s="48"/>
      <c r="AB243" s="48"/>
      <c r="AC243" s="22"/>
      <c r="AD243" s="50">
        <f t="shared" si="1"/>
        <v>0</v>
      </c>
      <c r="AE243" s="51">
        <f t="shared" si="2"/>
        <v>0</v>
      </c>
      <c r="AF243" s="51">
        <f t="shared" si="3"/>
        <v>0</v>
      </c>
      <c r="AG243" s="51">
        <f t="shared" si="4"/>
        <v>0</v>
      </c>
      <c r="AH243" s="123" t="str">
        <f t="shared" si="5"/>
        <v/>
      </c>
    </row>
    <row r="244" ht="15.75" customHeight="1">
      <c r="A244" s="120" t="s">
        <v>25</v>
      </c>
      <c r="B244" s="121">
        <f t="shared" si="6"/>
        <v>45897</v>
      </c>
      <c r="C244" s="51">
        <v>9.0</v>
      </c>
      <c r="D244" s="51" t="s">
        <v>30</v>
      </c>
      <c r="E244" s="122" t="s">
        <v>33</v>
      </c>
      <c r="F244" s="46"/>
      <c r="H244" s="47"/>
      <c r="J244" s="47"/>
      <c r="L244" s="47"/>
      <c r="N244" s="47"/>
      <c r="P244" s="47"/>
      <c r="Q244" s="22"/>
      <c r="R244" s="49"/>
      <c r="T244" s="48"/>
      <c r="V244" s="48"/>
      <c r="X244" s="48"/>
      <c r="Z244" s="48"/>
      <c r="AB244" s="48"/>
      <c r="AC244" s="22"/>
      <c r="AD244" s="50">
        <f t="shared" si="1"/>
        <v>0</v>
      </c>
      <c r="AE244" s="51">
        <f t="shared" si="2"/>
        <v>0</v>
      </c>
      <c r="AF244" s="51">
        <f t="shared" si="3"/>
        <v>0</v>
      </c>
      <c r="AG244" s="51">
        <f t="shared" si="4"/>
        <v>0</v>
      </c>
      <c r="AH244" s="123" t="str">
        <f t="shared" si="5"/>
        <v/>
      </c>
    </row>
    <row r="245" ht="15.75" customHeight="1">
      <c r="A245" s="120" t="s">
        <v>26</v>
      </c>
      <c r="B245" s="121">
        <f t="shared" si="6"/>
        <v>45898</v>
      </c>
      <c r="C245" s="51">
        <v>9.0</v>
      </c>
      <c r="D245" s="51" t="s">
        <v>30</v>
      </c>
      <c r="E245" s="122" t="s">
        <v>33</v>
      </c>
      <c r="F245" s="46"/>
      <c r="H245" s="47"/>
      <c r="J245" s="47"/>
      <c r="L245" s="47"/>
      <c r="N245" s="47"/>
      <c r="P245" s="47"/>
      <c r="Q245" s="22"/>
      <c r="R245" s="49"/>
      <c r="T245" s="48"/>
      <c r="V245" s="48"/>
      <c r="X245" s="48"/>
      <c r="Z245" s="48"/>
      <c r="AB245" s="48"/>
      <c r="AC245" s="22"/>
      <c r="AD245" s="50">
        <f t="shared" si="1"/>
        <v>0</v>
      </c>
      <c r="AE245" s="51">
        <f t="shared" si="2"/>
        <v>0</v>
      </c>
      <c r="AF245" s="51">
        <f t="shared" si="3"/>
        <v>0</v>
      </c>
      <c r="AG245" s="51">
        <f t="shared" si="4"/>
        <v>0</v>
      </c>
      <c r="AH245" s="123" t="str">
        <f t="shared" si="5"/>
        <v/>
      </c>
    </row>
    <row r="246" ht="15.75" customHeight="1">
      <c r="A246" s="120" t="s">
        <v>27</v>
      </c>
      <c r="B246" s="121">
        <f t="shared" si="6"/>
        <v>45899</v>
      </c>
      <c r="C246" s="51">
        <v>9.0</v>
      </c>
      <c r="D246" s="51" t="s">
        <v>30</v>
      </c>
      <c r="E246" s="122" t="s">
        <v>33</v>
      </c>
      <c r="F246" s="46"/>
      <c r="H246" s="47"/>
      <c r="J246" s="47"/>
      <c r="L246" s="47"/>
      <c r="N246" s="47"/>
      <c r="P246" s="47"/>
      <c r="Q246" s="22"/>
      <c r="R246" s="49"/>
      <c r="T246" s="48"/>
      <c r="V246" s="48"/>
      <c r="X246" s="48"/>
      <c r="Z246" s="48"/>
      <c r="AB246" s="48"/>
      <c r="AC246" s="22"/>
      <c r="AD246" s="50">
        <f t="shared" si="1"/>
        <v>0</v>
      </c>
      <c r="AE246" s="51">
        <f t="shared" si="2"/>
        <v>0</v>
      </c>
      <c r="AF246" s="51">
        <f t="shared" si="3"/>
        <v>0</v>
      </c>
      <c r="AG246" s="51">
        <f t="shared" si="4"/>
        <v>0</v>
      </c>
      <c r="AH246" s="123" t="str">
        <f t="shared" si="5"/>
        <v/>
      </c>
    </row>
    <row r="247" ht="15.75" customHeight="1">
      <c r="A247" s="124" t="s">
        <v>28</v>
      </c>
      <c r="B247" s="125">
        <f t="shared" si="6"/>
        <v>45900</v>
      </c>
      <c r="C247" s="57">
        <v>9.0</v>
      </c>
      <c r="D247" s="57" t="s">
        <v>30</v>
      </c>
      <c r="E247" s="126" t="s">
        <v>33</v>
      </c>
      <c r="F247" s="53"/>
      <c r="G247" s="35"/>
      <c r="H247" s="53"/>
      <c r="I247" s="35"/>
      <c r="J247" s="53"/>
      <c r="K247" s="35"/>
      <c r="L247" s="53"/>
      <c r="M247" s="35"/>
      <c r="N247" s="53"/>
      <c r="O247" s="35"/>
      <c r="P247" s="53"/>
      <c r="Q247" s="37"/>
      <c r="R247" s="55"/>
      <c r="S247" s="35"/>
      <c r="T247" s="54"/>
      <c r="U247" s="35"/>
      <c r="V247" s="54"/>
      <c r="W247" s="35"/>
      <c r="X247" s="54"/>
      <c r="Y247" s="35"/>
      <c r="Z247" s="54"/>
      <c r="AA247" s="35"/>
      <c r="AB247" s="54"/>
      <c r="AC247" s="37"/>
      <c r="AD247" s="56">
        <f t="shared" si="1"/>
        <v>0</v>
      </c>
      <c r="AE247" s="57">
        <f t="shared" si="2"/>
        <v>0</v>
      </c>
      <c r="AF247" s="57">
        <f t="shared" si="3"/>
        <v>0</v>
      </c>
      <c r="AG247" s="57">
        <f t="shared" si="4"/>
        <v>0</v>
      </c>
      <c r="AH247" s="127" t="str">
        <f t="shared" si="5"/>
        <v/>
      </c>
    </row>
    <row r="248" ht="15.75" customHeight="1">
      <c r="A248" s="116" t="s">
        <v>21</v>
      </c>
      <c r="B248" s="117">
        <f t="shared" si="6"/>
        <v>45901</v>
      </c>
      <c r="C248" s="87">
        <v>9.0</v>
      </c>
      <c r="D248" s="87" t="s">
        <v>31</v>
      </c>
      <c r="E248" s="118" t="s">
        <v>33</v>
      </c>
      <c r="F248" s="94">
        <v>0.0</v>
      </c>
      <c r="H248" s="95">
        <v>0.0</v>
      </c>
      <c r="J248" s="95">
        <v>0.0</v>
      </c>
      <c r="L248" s="95">
        <v>0.0</v>
      </c>
      <c r="N248" s="95">
        <v>0.0</v>
      </c>
      <c r="P248" s="95">
        <v>0.0</v>
      </c>
      <c r="Q248" s="22"/>
      <c r="R248" s="96"/>
      <c r="T248" s="97"/>
      <c r="V248" s="97"/>
      <c r="X248" s="97"/>
      <c r="Z248" s="97"/>
      <c r="AB248" s="97"/>
      <c r="AC248" s="22"/>
      <c r="AD248" s="86">
        <f t="shared" si="1"/>
        <v>0</v>
      </c>
      <c r="AE248" s="87">
        <f t="shared" si="2"/>
        <v>0</v>
      </c>
      <c r="AF248" s="87">
        <f t="shared" si="3"/>
        <v>0</v>
      </c>
      <c r="AG248" s="87">
        <f t="shared" si="4"/>
        <v>0</v>
      </c>
      <c r="AH248" s="119" t="str">
        <f t="shared" si="5"/>
        <v/>
      </c>
    </row>
    <row r="249" ht="15.75" customHeight="1">
      <c r="A249" s="120" t="s">
        <v>23</v>
      </c>
      <c r="B249" s="121">
        <f t="shared" si="6"/>
        <v>45902</v>
      </c>
      <c r="C249" s="51">
        <v>9.0</v>
      </c>
      <c r="D249" s="51" t="s">
        <v>31</v>
      </c>
      <c r="E249" s="122" t="s">
        <v>34</v>
      </c>
      <c r="F249" s="94">
        <v>0.0</v>
      </c>
      <c r="H249" s="95">
        <v>50.0</v>
      </c>
      <c r="J249" s="95">
        <v>0.0</v>
      </c>
      <c r="L249" s="95">
        <v>0.0</v>
      </c>
      <c r="N249" s="95">
        <v>0.0</v>
      </c>
      <c r="P249" s="95">
        <v>0.0</v>
      </c>
      <c r="Q249" s="22"/>
      <c r="R249" s="96"/>
      <c r="T249" s="97"/>
      <c r="V249" s="97"/>
      <c r="X249" s="97"/>
      <c r="Z249" s="97"/>
      <c r="AB249" s="97"/>
      <c r="AC249" s="22"/>
      <c r="AD249" s="50">
        <f t="shared" si="1"/>
        <v>1315.5</v>
      </c>
      <c r="AE249" s="51">
        <f t="shared" si="2"/>
        <v>50</v>
      </c>
      <c r="AF249" s="51">
        <f t="shared" si="3"/>
        <v>0</v>
      </c>
      <c r="AG249" s="51">
        <f t="shared" si="4"/>
        <v>50</v>
      </c>
      <c r="AH249" s="123">
        <f t="shared" si="5"/>
        <v>26.31</v>
      </c>
    </row>
    <row r="250" ht="15.75" customHeight="1">
      <c r="A250" s="120" t="s">
        <v>24</v>
      </c>
      <c r="B250" s="121">
        <f t="shared" si="6"/>
        <v>45903</v>
      </c>
      <c r="C250" s="51">
        <v>9.0</v>
      </c>
      <c r="D250" s="51" t="s">
        <v>31</v>
      </c>
      <c r="E250" s="122" t="s">
        <v>34</v>
      </c>
      <c r="F250" s="94">
        <v>0.0</v>
      </c>
      <c r="H250" s="95">
        <v>50.0</v>
      </c>
      <c r="J250" s="95">
        <v>55.0</v>
      </c>
      <c r="L250" s="95">
        <v>0.0</v>
      </c>
      <c r="N250" s="95">
        <v>0.0</v>
      </c>
      <c r="P250" s="95">
        <v>0.0</v>
      </c>
      <c r="Q250" s="22"/>
      <c r="R250" s="96"/>
      <c r="T250" s="97"/>
      <c r="V250" s="97"/>
      <c r="X250" s="97"/>
      <c r="Z250" s="97"/>
      <c r="AB250" s="97"/>
      <c r="AC250" s="22"/>
      <c r="AD250" s="50">
        <f t="shared" si="1"/>
        <v>2762.55</v>
      </c>
      <c r="AE250" s="51">
        <f t="shared" si="2"/>
        <v>105</v>
      </c>
      <c r="AF250" s="51">
        <f t="shared" si="3"/>
        <v>0</v>
      </c>
      <c r="AG250" s="51">
        <f t="shared" si="4"/>
        <v>105</v>
      </c>
      <c r="AH250" s="123">
        <f t="shared" si="5"/>
        <v>26.31</v>
      </c>
    </row>
    <row r="251" ht="15.75" customHeight="1">
      <c r="A251" s="120" t="s">
        <v>25</v>
      </c>
      <c r="B251" s="121">
        <f t="shared" si="6"/>
        <v>45904</v>
      </c>
      <c r="C251" s="51">
        <v>9.0</v>
      </c>
      <c r="D251" s="51" t="s">
        <v>31</v>
      </c>
      <c r="E251" s="126" t="s">
        <v>32</v>
      </c>
      <c r="F251" s="94">
        <v>50.0</v>
      </c>
      <c r="H251" s="95">
        <v>0.0</v>
      </c>
      <c r="J251" s="95">
        <v>0.0</v>
      </c>
      <c r="L251" s="95">
        <v>0.0</v>
      </c>
      <c r="N251" s="95">
        <v>0.0</v>
      </c>
      <c r="P251" s="95">
        <v>0.0</v>
      </c>
      <c r="Q251" s="22"/>
      <c r="R251" s="96"/>
      <c r="T251" s="97"/>
      <c r="V251" s="97"/>
      <c r="X251" s="97"/>
      <c r="Z251" s="97"/>
      <c r="AB251" s="97"/>
      <c r="AC251" s="22"/>
      <c r="AD251" s="50">
        <f t="shared" si="1"/>
        <v>1315.5</v>
      </c>
      <c r="AE251" s="51">
        <f t="shared" si="2"/>
        <v>50</v>
      </c>
      <c r="AF251" s="51">
        <f t="shared" si="3"/>
        <v>0</v>
      </c>
      <c r="AG251" s="51">
        <f t="shared" si="4"/>
        <v>50</v>
      </c>
      <c r="AH251" s="123">
        <f t="shared" si="5"/>
        <v>26.31</v>
      </c>
    </row>
    <row r="252" ht="15.75" customHeight="1">
      <c r="A252" s="120" t="s">
        <v>26</v>
      </c>
      <c r="B252" s="121">
        <f t="shared" si="6"/>
        <v>45905</v>
      </c>
      <c r="C252" s="51">
        <v>9.0</v>
      </c>
      <c r="D252" s="51" t="s">
        <v>31</v>
      </c>
      <c r="E252" s="122" t="s">
        <v>34</v>
      </c>
      <c r="F252" s="94">
        <v>0.0</v>
      </c>
      <c r="H252" s="95">
        <v>50.0</v>
      </c>
      <c r="J252" s="95">
        <v>55.0</v>
      </c>
      <c r="L252" s="95">
        <v>0.0</v>
      </c>
      <c r="N252" s="95">
        <v>0.0</v>
      </c>
      <c r="P252" s="95">
        <v>0.0</v>
      </c>
      <c r="Q252" s="22"/>
      <c r="R252" s="96"/>
      <c r="T252" s="97"/>
      <c r="V252" s="97"/>
      <c r="X252" s="97"/>
      <c r="Z252" s="97"/>
      <c r="AB252" s="97"/>
      <c r="AC252" s="22"/>
      <c r="AD252" s="50">
        <f t="shared" si="1"/>
        <v>2762.55</v>
      </c>
      <c r="AE252" s="51">
        <f t="shared" si="2"/>
        <v>105</v>
      </c>
      <c r="AF252" s="51">
        <f t="shared" si="3"/>
        <v>0</v>
      </c>
      <c r="AG252" s="51">
        <f t="shared" si="4"/>
        <v>105</v>
      </c>
      <c r="AH252" s="123">
        <f t="shared" si="5"/>
        <v>26.31</v>
      </c>
    </row>
    <row r="253" ht="15.75" customHeight="1">
      <c r="A253" s="120" t="s">
        <v>27</v>
      </c>
      <c r="B253" s="121">
        <f t="shared" si="6"/>
        <v>45906</v>
      </c>
      <c r="C253" s="51">
        <v>9.0</v>
      </c>
      <c r="D253" s="51" t="s">
        <v>31</v>
      </c>
      <c r="E253" s="126" t="s">
        <v>32</v>
      </c>
      <c r="F253" s="94">
        <v>50.0</v>
      </c>
      <c r="H253" s="95">
        <v>0.0</v>
      </c>
      <c r="J253" s="95">
        <v>55.0</v>
      </c>
      <c r="L253" s="95">
        <v>0.0</v>
      </c>
      <c r="N253" s="95">
        <v>0.0</v>
      </c>
      <c r="P253" s="95">
        <v>0.0</v>
      </c>
      <c r="Q253" s="22"/>
      <c r="R253" s="96"/>
      <c r="T253" s="97"/>
      <c r="V253" s="97"/>
      <c r="X253" s="97"/>
      <c r="Z253" s="97"/>
      <c r="AB253" s="97"/>
      <c r="AC253" s="22"/>
      <c r="AD253" s="50">
        <f t="shared" si="1"/>
        <v>2762.55</v>
      </c>
      <c r="AE253" s="51">
        <f t="shared" si="2"/>
        <v>105</v>
      </c>
      <c r="AF253" s="51">
        <f t="shared" si="3"/>
        <v>0</v>
      </c>
      <c r="AG253" s="51">
        <f t="shared" si="4"/>
        <v>105</v>
      </c>
      <c r="AH253" s="123">
        <f t="shared" si="5"/>
        <v>26.31</v>
      </c>
    </row>
    <row r="254" ht="15.75" customHeight="1">
      <c r="A254" s="124" t="s">
        <v>28</v>
      </c>
      <c r="B254" s="125">
        <f t="shared" si="6"/>
        <v>45907</v>
      </c>
      <c r="C254" s="57">
        <v>9.0</v>
      </c>
      <c r="D254" s="57" t="s">
        <v>31</v>
      </c>
      <c r="E254" s="126" t="s">
        <v>32</v>
      </c>
      <c r="F254" s="110">
        <v>50.0</v>
      </c>
      <c r="G254" s="35"/>
      <c r="H254" s="111">
        <v>0.0</v>
      </c>
      <c r="I254" s="35"/>
      <c r="J254" s="111">
        <v>0.0</v>
      </c>
      <c r="K254" s="35"/>
      <c r="L254" s="111">
        <v>0.0</v>
      </c>
      <c r="M254" s="35"/>
      <c r="N254" s="111">
        <v>0.0</v>
      </c>
      <c r="O254" s="35"/>
      <c r="P254" s="111">
        <v>0.0</v>
      </c>
      <c r="Q254" s="37"/>
      <c r="R254" s="112"/>
      <c r="S254" s="35"/>
      <c r="T254" s="113"/>
      <c r="U254" s="35"/>
      <c r="V254" s="113"/>
      <c r="W254" s="35"/>
      <c r="X254" s="113"/>
      <c r="Y254" s="35"/>
      <c r="Z254" s="113"/>
      <c r="AA254" s="35"/>
      <c r="AB254" s="113"/>
      <c r="AC254" s="37"/>
      <c r="AD254" s="56">
        <f t="shared" si="1"/>
        <v>1315.5</v>
      </c>
      <c r="AE254" s="57">
        <f t="shared" si="2"/>
        <v>50</v>
      </c>
      <c r="AF254" s="57">
        <f t="shared" si="3"/>
        <v>0</v>
      </c>
      <c r="AG254" s="57">
        <f t="shared" si="4"/>
        <v>50</v>
      </c>
      <c r="AH254" s="127">
        <f t="shared" si="5"/>
        <v>26.31</v>
      </c>
    </row>
    <row r="255" ht="15.75" customHeight="1">
      <c r="A255" s="116" t="s">
        <v>21</v>
      </c>
      <c r="B255" s="117">
        <f t="shared" si="6"/>
        <v>45908</v>
      </c>
      <c r="C255" s="87">
        <v>10.0</v>
      </c>
      <c r="D255" s="87" t="s">
        <v>22</v>
      </c>
      <c r="E255" s="118" t="s">
        <v>33</v>
      </c>
      <c r="F255" s="46"/>
      <c r="H255" s="47"/>
      <c r="J255" s="47"/>
      <c r="L255" s="47"/>
      <c r="N255" s="47"/>
      <c r="P255" s="47"/>
      <c r="Q255" s="22"/>
      <c r="R255" s="49"/>
      <c r="T255" s="48"/>
      <c r="V255" s="48"/>
      <c r="X255" s="48"/>
      <c r="Z255" s="48"/>
      <c r="AB255" s="48"/>
      <c r="AC255" s="22"/>
      <c r="AD255" s="86">
        <f t="shared" si="1"/>
        <v>0</v>
      </c>
      <c r="AE255" s="87">
        <f t="shared" si="2"/>
        <v>0</v>
      </c>
      <c r="AF255" s="87">
        <f t="shared" si="3"/>
        <v>0</v>
      </c>
      <c r="AG255" s="87">
        <f t="shared" si="4"/>
        <v>0</v>
      </c>
      <c r="AH255" s="119" t="str">
        <f t="shared" si="5"/>
        <v/>
      </c>
    </row>
    <row r="256" ht="15.75" customHeight="1">
      <c r="A256" s="120" t="s">
        <v>23</v>
      </c>
      <c r="B256" s="121">
        <f t="shared" si="6"/>
        <v>45909</v>
      </c>
      <c r="C256" s="51">
        <v>10.0</v>
      </c>
      <c r="D256" s="51" t="s">
        <v>22</v>
      </c>
      <c r="E256" s="122" t="s">
        <v>33</v>
      </c>
      <c r="F256" s="46"/>
      <c r="H256" s="47"/>
      <c r="J256" s="47"/>
      <c r="L256" s="47"/>
      <c r="N256" s="47"/>
      <c r="P256" s="47"/>
      <c r="Q256" s="22"/>
      <c r="R256" s="49"/>
      <c r="T256" s="48"/>
      <c r="V256" s="48"/>
      <c r="X256" s="48"/>
      <c r="Z256" s="48"/>
      <c r="AB256" s="48"/>
      <c r="AC256" s="22"/>
      <c r="AD256" s="50">
        <f t="shared" si="1"/>
        <v>0</v>
      </c>
      <c r="AE256" s="51">
        <f t="shared" si="2"/>
        <v>0</v>
      </c>
      <c r="AF256" s="51">
        <f t="shared" si="3"/>
        <v>0</v>
      </c>
      <c r="AG256" s="51">
        <f t="shared" si="4"/>
        <v>0</v>
      </c>
      <c r="AH256" s="123" t="str">
        <f t="shared" si="5"/>
        <v/>
      </c>
    </row>
    <row r="257" ht="15.75" customHeight="1">
      <c r="A257" s="120" t="s">
        <v>24</v>
      </c>
      <c r="B257" s="121">
        <f t="shared" si="6"/>
        <v>45910</v>
      </c>
      <c r="C257" s="51">
        <v>10.0</v>
      </c>
      <c r="D257" s="51" t="s">
        <v>22</v>
      </c>
      <c r="E257" s="122" t="s">
        <v>33</v>
      </c>
      <c r="F257" s="46"/>
      <c r="H257" s="47"/>
      <c r="J257" s="47"/>
      <c r="L257" s="47"/>
      <c r="N257" s="47"/>
      <c r="P257" s="47"/>
      <c r="Q257" s="22"/>
      <c r="R257" s="49"/>
      <c r="T257" s="48"/>
      <c r="V257" s="48"/>
      <c r="X257" s="48"/>
      <c r="Z257" s="48"/>
      <c r="AB257" s="48"/>
      <c r="AC257" s="22"/>
      <c r="AD257" s="50">
        <f t="shared" si="1"/>
        <v>0</v>
      </c>
      <c r="AE257" s="51">
        <f t="shared" si="2"/>
        <v>0</v>
      </c>
      <c r="AF257" s="51">
        <f t="shared" si="3"/>
        <v>0</v>
      </c>
      <c r="AG257" s="51">
        <f t="shared" si="4"/>
        <v>0</v>
      </c>
      <c r="AH257" s="123" t="str">
        <f t="shared" si="5"/>
        <v/>
      </c>
    </row>
    <row r="258" ht="15.75" customHeight="1">
      <c r="A258" s="120" t="s">
        <v>25</v>
      </c>
      <c r="B258" s="121">
        <f t="shared" si="6"/>
        <v>45911</v>
      </c>
      <c r="C258" s="51">
        <v>10.0</v>
      </c>
      <c r="D258" s="51" t="s">
        <v>22</v>
      </c>
      <c r="E258" s="122" t="s">
        <v>33</v>
      </c>
      <c r="F258" s="46"/>
      <c r="H258" s="47"/>
      <c r="J258" s="47"/>
      <c r="L258" s="47"/>
      <c r="N258" s="47"/>
      <c r="P258" s="47"/>
      <c r="Q258" s="22"/>
      <c r="R258" s="49"/>
      <c r="T258" s="48"/>
      <c r="V258" s="48"/>
      <c r="X258" s="48"/>
      <c r="Z258" s="48"/>
      <c r="AB258" s="48"/>
      <c r="AC258" s="22"/>
      <c r="AD258" s="50">
        <f t="shared" si="1"/>
        <v>0</v>
      </c>
      <c r="AE258" s="51">
        <f t="shared" si="2"/>
        <v>0</v>
      </c>
      <c r="AF258" s="51">
        <f t="shared" si="3"/>
        <v>0</v>
      </c>
      <c r="AG258" s="51">
        <f t="shared" si="4"/>
        <v>0</v>
      </c>
      <c r="AH258" s="123" t="str">
        <f t="shared" si="5"/>
        <v/>
      </c>
    </row>
    <row r="259" ht="15.75" customHeight="1">
      <c r="A259" s="120" t="s">
        <v>26</v>
      </c>
      <c r="B259" s="121">
        <f t="shared" si="6"/>
        <v>45912</v>
      </c>
      <c r="C259" s="51">
        <v>10.0</v>
      </c>
      <c r="D259" s="51" t="s">
        <v>22</v>
      </c>
      <c r="E259" s="122" t="s">
        <v>33</v>
      </c>
      <c r="F259" s="46"/>
      <c r="H259" s="47"/>
      <c r="J259" s="47"/>
      <c r="L259" s="47"/>
      <c r="N259" s="47"/>
      <c r="P259" s="47"/>
      <c r="Q259" s="22"/>
      <c r="R259" s="49"/>
      <c r="T259" s="48"/>
      <c r="V259" s="48"/>
      <c r="X259" s="48"/>
      <c r="Z259" s="48"/>
      <c r="AB259" s="48"/>
      <c r="AC259" s="22"/>
      <c r="AD259" s="50">
        <f t="shared" si="1"/>
        <v>0</v>
      </c>
      <c r="AE259" s="51">
        <f t="shared" si="2"/>
        <v>0</v>
      </c>
      <c r="AF259" s="51">
        <f t="shared" si="3"/>
        <v>0</v>
      </c>
      <c r="AG259" s="51">
        <f t="shared" si="4"/>
        <v>0</v>
      </c>
      <c r="AH259" s="123" t="str">
        <f t="shared" si="5"/>
        <v/>
      </c>
    </row>
    <row r="260" ht="15.75" customHeight="1">
      <c r="A260" s="120" t="s">
        <v>27</v>
      </c>
      <c r="B260" s="121">
        <f t="shared" si="6"/>
        <v>45913</v>
      </c>
      <c r="C260" s="51">
        <v>10.0</v>
      </c>
      <c r="D260" s="51" t="s">
        <v>22</v>
      </c>
      <c r="E260" s="122" t="s">
        <v>33</v>
      </c>
      <c r="F260" s="46"/>
      <c r="H260" s="47"/>
      <c r="J260" s="47"/>
      <c r="L260" s="47"/>
      <c r="N260" s="47"/>
      <c r="P260" s="47"/>
      <c r="Q260" s="22"/>
      <c r="R260" s="49"/>
      <c r="T260" s="48"/>
      <c r="V260" s="48"/>
      <c r="X260" s="48"/>
      <c r="Z260" s="48"/>
      <c r="AB260" s="48"/>
      <c r="AC260" s="22"/>
      <c r="AD260" s="50">
        <f t="shared" si="1"/>
        <v>0</v>
      </c>
      <c r="AE260" s="51">
        <f t="shared" si="2"/>
        <v>0</v>
      </c>
      <c r="AF260" s="51">
        <f t="shared" si="3"/>
        <v>0</v>
      </c>
      <c r="AG260" s="51">
        <f t="shared" si="4"/>
        <v>0</v>
      </c>
      <c r="AH260" s="123" t="str">
        <f t="shared" si="5"/>
        <v/>
      </c>
    </row>
    <row r="261" ht="15.75" customHeight="1">
      <c r="A261" s="124" t="s">
        <v>28</v>
      </c>
      <c r="B261" s="125">
        <f t="shared" si="6"/>
        <v>45914</v>
      </c>
      <c r="C261" s="57">
        <v>10.0</v>
      </c>
      <c r="D261" s="57" t="s">
        <v>22</v>
      </c>
      <c r="E261" s="126" t="s">
        <v>33</v>
      </c>
      <c r="F261" s="53"/>
      <c r="G261" s="35"/>
      <c r="H261" s="53"/>
      <c r="I261" s="35"/>
      <c r="J261" s="53"/>
      <c r="K261" s="35"/>
      <c r="L261" s="53"/>
      <c r="M261" s="35"/>
      <c r="N261" s="53"/>
      <c r="O261" s="35"/>
      <c r="P261" s="53"/>
      <c r="Q261" s="37"/>
      <c r="R261" s="55"/>
      <c r="S261" s="35"/>
      <c r="T261" s="54"/>
      <c r="U261" s="35"/>
      <c r="V261" s="54"/>
      <c r="W261" s="35"/>
      <c r="X261" s="54"/>
      <c r="Y261" s="35"/>
      <c r="Z261" s="54"/>
      <c r="AA261" s="35"/>
      <c r="AB261" s="54"/>
      <c r="AC261" s="37"/>
      <c r="AD261" s="56">
        <f t="shared" si="1"/>
        <v>0</v>
      </c>
      <c r="AE261" s="57">
        <f t="shared" si="2"/>
        <v>0</v>
      </c>
      <c r="AF261" s="57">
        <f t="shared" si="3"/>
        <v>0</v>
      </c>
      <c r="AG261" s="57">
        <f t="shared" si="4"/>
        <v>0</v>
      </c>
      <c r="AH261" s="127" t="str">
        <f t="shared" si="5"/>
        <v/>
      </c>
    </row>
    <row r="262" ht="15.75" customHeight="1">
      <c r="A262" s="116" t="s">
        <v>21</v>
      </c>
      <c r="B262" s="117">
        <f t="shared" si="6"/>
        <v>45915</v>
      </c>
      <c r="C262" s="87">
        <v>10.0</v>
      </c>
      <c r="D262" s="87" t="s">
        <v>29</v>
      </c>
      <c r="E262" s="118" t="s">
        <v>33</v>
      </c>
      <c r="F262" s="94">
        <v>0.0</v>
      </c>
      <c r="H262" s="95">
        <v>0.0</v>
      </c>
      <c r="J262" s="95">
        <v>0.0</v>
      </c>
      <c r="L262" s="95">
        <v>0.0</v>
      </c>
      <c r="N262" s="95">
        <v>0.0</v>
      </c>
      <c r="P262" s="95">
        <v>0.0</v>
      </c>
      <c r="Q262" s="22"/>
      <c r="R262" s="96"/>
      <c r="T262" s="97"/>
      <c r="V262" s="97"/>
      <c r="X262" s="97"/>
      <c r="Z262" s="97"/>
      <c r="AB262" s="97"/>
      <c r="AC262" s="22"/>
      <c r="AD262" s="86">
        <f t="shared" si="1"/>
        <v>0</v>
      </c>
      <c r="AE262" s="87">
        <f t="shared" si="2"/>
        <v>0</v>
      </c>
      <c r="AF262" s="87">
        <f t="shared" si="3"/>
        <v>0</v>
      </c>
      <c r="AG262" s="87">
        <f t="shared" si="4"/>
        <v>0</v>
      </c>
      <c r="AH262" s="119" t="str">
        <f t="shared" si="5"/>
        <v/>
      </c>
    </row>
    <row r="263" ht="15.75" customHeight="1">
      <c r="A263" s="120" t="s">
        <v>23</v>
      </c>
      <c r="B263" s="121">
        <f t="shared" si="6"/>
        <v>45916</v>
      </c>
      <c r="C263" s="51">
        <v>10.0</v>
      </c>
      <c r="D263" s="51" t="s">
        <v>29</v>
      </c>
      <c r="E263" s="122" t="s">
        <v>34</v>
      </c>
      <c r="F263" s="94">
        <v>0.0</v>
      </c>
      <c r="H263" s="95">
        <v>50.0</v>
      </c>
      <c r="J263" s="95">
        <v>0.0</v>
      </c>
      <c r="L263" s="95">
        <v>0.0</v>
      </c>
      <c r="N263" s="95">
        <v>0.0</v>
      </c>
      <c r="P263" s="95">
        <v>0.0</v>
      </c>
      <c r="Q263" s="22"/>
      <c r="R263" s="96"/>
      <c r="T263" s="97"/>
      <c r="V263" s="97"/>
      <c r="X263" s="97"/>
      <c r="Z263" s="97"/>
      <c r="AB263" s="97"/>
      <c r="AC263" s="22"/>
      <c r="AD263" s="50">
        <f t="shared" si="1"/>
        <v>1315.5</v>
      </c>
      <c r="AE263" s="51">
        <f t="shared" si="2"/>
        <v>50</v>
      </c>
      <c r="AF263" s="51">
        <f t="shared" si="3"/>
        <v>0</v>
      </c>
      <c r="AG263" s="51">
        <f t="shared" si="4"/>
        <v>50</v>
      </c>
      <c r="AH263" s="123">
        <f t="shared" si="5"/>
        <v>26.31</v>
      </c>
    </row>
    <row r="264" ht="15.75" customHeight="1">
      <c r="A264" s="120" t="s">
        <v>24</v>
      </c>
      <c r="B264" s="121">
        <f t="shared" si="6"/>
        <v>45917</v>
      </c>
      <c r="C264" s="51">
        <v>10.0</v>
      </c>
      <c r="D264" s="51" t="s">
        <v>29</v>
      </c>
      <c r="E264" s="122" t="s">
        <v>34</v>
      </c>
      <c r="F264" s="94">
        <v>0.0</v>
      </c>
      <c r="H264" s="95">
        <v>50.0</v>
      </c>
      <c r="J264" s="95">
        <v>55.0</v>
      </c>
      <c r="L264" s="95">
        <v>0.0</v>
      </c>
      <c r="N264" s="95">
        <v>0.0</v>
      </c>
      <c r="P264" s="95">
        <v>0.0</v>
      </c>
      <c r="Q264" s="22"/>
      <c r="R264" s="96"/>
      <c r="T264" s="97"/>
      <c r="V264" s="97"/>
      <c r="X264" s="97"/>
      <c r="Z264" s="97"/>
      <c r="AB264" s="97"/>
      <c r="AC264" s="22"/>
      <c r="AD264" s="50">
        <f t="shared" si="1"/>
        <v>2762.55</v>
      </c>
      <c r="AE264" s="51">
        <f t="shared" si="2"/>
        <v>105</v>
      </c>
      <c r="AF264" s="51">
        <f t="shared" si="3"/>
        <v>0</v>
      </c>
      <c r="AG264" s="51">
        <f t="shared" si="4"/>
        <v>105</v>
      </c>
      <c r="AH264" s="123">
        <f t="shared" si="5"/>
        <v>26.31</v>
      </c>
    </row>
    <row r="265" ht="15.75" customHeight="1">
      <c r="A265" s="120" t="s">
        <v>25</v>
      </c>
      <c r="B265" s="121">
        <f t="shared" si="6"/>
        <v>45918</v>
      </c>
      <c r="C265" s="51">
        <v>10.0</v>
      </c>
      <c r="D265" s="51" t="s">
        <v>29</v>
      </c>
      <c r="E265" s="122" t="s">
        <v>32</v>
      </c>
      <c r="F265" s="94">
        <v>50.0</v>
      </c>
      <c r="H265" s="95">
        <v>0.0</v>
      </c>
      <c r="J265" s="95">
        <v>0.0</v>
      </c>
      <c r="L265" s="95">
        <v>0.0</v>
      </c>
      <c r="N265" s="95">
        <v>0.0</v>
      </c>
      <c r="P265" s="95">
        <v>0.0</v>
      </c>
      <c r="Q265" s="22"/>
      <c r="R265" s="96"/>
      <c r="T265" s="97"/>
      <c r="V265" s="97"/>
      <c r="X265" s="97"/>
      <c r="Z265" s="97"/>
      <c r="AB265" s="97"/>
      <c r="AC265" s="22"/>
      <c r="AD265" s="50">
        <f t="shared" si="1"/>
        <v>1315.5</v>
      </c>
      <c r="AE265" s="51">
        <f t="shared" si="2"/>
        <v>50</v>
      </c>
      <c r="AF265" s="51">
        <f t="shared" si="3"/>
        <v>0</v>
      </c>
      <c r="AG265" s="51">
        <f t="shared" si="4"/>
        <v>50</v>
      </c>
      <c r="AH265" s="123">
        <f t="shared" si="5"/>
        <v>26.31</v>
      </c>
    </row>
    <row r="266" ht="15.75" customHeight="1">
      <c r="A266" s="120" t="s">
        <v>26</v>
      </c>
      <c r="B266" s="121">
        <f t="shared" si="6"/>
        <v>45919</v>
      </c>
      <c r="C266" s="51">
        <v>10.0</v>
      </c>
      <c r="D266" s="51" t="s">
        <v>29</v>
      </c>
      <c r="E266" s="122" t="s">
        <v>34</v>
      </c>
      <c r="F266" s="94">
        <v>0.0</v>
      </c>
      <c r="H266" s="95">
        <v>50.0</v>
      </c>
      <c r="J266" s="95">
        <v>55.0</v>
      </c>
      <c r="L266" s="95">
        <v>0.0</v>
      </c>
      <c r="N266" s="95">
        <v>0.0</v>
      </c>
      <c r="P266" s="95">
        <v>0.0</v>
      </c>
      <c r="Q266" s="22"/>
      <c r="R266" s="96"/>
      <c r="T266" s="97"/>
      <c r="V266" s="97"/>
      <c r="X266" s="97"/>
      <c r="Z266" s="97"/>
      <c r="AB266" s="97"/>
      <c r="AC266" s="22"/>
      <c r="AD266" s="50">
        <f t="shared" si="1"/>
        <v>2762.55</v>
      </c>
      <c r="AE266" s="51">
        <f t="shared" si="2"/>
        <v>105</v>
      </c>
      <c r="AF266" s="51">
        <f t="shared" si="3"/>
        <v>0</v>
      </c>
      <c r="AG266" s="51">
        <f t="shared" si="4"/>
        <v>105</v>
      </c>
      <c r="AH266" s="123">
        <f t="shared" si="5"/>
        <v>26.31</v>
      </c>
    </row>
    <row r="267" ht="15.75" customHeight="1">
      <c r="A267" s="120" t="s">
        <v>27</v>
      </c>
      <c r="B267" s="121">
        <f t="shared" si="6"/>
        <v>45920</v>
      </c>
      <c r="C267" s="51">
        <v>10.0</v>
      </c>
      <c r="D267" s="51" t="s">
        <v>29</v>
      </c>
      <c r="E267" s="122" t="s">
        <v>32</v>
      </c>
      <c r="F267" s="94">
        <v>50.0</v>
      </c>
      <c r="H267" s="95">
        <v>0.0</v>
      </c>
      <c r="J267" s="95">
        <v>55.0</v>
      </c>
      <c r="L267" s="95">
        <v>0.0</v>
      </c>
      <c r="N267" s="95">
        <v>0.0</v>
      </c>
      <c r="P267" s="95">
        <v>0.0</v>
      </c>
      <c r="Q267" s="22"/>
      <c r="R267" s="96"/>
      <c r="T267" s="97"/>
      <c r="V267" s="97"/>
      <c r="X267" s="97"/>
      <c r="Z267" s="97"/>
      <c r="AB267" s="97"/>
      <c r="AC267" s="22"/>
      <c r="AD267" s="50">
        <f t="shared" si="1"/>
        <v>2762.55</v>
      </c>
      <c r="AE267" s="51">
        <f t="shared" si="2"/>
        <v>105</v>
      </c>
      <c r="AF267" s="51">
        <f t="shared" si="3"/>
        <v>0</v>
      </c>
      <c r="AG267" s="51">
        <f t="shared" si="4"/>
        <v>105</v>
      </c>
      <c r="AH267" s="123">
        <f t="shared" si="5"/>
        <v>26.31</v>
      </c>
    </row>
    <row r="268" ht="15.75" customHeight="1">
      <c r="A268" s="124" t="s">
        <v>28</v>
      </c>
      <c r="B268" s="125">
        <f t="shared" si="6"/>
        <v>45921</v>
      </c>
      <c r="C268" s="57">
        <v>10.0</v>
      </c>
      <c r="D268" s="57" t="s">
        <v>29</v>
      </c>
      <c r="E268" s="126" t="s">
        <v>32</v>
      </c>
      <c r="F268" s="110">
        <v>50.0</v>
      </c>
      <c r="G268" s="35"/>
      <c r="H268" s="111">
        <v>0.0</v>
      </c>
      <c r="I268" s="35"/>
      <c r="J268" s="111">
        <v>0.0</v>
      </c>
      <c r="K268" s="35"/>
      <c r="L268" s="111">
        <v>0.0</v>
      </c>
      <c r="M268" s="35"/>
      <c r="N268" s="111">
        <v>0.0</v>
      </c>
      <c r="O268" s="35"/>
      <c r="P268" s="111">
        <v>0.0</v>
      </c>
      <c r="Q268" s="37"/>
      <c r="R268" s="112"/>
      <c r="S268" s="35"/>
      <c r="T268" s="113"/>
      <c r="U268" s="35"/>
      <c r="V268" s="113"/>
      <c r="W268" s="35"/>
      <c r="X268" s="113"/>
      <c r="Y268" s="35"/>
      <c r="Z268" s="113"/>
      <c r="AA268" s="35"/>
      <c r="AB268" s="113"/>
      <c r="AC268" s="37"/>
      <c r="AD268" s="56">
        <f t="shared" si="1"/>
        <v>1315.5</v>
      </c>
      <c r="AE268" s="57">
        <f t="shared" si="2"/>
        <v>50</v>
      </c>
      <c r="AF268" s="57">
        <f t="shared" si="3"/>
        <v>0</v>
      </c>
      <c r="AG268" s="57">
        <f t="shared" si="4"/>
        <v>50</v>
      </c>
      <c r="AH268" s="127">
        <f t="shared" si="5"/>
        <v>26.31</v>
      </c>
    </row>
    <row r="269" ht="15.75" customHeight="1">
      <c r="A269" s="116" t="s">
        <v>21</v>
      </c>
      <c r="B269" s="117">
        <f t="shared" si="6"/>
        <v>45922</v>
      </c>
      <c r="C269" s="87">
        <v>10.0</v>
      </c>
      <c r="D269" s="87" t="s">
        <v>30</v>
      </c>
      <c r="E269" s="118" t="s">
        <v>33</v>
      </c>
      <c r="F269" s="94">
        <v>0.0</v>
      </c>
      <c r="H269" s="95">
        <v>0.0</v>
      </c>
      <c r="J269" s="95">
        <v>0.0</v>
      </c>
      <c r="L269" s="95">
        <v>0.0</v>
      </c>
      <c r="N269" s="95">
        <v>0.0</v>
      </c>
      <c r="P269" s="95">
        <v>0.0</v>
      </c>
      <c r="Q269" s="22"/>
      <c r="R269" s="96"/>
      <c r="T269" s="97"/>
      <c r="V269" s="97"/>
      <c r="X269" s="97"/>
      <c r="Z269" s="97"/>
      <c r="AB269" s="97"/>
      <c r="AC269" s="22"/>
      <c r="AD269" s="86">
        <f t="shared" si="1"/>
        <v>0</v>
      </c>
      <c r="AE269" s="87">
        <f t="shared" si="2"/>
        <v>0</v>
      </c>
      <c r="AF269" s="87">
        <f t="shared" si="3"/>
        <v>0</v>
      </c>
      <c r="AG269" s="87">
        <f t="shared" si="4"/>
        <v>0</v>
      </c>
      <c r="AH269" s="119" t="str">
        <f t="shared" si="5"/>
        <v/>
      </c>
    </row>
    <row r="270" ht="15.75" customHeight="1">
      <c r="A270" s="120" t="s">
        <v>23</v>
      </c>
      <c r="B270" s="121">
        <f t="shared" si="6"/>
        <v>45923</v>
      </c>
      <c r="C270" s="51">
        <v>10.0</v>
      </c>
      <c r="D270" s="51" t="s">
        <v>30</v>
      </c>
      <c r="E270" s="122" t="s">
        <v>33</v>
      </c>
      <c r="F270" s="94">
        <v>25.0</v>
      </c>
      <c r="H270" s="95">
        <v>0.0</v>
      </c>
      <c r="J270" s="95">
        <v>25.0</v>
      </c>
      <c r="L270" s="95">
        <v>0.0</v>
      </c>
      <c r="N270" s="95">
        <v>0.0</v>
      </c>
      <c r="P270" s="95">
        <v>0.0</v>
      </c>
      <c r="Q270" s="22"/>
      <c r="R270" s="96"/>
      <c r="T270" s="97"/>
      <c r="V270" s="97"/>
      <c r="X270" s="97"/>
      <c r="Z270" s="97"/>
      <c r="AB270" s="97"/>
      <c r="AC270" s="22"/>
      <c r="AD270" s="50">
        <f t="shared" si="1"/>
        <v>1315.5</v>
      </c>
      <c r="AE270" s="51">
        <f t="shared" si="2"/>
        <v>50</v>
      </c>
      <c r="AF270" s="51">
        <f t="shared" si="3"/>
        <v>0</v>
      </c>
      <c r="AG270" s="51">
        <f t="shared" si="4"/>
        <v>50</v>
      </c>
      <c r="AH270" s="123">
        <f t="shared" si="5"/>
        <v>26.31</v>
      </c>
    </row>
    <row r="271" ht="15.75" customHeight="1">
      <c r="A271" s="120" t="s">
        <v>24</v>
      </c>
      <c r="B271" s="121">
        <f t="shared" si="6"/>
        <v>45924</v>
      </c>
      <c r="C271" s="51">
        <v>10.0</v>
      </c>
      <c r="D271" s="51" t="s">
        <v>30</v>
      </c>
      <c r="E271" s="122" t="s">
        <v>33</v>
      </c>
      <c r="F271" s="94">
        <v>0.0</v>
      </c>
      <c r="H271" s="95">
        <v>0.0</v>
      </c>
      <c r="J271" s="95">
        <v>0.0</v>
      </c>
      <c r="L271" s="95">
        <v>0.0</v>
      </c>
      <c r="N271" s="95">
        <v>0.0</v>
      </c>
      <c r="P271" s="95">
        <v>0.0</v>
      </c>
      <c r="Q271" s="22"/>
      <c r="R271" s="96"/>
      <c r="T271" s="97"/>
      <c r="V271" s="97"/>
      <c r="X271" s="97"/>
      <c r="Z271" s="97"/>
      <c r="AB271" s="97"/>
      <c r="AC271" s="22"/>
      <c r="AD271" s="50">
        <f t="shared" si="1"/>
        <v>0</v>
      </c>
      <c r="AE271" s="51">
        <f t="shared" si="2"/>
        <v>0</v>
      </c>
      <c r="AF271" s="51">
        <f t="shared" si="3"/>
        <v>0</v>
      </c>
      <c r="AG271" s="51">
        <f t="shared" si="4"/>
        <v>0</v>
      </c>
      <c r="AH271" s="123" t="str">
        <f t="shared" si="5"/>
        <v/>
      </c>
    </row>
    <row r="272" ht="15.75" customHeight="1">
      <c r="A272" s="120" t="s">
        <v>25</v>
      </c>
      <c r="B272" s="121">
        <f t="shared" si="6"/>
        <v>45925</v>
      </c>
      <c r="C272" s="51">
        <v>10.0</v>
      </c>
      <c r="D272" s="51" t="s">
        <v>30</v>
      </c>
      <c r="E272" s="122" t="s">
        <v>33</v>
      </c>
      <c r="F272" s="94">
        <v>0.0</v>
      </c>
      <c r="H272" s="95">
        <v>0.0</v>
      </c>
      <c r="J272" s="95">
        <v>0.0</v>
      </c>
      <c r="L272" s="95">
        <v>0.0</v>
      </c>
      <c r="N272" s="95">
        <v>0.0</v>
      </c>
      <c r="P272" s="95">
        <v>0.0</v>
      </c>
      <c r="Q272" s="22"/>
      <c r="R272" s="96"/>
      <c r="T272" s="97"/>
      <c r="V272" s="97"/>
      <c r="X272" s="97"/>
      <c r="Z272" s="97"/>
      <c r="AB272" s="97"/>
      <c r="AC272" s="22"/>
      <c r="AD272" s="50">
        <f t="shared" si="1"/>
        <v>0</v>
      </c>
      <c r="AE272" s="51">
        <f t="shared" si="2"/>
        <v>0</v>
      </c>
      <c r="AF272" s="51">
        <f t="shared" si="3"/>
        <v>0</v>
      </c>
      <c r="AG272" s="51">
        <f t="shared" si="4"/>
        <v>0</v>
      </c>
      <c r="AH272" s="123" t="str">
        <f t="shared" si="5"/>
        <v/>
      </c>
    </row>
    <row r="273" ht="15.75" customHeight="1">
      <c r="A273" s="120" t="s">
        <v>26</v>
      </c>
      <c r="B273" s="121">
        <f t="shared" si="6"/>
        <v>45926</v>
      </c>
      <c r="C273" s="51">
        <v>10.0</v>
      </c>
      <c r="D273" s="51" t="s">
        <v>30</v>
      </c>
      <c r="E273" s="122" t="s">
        <v>33</v>
      </c>
      <c r="F273" s="94">
        <v>0.0</v>
      </c>
      <c r="H273" s="95">
        <v>0.0</v>
      </c>
      <c r="J273" s="95">
        <v>0.0</v>
      </c>
      <c r="L273" s="95">
        <v>0.0</v>
      </c>
      <c r="N273" s="95">
        <v>0.0</v>
      </c>
      <c r="P273" s="95">
        <v>0.0</v>
      </c>
      <c r="Q273" s="22"/>
      <c r="R273" s="96"/>
      <c r="T273" s="97"/>
      <c r="V273" s="97"/>
      <c r="X273" s="97"/>
      <c r="Z273" s="97"/>
      <c r="AB273" s="97"/>
      <c r="AC273" s="22"/>
      <c r="AD273" s="50">
        <f t="shared" si="1"/>
        <v>0</v>
      </c>
      <c r="AE273" s="51">
        <f t="shared" si="2"/>
        <v>0</v>
      </c>
      <c r="AF273" s="51">
        <f t="shared" si="3"/>
        <v>0</v>
      </c>
      <c r="AG273" s="51">
        <f t="shared" si="4"/>
        <v>0</v>
      </c>
      <c r="AH273" s="123" t="str">
        <f t="shared" si="5"/>
        <v/>
      </c>
    </row>
    <row r="274" ht="15.75" customHeight="1">
      <c r="A274" s="120" t="s">
        <v>27</v>
      </c>
      <c r="B274" s="121">
        <f t="shared" si="6"/>
        <v>45927</v>
      </c>
      <c r="C274" s="51">
        <v>10.0</v>
      </c>
      <c r="D274" s="51" t="s">
        <v>30</v>
      </c>
      <c r="E274" s="122" t="s">
        <v>33</v>
      </c>
      <c r="F274" s="94">
        <v>0.0</v>
      </c>
      <c r="H274" s="95">
        <v>0.0</v>
      </c>
      <c r="J274" s="95">
        <v>0.0</v>
      </c>
      <c r="L274" s="95">
        <v>0.0</v>
      </c>
      <c r="N274" s="95">
        <v>0.0</v>
      </c>
      <c r="P274" s="95">
        <v>0.0</v>
      </c>
      <c r="Q274" s="22"/>
      <c r="R274" s="96"/>
      <c r="T274" s="97"/>
      <c r="V274" s="97"/>
      <c r="X274" s="97"/>
      <c r="Z274" s="97"/>
      <c r="AB274" s="97"/>
      <c r="AC274" s="22"/>
      <c r="AD274" s="50">
        <f t="shared" si="1"/>
        <v>0</v>
      </c>
      <c r="AE274" s="51">
        <f t="shared" si="2"/>
        <v>0</v>
      </c>
      <c r="AF274" s="51">
        <f t="shared" si="3"/>
        <v>0</v>
      </c>
      <c r="AG274" s="51">
        <f t="shared" si="4"/>
        <v>0</v>
      </c>
      <c r="AH274" s="123" t="str">
        <f t="shared" si="5"/>
        <v/>
      </c>
    </row>
    <row r="275" ht="15.75" customHeight="1">
      <c r="A275" s="124" t="s">
        <v>28</v>
      </c>
      <c r="B275" s="125">
        <f t="shared" si="6"/>
        <v>45928</v>
      </c>
      <c r="C275" s="57">
        <v>10.0</v>
      </c>
      <c r="D275" s="57" t="s">
        <v>30</v>
      </c>
      <c r="E275" s="126" t="s">
        <v>33</v>
      </c>
      <c r="F275" s="111">
        <v>0.0</v>
      </c>
      <c r="G275" s="35"/>
      <c r="H275" s="111">
        <v>0.0</v>
      </c>
      <c r="I275" s="35"/>
      <c r="J275" s="111">
        <v>0.0</v>
      </c>
      <c r="K275" s="35"/>
      <c r="L275" s="111">
        <v>0.0</v>
      </c>
      <c r="M275" s="35"/>
      <c r="N275" s="111">
        <v>0.0</v>
      </c>
      <c r="O275" s="35"/>
      <c r="P275" s="111">
        <v>0.0</v>
      </c>
      <c r="Q275" s="37"/>
      <c r="R275" s="112"/>
      <c r="S275" s="35"/>
      <c r="T275" s="113"/>
      <c r="U275" s="35"/>
      <c r="V275" s="113"/>
      <c r="W275" s="35"/>
      <c r="X275" s="113"/>
      <c r="Y275" s="35"/>
      <c r="Z275" s="113"/>
      <c r="AA275" s="35"/>
      <c r="AB275" s="113"/>
      <c r="AC275" s="37"/>
      <c r="AD275" s="56">
        <f t="shared" si="1"/>
        <v>0</v>
      </c>
      <c r="AE275" s="57">
        <f t="shared" si="2"/>
        <v>0</v>
      </c>
      <c r="AF275" s="57">
        <f t="shared" si="3"/>
        <v>0</v>
      </c>
      <c r="AG275" s="57">
        <f t="shared" si="4"/>
        <v>0</v>
      </c>
      <c r="AH275" s="127" t="str">
        <f t="shared" si="5"/>
        <v/>
      </c>
    </row>
    <row r="276" ht="15.75" customHeight="1">
      <c r="A276" s="116" t="s">
        <v>21</v>
      </c>
      <c r="B276" s="117">
        <f t="shared" si="6"/>
        <v>45929</v>
      </c>
      <c r="C276" s="87">
        <v>10.0</v>
      </c>
      <c r="D276" s="87" t="s">
        <v>31</v>
      </c>
      <c r="E276" s="172"/>
      <c r="F276" s="49"/>
      <c r="H276" s="48"/>
      <c r="J276" s="48"/>
      <c r="L276" s="48"/>
      <c r="N276" s="48"/>
      <c r="P276" s="48"/>
      <c r="Q276" s="22"/>
      <c r="R276" s="49"/>
      <c r="T276" s="48"/>
      <c r="V276" s="48"/>
      <c r="X276" s="48"/>
      <c r="Z276" s="48"/>
      <c r="AB276" s="48"/>
      <c r="AC276" s="22"/>
      <c r="AD276" s="86">
        <f t="shared" si="1"/>
        <v>0</v>
      </c>
      <c r="AE276" s="87">
        <f t="shared" si="2"/>
        <v>0</v>
      </c>
      <c r="AF276" s="87">
        <f t="shared" si="3"/>
        <v>0</v>
      </c>
      <c r="AG276" s="87">
        <f t="shared" si="4"/>
        <v>0</v>
      </c>
      <c r="AH276" s="119" t="str">
        <f t="shared" si="5"/>
        <v/>
      </c>
    </row>
    <row r="277" ht="15.75" customHeight="1">
      <c r="A277" s="120" t="s">
        <v>23</v>
      </c>
      <c r="B277" s="121">
        <f t="shared" si="6"/>
        <v>45930</v>
      </c>
      <c r="C277" s="51">
        <v>10.0</v>
      </c>
      <c r="D277" s="51" t="s">
        <v>31</v>
      </c>
      <c r="E277" s="173"/>
      <c r="F277" s="49"/>
      <c r="H277" s="48"/>
      <c r="J277" s="48"/>
      <c r="L277" s="48"/>
      <c r="N277" s="48"/>
      <c r="P277" s="48"/>
      <c r="Q277" s="22"/>
      <c r="R277" s="49"/>
      <c r="T277" s="48"/>
      <c r="V277" s="48"/>
      <c r="X277" s="48"/>
      <c r="Z277" s="48"/>
      <c r="AB277" s="48"/>
      <c r="AC277" s="22"/>
      <c r="AD277" s="50">
        <f t="shared" si="1"/>
        <v>0</v>
      </c>
      <c r="AE277" s="51">
        <f t="shared" si="2"/>
        <v>0</v>
      </c>
      <c r="AF277" s="51">
        <f t="shared" si="3"/>
        <v>0</v>
      </c>
      <c r="AG277" s="51">
        <f t="shared" si="4"/>
        <v>0</v>
      </c>
      <c r="AH277" s="123" t="str">
        <f t="shared" si="5"/>
        <v/>
      </c>
    </row>
    <row r="278" ht="15.75" customHeight="1">
      <c r="A278" s="120" t="s">
        <v>24</v>
      </c>
      <c r="B278" s="121">
        <f t="shared" si="6"/>
        <v>45931</v>
      </c>
      <c r="C278" s="51">
        <v>10.0</v>
      </c>
      <c r="D278" s="51" t="s">
        <v>31</v>
      </c>
      <c r="E278" s="173"/>
      <c r="F278" s="49"/>
      <c r="H278" s="48"/>
      <c r="J278" s="48"/>
      <c r="L278" s="48"/>
      <c r="N278" s="48"/>
      <c r="P278" s="48"/>
      <c r="Q278" s="22"/>
      <c r="R278" s="49"/>
      <c r="T278" s="48"/>
      <c r="V278" s="48"/>
      <c r="X278" s="48"/>
      <c r="Z278" s="48"/>
      <c r="AB278" s="48"/>
      <c r="AC278" s="22"/>
      <c r="AD278" s="50">
        <f t="shared" si="1"/>
        <v>0</v>
      </c>
      <c r="AE278" s="51">
        <f t="shared" si="2"/>
        <v>0</v>
      </c>
      <c r="AF278" s="51">
        <f t="shared" si="3"/>
        <v>0</v>
      </c>
      <c r="AG278" s="51">
        <f t="shared" si="4"/>
        <v>0</v>
      </c>
      <c r="AH278" s="123" t="str">
        <f t="shared" si="5"/>
        <v/>
      </c>
    </row>
    <row r="279" ht="15.75" customHeight="1">
      <c r="A279" s="120" t="s">
        <v>25</v>
      </c>
      <c r="B279" s="121">
        <f t="shared" si="6"/>
        <v>45932</v>
      </c>
      <c r="C279" s="51">
        <v>10.0</v>
      </c>
      <c r="D279" s="51" t="s">
        <v>31</v>
      </c>
      <c r="E279" s="173"/>
      <c r="F279" s="49"/>
      <c r="H279" s="48"/>
      <c r="J279" s="48"/>
      <c r="L279" s="48"/>
      <c r="N279" s="48"/>
      <c r="P279" s="48"/>
      <c r="Q279" s="22"/>
      <c r="R279" s="49"/>
      <c r="T279" s="48"/>
      <c r="V279" s="48"/>
      <c r="X279" s="48"/>
      <c r="Z279" s="48"/>
      <c r="AB279" s="48"/>
      <c r="AC279" s="22"/>
      <c r="AD279" s="50">
        <f t="shared" si="1"/>
        <v>0</v>
      </c>
      <c r="AE279" s="51">
        <f t="shared" si="2"/>
        <v>0</v>
      </c>
      <c r="AF279" s="51">
        <f t="shared" si="3"/>
        <v>0</v>
      </c>
      <c r="AG279" s="51">
        <f t="shared" si="4"/>
        <v>0</v>
      </c>
      <c r="AH279" s="123" t="str">
        <f t="shared" si="5"/>
        <v/>
      </c>
    </row>
    <row r="280" ht="15.75" customHeight="1">
      <c r="A280" s="120" t="s">
        <v>26</v>
      </c>
      <c r="B280" s="121">
        <f t="shared" si="6"/>
        <v>45933</v>
      </c>
      <c r="C280" s="51">
        <v>10.0</v>
      </c>
      <c r="D280" s="51" t="s">
        <v>31</v>
      </c>
      <c r="E280" s="173"/>
      <c r="F280" s="49"/>
      <c r="H280" s="48"/>
      <c r="J280" s="48"/>
      <c r="L280" s="48"/>
      <c r="N280" s="48"/>
      <c r="P280" s="48"/>
      <c r="Q280" s="22"/>
      <c r="R280" s="49"/>
      <c r="T280" s="48"/>
      <c r="V280" s="48"/>
      <c r="X280" s="48"/>
      <c r="Z280" s="48"/>
      <c r="AB280" s="48"/>
      <c r="AC280" s="22"/>
      <c r="AD280" s="50">
        <f t="shared" si="1"/>
        <v>0</v>
      </c>
      <c r="AE280" s="51">
        <f t="shared" si="2"/>
        <v>0</v>
      </c>
      <c r="AF280" s="51">
        <f t="shared" si="3"/>
        <v>0</v>
      </c>
      <c r="AG280" s="51">
        <f t="shared" si="4"/>
        <v>0</v>
      </c>
      <c r="AH280" s="123" t="str">
        <f t="shared" si="5"/>
        <v/>
      </c>
    </row>
    <row r="281" ht="15.75" customHeight="1">
      <c r="A281" s="120" t="s">
        <v>27</v>
      </c>
      <c r="B281" s="121">
        <f t="shared" si="6"/>
        <v>45934</v>
      </c>
      <c r="C281" s="51">
        <v>10.0</v>
      </c>
      <c r="D281" s="51" t="s">
        <v>31</v>
      </c>
      <c r="E281" s="173"/>
      <c r="F281" s="49"/>
      <c r="H281" s="48"/>
      <c r="J281" s="48"/>
      <c r="L281" s="48"/>
      <c r="N281" s="48"/>
      <c r="P281" s="48"/>
      <c r="Q281" s="22"/>
      <c r="R281" s="49"/>
      <c r="T281" s="48"/>
      <c r="V281" s="48"/>
      <c r="X281" s="48"/>
      <c r="Z281" s="48"/>
      <c r="AB281" s="48"/>
      <c r="AC281" s="22"/>
      <c r="AD281" s="50">
        <f t="shared" si="1"/>
        <v>0</v>
      </c>
      <c r="AE281" s="51">
        <f t="shared" si="2"/>
        <v>0</v>
      </c>
      <c r="AF281" s="51">
        <f t="shared" si="3"/>
        <v>0</v>
      </c>
      <c r="AG281" s="51">
        <f t="shared" si="4"/>
        <v>0</v>
      </c>
      <c r="AH281" s="123" t="str">
        <f t="shared" si="5"/>
        <v/>
      </c>
    </row>
    <row r="282" ht="15.75" customHeight="1">
      <c r="A282" s="124" t="s">
        <v>28</v>
      </c>
      <c r="B282" s="125">
        <f t="shared" si="6"/>
        <v>45935</v>
      </c>
      <c r="C282" s="57">
        <v>10.0</v>
      </c>
      <c r="D282" s="57" t="s">
        <v>31</v>
      </c>
      <c r="E282" s="174"/>
      <c r="F282" s="55"/>
      <c r="G282" s="35"/>
      <c r="H282" s="54"/>
      <c r="I282" s="35"/>
      <c r="J282" s="54"/>
      <c r="K282" s="35"/>
      <c r="L282" s="54"/>
      <c r="M282" s="35"/>
      <c r="N282" s="54"/>
      <c r="O282" s="35"/>
      <c r="P282" s="54"/>
      <c r="Q282" s="37"/>
      <c r="R282" s="55"/>
      <c r="S282" s="35"/>
      <c r="T282" s="54"/>
      <c r="U282" s="35"/>
      <c r="V282" s="54"/>
      <c r="W282" s="35"/>
      <c r="X282" s="54"/>
      <c r="Y282" s="35"/>
      <c r="Z282" s="54"/>
      <c r="AA282" s="35"/>
      <c r="AB282" s="54"/>
      <c r="AC282" s="37"/>
      <c r="AD282" s="56">
        <f t="shared" si="1"/>
        <v>0</v>
      </c>
      <c r="AE282" s="57">
        <f t="shared" si="2"/>
        <v>0</v>
      </c>
      <c r="AF282" s="57">
        <f t="shared" si="3"/>
        <v>0</v>
      </c>
      <c r="AG282" s="57">
        <f t="shared" si="4"/>
        <v>0</v>
      </c>
      <c r="AH282" s="127" t="str">
        <f t="shared" si="5"/>
        <v/>
      </c>
    </row>
    <row r="283" ht="15.75" customHeight="1">
      <c r="A283" s="116" t="s">
        <v>21</v>
      </c>
      <c r="B283" s="117">
        <f t="shared" si="6"/>
        <v>45936</v>
      </c>
      <c r="C283" s="87">
        <v>11.0</v>
      </c>
      <c r="D283" s="87" t="s">
        <v>22</v>
      </c>
      <c r="E283" s="172"/>
      <c r="F283" s="49"/>
      <c r="H283" s="48"/>
      <c r="J283" s="48"/>
      <c r="L283" s="48"/>
      <c r="N283" s="48"/>
      <c r="P283" s="48"/>
      <c r="Q283" s="22"/>
      <c r="R283" s="49"/>
      <c r="T283" s="48"/>
      <c r="V283" s="48"/>
      <c r="X283" s="48"/>
      <c r="Z283" s="48"/>
      <c r="AB283" s="48"/>
      <c r="AC283" s="22"/>
      <c r="AD283" s="86">
        <f t="shared" si="1"/>
        <v>0</v>
      </c>
      <c r="AE283" s="87">
        <f t="shared" si="2"/>
        <v>0</v>
      </c>
      <c r="AF283" s="87">
        <f t="shared" si="3"/>
        <v>0</v>
      </c>
      <c r="AG283" s="87">
        <f t="shared" si="4"/>
        <v>0</v>
      </c>
      <c r="AH283" s="119" t="str">
        <f t="shared" si="5"/>
        <v/>
      </c>
    </row>
    <row r="284" ht="15.75" customHeight="1">
      <c r="A284" s="120" t="s">
        <v>23</v>
      </c>
      <c r="B284" s="121">
        <f t="shared" si="6"/>
        <v>45937</v>
      </c>
      <c r="C284" s="51">
        <v>11.0</v>
      </c>
      <c r="D284" s="51" t="s">
        <v>22</v>
      </c>
      <c r="E284" s="173"/>
      <c r="F284" s="49"/>
      <c r="H284" s="48"/>
      <c r="J284" s="48"/>
      <c r="L284" s="48"/>
      <c r="N284" s="48"/>
      <c r="P284" s="48"/>
      <c r="Q284" s="22"/>
      <c r="R284" s="49"/>
      <c r="T284" s="48"/>
      <c r="V284" s="48"/>
      <c r="X284" s="48"/>
      <c r="Z284" s="48"/>
      <c r="AB284" s="48"/>
      <c r="AC284" s="22"/>
      <c r="AD284" s="50">
        <f t="shared" si="1"/>
        <v>0</v>
      </c>
      <c r="AE284" s="51">
        <f t="shared" si="2"/>
        <v>0</v>
      </c>
      <c r="AF284" s="51">
        <f t="shared" si="3"/>
        <v>0</v>
      </c>
      <c r="AG284" s="51">
        <f t="shared" si="4"/>
        <v>0</v>
      </c>
      <c r="AH284" s="123" t="str">
        <f t="shared" si="5"/>
        <v/>
      </c>
    </row>
    <row r="285" ht="15.75" customHeight="1">
      <c r="A285" s="120" t="s">
        <v>24</v>
      </c>
      <c r="B285" s="121">
        <f t="shared" si="6"/>
        <v>45938</v>
      </c>
      <c r="C285" s="51">
        <v>11.0</v>
      </c>
      <c r="D285" s="51" t="s">
        <v>22</v>
      </c>
      <c r="E285" s="173"/>
      <c r="F285" s="49"/>
      <c r="H285" s="48"/>
      <c r="J285" s="48"/>
      <c r="L285" s="48"/>
      <c r="N285" s="48"/>
      <c r="P285" s="48"/>
      <c r="Q285" s="22"/>
      <c r="R285" s="49"/>
      <c r="T285" s="48"/>
      <c r="V285" s="48"/>
      <c r="X285" s="48"/>
      <c r="Z285" s="48"/>
      <c r="AB285" s="48"/>
      <c r="AC285" s="22"/>
      <c r="AD285" s="50">
        <f t="shared" si="1"/>
        <v>0</v>
      </c>
      <c r="AE285" s="51">
        <f t="shared" si="2"/>
        <v>0</v>
      </c>
      <c r="AF285" s="51">
        <f t="shared" si="3"/>
        <v>0</v>
      </c>
      <c r="AG285" s="51">
        <f t="shared" si="4"/>
        <v>0</v>
      </c>
      <c r="AH285" s="123" t="str">
        <f t="shared" si="5"/>
        <v/>
      </c>
    </row>
    <row r="286" ht="15.75" customHeight="1">
      <c r="A286" s="120" t="s">
        <v>25</v>
      </c>
      <c r="B286" s="121">
        <f t="shared" si="6"/>
        <v>45939</v>
      </c>
      <c r="C286" s="51">
        <v>11.0</v>
      </c>
      <c r="D286" s="51" t="s">
        <v>22</v>
      </c>
      <c r="E286" s="173"/>
      <c r="F286" s="49"/>
      <c r="H286" s="48"/>
      <c r="J286" s="48"/>
      <c r="L286" s="48"/>
      <c r="N286" s="48"/>
      <c r="P286" s="48"/>
      <c r="Q286" s="22"/>
      <c r="R286" s="49"/>
      <c r="T286" s="48"/>
      <c r="V286" s="48"/>
      <c r="X286" s="48"/>
      <c r="Z286" s="48"/>
      <c r="AB286" s="48"/>
      <c r="AC286" s="22"/>
      <c r="AD286" s="50">
        <f t="shared" si="1"/>
        <v>0</v>
      </c>
      <c r="AE286" s="51">
        <f t="shared" si="2"/>
        <v>0</v>
      </c>
      <c r="AF286" s="51">
        <f t="shared" si="3"/>
        <v>0</v>
      </c>
      <c r="AG286" s="51">
        <f t="shared" si="4"/>
        <v>0</v>
      </c>
      <c r="AH286" s="123" t="str">
        <f t="shared" si="5"/>
        <v/>
      </c>
    </row>
    <row r="287" ht="15.75" customHeight="1">
      <c r="A287" s="120" t="s">
        <v>26</v>
      </c>
      <c r="B287" s="121">
        <f t="shared" si="6"/>
        <v>45940</v>
      </c>
      <c r="C287" s="51">
        <v>11.0</v>
      </c>
      <c r="D287" s="51" t="s">
        <v>22</v>
      </c>
      <c r="E287" s="173"/>
      <c r="F287" s="49"/>
      <c r="H287" s="48"/>
      <c r="J287" s="48"/>
      <c r="L287" s="48"/>
      <c r="N287" s="48"/>
      <c r="P287" s="48"/>
      <c r="Q287" s="22"/>
      <c r="R287" s="49"/>
      <c r="T287" s="48"/>
      <c r="V287" s="48"/>
      <c r="X287" s="48"/>
      <c r="Z287" s="48"/>
      <c r="AB287" s="48"/>
      <c r="AC287" s="22"/>
      <c r="AD287" s="50">
        <f t="shared" si="1"/>
        <v>0</v>
      </c>
      <c r="AE287" s="51">
        <f t="shared" si="2"/>
        <v>0</v>
      </c>
      <c r="AF287" s="51">
        <f t="shared" si="3"/>
        <v>0</v>
      </c>
      <c r="AG287" s="51">
        <f t="shared" si="4"/>
        <v>0</v>
      </c>
      <c r="AH287" s="123" t="str">
        <f t="shared" si="5"/>
        <v/>
      </c>
    </row>
    <row r="288" ht="15.75" customHeight="1">
      <c r="A288" s="120" t="s">
        <v>27</v>
      </c>
      <c r="B288" s="121">
        <f t="shared" si="6"/>
        <v>45941</v>
      </c>
      <c r="C288" s="51">
        <v>11.0</v>
      </c>
      <c r="D288" s="51" t="s">
        <v>22</v>
      </c>
      <c r="E288" s="173"/>
      <c r="F288" s="49"/>
      <c r="H288" s="48"/>
      <c r="J288" s="48"/>
      <c r="L288" s="48"/>
      <c r="N288" s="48"/>
      <c r="P288" s="48"/>
      <c r="Q288" s="22"/>
      <c r="R288" s="49"/>
      <c r="T288" s="48"/>
      <c r="V288" s="48"/>
      <c r="X288" s="48"/>
      <c r="Z288" s="48"/>
      <c r="AB288" s="48"/>
      <c r="AC288" s="22"/>
      <c r="AD288" s="50">
        <f t="shared" si="1"/>
        <v>0</v>
      </c>
      <c r="AE288" s="51">
        <f t="shared" si="2"/>
        <v>0</v>
      </c>
      <c r="AF288" s="51">
        <f t="shared" si="3"/>
        <v>0</v>
      </c>
      <c r="AG288" s="51">
        <f t="shared" si="4"/>
        <v>0</v>
      </c>
      <c r="AH288" s="123" t="str">
        <f t="shared" si="5"/>
        <v/>
      </c>
    </row>
    <row r="289" ht="15.75" customHeight="1">
      <c r="A289" s="124" t="s">
        <v>28</v>
      </c>
      <c r="B289" s="125">
        <f t="shared" si="6"/>
        <v>45942</v>
      </c>
      <c r="C289" s="57">
        <v>11.0</v>
      </c>
      <c r="D289" s="57" t="s">
        <v>22</v>
      </c>
      <c r="E289" s="174"/>
      <c r="F289" s="55"/>
      <c r="G289" s="35"/>
      <c r="H289" s="54"/>
      <c r="I289" s="35"/>
      <c r="J289" s="54"/>
      <c r="K289" s="35"/>
      <c r="L289" s="54"/>
      <c r="M289" s="35"/>
      <c r="N289" s="54"/>
      <c r="O289" s="35"/>
      <c r="P289" s="54"/>
      <c r="Q289" s="37"/>
      <c r="R289" s="55"/>
      <c r="S289" s="35"/>
      <c r="T289" s="54"/>
      <c r="U289" s="35"/>
      <c r="V289" s="54"/>
      <c r="W289" s="35"/>
      <c r="X289" s="54"/>
      <c r="Y289" s="35"/>
      <c r="Z289" s="54"/>
      <c r="AA289" s="35"/>
      <c r="AB289" s="54"/>
      <c r="AC289" s="37"/>
      <c r="AD289" s="56">
        <f t="shared" si="1"/>
        <v>0</v>
      </c>
      <c r="AE289" s="57">
        <f t="shared" si="2"/>
        <v>0</v>
      </c>
      <c r="AF289" s="57">
        <f t="shared" si="3"/>
        <v>0</v>
      </c>
      <c r="AG289" s="57">
        <f t="shared" si="4"/>
        <v>0</v>
      </c>
      <c r="AH289" s="127" t="str">
        <f t="shared" si="5"/>
        <v/>
      </c>
    </row>
    <row r="290" ht="15.75" customHeight="1">
      <c r="A290" s="116" t="s">
        <v>21</v>
      </c>
      <c r="B290" s="117">
        <f t="shared" si="6"/>
        <v>45943</v>
      </c>
      <c r="C290" s="87">
        <v>11.0</v>
      </c>
      <c r="D290" s="87" t="s">
        <v>29</v>
      </c>
      <c r="E290" s="172"/>
      <c r="F290" s="49"/>
      <c r="H290" s="48"/>
      <c r="J290" s="48"/>
      <c r="L290" s="48"/>
      <c r="N290" s="48"/>
      <c r="P290" s="48"/>
      <c r="Q290" s="22"/>
      <c r="R290" s="49"/>
      <c r="T290" s="48"/>
      <c r="V290" s="48"/>
      <c r="X290" s="48"/>
      <c r="Z290" s="48"/>
      <c r="AB290" s="48"/>
      <c r="AC290" s="22"/>
      <c r="AD290" s="86">
        <f t="shared" si="1"/>
        <v>0</v>
      </c>
      <c r="AE290" s="87">
        <f t="shared" si="2"/>
        <v>0</v>
      </c>
      <c r="AF290" s="87">
        <f t="shared" si="3"/>
        <v>0</v>
      </c>
      <c r="AG290" s="87">
        <f t="shared" si="4"/>
        <v>0</v>
      </c>
      <c r="AH290" s="119" t="str">
        <f t="shared" si="5"/>
        <v/>
      </c>
    </row>
    <row r="291" ht="15.75" customHeight="1">
      <c r="A291" s="120" t="s">
        <v>23</v>
      </c>
      <c r="B291" s="121">
        <f t="shared" si="6"/>
        <v>45944</v>
      </c>
      <c r="C291" s="51">
        <v>11.0</v>
      </c>
      <c r="D291" s="51" t="s">
        <v>29</v>
      </c>
      <c r="E291" s="173"/>
      <c r="F291" s="49"/>
      <c r="H291" s="48"/>
      <c r="J291" s="48"/>
      <c r="L291" s="48"/>
      <c r="N291" s="48"/>
      <c r="P291" s="48"/>
      <c r="Q291" s="22"/>
      <c r="R291" s="49"/>
      <c r="T291" s="48"/>
      <c r="V291" s="48"/>
      <c r="X291" s="48"/>
      <c r="Z291" s="48"/>
      <c r="AB291" s="48"/>
      <c r="AC291" s="22"/>
      <c r="AD291" s="50">
        <f t="shared" si="1"/>
        <v>0</v>
      </c>
      <c r="AE291" s="51">
        <f t="shared" si="2"/>
        <v>0</v>
      </c>
      <c r="AF291" s="51">
        <f t="shared" si="3"/>
        <v>0</v>
      </c>
      <c r="AG291" s="51">
        <f t="shared" si="4"/>
        <v>0</v>
      </c>
      <c r="AH291" s="123" t="str">
        <f t="shared" si="5"/>
        <v/>
      </c>
    </row>
    <row r="292" ht="15.75" customHeight="1">
      <c r="A292" s="120" t="s">
        <v>24</v>
      </c>
      <c r="B292" s="121">
        <f t="shared" si="6"/>
        <v>45945</v>
      </c>
      <c r="C292" s="51">
        <v>11.0</v>
      </c>
      <c r="D292" s="51" t="s">
        <v>29</v>
      </c>
      <c r="E292" s="173"/>
      <c r="F292" s="49"/>
      <c r="H292" s="48"/>
      <c r="J292" s="48"/>
      <c r="L292" s="48"/>
      <c r="N292" s="48"/>
      <c r="P292" s="48"/>
      <c r="Q292" s="22"/>
      <c r="R292" s="49"/>
      <c r="T292" s="48"/>
      <c r="V292" s="48"/>
      <c r="X292" s="48"/>
      <c r="Z292" s="48"/>
      <c r="AB292" s="48"/>
      <c r="AC292" s="22"/>
      <c r="AD292" s="50">
        <f t="shared" si="1"/>
        <v>0</v>
      </c>
      <c r="AE292" s="51">
        <f t="shared" si="2"/>
        <v>0</v>
      </c>
      <c r="AF292" s="51">
        <f t="shared" si="3"/>
        <v>0</v>
      </c>
      <c r="AG292" s="51">
        <f t="shared" si="4"/>
        <v>0</v>
      </c>
      <c r="AH292" s="123" t="str">
        <f t="shared" si="5"/>
        <v/>
      </c>
    </row>
    <row r="293" ht="15.75" customHeight="1">
      <c r="A293" s="120" t="s">
        <v>25</v>
      </c>
      <c r="B293" s="121">
        <f t="shared" si="6"/>
        <v>45946</v>
      </c>
      <c r="C293" s="51">
        <v>11.0</v>
      </c>
      <c r="D293" s="51" t="s">
        <v>29</v>
      </c>
      <c r="E293" s="173"/>
      <c r="F293" s="49"/>
      <c r="H293" s="48"/>
      <c r="J293" s="48"/>
      <c r="L293" s="48"/>
      <c r="N293" s="48"/>
      <c r="P293" s="48"/>
      <c r="Q293" s="22"/>
      <c r="R293" s="49"/>
      <c r="T293" s="48"/>
      <c r="V293" s="48"/>
      <c r="X293" s="48"/>
      <c r="Z293" s="48"/>
      <c r="AB293" s="48"/>
      <c r="AC293" s="22"/>
      <c r="AD293" s="50">
        <f t="shared" si="1"/>
        <v>0</v>
      </c>
      <c r="AE293" s="51">
        <f t="shared" si="2"/>
        <v>0</v>
      </c>
      <c r="AF293" s="51">
        <f t="shared" si="3"/>
        <v>0</v>
      </c>
      <c r="AG293" s="51">
        <f t="shared" si="4"/>
        <v>0</v>
      </c>
      <c r="AH293" s="123" t="str">
        <f t="shared" si="5"/>
        <v/>
      </c>
    </row>
    <row r="294" ht="15.75" customHeight="1">
      <c r="A294" s="120" t="s">
        <v>26</v>
      </c>
      <c r="B294" s="121">
        <f t="shared" si="6"/>
        <v>45947</v>
      </c>
      <c r="C294" s="51">
        <v>11.0</v>
      </c>
      <c r="D294" s="51" t="s">
        <v>29</v>
      </c>
      <c r="E294" s="173"/>
      <c r="F294" s="49"/>
      <c r="H294" s="48"/>
      <c r="J294" s="48"/>
      <c r="L294" s="48"/>
      <c r="N294" s="48"/>
      <c r="P294" s="48"/>
      <c r="Q294" s="22"/>
      <c r="R294" s="49"/>
      <c r="T294" s="48"/>
      <c r="V294" s="48"/>
      <c r="X294" s="48"/>
      <c r="Z294" s="48"/>
      <c r="AB294" s="48"/>
      <c r="AC294" s="22"/>
      <c r="AD294" s="50">
        <f t="shared" si="1"/>
        <v>0</v>
      </c>
      <c r="AE294" s="51">
        <f t="shared" si="2"/>
        <v>0</v>
      </c>
      <c r="AF294" s="51">
        <f t="shared" si="3"/>
        <v>0</v>
      </c>
      <c r="AG294" s="51">
        <f t="shared" si="4"/>
        <v>0</v>
      </c>
      <c r="AH294" s="123" t="str">
        <f t="shared" si="5"/>
        <v/>
      </c>
    </row>
    <row r="295" ht="15.75" customHeight="1">
      <c r="A295" s="120" t="s">
        <v>27</v>
      </c>
      <c r="B295" s="121">
        <f t="shared" si="6"/>
        <v>45948</v>
      </c>
      <c r="C295" s="51">
        <v>11.0</v>
      </c>
      <c r="D295" s="51" t="s">
        <v>29</v>
      </c>
      <c r="E295" s="173"/>
      <c r="F295" s="49"/>
      <c r="H295" s="48"/>
      <c r="J295" s="48"/>
      <c r="L295" s="48"/>
      <c r="N295" s="48"/>
      <c r="P295" s="48"/>
      <c r="Q295" s="22"/>
      <c r="R295" s="49"/>
      <c r="T295" s="48"/>
      <c r="V295" s="48"/>
      <c r="X295" s="48"/>
      <c r="Z295" s="48"/>
      <c r="AB295" s="48"/>
      <c r="AC295" s="22"/>
      <c r="AD295" s="50">
        <f t="shared" si="1"/>
        <v>0</v>
      </c>
      <c r="AE295" s="51">
        <f t="shared" si="2"/>
        <v>0</v>
      </c>
      <c r="AF295" s="51">
        <f t="shared" si="3"/>
        <v>0</v>
      </c>
      <c r="AG295" s="51">
        <f t="shared" si="4"/>
        <v>0</v>
      </c>
      <c r="AH295" s="123" t="str">
        <f t="shared" si="5"/>
        <v/>
      </c>
    </row>
    <row r="296" ht="15.75" customHeight="1">
      <c r="A296" s="124" t="s">
        <v>28</v>
      </c>
      <c r="B296" s="125">
        <f t="shared" si="6"/>
        <v>45949</v>
      </c>
      <c r="C296" s="57">
        <v>11.0</v>
      </c>
      <c r="D296" s="57" t="s">
        <v>29</v>
      </c>
      <c r="E296" s="174"/>
      <c r="F296" s="55"/>
      <c r="G296" s="35"/>
      <c r="H296" s="54"/>
      <c r="I296" s="35"/>
      <c r="J296" s="54"/>
      <c r="K296" s="35"/>
      <c r="L296" s="54"/>
      <c r="M296" s="35"/>
      <c r="N296" s="54"/>
      <c r="O296" s="35"/>
      <c r="P296" s="54"/>
      <c r="Q296" s="37"/>
      <c r="R296" s="55"/>
      <c r="S296" s="35"/>
      <c r="T296" s="54"/>
      <c r="U296" s="35"/>
      <c r="V296" s="54"/>
      <c r="W296" s="35"/>
      <c r="X296" s="54"/>
      <c r="Y296" s="35"/>
      <c r="Z296" s="54"/>
      <c r="AA296" s="35"/>
      <c r="AB296" s="54"/>
      <c r="AC296" s="37"/>
      <c r="AD296" s="56">
        <f t="shared" si="1"/>
        <v>0</v>
      </c>
      <c r="AE296" s="57">
        <f t="shared" si="2"/>
        <v>0</v>
      </c>
      <c r="AF296" s="57">
        <f t="shared" si="3"/>
        <v>0</v>
      </c>
      <c r="AG296" s="57">
        <f t="shared" si="4"/>
        <v>0</v>
      </c>
      <c r="AH296" s="127" t="str">
        <f t="shared" si="5"/>
        <v/>
      </c>
    </row>
    <row r="297" ht="15.75" customHeight="1">
      <c r="A297" s="116" t="s">
        <v>21</v>
      </c>
      <c r="B297" s="117">
        <f t="shared" si="6"/>
        <v>45950</v>
      </c>
      <c r="C297" s="87">
        <v>11.0</v>
      </c>
      <c r="D297" s="87" t="s">
        <v>30</v>
      </c>
      <c r="E297" s="172"/>
      <c r="F297" s="49"/>
      <c r="H297" s="48"/>
      <c r="J297" s="48"/>
      <c r="L297" s="48"/>
      <c r="N297" s="48"/>
      <c r="P297" s="48"/>
      <c r="Q297" s="22"/>
      <c r="R297" s="49"/>
      <c r="T297" s="48"/>
      <c r="V297" s="48"/>
      <c r="X297" s="48"/>
      <c r="Z297" s="48"/>
      <c r="AB297" s="48"/>
      <c r="AC297" s="22"/>
      <c r="AD297" s="86">
        <f t="shared" si="1"/>
        <v>0</v>
      </c>
      <c r="AE297" s="87">
        <f t="shared" si="2"/>
        <v>0</v>
      </c>
      <c r="AF297" s="87">
        <f t="shared" si="3"/>
        <v>0</v>
      </c>
      <c r="AG297" s="87">
        <f t="shared" si="4"/>
        <v>0</v>
      </c>
      <c r="AH297" s="119" t="str">
        <f t="shared" si="5"/>
        <v/>
      </c>
    </row>
    <row r="298" ht="15.75" customHeight="1">
      <c r="A298" s="120" t="s">
        <v>23</v>
      </c>
      <c r="B298" s="121">
        <f t="shared" si="6"/>
        <v>45951</v>
      </c>
      <c r="C298" s="51">
        <v>11.0</v>
      </c>
      <c r="D298" s="51" t="s">
        <v>30</v>
      </c>
      <c r="E298" s="173"/>
      <c r="F298" s="49"/>
      <c r="H298" s="48"/>
      <c r="J298" s="48"/>
      <c r="L298" s="48"/>
      <c r="N298" s="48"/>
      <c r="P298" s="48"/>
      <c r="Q298" s="22"/>
      <c r="R298" s="49"/>
      <c r="T298" s="48"/>
      <c r="V298" s="48"/>
      <c r="X298" s="48"/>
      <c r="Z298" s="48"/>
      <c r="AB298" s="48"/>
      <c r="AC298" s="22"/>
      <c r="AD298" s="50">
        <f t="shared" si="1"/>
        <v>0</v>
      </c>
      <c r="AE298" s="51">
        <f t="shared" si="2"/>
        <v>0</v>
      </c>
      <c r="AF298" s="51">
        <f t="shared" si="3"/>
        <v>0</v>
      </c>
      <c r="AG298" s="51">
        <f t="shared" si="4"/>
        <v>0</v>
      </c>
      <c r="AH298" s="123" t="str">
        <f t="shared" si="5"/>
        <v/>
      </c>
    </row>
    <row r="299" ht="15.75" customHeight="1">
      <c r="A299" s="25" t="s">
        <v>24</v>
      </c>
      <c r="B299" s="26">
        <f t="shared" si="6"/>
        <v>45952</v>
      </c>
      <c r="C299" s="27">
        <v>11.0</v>
      </c>
      <c r="D299" s="27" t="s">
        <v>30</v>
      </c>
      <c r="E299" s="28"/>
      <c r="F299" s="49"/>
      <c r="H299" s="48"/>
      <c r="J299" s="48"/>
      <c r="L299" s="48"/>
      <c r="N299" s="48"/>
      <c r="P299" s="48"/>
      <c r="Q299" s="22"/>
      <c r="R299" s="49"/>
      <c r="T299" s="48"/>
      <c r="V299" s="48"/>
      <c r="X299" s="48"/>
      <c r="Z299" s="48"/>
      <c r="AB299" s="48"/>
      <c r="AC299" s="22"/>
      <c r="AD299" s="50">
        <f t="shared" si="1"/>
        <v>0</v>
      </c>
      <c r="AE299" s="51">
        <f t="shared" si="2"/>
        <v>0</v>
      </c>
      <c r="AF299" s="27">
        <f t="shared" si="3"/>
        <v>0</v>
      </c>
      <c r="AG299" s="27">
        <f t="shared" si="4"/>
        <v>0</v>
      </c>
      <c r="AH299" s="24" t="str">
        <f t="shared" si="5"/>
        <v/>
      </c>
    </row>
    <row r="300" ht="15.75" customHeight="1">
      <c r="A300" s="25" t="s">
        <v>25</v>
      </c>
      <c r="B300" s="26">
        <f t="shared" si="6"/>
        <v>45953</v>
      </c>
      <c r="C300" s="27">
        <v>11.0</v>
      </c>
      <c r="D300" s="27" t="s">
        <v>30</v>
      </c>
      <c r="E300" s="28"/>
      <c r="F300" s="49"/>
      <c r="H300" s="48"/>
      <c r="J300" s="48"/>
      <c r="L300" s="48"/>
      <c r="N300" s="48"/>
      <c r="P300" s="48"/>
      <c r="Q300" s="22"/>
      <c r="R300" s="49"/>
      <c r="T300" s="48"/>
      <c r="V300" s="48"/>
      <c r="X300" s="48"/>
      <c r="Z300" s="48"/>
      <c r="AB300" s="48"/>
      <c r="AC300" s="22"/>
      <c r="AD300" s="50">
        <f t="shared" si="1"/>
        <v>0</v>
      </c>
      <c r="AE300" s="51">
        <f t="shared" si="2"/>
        <v>0</v>
      </c>
      <c r="AF300" s="27">
        <f t="shared" si="3"/>
        <v>0</v>
      </c>
      <c r="AG300" s="27">
        <f t="shared" si="4"/>
        <v>0</v>
      </c>
      <c r="AH300" s="24" t="str">
        <f t="shared" si="5"/>
        <v/>
      </c>
    </row>
    <row r="301" ht="15.75" customHeight="1">
      <c r="A301" s="25" t="s">
        <v>26</v>
      </c>
      <c r="B301" s="26">
        <f t="shared" si="6"/>
        <v>45954</v>
      </c>
      <c r="C301" s="27">
        <v>11.0</v>
      </c>
      <c r="D301" s="27" t="s">
        <v>30</v>
      </c>
      <c r="E301" s="28"/>
      <c r="F301" s="49"/>
      <c r="H301" s="48"/>
      <c r="J301" s="48"/>
      <c r="L301" s="48"/>
      <c r="N301" s="48"/>
      <c r="P301" s="48"/>
      <c r="Q301" s="22"/>
      <c r="R301" s="49"/>
      <c r="T301" s="48"/>
      <c r="V301" s="48"/>
      <c r="X301" s="48"/>
      <c r="Z301" s="48"/>
      <c r="AB301" s="48"/>
      <c r="AC301" s="22"/>
      <c r="AD301" s="50">
        <f t="shared" si="1"/>
        <v>0</v>
      </c>
      <c r="AE301" s="51">
        <f t="shared" si="2"/>
        <v>0</v>
      </c>
      <c r="AF301" s="27">
        <f t="shared" si="3"/>
        <v>0</v>
      </c>
      <c r="AG301" s="27">
        <f t="shared" si="4"/>
        <v>0</v>
      </c>
      <c r="AH301" s="24" t="str">
        <f t="shared" si="5"/>
        <v/>
      </c>
    </row>
    <row r="302" ht="15.75" customHeight="1">
      <c r="A302" s="25" t="s">
        <v>27</v>
      </c>
      <c r="B302" s="26">
        <f t="shared" si="6"/>
        <v>45955</v>
      </c>
      <c r="C302" s="27">
        <v>11.0</v>
      </c>
      <c r="D302" s="27" t="s">
        <v>30</v>
      </c>
      <c r="E302" s="28"/>
      <c r="F302" s="49"/>
      <c r="H302" s="48"/>
      <c r="J302" s="48"/>
      <c r="L302" s="48"/>
      <c r="N302" s="48"/>
      <c r="P302" s="48"/>
      <c r="Q302" s="22"/>
      <c r="R302" s="49"/>
      <c r="T302" s="48"/>
      <c r="V302" s="48"/>
      <c r="X302" s="48"/>
      <c r="Z302" s="48"/>
      <c r="AB302" s="48"/>
      <c r="AC302" s="22"/>
      <c r="AD302" s="50">
        <f t="shared" si="1"/>
        <v>0</v>
      </c>
      <c r="AE302" s="51">
        <f t="shared" si="2"/>
        <v>0</v>
      </c>
      <c r="AF302" s="27">
        <f t="shared" si="3"/>
        <v>0</v>
      </c>
      <c r="AG302" s="27">
        <f t="shared" si="4"/>
        <v>0</v>
      </c>
      <c r="AH302" s="24" t="str">
        <f t="shared" si="5"/>
        <v/>
      </c>
    </row>
    <row r="303" ht="15.75" customHeight="1">
      <c r="A303" s="30" t="s">
        <v>28</v>
      </c>
      <c r="B303" s="31">
        <f t="shared" si="6"/>
        <v>45956</v>
      </c>
      <c r="C303" s="32">
        <v>11.0</v>
      </c>
      <c r="D303" s="32" t="s">
        <v>30</v>
      </c>
      <c r="E303" s="33"/>
      <c r="F303" s="55"/>
      <c r="G303" s="35"/>
      <c r="H303" s="54"/>
      <c r="I303" s="35"/>
      <c r="J303" s="54"/>
      <c r="K303" s="35"/>
      <c r="L303" s="54"/>
      <c r="M303" s="35"/>
      <c r="N303" s="54"/>
      <c r="O303" s="35"/>
      <c r="P303" s="54"/>
      <c r="Q303" s="37"/>
      <c r="R303" s="55"/>
      <c r="S303" s="35"/>
      <c r="T303" s="54"/>
      <c r="U303" s="35"/>
      <c r="V303" s="54"/>
      <c r="W303" s="35"/>
      <c r="X303" s="54"/>
      <c r="Y303" s="35"/>
      <c r="Z303" s="54"/>
      <c r="AA303" s="35"/>
      <c r="AB303" s="54"/>
      <c r="AC303" s="37"/>
      <c r="AD303" s="56">
        <f t="shared" si="1"/>
        <v>0</v>
      </c>
      <c r="AE303" s="57">
        <f t="shared" si="2"/>
        <v>0</v>
      </c>
      <c r="AF303" s="32">
        <f t="shared" si="3"/>
        <v>0</v>
      </c>
      <c r="AG303" s="32">
        <f t="shared" si="4"/>
        <v>0</v>
      </c>
      <c r="AH303" s="39" t="str">
        <f t="shared" si="5"/>
        <v/>
      </c>
    </row>
    <row r="304" ht="15.75" customHeight="1">
      <c r="A304" s="16" t="s">
        <v>21</v>
      </c>
      <c r="B304" s="40">
        <f t="shared" si="6"/>
        <v>45957</v>
      </c>
      <c r="C304" s="18">
        <v>11.0</v>
      </c>
      <c r="D304" s="18" t="s">
        <v>31</v>
      </c>
      <c r="E304" s="19"/>
      <c r="F304" s="49"/>
      <c r="H304" s="48"/>
      <c r="J304" s="48"/>
      <c r="L304" s="48"/>
      <c r="N304" s="48"/>
      <c r="P304" s="48"/>
      <c r="Q304" s="22"/>
      <c r="R304" s="49"/>
      <c r="T304" s="48"/>
      <c r="V304" s="48"/>
      <c r="X304" s="48"/>
      <c r="Z304" s="48"/>
      <c r="AB304" s="48"/>
      <c r="AC304" s="22"/>
      <c r="AD304" s="86">
        <f t="shared" si="1"/>
        <v>0</v>
      </c>
      <c r="AE304" s="87">
        <f t="shared" si="2"/>
        <v>0</v>
      </c>
      <c r="AF304" s="18">
        <f t="shared" si="3"/>
        <v>0</v>
      </c>
      <c r="AG304" s="18">
        <f t="shared" si="4"/>
        <v>0</v>
      </c>
      <c r="AH304" s="41" t="str">
        <f t="shared" si="5"/>
        <v/>
      </c>
    </row>
    <row r="305" ht="15.75" customHeight="1">
      <c r="A305" s="25" t="s">
        <v>23</v>
      </c>
      <c r="B305" s="26">
        <f t="shared" si="6"/>
        <v>45958</v>
      </c>
      <c r="C305" s="27">
        <v>11.0</v>
      </c>
      <c r="D305" s="27" t="s">
        <v>31</v>
      </c>
      <c r="E305" s="28"/>
      <c r="F305" s="49"/>
      <c r="H305" s="48"/>
      <c r="J305" s="48"/>
      <c r="L305" s="48"/>
      <c r="N305" s="48"/>
      <c r="P305" s="48"/>
      <c r="Q305" s="22"/>
      <c r="R305" s="49"/>
      <c r="T305" s="48"/>
      <c r="V305" s="48"/>
      <c r="X305" s="48"/>
      <c r="Z305" s="48"/>
      <c r="AB305" s="48"/>
      <c r="AC305" s="22"/>
      <c r="AD305" s="50">
        <f t="shared" si="1"/>
        <v>0</v>
      </c>
      <c r="AE305" s="51">
        <f t="shared" si="2"/>
        <v>0</v>
      </c>
      <c r="AF305" s="27">
        <f t="shared" si="3"/>
        <v>0</v>
      </c>
      <c r="AG305" s="27">
        <f t="shared" si="4"/>
        <v>0</v>
      </c>
      <c r="AH305" s="24" t="str">
        <f t="shared" si="5"/>
        <v/>
      </c>
    </row>
    <row r="306" ht="15.75" customHeight="1">
      <c r="A306" s="25" t="s">
        <v>24</v>
      </c>
      <c r="B306" s="26">
        <f t="shared" si="6"/>
        <v>45959</v>
      </c>
      <c r="C306" s="27">
        <v>11.0</v>
      </c>
      <c r="D306" s="27" t="s">
        <v>31</v>
      </c>
      <c r="E306" s="28"/>
      <c r="F306" s="49"/>
      <c r="H306" s="48"/>
      <c r="J306" s="48"/>
      <c r="L306" s="48"/>
      <c r="N306" s="48"/>
      <c r="P306" s="48"/>
      <c r="Q306" s="22"/>
      <c r="R306" s="49"/>
      <c r="T306" s="48"/>
      <c r="V306" s="48"/>
      <c r="X306" s="48"/>
      <c r="Z306" s="48"/>
      <c r="AB306" s="48"/>
      <c r="AC306" s="22"/>
      <c r="AD306" s="50">
        <f t="shared" si="1"/>
        <v>0</v>
      </c>
      <c r="AE306" s="51">
        <f t="shared" si="2"/>
        <v>0</v>
      </c>
      <c r="AF306" s="27">
        <f t="shared" si="3"/>
        <v>0</v>
      </c>
      <c r="AG306" s="27">
        <f t="shared" si="4"/>
        <v>0</v>
      </c>
      <c r="AH306" s="24" t="str">
        <f t="shared" si="5"/>
        <v/>
      </c>
    </row>
    <row r="307" ht="15.75" customHeight="1">
      <c r="A307" s="25" t="s">
        <v>25</v>
      </c>
      <c r="B307" s="26">
        <f t="shared" si="6"/>
        <v>45960</v>
      </c>
      <c r="C307" s="27">
        <v>11.0</v>
      </c>
      <c r="D307" s="27" t="s">
        <v>31</v>
      </c>
      <c r="E307" s="28"/>
      <c r="F307" s="49"/>
      <c r="H307" s="48"/>
      <c r="J307" s="48"/>
      <c r="L307" s="48"/>
      <c r="N307" s="48"/>
      <c r="P307" s="48"/>
      <c r="Q307" s="22"/>
      <c r="R307" s="49"/>
      <c r="T307" s="48"/>
      <c r="V307" s="48"/>
      <c r="X307" s="48"/>
      <c r="Z307" s="48"/>
      <c r="AB307" s="48"/>
      <c r="AC307" s="22"/>
      <c r="AD307" s="50">
        <f t="shared" si="1"/>
        <v>0</v>
      </c>
      <c r="AE307" s="51">
        <f t="shared" si="2"/>
        <v>0</v>
      </c>
      <c r="AF307" s="27">
        <f t="shared" si="3"/>
        <v>0</v>
      </c>
      <c r="AG307" s="27">
        <f t="shared" si="4"/>
        <v>0</v>
      </c>
      <c r="AH307" s="24" t="str">
        <f t="shared" si="5"/>
        <v/>
      </c>
    </row>
    <row r="308" ht="15.75" customHeight="1">
      <c r="A308" s="25" t="s">
        <v>26</v>
      </c>
      <c r="B308" s="26">
        <f t="shared" si="6"/>
        <v>45961</v>
      </c>
      <c r="C308" s="27">
        <v>11.0</v>
      </c>
      <c r="D308" s="27" t="s">
        <v>31</v>
      </c>
      <c r="E308" s="28"/>
      <c r="F308" s="49"/>
      <c r="H308" s="48"/>
      <c r="J308" s="48"/>
      <c r="L308" s="48"/>
      <c r="N308" s="48"/>
      <c r="P308" s="48"/>
      <c r="Q308" s="22"/>
      <c r="R308" s="49"/>
      <c r="T308" s="48"/>
      <c r="V308" s="48"/>
      <c r="X308" s="48"/>
      <c r="Z308" s="48"/>
      <c r="AB308" s="48"/>
      <c r="AC308" s="22"/>
      <c r="AD308" s="50">
        <f t="shared" si="1"/>
        <v>0</v>
      </c>
      <c r="AE308" s="51">
        <f t="shared" si="2"/>
        <v>0</v>
      </c>
      <c r="AF308" s="27">
        <f t="shared" si="3"/>
        <v>0</v>
      </c>
      <c r="AG308" s="27">
        <f t="shared" si="4"/>
        <v>0</v>
      </c>
      <c r="AH308" s="24" t="str">
        <f t="shared" si="5"/>
        <v/>
      </c>
    </row>
    <row r="309" ht="15.75" customHeight="1">
      <c r="A309" s="25" t="s">
        <v>27</v>
      </c>
      <c r="B309" s="26">
        <f t="shared" si="6"/>
        <v>45962</v>
      </c>
      <c r="C309" s="27">
        <v>11.0</v>
      </c>
      <c r="D309" s="27" t="s">
        <v>31</v>
      </c>
      <c r="E309" s="28"/>
      <c r="F309" s="49"/>
      <c r="H309" s="48"/>
      <c r="J309" s="48"/>
      <c r="L309" s="48"/>
      <c r="N309" s="48"/>
      <c r="P309" s="48"/>
      <c r="Q309" s="22"/>
      <c r="R309" s="49"/>
      <c r="T309" s="48"/>
      <c r="V309" s="48"/>
      <c r="X309" s="48"/>
      <c r="Z309" s="48"/>
      <c r="AB309" s="48"/>
      <c r="AC309" s="22"/>
      <c r="AD309" s="50">
        <f t="shared" si="1"/>
        <v>0</v>
      </c>
      <c r="AE309" s="51">
        <f t="shared" si="2"/>
        <v>0</v>
      </c>
      <c r="AF309" s="27">
        <f t="shared" si="3"/>
        <v>0</v>
      </c>
      <c r="AG309" s="27">
        <f t="shared" si="4"/>
        <v>0</v>
      </c>
      <c r="AH309" s="24" t="str">
        <f t="shared" si="5"/>
        <v/>
      </c>
    </row>
    <row r="310" ht="15.75" customHeight="1">
      <c r="A310" s="30" t="s">
        <v>28</v>
      </c>
      <c r="B310" s="31">
        <f t="shared" si="6"/>
        <v>45963</v>
      </c>
      <c r="C310" s="32">
        <v>11.0</v>
      </c>
      <c r="D310" s="32" t="s">
        <v>31</v>
      </c>
      <c r="E310" s="33"/>
      <c r="F310" s="55"/>
      <c r="G310" s="35"/>
      <c r="H310" s="54"/>
      <c r="I310" s="35"/>
      <c r="J310" s="54"/>
      <c r="K310" s="35"/>
      <c r="L310" s="54"/>
      <c r="M310" s="35"/>
      <c r="N310" s="54"/>
      <c r="O310" s="35"/>
      <c r="P310" s="54"/>
      <c r="Q310" s="37"/>
      <c r="R310" s="55"/>
      <c r="S310" s="35"/>
      <c r="T310" s="54"/>
      <c r="U310" s="35"/>
      <c r="V310" s="54"/>
      <c r="W310" s="35"/>
      <c r="X310" s="54"/>
      <c r="Y310" s="35"/>
      <c r="Z310" s="54"/>
      <c r="AA310" s="35"/>
      <c r="AB310" s="54"/>
      <c r="AC310" s="37"/>
      <c r="AD310" s="56">
        <f t="shared" si="1"/>
        <v>0</v>
      </c>
      <c r="AE310" s="57">
        <f t="shared" si="2"/>
        <v>0</v>
      </c>
      <c r="AF310" s="32">
        <f t="shared" si="3"/>
        <v>0</v>
      </c>
      <c r="AG310" s="32">
        <f t="shared" si="4"/>
        <v>0</v>
      </c>
      <c r="AH310" s="39" t="str">
        <f t="shared" si="5"/>
        <v/>
      </c>
    </row>
    <row r="311" ht="15.75" customHeight="1">
      <c r="A311" s="16" t="s">
        <v>21</v>
      </c>
      <c r="B311" s="40">
        <f t="shared" si="6"/>
        <v>45964</v>
      </c>
      <c r="C311" s="18">
        <v>12.0</v>
      </c>
      <c r="D311" s="18" t="s">
        <v>22</v>
      </c>
      <c r="E311" s="19"/>
      <c r="F311" s="49"/>
      <c r="H311" s="48"/>
      <c r="J311" s="48"/>
      <c r="L311" s="48"/>
      <c r="N311" s="48"/>
      <c r="P311" s="48"/>
      <c r="Q311" s="22"/>
      <c r="R311" s="49"/>
      <c r="T311" s="48"/>
      <c r="V311" s="48"/>
      <c r="X311" s="48"/>
      <c r="Z311" s="48"/>
      <c r="AB311" s="48"/>
      <c r="AC311" s="22"/>
      <c r="AD311" s="86">
        <f t="shared" si="1"/>
        <v>0</v>
      </c>
      <c r="AE311" s="87">
        <f t="shared" si="2"/>
        <v>0</v>
      </c>
      <c r="AF311" s="18">
        <f t="shared" si="3"/>
        <v>0</v>
      </c>
      <c r="AG311" s="18">
        <f t="shared" si="4"/>
        <v>0</v>
      </c>
      <c r="AH311" s="41" t="str">
        <f t="shared" si="5"/>
        <v/>
      </c>
    </row>
    <row r="312" ht="15.75" customHeight="1">
      <c r="A312" s="25" t="s">
        <v>23</v>
      </c>
      <c r="B312" s="26">
        <f t="shared" si="6"/>
        <v>45965</v>
      </c>
      <c r="C312" s="27">
        <v>12.0</v>
      </c>
      <c r="D312" s="27" t="s">
        <v>22</v>
      </c>
      <c r="E312" s="28"/>
      <c r="F312" s="49"/>
      <c r="H312" s="48"/>
      <c r="J312" s="48"/>
      <c r="L312" s="48"/>
      <c r="N312" s="48"/>
      <c r="P312" s="48"/>
      <c r="Q312" s="22"/>
      <c r="R312" s="49"/>
      <c r="T312" s="48"/>
      <c r="V312" s="48"/>
      <c r="X312" s="48"/>
      <c r="Z312" s="48"/>
      <c r="AB312" s="48"/>
      <c r="AC312" s="22"/>
      <c r="AD312" s="50">
        <f t="shared" si="1"/>
        <v>0</v>
      </c>
      <c r="AE312" s="51">
        <f t="shared" si="2"/>
        <v>0</v>
      </c>
      <c r="AF312" s="27">
        <f t="shared" si="3"/>
        <v>0</v>
      </c>
      <c r="AG312" s="27">
        <f t="shared" si="4"/>
        <v>0</v>
      </c>
      <c r="AH312" s="24" t="str">
        <f t="shared" si="5"/>
        <v/>
      </c>
    </row>
    <row r="313" ht="15.75" customHeight="1">
      <c r="A313" s="25" t="s">
        <v>24</v>
      </c>
      <c r="B313" s="26">
        <f t="shared" si="6"/>
        <v>45966</v>
      </c>
      <c r="C313" s="27">
        <v>12.0</v>
      </c>
      <c r="D313" s="27" t="s">
        <v>22</v>
      </c>
      <c r="E313" s="28"/>
      <c r="F313" s="49"/>
      <c r="H313" s="48"/>
      <c r="J313" s="48"/>
      <c r="L313" s="48"/>
      <c r="N313" s="48"/>
      <c r="P313" s="48"/>
      <c r="Q313" s="22"/>
      <c r="R313" s="49"/>
      <c r="T313" s="48"/>
      <c r="V313" s="48"/>
      <c r="X313" s="48"/>
      <c r="Z313" s="48"/>
      <c r="AB313" s="48"/>
      <c r="AC313" s="22"/>
      <c r="AD313" s="50">
        <f t="shared" si="1"/>
        <v>0</v>
      </c>
      <c r="AE313" s="51">
        <f t="shared" si="2"/>
        <v>0</v>
      </c>
      <c r="AF313" s="27">
        <f t="shared" si="3"/>
        <v>0</v>
      </c>
      <c r="AG313" s="27">
        <f t="shared" si="4"/>
        <v>0</v>
      </c>
      <c r="AH313" s="24" t="str">
        <f t="shared" si="5"/>
        <v/>
      </c>
    </row>
    <row r="314" ht="15.75" customHeight="1">
      <c r="A314" s="25" t="s">
        <v>25</v>
      </c>
      <c r="B314" s="26">
        <f t="shared" si="6"/>
        <v>45967</v>
      </c>
      <c r="C314" s="27">
        <v>12.0</v>
      </c>
      <c r="D314" s="27" t="s">
        <v>22</v>
      </c>
      <c r="E314" s="28"/>
      <c r="F314" s="49"/>
      <c r="H314" s="48"/>
      <c r="J314" s="48"/>
      <c r="L314" s="48"/>
      <c r="N314" s="48"/>
      <c r="P314" s="48"/>
      <c r="Q314" s="22"/>
      <c r="R314" s="49"/>
      <c r="T314" s="48"/>
      <c r="V314" s="48"/>
      <c r="X314" s="48"/>
      <c r="Z314" s="48"/>
      <c r="AB314" s="48"/>
      <c r="AC314" s="22"/>
      <c r="AD314" s="50">
        <f t="shared" si="1"/>
        <v>0</v>
      </c>
      <c r="AE314" s="51">
        <f t="shared" si="2"/>
        <v>0</v>
      </c>
      <c r="AF314" s="27">
        <f t="shared" si="3"/>
        <v>0</v>
      </c>
      <c r="AG314" s="27">
        <f t="shared" si="4"/>
        <v>0</v>
      </c>
      <c r="AH314" s="24" t="str">
        <f t="shared" si="5"/>
        <v/>
      </c>
    </row>
    <row r="315" ht="15.75" customHeight="1">
      <c r="A315" s="25" t="s">
        <v>26</v>
      </c>
      <c r="B315" s="26">
        <f t="shared" si="6"/>
        <v>45968</v>
      </c>
      <c r="C315" s="27">
        <v>12.0</v>
      </c>
      <c r="D315" s="27" t="s">
        <v>22</v>
      </c>
      <c r="E315" s="28"/>
      <c r="F315" s="49"/>
      <c r="H315" s="48"/>
      <c r="J315" s="48"/>
      <c r="L315" s="48"/>
      <c r="N315" s="48"/>
      <c r="P315" s="48"/>
      <c r="Q315" s="22"/>
      <c r="R315" s="49"/>
      <c r="T315" s="48"/>
      <c r="V315" s="48"/>
      <c r="X315" s="48"/>
      <c r="Z315" s="48"/>
      <c r="AB315" s="48"/>
      <c r="AC315" s="22"/>
      <c r="AD315" s="50">
        <f t="shared" si="1"/>
        <v>0</v>
      </c>
      <c r="AE315" s="51">
        <f t="shared" si="2"/>
        <v>0</v>
      </c>
      <c r="AF315" s="27">
        <f t="shared" si="3"/>
        <v>0</v>
      </c>
      <c r="AG315" s="27">
        <f t="shared" si="4"/>
        <v>0</v>
      </c>
      <c r="AH315" s="24" t="str">
        <f t="shared" si="5"/>
        <v/>
      </c>
    </row>
    <row r="316" ht="15.75" customHeight="1">
      <c r="A316" s="25" t="s">
        <v>27</v>
      </c>
      <c r="B316" s="26">
        <f t="shared" si="6"/>
        <v>45969</v>
      </c>
      <c r="C316" s="27">
        <v>12.0</v>
      </c>
      <c r="D316" s="27" t="s">
        <v>22</v>
      </c>
      <c r="E316" s="28"/>
      <c r="F316" s="49"/>
      <c r="H316" s="48"/>
      <c r="J316" s="48"/>
      <c r="L316" s="48"/>
      <c r="N316" s="48"/>
      <c r="P316" s="48"/>
      <c r="Q316" s="22"/>
      <c r="R316" s="49"/>
      <c r="T316" s="48"/>
      <c r="V316" s="48"/>
      <c r="X316" s="48"/>
      <c r="Z316" s="48"/>
      <c r="AB316" s="48"/>
      <c r="AC316" s="22"/>
      <c r="AD316" s="50">
        <f t="shared" si="1"/>
        <v>0</v>
      </c>
      <c r="AE316" s="51">
        <f t="shared" si="2"/>
        <v>0</v>
      </c>
      <c r="AF316" s="27">
        <f t="shared" si="3"/>
        <v>0</v>
      </c>
      <c r="AG316" s="27">
        <f t="shared" si="4"/>
        <v>0</v>
      </c>
      <c r="AH316" s="24" t="str">
        <f t="shared" si="5"/>
        <v/>
      </c>
    </row>
    <row r="317" ht="15.75" customHeight="1">
      <c r="A317" s="30" t="s">
        <v>28</v>
      </c>
      <c r="B317" s="31">
        <f t="shared" si="6"/>
        <v>45970</v>
      </c>
      <c r="C317" s="32">
        <v>12.0</v>
      </c>
      <c r="D317" s="32" t="s">
        <v>22</v>
      </c>
      <c r="E317" s="33"/>
      <c r="F317" s="55"/>
      <c r="G317" s="35"/>
      <c r="H317" s="54"/>
      <c r="I317" s="35"/>
      <c r="J317" s="54"/>
      <c r="K317" s="35"/>
      <c r="L317" s="54"/>
      <c r="M317" s="35"/>
      <c r="N317" s="54"/>
      <c r="O317" s="35"/>
      <c r="P317" s="54"/>
      <c r="Q317" s="37"/>
      <c r="R317" s="55"/>
      <c r="S317" s="35"/>
      <c r="T317" s="54"/>
      <c r="U317" s="35"/>
      <c r="V317" s="54"/>
      <c r="W317" s="35"/>
      <c r="X317" s="54"/>
      <c r="Y317" s="35"/>
      <c r="Z317" s="54"/>
      <c r="AA317" s="35"/>
      <c r="AB317" s="54"/>
      <c r="AC317" s="37"/>
      <c r="AD317" s="56">
        <f t="shared" si="1"/>
        <v>0</v>
      </c>
      <c r="AE317" s="57">
        <f t="shared" si="2"/>
        <v>0</v>
      </c>
      <c r="AF317" s="32">
        <f t="shared" si="3"/>
        <v>0</v>
      </c>
      <c r="AG317" s="32">
        <f t="shared" si="4"/>
        <v>0</v>
      </c>
      <c r="AH317" s="39" t="str">
        <f t="shared" si="5"/>
        <v/>
      </c>
    </row>
    <row r="318" ht="15.75" customHeight="1">
      <c r="A318" s="16" t="s">
        <v>21</v>
      </c>
      <c r="B318" s="40">
        <f t="shared" si="6"/>
        <v>45971</v>
      </c>
      <c r="C318" s="18">
        <v>12.0</v>
      </c>
      <c r="D318" s="18" t="s">
        <v>29</v>
      </c>
      <c r="E318" s="19"/>
      <c r="F318" s="49"/>
      <c r="H318" s="48"/>
      <c r="J318" s="48"/>
      <c r="L318" s="48"/>
      <c r="N318" s="48"/>
      <c r="P318" s="48"/>
      <c r="Q318" s="22"/>
      <c r="R318" s="49"/>
      <c r="T318" s="48"/>
      <c r="V318" s="48"/>
      <c r="X318" s="48"/>
      <c r="Z318" s="48"/>
      <c r="AB318" s="48"/>
      <c r="AC318" s="22"/>
      <c r="AD318" s="86">
        <f t="shared" si="1"/>
        <v>0</v>
      </c>
      <c r="AE318" s="87">
        <f t="shared" si="2"/>
        <v>0</v>
      </c>
      <c r="AF318" s="18">
        <f t="shared" si="3"/>
        <v>0</v>
      </c>
      <c r="AG318" s="18">
        <f t="shared" si="4"/>
        <v>0</v>
      </c>
      <c r="AH318" s="41" t="str">
        <f t="shared" si="5"/>
        <v/>
      </c>
    </row>
    <row r="319" ht="15.75" customHeight="1">
      <c r="A319" s="25" t="s">
        <v>23</v>
      </c>
      <c r="B319" s="26">
        <f t="shared" si="6"/>
        <v>45972</v>
      </c>
      <c r="C319" s="27">
        <v>12.0</v>
      </c>
      <c r="D319" s="27" t="s">
        <v>29</v>
      </c>
      <c r="E319" s="28"/>
      <c r="F319" s="49"/>
      <c r="H319" s="48"/>
      <c r="J319" s="48"/>
      <c r="L319" s="48"/>
      <c r="N319" s="48"/>
      <c r="P319" s="48"/>
      <c r="Q319" s="22"/>
      <c r="R319" s="49"/>
      <c r="T319" s="48"/>
      <c r="V319" s="48"/>
      <c r="X319" s="48"/>
      <c r="Z319" s="48"/>
      <c r="AB319" s="48"/>
      <c r="AC319" s="22"/>
      <c r="AD319" s="50">
        <f t="shared" si="1"/>
        <v>0</v>
      </c>
      <c r="AE319" s="51">
        <f t="shared" si="2"/>
        <v>0</v>
      </c>
      <c r="AF319" s="27">
        <f t="shared" si="3"/>
        <v>0</v>
      </c>
      <c r="AG319" s="27">
        <f t="shared" si="4"/>
        <v>0</v>
      </c>
      <c r="AH319" s="24" t="str">
        <f t="shared" si="5"/>
        <v/>
      </c>
    </row>
    <row r="320" ht="15.75" customHeight="1">
      <c r="A320" s="25" t="s">
        <v>24</v>
      </c>
      <c r="B320" s="26">
        <f t="shared" si="6"/>
        <v>45973</v>
      </c>
      <c r="C320" s="27">
        <v>12.0</v>
      </c>
      <c r="D320" s="27" t="s">
        <v>29</v>
      </c>
      <c r="E320" s="28"/>
      <c r="F320" s="49"/>
      <c r="H320" s="48"/>
      <c r="J320" s="48"/>
      <c r="L320" s="48"/>
      <c r="N320" s="48"/>
      <c r="P320" s="48"/>
      <c r="Q320" s="22"/>
      <c r="R320" s="49"/>
      <c r="T320" s="48"/>
      <c r="V320" s="48"/>
      <c r="X320" s="48"/>
      <c r="Z320" s="48"/>
      <c r="AB320" s="48"/>
      <c r="AC320" s="22"/>
      <c r="AD320" s="50">
        <f t="shared" si="1"/>
        <v>0</v>
      </c>
      <c r="AE320" s="51">
        <f t="shared" si="2"/>
        <v>0</v>
      </c>
      <c r="AF320" s="27">
        <f t="shared" si="3"/>
        <v>0</v>
      </c>
      <c r="AG320" s="27">
        <f t="shared" si="4"/>
        <v>0</v>
      </c>
      <c r="AH320" s="24" t="str">
        <f t="shared" si="5"/>
        <v/>
      </c>
    </row>
    <row r="321" ht="15.75" customHeight="1">
      <c r="A321" s="25" t="s">
        <v>25</v>
      </c>
      <c r="B321" s="26">
        <f t="shared" si="6"/>
        <v>45974</v>
      </c>
      <c r="C321" s="27">
        <v>12.0</v>
      </c>
      <c r="D321" s="27" t="s">
        <v>29</v>
      </c>
      <c r="E321" s="28"/>
      <c r="F321" s="49"/>
      <c r="H321" s="48"/>
      <c r="J321" s="48"/>
      <c r="L321" s="48"/>
      <c r="N321" s="48"/>
      <c r="P321" s="48"/>
      <c r="Q321" s="22"/>
      <c r="R321" s="49"/>
      <c r="T321" s="48"/>
      <c r="V321" s="48"/>
      <c r="X321" s="48"/>
      <c r="Z321" s="48"/>
      <c r="AB321" s="48"/>
      <c r="AC321" s="22"/>
      <c r="AD321" s="50">
        <f t="shared" si="1"/>
        <v>0</v>
      </c>
      <c r="AE321" s="51">
        <f t="shared" si="2"/>
        <v>0</v>
      </c>
      <c r="AF321" s="27">
        <f t="shared" si="3"/>
        <v>0</v>
      </c>
      <c r="AG321" s="27">
        <f t="shared" si="4"/>
        <v>0</v>
      </c>
      <c r="AH321" s="24" t="str">
        <f t="shared" si="5"/>
        <v/>
      </c>
    </row>
    <row r="322" ht="15.75" customHeight="1">
      <c r="A322" s="25" t="s">
        <v>26</v>
      </c>
      <c r="B322" s="26">
        <f t="shared" si="6"/>
        <v>45975</v>
      </c>
      <c r="C322" s="27">
        <v>12.0</v>
      </c>
      <c r="D322" s="27" t="s">
        <v>29</v>
      </c>
      <c r="E322" s="28"/>
      <c r="F322" s="49"/>
      <c r="H322" s="48"/>
      <c r="J322" s="48"/>
      <c r="L322" s="48"/>
      <c r="N322" s="48"/>
      <c r="P322" s="48"/>
      <c r="Q322" s="22"/>
      <c r="R322" s="49"/>
      <c r="T322" s="48"/>
      <c r="V322" s="48"/>
      <c r="X322" s="48"/>
      <c r="Z322" s="48"/>
      <c r="AB322" s="48"/>
      <c r="AC322" s="22"/>
      <c r="AD322" s="50">
        <f t="shared" si="1"/>
        <v>0</v>
      </c>
      <c r="AE322" s="51">
        <f t="shared" si="2"/>
        <v>0</v>
      </c>
      <c r="AF322" s="27">
        <f t="shared" si="3"/>
        <v>0</v>
      </c>
      <c r="AG322" s="27">
        <f t="shared" si="4"/>
        <v>0</v>
      </c>
      <c r="AH322" s="24" t="str">
        <f t="shared" si="5"/>
        <v/>
      </c>
    </row>
    <row r="323" ht="15.75" customHeight="1">
      <c r="A323" s="25" t="s">
        <v>27</v>
      </c>
      <c r="B323" s="26">
        <f t="shared" si="6"/>
        <v>45976</v>
      </c>
      <c r="C323" s="27">
        <v>12.0</v>
      </c>
      <c r="D323" s="27" t="s">
        <v>29</v>
      </c>
      <c r="E323" s="28"/>
      <c r="F323" s="49"/>
      <c r="H323" s="48"/>
      <c r="J323" s="48"/>
      <c r="L323" s="48"/>
      <c r="N323" s="48"/>
      <c r="P323" s="48"/>
      <c r="Q323" s="22"/>
      <c r="R323" s="49"/>
      <c r="T323" s="48"/>
      <c r="V323" s="48"/>
      <c r="X323" s="48"/>
      <c r="Z323" s="48"/>
      <c r="AB323" s="48"/>
      <c r="AC323" s="22"/>
      <c r="AD323" s="50">
        <f t="shared" si="1"/>
        <v>0</v>
      </c>
      <c r="AE323" s="51">
        <f t="shared" si="2"/>
        <v>0</v>
      </c>
      <c r="AF323" s="27">
        <f t="shared" si="3"/>
        <v>0</v>
      </c>
      <c r="AG323" s="27">
        <f t="shared" si="4"/>
        <v>0</v>
      </c>
      <c r="AH323" s="24" t="str">
        <f t="shared" si="5"/>
        <v/>
      </c>
    </row>
    <row r="324" ht="15.75" customHeight="1">
      <c r="A324" s="30" t="s">
        <v>28</v>
      </c>
      <c r="B324" s="31">
        <f t="shared" si="6"/>
        <v>45977</v>
      </c>
      <c r="C324" s="32">
        <v>12.0</v>
      </c>
      <c r="D324" s="32" t="s">
        <v>29</v>
      </c>
      <c r="E324" s="33"/>
      <c r="F324" s="55"/>
      <c r="G324" s="35"/>
      <c r="H324" s="54"/>
      <c r="I324" s="35"/>
      <c r="J324" s="54"/>
      <c r="K324" s="35"/>
      <c r="L324" s="54"/>
      <c r="M324" s="35"/>
      <c r="N324" s="54"/>
      <c r="O324" s="35"/>
      <c r="P324" s="54"/>
      <c r="Q324" s="37"/>
      <c r="R324" s="55"/>
      <c r="S324" s="35"/>
      <c r="T324" s="54"/>
      <c r="U324" s="35"/>
      <c r="V324" s="54"/>
      <c r="W324" s="35"/>
      <c r="X324" s="54"/>
      <c r="Y324" s="35"/>
      <c r="Z324" s="54"/>
      <c r="AA324" s="35"/>
      <c r="AB324" s="54"/>
      <c r="AC324" s="37"/>
      <c r="AD324" s="56">
        <f t="shared" si="1"/>
        <v>0</v>
      </c>
      <c r="AE324" s="57">
        <f t="shared" si="2"/>
        <v>0</v>
      </c>
      <c r="AF324" s="32">
        <f t="shared" si="3"/>
        <v>0</v>
      </c>
      <c r="AG324" s="32">
        <f t="shared" si="4"/>
        <v>0</v>
      </c>
      <c r="AH324" s="39" t="str">
        <f t="shared" si="5"/>
        <v/>
      </c>
    </row>
    <row r="325" ht="15.75" customHeight="1">
      <c r="A325" s="16" t="s">
        <v>21</v>
      </c>
      <c r="B325" s="40">
        <f t="shared" si="6"/>
        <v>45978</v>
      </c>
      <c r="C325" s="18">
        <v>12.0</v>
      </c>
      <c r="D325" s="18" t="s">
        <v>30</v>
      </c>
      <c r="E325" s="19"/>
      <c r="F325" s="49"/>
      <c r="H325" s="48"/>
      <c r="J325" s="48"/>
      <c r="L325" s="48"/>
      <c r="N325" s="48"/>
      <c r="P325" s="48"/>
      <c r="Q325" s="22"/>
      <c r="R325" s="49"/>
      <c r="T325" s="48"/>
      <c r="V325" s="48"/>
      <c r="X325" s="48"/>
      <c r="Z325" s="48"/>
      <c r="AB325" s="48"/>
      <c r="AC325" s="22"/>
      <c r="AD325" s="86">
        <f t="shared" si="1"/>
        <v>0</v>
      </c>
      <c r="AE325" s="87">
        <f t="shared" si="2"/>
        <v>0</v>
      </c>
      <c r="AF325" s="18">
        <f t="shared" si="3"/>
        <v>0</v>
      </c>
      <c r="AG325" s="18">
        <f t="shared" si="4"/>
        <v>0</v>
      </c>
      <c r="AH325" s="41" t="str">
        <f t="shared" si="5"/>
        <v/>
      </c>
    </row>
    <row r="326" ht="15.75" customHeight="1">
      <c r="A326" s="25" t="s">
        <v>23</v>
      </c>
      <c r="B326" s="26">
        <f t="shared" si="6"/>
        <v>45979</v>
      </c>
      <c r="C326" s="27">
        <v>12.0</v>
      </c>
      <c r="D326" s="27" t="s">
        <v>30</v>
      </c>
      <c r="E326" s="28"/>
      <c r="F326" s="49"/>
      <c r="H326" s="48"/>
      <c r="J326" s="48"/>
      <c r="L326" s="48"/>
      <c r="N326" s="48"/>
      <c r="P326" s="48"/>
      <c r="Q326" s="22"/>
      <c r="R326" s="49"/>
      <c r="T326" s="48"/>
      <c r="V326" s="48"/>
      <c r="X326" s="48"/>
      <c r="Z326" s="48"/>
      <c r="AB326" s="48"/>
      <c r="AC326" s="22"/>
      <c r="AD326" s="50">
        <f t="shared" si="1"/>
        <v>0</v>
      </c>
      <c r="AE326" s="51">
        <f t="shared" si="2"/>
        <v>0</v>
      </c>
      <c r="AF326" s="27">
        <f t="shared" si="3"/>
        <v>0</v>
      </c>
      <c r="AG326" s="27">
        <f t="shared" si="4"/>
        <v>0</v>
      </c>
      <c r="AH326" s="24" t="str">
        <f t="shared" si="5"/>
        <v/>
      </c>
    </row>
    <row r="327" ht="15.75" customHeight="1">
      <c r="A327" s="25" t="s">
        <v>24</v>
      </c>
      <c r="B327" s="26">
        <f t="shared" si="6"/>
        <v>45980</v>
      </c>
      <c r="C327" s="27">
        <v>12.0</v>
      </c>
      <c r="D327" s="27" t="s">
        <v>30</v>
      </c>
      <c r="E327" s="28"/>
      <c r="F327" s="49"/>
      <c r="H327" s="48"/>
      <c r="J327" s="48"/>
      <c r="L327" s="48"/>
      <c r="N327" s="48"/>
      <c r="P327" s="48"/>
      <c r="Q327" s="22"/>
      <c r="R327" s="49"/>
      <c r="T327" s="48"/>
      <c r="V327" s="48"/>
      <c r="X327" s="48"/>
      <c r="Z327" s="48"/>
      <c r="AB327" s="48"/>
      <c r="AC327" s="22"/>
      <c r="AD327" s="50">
        <f t="shared" si="1"/>
        <v>0</v>
      </c>
      <c r="AE327" s="51">
        <f t="shared" si="2"/>
        <v>0</v>
      </c>
      <c r="AF327" s="27">
        <f t="shared" si="3"/>
        <v>0</v>
      </c>
      <c r="AG327" s="27">
        <f t="shared" si="4"/>
        <v>0</v>
      </c>
      <c r="AH327" s="24" t="str">
        <f t="shared" si="5"/>
        <v/>
      </c>
    </row>
    <row r="328" ht="15.75" customHeight="1">
      <c r="A328" s="25" t="s">
        <v>25</v>
      </c>
      <c r="B328" s="26">
        <f t="shared" si="6"/>
        <v>45981</v>
      </c>
      <c r="C328" s="27">
        <v>12.0</v>
      </c>
      <c r="D328" s="27" t="s">
        <v>30</v>
      </c>
      <c r="E328" s="28"/>
      <c r="F328" s="20"/>
      <c r="H328" s="21"/>
      <c r="J328" s="21"/>
      <c r="L328" s="21"/>
      <c r="N328" s="21"/>
      <c r="P328" s="21"/>
      <c r="Q328" s="22"/>
      <c r="R328" s="20"/>
      <c r="T328" s="21"/>
      <c r="V328" s="21"/>
      <c r="X328" s="21"/>
      <c r="Z328" s="21"/>
      <c r="AB328" s="21"/>
      <c r="AC328" s="22"/>
      <c r="AD328" s="29">
        <f t="shared" si="1"/>
        <v>0</v>
      </c>
      <c r="AE328" s="27">
        <f t="shared" si="2"/>
        <v>0</v>
      </c>
      <c r="AF328" s="27">
        <f t="shared" si="3"/>
        <v>0</v>
      </c>
      <c r="AG328" s="27">
        <f t="shared" si="4"/>
        <v>0</v>
      </c>
      <c r="AH328" s="24" t="str">
        <f t="shared" si="5"/>
        <v/>
      </c>
    </row>
    <row r="329" ht="15.75" customHeight="1">
      <c r="A329" s="25" t="s">
        <v>26</v>
      </c>
      <c r="B329" s="26">
        <f t="shared" si="6"/>
        <v>45982</v>
      </c>
      <c r="C329" s="27">
        <v>12.0</v>
      </c>
      <c r="D329" s="27" t="s">
        <v>30</v>
      </c>
      <c r="E329" s="28"/>
      <c r="F329" s="20"/>
      <c r="H329" s="21"/>
      <c r="J329" s="21"/>
      <c r="L329" s="21"/>
      <c r="N329" s="21"/>
      <c r="P329" s="21"/>
      <c r="Q329" s="22"/>
      <c r="R329" s="20"/>
      <c r="T329" s="21"/>
      <c r="V329" s="21"/>
      <c r="X329" s="21"/>
      <c r="Z329" s="21"/>
      <c r="AB329" s="21"/>
      <c r="AC329" s="22"/>
      <c r="AD329" s="29">
        <f t="shared" si="1"/>
        <v>0</v>
      </c>
      <c r="AE329" s="27">
        <f t="shared" si="2"/>
        <v>0</v>
      </c>
      <c r="AF329" s="27">
        <f t="shared" si="3"/>
        <v>0</v>
      </c>
      <c r="AG329" s="27">
        <f t="shared" si="4"/>
        <v>0</v>
      </c>
      <c r="AH329" s="24" t="str">
        <f t="shared" si="5"/>
        <v/>
      </c>
    </row>
    <row r="330" ht="15.75" customHeight="1">
      <c r="A330" s="25" t="s">
        <v>27</v>
      </c>
      <c r="B330" s="26">
        <f t="shared" si="6"/>
        <v>45983</v>
      </c>
      <c r="C330" s="27">
        <v>12.0</v>
      </c>
      <c r="D330" s="27" t="s">
        <v>30</v>
      </c>
      <c r="E330" s="28"/>
      <c r="F330" s="20"/>
      <c r="H330" s="21"/>
      <c r="J330" s="21"/>
      <c r="L330" s="21"/>
      <c r="N330" s="21"/>
      <c r="P330" s="21"/>
      <c r="Q330" s="22"/>
      <c r="R330" s="20"/>
      <c r="T330" s="21"/>
      <c r="V330" s="21"/>
      <c r="X330" s="21"/>
      <c r="Z330" s="21"/>
      <c r="AB330" s="21"/>
      <c r="AC330" s="22"/>
      <c r="AD330" s="29">
        <f t="shared" si="1"/>
        <v>0</v>
      </c>
      <c r="AE330" s="27">
        <f t="shared" si="2"/>
        <v>0</v>
      </c>
      <c r="AF330" s="27">
        <f t="shared" si="3"/>
        <v>0</v>
      </c>
      <c r="AG330" s="27">
        <f t="shared" si="4"/>
        <v>0</v>
      </c>
      <c r="AH330" s="24" t="str">
        <f t="shared" si="5"/>
        <v/>
      </c>
    </row>
    <row r="331" ht="15.75" customHeight="1">
      <c r="A331" s="30" t="s">
        <v>28</v>
      </c>
      <c r="B331" s="31">
        <f t="shared" si="6"/>
        <v>45984</v>
      </c>
      <c r="C331" s="32">
        <v>12.0</v>
      </c>
      <c r="D331" s="32" t="s">
        <v>30</v>
      </c>
      <c r="E331" s="33"/>
      <c r="F331" s="34"/>
      <c r="G331" s="35"/>
      <c r="H331" s="36"/>
      <c r="I331" s="35"/>
      <c r="J331" s="36"/>
      <c r="K331" s="35"/>
      <c r="L331" s="36"/>
      <c r="M331" s="35"/>
      <c r="N331" s="36"/>
      <c r="O331" s="35"/>
      <c r="P331" s="36"/>
      <c r="Q331" s="37"/>
      <c r="R331" s="34"/>
      <c r="S331" s="35"/>
      <c r="T331" s="36"/>
      <c r="U331" s="35"/>
      <c r="V331" s="36"/>
      <c r="W331" s="35"/>
      <c r="X331" s="36"/>
      <c r="Y331" s="35"/>
      <c r="Z331" s="36"/>
      <c r="AA331" s="35"/>
      <c r="AB331" s="36"/>
      <c r="AC331" s="37"/>
      <c r="AD331" s="38">
        <f t="shared" si="1"/>
        <v>0</v>
      </c>
      <c r="AE331" s="32">
        <f t="shared" si="2"/>
        <v>0</v>
      </c>
      <c r="AF331" s="32">
        <f t="shared" si="3"/>
        <v>0</v>
      </c>
      <c r="AG331" s="32">
        <f t="shared" si="4"/>
        <v>0</v>
      </c>
      <c r="AH331" s="39" t="str">
        <f t="shared" si="5"/>
        <v/>
      </c>
    </row>
    <row r="332" ht="15.75" customHeight="1">
      <c r="A332" s="16" t="s">
        <v>21</v>
      </c>
      <c r="B332" s="40">
        <f t="shared" si="6"/>
        <v>45985</v>
      </c>
      <c r="C332" s="18">
        <v>12.0</v>
      </c>
      <c r="D332" s="18" t="s">
        <v>31</v>
      </c>
      <c r="E332" s="19"/>
      <c r="F332" s="20"/>
      <c r="H332" s="21"/>
      <c r="J332" s="21"/>
      <c r="L332" s="21"/>
      <c r="N332" s="21"/>
      <c r="P332" s="21"/>
      <c r="Q332" s="22"/>
      <c r="R332" s="20"/>
      <c r="T332" s="21"/>
      <c r="V332" s="21"/>
      <c r="X332" s="21"/>
      <c r="Z332" s="21"/>
      <c r="AB332" s="21"/>
      <c r="AC332" s="22"/>
      <c r="AD332" s="23">
        <f t="shared" si="1"/>
        <v>0</v>
      </c>
      <c r="AE332" s="18">
        <f t="shared" si="2"/>
        <v>0</v>
      </c>
      <c r="AF332" s="18">
        <f t="shared" si="3"/>
        <v>0</v>
      </c>
      <c r="AG332" s="18">
        <f t="shared" si="4"/>
        <v>0</v>
      </c>
      <c r="AH332" s="41" t="str">
        <f t="shared" si="5"/>
        <v/>
      </c>
    </row>
    <row r="333" ht="15.75" customHeight="1">
      <c r="A333" s="25" t="s">
        <v>23</v>
      </c>
      <c r="B333" s="26">
        <f t="shared" si="6"/>
        <v>45986</v>
      </c>
      <c r="C333" s="27">
        <v>12.0</v>
      </c>
      <c r="D333" s="27" t="s">
        <v>31</v>
      </c>
      <c r="E333" s="28"/>
      <c r="F333" s="20"/>
      <c r="H333" s="21"/>
      <c r="J333" s="21"/>
      <c r="L333" s="21"/>
      <c r="N333" s="21"/>
      <c r="P333" s="21"/>
      <c r="Q333" s="22"/>
      <c r="R333" s="20"/>
      <c r="T333" s="21"/>
      <c r="V333" s="21"/>
      <c r="X333" s="21"/>
      <c r="Z333" s="21"/>
      <c r="AB333" s="21"/>
      <c r="AC333" s="22"/>
      <c r="AD333" s="29">
        <f t="shared" si="1"/>
        <v>0</v>
      </c>
      <c r="AE333" s="27">
        <f t="shared" si="2"/>
        <v>0</v>
      </c>
      <c r="AF333" s="27">
        <f t="shared" si="3"/>
        <v>0</v>
      </c>
      <c r="AG333" s="27">
        <f t="shared" si="4"/>
        <v>0</v>
      </c>
      <c r="AH333" s="24" t="str">
        <f t="shared" si="5"/>
        <v/>
      </c>
    </row>
    <row r="334" ht="15.75" customHeight="1">
      <c r="A334" s="25" t="s">
        <v>24</v>
      </c>
      <c r="B334" s="26">
        <f t="shared" si="6"/>
        <v>45987</v>
      </c>
      <c r="C334" s="27">
        <v>12.0</v>
      </c>
      <c r="D334" s="27" t="s">
        <v>31</v>
      </c>
      <c r="E334" s="28"/>
      <c r="F334" s="20"/>
      <c r="H334" s="21"/>
      <c r="J334" s="21"/>
      <c r="L334" s="21"/>
      <c r="N334" s="21"/>
      <c r="P334" s="21"/>
      <c r="Q334" s="22"/>
      <c r="R334" s="20"/>
      <c r="T334" s="21"/>
      <c r="V334" s="21"/>
      <c r="X334" s="21"/>
      <c r="Z334" s="21"/>
      <c r="AB334" s="21"/>
      <c r="AC334" s="22"/>
      <c r="AD334" s="29">
        <f t="shared" si="1"/>
        <v>0</v>
      </c>
      <c r="AE334" s="27">
        <f t="shared" si="2"/>
        <v>0</v>
      </c>
      <c r="AF334" s="27">
        <f t="shared" si="3"/>
        <v>0</v>
      </c>
      <c r="AG334" s="27">
        <f t="shared" si="4"/>
        <v>0</v>
      </c>
      <c r="AH334" s="24" t="str">
        <f t="shared" si="5"/>
        <v/>
      </c>
    </row>
    <row r="335" ht="15.75" customHeight="1">
      <c r="A335" s="25" t="s">
        <v>25</v>
      </c>
      <c r="B335" s="26">
        <f t="shared" si="6"/>
        <v>45988</v>
      </c>
      <c r="C335" s="27">
        <v>12.0</v>
      </c>
      <c r="D335" s="27" t="s">
        <v>31</v>
      </c>
      <c r="E335" s="28"/>
      <c r="F335" s="20"/>
      <c r="H335" s="21"/>
      <c r="J335" s="21"/>
      <c r="L335" s="21"/>
      <c r="N335" s="21"/>
      <c r="P335" s="21"/>
      <c r="Q335" s="22"/>
      <c r="R335" s="20"/>
      <c r="T335" s="21"/>
      <c r="V335" s="21"/>
      <c r="X335" s="21"/>
      <c r="Z335" s="21"/>
      <c r="AB335" s="21"/>
      <c r="AC335" s="22"/>
      <c r="AD335" s="29">
        <f t="shared" si="1"/>
        <v>0</v>
      </c>
      <c r="AE335" s="27">
        <f t="shared" si="2"/>
        <v>0</v>
      </c>
      <c r="AF335" s="27">
        <f t="shared" si="3"/>
        <v>0</v>
      </c>
      <c r="AG335" s="27">
        <f t="shared" si="4"/>
        <v>0</v>
      </c>
      <c r="AH335" s="24" t="str">
        <f t="shared" si="5"/>
        <v/>
      </c>
    </row>
    <row r="336" ht="15.75" customHeight="1">
      <c r="A336" s="25" t="s">
        <v>26</v>
      </c>
      <c r="B336" s="26">
        <f t="shared" si="6"/>
        <v>45989</v>
      </c>
      <c r="C336" s="27">
        <v>12.0</v>
      </c>
      <c r="D336" s="27" t="s">
        <v>31</v>
      </c>
      <c r="E336" s="28"/>
      <c r="F336" s="20"/>
      <c r="H336" s="21"/>
      <c r="J336" s="21"/>
      <c r="L336" s="21"/>
      <c r="N336" s="21"/>
      <c r="P336" s="21"/>
      <c r="Q336" s="22"/>
      <c r="R336" s="20"/>
      <c r="T336" s="21"/>
      <c r="V336" s="21"/>
      <c r="X336" s="21"/>
      <c r="Z336" s="21"/>
      <c r="AB336" s="21"/>
      <c r="AC336" s="22"/>
      <c r="AD336" s="29">
        <f t="shared" si="1"/>
        <v>0</v>
      </c>
      <c r="AE336" s="27">
        <f t="shared" si="2"/>
        <v>0</v>
      </c>
      <c r="AF336" s="27">
        <f t="shared" si="3"/>
        <v>0</v>
      </c>
      <c r="AG336" s="27">
        <f t="shared" si="4"/>
        <v>0</v>
      </c>
      <c r="AH336" s="24" t="str">
        <f t="shared" si="5"/>
        <v/>
      </c>
    </row>
    <row r="337" ht="15.75" customHeight="1">
      <c r="A337" s="25" t="s">
        <v>27</v>
      </c>
      <c r="B337" s="26">
        <f t="shared" si="6"/>
        <v>45990</v>
      </c>
      <c r="C337" s="27">
        <v>12.0</v>
      </c>
      <c r="D337" s="27" t="s">
        <v>31</v>
      </c>
      <c r="E337" s="28"/>
      <c r="F337" s="20"/>
      <c r="H337" s="21"/>
      <c r="J337" s="21"/>
      <c r="L337" s="21"/>
      <c r="N337" s="21"/>
      <c r="P337" s="21"/>
      <c r="Q337" s="22"/>
      <c r="R337" s="20"/>
      <c r="T337" s="21"/>
      <c r="V337" s="21"/>
      <c r="X337" s="21"/>
      <c r="Z337" s="21"/>
      <c r="AB337" s="21"/>
      <c r="AC337" s="22"/>
      <c r="AD337" s="29">
        <f t="shared" si="1"/>
        <v>0</v>
      </c>
      <c r="AE337" s="27">
        <f t="shared" si="2"/>
        <v>0</v>
      </c>
      <c r="AF337" s="27">
        <f t="shared" si="3"/>
        <v>0</v>
      </c>
      <c r="AG337" s="27">
        <f t="shared" si="4"/>
        <v>0</v>
      </c>
      <c r="AH337" s="24" t="str">
        <f t="shared" si="5"/>
        <v/>
      </c>
    </row>
    <row r="338" ht="15.75" customHeight="1">
      <c r="A338" s="30" t="s">
        <v>28</v>
      </c>
      <c r="B338" s="31">
        <f t="shared" si="6"/>
        <v>45991</v>
      </c>
      <c r="C338" s="32">
        <v>12.0</v>
      </c>
      <c r="D338" s="32" t="s">
        <v>31</v>
      </c>
      <c r="E338" s="33"/>
      <c r="F338" s="34"/>
      <c r="G338" s="35"/>
      <c r="H338" s="36"/>
      <c r="I338" s="35"/>
      <c r="J338" s="36"/>
      <c r="K338" s="35"/>
      <c r="L338" s="36"/>
      <c r="M338" s="35"/>
      <c r="N338" s="36"/>
      <c r="O338" s="35"/>
      <c r="P338" s="36"/>
      <c r="Q338" s="37"/>
      <c r="R338" s="34"/>
      <c r="S338" s="35"/>
      <c r="T338" s="36"/>
      <c r="U338" s="35"/>
      <c r="V338" s="36"/>
      <c r="W338" s="35"/>
      <c r="X338" s="36"/>
      <c r="Y338" s="35"/>
      <c r="Z338" s="36"/>
      <c r="AA338" s="35"/>
      <c r="AB338" s="36"/>
      <c r="AC338" s="37"/>
      <c r="AD338" s="38">
        <f t="shared" si="1"/>
        <v>0</v>
      </c>
      <c r="AE338" s="32">
        <f t="shared" si="2"/>
        <v>0</v>
      </c>
      <c r="AF338" s="32">
        <f t="shared" si="3"/>
        <v>0</v>
      </c>
      <c r="AG338" s="32">
        <f t="shared" si="4"/>
        <v>0</v>
      </c>
      <c r="AH338" s="39" t="str">
        <f t="shared" si="5"/>
        <v/>
      </c>
    </row>
    <row r="339" ht="15.75" customHeight="1">
      <c r="A339" s="16" t="s">
        <v>21</v>
      </c>
      <c r="B339" s="40">
        <f t="shared" si="6"/>
        <v>45992</v>
      </c>
      <c r="C339" s="18">
        <v>13.0</v>
      </c>
      <c r="D339" s="18" t="s">
        <v>29</v>
      </c>
      <c r="E339" s="19"/>
      <c r="F339" s="20"/>
      <c r="H339" s="21"/>
      <c r="J339" s="21"/>
      <c r="L339" s="21"/>
      <c r="N339" s="21"/>
      <c r="P339" s="21"/>
      <c r="Q339" s="22"/>
      <c r="R339" s="20"/>
      <c r="T339" s="21"/>
      <c r="V339" s="21"/>
      <c r="X339" s="21"/>
      <c r="Z339" s="21"/>
      <c r="AB339" s="21"/>
      <c r="AC339" s="22"/>
      <c r="AD339" s="23">
        <f t="shared" si="1"/>
        <v>0</v>
      </c>
      <c r="AE339" s="18">
        <f t="shared" si="2"/>
        <v>0</v>
      </c>
      <c r="AF339" s="18">
        <f t="shared" si="3"/>
        <v>0</v>
      </c>
      <c r="AG339" s="18">
        <f t="shared" si="4"/>
        <v>0</v>
      </c>
      <c r="AH339" s="41" t="str">
        <f t="shared" si="5"/>
        <v/>
      </c>
    </row>
    <row r="340" ht="15.75" customHeight="1">
      <c r="A340" s="25" t="s">
        <v>23</v>
      </c>
      <c r="B340" s="26">
        <f t="shared" si="6"/>
        <v>45993</v>
      </c>
      <c r="C340" s="27">
        <v>13.0</v>
      </c>
      <c r="D340" s="27" t="s">
        <v>29</v>
      </c>
      <c r="E340" s="28"/>
      <c r="F340" s="20"/>
      <c r="H340" s="21"/>
      <c r="J340" s="21"/>
      <c r="L340" s="21"/>
      <c r="N340" s="21"/>
      <c r="P340" s="21"/>
      <c r="Q340" s="22"/>
      <c r="R340" s="20"/>
      <c r="T340" s="21"/>
      <c r="V340" s="21"/>
      <c r="X340" s="21"/>
      <c r="Z340" s="21"/>
      <c r="AB340" s="21"/>
      <c r="AC340" s="22"/>
      <c r="AD340" s="29">
        <f t="shared" si="1"/>
        <v>0</v>
      </c>
      <c r="AE340" s="27">
        <f t="shared" si="2"/>
        <v>0</v>
      </c>
      <c r="AF340" s="27">
        <f t="shared" si="3"/>
        <v>0</v>
      </c>
      <c r="AG340" s="27">
        <f t="shared" si="4"/>
        <v>0</v>
      </c>
      <c r="AH340" s="24" t="str">
        <f t="shared" si="5"/>
        <v/>
      </c>
    </row>
    <row r="341" ht="15.75" customHeight="1">
      <c r="A341" s="25" t="s">
        <v>24</v>
      </c>
      <c r="B341" s="26">
        <f t="shared" si="6"/>
        <v>45994</v>
      </c>
      <c r="C341" s="27">
        <v>13.0</v>
      </c>
      <c r="D341" s="27" t="s">
        <v>29</v>
      </c>
      <c r="E341" s="28"/>
      <c r="F341" s="20"/>
      <c r="H341" s="21"/>
      <c r="J341" s="21"/>
      <c r="L341" s="21"/>
      <c r="N341" s="21"/>
      <c r="P341" s="21"/>
      <c r="Q341" s="22"/>
      <c r="R341" s="20"/>
      <c r="T341" s="21"/>
      <c r="V341" s="21"/>
      <c r="X341" s="21"/>
      <c r="Z341" s="21"/>
      <c r="AB341" s="21"/>
      <c r="AC341" s="22"/>
      <c r="AD341" s="29">
        <f t="shared" si="1"/>
        <v>0</v>
      </c>
      <c r="AE341" s="27">
        <f t="shared" si="2"/>
        <v>0</v>
      </c>
      <c r="AF341" s="27">
        <f t="shared" si="3"/>
        <v>0</v>
      </c>
      <c r="AG341" s="27">
        <f t="shared" si="4"/>
        <v>0</v>
      </c>
      <c r="AH341" s="24" t="str">
        <f t="shared" si="5"/>
        <v/>
      </c>
    </row>
    <row r="342" ht="15.75" customHeight="1">
      <c r="A342" s="25" t="s">
        <v>25</v>
      </c>
      <c r="B342" s="26">
        <f t="shared" si="6"/>
        <v>45995</v>
      </c>
      <c r="C342" s="27">
        <v>13.0</v>
      </c>
      <c r="D342" s="27" t="s">
        <v>29</v>
      </c>
      <c r="E342" s="28"/>
      <c r="F342" s="20"/>
      <c r="H342" s="21"/>
      <c r="J342" s="21"/>
      <c r="L342" s="21"/>
      <c r="N342" s="21"/>
      <c r="P342" s="21"/>
      <c r="Q342" s="22"/>
      <c r="R342" s="20"/>
      <c r="T342" s="21"/>
      <c r="V342" s="21"/>
      <c r="X342" s="21"/>
      <c r="Z342" s="21"/>
      <c r="AB342" s="21"/>
      <c r="AC342" s="22"/>
      <c r="AD342" s="29">
        <f t="shared" si="1"/>
        <v>0</v>
      </c>
      <c r="AE342" s="27">
        <f t="shared" si="2"/>
        <v>0</v>
      </c>
      <c r="AF342" s="27">
        <f t="shared" si="3"/>
        <v>0</v>
      </c>
      <c r="AG342" s="27">
        <f t="shared" si="4"/>
        <v>0</v>
      </c>
      <c r="AH342" s="24" t="str">
        <f t="shared" si="5"/>
        <v/>
      </c>
    </row>
    <row r="343" ht="15.75" customHeight="1">
      <c r="A343" s="25" t="s">
        <v>26</v>
      </c>
      <c r="B343" s="26">
        <f t="shared" si="6"/>
        <v>45996</v>
      </c>
      <c r="C343" s="27">
        <v>13.0</v>
      </c>
      <c r="D343" s="27" t="s">
        <v>29</v>
      </c>
      <c r="E343" s="28"/>
      <c r="F343" s="20"/>
      <c r="H343" s="21"/>
      <c r="J343" s="21"/>
      <c r="L343" s="21"/>
      <c r="N343" s="21"/>
      <c r="P343" s="21"/>
      <c r="Q343" s="22"/>
      <c r="R343" s="20"/>
      <c r="T343" s="21"/>
      <c r="V343" s="21"/>
      <c r="X343" s="21"/>
      <c r="Z343" s="21"/>
      <c r="AB343" s="21"/>
      <c r="AC343" s="22"/>
      <c r="AD343" s="29">
        <f t="shared" si="1"/>
        <v>0</v>
      </c>
      <c r="AE343" s="27">
        <f t="shared" si="2"/>
        <v>0</v>
      </c>
      <c r="AF343" s="27">
        <f t="shared" si="3"/>
        <v>0</v>
      </c>
      <c r="AG343" s="27">
        <f t="shared" si="4"/>
        <v>0</v>
      </c>
      <c r="AH343" s="24" t="str">
        <f t="shared" si="5"/>
        <v/>
      </c>
    </row>
    <row r="344" ht="15.75" customHeight="1">
      <c r="A344" s="25" t="s">
        <v>27</v>
      </c>
      <c r="B344" s="26">
        <f t="shared" si="6"/>
        <v>45997</v>
      </c>
      <c r="C344" s="27">
        <v>13.0</v>
      </c>
      <c r="D344" s="27" t="s">
        <v>29</v>
      </c>
      <c r="E344" s="28"/>
      <c r="F344" s="20"/>
      <c r="H344" s="21"/>
      <c r="J344" s="21"/>
      <c r="L344" s="21"/>
      <c r="N344" s="21"/>
      <c r="P344" s="21"/>
      <c r="Q344" s="22"/>
      <c r="R344" s="20"/>
      <c r="T344" s="21"/>
      <c r="V344" s="21"/>
      <c r="X344" s="21"/>
      <c r="Z344" s="21"/>
      <c r="AB344" s="21"/>
      <c r="AC344" s="22"/>
      <c r="AD344" s="29">
        <f t="shared" si="1"/>
        <v>0</v>
      </c>
      <c r="AE344" s="27">
        <f t="shared" si="2"/>
        <v>0</v>
      </c>
      <c r="AF344" s="27">
        <f t="shared" si="3"/>
        <v>0</v>
      </c>
      <c r="AG344" s="27">
        <f t="shared" si="4"/>
        <v>0</v>
      </c>
      <c r="AH344" s="24" t="str">
        <f t="shared" si="5"/>
        <v/>
      </c>
    </row>
    <row r="345" ht="15.75" customHeight="1">
      <c r="A345" s="30" t="s">
        <v>28</v>
      </c>
      <c r="B345" s="31">
        <f t="shared" si="6"/>
        <v>45998</v>
      </c>
      <c r="C345" s="32">
        <v>13.0</v>
      </c>
      <c r="D345" s="32" t="s">
        <v>29</v>
      </c>
      <c r="E345" s="33"/>
      <c r="F345" s="34"/>
      <c r="G345" s="35"/>
      <c r="H345" s="36"/>
      <c r="I345" s="35"/>
      <c r="J345" s="36"/>
      <c r="K345" s="35"/>
      <c r="L345" s="36"/>
      <c r="M345" s="35"/>
      <c r="N345" s="36"/>
      <c r="O345" s="35"/>
      <c r="P345" s="36"/>
      <c r="Q345" s="37"/>
      <c r="R345" s="34"/>
      <c r="S345" s="35"/>
      <c r="T345" s="36"/>
      <c r="U345" s="35"/>
      <c r="V345" s="36"/>
      <c r="W345" s="35"/>
      <c r="X345" s="36"/>
      <c r="Y345" s="35"/>
      <c r="Z345" s="36"/>
      <c r="AA345" s="35"/>
      <c r="AB345" s="36"/>
      <c r="AC345" s="37"/>
      <c r="AD345" s="38">
        <f t="shared" si="1"/>
        <v>0</v>
      </c>
      <c r="AE345" s="32">
        <f t="shared" si="2"/>
        <v>0</v>
      </c>
      <c r="AF345" s="32">
        <f t="shared" si="3"/>
        <v>0</v>
      </c>
      <c r="AG345" s="32">
        <f t="shared" si="4"/>
        <v>0</v>
      </c>
      <c r="AH345" s="39" t="str">
        <f t="shared" si="5"/>
        <v/>
      </c>
    </row>
    <row r="346" ht="15.75" customHeight="1">
      <c r="A346" s="16" t="s">
        <v>21</v>
      </c>
      <c r="B346" s="40">
        <f t="shared" si="6"/>
        <v>45999</v>
      </c>
      <c r="C346" s="18">
        <v>13.0</v>
      </c>
      <c r="D346" s="18" t="s">
        <v>30</v>
      </c>
      <c r="E346" s="19"/>
      <c r="F346" s="20"/>
      <c r="H346" s="21"/>
      <c r="J346" s="21"/>
      <c r="L346" s="21"/>
      <c r="N346" s="21"/>
      <c r="P346" s="21"/>
      <c r="Q346" s="22"/>
      <c r="R346" s="20"/>
      <c r="T346" s="21"/>
      <c r="V346" s="21"/>
      <c r="X346" s="21"/>
      <c r="Z346" s="21"/>
      <c r="AB346" s="21"/>
      <c r="AC346" s="22"/>
      <c r="AD346" s="23">
        <f t="shared" si="1"/>
        <v>0</v>
      </c>
      <c r="AE346" s="18">
        <f t="shared" si="2"/>
        <v>0</v>
      </c>
      <c r="AF346" s="18">
        <f t="shared" si="3"/>
        <v>0</v>
      </c>
      <c r="AG346" s="18">
        <f t="shared" si="4"/>
        <v>0</v>
      </c>
      <c r="AH346" s="41" t="str">
        <f t="shared" si="5"/>
        <v/>
      </c>
    </row>
    <row r="347" ht="15.75" customHeight="1">
      <c r="A347" s="25" t="s">
        <v>23</v>
      </c>
      <c r="B347" s="26">
        <f t="shared" si="6"/>
        <v>46000</v>
      </c>
      <c r="C347" s="27">
        <v>13.0</v>
      </c>
      <c r="D347" s="27" t="s">
        <v>30</v>
      </c>
      <c r="E347" s="28"/>
      <c r="F347" s="20"/>
      <c r="H347" s="21"/>
      <c r="J347" s="21"/>
      <c r="L347" s="21"/>
      <c r="N347" s="21"/>
      <c r="P347" s="21"/>
      <c r="Q347" s="22"/>
      <c r="R347" s="20"/>
      <c r="T347" s="21"/>
      <c r="V347" s="21"/>
      <c r="X347" s="21"/>
      <c r="Z347" s="21"/>
      <c r="AB347" s="21"/>
      <c r="AC347" s="22"/>
      <c r="AD347" s="29">
        <f t="shared" si="1"/>
        <v>0</v>
      </c>
      <c r="AE347" s="27">
        <f t="shared" si="2"/>
        <v>0</v>
      </c>
      <c r="AF347" s="27">
        <f t="shared" si="3"/>
        <v>0</v>
      </c>
      <c r="AG347" s="27">
        <f t="shared" si="4"/>
        <v>0</v>
      </c>
      <c r="AH347" s="24" t="str">
        <f t="shared" si="5"/>
        <v/>
      </c>
    </row>
    <row r="348" ht="15.75" customHeight="1">
      <c r="A348" s="25" t="s">
        <v>24</v>
      </c>
      <c r="B348" s="26">
        <f t="shared" si="6"/>
        <v>46001</v>
      </c>
      <c r="C348" s="27">
        <v>13.0</v>
      </c>
      <c r="D348" s="27" t="s">
        <v>30</v>
      </c>
      <c r="E348" s="28"/>
      <c r="F348" s="20"/>
      <c r="H348" s="21"/>
      <c r="J348" s="21"/>
      <c r="L348" s="21"/>
      <c r="N348" s="21"/>
      <c r="P348" s="21"/>
      <c r="Q348" s="22"/>
      <c r="R348" s="20"/>
      <c r="T348" s="21"/>
      <c r="V348" s="21"/>
      <c r="X348" s="21"/>
      <c r="Z348" s="21"/>
      <c r="AB348" s="21"/>
      <c r="AC348" s="22"/>
      <c r="AD348" s="29">
        <f t="shared" si="1"/>
        <v>0</v>
      </c>
      <c r="AE348" s="27">
        <f t="shared" si="2"/>
        <v>0</v>
      </c>
      <c r="AF348" s="27">
        <f t="shared" si="3"/>
        <v>0</v>
      </c>
      <c r="AG348" s="27">
        <f t="shared" si="4"/>
        <v>0</v>
      </c>
      <c r="AH348" s="24" t="str">
        <f t="shared" si="5"/>
        <v/>
      </c>
    </row>
    <row r="349" ht="15.75" customHeight="1">
      <c r="A349" s="25" t="s">
        <v>25</v>
      </c>
      <c r="B349" s="26">
        <f t="shared" si="6"/>
        <v>46002</v>
      </c>
      <c r="C349" s="27">
        <v>13.0</v>
      </c>
      <c r="D349" s="27" t="s">
        <v>30</v>
      </c>
      <c r="E349" s="28"/>
      <c r="F349" s="20"/>
      <c r="H349" s="21"/>
      <c r="J349" s="21"/>
      <c r="L349" s="21"/>
      <c r="N349" s="21"/>
      <c r="P349" s="21"/>
      <c r="Q349" s="22"/>
      <c r="R349" s="20"/>
      <c r="T349" s="21"/>
      <c r="V349" s="21"/>
      <c r="X349" s="21"/>
      <c r="Z349" s="21"/>
      <c r="AB349" s="21"/>
      <c r="AC349" s="22"/>
      <c r="AD349" s="29">
        <f t="shared" si="1"/>
        <v>0</v>
      </c>
      <c r="AE349" s="27">
        <f t="shared" si="2"/>
        <v>0</v>
      </c>
      <c r="AF349" s="27">
        <f t="shared" si="3"/>
        <v>0</v>
      </c>
      <c r="AG349" s="27">
        <f t="shared" si="4"/>
        <v>0</v>
      </c>
      <c r="AH349" s="24" t="str">
        <f t="shared" si="5"/>
        <v/>
      </c>
    </row>
    <row r="350" ht="15.75" customHeight="1">
      <c r="A350" s="25" t="s">
        <v>26</v>
      </c>
      <c r="B350" s="26">
        <f t="shared" si="6"/>
        <v>46003</v>
      </c>
      <c r="C350" s="27">
        <v>13.0</v>
      </c>
      <c r="D350" s="27" t="s">
        <v>30</v>
      </c>
      <c r="E350" s="28"/>
      <c r="F350" s="20"/>
      <c r="H350" s="21"/>
      <c r="J350" s="21"/>
      <c r="L350" s="21"/>
      <c r="N350" s="21"/>
      <c r="P350" s="21"/>
      <c r="Q350" s="22"/>
      <c r="R350" s="20"/>
      <c r="T350" s="21"/>
      <c r="V350" s="21"/>
      <c r="X350" s="21"/>
      <c r="Z350" s="21"/>
      <c r="AB350" s="21"/>
      <c r="AC350" s="22"/>
      <c r="AD350" s="29">
        <f t="shared" si="1"/>
        <v>0</v>
      </c>
      <c r="AE350" s="27">
        <f t="shared" si="2"/>
        <v>0</v>
      </c>
      <c r="AF350" s="27">
        <f t="shared" si="3"/>
        <v>0</v>
      </c>
      <c r="AG350" s="27">
        <f t="shared" si="4"/>
        <v>0</v>
      </c>
      <c r="AH350" s="24" t="str">
        <f t="shared" si="5"/>
        <v/>
      </c>
    </row>
    <row r="351" ht="15.75" customHeight="1">
      <c r="A351" s="25" t="s">
        <v>27</v>
      </c>
      <c r="B351" s="26">
        <f t="shared" si="6"/>
        <v>46004</v>
      </c>
      <c r="C351" s="27">
        <v>13.0</v>
      </c>
      <c r="D351" s="27" t="s">
        <v>30</v>
      </c>
      <c r="E351" s="28"/>
      <c r="F351" s="20"/>
      <c r="H351" s="21"/>
      <c r="J351" s="21"/>
      <c r="L351" s="21"/>
      <c r="N351" s="21"/>
      <c r="P351" s="21"/>
      <c r="Q351" s="22"/>
      <c r="R351" s="20"/>
      <c r="T351" s="21"/>
      <c r="V351" s="21"/>
      <c r="X351" s="21"/>
      <c r="Z351" s="21"/>
      <c r="AB351" s="21"/>
      <c r="AC351" s="22"/>
      <c r="AD351" s="29">
        <f t="shared" si="1"/>
        <v>0</v>
      </c>
      <c r="AE351" s="27">
        <f t="shared" si="2"/>
        <v>0</v>
      </c>
      <c r="AF351" s="27">
        <f t="shared" si="3"/>
        <v>0</v>
      </c>
      <c r="AG351" s="27">
        <f t="shared" si="4"/>
        <v>0</v>
      </c>
      <c r="AH351" s="24" t="str">
        <f t="shared" si="5"/>
        <v/>
      </c>
    </row>
    <row r="352" ht="15.75" customHeight="1">
      <c r="A352" s="30" t="s">
        <v>28</v>
      </c>
      <c r="B352" s="31">
        <f t="shared" si="6"/>
        <v>46005</v>
      </c>
      <c r="C352" s="32">
        <v>13.0</v>
      </c>
      <c r="D352" s="32" t="s">
        <v>30</v>
      </c>
      <c r="E352" s="33"/>
      <c r="F352" s="34"/>
      <c r="G352" s="35"/>
      <c r="H352" s="36"/>
      <c r="I352" s="35"/>
      <c r="J352" s="36"/>
      <c r="K352" s="35"/>
      <c r="L352" s="36"/>
      <c r="M352" s="35"/>
      <c r="N352" s="36"/>
      <c r="O352" s="35"/>
      <c r="P352" s="36"/>
      <c r="Q352" s="37"/>
      <c r="R352" s="34"/>
      <c r="S352" s="35"/>
      <c r="T352" s="36"/>
      <c r="U352" s="35"/>
      <c r="V352" s="36"/>
      <c r="W352" s="35"/>
      <c r="X352" s="36"/>
      <c r="Y352" s="35"/>
      <c r="Z352" s="36"/>
      <c r="AA352" s="35"/>
      <c r="AB352" s="36"/>
      <c r="AC352" s="37"/>
      <c r="AD352" s="38">
        <f t="shared" si="1"/>
        <v>0</v>
      </c>
      <c r="AE352" s="32">
        <f t="shared" si="2"/>
        <v>0</v>
      </c>
      <c r="AF352" s="32">
        <f t="shared" si="3"/>
        <v>0</v>
      </c>
      <c r="AG352" s="32">
        <f t="shared" si="4"/>
        <v>0</v>
      </c>
      <c r="AH352" s="39" t="str">
        <f t="shared" si="5"/>
        <v/>
      </c>
    </row>
    <row r="353" ht="15.75" customHeight="1">
      <c r="A353" s="16" t="s">
        <v>21</v>
      </c>
      <c r="B353" s="40">
        <f t="shared" si="6"/>
        <v>46006</v>
      </c>
      <c r="C353" s="18">
        <v>13.0</v>
      </c>
      <c r="D353" s="18" t="s">
        <v>31</v>
      </c>
      <c r="E353" s="19"/>
      <c r="F353" s="20"/>
      <c r="H353" s="21"/>
      <c r="J353" s="21"/>
      <c r="L353" s="21"/>
      <c r="N353" s="21"/>
      <c r="P353" s="21"/>
      <c r="Q353" s="22"/>
      <c r="R353" s="20"/>
      <c r="T353" s="21"/>
      <c r="V353" s="21"/>
      <c r="X353" s="21"/>
      <c r="Z353" s="21"/>
      <c r="AB353" s="21"/>
      <c r="AC353" s="22"/>
      <c r="AD353" s="23">
        <f t="shared" si="1"/>
        <v>0</v>
      </c>
      <c r="AE353" s="18">
        <f t="shared" si="2"/>
        <v>0</v>
      </c>
      <c r="AF353" s="18">
        <f t="shared" si="3"/>
        <v>0</v>
      </c>
      <c r="AG353" s="18">
        <f t="shared" si="4"/>
        <v>0</v>
      </c>
      <c r="AH353" s="41" t="str">
        <f t="shared" si="5"/>
        <v/>
      </c>
    </row>
    <row r="354" ht="15.75" customHeight="1">
      <c r="A354" s="25" t="s">
        <v>23</v>
      </c>
      <c r="B354" s="26">
        <f t="shared" si="6"/>
        <v>46007</v>
      </c>
      <c r="C354" s="27">
        <v>13.0</v>
      </c>
      <c r="D354" s="27" t="s">
        <v>31</v>
      </c>
      <c r="E354" s="28"/>
      <c r="F354" s="20"/>
      <c r="H354" s="21"/>
      <c r="J354" s="21"/>
      <c r="L354" s="21"/>
      <c r="N354" s="21"/>
      <c r="P354" s="21"/>
      <c r="Q354" s="22"/>
      <c r="R354" s="20"/>
      <c r="T354" s="21"/>
      <c r="V354" s="21"/>
      <c r="X354" s="21"/>
      <c r="Z354" s="21"/>
      <c r="AB354" s="21"/>
      <c r="AC354" s="22"/>
      <c r="AD354" s="29">
        <f t="shared" si="1"/>
        <v>0</v>
      </c>
      <c r="AE354" s="27">
        <f t="shared" si="2"/>
        <v>0</v>
      </c>
      <c r="AF354" s="27">
        <f t="shared" si="3"/>
        <v>0</v>
      </c>
      <c r="AG354" s="27">
        <f t="shared" si="4"/>
        <v>0</v>
      </c>
      <c r="AH354" s="24" t="str">
        <f t="shared" si="5"/>
        <v/>
      </c>
    </row>
    <row r="355" ht="15.75" customHeight="1">
      <c r="A355" s="25" t="s">
        <v>24</v>
      </c>
      <c r="B355" s="26">
        <f t="shared" si="6"/>
        <v>46008</v>
      </c>
      <c r="C355" s="27">
        <v>13.0</v>
      </c>
      <c r="D355" s="27" t="s">
        <v>31</v>
      </c>
      <c r="E355" s="28"/>
      <c r="F355" s="20"/>
      <c r="H355" s="21"/>
      <c r="J355" s="21"/>
      <c r="L355" s="21"/>
      <c r="N355" s="21"/>
      <c r="P355" s="21"/>
      <c r="Q355" s="22"/>
      <c r="R355" s="20"/>
      <c r="T355" s="21"/>
      <c r="V355" s="21"/>
      <c r="X355" s="21"/>
      <c r="Z355" s="21"/>
      <c r="AB355" s="21"/>
      <c r="AC355" s="22"/>
      <c r="AD355" s="29">
        <f t="shared" si="1"/>
        <v>0</v>
      </c>
      <c r="AE355" s="27">
        <f t="shared" si="2"/>
        <v>0</v>
      </c>
      <c r="AF355" s="27">
        <f t="shared" si="3"/>
        <v>0</v>
      </c>
      <c r="AG355" s="27">
        <f t="shared" si="4"/>
        <v>0</v>
      </c>
      <c r="AH355" s="24" t="str">
        <f t="shared" si="5"/>
        <v/>
      </c>
    </row>
    <row r="356" ht="15.75" customHeight="1">
      <c r="A356" s="25" t="s">
        <v>25</v>
      </c>
      <c r="B356" s="26">
        <f t="shared" si="6"/>
        <v>46009</v>
      </c>
      <c r="C356" s="27">
        <v>13.0</v>
      </c>
      <c r="D356" s="27" t="s">
        <v>31</v>
      </c>
      <c r="E356" s="28"/>
      <c r="F356" s="20"/>
      <c r="H356" s="21"/>
      <c r="J356" s="21"/>
      <c r="L356" s="21"/>
      <c r="N356" s="21"/>
      <c r="P356" s="21"/>
      <c r="Q356" s="22"/>
      <c r="R356" s="20"/>
      <c r="T356" s="21"/>
      <c r="V356" s="21"/>
      <c r="X356" s="21"/>
      <c r="Z356" s="21"/>
      <c r="AB356" s="21"/>
      <c r="AC356" s="22"/>
      <c r="AD356" s="29">
        <f t="shared" si="1"/>
        <v>0</v>
      </c>
      <c r="AE356" s="27">
        <f t="shared" si="2"/>
        <v>0</v>
      </c>
      <c r="AF356" s="27">
        <f t="shared" si="3"/>
        <v>0</v>
      </c>
      <c r="AG356" s="27">
        <f t="shared" si="4"/>
        <v>0</v>
      </c>
      <c r="AH356" s="24" t="str">
        <f t="shared" si="5"/>
        <v/>
      </c>
    </row>
    <row r="357" ht="15.75" customHeight="1">
      <c r="A357" s="25" t="s">
        <v>26</v>
      </c>
      <c r="B357" s="26">
        <f t="shared" si="6"/>
        <v>46010</v>
      </c>
      <c r="C357" s="27">
        <v>13.0</v>
      </c>
      <c r="D357" s="27" t="s">
        <v>31</v>
      </c>
      <c r="E357" s="28"/>
      <c r="F357" s="20"/>
      <c r="H357" s="21"/>
      <c r="J357" s="21"/>
      <c r="L357" s="21"/>
      <c r="N357" s="21"/>
      <c r="P357" s="21"/>
      <c r="Q357" s="22"/>
      <c r="R357" s="20"/>
      <c r="T357" s="21"/>
      <c r="V357" s="21"/>
      <c r="X357" s="21"/>
      <c r="Z357" s="21"/>
      <c r="AB357" s="21"/>
      <c r="AC357" s="22"/>
      <c r="AD357" s="29">
        <f t="shared" si="1"/>
        <v>0</v>
      </c>
      <c r="AE357" s="27">
        <f t="shared" si="2"/>
        <v>0</v>
      </c>
      <c r="AF357" s="27">
        <f t="shared" si="3"/>
        <v>0</v>
      </c>
      <c r="AG357" s="27">
        <f t="shared" si="4"/>
        <v>0</v>
      </c>
      <c r="AH357" s="24" t="str">
        <f t="shared" si="5"/>
        <v/>
      </c>
    </row>
    <row r="358" ht="15.75" customHeight="1">
      <c r="A358" s="25" t="s">
        <v>27</v>
      </c>
      <c r="B358" s="26">
        <f t="shared" si="6"/>
        <v>46011</v>
      </c>
      <c r="C358" s="27">
        <v>13.0</v>
      </c>
      <c r="D358" s="27" t="s">
        <v>31</v>
      </c>
      <c r="E358" s="28"/>
      <c r="F358" s="20"/>
      <c r="H358" s="21"/>
      <c r="J358" s="21"/>
      <c r="L358" s="21"/>
      <c r="N358" s="21"/>
      <c r="P358" s="21"/>
      <c r="Q358" s="22"/>
      <c r="R358" s="20"/>
      <c r="T358" s="21"/>
      <c r="V358" s="21"/>
      <c r="X358" s="21"/>
      <c r="Z358" s="21"/>
      <c r="AB358" s="21"/>
      <c r="AC358" s="22"/>
      <c r="AD358" s="29">
        <f t="shared" si="1"/>
        <v>0</v>
      </c>
      <c r="AE358" s="27">
        <f t="shared" si="2"/>
        <v>0</v>
      </c>
      <c r="AF358" s="27">
        <f t="shared" si="3"/>
        <v>0</v>
      </c>
      <c r="AG358" s="27">
        <f t="shared" si="4"/>
        <v>0</v>
      </c>
      <c r="AH358" s="24" t="str">
        <f t="shared" si="5"/>
        <v/>
      </c>
    </row>
    <row r="359" ht="15.75" customHeight="1">
      <c r="A359" s="30" t="s">
        <v>28</v>
      </c>
      <c r="B359" s="31">
        <f t="shared" si="6"/>
        <v>46012</v>
      </c>
      <c r="C359" s="32">
        <v>13.0</v>
      </c>
      <c r="D359" s="32" t="s">
        <v>31</v>
      </c>
      <c r="E359" s="33"/>
      <c r="F359" s="34"/>
      <c r="G359" s="35"/>
      <c r="H359" s="36"/>
      <c r="I359" s="35"/>
      <c r="J359" s="36"/>
      <c r="K359" s="35"/>
      <c r="L359" s="36"/>
      <c r="M359" s="35"/>
      <c r="N359" s="36"/>
      <c r="O359" s="35"/>
      <c r="P359" s="36"/>
      <c r="Q359" s="37"/>
      <c r="R359" s="34"/>
      <c r="S359" s="35"/>
      <c r="T359" s="36"/>
      <c r="U359" s="35"/>
      <c r="V359" s="36"/>
      <c r="W359" s="35"/>
      <c r="X359" s="36"/>
      <c r="Y359" s="35"/>
      <c r="Z359" s="36"/>
      <c r="AA359" s="35"/>
      <c r="AB359" s="36"/>
      <c r="AC359" s="37"/>
      <c r="AD359" s="38">
        <f t="shared" si="1"/>
        <v>0</v>
      </c>
      <c r="AE359" s="32">
        <f t="shared" si="2"/>
        <v>0</v>
      </c>
      <c r="AF359" s="32">
        <f t="shared" si="3"/>
        <v>0</v>
      </c>
      <c r="AG359" s="32">
        <f t="shared" si="4"/>
        <v>0</v>
      </c>
      <c r="AH359" s="39" t="str">
        <f t="shared" si="5"/>
        <v/>
      </c>
    </row>
    <row r="360" ht="15.75" customHeight="1">
      <c r="A360" s="175"/>
      <c r="B360" s="176"/>
      <c r="C360" s="177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78"/>
    </row>
    <row r="361" ht="15.75" customHeight="1">
      <c r="A361" s="175"/>
      <c r="B361" s="176"/>
      <c r="C361" s="177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9">
        <f>SUM(AD3:AD359)</f>
        <v>156939.15</v>
      </c>
      <c r="AE361" s="178"/>
      <c r="AF361" s="178"/>
      <c r="AG361" s="180">
        <f>SUM(AG3:AG359)</f>
        <v>5965</v>
      </c>
      <c r="AH361" s="178"/>
    </row>
    <row r="362" ht="15.75" customHeight="1">
      <c r="A362" s="175"/>
      <c r="B362" s="176"/>
      <c r="C362" s="177"/>
      <c r="D362" s="181" t="s">
        <v>36</v>
      </c>
      <c r="E362" s="182">
        <v>0.054</v>
      </c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78"/>
    </row>
    <row r="363" ht="15.75" customHeight="1">
      <c r="A363" s="175"/>
      <c r="B363" s="176"/>
      <c r="C363" s="177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78"/>
    </row>
    <row r="364" ht="15.75" customHeight="1">
      <c r="A364" s="175"/>
      <c r="B364" s="176"/>
      <c r="C364" s="177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78"/>
    </row>
    <row r="365" ht="15.75" customHeight="1">
      <c r="A365" s="175"/>
      <c r="B365" s="176"/>
      <c r="C365" s="177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78"/>
    </row>
    <row r="366" ht="15.75" customHeight="1">
      <c r="A366" s="183"/>
      <c r="B366" s="178"/>
      <c r="C366" s="177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78"/>
    </row>
    <row r="367" ht="15.75" customHeight="1">
      <c r="A367" s="183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78"/>
    </row>
    <row r="368" ht="15.75" customHeight="1">
      <c r="A368" s="183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78"/>
    </row>
    <row r="369" ht="15.75" customHeight="1">
      <c r="A369" s="183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78"/>
    </row>
    <row r="370" ht="15.75" customHeight="1">
      <c r="A370" s="183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78"/>
    </row>
    <row r="371" ht="15.75" customHeight="1">
      <c r="A371" s="183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78"/>
    </row>
    <row r="372" ht="15.75" customHeight="1">
      <c r="A372" s="183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78"/>
    </row>
    <row r="373" ht="15.75" customHeight="1">
      <c r="A373" s="183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78"/>
    </row>
    <row r="374" ht="15.75" customHeight="1">
      <c r="A374" s="183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78"/>
    </row>
    <row r="375" ht="15.75" customHeight="1">
      <c r="A375" s="183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78"/>
    </row>
    <row r="376" ht="15.75" customHeight="1">
      <c r="A376" s="183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78"/>
    </row>
    <row r="377" ht="15.75" customHeight="1">
      <c r="A377" s="183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78"/>
    </row>
    <row r="378" ht="15.75" customHeight="1">
      <c r="A378" s="183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78"/>
    </row>
    <row r="379" ht="15.75" customHeight="1">
      <c r="A379" s="183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78"/>
    </row>
    <row r="380" ht="15.75" customHeight="1">
      <c r="A380" s="183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78"/>
    </row>
    <row r="381" ht="15.75" customHeight="1">
      <c r="A381" s="183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78"/>
    </row>
    <row r="382" ht="15.75" customHeight="1">
      <c r="A382" s="183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78"/>
    </row>
    <row r="383" ht="15.75" customHeight="1">
      <c r="A383" s="183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78"/>
    </row>
    <row r="384" ht="15.75" customHeight="1">
      <c r="A384" s="183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78"/>
    </row>
    <row r="385" ht="15.75" customHeight="1">
      <c r="A385" s="183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78"/>
    </row>
    <row r="386" ht="15.75" customHeight="1">
      <c r="A386" s="183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78"/>
    </row>
    <row r="387" ht="15.75" customHeight="1">
      <c r="A387" s="183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78"/>
    </row>
    <row r="388" ht="15.75" customHeight="1">
      <c r="A388" s="183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78"/>
    </row>
    <row r="389" ht="15.75" customHeight="1">
      <c r="A389" s="183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78"/>
    </row>
    <row r="390" ht="15.75" customHeight="1">
      <c r="A390" s="183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</row>
    <row r="391" ht="15.75" customHeight="1">
      <c r="A391" s="183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78"/>
    </row>
    <row r="392" ht="15.75" customHeight="1">
      <c r="A392" s="183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78"/>
    </row>
    <row r="393" ht="15.75" customHeight="1">
      <c r="A393" s="183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78"/>
    </row>
    <row r="394" ht="15.75" customHeight="1">
      <c r="A394" s="183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78"/>
    </row>
    <row r="395" ht="15.75" customHeight="1">
      <c r="A395" s="183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78"/>
    </row>
    <row r="396" ht="15.75" customHeight="1">
      <c r="A396" s="183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78"/>
    </row>
    <row r="397" ht="15.75" customHeight="1">
      <c r="A397" s="183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78"/>
    </row>
    <row r="398" ht="15.75" customHeight="1">
      <c r="A398" s="183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78"/>
    </row>
    <row r="399" ht="15.75" customHeight="1">
      <c r="A399" s="183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</row>
    <row r="400" ht="15.75" customHeight="1">
      <c r="A400" s="183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78"/>
    </row>
    <row r="401" ht="15.75" customHeight="1">
      <c r="A401" s="183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78"/>
    </row>
    <row r="402" ht="15.75" customHeight="1">
      <c r="A402" s="183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78"/>
    </row>
    <row r="403" ht="15.75" customHeight="1">
      <c r="A403" s="183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78"/>
    </row>
    <row r="404" ht="15.75" customHeight="1">
      <c r="A404" s="183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78"/>
    </row>
    <row r="405" ht="15.75" customHeight="1">
      <c r="A405" s="183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78"/>
    </row>
    <row r="406" ht="15.75" customHeight="1">
      <c r="A406" s="183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78"/>
    </row>
    <row r="407" ht="15.75" customHeight="1">
      <c r="A407" s="183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78"/>
    </row>
    <row r="408" ht="15.75" customHeight="1">
      <c r="A408" s="183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78"/>
    </row>
    <row r="409" ht="15.75" customHeight="1">
      <c r="A409" s="183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78"/>
    </row>
    <row r="410" ht="15.75" customHeight="1">
      <c r="A410" s="183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78"/>
    </row>
    <row r="411" ht="15.75" customHeight="1">
      <c r="A411" s="183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78"/>
    </row>
    <row r="412" ht="15.75" customHeight="1">
      <c r="A412" s="183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78"/>
    </row>
    <row r="413" ht="15.75" customHeight="1">
      <c r="A413" s="183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78"/>
    </row>
    <row r="414" ht="15.75" customHeight="1">
      <c r="A414" s="183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78"/>
    </row>
    <row r="415" ht="15.75" customHeight="1">
      <c r="A415" s="183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78"/>
    </row>
    <row r="416" ht="15.75" customHeight="1">
      <c r="A416" s="183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78"/>
    </row>
    <row r="417" ht="15.75" customHeight="1">
      <c r="A417" s="183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78"/>
    </row>
    <row r="418" ht="15.75" customHeight="1">
      <c r="A418" s="183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78"/>
    </row>
    <row r="419" ht="15.75" customHeight="1">
      <c r="A419" s="183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78"/>
    </row>
    <row r="420" ht="15.75" customHeight="1">
      <c r="A420" s="183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78"/>
    </row>
    <row r="421" ht="15.75" customHeight="1">
      <c r="A421" s="183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78"/>
    </row>
    <row r="422" ht="15.75" customHeight="1">
      <c r="A422" s="183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78"/>
    </row>
    <row r="423" ht="15.75" customHeight="1">
      <c r="A423" s="183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78"/>
    </row>
    <row r="424" ht="15.75" customHeight="1">
      <c r="A424" s="183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78"/>
    </row>
    <row r="425" ht="15.75" customHeight="1">
      <c r="A425" s="183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78"/>
    </row>
    <row r="426" ht="15.75" customHeight="1">
      <c r="A426" s="183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78"/>
    </row>
    <row r="427" ht="15.75" customHeight="1">
      <c r="A427" s="183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78"/>
    </row>
    <row r="428" ht="15.75" customHeight="1">
      <c r="A428" s="183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78"/>
    </row>
    <row r="429" ht="15.75" customHeight="1">
      <c r="A429" s="183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78"/>
    </row>
    <row r="430" ht="15.75" customHeight="1">
      <c r="A430" s="183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78"/>
    </row>
    <row r="431" ht="15.75" customHeight="1">
      <c r="A431" s="183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78"/>
    </row>
    <row r="432" ht="15.75" customHeight="1">
      <c r="A432" s="183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78"/>
    </row>
    <row r="433" ht="15.75" customHeight="1">
      <c r="A433" s="183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78"/>
    </row>
    <row r="434" ht="15.75" customHeight="1">
      <c r="A434" s="183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78"/>
    </row>
    <row r="435" ht="15.75" customHeight="1">
      <c r="A435" s="183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78"/>
    </row>
    <row r="436" ht="15.75" customHeight="1">
      <c r="A436" s="183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78"/>
    </row>
    <row r="437" ht="15.75" customHeight="1">
      <c r="A437" s="183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78"/>
    </row>
    <row r="438" ht="15.75" customHeight="1">
      <c r="A438" s="183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78"/>
    </row>
    <row r="439" ht="15.75" customHeight="1">
      <c r="A439" s="183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78"/>
    </row>
    <row r="440" ht="15.75" customHeight="1">
      <c r="A440" s="183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78"/>
    </row>
    <row r="441" ht="15.75" customHeight="1">
      <c r="A441" s="183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78"/>
    </row>
    <row r="442" ht="15.75" customHeight="1">
      <c r="A442" s="183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78"/>
    </row>
    <row r="443" ht="15.75" customHeight="1">
      <c r="A443" s="183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78"/>
    </row>
    <row r="444" ht="15.75" customHeight="1">
      <c r="A444" s="183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78"/>
    </row>
    <row r="445" ht="15.75" customHeight="1">
      <c r="A445" s="183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78"/>
    </row>
    <row r="446" ht="15.75" customHeight="1">
      <c r="A446" s="183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78"/>
    </row>
    <row r="447" ht="15.75" customHeight="1">
      <c r="A447" s="183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78"/>
    </row>
    <row r="448" ht="15.75" customHeight="1">
      <c r="A448" s="183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78"/>
    </row>
    <row r="449" ht="15.75" customHeight="1">
      <c r="A449" s="183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78"/>
    </row>
    <row r="450" ht="15.75" customHeight="1">
      <c r="A450" s="183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78"/>
    </row>
    <row r="451" ht="15.75" customHeight="1">
      <c r="A451" s="183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78"/>
    </row>
    <row r="452" ht="15.75" customHeight="1">
      <c r="A452" s="183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78"/>
    </row>
    <row r="453" ht="15.75" customHeight="1">
      <c r="A453" s="183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78"/>
    </row>
    <row r="454" ht="15.75" customHeight="1">
      <c r="A454" s="183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78"/>
    </row>
    <row r="455" ht="15.75" customHeight="1">
      <c r="A455" s="183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78"/>
    </row>
    <row r="456" ht="15.75" customHeight="1">
      <c r="A456" s="183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78"/>
    </row>
    <row r="457" ht="15.75" customHeight="1">
      <c r="A457" s="183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78"/>
    </row>
    <row r="458" ht="15.75" customHeight="1">
      <c r="A458" s="183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78"/>
    </row>
    <row r="459" ht="15.75" customHeight="1">
      <c r="A459" s="183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78"/>
    </row>
    <row r="460" ht="15.75" customHeight="1">
      <c r="A460" s="183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78"/>
    </row>
    <row r="461" ht="15.75" customHeight="1">
      <c r="A461" s="183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78"/>
    </row>
    <row r="462" ht="15.75" customHeight="1">
      <c r="A462" s="183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78"/>
    </row>
    <row r="463" ht="15.75" customHeight="1">
      <c r="A463" s="183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78"/>
    </row>
    <row r="464" ht="15.75" customHeight="1">
      <c r="A464" s="183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78"/>
    </row>
    <row r="465" ht="15.75" customHeight="1">
      <c r="A465" s="183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78"/>
    </row>
    <row r="466" ht="15.75" customHeight="1">
      <c r="A466" s="183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78"/>
    </row>
    <row r="467" ht="15.75" customHeight="1">
      <c r="A467" s="183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78"/>
    </row>
    <row r="468" ht="15.75" customHeight="1">
      <c r="A468" s="183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78"/>
    </row>
    <row r="469" ht="15.75" customHeight="1">
      <c r="A469" s="183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78"/>
    </row>
    <row r="470" ht="15.75" customHeight="1">
      <c r="A470" s="183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78"/>
    </row>
    <row r="471" ht="15.75" customHeight="1">
      <c r="A471" s="183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78"/>
    </row>
    <row r="472" ht="15.75" customHeight="1">
      <c r="A472" s="183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78"/>
    </row>
    <row r="473" ht="15.75" customHeight="1">
      <c r="A473" s="183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78"/>
    </row>
    <row r="474" ht="15.75" customHeight="1">
      <c r="A474" s="183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78"/>
    </row>
    <row r="475" ht="15.75" customHeight="1">
      <c r="A475" s="183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78"/>
    </row>
    <row r="476" ht="15.75" customHeight="1">
      <c r="A476" s="183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78"/>
    </row>
    <row r="477" ht="15.75" customHeight="1">
      <c r="A477" s="183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78"/>
    </row>
    <row r="478" ht="15.75" customHeight="1">
      <c r="A478" s="183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78"/>
    </row>
    <row r="479" ht="15.75" customHeight="1">
      <c r="A479" s="183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78"/>
    </row>
    <row r="480" ht="15.75" customHeight="1">
      <c r="A480" s="183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78"/>
    </row>
    <row r="481" ht="15.75" customHeight="1">
      <c r="A481" s="183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78"/>
    </row>
    <row r="482" ht="15.75" customHeight="1">
      <c r="A482" s="183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78"/>
    </row>
    <row r="483" ht="15.75" customHeight="1">
      <c r="A483" s="183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78"/>
    </row>
    <row r="484" ht="15.75" customHeight="1">
      <c r="A484" s="183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78"/>
    </row>
    <row r="485" ht="15.75" customHeight="1">
      <c r="A485" s="183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78"/>
    </row>
    <row r="486" ht="15.75" customHeight="1">
      <c r="A486" s="183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78"/>
    </row>
    <row r="487" ht="15.75" customHeight="1">
      <c r="A487" s="183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78"/>
    </row>
    <row r="488" ht="15.75" customHeight="1">
      <c r="A488" s="183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78"/>
    </row>
    <row r="489" ht="15.75" customHeight="1">
      <c r="A489" s="183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78"/>
    </row>
    <row r="490" ht="15.75" customHeight="1">
      <c r="A490" s="183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78"/>
    </row>
    <row r="491" ht="15.75" customHeight="1">
      <c r="A491" s="183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78"/>
    </row>
    <row r="492" ht="15.75" customHeight="1">
      <c r="A492" s="183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78"/>
    </row>
    <row r="493" ht="15.75" customHeight="1">
      <c r="A493" s="183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78"/>
    </row>
    <row r="494" ht="15.75" customHeight="1">
      <c r="A494" s="183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78"/>
    </row>
    <row r="495" ht="15.75" customHeight="1">
      <c r="A495" s="183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78"/>
    </row>
    <row r="496" ht="15.75" customHeight="1">
      <c r="A496" s="183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78"/>
    </row>
    <row r="497" ht="15.75" customHeight="1">
      <c r="A497" s="183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78"/>
    </row>
    <row r="498" ht="15.75" customHeight="1">
      <c r="A498" s="183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78"/>
    </row>
    <row r="499" ht="15.75" customHeight="1">
      <c r="A499" s="183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</row>
    <row r="500" ht="15.75" customHeight="1">
      <c r="A500" s="183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78"/>
    </row>
    <row r="501" ht="15.75" customHeight="1">
      <c r="A501" s="183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78"/>
    </row>
    <row r="502" ht="15.75" customHeight="1">
      <c r="A502" s="183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78"/>
    </row>
    <row r="503" ht="15.75" customHeight="1">
      <c r="A503" s="183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78"/>
    </row>
    <row r="504" ht="15.75" customHeight="1">
      <c r="A504" s="183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78"/>
    </row>
    <row r="505" ht="15.75" customHeight="1">
      <c r="A505" s="183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78"/>
    </row>
    <row r="506" ht="15.75" customHeight="1">
      <c r="A506" s="183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78"/>
    </row>
    <row r="507" ht="15.75" customHeight="1">
      <c r="A507" s="183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78"/>
    </row>
    <row r="508" ht="15.75" customHeight="1">
      <c r="A508" s="183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78"/>
    </row>
    <row r="509" ht="15.75" customHeight="1">
      <c r="A509" s="183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78"/>
    </row>
    <row r="510" ht="15.75" customHeight="1">
      <c r="A510" s="183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78"/>
    </row>
    <row r="511" ht="15.75" customHeight="1">
      <c r="A511" s="183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78"/>
    </row>
    <row r="512" ht="15.75" customHeight="1">
      <c r="A512" s="183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78"/>
    </row>
    <row r="513" ht="15.75" customHeight="1">
      <c r="A513" s="183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78"/>
    </row>
    <row r="514" ht="15.75" customHeight="1">
      <c r="A514" s="183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78"/>
    </row>
    <row r="515" ht="15.75" customHeight="1">
      <c r="A515" s="183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78"/>
    </row>
    <row r="516" ht="15.75" customHeight="1">
      <c r="A516" s="183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78"/>
    </row>
    <row r="517" ht="15.75" customHeight="1">
      <c r="A517" s="183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78"/>
    </row>
    <row r="518" ht="15.75" customHeight="1">
      <c r="A518" s="183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78"/>
    </row>
    <row r="519" ht="15.75" customHeight="1">
      <c r="A519" s="183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78"/>
    </row>
    <row r="520" ht="15.75" customHeight="1">
      <c r="A520" s="183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78"/>
    </row>
    <row r="521" ht="15.75" customHeight="1">
      <c r="A521" s="183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78"/>
    </row>
    <row r="522" ht="15.75" customHeight="1">
      <c r="A522" s="183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78"/>
    </row>
    <row r="523" ht="15.75" customHeight="1">
      <c r="A523" s="183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78"/>
    </row>
    <row r="524" ht="15.75" customHeight="1">
      <c r="A524" s="183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78"/>
    </row>
    <row r="525" ht="15.75" customHeight="1">
      <c r="A525" s="183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78"/>
    </row>
    <row r="526" ht="15.75" customHeight="1">
      <c r="A526" s="183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78"/>
    </row>
    <row r="527" ht="15.75" customHeight="1">
      <c r="A527" s="183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78"/>
    </row>
    <row r="528" ht="15.75" customHeight="1">
      <c r="A528" s="183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78"/>
    </row>
    <row r="529" ht="15.75" customHeight="1">
      <c r="A529" s="183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78"/>
    </row>
    <row r="530" ht="15.75" customHeight="1">
      <c r="A530" s="183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78"/>
    </row>
    <row r="531" ht="15.75" customHeight="1">
      <c r="A531" s="183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78"/>
    </row>
    <row r="532" ht="15.75" customHeight="1">
      <c r="A532" s="183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78"/>
    </row>
    <row r="533" ht="15.75" customHeight="1">
      <c r="A533" s="183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78"/>
    </row>
    <row r="534" ht="15.75" customHeight="1">
      <c r="A534" s="183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78"/>
    </row>
    <row r="535" ht="15.75" customHeight="1">
      <c r="A535" s="183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78"/>
    </row>
    <row r="536" ht="15.75" customHeight="1">
      <c r="A536" s="183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78"/>
    </row>
    <row r="537" ht="15.75" customHeight="1">
      <c r="A537" s="183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78"/>
    </row>
    <row r="538" ht="15.75" customHeight="1">
      <c r="A538" s="183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78"/>
    </row>
    <row r="539" ht="15.75" customHeight="1">
      <c r="A539" s="183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78"/>
    </row>
    <row r="540" ht="15.75" customHeight="1">
      <c r="A540" s="183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78"/>
    </row>
    <row r="541" ht="15.75" customHeight="1">
      <c r="A541" s="183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78"/>
    </row>
    <row r="542" ht="15.75" customHeight="1">
      <c r="A542" s="183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78"/>
    </row>
    <row r="543" ht="15.75" customHeight="1">
      <c r="A543" s="183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78"/>
    </row>
    <row r="544" ht="15.75" customHeight="1">
      <c r="A544" s="183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78"/>
    </row>
    <row r="545" ht="15.75" customHeight="1">
      <c r="A545" s="183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78"/>
    </row>
    <row r="546" ht="15.75" customHeight="1">
      <c r="A546" s="183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78"/>
    </row>
    <row r="547" ht="15.75" customHeight="1">
      <c r="A547" s="183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78"/>
    </row>
    <row r="548" ht="15.75" customHeight="1">
      <c r="A548" s="183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78"/>
    </row>
    <row r="549" ht="15.75" customHeight="1">
      <c r="A549" s="183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78"/>
    </row>
    <row r="550" ht="15.75" customHeight="1">
      <c r="A550" s="183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78"/>
    </row>
    <row r="551" ht="15.75" customHeight="1">
      <c r="A551" s="183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78"/>
    </row>
    <row r="552" ht="15.75" customHeight="1">
      <c r="A552" s="183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78"/>
    </row>
    <row r="553" ht="15.75" customHeight="1">
      <c r="A553" s="183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78"/>
    </row>
    <row r="554" ht="15.75" customHeight="1">
      <c r="A554" s="183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78"/>
    </row>
    <row r="555" ht="15.75" customHeight="1">
      <c r="A555" s="183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78"/>
    </row>
    <row r="556" ht="15.75" customHeight="1">
      <c r="A556" s="183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78"/>
    </row>
    <row r="557" ht="15.75" customHeight="1">
      <c r="A557" s="183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78"/>
    </row>
    <row r="558" ht="15.75" customHeight="1">
      <c r="A558" s="183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78"/>
    </row>
    <row r="559" ht="15.75" customHeight="1">
      <c r="A559" s="183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78"/>
    </row>
    <row r="560" ht="15.75" customHeight="1">
      <c r="A560" s="183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78"/>
    </row>
    <row r="561" ht="15.75" customHeight="1">
      <c r="A561" s="183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78"/>
    </row>
    <row r="562" ht="15.75" customHeight="1">
      <c r="A562" s="183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78"/>
    </row>
    <row r="563" ht="15.75" customHeight="1">
      <c r="A563" s="183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78"/>
    </row>
    <row r="564" ht="15.75" customHeight="1">
      <c r="A564" s="183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78"/>
    </row>
    <row r="565" ht="15.75" customHeight="1">
      <c r="A565" s="183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78"/>
    </row>
    <row r="566" ht="15.75" customHeight="1">
      <c r="A566" s="183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78"/>
    </row>
    <row r="567" ht="15.75" customHeight="1">
      <c r="A567" s="183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78"/>
    </row>
    <row r="568" ht="15.75" customHeight="1">
      <c r="A568" s="183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78"/>
    </row>
    <row r="569" ht="15.75" customHeight="1">
      <c r="A569" s="183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78"/>
    </row>
    <row r="570" ht="15.75" customHeight="1">
      <c r="A570" s="183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78"/>
    </row>
    <row r="571" ht="15.75" customHeight="1">
      <c r="A571" s="183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78"/>
    </row>
    <row r="572" ht="15.75" customHeight="1">
      <c r="A572" s="183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78"/>
    </row>
    <row r="573" ht="15.75" customHeight="1">
      <c r="A573" s="183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78"/>
    </row>
    <row r="574" ht="15.75" customHeight="1">
      <c r="A574" s="183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78"/>
    </row>
    <row r="575" ht="15.75" customHeight="1">
      <c r="A575" s="183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78"/>
    </row>
    <row r="576" ht="15.75" customHeight="1">
      <c r="A576" s="183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78"/>
    </row>
    <row r="577" ht="15.75" customHeight="1">
      <c r="A577" s="183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78"/>
    </row>
    <row r="578" ht="15.75" customHeight="1">
      <c r="A578" s="183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78"/>
    </row>
    <row r="579" ht="15.75" customHeight="1">
      <c r="A579" s="183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78"/>
    </row>
    <row r="580" ht="15.75" customHeight="1">
      <c r="A580" s="183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78"/>
    </row>
    <row r="581" ht="15.75" customHeight="1">
      <c r="A581" s="183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78"/>
    </row>
    <row r="582" ht="15.75" customHeight="1">
      <c r="A582" s="183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78"/>
    </row>
    <row r="583" ht="15.75" customHeight="1">
      <c r="A583" s="183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78"/>
    </row>
    <row r="584" ht="15.75" customHeight="1">
      <c r="A584" s="183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78"/>
    </row>
    <row r="585" ht="15.75" customHeight="1">
      <c r="A585" s="183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78"/>
    </row>
    <row r="586" ht="15.75" customHeight="1">
      <c r="A586" s="183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78"/>
    </row>
    <row r="587" ht="15.75" customHeight="1">
      <c r="A587" s="183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78"/>
    </row>
    <row r="588" ht="15.75" customHeight="1">
      <c r="A588" s="183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78"/>
    </row>
    <row r="589" ht="15.75" customHeight="1">
      <c r="A589" s="183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78"/>
    </row>
    <row r="590" ht="15.75" customHeight="1">
      <c r="A590" s="183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78"/>
    </row>
    <row r="591" ht="15.75" customHeight="1">
      <c r="A591" s="183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78"/>
    </row>
    <row r="592" ht="15.75" customHeight="1">
      <c r="A592" s="183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78"/>
    </row>
    <row r="593" ht="15.75" customHeight="1">
      <c r="A593" s="183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78"/>
    </row>
    <row r="594" ht="15.75" customHeight="1">
      <c r="A594" s="183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78"/>
    </row>
    <row r="595" ht="15.75" customHeight="1">
      <c r="A595" s="183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78"/>
    </row>
    <row r="596" ht="15.75" customHeight="1">
      <c r="A596" s="183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78"/>
    </row>
    <row r="597" ht="15.75" customHeight="1">
      <c r="A597" s="183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78"/>
    </row>
    <row r="598" ht="15.75" customHeight="1">
      <c r="A598" s="183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78"/>
    </row>
    <row r="599" ht="15.75" customHeight="1">
      <c r="A599" s="183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78"/>
    </row>
    <row r="600" ht="15.75" customHeight="1">
      <c r="A600" s="183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78"/>
    </row>
    <row r="601" ht="15.75" customHeight="1">
      <c r="A601" s="183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78"/>
    </row>
    <row r="602" ht="15.75" customHeight="1">
      <c r="A602" s="183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78"/>
    </row>
    <row r="603" ht="15.75" customHeight="1">
      <c r="A603" s="183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78"/>
    </row>
    <row r="604" ht="15.75" customHeight="1">
      <c r="A604" s="183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78"/>
    </row>
    <row r="605" ht="15.75" customHeight="1">
      <c r="A605" s="183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78"/>
    </row>
    <row r="606" ht="15.75" customHeight="1">
      <c r="A606" s="183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78"/>
    </row>
    <row r="607" ht="15.75" customHeight="1">
      <c r="A607" s="183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78"/>
    </row>
    <row r="608" ht="15.75" customHeight="1">
      <c r="A608" s="183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78"/>
    </row>
    <row r="609" ht="15.75" customHeight="1">
      <c r="A609" s="183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78"/>
    </row>
    <row r="610" ht="15.75" customHeight="1">
      <c r="A610" s="183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78"/>
    </row>
    <row r="611" ht="15.75" customHeight="1">
      <c r="A611" s="183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78"/>
    </row>
    <row r="612" ht="15.75" customHeight="1">
      <c r="A612" s="183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78"/>
    </row>
    <row r="613" ht="15.75" customHeight="1">
      <c r="A613" s="183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78"/>
    </row>
    <row r="614" ht="15.75" customHeight="1">
      <c r="A614" s="183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78"/>
    </row>
    <row r="615" ht="15.75" customHeight="1">
      <c r="A615" s="183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78"/>
    </row>
    <row r="616" ht="15.75" customHeight="1">
      <c r="A616" s="183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78"/>
    </row>
    <row r="617" ht="15.75" customHeight="1">
      <c r="A617" s="183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78"/>
    </row>
    <row r="618" ht="15.75" customHeight="1">
      <c r="A618" s="183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78"/>
    </row>
    <row r="619" ht="15.75" customHeight="1">
      <c r="A619" s="183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78"/>
    </row>
    <row r="620" ht="15.75" customHeight="1">
      <c r="A620" s="183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78"/>
    </row>
    <row r="621" ht="15.75" customHeight="1">
      <c r="A621" s="183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78"/>
    </row>
    <row r="622" ht="15.75" customHeight="1">
      <c r="A622" s="183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78"/>
    </row>
    <row r="623" ht="15.75" customHeight="1">
      <c r="A623" s="183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78"/>
    </row>
    <row r="624" ht="15.75" customHeight="1">
      <c r="A624" s="183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78"/>
    </row>
    <row r="625" ht="15.75" customHeight="1">
      <c r="A625" s="183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78"/>
    </row>
    <row r="626" ht="15.75" customHeight="1">
      <c r="A626" s="183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78"/>
    </row>
    <row r="627" ht="15.75" customHeight="1">
      <c r="A627" s="183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78"/>
    </row>
    <row r="628" ht="15.75" customHeight="1">
      <c r="A628" s="183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78"/>
    </row>
    <row r="629" ht="15.75" customHeight="1">
      <c r="A629" s="183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78"/>
    </row>
    <row r="630" ht="15.75" customHeight="1">
      <c r="A630" s="183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78"/>
    </row>
    <row r="631" ht="15.75" customHeight="1">
      <c r="A631" s="183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78"/>
    </row>
    <row r="632" ht="15.75" customHeight="1">
      <c r="A632" s="183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78"/>
    </row>
    <row r="633" ht="15.75" customHeight="1">
      <c r="A633" s="183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78"/>
    </row>
    <row r="634" ht="15.75" customHeight="1">
      <c r="A634" s="183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78"/>
    </row>
    <row r="635" ht="15.75" customHeight="1">
      <c r="A635" s="183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78"/>
    </row>
    <row r="636" ht="15.75" customHeight="1">
      <c r="A636" s="183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78"/>
    </row>
    <row r="637" ht="15.75" customHeight="1">
      <c r="A637" s="183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78"/>
    </row>
    <row r="638" ht="15.75" customHeight="1">
      <c r="A638" s="183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78"/>
    </row>
    <row r="639" ht="15.75" customHeight="1">
      <c r="A639" s="183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78"/>
    </row>
    <row r="640" ht="15.75" customHeight="1">
      <c r="A640" s="183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78"/>
    </row>
    <row r="641" ht="15.75" customHeight="1">
      <c r="A641" s="183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78"/>
    </row>
    <row r="642" ht="15.75" customHeight="1">
      <c r="A642" s="183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78"/>
    </row>
    <row r="643" ht="15.75" customHeight="1">
      <c r="A643" s="183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78"/>
    </row>
    <row r="644" ht="15.75" customHeight="1">
      <c r="A644" s="183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78"/>
    </row>
    <row r="645" ht="15.75" customHeight="1">
      <c r="A645" s="183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78"/>
    </row>
    <row r="646" ht="15.75" customHeight="1">
      <c r="A646" s="183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78"/>
    </row>
    <row r="647" ht="15.75" customHeight="1">
      <c r="A647" s="183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78"/>
    </row>
    <row r="648" ht="15.75" customHeight="1">
      <c r="A648" s="183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78"/>
    </row>
    <row r="649" ht="15.75" customHeight="1">
      <c r="A649" s="183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78"/>
    </row>
    <row r="650" ht="15.75" customHeight="1">
      <c r="A650" s="183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78"/>
    </row>
    <row r="651" ht="15.75" customHeight="1">
      <c r="A651" s="183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78"/>
    </row>
    <row r="652" ht="15.75" customHeight="1">
      <c r="A652" s="183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78"/>
    </row>
    <row r="653" ht="15.75" customHeight="1">
      <c r="A653" s="183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78"/>
    </row>
    <row r="654" ht="15.75" customHeight="1">
      <c r="A654" s="183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78"/>
    </row>
    <row r="655" ht="15.75" customHeight="1">
      <c r="A655" s="183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78"/>
    </row>
    <row r="656" ht="15.75" customHeight="1">
      <c r="A656" s="183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78"/>
    </row>
    <row r="657" ht="15.75" customHeight="1">
      <c r="A657" s="183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78"/>
    </row>
    <row r="658" ht="15.75" customHeight="1">
      <c r="A658" s="183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78"/>
    </row>
    <row r="659" ht="15.75" customHeight="1">
      <c r="A659" s="183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78"/>
    </row>
    <row r="660" ht="15.75" customHeight="1">
      <c r="A660" s="183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78"/>
    </row>
    <row r="661" ht="15.75" customHeight="1">
      <c r="A661" s="183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78"/>
    </row>
    <row r="662" ht="15.75" customHeight="1">
      <c r="A662" s="183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78"/>
    </row>
    <row r="663" ht="15.75" customHeight="1">
      <c r="A663" s="183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78"/>
    </row>
    <row r="664" ht="15.75" customHeight="1">
      <c r="A664" s="183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78"/>
    </row>
    <row r="665" ht="15.75" customHeight="1">
      <c r="A665" s="183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78"/>
    </row>
    <row r="666" ht="15.75" customHeight="1">
      <c r="A666" s="183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78"/>
    </row>
    <row r="667" ht="15.75" customHeight="1">
      <c r="A667" s="183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78"/>
    </row>
    <row r="668" ht="15.75" customHeight="1">
      <c r="A668" s="183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78"/>
    </row>
    <row r="669" ht="15.75" customHeight="1">
      <c r="A669" s="183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78"/>
    </row>
    <row r="670" ht="15.75" customHeight="1">
      <c r="A670" s="183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78"/>
    </row>
    <row r="671" ht="15.75" customHeight="1">
      <c r="A671" s="183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78"/>
    </row>
    <row r="672" ht="15.75" customHeight="1">
      <c r="A672" s="183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78"/>
    </row>
    <row r="673" ht="15.75" customHeight="1">
      <c r="A673" s="183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78"/>
    </row>
    <row r="674" ht="15.75" customHeight="1">
      <c r="A674" s="183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78"/>
    </row>
    <row r="675" ht="15.75" customHeight="1">
      <c r="A675" s="183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78"/>
    </row>
    <row r="676" ht="15.75" customHeight="1">
      <c r="A676" s="183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78"/>
    </row>
    <row r="677" ht="15.75" customHeight="1">
      <c r="A677" s="183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78"/>
    </row>
    <row r="678" ht="15.75" customHeight="1">
      <c r="A678" s="183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78"/>
    </row>
    <row r="679" ht="15.75" customHeight="1">
      <c r="A679" s="183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78"/>
    </row>
    <row r="680" ht="15.75" customHeight="1">
      <c r="A680" s="183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78"/>
    </row>
    <row r="681" ht="15.75" customHeight="1">
      <c r="A681" s="183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78"/>
    </row>
    <row r="682" ht="15.75" customHeight="1">
      <c r="A682" s="183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78"/>
    </row>
    <row r="683" ht="15.75" customHeight="1">
      <c r="A683" s="183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78"/>
    </row>
    <row r="684" ht="15.75" customHeight="1">
      <c r="A684" s="183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78"/>
    </row>
    <row r="685" ht="15.75" customHeight="1">
      <c r="A685" s="183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78"/>
    </row>
    <row r="686" ht="15.75" customHeight="1">
      <c r="A686" s="183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78"/>
    </row>
    <row r="687" ht="15.75" customHeight="1">
      <c r="A687" s="183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78"/>
    </row>
    <row r="688" ht="15.75" customHeight="1">
      <c r="A688" s="183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78"/>
    </row>
    <row r="689" ht="15.75" customHeight="1">
      <c r="A689" s="183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78"/>
    </row>
    <row r="690" ht="15.75" customHeight="1">
      <c r="A690" s="183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78"/>
    </row>
    <row r="691" ht="15.75" customHeight="1">
      <c r="A691" s="183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78"/>
    </row>
    <row r="692" ht="15.75" customHeight="1">
      <c r="A692" s="183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78"/>
    </row>
    <row r="693" ht="15.75" customHeight="1">
      <c r="A693" s="183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78"/>
    </row>
    <row r="694" ht="15.75" customHeight="1">
      <c r="A694" s="183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78"/>
    </row>
    <row r="695" ht="15.75" customHeight="1">
      <c r="A695" s="183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78"/>
    </row>
    <row r="696" ht="15.75" customHeight="1">
      <c r="A696" s="183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78"/>
    </row>
    <row r="697" ht="15.75" customHeight="1">
      <c r="A697" s="183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78"/>
    </row>
    <row r="698" ht="15.75" customHeight="1">
      <c r="A698" s="183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78"/>
    </row>
    <row r="699" ht="15.75" customHeight="1">
      <c r="A699" s="183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78"/>
    </row>
    <row r="700" ht="15.75" customHeight="1">
      <c r="A700" s="183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78"/>
    </row>
    <row r="701" ht="15.75" customHeight="1">
      <c r="A701" s="183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78"/>
    </row>
    <row r="702" ht="15.75" customHeight="1">
      <c r="A702" s="183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78"/>
    </row>
    <row r="703" ht="15.75" customHeight="1">
      <c r="A703" s="183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78"/>
    </row>
    <row r="704" ht="15.75" customHeight="1">
      <c r="A704" s="183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78"/>
    </row>
    <row r="705" ht="15.75" customHeight="1">
      <c r="A705" s="183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78"/>
    </row>
    <row r="706" ht="15.75" customHeight="1">
      <c r="A706" s="183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78"/>
    </row>
    <row r="707" ht="15.75" customHeight="1">
      <c r="A707" s="183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78"/>
    </row>
    <row r="708" ht="15.75" customHeight="1">
      <c r="A708" s="183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78"/>
    </row>
    <row r="709" ht="15.75" customHeight="1">
      <c r="A709" s="183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78"/>
    </row>
    <row r="710" ht="15.75" customHeight="1">
      <c r="A710" s="183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78"/>
    </row>
    <row r="711" ht="15.75" customHeight="1">
      <c r="A711" s="183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78"/>
    </row>
    <row r="712" ht="15.75" customHeight="1">
      <c r="A712" s="183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78"/>
    </row>
    <row r="713" ht="15.75" customHeight="1">
      <c r="A713" s="183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78"/>
    </row>
    <row r="714" ht="15.75" customHeight="1">
      <c r="A714" s="183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78"/>
    </row>
    <row r="715" ht="15.75" customHeight="1">
      <c r="A715" s="183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78"/>
    </row>
    <row r="716" ht="15.75" customHeight="1">
      <c r="A716" s="183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78"/>
    </row>
    <row r="717" ht="15.75" customHeight="1">
      <c r="A717" s="183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78"/>
    </row>
    <row r="718" ht="15.75" customHeight="1">
      <c r="A718" s="183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78"/>
    </row>
    <row r="719" ht="15.75" customHeight="1">
      <c r="A719" s="183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78"/>
    </row>
    <row r="720" ht="15.75" customHeight="1">
      <c r="A720" s="183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78"/>
    </row>
    <row r="721" ht="15.75" customHeight="1">
      <c r="A721" s="183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78"/>
    </row>
    <row r="722" ht="15.75" customHeight="1">
      <c r="A722" s="183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78"/>
    </row>
    <row r="723" ht="15.75" customHeight="1">
      <c r="A723" s="183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78"/>
    </row>
    <row r="724" ht="15.75" customHeight="1">
      <c r="A724" s="183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78"/>
    </row>
    <row r="725" ht="15.75" customHeight="1">
      <c r="A725" s="183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78"/>
    </row>
    <row r="726" ht="15.75" customHeight="1">
      <c r="A726" s="183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78"/>
    </row>
    <row r="727" ht="15.75" customHeight="1">
      <c r="A727" s="183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78"/>
    </row>
    <row r="728" ht="15.75" customHeight="1">
      <c r="A728" s="183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78"/>
    </row>
    <row r="729" ht="15.75" customHeight="1">
      <c r="A729" s="183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78"/>
    </row>
    <row r="730" ht="15.75" customHeight="1">
      <c r="A730" s="183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78"/>
    </row>
    <row r="731" ht="15.75" customHeight="1">
      <c r="A731" s="183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78"/>
    </row>
    <row r="732" ht="15.75" customHeight="1">
      <c r="A732" s="183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78"/>
    </row>
    <row r="733" ht="15.75" customHeight="1">
      <c r="A733" s="183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78"/>
    </row>
    <row r="734" ht="15.75" customHeight="1">
      <c r="A734" s="183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78"/>
    </row>
    <row r="735" ht="15.75" customHeight="1">
      <c r="A735" s="183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78"/>
    </row>
    <row r="736" ht="15.75" customHeight="1">
      <c r="A736" s="183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78"/>
    </row>
    <row r="737" ht="15.75" customHeight="1">
      <c r="A737" s="183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78"/>
    </row>
    <row r="738" ht="15.75" customHeight="1">
      <c r="A738" s="183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78"/>
    </row>
    <row r="739" ht="15.75" customHeight="1">
      <c r="A739" s="183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78"/>
    </row>
    <row r="740" ht="15.75" customHeight="1">
      <c r="A740" s="183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78"/>
    </row>
    <row r="741" ht="15.75" customHeight="1">
      <c r="A741" s="183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78"/>
    </row>
    <row r="742" ht="15.75" customHeight="1">
      <c r="A742" s="183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78"/>
    </row>
    <row r="743" ht="15.75" customHeight="1">
      <c r="A743" s="183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78"/>
    </row>
    <row r="744" ht="15.75" customHeight="1">
      <c r="A744" s="183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78"/>
    </row>
    <row r="745" ht="15.75" customHeight="1">
      <c r="A745" s="183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78"/>
    </row>
    <row r="746" ht="15.75" customHeight="1">
      <c r="A746" s="183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78"/>
    </row>
    <row r="747" ht="15.75" customHeight="1">
      <c r="A747" s="183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78"/>
    </row>
    <row r="748" ht="15.75" customHeight="1">
      <c r="A748" s="183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78"/>
    </row>
    <row r="749" ht="15.75" customHeight="1">
      <c r="A749" s="183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78"/>
    </row>
    <row r="750" ht="15.75" customHeight="1">
      <c r="A750" s="183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78"/>
    </row>
    <row r="751" ht="15.75" customHeight="1">
      <c r="A751" s="183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78"/>
    </row>
    <row r="752" ht="15.75" customHeight="1">
      <c r="A752" s="183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78"/>
    </row>
    <row r="753" ht="15.75" customHeight="1">
      <c r="A753" s="183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78"/>
    </row>
    <row r="754" ht="15.75" customHeight="1">
      <c r="A754" s="183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78"/>
    </row>
    <row r="755" ht="15.75" customHeight="1">
      <c r="A755" s="183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78"/>
    </row>
    <row r="756" ht="15.75" customHeight="1">
      <c r="A756" s="183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78"/>
    </row>
    <row r="757" ht="15.75" customHeight="1">
      <c r="A757" s="183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78"/>
    </row>
    <row r="758" ht="15.75" customHeight="1">
      <c r="A758" s="183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78"/>
    </row>
    <row r="759" ht="15.75" customHeight="1">
      <c r="A759" s="183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78"/>
    </row>
    <row r="760" ht="15.75" customHeight="1">
      <c r="A760" s="183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78"/>
    </row>
    <row r="761" ht="15.75" customHeight="1">
      <c r="A761" s="183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78"/>
    </row>
    <row r="762" ht="15.75" customHeight="1">
      <c r="A762" s="183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78"/>
    </row>
    <row r="763" ht="15.75" customHeight="1">
      <c r="A763" s="183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78"/>
    </row>
    <row r="764" ht="15.75" customHeight="1">
      <c r="A764" s="183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78"/>
    </row>
    <row r="765" ht="15.75" customHeight="1">
      <c r="A765" s="183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78"/>
    </row>
    <row r="766" ht="15.75" customHeight="1">
      <c r="A766" s="183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78"/>
    </row>
    <row r="767" ht="15.75" customHeight="1">
      <c r="A767" s="183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78"/>
    </row>
    <row r="768" ht="15.75" customHeight="1">
      <c r="A768" s="183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78"/>
    </row>
    <row r="769" ht="15.75" customHeight="1">
      <c r="A769" s="183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78"/>
    </row>
    <row r="770" ht="15.75" customHeight="1">
      <c r="A770" s="183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78"/>
    </row>
    <row r="771" ht="15.75" customHeight="1">
      <c r="A771" s="183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78"/>
    </row>
    <row r="772" ht="15.75" customHeight="1">
      <c r="A772" s="183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78"/>
    </row>
    <row r="773" ht="15.75" customHeight="1">
      <c r="A773" s="183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78"/>
    </row>
    <row r="774" ht="15.75" customHeight="1">
      <c r="A774" s="183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78"/>
    </row>
    <row r="775" ht="15.75" customHeight="1">
      <c r="A775" s="183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78"/>
    </row>
    <row r="776" ht="15.75" customHeight="1">
      <c r="A776" s="183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78"/>
    </row>
    <row r="777" ht="15.75" customHeight="1">
      <c r="A777" s="183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78"/>
    </row>
    <row r="778" ht="15.75" customHeight="1">
      <c r="A778" s="183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78"/>
    </row>
    <row r="779" ht="15.75" customHeight="1">
      <c r="A779" s="183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78"/>
    </row>
    <row r="780" ht="15.75" customHeight="1">
      <c r="A780" s="183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78"/>
    </row>
    <row r="781" ht="15.75" customHeight="1">
      <c r="A781" s="183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78"/>
    </row>
    <row r="782" ht="15.75" customHeight="1">
      <c r="A782" s="183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78"/>
    </row>
    <row r="783" ht="15.75" customHeight="1">
      <c r="A783" s="183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78"/>
    </row>
    <row r="784" ht="15.75" customHeight="1">
      <c r="A784" s="183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78"/>
    </row>
    <row r="785" ht="15.75" customHeight="1">
      <c r="A785" s="183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78"/>
    </row>
    <row r="786" ht="15.75" customHeight="1">
      <c r="A786" s="183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78"/>
    </row>
    <row r="787" ht="15.75" customHeight="1">
      <c r="A787" s="183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78"/>
    </row>
    <row r="788" ht="15.75" customHeight="1">
      <c r="A788" s="183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78"/>
    </row>
    <row r="789" ht="15.75" customHeight="1">
      <c r="A789" s="183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78"/>
    </row>
    <row r="790" ht="15.75" customHeight="1">
      <c r="A790" s="183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78"/>
    </row>
    <row r="791" ht="15.75" customHeight="1">
      <c r="A791" s="183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78"/>
    </row>
    <row r="792" ht="15.75" customHeight="1">
      <c r="A792" s="183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78"/>
    </row>
    <row r="793" ht="15.75" customHeight="1">
      <c r="A793" s="183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78"/>
    </row>
    <row r="794" ht="15.75" customHeight="1">
      <c r="A794" s="183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78"/>
    </row>
    <row r="795" ht="15.75" customHeight="1">
      <c r="A795" s="183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78"/>
    </row>
    <row r="796" ht="15.75" customHeight="1">
      <c r="A796" s="183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78"/>
    </row>
    <row r="797" ht="15.75" customHeight="1">
      <c r="A797" s="183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78"/>
    </row>
    <row r="798" ht="15.75" customHeight="1">
      <c r="A798" s="183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78"/>
    </row>
    <row r="799" ht="15.75" customHeight="1">
      <c r="A799" s="183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78"/>
    </row>
    <row r="800" ht="15.75" customHeight="1">
      <c r="A800" s="183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78"/>
    </row>
    <row r="801" ht="15.75" customHeight="1">
      <c r="A801" s="183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78"/>
    </row>
    <row r="802" ht="15.75" customHeight="1">
      <c r="A802" s="183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78"/>
    </row>
    <row r="803" ht="15.75" customHeight="1">
      <c r="A803" s="183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78"/>
    </row>
    <row r="804" ht="15.75" customHeight="1">
      <c r="A804" s="183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78"/>
    </row>
    <row r="805" ht="15.75" customHeight="1">
      <c r="A805" s="183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78"/>
    </row>
    <row r="806" ht="15.75" customHeight="1">
      <c r="A806" s="183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78"/>
    </row>
    <row r="807" ht="15.75" customHeight="1">
      <c r="A807" s="183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78"/>
    </row>
    <row r="808" ht="15.75" customHeight="1">
      <c r="A808" s="183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78"/>
    </row>
    <row r="809" ht="15.75" customHeight="1">
      <c r="A809" s="183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78"/>
    </row>
    <row r="810" ht="15.75" customHeight="1">
      <c r="A810" s="183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78"/>
    </row>
    <row r="811" ht="15.75" customHeight="1">
      <c r="A811" s="183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78"/>
    </row>
    <row r="812" ht="15.75" customHeight="1">
      <c r="A812" s="183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78"/>
    </row>
    <row r="813" ht="15.75" customHeight="1">
      <c r="A813" s="183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78"/>
    </row>
    <row r="814" ht="15.75" customHeight="1">
      <c r="A814" s="183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78"/>
    </row>
    <row r="815" ht="15.75" customHeight="1">
      <c r="A815" s="183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78"/>
    </row>
    <row r="816" ht="15.75" customHeight="1">
      <c r="A816" s="183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78"/>
    </row>
    <row r="817" ht="15.75" customHeight="1">
      <c r="A817" s="183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78"/>
    </row>
    <row r="818" ht="15.75" customHeight="1">
      <c r="A818" s="183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78"/>
    </row>
    <row r="819" ht="15.75" customHeight="1">
      <c r="A819" s="183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78"/>
    </row>
    <row r="820" ht="15.75" customHeight="1">
      <c r="A820" s="183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78"/>
    </row>
    <row r="821" ht="15.75" customHeight="1">
      <c r="A821" s="183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78"/>
    </row>
    <row r="822" ht="15.75" customHeight="1">
      <c r="A822" s="183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78"/>
    </row>
    <row r="823" ht="15.75" customHeight="1">
      <c r="A823" s="183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78"/>
    </row>
    <row r="824" ht="15.75" customHeight="1">
      <c r="A824" s="183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78"/>
    </row>
    <row r="825" ht="15.75" customHeight="1">
      <c r="A825" s="183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78"/>
    </row>
    <row r="826" ht="15.75" customHeight="1">
      <c r="A826" s="183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78"/>
    </row>
    <row r="827" ht="15.75" customHeight="1">
      <c r="A827" s="183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78"/>
    </row>
    <row r="828" ht="15.75" customHeight="1">
      <c r="A828" s="183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78"/>
    </row>
    <row r="829" ht="15.75" customHeight="1">
      <c r="A829" s="183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78"/>
    </row>
    <row r="830" ht="15.75" customHeight="1">
      <c r="A830" s="183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78"/>
    </row>
    <row r="831" ht="15.75" customHeight="1">
      <c r="A831" s="183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78"/>
    </row>
    <row r="832" ht="15.75" customHeight="1">
      <c r="A832" s="183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78"/>
    </row>
    <row r="833" ht="15.75" customHeight="1">
      <c r="A833" s="183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78"/>
    </row>
    <row r="834" ht="15.75" customHeight="1">
      <c r="A834" s="183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78"/>
    </row>
    <row r="835" ht="15.75" customHeight="1">
      <c r="A835" s="183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78"/>
    </row>
    <row r="836" ht="15.75" customHeight="1">
      <c r="A836" s="183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78"/>
    </row>
    <row r="837" ht="15.75" customHeight="1">
      <c r="A837" s="183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78"/>
    </row>
    <row r="838" ht="15.75" customHeight="1">
      <c r="A838" s="183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78"/>
    </row>
    <row r="839" ht="15.75" customHeight="1">
      <c r="A839" s="183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78"/>
    </row>
    <row r="840" ht="15.75" customHeight="1">
      <c r="A840" s="183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78"/>
    </row>
    <row r="841" ht="15.75" customHeight="1">
      <c r="A841" s="183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78"/>
    </row>
    <row r="842" ht="15.75" customHeight="1">
      <c r="A842" s="183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78"/>
    </row>
    <row r="843" ht="15.75" customHeight="1">
      <c r="A843" s="183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78"/>
    </row>
    <row r="844" ht="15.75" customHeight="1">
      <c r="A844" s="183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78"/>
    </row>
    <row r="845" ht="15.75" customHeight="1">
      <c r="A845" s="183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78"/>
    </row>
    <row r="846" ht="15.75" customHeight="1">
      <c r="A846" s="183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78"/>
    </row>
    <row r="847" ht="15.75" customHeight="1">
      <c r="A847" s="183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78"/>
    </row>
    <row r="848" ht="15.75" customHeight="1">
      <c r="A848" s="183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78"/>
    </row>
    <row r="849" ht="15.75" customHeight="1">
      <c r="A849" s="183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78"/>
    </row>
    <row r="850" ht="15.75" customHeight="1">
      <c r="A850" s="183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78"/>
    </row>
    <row r="851" ht="15.75" customHeight="1">
      <c r="A851" s="183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78"/>
    </row>
    <row r="852" ht="15.75" customHeight="1">
      <c r="A852" s="183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78"/>
    </row>
    <row r="853" ht="15.75" customHeight="1">
      <c r="A853" s="183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78"/>
    </row>
    <row r="854" ht="15.75" customHeight="1">
      <c r="A854" s="183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78"/>
    </row>
    <row r="855" ht="15.75" customHeight="1">
      <c r="A855" s="183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78"/>
    </row>
    <row r="856" ht="15.75" customHeight="1">
      <c r="A856" s="183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78"/>
    </row>
    <row r="857" ht="15.75" customHeight="1">
      <c r="A857" s="183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78"/>
    </row>
    <row r="858" ht="15.75" customHeight="1">
      <c r="A858" s="183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78"/>
    </row>
    <row r="859" ht="15.75" customHeight="1">
      <c r="A859" s="183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78"/>
    </row>
    <row r="860" ht="15.75" customHeight="1">
      <c r="A860" s="183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78"/>
    </row>
    <row r="861" ht="15.75" customHeight="1">
      <c r="A861" s="183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78"/>
    </row>
    <row r="862" ht="15.75" customHeight="1">
      <c r="A862" s="183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78"/>
    </row>
    <row r="863" ht="15.75" customHeight="1">
      <c r="A863" s="183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78"/>
    </row>
    <row r="864" ht="15.75" customHeight="1">
      <c r="A864" s="183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78"/>
    </row>
    <row r="865" ht="15.75" customHeight="1">
      <c r="A865" s="183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78"/>
    </row>
    <row r="866" ht="15.75" customHeight="1">
      <c r="A866" s="183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78"/>
    </row>
    <row r="867" ht="15.75" customHeight="1">
      <c r="A867" s="183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78"/>
    </row>
    <row r="868" ht="15.75" customHeight="1">
      <c r="A868" s="183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78"/>
    </row>
    <row r="869" ht="15.75" customHeight="1">
      <c r="A869" s="183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78"/>
    </row>
    <row r="870" ht="15.75" customHeight="1">
      <c r="A870" s="183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78"/>
    </row>
    <row r="871" ht="15.75" customHeight="1">
      <c r="A871" s="183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78"/>
    </row>
    <row r="872" ht="15.75" customHeight="1">
      <c r="A872" s="183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78"/>
    </row>
    <row r="873" ht="15.75" customHeight="1">
      <c r="A873" s="183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78"/>
    </row>
    <row r="874" ht="15.75" customHeight="1">
      <c r="A874" s="183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78"/>
    </row>
    <row r="875" ht="15.75" customHeight="1">
      <c r="A875" s="183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78"/>
    </row>
    <row r="876" ht="15.75" customHeight="1">
      <c r="A876" s="183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78"/>
    </row>
    <row r="877" ht="15.75" customHeight="1">
      <c r="A877" s="183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78"/>
    </row>
    <row r="878" ht="15.75" customHeight="1">
      <c r="A878" s="183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78"/>
    </row>
    <row r="879" ht="15.75" customHeight="1">
      <c r="A879" s="183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78"/>
    </row>
    <row r="880" ht="15.75" customHeight="1">
      <c r="A880" s="183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78"/>
    </row>
    <row r="881" ht="15.75" customHeight="1">
      <c r="A881" s="183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78"/>
    </row>
    <row r="882" ht="15.75" customHeight="1">
      <c r="A882" s="183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78"/>
    </row>
    <row r="883" ht="15.75" customHeight="1">
      <c r="A883" s="183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78"/>
    </row>
    <row r="884" ht="15.75" customHeight="1">
      <c r="A884" s="183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78"/>
    </row>
    <row r="885" ht="15.75" customHeight="1">
      <c r="A885" s="183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78"/>
    </row>
    <row r="886" ht="15.75" customHeight="1">
      <c r="A886" s="183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78"/>
    </row>
    <row r="887" ht="15.75" customHeight="1">
      <c r="A887" s="183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78"/>
    </row>
    <row r="888" ht="15.75" customHeight="1">
      <c r="A888" s="183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78"/>
    </row>
    <row r="889" ht="15.75" customHeight="1">
      <c r="A889" s="183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78"/>
    </row>
    <row r="890" ht="15.75" customHeight="1">
      <c r="A890" s="183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78"/>
    </row>
    <row r="891" ht="15.75" customHeight="1">
      <c r="A891" s="183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78"/>
    </row>
    <row r="892" ht="15.75" customHeight="1">
      <c r="A892" s="183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78"/>
    </row>
    <row r="893" ht="15.75" customHeight="1">
      <c r="A893" s="183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78"/>
    </row>
    <row r="894" ht="15.75" customHeight="1">
      <c r="A894" s="183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78"/>
    </row>
    <row r="895" ht="15.75" customHeight="1">
      <c r="A895" s="183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78"/>
    </row>
    <row r="896" ht="15.75" customHeight="1">
      <c r="A896" s="183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78"/>
    </row>
    <row r="897" ht="15.75" customHeight="1">
      <c r="A897" s="183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78"/>
    </row>
    <row r="898" ht="15.75" customHeight="1">
      <c r="A898" s="183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78"/>
    </row>
    <row r="899" ht="15.75" customHeight="1">
      <c r="A899" s="183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78"/>
    </row>
    <row r="900" ht="15.75" customHeight="1">
      <c r="A900" s="183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78"/>
    </row>
    <row r="901" ht="15.75" customHeight="1">
      <c r="A901" s="183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78"/>
    </row>
    <row r="902" ht="15.75" customHeight="1">
      <c r="A902" s="183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78"/>
    </row>
    <row r="903" ht="15.75" customHeight="1">
      <c r="A903" s="183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78"/>
    </row>
    <row r="904" ht="15.75" customHeight="1">
      <c r="A904" s="183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78"/>
    </row>
    <row r="905" ht="15.75" customHeight="1">
      <c r="A905" s="183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78"/>
    </row>
    <row r="906" ht="15.75" customHeight="1">
      <c r="A906" s="183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78"/>
    </row>
    <row r="907" ht="15.75" customHeight="1">
      <c r="A907" s="183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78"/>
    </row>
    <row r="908" ht="15.75" customHeight="1">
      <c r="A908" s="183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78"/>
    </row>
    <row r="909" ht="15.75" customHeight="1">
      <c r="A909" s="183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78"/>
    </row>
    <row r="910" ht="15.75" customHeight="1">
      <c r="A910" s="183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78"/>
    </row>
    <row r="911" ht="15.75" customHeight="1">
      <c r="A911" s="183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78"/>
    </row>
    <row r="912" ht="15.75" customHeight="1">
      <c r="A912" s="183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78"/>
    </row>
    <row r="913" ht="15.75" customHeight="1">
      <c r="A913" s="183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78"/>
    </row>
    <row r="914" ht="15.75" customHeight="1">
      <c r="A914" s="183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78"/>
    </row>
    <row r="915" ht="15.75" customHeight="1">
      <c r="A915" s="183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78"/>
    </row>
    <row r="916" ht="15.75" customHeight="1">
      <c r="A916" s="183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78"/>
    </row>
    <row r="917" ht="15.75" customHeight="1">
      <c r="A917" s="183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78"/>
    </row>
    <row r="918" ht="15.75" customHeight="1">
      <c r="A918" s="183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78"/>
    </row>
    <row r="919" ht="15.75" customHeight="1">
      <c r="A919" s="183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78"/>
    </row>
    <row r="920" ht="15.75" customHeight="1">
      <c r="A920" s="183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78"/>
    </row>
    <row r="921" ht="15.75" customHeight="1">
      <c r="A921" s="183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78"/>
    </row>
    <row r="922" ht="15.75" customHeight="1">
      <c r="A922" s="183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78"/>
    </row>
    <row r="923" ht="15.75" customHeight="1">
      <c r="A923" s="183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78"/>
    </row>
    <row r="924" ht="15.75" customHeight="1">
      <c r="A924" s="183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78"/>
    </row>
    <row r="925" ht="15.75" customHeight="1">
      <c r="A925" s="183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78"/>
    </row>
    <row r="926" ht="15.75" customHeight="1">
      <c r="A926" s="183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78"/>
    </row>
    <row r="927" ht="15.75" customHeight="1">
      <c r="A927" s="183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78"/>
    </row>
    <row r="928" ht="15.75" customHeight="1">
      <c r="A928" s="183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78"/>
    </row>
    <row r="929" ht="15.75" customHeight="1">
      <c r="A929" s="183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78"/>
    </row>
    <row r="930" ht="15.75" customHeight="1">
      <c r="A930" s="183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78"/>
    </row>
    <row r="931" ht="15.75" customHeight="1">
      <c r="A931" s="183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78"/>
    </row>
    <row r="932" ht="15.75" customHeight="1">
      <c r="A932" s="183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78"/>
    </row>
    <row r="933" ht="15.75" customHeight="1">
      <c r="A933" s="183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78"/>
    </row>
    <row r="934" ht="15.75" customHeight="1">
      <c r="A934" s="183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78"/>
    </row>
    <row r="935" ht="15.75" customHeight="1">
      <c r="A935" s="183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78"/>
    </row>
    <row r="936" ht="15.75" customHeight="1">
      <c r="A936" s="183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78"/>
    </row>
    <row r="937" ht="15.75" customHeight="1">
      <c r="A937" s="183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78"/>
    </row>
    <row r="938" ht="15.75" customHeight="1">
      <c r="A938" s="183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78"/>
    </row>
    <row r="939" ht="15.75" customHeight="1">
      <c r="A939" s="183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78"/>
    </row>
    <row r="940" ht="15.75" customHeight="1">
      <c r="A940" s="183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78"/>
    </row>
    <row r="941" ht="15.75" customHeight="1">
      <c r="A941" s="183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78"/>
    </row>
    <row r="942" ht="15.75" customHeight="1">
      <c r="A942" s="183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78"/>
    </row>
    <row r="943" ht="15.75" customHeight="1">
      <c r="A943" s="183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78"/>
    </row>
    <row r="944" ht="15.75" customHeight="1">
      <c r="A944" s="183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78"/>
    </row>
    <row r="945" ht="15.75" customHeight="1">
      <c r="A945" s="183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78"/>
    </row>
    <row r="946" ht="15.75" customHeight="1">
      <c r="A946" s="183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78"/>
    </row>
    <row r="947" ht="15.75" customHeight="1">
      <c r="A947" s="183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78"/>
    </row>
    <row r="948" ht="15.75" customHeight="1">
      <c r="A948" s="183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78"/>
    </row>
    <row r="949" ht="15.75" customHeight="1">
      <c r="A949" s="183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78"/>
    </row>
    <row r="950" ht="15.75" customHeight="1">
      <c r="A950" s="183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78"/>
    </row>
    <row r="951" ht="15.75" customHeight="1">
      <c r="A951" s="183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78"/>
    </row>
    <row r="952" ht="15.75" customHeight="1">
      <c r="A952" s="183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78"/>
    </row>
    <row r="953" ht="15.75" customHeight="1">
      <c r="A953" s="183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78"/>
    </row>
    <row r="954" ht="15.75" customHeight="1">
      <c r="A954" s="183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78"/>
    </row>
    <row r="955" ht="15.75" customHeight="1">
      <c r="A955" s="183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78"/>
    </row>
    <row r="956" ht="15.75" customHeight="1">
      <c r="A956" s="183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78"/>
    </row>
    <row r="957" ht="15.75" customHeight="1">
      <c r="A957" s="183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78"/>
    </row>
    <row r="958" ht="15.75" customHeight="1">
      <c r="A958" s="183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78"/>
    </row>
    <row r="959" ht="15.75" customHeight="1">
      <c r="A959" s="183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78"/>
    </row>
    <row r="960" ht="15.75" customHeight="1">
      <c r="A960" s="183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78"/>
    </row>
    <row r="961" ht="15.75" customHeight="1">
      <c r="A961" s="183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78"/>
    </row>
    <row r="962" ht="15.75" customHeight="1">
      <c r="A962" s="183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78"/>
    </row>
    <row r="963" ht="15.75" customHeight="1">
      <c r="A963" s="183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78"/>
    </row>
    <row r="964" ht="15.75" customHeight="1">
      <c r="A964" s="183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78"/>
    </row>
    <row r="965" ht="15.75" customHeight="1">
      <c r="A965" s="183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78"/>
    </row>
    <row r="966" ht="15.75" customHeight="1">
      <c r="A966" s="183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78"/>
    </row>
    <row r="967" ht="15.75" customHeight="1">
      <c r="A967" s="183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78"/>
    </row>
    <row r="968" ht="15.75" customHeight="1">
      <c r="A968" s="183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78"/>
    </row>
    <row r="969" ht="15.75" customHeight="1">
      <c r="A969" s="183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78"/>
    </row>
    <row r="970" ht="15.75" customHeight="1">
      <c r="A970" s="183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78"/>
    </row>
    <row r="971" ht="15.75" customHeight="1">
      <c r="A971" s="183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78"/>
    </row>
    <row r="972" ht="15.75" customHeight="1">
      <c r="A972" s="183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78"/>
    </row>
    <row r="973" ht="15.75" customHeight="1">
      <c r="A973" s="183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78"/>
    </row>
    <row r="974" ht="15.75" customHeight="1">
      <c r="A974" s="183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78"/>
    </row>
    <row r="975" ht="15.75" customHeight="1">
      <c r="A975" s="183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78"/>
    </row>
    <row r="976" ht="15.75" customHeight="1">
      <c r="A976" s="183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78"/>
    </row>
    <row r="977" ht="15.75" customHeight="1">
      <c r="A977" s="183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78"/>
    </row>
    <row r="978" ht="15.75" customHeight="1">
      <c r="A978" s="183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78"/>
    </row>
    <row r="979" ht="15.75" customHeight="1">
      <c r="A979" s="183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78"/>
    </row>
    <row r="980" ht="15.75" customHeight="1">
      <c r="A980" s="183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78"/>
    </row>
    <row r="981" ht="15.75" customHeight="1">
      <c r="A981" s="183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78"/>
    </row>
    <row r="982" ht="15.75" customHeight="1">
      <c r="A982" s="183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78"/>
    </row>
    <row r="983" ht="15.75" customHeight="1">
      <c r="A983" s="183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78"/>
    </row>
    <row r="984" ht="15.75" customHeight="1">
      <c r="A984" s="183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78"/>
    </row>
    <row r="985" ht="15.75" customHeight="1">
      <c r="A985" s="183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78"/>
    </row>
    <row r="986" ht="15.75" customHeight="1">
      <c r="A986" s="183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78"/>
    </row>
    <row r="987" ht="15.75" customHeight="1">
      <c r="A987" s="183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78"/>
    </row>
    <row r="988" ht="15.75" customHeight="1">
      <c r="A988" s="183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78"/>
    </row>
    <row r="989" ht="15.75" customHeight="1">
      <c r="A989" s="183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78"/>
    </row>
    <row r="990" ht="15.75" customHeight="1">
      <c r="A990" s="183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78"/>
    </row>
    <row r="991" ht="15.75" customHeight="1">
      <c r="A991" s="183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78"/>
    </row>
    <row r="992" ht="15.75" customHeight="1">
      <c r="A992" s="183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78"/>
    </row>
    <row r="993" ht="15.75" customHeight="1">
      <c r="A993" s="183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78"/>
    </row>
    <row r="994" ht="15.75" customHeight="1">
      <c r="A994" s="183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78"/>
    </row>
    <row r="995" ht="15.75" customHeight="1">
      <c r="A995" s="183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78"/>
    </row>
    <row r="996" ht="15.75" customHeight="1">
      <c r="A996" s="183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78"/>
    </row>
    <row r="997" ht="15.75" customHeight="1">
      <c r="A997" s="183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78"/>
    </row>
    <row r="998" ht="15.75" customHeight="1">
      <c r="A998" s="183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78"/>
    </row>
    <row r="999" ht="15.75" customHeight="1">
      <c r="A999" s="183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78"/>
    </row>
  </sheetData>
  <mergeCells count="4288">
    <mergeCell ref="P3:Q3"/>
    <mergeCell ref="R3:S3"/>
    <mergeCell ref="P4:Q4"/>
    <mergeCell ref="R4:S4"/>
    <mergeCell ref="T3:U3"/>
    <mergeCell ref="V3:W3"/>
    <mergeCell ref="T4:U4"/>
    <mergeCell ref="V4:W4"/>
    <mergeCell ref="X3:Y3"/>
    <mergeCell ref="Z3:AA3"/>
    <mergeCell ref="X4:Y4"/>
    <mergeCell ref="Z4:AA4"/>
    <mergeCell ref="AB4:AC4"/>
    <mergeCell ref="A1:E1"/>
    <mergeCell ref="F1:Q1"/>
    <mergeCell ref="R1:AC1"/>
    <mergeCell ref="AD1:AH1"/>
    <mergeCell ref="F3:G3"/>
    <mergeCell ref="H3:I3"/>
    <mergeCell ref="J3:K3"/>
    <mergeCell ref="AB3:AC3"/>
    <mergeCell ref="L3:M3"/>
    <mergeCell ref="N3:O3"/>
    <mergeCell ref="F4:G4"/>
    <mergeCell ref="H4:I4"/>
    <mergeCell ref="J4:K4"/>
    <mergeCell ref="L4:M4"/>
    <mergeCell ref="N4:O4"/>
    <mergeCell ref="T5:U5"/>
    <mergeCell ref="V5:W5"/>
    <mergeCell ref="X5:Y5"/>
    <mergeCell ref="Z5:AA5"/>
    <mergeCell ref="AB5:AC5"/>
    <mergeCell ref="F5:G5"/>
    <mergeCell ref="H5:I5"/>
    <mergeCell ref="J5:K5"/>
    <mergeCell ref="L5:M5"/>
    <mergeCell ref="N5:O5"/>
    <mergeCell ref="P5:Q5"/>
    <mergeCell ref="R5:S5"/>
    <mergeCell ref="T9:U9"/>
    <mergeCell ref="V9:W9"/>
    <mergeCell ref="X9:Y9"/>
    <mergeCell ref="Z9:AA9"/>
    <mergeCell ref="AB9:AC9"/>
    <mergeCell ref="F9:G9"/>
    <mergeCell ref="H9:I9"/>
    <mergeCell ref="J9:K9"/>
    <mergeCell ref="L9:M9"/>
    <mergeCell ref="N9:O9"/>
    <mergeCell ref="P9:Q9"/>
    <mergeCell ref="R9:S9"/>
    <mergeCell ref="T10:U10"/>
    <mergeCell ref="V10:W10"/>
    <mergeCell ref="X10:Y10"/>
    <mergeCell ref="Z10:AA10"/>
    <mergeCell ref="AB10:AC10"/>
    <mergeCell ref="F10:G10"/>
    <mergeCell ref="H10:I10"/>
    <mergeCell ref="J10:K10"/>
    <mergeCell ref="L10:M10"/>
    <mergeCell ref="N10:O10"/>
    <mergeCell ref="P10:Q10"/>
    <mergeCell ref="R10:S10"/>
    <mergeCell ref="T11:U11"/>
    <mergeCell ref="V11:W11"/>
    <mergeCell ref="X11:Y11"/>
    <mergeCell ref="Z11:AA11"/>
    <mergeCell ref="AB11:AC11"/>
    <mergeCell ref="F11:G11"/>
    <mergeCell ref="H11:I11"/>
    <mergeCell ref="J11:K11"/>
    <mergeCell ref="L11:M11"/>
    <mergeCell ref="N11:O11"/>
    <mergeCell ref="P11:Q11"/>
    <mergeCell ref="R11:S11"/>
    <mergeCell ref="T12:U12"/>
    <mergeCell ref="V12:W12"/>
    <mergeCell ref="X12:Y12"/>
    <mergeCell ref="Z12:AA12"/>
    <mergeCell ref="AB12:AC12"/>
    <mergeCell ref="F12:G12"/>
    <mergeCell ref="H12:I12"/>
    <mergeCell ref="J12:K12"/>
    <mergeCell ref="L12:M12"/>
    <mergeCell ref="N12:O12"/>
    <mergeCell ref="P12:Q12"/>
    <mergeCell ref="R12:S12"/>
    <mergeCell ref="T13:U13"/>
    <mergeCell ref="V13:W13"/>
    <mergeCell ref="X13:Y13"/>
    <mergeCell ref="Z13:AA13"/>
    <mergeCell ref="AB13:AC13"/>
    <mergeCell ref="F13:G13"/>
    <mergeCell ref="H13:I13"/>
    <mergeCell ref="J13:K13"/>
    <mergeCell ref="L13:M13"/>
    <mergeCell ref="N13:O13"/>
    <mergeCell ref="P13:Q13"/>
    <mergeCell ref="R13:S13"/>
    <mergeCell ref="T14:U14"/>
    <mergeCell ref="V14:W14"/>
    <mergeCell ref="X14:Y14"/>
    <mergeCell ref="Z14:AA14"/>
    <mergeCell ref="AB14:AC14"/>
    <mergeCell ref="F14:G14"/>
    <mergeCell ref="H14:I14"/>
    <mergeCell ref="J14:K14"/>
    <mergeCell ref="L14:M14"/>
    <mergeCell ref="N14:O14"/>
    <mergeCell ref="P14:Q14"/>
    <mergeCell ref="R14:S14"/>
    <mergeCell ref="T15:U15"/>
    <mergeCell ref="V15:W15"/>
    <mergeCell ref="X15:Y15"/>
    <mergeCell ref="Z15:AA15"/>
    <mergeCell ref="AB15:AC15"/>
    <mergeCell ref="F15:G15"/>
    <mergeCell ref="H15:I15"/>
    <mergeCell ref="J15:K15"/>
    <mergeCell ref="L15:M15"/>
    <mergeCell ref="N15:O15"/>
    <mergeCell ref="P15:Q15"/>
    <mergeCell ref="R15:S15"/>
    <mergeCell ref="T16:U16"/>
    <mergeCell ref="V16:W16"/>
    <mergeCell ref="X16:Y16"/>
    <mergeCell ref="Z16:AA16"/>
    <mergeCell ref="AB16:AC16"/>
    <mergeCell ref="F16:G16"/>
    <mergeCell ref="H16:I16"/>
    <mergeCell ref="J16:K16"/>
    <mergeCell ref="L16:M16"/>
    <mergeCell ref="N16:O16"/>
    <mergeCell ref="P16:Q16"/>
    <mergeCell ref="R16:S16"/>
    <mergeCell ref="T17:U17"/>
    <mergeCell ref="V17:W17"/>
    <mergeCell ref="X17:Y17"/>
    <mergeCell ref="Z17:AA17"/>
    <mergeCell ref="AB17:AC17"/>
    <mergeCell ref="F17:G17"/>
    <mergeCell ref="H17:I17"/>
    <mergeCell ref="J17:K17"/>
    <mergeCell ref="L17:M17"/>
    <mergeCell ref="N17:O17"/>
    <mergeCell ref="P17:Q17"/>
    <mergeCell ref="R17:S17"/>
    <mergeCell ref="T18:U18"/>
    <mergeCell ref="V18:W18"/>
    <mergeCell ref="X18:Y18"/>
    <mergeCell ref="Z18:AA18"/>
    <mergeCell ref="AB18:AC18"/>
    <mergeCell ref="F18:G18"/>
    <mergeCell ref="H18:I18"/>
    <mergeCell ref="J18:K18"/>
    <mergeCell ref="L18:M18"/>
    <mergeCell ref="N18:O18"/>
    <mergeCell ref="P18:Q18"/>
    <mergeCell ref="R18:S18"/>
    <mergeCell ref="T19:U19"/>
    <mergeCell ref="V19:W19"/>
    <mergeCell ref="X19:Y19"/>
    <mergeCell ref="Z19:AA19"/>
    <mergeCell ref="AB19:AC19"/>
    <mergeCell ref="F19:G19"/>
    <mergeCell ref="H19:I19"/>
    <mergeCell ref="J19:K19"/>
    <mergeCell ref="L19:M19"/>
    <mergeCell ref="N19:O19"/>
    <mergeCell ref="P19:Q19"/>
    <mergeCell ref="R19:S19"/>
    <mergeCell ref="T20:U20"/>
    <mergeCell ref="V20:W20"/>
    <mergeCell ref="X20:Y20"/>
    <mergeCell ref="Z20:AA20"/>
    <mergeCell ref="AB20:AC20"/>
    <mergeCell ref="F20:G20"/>
    <mergeCell ref="H20:I20"/>
    <mergeCell ref="J20:K20"/>
    <mergeCell ref="L20:M20"/>
    <mergeCell ref="N20:O20"/>
    <mergeCell ref="P20:Q20"/>
    <mergeCell ref="R20:S20"/>
    <mergeCell ref="T21:U21"/>
    <mergeCell ref="V21:W21"/>
    <mergeCell ref="X21:Y21"/>
    <mergeCell ref="Z21:AA21"/>
    <mergeCell ref="AB21:AC21"/>
    <mergeCell ref="F21:G21"/>
    <mergeCell ref="H21:I21"/>
    <mergeCell ref="J21:K21"/>
    <mergeCell ref="L21:M21"/>
    <mergeCell ref="N21:O21"/>
    <mergeCell ref="P21:Q21"/>
    <mergeCell ref="R21:S21"/>
    <mergeCell ref="T22:U22"/>
    <mergeCell ref="V22:W22"/>
    <mergeCell ref="X22:Y22"/>
    <mergeCell ref="Z22:AA22"/>
    <mergeCell ref="AB22:AC22"/>
    <mergeCell ref="F22:G22"/>
    <mergeCell ref="H22:I22"/>
    <mergeCell ref="J22:K22"/>
    <mergeCell ref="L22:M22"/>
    <mergeCell ref="N22:O22"/>
    <mergeCell ref="P22:Q22"/>
    <mergeCell ref="R22:S22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A24"/>
    <mergeCell ref="AB24:AC24"/>
    <mergeCell ref="F24:G24"/>
    <mergeCell ref="H24:I24"/>
    <mergeCell ref="J24:K24"/>
    <mergeCell ref="L24:M24"/>
    <mergeCell ref="N24:O24"/>
    <mergeCell ref="P24:Q24"/>
    <mergeCell ref="R24:S24"/>
    <mergeCell ref="T25:U25"/>
    <mergeCell ref="V25:W25"/>
    <mergeCell ref="X25:Y25"/>
    <mergeCell ref="Z25:AA25"/>
    <mergeCell ref="AB25:AC25"/>
    <mergeCell ref="F25:G25"/>
    <mergeCell ref="H25:I25"/>
    <mergeCell ref="J25:K25"/>
    <mergeCell ref="L25:M25"/>
    <mergeCell ref="N25:O25"/>
    <mergeCell ref="P25:Q25"/>
    <mergeCell ref="R25:S25"/>
    <mergeCell ref="T26:U26"/>
    <mergeCell ref="V26:W26"/>
    <mergeCell ref="X26:Y26"/>
    <mergeCell ref="Z26:AA26"/>
    <mergeCell ref="AB26:AC26"/>
    <mergeCell ref="F26:G26"/>
    <mergeCell ref="H26:I26"/>
    <mergeCell ref="J26:K26"/>
    <mergeCell ref="L26:M26"/>
    <mergeCell ref="N26:O26"/>
    <mergeCell ref="P26:Q26"/>
    <mergeCell ref="R26:S26"/>
    <mergeCell ref="T27:U27"/>
    <mergeCell ref="V27:W27"/>
    <mergeCell ref="X27:Y27"/>
    <mergeCell ref="Z27:AA27"/>
    <mergeCell ref="AB27:AC27"/>
    <mergeCell ref="F27:G27"/>
    <mergeCell ref="H27:I27"/>
    <mergeCell ref="J27:K27"/>
    <mergeCell ref="L27:M27"/>
    <mergeCell ref="N27:O27"/>
    <mergeCell ref="P27:Q27"/>
    <mergeCell ref="R27:S27"/>
    <mergeCell ref="T28:U28"/>
    <mergeCell ref="V28:W28"/>
    <mergeCell ref="X28:Y28"/>
    <mergeCell ref="Z28:AA28"/>
    <mergeCell ref="AB28:AC28"/>
    <mergeCell ref="F28:G28"/>
    <mergeCell ref="H28:I28"/>
    <mergeCell ref="J28:K28"/>
    <mergeCell ref="L28:M28"/>
    <mergeCell ref="N28:O28"/>
    <mergeCell ref="P28:Q28"/>
    <mergeCell ref="R28:S28"/>
    <mergeCell ref="T29:U29"/>
    <mergeCell ref="V29:W29"/>
    <mergeCell ref="X29:Y29"/>
    <mergeCell ref="Z29:AA29"/>
    <mergeCell ref="AB29:AC29"/>
    <mergeCell ref="F29:G29"/>
    <mergeCell ref="H29:I29"/>
    <mergeCell ref="J29:K29"/>
    <mergeCell ref="L29:M29"/>
    <mergeCell ref="N29:O29"/>
    <mergeCell ref="P29:Q29"/>
    <mergeCell ref="R29:S29"/>
    <mergeCell ref="T30:U30"/>
    <mergeCell ref="V30:W30"/>
    <mergeCell ref="X30:Y30"/>
    <mergeCell ref="Z30:AA30"/>
    <mergeCell ref="AB30:AC30"/>
    <mergeCell ref="F30:G30"/>
    <mergeCell ref="H30:I30"/>
    <mergeCell ref="J30:K30"/>
    <mergeCell ref="L30:M30"/>
    <mergeCell ref="N30:O30"/>
    <mergeCell ref="P30:Q30"/>
    <mergeCell ref="R30:S30"/>
    <mergeCell ref="T31:U31"/>
    <mergeCell ref="V31:W31"/>
    <mergeCell ref="X31:Y31"/>
    <mergeCell ref="Z31:AA31"/>
    <mergeCell ref="AB31:AC31"/>
    <mergeCell ref="F31:G31"/>
    <mergeCell ref="H31:I31"/>
    <mergeCell ref="J31:K31"/>
    <mergeCell ref="L31:M31"/>
    <mergeCell ref="N31:O31"/>
    <mergeCell ref="P31:Q31"/>
    <mergeCell ref="R31:S31"/>
    <mergeCell ref="T32:U32"/>
    <mergeCell ref="V32:W32"/>
    <mergeCell ref="X32:Y32"/>
    <mergeCell ref="Z32:AA32"/>
    <mergeCell ref="AB32:AC32"/>
    <mergeCell ref="F32:G32"/>
    <mergeCell ref="H32:I32"/>
    <mergeCell ref="J32:K32"/>
    <mergeCell ref="L32:M32"/>
    <mergeCell ref="N32:O32"/>
    <mergeCell ref="P32:Q32"/>
    <mergeCell ref="R32:S32"/>
    <mergeCell ref="T33:U33"/>
    <mergeCell ref="V33:W33"/>
    <mergeCell ref="X33:Y33"/>
    <mergeCell ref="Z33:AA33"/>
    <mergeCell ref="AB33:AC33"/>
    <mergeCell ref="F33:G33"/>
    <mergeCell ref="H33:I33"/>
    <mergeCell ref="J33:K33"/>
    <mergeCell ref="L33:M33"/>
    <mergeCell ref="N33:O33"/>
    <mergeCell ref="P33:Q33"/>
    <mergeCell ref="R33:S33"/>
    <mergeCell ref="T34:U34"/>
    <mergeCell ref="V34:W34"/>
    <mergeCell ref="X34:Y34"/>
    <mergeCell ref="Z34:AA34"/>
    <mergeCell ref="AB34:AC34"/>
    <mergeCell ref="F34:G34"/>
    <mergeCell ref="H34:I34"/>
    <mergeCell ref="J34:K34"/>
    <mergeCell ref="L34:M34"/>
    <mergeCell ref="N34:O34"/>
    <mergeCell ref="P34:Q34"/>
    <mergeCell ref="R34:S34"/>
    <mergeCell ref="T35:U35"/>
    <mergeCell ref="V35:W35"/>
    <mergeCell ref="X35:Y35"/>
    <mergeCell ref="Z35:AA35"/>
    <mergeCell ref="AB35:AC35"/>
    <mergeCell ref="F35:G35"/>
    <mergeCell ref="H35:I35"/>
    <mergeCell ref="J35:K35"/>
    <mergeCell ref="L35:M35"/>
    <mergeCell ref="N35:O35"/>
    <mergeCell ref="P35:Q35"/>
    <mergeCell ref="R35:S35"/>
    <mergeCell ref="T36:U36"/>
    <mergeCell ref="V36:W36"/>
    <mergeCell ref="X36:Y36"/>
    <mergeCell ref="Z36:AA36"/>
    <mergeCell ref="AB36:AC36"/>
    <mergeCell ref="F36:G36"/>
    <mergeCell ref="H36:I36"/>
    <mergeCell ref="J36:K36"/>
    <mergeCell ref="L36:M36"/>
    <mergeCell ref="N36:O36"/>
    <mergeCell ref="P36:Q36"/>
    <mergeCell ref="R36:S36"/>
    <mergeCell ref="T37:U37"/>
    <mergeCell ref="V37:W37"/>
    <mergeCell ref="X37:Y37"/>
    <mergeCell ref="Z37:AA37"/>
    <mergeCell ref="AB37:AC37"/>
    <mergeCell ref="F37:G37"/>
    <mergeCell ref="H37:I37"/>
    <mergeCell ref="J37:K37"/>
    <mergeCell ref="L37:M37"/>
    <mergeCell ref="N37:O37"/>
    <mergeCell ref="P37:Q37"/>
    <mergeCell ref="R37:S37"/>
    <mergeCell ref="T38:U38"/>
    <mergeCell ref="V38:W38"/>
    <mergeCell ref="X38:Y38"/>
    <mergeCell ref="Z38:AA38"/>
    <mergeCell ref="AB38:AC38"/>
    <mergeCell ref="F38:G38"/>
    <mergeCell ref="H38:I38"/>
    <mergeCell ref="J38:K38"/>
    <mergeCell ref="L38:M38"/>
    <mergeCell ref="N38:O38"/>
    <mergeCell ref="P38:Q38"/>
    <mergeCell ref="R38:S38"/>
    <mergeCell ref="T39:U39"/>
    <mergeCell ref="V39:W39"/>
    <mergeCell ref="X39:Y39"/>
    <mergeCell ref="Z39:AA39"/>
    <mergeCell ref="AB39:AC39"/>
    <mergeCell ref="F39:G39"/>
    <mergeCell ref="H39:I39"/>
    <mergeCell ref="J39:K39"/>
    <mergeCell ref="L39:M39"/>
    <mergeCell ref="N39:O39"/>
    <mergeCell ref="P39:Q39"/>
    <mergeCell ref="R39:S39"/>
    <mergeCell ref="T40:U40"/>
    <mergeCell ref="V40:W40"/>
    <mergeCell ref="X40:Y40"/>
    <mergeCell ref="Z40:AA40"/>
    <mergeCell ref="AB40:AC40"/>
    <mergeCell ref="F40:G40"/>
    <mergeCell ref="H40:I40"/>
    <mergeCell ref="J40:K40"/>
    <mergeCell ref="L40:M40"/>
    <mergeCell ref="N40:O40"/>
    <mergeCell ref="P40:Q40"/>
    <mergeCell ref="R40:S40"/>
    <mergeCell ref="T41:U41"/>
    <mergeCell ref="V41:W41"/>
    <mergeCell ref="X41:Y41"/>
    <mergeCell ref="Z41:AA41"/>
    <mergeCell ref="AB41:AC41"/>
    <mergeCell ref="F41:G41"/>
    <mergeCell ref="H41:I41"/>
    <mergeCell ref="J41:K41"/>
    <mergeCell ref="L41:M41"/>
    <mergeCell ref="N41:O41"/>
    <mergeCell ref="P41:Q41"/>
    <mergeCell ref="R41:S41"/>
    <mergeCell ref="T42:U42"/>
    <mergeCell ref="V42:W42"/>
    <mergeCell ref="X42:Y42"/>
    <mergeCell ref="Z42:AA42"/>
    <mergeCell ref="AB42:AC42"/>
    <mergeCell ref="F42:G42"/>
    <mergeCell ref="H42:I42"/>
    <mergeCell ref="J42:K42"/>
    <mergeCell ref="L42:M42"/>
    <mergeCell ref="N42:O42"/>
    <mergeCell ref="P42:Q42"/>
    <mergeCell ref="R42:S42"/>
    <mergeCell ref="T43:U43"/>
    <mergeCell ref="V43:W43"/>
    <mergeCell ref="X43:Y43"/>
    <mergeCell ref="Z43:AA43"/>
    <mergeCell ref="AB43:AC43"/>
    <mergeCell ref="F43:G43"/>
    <mergeCell ref="H43:I43"/>
    <mergeCell ref="J43:K43"/>
    <mergeCell ref="L43:M43"/>
    <mergeCell ref="N43:O43"/>
    <mergeCell ref="P43:Q43"/>
    <mergeCell ref="R43:S43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R44:S44"/>
    <mergeCell ref="T45:U45"/>
    <mergeCell ref="V45:W45"/>
    <mergeCell ref="X45:Y45"/>
    <mergeCell ref="Z45:AA45"/>
    <mergeCell ref="AB45:AC45"/>
    <mergeCell ref="F45:G45"/>
    <mergeCell ref="H45:I45"/>
    <mergeCell ref="J45:K45"/>
    <mergeCell ref="L45:M45"/>
    <mergeCell ref="N45:O45"/>
    <mergeCell ref="P45:Q45"/>
    <mergeCell ref="R45:S45"/>
    <mergeCell ref="T46:U46"/>
    <mergeCell ref="V46:W46"/>
    <mergeCell ref="X46:Y46"/>
    <mergeCell ref="Z46:AA46"/>
    <mergeCell ref="AB46:AC46"/>
    <mergeCell ref="F46:G46"/>
    <mergeCell ref="H46:I46"/>
    <mergeCell ref="J46:K46"/>
    <mergeCell ref="L46:M46"/>
    <mergeCell ref="N46:O46"/>
    <mergeCell ref="P46:Q46"/>
    <mergeCell ref="R46:S46"/>
    <mergeCell ref="T47:U47"/>
    <mergeCell ref="V47:W47"/>
    <mergeCell ref="X47:Y47"/>
    <mergeCell ref="Z47:AA47"/>
    <mergeCell ref="AB47:AC47"/>
    <mergeCell ref="F47:G47"/>
    <mergeCell ref="H47:I47"/>
    <mergeCell ref="J47:K47"/>
    <mergeCell ref="L47:M47"/>
    <mergeCell ref="N47:O47"/>
    <mergeCell ref="P47:Q47"/>
    <mergeCell ref="R47:S47"/>
    <mergeCell ref="T48:U48"/>
    <mergeCell ref="V48:W48"/>
    <mergeCell ref="X48:Y48"/>
    <mergeCell ref="Z48:AA48"/>
    <mergeCell ref="AB48:AC48"/>
    <mergeCell ref="F48:G48"/>
    <mergeCell ref="H48:I48"/>
    <mergeCell ref="J48:K48"/>
    <mergeCell ref="L48:M48"/>
    <mergeCell ref="N48:O48"/>
    <mergeCell ref="P48:Q48"/>
    <mergeCell ref="R48:S48"/>
    <mergeCell ref="T49:U49"/>
    <mergeCell ref="V49:W49"/>
    <mergeCell ref="X49:Y49"/>
    <mergeCell ref="Z49:AA49"/>
    <mergeCell ref="AB49:AC49"/>
    <mergeCell ref="F49:G49"/>
    <mergeCell ref="H49:I49"/>
    <mergeCell ref="J49:K49"/>
    <mergeCell ref="L49:M49"/>
    <mergeCell ref="N49:O49"/>
    <mergeCell ref="P49:Q49"/>
    <mergeCell ref="R49:S49"/>
    <mergeCell ref="T50:U50"/>
    <mergeCell ref="V50:W50"/>
    <mergeCell ref="X50:Y50"/>
    <mergeCell ref="Z50:AA50"/>
    <mergeCell ref="AB50:AC50"/>
    <mergeCell ref="F50:G50"/>
    <mergeCell ref="H50:I50"/>
    <mergeCell ref="J50:K50"/>
    <mergeCell ref="L50:M50"/>
    <mergeCell ref="N50:O50"/>
    <mergeCell ref="P50:Q50"/>
    <mergeCell ref="R50:S50"/>
    <mergeCell ref="T51:U51"/>
    <mergeCell ref="V51:W51"/>
    <mergeCell ref="X51:Y51"/>
    <mergeCell ref="Z51:AA51"/>
    <mergeCell ref="AB51:AC51"/>
    <mergeCell ref="F51:G51"/>
    <mergeCell ref="H51:I51"/>
    <mergeCell ref="J51:K51"/>
    <mergeCell ref="L51:M51"/>
    <mergeCell ref="N51:O51"/>
    <mergeCell ref="P51:Q51"/>
    <mergeCell ref="R51:S51"/>
    <mergeCell ref="T52:U52"/>
    <mergeCell ref="V52:W52"/>
    <mergeCell ref="X52:Y52"/>
    <mergeCell ref="Z52:AA52"/>
    <mergeCell ref="AB52:AC52"/>
    <mergeCell ref="F52:G52"/>
    <mergeCell ref="H52:I52"/>
    <mergeCell ref="J52:K52"/>
    <mergeCell ref="L52:M52"/>
    <mergeCell ref="N52:O52"/>
    <mergeCell ref="P52:Q52"/>
    <mergeCell ref="R52:S52"/>
    <mergeCell ref="T53:U53"/>
    <mergeCell ref="V53:W53"/>
    <mergeCell ref="X53:Y53"/>
    <mergeCell ref="Z53:AA53"/>
    <mergeCell ref="AB53:AC53"/>
    <mergeCell ref="F53:G53"/>
    <mergeCell ref="H53:I53"/>
    <mergeCell ref="J53:K53"/>
    <mergeCell ref="L53:M53"/>
    <mergeCell ref="N53:O53"/>
    <mergeCell ref="P53:Q53"/>
    <mergeCell ref="R53:S53"/>
    <mergeCell ref="T54:U54"/>
    <mergeCell ref="V54:W54"/>
    <mergeCell ref="X54:Y54"/>
    <mergeCell ref="Z54:AA54"/>
    <mergeCell ref="AB54:AC54"/>
    <mergeCell ref="F54:G54"/>
    <mergeCell ref="H54:I54"/>
    <mergeCell ref="J54:K54"/>
    <mergeCell ref="L54:M54"/>
    <mergeCell ref="N54:O54"/>
    <mergeCell ref="P54:Q54"/>
    <mergeCell ref="R54:S54"/>
    <mergeCell ref="T55:U55"/>
    <mergeCell ref="V55:W55"/>
    <mergeCell ref="X55:Y55"/>
    <mergeCell ref="Z55:AA55"/>
    <mergeCell ref="AB55:AC55"/>
    <mergeCell ref="F55:G55"/>
    <mergeCell ref="H55:I55"/>
    <mergeCell ref="J55:K55"/>
    <mergeCell ref="L55:M55"/>
    <mergeCell ref="N55:O55"/>
    <mergeCell ref="P55:Q55"/>
    <mergeCell ref="R55:S55"/>
    <mergeCell ref="T56:U56"/>
    <mergeCell ref="V56:W56"/>
    <mergeCell ref="X56:Y56"/>
    <mergeCell ref="Z56:AA56"/>
    <mergeCell ref="AB56:AC56"/>
    <mergeCell ref="F56:G56"/>
    <mergeCell ref="H56:I56"/>
    <mergeCell ref="J56:K56"/>
    <mergeCell ref="L56:M56"/>
    <mergeCell ref="N56:O56"/>
    <mergeCell ref="P56:Q56"/>
    <mergeCell ref="R56:S56"/>
    <mergeCell ref="T57:U57"/>
    <mergeCell ref="V57:W57"/>
    <mergeCell ref="X57:Y57"/>
    <mergeCell ref="Z57:AA57"/>
    <mergeCell ref="AB57:AC57"/>
    <mergeCell ref="F57:G57"/>
    <mergeCell ref="H57:I57"/>
    <mergeCell ref="J57:K57"/>
    <mergeCell ref="L57:M57"/>
    <mergeCell ref="N57:O57"/>
    <mergeCell ref="P57:Q57"/>
    <mergeCell ref="R57:S57"/>
    <mergeCell ref="T58:U58"/>
    <mergeCell ref="V58:W58"/>
    <mergeCell ref="X58:Y58"/>
    <mergeCell ref="Z58:AA58"/>
    <mergeCell ref="AB58:AC58"/>
    <mergeCell ref="F58:G58"/>
    <mergeCell ref="H58:I58"/>
    <mergeCell ref="J58:K58"/>
    <mergeCell ref="L58:M58"/>
    <mergeCell ref="N58:O58"/>
    <mergeCell ref="P58:Q58"/>
    <mergeCell ref="R58:S58"/>
    <mergeCell ref="T59:U59"/>
    <mergeCell ref="V59:W59"/>
    <mergeCell ref="X59:Y59"/>
    <mergeCell ref="Z59:AA59"/>
    <mergeCell ref="AB59:AC59"/>
    <mergeCell ref="F59:G59"/>
    <mergeCell ref="H59:I59"/>
    <mergeCell ref="J59:K59"/>
    <mergeCell ref="L59:M59"/>
    <mergeCell ref="N59:O59"/>
    <mergeCell ref="P59:Q59"/>
    <mergeCell ref="R59:S59"/>
    <mergeCell ref="T60:U60"/>
    <mergeCell ref="V60:W60"/>
    <mergeCell ref="X60:Y60"/>
    <mergeCell ref="Z60:AA60"/>
    <mergeCell ref="AB60:AC60"/>
    <mergeCell ref="F60:G60"/>
    <mergeCell ref="H60:I60"/>
    <mergeCell ref="J60:K60"/>
    <mergeCell ref="L60:M60"/>
    <mergeCell ref="N60:O60"/>
    <mergeCell ref="P60:Q60"/>
    <mergeCell ref="R60:S60"/>
    <mergeCell ref="T61:U61"/>
    <mergeCell ref="V61:W61"/>
    <mergeCell ref="X61:Y61"/>
    <mergeCell ref="Z61:AA61"/>
    <mergeCell ref="AB61:AC61"/>
    <mergeCell ref="F61:G61"/>
    <mergeCell ref="H61:I61"/>
    <mergeCell ref="J61:K61"/>
    <mergeCell ref="L61:M61"/>
    <mergeCell ref="N61:O61"/>
    <mergeCell ref="P61:Q61"/>
    <mergeCell ref="R61:S61"/>
    <mergeCell ref="T62:U62"/>
    <mergeCell ref="V62:W62"/>
    <mergeCell ref="X62:Y62"/>
    <mergeCell ref="Z62:AA62"/>
    <mergeCell ref="AB62:AC62"/>
    <mergeCell ref="F62:G62"/>
    <mergeCell ref="H62:I62"/>
    <mergeCell ref="J62:K62"/>
    <mergeCell ref="L62:M62"/>
    <mergeCell ref="N62:O62"/>
    <mergeCell ref="P62:Q62"/>
    <mergeCell ref="R62:S62"/>
    <mergeCell ref="T63:U63"/>
    <mergeCell ref="V63:W63"/>
    <mergeCell ref="X63:Y63"/>
    <mergeCell ref="Z63:AA63"/>
    <mergeCell ref="AB63:AC63"/>
    <mergeCell ref="F63:G63"/>
    <mergeCell ref="H63:I63"/>
    <mergeCell ref="J63:K63"/>
    <mergeCell ref="L63:M63"/>
    <mergeCell ref="N63:O63"/>
    <mergeCell ref="P63:Q63"/>
    <mergeCell ref="R63:S63"/>
    <mergeCell ref="T64:U64"/>
    <mergeCell ref="V64:W64"/>
    <mergeCell ref="X64:Y64"/>
    <mergeCell ref="Z64:AA64"/>
    <mergeCell ref="AB64:AC64"/>
    <mergeCell ref="F64:G64"/>
    <mergeCell ref="H64:I64"/>
    <mergeCell ref="J64:K64"/>
    <mergeCell ref="L64:M64"/>
    <mergeCell ref="N64:O64"/>
    <mergeCell ref="P64:Q64"/>
    <mergeCell ref="R64:S64"/>
    <mergeCell ref="T65:U65"/>
    <mergeCell ref="V65:W65"/>
    <mergeCell ref="X65:Y65"/>
    <mergeCell ref="Z65:AA65"/>
    <mergeCell ref="AB65:AC65"/>
    <mergeCell ref="F65:G65"/>
    <mergeCell ref="H65:I65"/>
    <mergeCell ref="J65:K65"/>
    <mergeCell ref="L65:M65"/>
    <mergeCell ref="N65:O65"/>
    <mergeCell ref="P65:Q65"/>
    <mergeCell ref="R65:S65"/>
    <mergeCell ref="T66:U66"/>
    <mergeCell ref="V66:W66"/>
    <mergeCell ref="X66:Y66"/>
    <mergeCell ref="Z66:AA66"/>
    <mergeCell ref="AB66:AC66"/>
    <mergeCell ref="F66:G66"/>
    <mergeCell ref="H66:I66"/>
    <mergeCell ref="J66:K66"/>
    <mergeCell ref="L66:M66"/>
    <mergeCell ref="N66:O66"/>
    <mergeCell ref="P66:Q66"/>
    <mergeCell ref="R66:S66"/>
    <mergeCell ref="T67:U67"/>
    <mergeCell ref="V67:W67"/>
    <mergeCell ref="X67:Y67"/>
    <mergeCell ref="Z67:AA67"/>
    <mergeCell ref="AB67:AC67"/>
    <mergeCell ref="F67:G67"/>
    <mergeCell ref="H67:I67"/>
    <mergeCell ref="J67:K67"/>
    <mergeCell ref="L67:M67"/>
    <mergeCell ref="N67:O67"/>
    <mergeCell ref="P67:Q67"/>
    <mergeCell ref="R67:S67"/>
    <mergeCell ref="T68:U68"/>
    <mergeCell ref="V68:W68"/>
    <mergeCell ref="X68:Y68"/>
    <mergeCell ref="Z68:AA68"/>
    <mergeCell ref="AB68:AC68"/>
    <mergeCell ref="F68:G68"/>
    <mergeCell ref="H68:I68"/>
    <mergeCell ref="J68:K68"/>
    <mergeCell ref="L68:M68"/>
    <mergeCell ref="N68:O68"/>
    <mergeCell ref="P68:Q68"/>
    <mergeCell ref="R68:S68"/>
    <mergeCell ref="T69:U69"/>
    <mergeCell ref="V69:W69"/>
    <mergeCell ref="X69:Y69"/>
    <mergeCell ref="Z69:AA69"/>
    <mergeCell ref="AB69:AC69"/>
    <mergeCell ref="F69:G69"/>
    <mergeCell ref="H69:I69"/>
    <mergeCell ref="J69:K69"/>
    <mergeCell ref="L69:M69"/>
    <mergeCell ref="N69:O69"/>
    <mergeCell ref="P69:Q69"/>
    <mergeCell ref="R69:S69"/>
    <mergeCell ref="T70:U70"/>
    <mergeCell ref="V70:W70"/>
    <mergeCell ref="X70:Y70"/>
    <mergeCell ref="Z70:AA70"/>
    <mergeCell ref="AB70:AC70"/>
    <mergeCell ref="F70:G70"/>
    <mergeCell ref="H70:I70"/>
    <mergeCell ref="J70:K70"/>
    <mergeCell ref="L70:M70"/>
    <mergeCell ref="N70:O70"/>
    <mergeCell ref="P70:Q70"/>
    <mergeCell ref="R70:S70"/>
    <mergeCell ref="T71:U71"/>
    <mergeCell ref="V71:W71"/>
    <mergeCell ref="X71:Y71"/>
    <mergeCell ref="Z71:AA71"/>
    <mergeCell ref="AB71:AC71"/>
    <mergeCell ref="F71:G71"/>
    <mergeCell ref="H71:I71"/>
    <mergeCell ref="J71:K71"/>
    <mergeCell ref="L71:M71"/>
    <mergeCell ref="N71:O71"/>
    <mergeCell ref="P71:Q71"/>
    <mergeCell ref="R71:S71"/>
    <mergeCell ref="T72:U72"/>
    <mergeCell ref="V72:W72"/>
    <mergeCell ref="X72:Y72"/>
    <mergeCell ref="Z72:AA72"/>
    <mergeCell ref="AB72:AC72"/>
    <mergeCell ref="F72:G72"/>
    <mergeCell ref="H72:I72"/>
    <mergeCell ref="J72:K72"/>
    <mergeCell ref="L72:M72"/>
    <mergeCell ref="N72:O72"/>
    <mergeCell ref="P72:Q72"/>
    <mergeCell ref="R72:S72"/>
    <mergeCell ref="T73:U73"/>
    <mergeCell ref="V73:W73"/>
    <mergeCell ref="X73:Y73"/>
    <mergeCell ref="Z73:AA73"/>
    <mergeCell ref="AB73:AC73"/>
    <mergeCell ref="F73:G73"/>
    <mergeCell ref="H73:I73"/>
    <mergeCell ref="J73:K73"/>
    <mergeCell ref="L73:M73"/>
    <mergeCell ref="N73:O73"/>
    <mergeCell ref="P73:Q73"/>
    <mergeCell ref="R73:S73"/>
    <mergeCell ref="T74:U74"/>
    <mergeCell ref="V74:W74"/>
    <mergeCell ref="X74:Y74"/>
    <mergeCell ref="Z74:AA74"/>
    <mergeCell ref="AB74:AC74"/>
    <mergeCell ref="F74:G74"/>
    <mergeCell ref="H74:I74"/>
    <mergeCell ref="J74:K74"/>
    <mergeCell ref="L74:M74"/>
    <mergeCell ref="N74:O74"/>
    <mergeCell ref="P74:Q74"/>
    <mergeCell ref="R74:S74"/>
    <mergeCell ref="T75:U75"/>
    <mergeCell ref="V75:W75"/>
    <mergeCell ref="X75:Y75"/>
    <mergeCell ref="Z75:AA75"/>
    <mergeCell ref="AB75:AC75"/>
    <mergeCell ref="F75:G75"/>
    <mergeCell ref="H75:I75"/>
    <mergeCell ref="J75:K75"/>
    <mergeCell ref="L75:M75"/>
    <mergeCell ref="N75:O75"/>
    <mergeCell ref="P75:Q75"/>
    <mergeCell ref="R75:S75"/>
    <mergeCell ref="T76:U76"/>
    <mergeCell ref="V76:W76"/>
    <mergeCell ref="X76:Y76"/>
    <mergeCell ref="Z76:AA76"/>
    <mergeCell ref="AB76:AC76"/>
    <mergeCell ref="F76:G76"/>
    <mergeCell ref="H76:I76"/>
    <mergeCell ref="J76:K76"/>
    <mergeCell ref="L76:M76"/>
    <mergeCell ref="N76:O76"/>
    <mergeCell ref="P76:Q76"/>
    <mergeCell ref="R76:S76"/>
    <mergeCell ref="T77:U77"/>
    <mergeCell ref="V77:W77"/>
    <mergeCell ref="X77:Y77"/>
    <mergeCell ref="Z77:AA77"/>
    <mergeCell ref="AB77:AC77"/>
    <mergeCell ref="F77:G77"/>
    <mergeCell ref="H77:I77"/>
    <mergeCell ref="J77:K77"/>
    <mergeCell ref="L77:M77"/>
    <mergeCell ref="N77:O77"/>
    <mergeCell ref="P77:Q77"/>
    <mergeCell ref="R77:S77"/>
    <mergeCell ref="T78:U78"/>
    <mergeCell ref="V78:W78"/>
    <mergeCell ref="X78:Y78"/>
    <mergeCell ref="Z78:AA78"/>
    <mergeCell ref="AB78:AC78"/>
    <mergeCell ref="F78:G78"/>
    <mergeCell ref="H78:I78"/>
    <mergeCell ref="J78:K78"/>
    <mergeCell ref="L78:M78"/>
    <mergeCell ref="N78:O78"/>
    <mergeCell ref="P78:Q78"/>
    <mergeCell ref="R78:S78"/>
    <mergeCell ref="T79:U79"/>
    <mergeCell ref="V79:W79"/>
    <mergeCell ref="X79:Y79"/>
    <mergeCell ref="Z79:AA79"/>
    <mergeCell ref="AB79:AC79"/>
    <mergeCell ref="F79:G79"/>
    <mergeCell ref="H79:I79"/>
    <mergeCell ref="J79:K79"/>
    <mergeCell ref="L79:M79"/>
    <mergeCell ref="N79:O79"/>
    <mergeCell ref="P79:Q79"/>
    <mergeCell ref="R79:S79"/>
    <mergeCell ref="T80:U80"/>
    <mergeCell ref="V80:W80"/>
    <mergeCell ref="X80:Y80"/>
    <mergeCell ref="Z80:AA80"/>
    <mergeCell ref="AB80:AC80"/>
    <mergeCell ref="F80:G80"/>
    <mergeCell ref="H80:I80"/>
    <mergeCell ref="J80:K80"/>
    <mergeCell ref="L80:M80"/>
    <mergeCell ref="N80:O80"/>
    <mergeCell ref="P80:Q80"/>
    <mergeCell ref="R80:S80"/>
    <mergeCell ref="T81:U81"/>
    <mergeCell ref="V81:W81"/>
    <mergeCell ref="X81:Y81"/>
    <mergeCell ref="Z81:AA81"/>
    <mergeCell ref="AB81:AC81"/>
    <mergeCell ref="F81:G81"/>
    <mergeCell ref="H81:I81"/>
    <mergeCell ref="J81:K81"/>
    <mergeCell ref="L81:M81"/>
    <mergeCell ref="N81:O81"/>
    <mergeCell ref="P81:Q81"/>
    <mergeCell ref="R81:S81"/>
    <mergeCell ref="T82:U82"/>
    <mergeCell ref="V82:W82"/>
    <mergeCell ref="X82:Y82"/>
    <mergeCell ref="Z82:AA82"/>
    <mergeCell ref="AB82:AC82"/>
    <mergeCell ref="F82:G82"/>
    <mergeCell ref="H82:I82"/>
    <mergeCell ref="J82:K82"/>
    <mergeCell ref="L82:M82"/>
    <mergeCell ref="N82:O82"/>
    <mergeCell ref="P82:Q82"/>
    <mergeCell ref="R82:S82"/>
    <mergeCell ref="T83:U83"/>
    <mergeCell ref="V83:W83"/>
    <mergeCell ref="X83:Y83"/>
    <mergeCell ref="Z83:AA83"/>
    <mergeCell ref="AB83:AC83"/>
    <mergeCell ref="F83:G83"/>
    <mergeCell ref="H83:I83"/>
    <mergeCell ref="J83:K83"/>
    <mergeCell ref="L83:M83"/>
    <mergeCell ref="N83:O83"/>
    <mergeCell ref="P83:Q83"/>
    <mergeCell ref="R83:S83"/>
    <mergeCell ref="T84:U84"/>
    <mergeCell ref="V84:W84"/>
    <mergeCell ref="X84:Y84"/>
    <mergeCell ref="Z84:AA84"/>
    <mergeCell ref="AB84:AC84"/>
    <mergeCell ref="F84:G84"/>
    <mergeCell ref="H84:I84"/>
    <mergeCell ref="J84:K84"/>
    <mergeCell ref="L84:M84"/>
    <mergeCell ref="N84:O84"/>
    <mergeCell ref="P84:Q84"/>
    <mergeCell ref="R84:S84"/>
    <mergeCell ref="T85:U85"/>
    <mergeCell ref="V85:W85"/>
    <mergeCell ref="X85:Y85"/>
    <mergeCell ref="Z85:AA85"/>
    <mergeCell ref="AB85:AC85"/>
    <mergeCell ref="F85:G85"/>
    <mergeCell ref="H85:I85"/>
    <mergeCell ref="J85:K85"/>
    <mergeCell ref="L85:M85"/>
    <mergeCell ref="N85:O85"/>
    <mergeCell ref="P85:Q85"/>
    <mergeCell ref="R85:S85"/>
    <mergeCell ref="T86:U86"/>
    <mergeCell ref="V86:W86"/>
    <mergeCell ref="X86:Y86"/>
    <mergeCell ref="Z86:AA86"/>
    <mergeCell ref="AB86:AC86"/>
    <mergeCell ref="F86:G86"/>
    <mergeCell ref="H86:I86"/>
    <mergeCell ref="J86:K86"/>
    <mergeCell ref="L86:M86"/>
    <mergeCell ref="N86:O86"/>
    <mergeCell ref="P86:Q86"/>
    <mergeCell ref="R86:S86"/>
    <mergeCell ref="T87:U87"/>
    <mergeCell ref="V87:W87"/>
    <mergeCell ref="X87:Y87"/>
    <mergeCell ref="Z87:AA87"/>
    <mergeCell ref="AB87:AC87"/>
    <mergeCell ref="F87:G87"/>
    <mergeCell ref="H87:I87"/>
    <mergeCell ref="J87:K87"/>
    <mergeCell ref="L87:M87"/>
    <mergeCell ref="N87:O87"/>
    <mergeCell ref="P87:Q87"/>
    <mergeCell ref="R87:S87"/>
    <mergeCell ref="T88:U88"/>
    <mergeCell ref="V88:W88"/>
    <mergeCell ref="X88:Y88"/>
    <mergeCell ref="Z88:AA88"/>
    <mergeCell ref="AB88:AC88"/>
    <mergeCell ref="F88:G88"/>
    <mergeCell ref="H88:I88"/>
    <mergeCell ref="J88:K88"/>
    <mergeCell ref="L88:M88"/>
    <mergeCell ref="N88:O88"/>
    <mergeCell ref="P88:Q88"/>
    <mergeCell ref="R88:S88"/>
    <mergeCell ref="T89:U89"/>
    <mergeCell ref="V89:W89"/>
    <mergeCell ref="X89:Y89"/>
    <mergeCell ref="Z89:AA89"/>
    <mergeCell ref="AB89:AC89"/>
    <mergeCell ref="F89:G89"/>
    <mergeCell ref="H89:I89"/>
    <mergeCell ref="J89:K89"/>
    <mergeCell ref="L89:M89"/>
    <mergeCell ref="N89:O89"/>
    <mergeCell ref="P89:Q89"/>
    <mergeCell ref="R89:S89"/>
    <mergeCell ref="T90:U90"/>
    <mergeCell ref="V90:W90"/>
    <mergeCell ref="X90:Y90"/>
    <mergeCell ref="Z90:AA90"/>
    <mergeCell ref="AB90:AC90"/>
    <mergeCell ref="F90:G90"/>
    <mergeCell ref="H90:I90"/>
    <mergeCell ref="J90:K90"/>
    <mergeCell ref="L90:M90"/>
    <mergeCell ref="N90:O90"/>
    <mergeCell ref="P90:Q90"/>
    <mergeCell ref="R90:S90"/>
    <mergeCell ref="T91:U91"/>
    <mergeCell ref="V91:W91"/>
    <mergeCell ref="X91:Y91"/>
    <mergeCell ref="Z91:AA91"/>
    <mergeCell ref="AB91:AC91"/>
    <mergeCell ref="F91:G91"/>
    <mergeCell ref="H91:I91"/>
    <mergeCell ref="J91:K91"/>
    <mergeCell ref="L91:M91"/>
    <mergeCell ref="N91:O91"/>
    <mergeCell ref="P91:Q91"/>
    <mergeCell ref="R91:S91"/>
    <mergeCell ref="T92:U92"/>
    <mergeCell ref="V92:W92"/>
    <mergeCell ref="X92:Y92"/>
    <mergeCell ref="Z92:AA92"/>
    <mergeCell ref="AB92:AC92"/>
    <mergeCell ref="F92:G92"/>
    <mergeCell ref="H92:I92"/>
    <mergeCell ref="J92:K92"/>
    <mergeCell ref="L92:M92"/>
    <mergeCell ref="N92:O92"/>
    <mergeCell ref="P92:Q92"/>
    <mergeCell ref="R92:S92"/>
    <mergeCell ref="T93:U93"/>
    <mergeCell ref="V93:W93"/>
    <mergeCell ref="X93:Y93"/>
    <mergeCell ref="Z93:AA93"/>
    <mergeCell ref="AB93:AC93"/>
    <mergeCell ref="F93:G93"/>
    <mergeCell ref="H93:I93"/>
    <mergeCell ref="J93:K93"/>
    <mergeCell ref="L93:M93"/>
    <mergeCell ref="N93:O93"/>
    <mergeCell ref="P93:Q93"/>
    <mergeCell ref="R93:S93"/>
    <mergeCell ref="T94:U94"/>
    <mergeCell ref="V94:W94"/>
    <mergeCell ref="X94:Y94"/>
    <mergeCell ref="Z94:AA94"/>
    <mergeCell ref="AB94:AC94"/>
    <mergeCell ref="F94:G94"/>
    <mergeCell ref="H94:I94"/>
    <mergeCell ref="J94:K94"/>
    <mergeCell ref="L94:M94"/>
    <mergeCell ref="N94:O94"/>
    <mergeCell ref="P94:Q94"/>
    <mergeCell ref="R94:S94"/>
    <mergeCell ref="T95:U95"/>
    <mergeCell ref="V95:W95"/>
    <mergeCell ref="X95:Y95"/>
    <mergeCell ref="Z95:AA95"/>
    <mergeCell ref="AB95:AC95"/>
    <mergeCell ref="F95:G95"/>
    <mergeCell ref="H95:I95"/>
    <mergeCell ref="J95:K95"/>
    <mergeCell ref="L95:M95"/>
    <mergeCell ref="N95:O95"/>
    <mergeCell ref="P95:Q95"/>
    <mergeCell ref="R95:S95"/>
    <mergeCell ref="T96:U96"/>
    <mergeCell ref="V96:W96"/>
    <mergeCell ref="X96:Y96"/>
    <mergeCell ref="Z96:AA96"/>
    <mergeCell ref="AB96:AC96"/>
    <mergeCell ref="F96:G96"/>
    <mergeCell ref="H96:I96"/>
    <mergeCell ref="J96:K96"/>
    <mergeCell ref="L96:M96"/>
    <mergeCell ref="N96:O96"/>
    <mergeCell ref="P96:Q96"/>
    <mergeCell ref="R96:S96"/>
    <mergeCell ref="T97:U97"/>
    <mergeCell ref="V97:W97"/>
    <mergeCell ref="X97:Y97"/>
    <mergeCell ref="Z97:AA97"/>
    <mergeCell ref="AB97:AC97"/>
    <mergeCell ref="F97:G97"/>
    <mergeCell ref="H97:I97"/>
    <mergeCell ref="J97:K97"/>
    <mergeCell ref="L97:M97"/>
    <mergeCell ref="N97:O97"/>
    <mergeCell ref="P97:Q97"/>
    <mergeCell ref="R97:S97"/>
    <mergeCell ref="T98:U98"/>
    <mergeCell ref="V98:W98"/>
    <mergeCell ref="X98:Y98"/>
    <mergeCell ref="Z98:AA98"/>
    <mergeCell ref="AB98:AC98"/>
    <mergeCell ref="F98:G98"/>
    <mergeCell ref="H98:I98"/>
    <mergeCell ref="J98:K98"/>
    <mergeCell ref="L98:M98"/>
    <mergeCell ref="N98:O98"/>
    <mergeCell ref="P98:Q98"/>
    <mergeCell ref="R98:S98"/>
    <mergeCell ref="T99:U99"/>
    <mergeCell ref="V99:W99"/>
    <mergeCell ref="X99:Y99"/>
    <mergeCell ref="Z99:AA99"/>
    <mergeCell ref="AB99:AC99"/>
    <mergeCell ref="F99:G99"/>
    <mergeCell ref="H99:I99"/>
    <mergeCell ref="J99:K99"/>
    <mergeCell ref="L99:M99"/>
    <mergeCell ref="N99:O99"/>
    <mergeCell ref="P99:Q99"/>
    <mergeCell ref="R99:S99"/>
    <mergeCell ref="T100:U100"/>
    <mergeCell ref="V100:W100"/>
    <mergeCell ref="X100:Y100"/>
    <mergeCell ref="Z100:AA100"/>
    <mergeCell ref="AB100:AC100"/>
    <mergeCell ref="F100:G100"/>
    <mergeCell ref="H100:I100"/>
    <mergeCell ref="J100:K100"/>
    <mergeCell ref="L100:M100"/>
    <mergeCell ref="N100:O100"/>
    <mergeCell ref="P100:Q100"/>
    <mergeCell ref="R100:S100"/>
    <mergeCell ref="T101:U101"/>
    <mergeCell ref="V101:W101"/>
    <mergeCell ref="X101:Y101"/>
    <mergeCell ref="Z101:AA101"/>
    <mergeCell ref="AB101:AC101"/>
    <mergeCell ref="F101:G101"/>
    <mergeCell ref="H101:I101"/>
    <mergeCell ref="J101:K101"/>
    <mergeCell ref="L101:M101"/>
    <mergeCell ref="N101:O101"/>
    <mergeCell ref="P101:Q101"/>
    <mergeCell ref="R101:S101"/>
    <mergeCell ref="T102:U102"/>
    <mergeCell ref="V102:W102"/>
    <mergeCell ref="X102:Y102"/>
    <mergeCell ref="Z102:AA102"/>
    <mergeCell ref="AB102:AC102"/>
    <mergeCell ref="F102:G102"/>
    <mergeCell ref="H102:I102"/>
    <mergeCell ref="J102:K102"/>
    <mergeCell ref="L102:M102"/>
    <mergeCell ref="N102:O102"/>
    <mergeCell ref="P102:Q102"/>
    <mergeCell ref="R102:S102"/>
    <mergeCell ref="T103:U103"/>
    <mergeCell ref="V103:W103"/>
    <mergeCell ref="X103:Y103"/>
    <mergeCell ref="Z103:AA103"/>
    <mergeCell ref="AB103:AC103"/>
    <mergeCell ref="F103:G103"/>
    <mergeCell ref="H103:I103"/>
    <mergeCell ref="J103:K103"/>
    <mergeCell ref="L103:M103"/>
    <mergeCell ref="N103:O103"/>
    <mergeCell ref="P103:Q103"/>
    <mergeCell ref="R103:S103"/>
    <mergeCell ref="T104:U104"/>
    <mergeCell ref="V104:W104"/>
    <mergeCell ref="X104:Y104"/>
    <mergeCell ref="Z104:AA104"/>
    <mergeCell ref="AB104:AC104"/>
    <mergeCell ref="F104:G104"/>
    <mergeCell ref="H104:I104"/>
    <mergeCell ref="J104:K104"/>
    <mergeCell ref="L104:M104"/>
    <mergeCell ref="N104:O104"/>
    <mergeCell ref="P104:Q104"/>
    <mergeCell ref="R104:S104"/>
    <mergeCell ref="T105:U105"/>
    <mergeCell ref="V105:W105"/>
    <mergeCell ref="X105:Y105"/>
    <mergeCell ref="Z105:AA105"/>
    <mergeCell ref="AB105:AC105"/>
    <mergeCell ref="F105:G105"/>
    <mergeCell ref="H105:I105"/>
    <mergeCell ref="J105:K105"/>
    <mergeCell ref="L105:M105"/>
    <mergeCell ref="N105:O105"/>
    <mergeCell ref="P105:Q105"/>
    <mergeCell ref="R105:S105"/>
    <mergeCell ref="T106:U106"/>
    <mergeCell ref="V106:W106"/>
    <mergeCell ref="X106:Y106"/>
    <mergeCell ref="Z106:AA106"/>
    <mergeCell ref="AB106:AC106"/>
    <mergeCell ref="F106:G106"/>
    <mergeCell ref="H106:I106"/>
    <mergeCell ref="J106:K106"/>
    <mergeCell ref="L106:M106"/>
    <mergeCell ref="N106:O106"/>
    <mergeCell ref="P106:Q106"/>
    <mergeCell ref="R106:S106"/>
    <mergeCell ref="T107:U107"/>
    <mergeCell ref="V107:W107"/>
    <mergeCell ref="X107:Y107"/>
    <mergeCell ref="Z107:AA107"/>
    <mergeCell ref="AB107:AC107"/>
    <mergeCell ref="F107:G107"/>
    <mergeCell ref="H107:I107"/>
    <mergeCell ref="J107:K107"/>
    <mergeCell ref="L107:M107"/>
    <mergeCell ref="N107:O107"/>
    <mergeCell ref="P107:Q107"/>
    <mergeCell ref="R107:S107"/>
    <mergeCell ref="T108:U108"/>
    <mergeCell ref="V108:W108"/>
    <mergeCell ref="X108:Y108"/>
    <mergeCell ref="Z108:AA108"/>
    <mergeCell ref="AB108:AC108"/>
    <mergeCell ref="F108:G108"/>
    <mergeCell ref="H108:I108"/>
    <mergeCell ref="J108:K108"/>
    <mergeCell ref="L108:M108"/>
    <mergeCell ref="N108:O108"/>
    <mergeCell ref="P108:Q108"/>
    <mergeCell ref="R108:S108"/>
    <mergeCell ref="T109:U109"/>
    <mergeCell ref="V109:W109"/>
    <mergeCell ref="X109:Y109"/>
    <mergeCell ref="Z109:AA109"/>
    <mergeCell ref="AB109:AC109"/>
    <mergeCell ref="F109:G109"/>
    <mergeCell ref="H109:I109"/>
    <mergeCell ref="J109:K109"/>
    <mergeCell ref="L109:M109"/>
    <mergeCell ref="N109:O109"/>
    <mergeCell ref="P109:Q109"/>
    <mergeCell ref="R109:S109"/>
    <mergeCell ref="T110:U110"/>
    <mergeCell ref="V110:W110"/>
    <mergeCell ref="X110:Y110"/>
    <mergeCell ref="Z110:AA110"/>
    <mergeCell ref="AB110:AC110"/>
    <mergeCell ref="F110:G110"/>
    <mergeCell ref="H110:I110"/>
    <mergeCell ref="J110:K110"/>
    <mergeCell ref="L110:M110"/>
    <mergeCell ref="N110:O110"/>
    <mergeCell ref="P110:Q110"/>
    <mergeCell ref="R110:S110"/>
    <mergeCell ref="T111:U111"/>
    <mergeCell ref="V111:W111"/>
    <mergeCell ref="X111:Y111"/>
    <mergeCell ref="Z111:AA111"/>
    <mergeCell ref="AB111:AC111"/>
    <mergeCell ref="F111:G111"/>
    <mergeCell ref="H111:I111"/>
    <mergeCell ref="J111:K111"/>
    <mergeCell ref="L111:M111"/>
    <mergeCell ref="N111:O111"/>
    <mergeCell ref="P111:Q111"/>
    <mergeCell ref="R111:S111"/>
    <mergeCell ref="T112:U112"/>
    <mergeCell ref="V112:W112"/>
    <mergeCell ref="X112:Y112"/>
    <mergeCell ref="Z112:AA112"/>
    <mergeCell ref="AB112:AC112"/>
    <mergeCell ref="F112:G112"/>
    <mergeCell ref="H112:I112"/>
    <mergeCell ref="J112:K112"/>
    <mergeCell ref="L112:M112"/>
    <mergeCell ref="N112:O112"/>
    <mergeCell ref="P112:Q112"/>
    <mergeCell ref="R112:S112"/>
    <mergeCell ref="T113:U113"/>
    <mergeCell ref="V113:W113"/>
    <mergeCell ref="X113:Y113"/>
    <mergeCell ref="Z113:AA113"/>
    <mergeCell ref="AB113:AC113"/>
    <mergeCell ref="F113:G113"/>
    <mergeCell ref="H113:I113"/>
    <mergeCell ref="J113:K113"/>
    <mergeCell ref="L113:M113"/>
    <mergeCell ref="N113:O113"/>
    <mergeCell ref="P113:Q113"/>
    <mergeCell ref="R113:S113"/>
    <mergeCell ref="T114:U114"/>
    <mergeCell ref="V114:W114"/>
    <mergeCell ref="X114:Y114"/>
    <mergeCell ref="Z114:AA114"/>
    <mergeCell ref="AB114:AC114"/>
    <mergeCell ref="F114:G114"/>
    <mergeCell ref="H114:I114"/>
    <mergeCell ref="J114:K114"/>
    <mergeCell ref="L114:M114"/>
    <mergeCell ref="N114:O114"/>
    <mergeCell ref="P114:Q114"/>
    <mergeCell ref="R114:S114"/>
    <mergeCell ref="T115:U115"/>
    <mergeCell ref="V115:W115"/>
    <mergeCell ref="X115:Y115"/>
    <mergeCell ref="Z115:AA115"/>
    <mergeCell ref="AB115:AC115"/>
    <mergeCell ref="F115:G115"/>
    <mergeCell ref="H115:I115"/>
    <mergeCell ref="J115:K115"/>
    <mergeCell ref="L115:M115"/>
    <mergeCell ref="N115:O115"/>
    <mergeCell ref="P115:Q115"/>
    <mergeCell ref="R115:S115"/>
    <mergeCell ref="T116:U116"/>
    <mergeCell ref="V116:W116"/>
    <mergeCell ref="X116:Y116"/>
    <mergeCell ref="Z116:AA116"/>
    <mergeCell ref="AB116:AC116"/>
    <mergeCell ref="F116:G116"/>
    <mergeCell ref="H116:I116"/>
    <mergeCell ref="J116:K116"/>
    <mergeCell ref="L116:M116"/>
    <mergeCell ref="N116:O116"/>
    <mergeCell ref="P116:Q116"/>
    <mergeCell ref="R116:S116"/>
    <mergeCell ref="T117:U117"/>
    <mergeCell ref="V117:W117"/>
    <mergeCell ref="X117:Y117"/>
    <mergeCell ref="Z117:AA117"/>
    <mergeCell ref="AB117:AC117"/>
    <mergeCell ref="F117:G117"/>
    <mergeCell ref="H117:I117"/>
    <mergeCell ref="J117:K117"/>
    <mergeCell ref="L117:M117"/>
    <mergeCell ref="N117:O117"/>
    <mergeCell ref="P117:Q117"/>
    <mergeCell ref="R117:S117"/>
    <mergeCell ref="T118:U118"/>
    <mergeCell ref="V118:W118"/>
    <mergeCell ref="X118:Y118"/>
    <mergeCell ref="Z118:AA118"/>
    <mergeCell ref="AB118:AC118"/>
    <mergeCell ref="F118:G118"/>
    <mergeCell ref="H118:I118"/>
    <mergeCell ref="J118:K118"/>
    <mergeCell ref="L118:M118"/>
    <mergeCell ref="N118:O118"/>
    <mergeCell ref="P118:Q118"/>
    <mergeCell ref="R118:S118"/>
    <mergeCell ref="T119:U119"/>
    <mergeCell ref="V119:W119"/>
    <mergeCell ref="X119:Y119"/>
    <mergeCell ref="Z119:AA119"/>
    <mergeCell ref="AB119:AC119"/>
    <mergeCell ref="F119:G119"/>
    <mergeCell ref="H119:I119"/>
    <mergeCell ref="J119:K119"/>
    <mergeCell ref="L119:M119"/>
    <mergeCell ref="N119:O119"/>
    <mergeCell ref="P119:Q119"/>
    <mergeCell ref="R119:S119"/>
    <mergeCell ref="T120:U120"/>
    <mergeCell ref="V120:W120"/>
    <mergeCell ref="X120:Y120"/>
    <mergeCell ref="Z120:AA120"/>
    <mergeCell ref="AB120:AC120"/>
    <mergeCell ref="F120:G120"/>
    <mergeCell ref="H120:I120"/>
    <mergeCell ref="J120:K120"/>
    <mergeCell ref="L120:M120"/>
    <mergeCell ref="N120:O120"/>
    <mergeCell ref="P120:Q120"/>
    <mergeCell ref="R120:S120"/>
    <mergeCell ref="T121:U121"/>
    <mergeCell ref="V121:W121"/>
    <mergeCell ref="X121:Y121"/>
    <mergeCell ref="Z121:AA121"/>
    <mergeCell ref="AB121:AC121"/>
    <mergeCell ref="F121:G121"/>
    <mergeCell ref="H121:I121"/>
    <mergeCell ref="J121:K121"/>
    <mergeCell ref="L121:M121"/>
    <mergeCell ref="N121:O121"/>
    <mergeCell ref="P121:Q121"/>
    <mergeCell ref="R121:S121"/>
    <mergeCell ref="T122:U122"/>
    <mergeCell ref="V122:W122"/>
    <mergeCell ref="X122:Y122"/>
    <mergeCell ref="Z122:AA122"/>
    <mergeCell ref="AB122:AC122"/>
    <mergeCell ref="F122:G122"/>
    <mergeCell ref="H122:I122"/>
    <mergeCell ref="J122:K122"/>
    <mergeCell ref="L122:M122"/>
    <mergeCell ref="N122:O122"/>
    <mergeCell ref="P122:Q122"/>
    <mergeCell ref="R122:S122"/>
    <mergeCell ref="T123:U123"/>
    <mergeCell ref="V123:W123"/>
    <mergeCell ref="X123:Y123"/>
    <mergeCell ref="Z123:AA123"/>
    <mergeCell ref="AB123:AC123"/>
    <mergeCell ref="F123:G123"/>
    <mergeCell ref="H123:I123"/>
    <mergeCell ref="J123:K123"/>
    <mergeCell ref="L123:M123"/>
    <mergeCell ref="N123:O123"/>
    <mergeCell ref="P123:Q123"/>
    <mergeCell ref="R123:S123"/>
    <mergeCell ref="T124:U124"/>
    <mergeCell ref="V124:W124"/>
    <mergeCell ref="X124:Y124"/>
    <mergeCell ref="Z124:AA124"/>
    <mergeCell ref="AB124:AC124"/>
    <mergeCell ref="F124:G124"/>
    <mergeCell ref="H124:I124"/>
    <mergeCell ref="J124:K124"/>
    <mergeCell ref="L124:M124"/>
    <mergeCell ref="N124:O124"/>
    <mergeCell ref="P124:Q124"/>
    <mergeCell ref="R124:S124"/>
    <mergeCell ref="T125:U125"/>
    <mergeCell ref="V125:W125"/>
    <mergeCell ref="X125:Y125"/>
    <mergeCell ref="Z125:AA125"/>
    <mergeCell ref="AB125:AC125"/>
    <mergeCell ref="F125:G125"/>
    <mergeCell ref="H125:I125"/>
    <mergeCell ref="J125:K125"/>
    <mergeCell ref="L125:M125"/>
    <mergeCell ref="N125:O125"/>
    <mergeCell ref="P125:Q125"/>
    <mergeCell ref="R125:S125"/>
    <mergeCell ref="T126:U126"/>
    <mergeCell ref="V126:W126"/>
    <mergeCell ref="X126:Y126"/>
    <mergeCell ref="Z126:AA126"/>
    <mergeCell ref="AB126:AC126"/>
    <mergeCell ref="F126:G126"/>
    <mergeCell ref="H126:I126"/>
    <mergeCell ref="J126:K126"/>
    <mergeCell ref="L126:M126"/>
    <mergeCell ref="N126:O126"/>
    <mergeCell ref="P126:Q126"/>
    <mergeCell ref="R126:S126"/>
    <mergeCell ref="T127:U127"/>
    <mergeCell ref="V127:W127"/>
    <mergeCell ref="X127:Y127"/>
    <mergeCell ref="Z127:AA127"/>
    <mergeCell ref="AB127:AC127"/>
    <mergeCell ref="F127:G127"/>
    <mergeCell ref="H127:I127"/>
    <mergeCell ref="J127:K127"/>
    <mergeCell ref="L127:M127"/>
    <mergeCell ref="N127:O127"/>
    <mergeCell ref="P127:Q127"/>
    <mergeCell ref="R127:S127"/>
    <mergeCell ref="T128:U128"/>
    <mergeCell ref="V128:W128"/>
    <mergeCell ref="X128:Y128"/>
    <mergeCell ref="Z128:AA128"/>
    <mergeCell ref="AB128:AC128"/>
    <mergeCell ref="F128:G128"/>
    <mergeCell ref="H128:I128"/>
    <mergeCell ref="J128:K128"/>
    <mergeCell ref="L128:M128"/>
    <mergeCell ref="N128:O128"/>
    <mergeCell ref="P128:Q128"/>
    <mergeCell ref="R128:S128"/>
    <mergeCell ref="T129:U129"/>
    <mergeCell ref="V129:W129"/>
    <mergeCell ref="X129:Y129"/>
    <mergeCell ref="Z129:AA129"/>
    <mergeCell ref="AB129:AC129"/>
    <mergeCell ref="F129:G129"/>
    <mergeCell ref="H129:I129"/>
    <mergeCell ref="J129:K129"/>
    <mergeCell ref="L129:M129"/>
    <mergeCell ref="N129:O129"/>
    <mergeCell ref="P129:Q129"/>
    <mergeCell ref="R129:S129"/>
    <mergeCell ref="T130:U130"/>
    <mergeCell ref="V130:W130"/>
    <mergeCell ref="X130:Y130"/>
    <mergeCell ref="Z130:AA130"/>
    <mergeCell ref="AB130:AC130"/>
    <mergeCell ref="F130:G130"/>
    <mergeCell ref="H130:I130"/>
    <mergeCell ref="J130:K130"/>
    <mergeCell ref="L130:M130"/>
    <mergeCell ref="N130:O130"/>
    <mergeCell ref="P130:Q130"/>
    <mergeCell ref="R130:S130"/>
    <mergeCell ref="T131:U131"/>
    <mergeCell ref="V131:W131"/>
    <mergeCell ref="X131:Y131"/>
    <mergeCell ref="Z131:AA131"/>
    <mergeCell ref="AB131:AC131"/>
    <mergeCell ref="F131:G131"/>
    <mergeCell ref="H131:I131"/>
    <mergeCell ref="J131:K131"/>
    <mergeCell ref="L131:M131"/>
    <mergeCell ref="N131:O131"/>
    <mergeCell ref="P131:Q131"/>
    <mergeCell ref="R131:S131"/>
    <mergeCell ref="T132:U132"/>
    <mergeCell ref="V132:W132"/>
    <mergeCell ref="X132:Y132"/>
    <mergeCell ref="Z132:AA132"/>
    <mergeCell ref="AB132:AC132"/>
    <mergeCell ref="F132:G132"/>
    <mergeCell ref="H132:I132"/>
    <mergeCell ref="J132:K132"/>
    <mergeCell ref="L132:M132"/>
    <mergeCell ref="N132:O132"/>
    <mergeCell ref="P132:Q132"/>
    <mergeCell ref="R132:S132"/>
    <mergeCell ref="T133:U133"/>
    <mergeCell ref="V133:W133"/>
    <mergeCell ref="X133:Y133"/>
    <mergeCell ref="Z133:AA133"/>
    <mergeCell ref="AB133:AC133"/>
    <mergeCell ref="F133:G133"/>
    <mergeCell ref="H133:I133"/>
    <mergeCell ref="J133:K133"/>
    <mergeCell ref="L133:M133"/>
    <mergeCell ref="N133:O133"/>
    <mergeCell ref="P133:Q133"/>
    <mergeCell ref="R133:S133"/>
    <mergeCell ref="T134:U134"/>
    <mergeCell ref="V134:W134"/>
    <mergeCell ref="X134:Y134"/>
    <mergeCell ref="Z134:AA134"/>
    <mergeCell ref="AB134:AC134"/>
    <mergeCell ref="F134:G134"/>
    <mergeCell ref="H134:I134"/>
    <mergeCell ref="J134:K134"/>
    <mergeCell ref="L134:M134"/>
    <mergeCell ref="N134:O134"/>
    <mergeCell ref="P134:Q134"/>
    <mergeCell ref="R134:S134"/>
    <mergeCell ref="T135:U135"/>
    <mergeCell ref="V135:W135"/>
    <mergeCell ref="X135:Y135"/>
    <mergeCell ref="Z135:AA135"/>
    <mergeCell ref="AB135:AC135"/>
    <mergeCell ref="F135:G135"/>
    <mergeCell ref="H135:I135"/>
    <mergeCell ref="J135:K135"/>
    <mergeCell ref="L135:M135"/>
    <mergeCell ref="N135:O135"/>
    <mergeCell ref="P135:Q135"/>
    <mergeCell ref="R135:S135"/>
    <mergeCell ref="T136:U136"/>
    <mergeCell ref="V136:W136"/>
    <mergeCell ref="X136:Y136"/>
    <mergeCell ref="Z136:AA136"/>
    <mergeCell ref="AB136:AC136"/>
    <mergeCell ref="F136:G136"/>
    <mergeCell ref="H136:I136"/>
    <mergeCell ref="J136:K136"/>
    <mergeCell ref="L136:M136"/>
    <mergeCell ref="N136:O136"/>
    <mergeCell ref="P136:Q136"/>
    <mergeCell ref="R136:S136"/>
    <mergeCell ref="T137:U137"/>
    <mergeCell ref="V137:W137"/>
    <mergeCell ref="X137:Y137"/>
    <mergeCell ref="Z137:AA137"/>
    <mergeCell ref="AB137:AC137"/>
    <mergeCell ref="F137:G137"/>
    <mergeCell ref="H137:I137"/>
    <mergeCell ref="J137:K137"/>
    <mergeCell ref="L137:M137"/>
    <mergeCell ref="N137:O137"/>
    <mergeCell ref="P137:Q137"/>
    <mergeCell ref="R137:S137"/>
    <mergeCell ref="T138:U138"/>
    <mergeCell ref="V138:W138"/>
    <mergeCell ref="X138:Y138"/>
    <mergeCell ref="Z138:AA138"/>
    <mergeCell ref="AB138:AC138"/>
    <mergeCell ref="F138:G138"/>
    <mergeCell ref="H138:I138"/>
    <mergeCell ref="J138:K138"/>
    <mergeCell ref="L138:M138"/>
    <mergeCell ref="N138:O138"/>
    <mergeCell ref="P138:Q138"/>
    <mergeCell ref="R138:S138"/>
    <mergeCell ref="T139:U139"/>
    <mergeCell ref="V139:W139"/>
    <mergeCell ref="X139:Y139"/>
    <mergeCell ref="Z139:AA139"/>
    <mergeCell ref="AB139:AC139"/>
    <mergeCell ref="F139:G139"/>
    <mergeCell ref="H139:I139"/>
    <mergeCell ref="J139:K139"/>
    <mergeCell ref="L139:M139"/>
    <mergeCell ref="N139:O139"/>
    <mergeCell ref="P139:Q139"/>
    <mergeCell ref="R139:S139"/>
    <mergeCell ref="T140:U140"/>
    <mergeCell ref="V140:W140"/>
    <mergeCell ref="X140:Y140"/>
    <mergeCell ref="Z140:AA140"/>
    <mergeCell ref="AB140:AC140"/>
    <mergeCell ref="F140:G140"/>
    <mergeCell ref="H140:I140"/>
    <mergeCell ref="J140:K140"/>
    <mergeCell ref="L140:M140"/>
    <mergeCell ref="N140:O140"/>
    <mergeCell ref="P140:Q140"/>
    <mergeCell ref="R140:S140"/>
    <mergeCell ref="T141:U141"/>
    <mergeCell ref="V141:W141"/>
    <mergeCell ref="X141:Y141"/>
    <mergeCell ref="Z141:AA141"/>
    <mergeCell ref="AB141:AC141"/>
    <mergeCell ref="F141:G141"/>
    <mergeCell ref="H141:I141"/>
    <mergeCell ref="J141:K141"/>
    <mergeCell ref="L141:M141"/>
    <mergeCell ref="N141:O141"/>
    <mergeCell ref="P141:Q141"/>
    <mergeCell ref="R141:S141"/>
    <mergeCell ref="T142:U142"/>
    <mergeCell ref="V142:W142"/>
    <mergeCell ref="X142:Y142"/>
    <mergeCell ref="Z142:AA142"/>
    <mergeCell ref="AB142:AC142"/>
    <mergeCell ref="F142:G142"/>
    <mergeCell ref="H142:I142"/>
    <mergeCell ref="J142:K142"/>
    <mergeCell ref="L142:M142"/>
    <mergeCell ref="N142:O142"/>
    <mergeCell ref="P142:Q142"/>
    <mergeCell ref="R142:S142"/>
    <mergeCell ref="T143:U143"/>
    <mergeCell ref="V143:W143"/>
    <mergeCell ref="X143:Y143"/>
    <mergeCell ref="Z143:AA143"/>
    <mergeCell ref="AB143:AC143"/>
    <mergeCell ref="F143:G143"/>
    <mergeCell ref="H143:I143"/>
    <mergeCell ref="J143:K143"/>
    <mergeCell ref="L143:M143"/>
    <mergeCell ref="N143:O143"/>
    <mergeCell ref="P143:Q143"/>
    <mergeCell ref="R143:S143"/>
    <mergeCell ref="T144:U144"/>
    <mergeCell ref="V144:W144"/>
    <mergeCell ref="X144:Y144"/>
    <mergeCell ref="Z144:AA144"/>
    <mergeCell ref="AB144:AC144"/>
    <mergeCell ref="F144:G144"/>
    <mergeCell ref="H144:I144"/>
    <mergeCell ref="J144:K144"/>
    <mergeCell ref="L144:M144"/>
    <mergeCell ref="N144:O144"/>
    <mergeCell ref="P144:Q144"/>
    <mergeCell ref="R144:S144"/>
    <mergeCell ref="T145:U145"/>
    <mergeCell ref="V145:W145"/>
    <mergeCell ref="X145:Y145"/>
    <mergeCell ref="Z145:AA145"/>
    <mergeCell ref="AB145:AC145"/>
    <mergeCell ref="F145:G145"/>
    <mergeCell ref="H145:I145"/>
    <mergeCell ref="J145:K145"/>
    <mergeCell ref="L145:M145"/>
    <mergeCell ref="N145:O145"/>
    <mergeCell ref="P145:Q145"/>
    <mergeCell ref="R145:S145"/>
    <mergeCell ref="T146:U146"/>
    <mergeCell ref="V146:W146"/>
    <mergeCell ref="X146:Y146"/>
    <mergeCell ref="Z146:AA146"/>
    <mergeCell ref="AB146:AC146"/>
    <mergeCell ref="F146:G146"/>
    <mergeCell ref="H146:I146"/>
    <mergeCell ref="J146:K146"/>
    <mergeCell ref="L146:M146"/>
    <mergeCell ref="N146:O146"/>
    <mergeCell ref="P146:Q146"/>
    <mergeCell ref="R146:S146"/>
    <mergeCell ref="T147:U147"/>
    <mergeCell ref="V147:W147"/>
    <mergeCell ref="X147:Y147"/>
    <mergeCell ref="Z147:AA147"/>
    <mergeCell ref="AB147:AC147"/>
    <mergeCell ref="F147:G147"/>
    <mergeCell ref="H147:I147"/>
    <mergeCell ref="J147:K147"/>
    <mergeCell ref="L147:M147"/>
    <mergeCell ref="N147:O147"/>
    <mergeCell ref="P147:Q147"/>
    <mergeCell ref="R147:S147"/>
    <mergeCell ref="T148:U148"/>
    <mergeCell ref="V148:W148"/>
    <mergeCell ref="X148:Y148"/>
    <mergeCell ref="Z148:AA148"/>
    <mergeCell ref="AB148:AC148"/>
    <mergeCell ref="F148:G148"/>
    <mergeCell ref="H148:I148"/>
    <mergeCell ref="J148:K148"/>
    <mergeCell ref="L148:M148"/>
    <mergeCell ref="N148:O148"/>
    <mergeCell ref="P148:Q148"/>
    <mergeCell ref="R148:S148"/>
    <mergeCell ref="T149:U149"/>
    <mergeCell ref="V149:W149"/>
    <mergeCell ref="X149:Y149"/>
    <mergeCell ref="Z149:AA149"/>
    <mergeCell ref="AB149:AC149"/>
    <mergeCell ref="F149:G149"/>
    <mergeCell ref="H149:I149"/>
    <mergeCell ref="J149:K149"/>
    <mergeCell ref="L149:M149"/>
    <mergeCell ref="N149:O149"/>
    <mergeCell ref="P149:Q149"/>
    <mergeCell ref="R149:S149"/>
    <mergeCell ref="T150:U150"/>
    <mergeCell ref="V150:W150"/>
    <mergeCell ref="X150:Y150"/>
    <mergeCell ref="Z150:AA150"/>
    <mergeCell ref="AB150:AC150"/>
    <mergeCell ref="F150:G150"/>
    <mergeCell ref="H150:I150"/>
    <mergeCell ref="J150:K150"/>
    <mergeCell ref="L150:M150"/>
    <mergeCell ref="N150:O150"/>
    <mergeCell ref="P150:Q150"/>
    <mergeCell ref="R150:S150"/>
    <mergeCell ref="T151:U151"/>
    <mergeCell ref="V151:W151"/>
    <mergeCell ref="X151:Y151"/>
    <mergeCell ref="Z151:AA151"/>
    <mergeCell ref="AB151:AC151"/>
    <mergeCell ref="F151:G151"/>
    <mergeCell ref="H151:I151"/>
    <mergeCell ref="J151:K151"/>
    <mergeCell ref="L151:M151"/>
    <mergeCell ref="N151:O151"/>
    <mergeCell ref="P151:Q151"/>
    <mergeCell ref="R151:S151"/>
    <mergeCell ref="T152:U152"/>
    <mergeCell ref="V152:W152"/>
    <mergeCell ref="X152:Y152"/>
    <mergeCell ref="Z152:AA152"/>
    <mergeCell ref="AB152:AC152"/>
    <mergeCell ref="F152:G152"/>
    <mergeCell ref="H152:I152"/>
    <mergeCell ref="J152:K152"/>
    <mergeCell ref="L152:M152"/>
    <mergeCell ref="N152:O152"/>
    <mergeCell ref="P152:Q152"/>
    <mergeCell ref="R152:S152"/>
    <mergeCell ref="T153:U153"/>
    <mergeCell ref="V153:W153"/>
    <mergeCell ref="X153:Y153"/>
    <mergeCell ref="Z153:AA153"/>
    <mergeCell ref="AB153:AC153"/>
    <mergeCell ref="F153:G153"/>
    <mergeCell ref="H153:I153"/>
    <mergeCell ref="J153:K153"/>
    <mergeCell ref="L153:M153"/>
    <mergeCell ref="N153:O153"/>
    <mergeCell ref="P153:Q153"/>
    <mergeCell ref="R153:S153"/>
    <mergeCell ref="T154:U154"/>
    <mergeCell ref="V154:W154"/>
    <mergeCell ref="X154:Y154"/>
    <mergeCell ref="Z154:AA154"/>
    <mergeCell ref="AB154:AC154"/>
    <mergeCell ref="F154:G154"/>
    <mergeCell ref="H154:I154"/>
    <mergeCell ref="J154:K154"/>
    <mergeCell ref="L154:M154"/>
    <mergeCell ref="N154:O154"/>
    <mergeCell ref="P154:Q154"/>
    <mergeCell ref="R154:S154"/>
    <mergeCell ref="T155:U155"/>
    <mergeCell ref="V155:W155"/>
    <mergeCell ref="X155:Y155"/>
    <mergeCell ref="Z155:AA155"/>
    <mergeCell ref="AB155:AC155"/>
    <mergeCell ref="F155:G155"/>
    <mergeCell ref="H155:I155"/>
    <mergeCell ref="J155:K155"/>
    <mergeCell ref="L155:M155"/>
    <mergeCell ref="N155:O155"/>
    <mergeCell ref="P155:Q155"/>
    <mergeCell ref="R155:S155"/>
    <mergeCell ref="T156:U156"/>
    <mergeCell ref="V156:W156"/>
    <mergeCell ref="X156:Y156"/>
    <mergeCell ref="Z156:AA156"/>
    <mergeCell ref="AB156:AC156"/>
    <mergeCell ref="F156:G156"/>
    <mergeCell ref="H156:I156"/>
    <mergeCell ref="J156:K156"/>
    <mergeCell ref="L156:M156"/>
    <mergeCell ref="N156:O156"/>
    <mergeCell ref="P156:Q156"/>
    <mergeCell ref="R156:S156"/>
    <mergeCell ref="T157:U157"/>
    <mergeCell ref="V157:W157"/>
    <mergeCell ref="X157:Y157"/>
    <mergeCell ref="Z157:AA157"/>
    <mergeCell ref="AB157:AC157"/>
    <mergeCell ref="F157:G157"/>
    <mergeCell ref="H157:I157"/>
    <mergeCell ref="J157:K157"/>
    <mergeCell ref="L157:M157"/>
    <mergeCell ref="N157:O157"/>
    <mergeCell ref="P157:Q157"/>
    <mergeCell ref="R157:S157"/>
    <mergeCell ref="T158:U158"/>
    <mergeCell ref="V158:W158"/>
    <mergeCell ref="X158:Y158"/>
    <mergeCell ref="Z158:AA158"/>
    <mergeCell ref="AB158:AC158"/>
    <mergeCell ref="F158:G158"/>
    <mergeCell ref="H158:I158"/>
    <mergeCell ref="J158:K158"/>
    <mergeCell ref="L158:M158"/>
    <mergeCell ref="N158:O158"/>
    <mergeCell ref="P158:Q158"/>
    <mergeCell ref="R158:S158"/>
    <mergeCell ref="T159:U159"/>
    <mergeCell ref="V159:W159"/>
    <mergeCell ref="X159:Y159"/>
    <mergeCell ref="Z159:AA159"/>
    <mergeCell ref="AB159:AC159"/>
    <mergeCell ref="F159:G159"/>
    <mergeCell ref="H159:I159"/>
    <mergeCell ref="J159:K159"/>
    <mergeCell ref="L159:M159"/>
    <mergeCell ref="N159:O159"/>
    <mergeCell ref="P159:Q159"/>
    <mergeCell ref="R159:S159"/>
    <mergeCell ref="T160:U160"/>
    <mergeCell ref="V160:W160"/>
    <mergeCell ref="X160:Y160"/>
    <mergeCell ref="Z160:AA160"/>
    <mergeCell ref="AB160:AC160"/>
    <mergeCell ref="F160:G160"/>
    <mergeCell ref="H160:I160"/>
    <mergeCell ref="J160:K160"/>
    <mergeCell ref="L160:M160"/>
    <mergeCell ref="N160:O160"/>
    <mergeCell ref="P160:Q160"/>
    <mergeCell ref="R160:S160"/>
    <mergeCell ref="T161:U161"/>
    <mergeCell ref="V161:W161"/>
    <mergeCell ref="X161:Y161"/>
    <mergeCell ref="Z161:AA161"/>
    <mergeCell ref="AB161:AC161"/>
    <mergeCell ref="F161:G161"/>
    <mergeCell ref="H161:I161"/>
    <mergeCell ref="J161:K161"/>
    <mergeCell ref="L161:M161"/>
    <mergeCell ref="N161:O161"/>
    <mergeCell ref="P161:Q161"/>
    <mergeCell ref="R161:S161"/>
    <mergeCell ref="T162:U162"/>
    <mergeCell ref="V162:W162"/>
    <mergeCell ref="X162:Y162"/>
    <mergeCell ref="Z162:AA162"/>
    <mergeCell ref="AB162:AC162"/>
    <mergeCell ref="F162:G162"/>
    <mergeCell ref="H162:I162"/>
    <mergeCell ref="J162:K162"/>
    <mergeCell ref="L162:M162"/>
    <mergeCell ref="N162:O162"/>
    <mergeCell ref="P162:Q162"/>
    <mergeCell ref="R162:S162"/>
    <mergeCell ref="T163:U163"/>
    <mergeCell ref="V163:W163"/>
    <mergeCell ref="X163:Y163"/>
    <mergeCell ref="Z163:AA163"/>
    <mergeCell ref="AB163:AC163"/>
    <mergeCell ref="F163:G163"/>
    <mergeCell ref="H163:I163"/>
    <mergeCell ref="J163:K163"/>
    <mergeCell ref="L163:M163"/>
    <mergeCell ref="N163:O163"/>
    <mergeCell ref="P163:Q163"/>
    <mergeCell ref="R163:S163"/>
    <mergeCell ref="T164:U164"/>
    <mergeCell ref="V164:W164"/>
    <mergeCell ref="X164:Y164"/>
    <mergeCell ref="Z164:AA164"/>
    <mergeCell ref="AB164:AC164"/>
    <mergeCell ref="F164:G164"/>
    <mergeCell ref="H164:I164"/>
    <mergeCell ref="J164:K164"/>
    <mergeCell ref="L164:M164"/>
    <mergeCell ref="N164:O164"/>
    <mergeCell ref="P164:Q164"/>
    <mergeCell ref="R164:S164"/>
    <mergeCell ref="T165:U165"/>
    <mergeCell ref="V165:W165"/>
    <mergeCell ref="X165:Y165"/>
    <mergeCell ref="Z165:AA165"/>
    <mergeCell ref="AB165:AC165"/>
    <mergeCell ref="F165:G165"/>
    <mergeCell ref="H165:I165"/>
    <mergeCell ref="J165:K165"/>
    <mergeCell ref="L165:M165"/>
    <mergeCell ref="N165:O165"/>
    <mergeCell ref="P165:Q165"/>
    <mergeCell ref="R165:S165"/>
    <mergeCell ref="T166:U166"/>
    <mergeCell ref="V166:W166"/>
    <mergeCell ref="X166:Y166"/>
    <mergeCell ref="Z166:AA166"/>
    <mergeCell ref="AB166:AC166"/>
    <mergeCell ref="F166:G166"/>
    <mergeCell ref="H166:I166"/>
    <mergeCell ref="J166:K166"/>
    <mergeCell ref="L166:M166"/>
    <mergeCell ref="N166:O166"/>
    <mergeCell ref="P166:Q166"/>
    <mergeCell ref="R166:S166"/>
    <mergeCell ref="T167:U167"/>
    <mergeCell ref="V167:W167"/>
    <mergeCell ref="X167:Y167"/>
    <mergeCell ref="Z167:AA167"/>
    <mergeCell ref="AB167:AC167"/>
    <mergeCell ref="F167:G167"/>
    <mergeCell ref="H167:I167"/>
    <mergeCell ref="J167:K167"/>
    <mergeCell ref="L167:M167"/>
    <mergeCell ref="N167:O167"/>
    <mergeCell ref="P167:Q167"/>
    <mergeCell ref="R167:S167"/>
    <mergeCell ref="T168:U168"/>
    <mergeCell ref="V168:W168"/>
    <mergeCell ref="X168:Y168"/>
    <mergeCell ref="Z168:AA168"/>
    <mergeCell ref="AB168:AC168"/>
    <mergeCell ref="F168:G168"/>
    <mergeCell ref="H168:I168"/>
    <mergeCell ref="J168:K168"/>
    <mergeCell ref="L168:M168"/>
    <mergeCell ref="N168:O168"/>
    <mergeCell ref="P168:Q168"/>
    <mergeCell ref="R168:S168"/>
    <mergeCell ref="T169:U169"/>
    <mergeCell ref="V169:W169"/>
    <mergeCell ref="X169:Y169"/>
    <mergeCell ref="Z169:AA169"/>
    <mergeCell ref="AB169:AC169"/>
    <mergeCell ref="F169:G169"/>
    <mergeCell ref="H169:I169"/>
    <mergeCell ref="J169:K169"/>
    <mergeCell ref="L169:M169"/>
    <mergeCell ref="N169:O169"/>
    <mergeCell ref="P169:Q169"/>
    <mergeCell ref="R169:S169"/>
    <mergeCell ref="T170:U170"/>
    <mergeCell ref="V170:W170"/>
    <mergeCell ref="X170:Y170"/>
    <mergeCell ref="Z170:AA170"/>
    <mergeCell ref="AB170:AC170"/>
    <mergeCell ref="F170:G170"/>
    <mergeCell ref="H170:I170"/>
    <mergeCell ref="J170:K170"/>
    <mergeCell ref="L170:M170"/>
    <mergeCell ref="N170:O170"/>
    <mergeCell ref="P170:Q170"/>
    <mergeCell ref="R170:S170"/>
    <mergeCell ref="T171:U171"/>
    <mergeCell ref="V171:W171"/>
    <mergeCell ref="X171:Y171"/>
    <mergeCell ref="Z171:AA171"/>
    <mergeCell ref="AB171:AC171"/>
    <mergeCell ref="F171:G171"/>
    <mergeCell ref="H171:I171"/>
    <mergeCell ref="J171:K171"/>
    <mergeCell ref="L171:M171"/>
    <mergeCell ref="N171:O171"/>
    <mergeCell ref="P171:Q171"/>
    <mergeCell ref="R171:S171"/>
    <mergeCell ref="T172:U172"/>
    <mergeCell ref="V172:W172"/>
    <mergeCell ref="X172:Y172"/>
    <mergeCell ref="Z172:AA172"/>
    <mergeCell ref="AB172:AC172"/>
    <mergeCell ref="F172:G172"/>
    <mergeCell ref="H172:I172"/>
    <mergeCell ref="J172:K172"/>
    <mergeCell ref="L172:M172"/>
    <mergeCell ref="N172:O172"/>
    <mergeCell ref="P172:Q172"/>
    <mergeCell ref="R172:S172"/>
    <mergeCell ref="T173:U173"/>
    <mergeCell ref="V173:W173"/>
    <mergeCell ref="X173:Y173"/>
    <mergeCell ref="Z173:AA173"/>
    <mergeCell ref="AB173:AC173"/>
    <mergeCell ref="F173:G173"/>
    <mergeCell ref="H173:I173"/>
    <mergeCell ref="J173:K173"/>
    <mergeCell ref="L173:M173"/>
    <mergeCell ref="N173:O173"/>
    <mergeCell ref="P173:Q173"/>
    <mergeCell ref="R173:S173"/>
    <mergeCell ref="T174:U174"/>
    <mergeCell ref="V174:W174"/>
    <mergeCell ref="X174:Y174"/>
    <mergeCell ref="Z174:AA174"/>
    <mergeCell ref="AB174:AC174"/>
    <mergeCell ref="F174:G174"/>
    <mergeCell ref="H174:I174"/>
    <mergeCell ref="J174:K174"/>
    <mergeCell ref="L174:M174"/>
    <mergeCell ref="N174:O174"/>
    <mergeCell ref="P174:Q174"/>
    <mergeCell ref="R174:S174"/>
    <mergeCell ref="T175:U175"/>
    <mergeCell ref="V175:W175"/>
    <mergeCell ref="X175:Y175"/>
    <mergeCell ref="Z175:AA175"/>
    <mergeCell ref="AB175:AC175"/>
    <mergeCell ref="F175:G175"/>
    <mergeCell ref="H175:I175"/>
    <mergeCell ref="J175:K175"/>
    <mergeCell ref="L175:M175"/>
    <mergeCell ref="N175:O175"/>
    <mergeCell ref="P175:Q175"/>
    <mergeCell ref="R175:S175"/>
    <mergeCell ref="T176:U176"/>
    <mergeCell ref="V176:W176"/>
    <mergeCell ref="X176:Y176"/>
    <mergeCell ref="Z176:AA176"/>
    <mergeCell ref="AB176:AC176"/>
    <mergeCell ref="F176:G176"/>
    <mergeCell ref="H176:I176"/>
    <mergeCell ref="J176:K176"/>
    <mergeCell ref="L176:M176"/>
    <mergeCell ref="N176:O176"/>
    <mergeCell ref="P176:Q176"/>
    <mergeCell ref="R176:S176"/>
    <mergeCell ref="T177:U177"/>
    <mergeCell ref="V177:W177"/>
    <mergeCell ref="X177:Y177"/>
    <mergeCell ref="Z177:AA177"/>
    <mergeCell ref="AB177:AC177"/>
    <mergeCell ref="F177:G177"/>
    <mergeCell ref="H177:I177"/>
    <mergeCell ref="J177:K177"/>
    <mergeCell ref="L177:M177"/>
    <mergeCell ref="N177:O177"/>
    <mergeCell ref="P177:Q177"/>
    <mergeCell ref="R177:S177"/>
    <mergeCell ref="T178:U178"/>
    <mergeCell ref="V178:W178"/>
    <mergeCell ref="X178:Y178"/>
    <mergeCell ref="Z178:AA178"/>
    <mergeCell ref="AB178:AC178"/>
    <mergeCell ref="F178:G178"/>
    <mergeCell ref="H178:I178"/>
    <mergeCell ref="J178:K178"/>
    <mergeCell ref="L178:M178"/>
    <mergeCell ref="N178:O178"/>
    <mergeCell ref="P178:Q178"/>
    <mergeCell ref="R178:S178"/>
    <mergeCell ref="T179:U179"/>
    <mergeCell ref="V179:W179"/>
    <mergeCell ref="X179:Y179"/>
    <mergeCell ref="Z179:AA179"/>
    <mergeCell ref="AB179:AC179"/>
    <mergeCell ref="F179:G179"/>
    <mergeCell ref="H179:I179"/>
    <mergeCell ref="J179:K179"/>
    <mergeCell ref="L179:M179"/>
    <mergeCell ref="N179:O179"/>
    <mergeCell ref="P179:Q179"/>
    <mergeCell ref="R179:S179"/>
    <mergeCell ref="T180:U180"/>
    <mergeCell ref="V180:W180"/>
    <mergeCell ref="X180:Y180"/>
    <mergeCell ref="Z180:AA180"/>
    <mergeCell ref="AB180:AC180"/>
    <mergeCell ref="F180:G180"/>
    <mergeCell ref="H180:I180"/>
    <mergeCell ref="J180:K180"/>
    <mergeCell ref="L180:M180"/>
    <mergeCell ref="N180:O180"/>
    <mergeCell ref="P180:Q180"/>
    <mergeCell ref="R180:S180"/>
    <mergeCell ref="T181:U181"/>
    <mergeCell ref="V181:W181"/>
    <mergeCell ref="X181:Y181"/>
    <mergeCell ref="Z181:AA181"/>
    <mergeCell ref="AB181:AC181"/>
    <mergeCell ref="F181:G181"/>
    <mergeCell ref="H181:I181"/>
    <mergeCell ref="J181:K181"/>
    <mergeCell ref="L181:M181"/>
    <mergeCell ref="N181:O181"/>
    <mergeCell ref="P181:Q181"/>
    <mergeCell ref="R181:S181"/>
    <mergeCell ref="T182:U182"/>
    <mergeCell ref="V182:W182"/>
    <mergeCell ref="X182:Y182"/>
    <mergeCell ref="Z182:AA182"/>
    <mergeCell ref="AB182:AC182"/>
    <mergeCell ref="F182:G182"/>
    <mergeCell ref="H182:I182"/>
    <mergeCell ref="J182:K182"/>
    <mergeCell ref="L182:M182"/>
    <mergeCell ref="N182:O182"/>
    <mergeCell ref="P182:Q182"/>
    <mergeCell ref="R182:S182"/>
    <mergeCell ref="T183:U183"/>
    <mergeCell ref="V183:W183"/>
    <mergeCell ref="X183:Y183"/>
    <mergeCell ref="Z183:AA183"/>
    <mergeCell ref="AB183:AC183"/>
    <mergeCell ref="F183:G183"/>
    <mergeCell ref="H183:I183"/>
    <mergeCell ref="J183:K183"/>
    <mergeCell ref="L183:M183"/>
    <mergeCell ref="N183:O183"/>
    <mergeCell ref="P183:Q183"/>
    <mergeCell ref="R183:S183"/>
    <mergeCell ref="T184:U184"/>
    <mergeCell ref="V184:W184"/>
    <mergeCell ref="X184:Y184"/>
    <mergeCell ref="Z184:AA184"/>
    <mergeCell ref="AB184:AC184"/>
    <mergeCell ref="F184:G184"/>
    <mergeCell ref="H184:I184"/>
    <mergeCell ref="J184:K184"/>
    <mergeCell ref="L184:M184"/>
    <mergeCell ref="N184:O184"/>
    <mergeCell ref="P184:Q184"/>
    <mergeCell ref="R184:S184"/>
    <mergeCell ref="T185:U185"/>
    <mergeCell ref="V185:W185"/>
    <mergeCell ref="X185:Y185"/>
    <mergeCell ref="Z185:AA185"/>
    <mergeCell ref="AB185:AC185"/>
    <mergeCell ref="F185:G185"/>
    <mergeCell ref="H185:I185"/>
    <mergeCell ref="J185:K185"/>
    <mergeCell ref="L185:M185"/>
    <mergeCell ref="N185:O185"/>
    <mergeCell ref="P185:Q185"/>
    <mergeCell ref="R185:S185"/>
    <mergeCell ref="T186:U186"/>
    <mergeCell ref="V186:W186"/>
    <mergeCell ref="X186:Y186"/>
    <mergeCell ref="Z186:AA186"/>
    <mergeCell ref="AB186:AC186"/>
    <mergeCell ref="F186:G186"/>
    <mergeCell ref="H186:I186"/>
    <mergeCell ref="J186:K186"/>
    <mergeCell ref="L186:M186"/>
    <mergeCell ref="N186:O186"/>
    <mergeCell ref="P186:Q186"/>
    <mergeCell ref="R186:S186"/>
    <mergeCell ref="T187:U187"/>
    <mergeCell ref="V187:W187"/>
    <mergeCell ref="X187:Y187"/>
    <mergeCell ref="Z187:AA187"/>
    <mergeCell ref="AB187:AC187"/>
    <mergeCell ref="F187:G187"/>
    <mergeCell ref="H187:I187"/>
    <mergeCell ref="J187:K187"/>
    <mergeCell ref="L187:M187"/>
    <mergeCell ref="N187:O187"/>
    <mergeCell ref="P187:Q187"/>
    <mergeCell ref="R187:S187"/>
    <mergeCell ref="T188:U188"/>
    <mergeCell ref="V188:W188"/>
    <mergeCell ref="X188:Y188"/>
    <mergeCell ref="Z188:AA188"/>
    <mergeCell ref="AB188:AC188"/>
    <mergeCell ref="F188:G188"/>
    <mergeCell ref="H188:I188"/>
    <mergeCell ref="J188:K188"/>
    <mergeCell ref="L188:M188"/>
    <mergeCell ref="N188:O188"/>
    <mergeCell ref="P188:Q188"/>
    <mergeCell ref="R188:S188"/>
    <mergeCell ref="T189:U189"/>
    <mergeCell ref="V189:W189"/>
    <mergeCell ref="X189:Y189"/>
    <mergeCell ref="Z189:AA189"/>
    <mergeCell ref="AB189:AC189"/>
    <mergeCell ref="F189:G189"/>
    <mergeCell ref="H189:I189"/>
    <mergeCell ref="J189:K189"/>
    <mergeCell ref="L189:M189"/>
    <mergeCell ref="N189:O189"/>
    <mergeCell ref="P189:Q189"/>
    <mergeCell ref="R189:S189"/>
    <mergeCell ref="T190:U190"/>
    <mergeCell ref="V190:W190"/>
    <mergeCell ref="X190:Y190"/>
    <mergeCell ref="Z190:AA190"/>
    <mergeCell ref="AB190:AC190"/>
    <mergeCell ref="F190:G190"/>
    <mergeCell ref="H190:I190"/>
    <mergeCell ref="J190:K190"/>
    <mergeCell ref="L190:M190"/>
    <mergeCell ref="N190:O190"/>
    <mergeCell ref="P190:Q190"/>
    <mergeCell ref="R190:S190"/>
    <mergeCell ref="T191:U191"/>
    <mergeCell ref="V191:W191"/>
    <mergeCell ref="X191:Y191"/>
    <mergeCell ref="Z191:AA191"/>
    <mergeCell ref="AB191:AC191"/>
    <mergeCell ref="F191:G191"/>
    <mergeCell ref="H191:I191"/>
    <mergeCell ref="J191:K191"/>
    <mergeCell ref="L191:M191"/>
    <mergeCell ref="N191:O191"/>
    <mergeCell ref="P191:Q191"/>
    <mergeCell ref="R191:S191"/>
    <mergeCell ref="T192:U192"/>
    <mergeCell ref="V192:W192"/>
    <mergeCell ref="X192:Y192"/>
    <mergeCell ref="Z192:AA192"/>
    <mergeCell ref="AB192:AC192"/>
    <mergeCell ref="F192:G192"/>
    <mergeCell ref="H192:I192"/>
    <mergeCell ref="J192:K192"/>
    <mergeCell ref="L192:M192"/>
    <mergeCell ref="N192:O192"/>
    <mergeCell ref="P192:Q192"/>
    <mergeCell ref="R192:S192"/>
    <mergeCell ref="T193:U193"/>
    <mergeCell ref="V193:W193"/>
    <mergeCell ref="X193:Y193"/>
    <mergeCell ref="Z193:AA193"/>
    <mergeCell ref="AB193:AC193"/>
    <mergeCell ref="F193:G193"/>
    <mergeCell ref="H193:I193"/>
    <mergeCell ref="J193:K193"/>
    <mergeCell ref="L193:M193"/>
    <mergeCell ref="N193:O193"/>
    <mergeCell ref="P193:Q193"/>
    <mergeCell ref="R193:S193"/>
    <mergeCell ref="T194:U194"/>
    <mergeCell ref="V194:W194"/>
    <mergeCell ref="X194:Y194"/>
    <mergeCell ref="Z194:AA194"/>
    <mergeCell ref="AB194:AC194"/>
    <mergeCell ref="F194:G194"/>
    <mergeCell ref="H194:I194"/>
    <mergeCell ref="J194:K194"/>
    <mergeCell ref="L194:M194"/>
    <mergeCell ref="N194:O194"/>
    <mergeCell ref="P194:Q194"/>
    <mergeCell ref="R194:S194"/>
    <mergeCell ref="T195:U195"/>
    <mergeCell ref="V195:W195"/>
    <mergeCell ref="X195:Y195"/>
    <mergeCell ref="Z195:AA195"/>
    <mergeCell ref="AB195:AC195"/>
    <mergeCell ref="F195:G195"/>
    <mergeCell ref="H195:I195"/>
    <mergeCell ref="J195:K195"/>
    <mergeCell ref="L195:M195"/>
    <mergeCell ref="N195:O195"/>
    <mergeCell ref="P195:Q195"/>
    <mergeCell ref="R195:S195"/>
    <mergeCell ref="T196:U196"/>
    <mergeCell ref="V196:W196"/>
    <mergeCell ref="X196:Y196"/>
    <mergeCell ref="Z196:AA196"/>
    <mergeCell ref="AB196:AC196"/>
    <mergeCell ref="F196:G196"/>
    <mergeCell ref="H196:I196"/>
    <mergeCell ref="J196:K196"/>
    <mergeCell ref="L196:M196"/>
    <mergeCell ref="N196:O196"/>
    <mergeCell ref="P196:Q196"/>
    <mergeCell ref="R196:S196"/>
    <mergeCell ref="T197:U197"/>
    <mergeCell ref="V197:W197"/>
    <mergeCell ref="X197:Y197"/>
    <mergeCell ref="Z197:AA197"/>
    <mergeCell ref="AB197:AC197"/>
    <mergeCell ref="F197:G197"/>
    <mergeCell ref="H197:I197"/>
    <mergeCell ref="J197:K197"/>
    <mergeCell ref="L197:M197"/>
    <mergeCell ref="N197:O197"/>
    <mergeCell ref="P197:Q197"/>
    <mergeCell ref="R197:S197"/>
    <mergeCell ref="T198:U198"/>
    <mergeCell ref="V198:W198"/>
    <mergeCell ref="X198:Y198"/>
    <mergeCell ref="Z198:AA198"/>
    <mergeCell ref="AB198:AC198"/>
    <mergeCell ref="F198:G198"/>
    <mergeCell ref="H198:I198"/>
    <mergeCell ref="J198:K198"/>
    <mergeCell ref="L198:M198"/>
    <mergeCell ref="N198:O198"/>
    <mergeCell ref="P198:Q198"/>
    <mergeCell ref="R198:S198"/>
    <mergeCell ref="T199:U199"/>
    <mergeCell ref="V199:W199"/>
    <mergeCell ref="X199:Y199"/>
    <mergeCell ref="Z199:AA199"/>
    <mergeCell ref="AB199:AC199"/>
    <mergeCell ref="F199:G199"/>
    <mergeCell ref="H199:I199"/>
    <mergeCell ref="J199:K199"/>
    <mergeCell ref="L199:M199"/>
    <mergeCell ref="N199:O199"/>
    <mergeCell ref="P199:Q199"/>
    <mergeCell ref="R199:S199"/>
    <mergeCell ref="T200:U200"/>
    <mergeCell ref="V200:W200"/>
    <mergeCell ref="X200:Y200"/>
    <mergeCell ref="Z200:AA200"/>
    <mergeCell ref="AB200:AC200"/>
    <mergeCell ref="F200:G200"/>
    <mergeCell ref="H200:I200"/>
    <mergeCell ref="J200:K200"/>
    <mergeCell ref="L200:M200"/>
    <mergeCell ref="N200:O200"/>
    <mergeCell ref="P200:Q200"/>
    <mergeCell ref="R200:S200"/>
    <mergeCell ref="T201:U201"/>
    <mergeCell ref="V201:W201"/>
    <mergeCell ref="X201:Y201"/>
    <mergeCell ref="Z201:AA201"/>
    <mergeCell ref="AB201:AC201"/>
    <mergeCell ref="F201:G201"/>
    <mergeCell ref="H201:I201"/>
    <mergeCell ref="J201:K201"/>
    <mergeCell ref="L201:M201"/>
    <mergeCell ref="N201:O201"/>
    <mergeCell ref="P201:Q201"/>
    <mergeCell ref="R201:S201"/>
    <mergeCell ref="T202:U202"/>
    <mergeCell ref="V202:W202"/>
    <mergeCell ref="X202:Y202"/>
    <mergeCell ref="Z202:AA202"/>
    <mergeCell ref="AB202:AC202"/>
    <mergeCell ref="F202:G202"/>
    <mergeCell ref="H202:I202"/>
    <mergeCell ref="J202:K202"/>
    <mergeCell ref="L202:M202"/>
    <mergeCell ref="N202:O202"/>
    <mergeCell ref="P202:Q202"/>
    <mergeCell ref="R202:S202"/>
    <mergeCell ref="T203:U203"/>
    <mergeCell ref="V203:W203"/>
    <mergeCell ref="X203:Y203"/>
    <mergeCell ref="Z203:AA203"/>
    <mergeCell ref="AB203:AC203"/>
    <mergeCell ref="F203:G203"/>
    <mergeCell ref="H203:I203"/>
    <mergeCell ref="J203:K203"/>
    <mergeCell ref="L203:M203"/>
    <mergeCell ref="N203:O203"/>
    <mergeCell ref="P203:Q203"/>
    <mergeCell ref="R203:S203"/>
    <mergeCell ref="T204:U204"/>
    <mergeCell ref="V204:W204"/>
    <mergeCell ref="X204:Y204"/>
    <mergeCell ref="Z204:AA204"/>
    <mergeCell ref="AB204:AC204"/>
    <mergeCell ref="F204:G204"/>
    <mergeCell ref="H204:I204"/>
    <mergeCell ref="J204:K204"/>
    <mergeCell ref="L204:M204"/>
    <mergeCell ref="N204:O204"/>
    <mergeCell ref="P204:Q204"/>
    <mergeCell ref="R204:S204"/>
    <mergeCell ref="T205:U205"/>
    <mergeCell ref="V205:W205"/>
    <mergeCell ref="X205:Y205"/>
    <mergeCell ref="Z205:AA205"/>
    <mergeCell ref="AB205:AC205"/>
    <mergeCell ref="F205:G205"/>
    <mergeCell ref="H205:I205"/>
    <mergeCell ref="J205:K205"/>
    <mergeCell ref="L205:M205"/>
    <mergeCell ref="N205:O205"/>
    <mergeCell ref="P205:Q205"/>
    <mergeCell ref="R205:S205"/>
    <mergeCell ref="T206:U206"/>
    <mergeCell ref="V206:W206"/>
    <mergeCell ref="X206:Y206"/>
    <mergeCell ref="Z206:AA206"/>
    <mergeCell ref="AB206:AC206"/>
    <mergeCell ref="F206:G206"/>
    <mergeCell ref="H206:I206"/>
    <mergeCell ref="J206:K206"/>
    <mergeCell ref="L206:M206"/>
    <mergeCell ref="N206:O206"/>
    <mergeCell ref="P206:Q206"/>
    <mergeCell ref="R206:S206"/>
    <mergeCell ref="T207:U207"/>
    <mergeCell ref="V207:W207"/>
    <mergeCell ref="X207:Y207"/>
    <mergeCell ref="Z207:AA207"/>
    <mergeCell ref="AB207:AC207"/>
    <mergeCell ref="F207:G207"/>
    <mergeCell ref="H207:I207"/>
    <mergeCell ref="J207:K207"/>
    <mergeCell ref="L207:M207"/>
    <mergeCell ref="N207:O207"/>
    <mergeCell ref="P207:Q207"/>
    <mergeCell ref="R207:S207"/>
    <mergeCell ref="T208:U208"/>
    <mergeCell ref="V208:W208"/>
    <mergeCell ref="X208:Y208"/>
    <mergeCell ref="Z208:AA208"/>
    <mergeCell ref="AB208:AC208"/>
    <mergeCell ref="F208:G208"/>
    <mergeCell ref="H208:I208"/>
    <mergeCell ref="J208:K208"/>
    <mergeCell ref="L208:M208"/>
    <mergeCell ref="N208:O208"/>
    <mergeCell ref="P208:Q208"/>
    <mergeCell ref="R208:S208"/>
    <mergeCell ref="T209:U209"/>
    <mergeCell ref="V209:W209"/>
    <mergeCell ref="X209:Y209"/>
    <mergeCell ref="Z209:AA209"/>
    <mergeCell ref="AB209:AC209"/>
    <mergeCell ref="F209:G209"/>
    <mergeCell ref="H209:I209"/>
    <mergeCell ref="J209:K209"/>
    <mergeCell ref="L209:M209"/>
    <mergeCell ref="N209:O209"/>
    <mergeCell ref="P209:Q209"/>
    <mergeCell ref="R209:S209"/>
    <mergeCell ref="T210:U210"/>
    <mergeCell ref="V210:W210"/>
    <mergeCell ref="X210:Y210"/>
    <mergeCell ref="Z210:AA210"/>
    <mergeCell ref="AB210:AC210"/>
    <mergeCell ref="F210:G210"/>
    <mergeCell ref="H210:I210"/>
    <mergeCell ref="J210:K210"/>
    <mergeCell ref="L210:M210"/>
    <mergeCell ref="N210:O210"/>
    <mergeCell ref="P210:Q210"/>
    <mergeCell ref="R210:S210"/>
    <mergeCell ref="T211:U211"/>
    <mergeCell ref="V211:W211"/>
    <mergeCell ref="X211:Y211"/>
    <mergeCell ref="Z211:AA211"/>
    <mergeCell ref="AB211:AC211"/>
    <mergeCell ref="F211:G211"/>
    <mergeCell ref="H211:I211"/>
    <mergeCell ref="J211:K211"/>
    <mergeCell ref="L211:M211"/>
    <mergeCell ref="N211:O211"/>
    <mergeCell ref="P211:Q211"/>
    <mergeCell ref="R211:S211"/>
    <mergeCell ref="T212:U212"/>
    <mergeCell ref="V212:W212"/>
    <mergeCell ref="X212:Y212"/>
    <mergeCell ref="Z212:AA212"/>
    <mergeCell ref="AB212:AC212"/>
    <mergeCell ref="F212:G212"/>
    <mergeCell ref="H212:I212"/>
    <mergeCell ref="J212:K212"/>
    <mergeCell ref="L212:M212"/>
    <mergeCell ref="N212:O212"/>
    <mergeCell ref="P212:Q212"/>
    <mergeCell ref="R212:S212"/>
    <mergeCell ref="T213:U213"/>
    <mergeCell ref="V213:W213"/>
    <mergeCell ref="X213:Y213"/>
    <mergeCell ref="Z213:AA213"/>
    <mergeCell ref="AB213:AC213"/>
    <mergeCell ref="F213:G213"/>
    <mergeCell ref="H213:I213"/>
    <mergeCell ref="J213:K213"/>
    <mergeCell ref="L213:M213"/>
    <mergeCell ref="N213:O213"/>
    <mergeCell ref="P213:Q213"/>
    <mergeCell ref="R213:S213"/>
    <mergeCell ref="T214:U214"/>
    <mergeCell ref="V214:W214"/>
    <mergeCell ref="X214:Y214"/>
    <mergeCell ref="Z214:AA214"/>
    <mergeCell ref="AB214:AC214"/>
    <mergeCell ref="F214:G214"/>
    <mergeCell ref="H214:I214"/>
    <mergeCell ref="J214:K214"/>
    <mergeCell ref="L214:M214"/>
    <mergeCell ref="N214:O214"/>
    <mergeCell ref="P214:Q214"/>
    <mergeCell ref="R214:S214"/>
    <mergeCell ref="T215:U215"/>
    <mergeCell ref="V215:W215"/>
    <mergeCell ref="X215:Y215"/>
    <mergeCell ref="Z215:AA215"/>
    <mergeCell ref="AB215:AC215"/>
    <mergeCell ref="F215:G215"/>
    <mergeCell ref="H215:I215"/>
    <mergeCell ref="J215:K215"/>
    <mergeCell ref="L215:M215"/>
    <mergeCell ref="N215:O215"/>
    <mergeCell ref="P215:Q215"/>
    <mergeCell ref="R215:S215"/>
    <mergeCell ref="T216:U216"/>
    <mergeCell ref="V216:W216"/>
    <mergeCell ref="X216:Y216"/>
    <mergeCell ref="Z216:AA216"/>
    <mergeCell ref="AB216:AC216"/>
    <mergeCell ref="F216:G216"/>
    <mergeCell ref="H216:I216"/>
    <mergeCell ref="J216:K216"/>
    <mergeCell ref="L216:M216"/>
    <mergeCell ref="N216:O216"/>
    <mergeCell ref="P216:Q216"/>
    <mergeCell ref="R216:S216"/>
    <mergeCell ref="T217:U217"/>
    <mergeCell ref="V217:W217"/>
    <mergeCell ref="X217:Y217"/>
    <mergeCell ref="Z217:AA217"/>
    <mergeCell ref="AB217:AC217"/>
    <mergeCell ref="F217:G217"/>
    <mergeCell ref="H217:I217"/>
    <mergeCell ref="J217:K217"/>
    <mergeCell ref="L217:M217"/>
    <mergeCell ref="N217:O217"/>
    <mergeCell ref="P217:Q217"/>
    <mergeCell ref="R217:S217"/>
    <mergeCell ref="T218:U218"/>
    <mergeCell ref="V218:W218"/>
    <mergeCell ref="X218:Y218"/>
    <mergeCell ref="Z218:AA218"/>
    <mergeCell ref="AB218:AC218"/>
    <mergeCell ref="F218:G218"/>
    <mergeCell ref="H218:I218"/>
    <mergeCell ref="J218:K218"/>
    <mergeCell ref="L218:M218"/>
    <mergeCell ref="N218:O218"/>
    <mergeCell ref="P218:Q218"/>
    <mergeCell ref="R218:S218"/>
    <mergeCell ref="T219:U219"/>
    <mergeCell ref="V219:W219"/>
    <mergeCell ref="X219:Y219"/>
    <mergeCell ref="Z219:AA219"/>
    <mergeCell ref="AB219:AC219"/>
    <mergeCell ref="F219:G219"/>
    <mergeCell ref="H219:I219"/>
    <mergeCell ref="J219:K219"/>
    <mergeCell ref="L219:M219"/>
    <mergeCell ref="N219:O219"/>
    <mergeCell ref="P219:Q219"/>
    <mergeCell ref="R219:S219"/>
    <mergeCell ref="T220:U220"/>
    <mergeCell ref="V220:W220"/>
    <mergeCell ref="X220:Y220"/>
    <mergeCell ref="Z220:AA220"/>
    <mergeCell ref="AB220:AC220"/>
    <mergeCell ref="F220:G220"/>
    <mergeCell ref="H220:I220"/>
    <mergeCell ref="J220:K220"/>
    <mergeCell ref="L220:M220"/>
    <mergeCell ref="N220:O220"/>
    <mergeCell ref="P220:Q220"/>
    <mergeCell ref="R220:S220"/>
    <mergeCell ref="T221:U221"/>
    <mergeCell ref="V221:W221"/>
    <mergeCell ref="X221:Y221"/>
    <mergeCell ref="Z221:AA221"/>
    <mergeCell ref="AB221:AC221"/>
    <mergeCell ref="F221:G221"/>
    <mergeCell ref="H221:I221"/>
    <mergeCell ref="J221:K221"/>
    <mergeCell ref="L221:M221"/>
    <mergeCell ref="N221:O221"/>
    <mergeCell ref="P221:Q221"/>
    <mergeCell ref="R221:S221"/>
    <mergeCell ref="T222:U222"/>
    <mergeCell ref="V222:W222"/>
    <mergeCell ref="X222:Y222"/>
    <mergeCell ref="Z222:AA222"/>
    <mergeCell ref="AB222:AC222"/>
    <mergeCell ref="F222:G222"/>
    <mergeCell ref="H222:I222"/>
    <mergeCell ref="J222:K222"/>
    <mergeCell ref="L222:M222"/>
    <mergeCell ref="N222:O222"/>
    <mergeCell ref="P222:Q222"/>
    <mergeCell ref="R222:S222"/>
    <mergeCell ref="T223:U223"/>
    <mergeCell ref="V223:W223"/>
    <mergeCell ref="X223:Y223"/>
    <mergeCell ref="Z223:AA223"/>
    <mergeCell ref="AB223:AC223"/>
    <mergeCell ref="F223:G223"/>
    <mergeCell ref="H223:I223"/>
    <mergeCell ref="J223:K223"/>
    <mergeCell ref="L223:M223"/>
    <mergeCell ref="N223:O223"/>
    <mergeCell ref="P223:Q223"/>
    <mergeCell ref="R223:S223"/>
    <mergeCell ref="T224:U224"/>
    <mergeCell ref="V224:W224"/>
    <mergeCell ref="X224:Y224"/>
    <mergeCell ref="Z224:AA224"/>
    <mergeCell ref="AB224:AC224"/>
    <mergeCell ref="F224:G224"/>
    <mergeCell ref="H224:I224"/>
    <mergeCell ref="J224:K224"/>
    <mergeCell ref="L224:M224"/>
    <mergeCell ref="N224:O224"/>
    <mergeCell ref="P224:Q224"/>
    <mergeCell ref="R224:S224"/>
    <mergeCell ref="T225:U225"/>
    <mergeCell ref="V225:W225"/>
    <mergeCell ref="X225:Y225"/>
    <mergeCell ref="Z225:AA225"/>
    <mergeCell ref="AB225:AC225"/>
    <mergeCell ref="F225:G225"/>
    <mergeCell ref="H225:I225"/>
    <mergeCell ref="J225:K225"/>
    <mergeCell ref="L225:M225"/>
    <mergeCell ref="N225:O225"/>
    <mergeCell ref="P225:Q225"/>
    <mergeCell ref="R225:S225"/>
    <mergeCell ref="T226:U226"/>
    <mergeCell ref="V226:W226"/>
    <mergeCell ref="X226:Y226"/>
    <mergeCell ref="Z226:AA226"/>
    <mergeCell ref="AB226:AC226"/>
    <mergeCell ref="F226:G226"/>
    <mergeCell ref="H226:I226"/>
    <mergeCell ref="J226:K226"/>
    <mergeCell ref="L226:M226"/>
    <mergeCell ref="N226:O226"/>
    <mergeCell ref="P226:Q226"/>
    <mergeCell ref="R226:S226"/>
    <mergeCell ref="T227:U227"/>
    <mergeCell ref="V227:W227"/>
    <mergeCell ref="X227:Y227"/>
    <mergeCell ref="Z227:AA227"/>
    <mergeCell ref="AB227:AC227"/>
    <mergeCell ref="F227:G227"/>
    <mergeCell ref="H227:I227"/>
    <mergeCell ref="J227:K227"/>
    <mergeCell ref="L227:M227"/>
    <mergeCell ref="N227:O227"/>
    <mergeCell ref="P227:Q227"/>
    <mergeCell ref="R227:S227"/>
    <mergeCell ref="T228:U228"/>
    <mergeCell ref="V228:W228"/>
    <mergeCell ref="X228:Y228"/>
    <mergeCell ref="Z228:AA228"/>
    <mergeCell ref="AB228:AC228"/>
    <mergeCell ref="F228:G228"/>
    <mergeCell ref="H228:I228"/>
    <mergeCell ref="J228:K228"/>
    <mergeCell ref="L228:M228"/>
    <mergeCell ref="N228:O228"/>
    <mergeCell ref="P228:Q228"/>
    <mergeCell ref="R228:S228"/>
    <mergeCell ref="T229:U229"/>
    <mergeCell ref="V229:W229"/>
    <mergeCell ref="X229:Y229"/>
    <mergeCell ref="Z229:AA229"/>
    <mergeCell ref="AB229:AC229"/>
    <mergeCell ref="F229:G229"/>
    <mergeCell ref="H229:I229"/>
    <mergeCell ref="J229:K229"/>
    <mergeCell ref="L229:M229"/>
    <mergeCell ref="N229:O229"/>
    <mergeCell ref="P229:Q229"/>
    <mergeCell ref="R229:S229"/>
    <mergeCell ref="T230:U230"/>
    <mergeCell ref="V230:W230"/>
    <mergeCell ref="X230:Y230"/>
    <mergeCell ref="Z230:AA230"/>
    <mergeCell ref="AB230:AC230"/>
    <mergeCell ref="F230:G230"/>
    <mergeCell ref="H230:I230"/>
    <mergeCell ref="J230:K230"/>
    <mergeCell ref="L230:M230"/>
    <mergeCell ref="N230:O230"/>
    <mergeCell ref="P230:Q230"/>
    <mergeCell ref="R230:S230"/>
    <mergeCell ref="T231:U231"/>
    <mergeCell ref="V231:W231"/>
    <mergeCell ref="X231:Y231"/>
    <mergeCell ref="Z231:AA231"/>
    <mergeCell ref="AB231:AC231"/>
    <mergeCell ref="F231:G231"/>
    <mergeCell ref="H231:I231"/>
    <mergeCell ref="J231:K231"/>
    <mergeCell ref="L231:M231"/>
    <mergeCell ref="N231:O231"/>
    <mergeCell ref="P231:Q231"/>
    <mergeCell ref="R231:S231"/>
    <mergeCell ref="T232:U232"/>
    <mergeCell ref="V232:W232"/>
    <mergeCell ref="X232:Y232"/>
    <mergeCell ref="Z232:AA232"/>
    <mergeCell ref="AB232:AC232"/>
    <mergeCell ref="F232:G232"/>
    <mergeCell ref="H232:I232"/>
    <mergeCell ref="J232:K232"/>
    <mergeCell ref="L232:M232"/>
    <mergeCell ref="N232:O232"/>
    <mergeCell ref="P232:Q232"/>
    <mergeCell ref="R232:S232"/>
    <mergeCell ref="T233:U233"/>
    <mergeCell ref="V233:W233"/>
    <mergeCell ref="X233:Y233"/>
    <mergeCell ref="Z233:AA233"/>
    <mergeCell ref="AB233:AC233"/>
    <mergeCell ref="F233:G233"/>
    <mergeCell ref="H233:I233"/>
    <mergeCell ref="J233:K233"/>
    <mergeCell ref="L233:M233"/>
    <mergeCell ref="N233:O233"/>
    <mergeCell ref="P233:Q233"/>
    <mergeCell ref="R233:S233"/>
    <mergeCell ref="T234:U234"/>
    <mergeCell ref="V234:W234"/>
    <mergeCell ref="X234:Y234"/>
    <mergeCell ref="Z234:AA234"/>
    <mergeCell ref="AB234:AC234"/>
    <mergeCell ref="F234:G234"/>
    <mergeCell ref="H234:I234"/>
    <mergeCell ref="J234:K234"/>
    <mergeCell ref="L234:M234"/>
    <mergeCell ref="N234:O234"/>
    <mergeCell ref="P234:Q234"/>
    <mergeCell ref="R234:S234"/>
    <mergeCell ref="T235:U235"/>
    <mergeCell ref="V235:W235"/>
    <mergeCell ref="X235:Y235"/>
    <mergeCell ref="Z235:AA235"/>
    <mergeCell ref="AB235:AC235"/>
    <mergeCell ref="F235:G235"/>
    <mergeCell ref="H235:I235"/>
    <mergeCell ref="J235:K235"/>
    <mergeCell ref="L235:M235"/>
    <mergeCell ref="N235:O235"/>
    <mergeCell ref="P235:Q235"/>
    <mergeCell ref="R235:S235"/>
    <mergeCell ref="T236:U236"/>
    <mergeCell ref="V236:W236"/>
    <mergeCell ref="X236:Y236"/>
    <mergeCell ref="Z236:AA236"/>
    <mergeCell ref="AB236:AC236"/>
    <mergeCell ref="F236:G236"/>
    <mergeCell ref="H236:I236"/>
    <mergeCell ref="J236:K236"/>
    <mergeCell ref="L236:M236"/>
    <mergeCell ref="N236:O236"/>
    <mergeCell ref="P236:Q236"/>
    <mergeCell ref="R236:S236"/>
    <mergeCell ref="T237:U237"/>
    <mergeCell ref="V237:W237"/>
    <mergeCell ref="X237:Y237"/>
    <mergeCell ref="Z237:AA237"/>
    <mergeCell ref="AB237:AC237"/>
    <mergeCell ref="F237:G237"/>
    <mergeCell ref="H237:I237"/>
    <mergeCell ref="J237:K237"/>
    <mergeCell ref="L237:M237"/>
    <mergeCell ref="N237:O237"/>
    <mergeCell ref="P237:Q237"/>
    <mergeCell ref="R237:S237"/>
    <mergeCell ref="T238:U238"/>
    <mergeCell ref="V238:W238"/>
    <mergeCell ref="X238:Y238"/>
    <mergeCell ref="Z238:AA238"/>
    <mergeCell ref="AB238:AC238"/>
    <mergeCell ref="F238:G238"/>
    <mergeCell ref="H238:I238"/>
    <mergeCell ref="J238:K238"/>
    <mergeCell ref="L238:M238"/>
    <mergeCell ref="N238:O238"/>
    <mergeCell ref="P238:Q238"/>
    <mergeCell ref="R238:S238"/>
    <mergeCell ref="T239:U239"/>
    <mergeCell ref="V239:W239"/>
    <mergeCell ref="X239:Y239"/>
    <mergeCell ref="Z239:AA239"/>
    <mergeCell ref="AB239:AC239"/>
    <mergeCell ref="F239:G239"/>
    <mergeCell ref="H239:I239"/>
    <mergeCell ref="J239:K239"/>
    <mergeCell ref="L239:M239"/>
    <mergeCell ref="N239:O239"/>
    <mergeCell ref="P239:Q239"/>
    <mergeCell ref="R239:S239"/>
    <mergeCell ref="T240:U240"/>
    <mergeCell ref="V240:W240"/>
    <mergeCell ref="X240:Y240"/>
    <mergeCell ref="Z240:AA240"/>
    <mergeCell ref="AB240:AC240"/>
    <mergeCell ref="F240:G240"/>
    <mergeCell ref="H240:I240"/>
    <mergeCell ref="J240:K240"/>
    <mergeCell ref="L240:M240"/>
    <mergeCell ref="N240:O240"/>
    <mergeCell ref="P240:Q240"/>
    <mergeCell ref="R240:S240"/>
    <mergeCell ref="T241:U241"/>
    <mergeCell ref="V241:W241"/>
    <mergeCell ref="X241:Y241"/>
    <mergeCell ref="Z241:AA241"/>
    <mergeCell ref="AB241:AC241"/>
    <mergeCell ref="F241:G241"/>
    <mergeCell ref="H241:I241"/>
    <mergeCell ref="J241:K241"/>
    <mergeCell ref="L241:M241"/>
    <mergeCell ref="N241:O241"/>
    <mergeCell ref="P241:Q241"/>
    <mergeCell ref="R241:S241"/>
    <mergeCell ref="T242:U242"/>
    <mergeCell ref="V242:W242"/>
    <mergeCell ref="X242:Y242"/>
    <mergeCell ref="Z242:AA242"/>
    <mergeCell ref="AB242:AC242"/>
    <mergeCell ref="F242:G242"/>
    <mergeCell ref="H242:I242"/>
    <mergeCell ref="J242:K242"/>
    <mergeCell ref="L242:M242"/>
    <mergeCell ref="N242:O242"/>
    <mergeCell ref="P242:Q242"/>
    <mergeCell ref="R242:S242"/>
    <mergeCell ref="T243:U243"/>
    <mergeCell ref="V243:W243"/>
    <mergeCell ref="X243:Y243"/>
    <mergeCell ref="Z243:AA243"/>
    <mergeCell ref="AB243:AC243"/>
    <mergeCell ref="F243:G243"/>
    <mergeCell ref="H243:I243"/>
    <mergeCell ref="J243:K243"/>
    <mergeCell ref="L243:M243"/>
    <mergeCell ref="N243:O243"/>
    <mergeCell ref="P243:Q243"/>
    <mergeCell ref="R243:S243"/>
    <mergeCell ref="T244:U244"/>
    <mergeCell ref="V244:W244"/>
    <mergeCell ref="X244:Y244"/>
    <mergeCell ref="Z244:AA244"/>
    <mergeCell ref="AB244:AC244"/>
    <mergeCell ref="F244:G244"/>
    <mergeCell ref="H244:I244"/>
    <mergeCell ref="J244:K244"/>
    <mergeCell ref="L244:M244"/>
    <mergeCell ref="N244:O244"/>
    <mergeCell ref="P244:Q244"/>
    <mergeCell ref="R244:S244"/>
    <mergeCell ref="T245:U245"/>
    <mergeCell ref="V245:W245"/>
    <mergeCell ref="X245:Y245"/>
    <mergeCell ref="Z245:AA245"/>
    <mergeCell ref="AB245:AC245"/>
    <mergeCell ref="F245:G245"/>
    <mergeCell ref="H245:I245"/>
    <mergeCell ref="J245:K245"/>
    <mergeCell ref="L245:M245"/>
    <mergeCell ref="N245:O245"/>
    <mergeCell ref="P245:Q245"/>
    <mergeCell ref="R245:S245"/>
    <mergeCell ref="T246:U246"/>
    <mergeCell ref="V246:W246"/>
    <mergeCell ref="X246:Y246"/>
    <mergeCell ref="Z246:AA246"/>
    <mergeCell ref="AB246:AC246"/>
    <mergeCell ref="F246:G246"/>
    <mergeCell ref="H246:I246"/>
    <mergeCell ref="J246:K246"/>
    <mergeCell ref="L246:M246"/>
    <mergeCell ref="N246:O246"/>
    <mergeCell ref="P246:Q246"/>
    <mergeCell ref="R246:S246"/>
    <mergeCell ref="T247:U247"/>
    <mergeCell ref="V247:W247"/>
    <mergeCell ref="X247:Y247"/>
    <mergeCell ref="Z247:AA247"/>
    <mergeCell ref="AB247:AC247"/>
    <mergeCell ref="F247:G247"/>
    <mergeCell ref="H247:I247"/>
    <mergeCell ref="J247:K247"/>
    <mergeCell ref="L247:M247"/>
    <mergeCell ref="N247:O247"/>
    <mergeCell ref="P247:Q247"/>
    <mergeCell ref="R247:S247"/>
    <mergeCell ref="T248:U248"/>
    <mergeCell ref="V248:W248"/>
    <mergeCell ref="X248:Y248"/>
    <mergeCell ref="Z248:AA248"/>
    <mergeCell ref="AB248:AC248"/>
    <mergeCell ref="F248:G248"/>
    <mergeCell ref="H248:I248"/>
    <mergeCell ref="J248:K248"/>
    <mergeCell ref="L248:M248"/>
    <mergeCell ref="N248:O248"/>
    <mergeCell ref="P248:Q248"/>
    <mergeCell ref="R248:S248"/>
    <mergeCell ref="T249:U249"/>
    <mergeCell ref="V249:W249"/>
    <mergeCell ref="X249:Y249"/>
    <mergeCell ref="Z249:AA249"/>
    <mergeCell ref="AB249:AC249"/>
    <mergeCell ref="F249:G249"/>
    <mergeCell ref="H249:I249"/>
    <mergeCell ref="J249:K249"/>
    <mergeCell ref="L249:M249"/>
    <mergeCell ref="N249:O249"/>
    <mergeCell ref="P249:Q249"/>
    <mergeCell ref="R249:S249"/>
    <mergeCell ref="T250:U250"/>
    <mergeCell ref="V250:W250"/>
    <mergeCell ref="X250:Y250"/>
    <mergeCell ref="Z250:AA250"/>
    <mergeCell ref="AB250:AC250"/>
    <mergeCell ref="F250:G250"/>
    <mergeCell ref="H250:I250"/>
    <mergeCell ref="J250:K250"/>
    <mergeCell ref="L250:M250"/>
    <mergeCell ref="N250:O250"/>
    <mergeCell ref="P250:Q250"/>
    <mergeCell ref="R250:S250"/>
    <mergeCell ref="T251:U251"/>
    <mergeCell ref="V251:W251"/>
    <mergeCell ref="X251:Y251"/>
    <mergeCell ref="Z251:AA251"/>
    <mergeCell ref="AB251:AC251"/>
    <mergeCell ref="F251:G251"/>
    <mergeCell ref="H251:I251"/>
    <mergeCell ref="J251:K251"/>
    <mergeCell ref="L251:M251"/>
    <mergeCell ref="N251:O251"/>
    <mergeCell ref="P251:Q251"/>
    <mergeCell ref="R251:S251"/>
    <mergeCell ref="T252:U252"/>
    <mergeCell ref="V252:W252"/>
    <mergeCell ref="X252:Y252"/>
    <mergeCell ref="Z252:AA252"/>
    <mergeCell ref="AB252:AC252"/>
    <mergeCell ref="F252:G252"/>
    <mergeCell ref="H252:I252"/>
    <mergeCell ref="J252:K252"/>
    <mergeCell ref="L252:M252"/>
    <mergeCell ref="N252:O252"/>
    <mergeCell ref="P252:Q252"/>
    <mergeCell ref="R252:S252"/>
    <mergeCell ref="T253:U253"/>
    <mergeCell ref="V253:W253"/>
    <mergeCell ref="X253:Y253"/>
    <mergeCell ref="Z253:AA253"/>
    <mergeCell ref="AB253:AC253"/>
    <mergeCell ref="F253:G253"/>
    <mergeCell ref="H253:I253"/>
    <mergeCell ref="J253:K253"/>
    <mergeCell ref="L253:M253"/>
    <mergeCell ref="N253:O253"/>
    <mergeCell ref="P253:Q253"/>
    <mergeCell ref="R253:S253"/>
    <mergeCell ref="T254:U254"/>
    <mergeCell ref="V254:W254"/>
    <mergeCell ref="X254:Y254"/>
    <mergeCell ref="Z254:AA254"/>
    <mergeCell ref="AB254:AC254"/>
    <mergeCell ref="F254:G254"/>
    <mergeCell ref="H254:I254"/>
    <mergeCell ref="J254:K254"/>
    <mergeCell ref="L254:M254"/>
    <mergeCell ref="N254:O254"/>
    <mergeCell ref="P254:Q254"/>
    <mergeCell ref="R254:S254"/>
    <mergeCell ref="T255:U255"/>
    <mergeCell ref="V255:W255"/>
    <mergeCell ref="X255:Y255"/>
    <mergeCell ref="Z255:AA255"/>
    <mergeCell ref="AB255:AC255"/>
    <mergeCell ref="F255:G255"/>
    <mergeCell ref="H255:I255"/>
    <mergeCell ref="J255:K255"/>
    <mergeCell ref="L255:M255"/>
    <mergeCell ref="N255:O255"/>
    <mergeCell ref="P255:Q255"/>
    <mergeCell ref="R255:S255"/>
    <mergeCell ref="T256:U256"/>
    <mergeCell ref="V256:W256"/>
    <mergeCell ref="X256:Y256"/>
    <mergeCell ref="Z256:AA256"/>
    <mergeCell ref="AB256:AC256"/>
    <mergeCell ref="F256:G256"/>
    <mergeCell ref="H256:I256"/>
    <mergeCell ref="J256:K256"/>
    <mergeCell ref="L256:M256"/>
    <mergeCell ref="N256:O256"/>
    <mergeCell ref="P256:Q256"/>
    <mergeCell ref="R256:S256"/>
    <mergeCell ref="T257:U257"/>
    <mergeCell ref="V257:W257"/>
    <mergeCell ref="X257:Y257"/>
    <mergeCell ref="Z257:AA257"/>
    <mergeCell ref="AB257:AC257"/>
    <mergeCell ref="F257:G257"/>
    <mergeCell ref="H257:I257"/>
    <mergeCell ref="J257:K257"/>
    <mergeCell ref="L257:M257"/>
    <mergeCell ref="N257:O257"/>
    <mergeCell ref="P257:Q257"/>
    <mergeCell ref="R257:S257"/>
    <mergeCell ref="T258:U258"/>
    <mergeCell ref="V258:W258"/>
    <mergeCell ref="X258:Y258"/>
    <mergeCell ref="Z258:AA258"/>
    <mergeCell ref="AB258:AC258"/>
    <mergeCell ref="F258:G258"/>
    <mergeCell ref="H258:I258"/>
    <mergeCell ref="J258:K258"/>
    <mergeCell ref="L258:M258"/>
    <mergeCell ref="N258:O258"/>
    <mergeCell ref="P258:Q258"/>
    <mergeCell ref="R258:S258"/>
    <mergeCell ref="T259:U259"/>
    <mergeCell ref="V259:W259"/>
    <mergeCell ref="X259:Y259"/>
    <mergeCell ref="Z259:AA259"/>
    <mergeCell ref="AB259:AC259"/>
    <mergeCell ref="F259:G259"/>
    <mergeCell ref="H259:I259"/>
    <mergeCell ref="J259:K259"/>
    <mergeCell ref="L259:M259"/>
    <mergeCell ref="N259:O259"/>
    <mergeCell ref="P259:Q259"/>
    <mergeCell ref="R259:S259"/>
    <mergeCell ref="T260:U260"/>
    <mergeCell ref="V260:W260"/>
    <mergeCell ref="X260:Y260"/>
    <mergeCell ref="Z260:AA260"/>
    <mergeCell ref="AB260:AC260"/>
    <mergeCell ref="F260:G260"/>
    <mergeCell ref="H260:I260"/>
    <mergeCell ref="J260:K260"/>
    <mergeCell ref="L260:M260"/>
    <mergeCell ref="N260:O260"/>
    <mergeCell ref="P260:Q260"/>
    <mergeCell ref="R260:S260"/>
    <mergeCell ref="T261:U261"/>
    <mergeCell ref="V261:W261"/>
    <mergeCell ref="X261:Y261"/>
    <mergeCell ref="Z261:AA261"/>
    <mergeCell ref="AB261:AC261"/>
    <mergeCell ref="F261:G261"/>
    <mergeCell ref="H261:I261"/>
    <mergeCell ref="J261:K261"/>
    <mergeCell ref="L261:M261"/>
    <mergeCell ref="N261:O261"/>
    <mergeCell ref="P261:Q261"/>
    <mergeCell ref="R261:S261"/>
    <mergeCell ref="T262:U262"/>
    <mergeCell ref="V262:W262"/>
    <mergeCell ref="X262:Y262"/>
    <mergeCell ref="Z262:AA262"/>
    <mergeCell ref="AB262:AC262"/>
    <mergeCell ref="F262:G262"/>
    <mergeCell ref="H262:I262"/>
    <mergeCell ref="J262:K262"/>
    <mergeCell ref="L262:M262"/>
    <mergeCell ref="N262:O262"/>
    <mergeCell ref="P262:Q262"/>
    <mergeCell ref="R262:S262"/>
    <mergeCell ref="T263:U263"/>
    <mergeCell ref="V263:W263"/>
    <mergeCell ref="X263:Y263"/>
    <mergeCell ref="Z263:AA263"/>
    <mergeCell ref="AB263:AC263"/>
    <mergeCell ref="F263:G263"/>
    <mergeCell ref="H263:I263"/>
    <mergeCell ref="J263:K263"/>
    <mergeCell ref="L263:M263"/>
    <mergeCell ref="N263:O263"/>
    <mergeCell ref="P263:Q263"/>
    <mergeCell ref="R263:S263"/>
    <mergeCell ref="T264:U264"/>
    <mergeCell ref="V264:W264"/>
    <mergeCell ref="X264:Y264"/>
    <mergeCell ref="Z264:AA264"/>
    <mergeCell ref="AB264:AC264"/>
    <mergeCell ref="F264:G264"/>
    <mergeCell ref="H264:I264"/>
    <mergeCell ref="J264:K264"/>
    <mergeCell ref="L264:M264"/>
    <mergeCell ref="N264:O264"/>
    <mergeCell ref="P264:Q264"/>
    <mergeCell ref="R264:S264"/>
    <mergeCell ref="T265:U265"/>
    <mergeCell ref="V265:W265"/>
    <mergeCell ref="X265:Y265"/>
    <mergeCell ref="Z265:AA265"/>
    <mergeCell ref="AB265:AC265"/>
    <mergeCell ref="F265:G265"/>
    <mergeCell ref="H265:I265"/>
    <mergeCell ref="J265:K265"/>
    <mergeCell ref="L265:M265"/>
    <mergeCell ref="N265:O265"/>
    <mergeCell ref="P265:Q265"/>
    <mergeCell ref="R265:S265"/>
    <mergeCell ref="T266:U266"/>
    <mergeCell ref="V266:W266"/>
    <mergeCell ref="X266:Y266"/>
    <mergeCell ref="Z266:AA266"/>
    <mergeCell ref="AB266:AC266"/>
    <mergeCell ref="F266:G266"/>
    <mergeCell ref="H266:I266"/>
    <mergeCell ref="J266:K266"/>
    <mergeCell ref="L266:M266"/>
    <mergeCell ref="N266:O266"/>
    <mergeCell ref="P266:Q266"/>
    <mergeCell ref="R266:S266"/>
    <mergeCell ref="T267:U267"/>
    <mergeCell ref="V267:W267"/>
    <mergeCell ref="X267:Y267"/>
    <mergeCell ref="Z267:AA267"/>
    <mergeCell ref="AB267:AC267"/>
    <mergeCell ref="F267:G267"/>
    <mergeCell ref="H267:I267"/>
    <mergeCell ref="J267:K267"/>
    <mergeCell ref="L267:M267"/>
    <mergeCell ref="N267:O267"/>
    <mergeCell ref="P267:Q267"/>
    <mergeCell ref="R267:S267"/>
    <mergeCell ref="T268:U268"/>
    <mergeCell ref="V268:W268"/>
    <mergeCell ref="X268:Y268"/>
    <mergeCell ref="Z268:AA268"/>
    <mergeCell ref="AB268:AC268"/>
    <mergeCell ref="F268:G268"/>
    <mergeCell ref="H268:I268"/>
    <mergeCell ref="J268:K268"/>
    <mergeCell ref="L268:M268"/>
    <mergeCell ref="N268:O268"/>
    <mergeCell ref="P268:Q268"/>
    <mergeCell ref="R268:S268"/>
    <mergeCell ref="T269:U269"/>
    <mergeCell ref="V269:W269"/>
    <mergeCell ref="X269:Y269"/>
    <mergeCell ref="Z269:AA269"/>
    <mergeCell ref="AB269:AC269"/>
    <mergeCell ref="F269:G269"/>
    <mergeCell ref="H269:I269"/>
    <mergeCell ref="J269:K269"/>
    <mergeCell ref="L269:M269"/>
    <mergeCell ref="N269:O269"/>
    <mergeCell ref="P269:Q269"/>
    <mergeCell ref="R269:S269"/>
    <mergeCell ref="T270:U270"/>
    <mergeCell ref="V270:W270"/>
    <mergeCell ref="X270:Y270"/>
    <mergeCell ref="Z270:AA270"/>
    <mergeCell ref="AB270:AC270"/>
    <mergeCell ref="F270:G270"/>
    <mergeCell ref="H270:I270"/>
    <mergeCell ref="J270:K270"/>
    <mergeCell ref="L270:M270"/>
    <mergeCell ref="N270:O270"/>
    <mergeCell ref="P270:Q270"/>
    <mergeCell ref="R270:S270"/>
    <mergeCell ref="T271:U271"/>
    <mergeCell ref="V271:W271"/>
    <mergeCell ref="X271:Y271"/>
    <mergeCell ref="Z271:AA271"/>
    <mergeCell ref="AB271:AC271"/>
    <mergeCell ref="F271:G271"/>
    <mergeCell ref="H271:I271"/>
    <mergeCell ref="J271:K271"/>
    <mergeCell ref="L271:M271"/>
    <mergeCell ref="N271:O271"/>
    <mergeCell ref="P271:Q271"/>
    <mergeCell ref="R271:S271"/>
    <mergeCell ref="T272:U272"/>
    <mergeCell ref="V272:W272"/>
    <mergeCell ref="X272:Y272"/>
    <mergeCell ref="Z272:AA272"/>
    <mergeCell ref="AB272:AC272"/>
    <mergeCell ref="F272:G272"/>
    <mergeCell ref="H272:I272"/>
    <mergeCell ref="J272:K272"/>
    <mergeCell ref="L272:M272"/>
    <mergeCell ref="N272:O272"/>
    <mergeCell ref="P272:Q272"/>
    <mergeCell ref="R272:S272"/>
    <mergeCell ref="T273:U273"/>
    <mergeCell ref="V273:W273"/>
    <mergeCell ref="X273:Y273"/>
    <mergeCell ref="Z273:AA273"/>
    <mergeCell ref="AB273:AC273"/>
    <mergeCell ref="F273:G273"/>
    <mergeCell ref="H273:I273"/>
    <mergeCell ref="J273:K273"/>
    <mergeCell ref="L273:M273"/>
    <mergeCell ref="N273:O273"/>
    <mergeCell ref="P273:Q273"/>
    <mergeCell ref="R273:S273"/>
    <mergeCell ref="T274:U274"/>
    <mergeCell ref="V274:W274"/>
    <mergeCell ref="X274:Y274"/>
    <mergeCell ref="Z274:AA274"/>
    <mergeCell ref="AB274:AC274"/>
    <mergeCell ref="F274:G274"/>
    <mergeCell ref="H274:I274"/>
    <mergeCell ref="J274:K274"/>
    <mergeCell ref="L274:M274"/>
    <mergeCell ref="N274:O274"/>
    <mergeCell ref="P274:Q274"/>
    <mergeCell ref="R274:S274"/>
    <mergeCell ref="T275:U275"/>
    <mergeCell ref="V275:W275"/>
    <mergeCell ref="X275:Y275"/>
    <mergeCell ref="Z275:AA275"/>
    <mergeCell ref="AB275:AC275"/>
    <mergeCell ref="F275:G275"/>
    <mergeCell ref="H275:I275"/>
    <mergeCell ref="J275:K275"/>
    <mergeCell ref="L275:M275"/>
    <mergeCell ref="N275:O275"/>
    <mergeCell ref="P275:Q275"/>
    <mergeCell ref="R275:S275"/>
    <mergeCell ref="T276:U276"/>
    <mergeCell ref="V276:W276"/>
    <mergeCell ref="X276:Y276"/>
    <mergeCell ref="Z276:AA276"/>
    <mergeCell ref="AB276:AC276"/>
    <mergeCell ref="F276:G276"/>
    <mergeCell ref="H276:I276"/>
    <mergeCell ref="J276:K276"/>
    <mergeCell ref="L276:M276"/>
    <mergeCell ref="N276:O276"/>
    <mergeCell ref="P276:Q276"/>
    <mergeCell ref="R276:S276"/>
    <mergeCell ref="T277:U277"/>
    <mergeCell ref="V277:W277"/>
    <mergeCell ref="X277:Y277"/>
    <mergeCell ref="Z277:AA277"/>
    <mergeCell ref="AB277:AC277"/>
    <mergeCell ref="F277:G277"/>
    <mergeCell ref="H277:I277"/>
    <mergeCell ref="J277:K277"/>
    <mergeCell ref="L277:M277"/>
    <mergeCell ref="N277:O277"/>
    <mergeCell ref="P277:Q277"/>
    <mergeCell ref="R277:S277"/>
    <mergeCell ref="T278:U278"/>
    <mergeCell ref="V278:W278"/>
    <mergeCell ref="X278:Y278"/>
    <mergeCell ref="Z278:AA278"/>
    <mergeCell ref="AB278:AC278"/>
    <mergeCell ref="F278:G278"/>
    <mergeCell ref="H278:I278"/>
    <mergeCell ref="J278:K278"/>
    <mergeCell ref="L278:M278"/>
    <mergeCell ref="N278:O278"/>
    <mergeCell ref="P278:Q278"/>
    <mergeCell ref="R278:S278"/>
    <mergeCell ref="T279:U279"/>
    <mergeCell ref="V279:W279"/>
    <mergeCell ref="X279:Y279"/>
    <mergeCell ref="Z279:AA279"/>
    <mergeCell ref="AB279:AC279"/>
    <mergeCell ref="F279:G279"/>
    <mergeCell ref="H279:I279"/>
    <mergeCell ref="J279:K279"/>
    <mergeCell ref="L279:M279"/>
    <mergeCell ref="N279:O279"/>
    <mergeCell ref="P279:Q279"/>
    <mergeCell ref="R279:S279"/>
    <mergeCell ref="T280:U280"/>
    <mergeCell ref="V280:W280"/>
    <mergeCell ref="X280:Y280"/>
    <mergeCell ref="Z280:AA280"/>
    <mergeCell ref="AB280:AC280"/>
    <mergeCell ref="F280:G280"/>
    <mergeCell ref="H280:I280"/>
    <mergeCell ref="J280:K280"/>
    <mergeCell ref="L280:M280"/>
    <mergeCell ref="N280:O280"/>
    <mergeCell ref="P280:Q280"/>
    <mergeCell ref="R280:S280"/>
    <mergeCell ref="T281:U281"/>
    <mergeCell ref="V281:W281"/>
    <mergeCell ref="X281:Y281"/>
    <mergeCell ref="Z281:AA281"/>
    <mergeCell ref="AB281:AC281"/>
    <mergeCell ref="F281:G281"/>
    <mergeCell ref="H281:I281"/>
    <mergeCell ref="J281:K281"/>
    <mergeCell ref="L281:M281"/>
    <mergeCell ref="N281:O281"/>
    <mergeCell ref="P281:Q281"/>
    <mergeCell ref="R281:S281"/>
    <mergeCell ref="T282:U282"/>
    <mergeCell ref="V282:W282"/>
    <mergeCell ref="X282:Y282"/>
    <mergeCell ref="Z282:AA282"/>
    <mergeCell ref="AB282:AC282"/>
    <mergeCell ref="F282:G282"/>
    <mergeCell ref="H282:I282"/>
    <mergeCell ref="J282:K282"/>
    <mergeCell ref="L282:M282"/>
    <mergeCell ref="N282:O282"/>
    <mergeCell ref="P282:Q282"/>
    <mergeCell ref="R282:S282"/>
    <mergeCell ref="T283:U283"/>
    <mergeCell ref="V283:W283"/>
    <mergeCell ref="X283:Y283"/>
    <mergeCell ref="Z283:AA283"/>
    <mergeCell ref="AB283:AC283"/>
    <mergeCell ref="F283:G283"/>
    <mergeCell ref="H283:I283"/>
    <mergeCell ref="J283:K283"/>
    <mergeCell ref="L283:M283"/>
    <mergeCell ref="N283:O283"/>
    <mergeCell ref="P283:Q283"/>
    <mergeCell ref="R283:S283"/>
    <mergeCell ref="T284:U284"/>
    <mergeCell ref="V284:W284"/>
    <mergeCell ref="X284:Y284"/>
    <mergeCell ref="Z284:AA284"/>
    <mergeCell ref="AB284:AC284"/>
    <mergeCell ref="F284:G284"/>
    <mergeCell ref="H284:I284"/>
    <mergeCell ref="J284:K284"/>
    <mergeCell ref="L284:M284"/>
    <mergeCell ref="N284:O284"/>
    <mergeCell ref="P284:Q284"/>
    <mergeCell ref="R284:S284"/>
    <mergeCell ref="T285:U285"/>
    <mergeCell ref="V285:W285"/>
    <mergeCell ref="X285:Y285"/>
    <mergeCell ref="Z285:AA285"/>
    <mergeCell ref="AB285:AC285"/>
    <mergeCell ref="F285:G285"/>
    <mergeCell ref="H285:I285"/>
    <mergeCell ref="J285:K285"/>
    <mergeCell ref="L285:M285"/>
    <mergeCell ref="N285:O285"/>
    <mergeCell ref="P285:Q285"/>
    <mergeCell ref="R285:S285"/>
    <mergeCell ref="T286:U286"/>
    <mergeCell ref="V286:W286"/>
    <mergeCell ref="X286:Y286"/>
    <mergeCell ref="Z286:AA286"/>
    <mergeCell ref="AB286:AC286"/>
    <mergeCell ref="F286:G286"/>
    <mergeCell ref="H286:I286"/>
    <mergeCell ref="J286:K286"/>
    <mergeCell ref="L286:M286"/>
    <mergeCell ref="N286:O286"/>
    <mergeCell ref="P286:Q286"/>
    <mergeCell ref="R286:S286"/>
    <mergeCell ref="T287:U287"/>
    <mergeCell ref="V287:W287"/>
    <mergeCell ref="X287:Y287"/>
    <mergeCell ref="Z287:AA287"/>
    <mergeCell ref="AB287:AC287"/>
    <mergeCell ref="F287:G287"/>
    <mergeCell ref="H287:I287"/>
    <mergeCell ref="J287:K287"/>
    <mergeCell ref="L287:M287"/>
    <mergeCell ref="N287:O287"/>
    <mergeCell ref="P287:Q287"/>
    <mergeCell ref="R287:S287"/>
    <mergeCell ref="T288:U288"/>
    <mergeCell ref="V288:W288"/>
    <mergeCell ref="X288:Y288"/>
    <mergeCell ref="Z288:AA288"/>
    <mergeCell ref="AB288:AC288"/>
    <mergeCell ref="F288:G288"/>
    <mergeCell ref="H288:I288"/>
    <mergeCell ref="J288:K288"/>
    <mergeCell ref="L288:M288"/>
    <mergeCell ref="N288:O288"/>
    <mergeCell ref="P288:Q288"/>
    <mergeCell ref="R288:S288"/>
    <mergeCell ref="T289:U289"/>
    <mergeCell ref="V289:W289"/>
    <mergeCell ref="X289:Y289"/>
    <mergeCell ref="Z289:AA289"/>
    <mergeCell ref="AB289:AC289"/>
    <mergeCell ref="F289:G289"/>
    <mergeCell ref="H289:I289"/>
    <mergeCell ref="J289:K289"/>
    <mergeCell ref="L289:M289"/>
    <mergeCell ref="N289:O289"/>
    <mergeCell ref="P289:Q289"/>
    <mergeCell ref="R289:S289"/>
    <mergeCell ref="T290:U290"/>
    <mergeCell ref="V290:W290"/>
    <mergeCell ref="X290:Y290"/>
    <mergeCell ref="Z290:AA290"/>
    <mergeCell ref="AB290:AC290"/>
    <mergeCell ref="F290:G290"/>
    <mergeCell ref="H290:I290"/>
    <mergeCell ref="J290:K290"/>
    <mergeCell ref="L290:M290"/>
    <mergeCell ref="N290:O290"/>
    <mergeCell ref="P290:Q290"/>
    <mergeCell ref="R290:S290"/>
    <mergeCell ref="T291:U291"/>
    <mergeCell ref="V291:W291"/>
    <mergeCell ref="X291:Y291"/>
    <mergeCell ref="Z291:AA291"/>
    <mergeCell ref="AB291:AC291"/>
    <mergeCell ref="F291:G291"/>
    <mergeCell ref="H291:I291"/>
    <mergeCell ref="J291:K291"/>
    <mergeCell ref="L291:M291"/>
    <mergeCell ref="N291:O291"/>
    <mergeCell ref="P291:Q291"/>
    <mergeCell ref="R291:S291"/>
    <mergeCell ref="T292:U292"/>
    <mergeCell ref="V292:W292"/>
    <mergeCell ref="X292:Y292"/>
    <mergeCell ref="Z292:AA292"/>
    <mergeCell ref="AB292:AC292"/>
    <mergeCell ref="F292:G292"/>
    <mergeCell ref="H292:I292"/>
    <mergeCell ref="J292:K292"/>
    <mergeCell ref="L292:M292"/>
    <mergeCell ref="N292:O292"/>
    <mergeCell ref="P292:Q292"/>
    <mergeCell ref="R292:S292"/>
    <mergeCell ref="T293:U293"/>
    <mergeCell ref="V293:W293"/>
    <mergeCell ref="X293:Y293"/>
    <mergeCell ref="Z293:AA293"/>
    <mergeCell ref="AB293:AC293"/>
    <mergeCell ref="F293:G293"/>
    <mergeCell ref="H293:I293"/>
    <mergeCell ref="J293:K293"/>
    <mergeCell ref="L293:M293"/>
    <mergeCell ref="N293:O293"/>
    <mergeCell ref="P293:Q293"/>
    <mergeCell ref="R293:S293"/>
    <mergeCell ref="T294:U294"/>
    <mergeCell ref="V294:W294"/>
    <mergeCell ref="X294:Y294"/>
    <mergeCell ref="Z294:AA294"/>
    <mergeCell ref="AB294:AC294"/>
    <mergeCell ref="F294:G294"/>
    <mergeCell ref="H294:I294"/>
    <mergeCell ref="J294:K294"/>
    <mergeCell ref="L294:M294"/>
    <mergeCell ref="N294:O294"/>
    <mergeCell ref="P294:Q294"/>
    <mergeCell ref="R294:S294"/>
    <mergeCell ref="T295:U295"/>
    <mergeCell ref="V295:W295"/>
    <mergeCell ref="X295:Y295"/>
    <mergeCell ref="Z295:AA295"/>
    <mergeCell ref="AB295:AC295"/>
    <mergeCell ref="F295:G295"/>
    <mergeCell ref="H295:I295"/>
    <mergeCell ref="J295:K295"/>
    <mergeCell ref="L295:M295"/>
    <mergeCell ref="N295:O295"/>
    <mergeCell ref="P295:Q295"/>
    <mergeCell ref="R295:S295"/>
    <mergeCell ref="T296:U296"/>
    <mergeCell ref="V296:W296"/>
    <mergeCell ref="X296:Y296"/>
    <mergeCell ref="Z296:AA296"/>
    <mergeCell ref="AB296:AC296"/>
    <mergeCell ref="F296:G296"/>
    <mergeCell ref="H296:I296"/>
    <mergeCell ref="J296:K296"/>
    <mergeCell ref="L296:M296"/>
    <mergeCell ref="N296:O296"/>
    <mergeCell ref="P296:Q296"/>
    <mergeCell ref="R296:S296"/>
    <mergeCell ref="T297:U297"/>
    <mergeCell ref="V297:W297"/>
    <mergeCell ref="X297:Y297"/>
    <mergeCell ref="Z297:AA297"/>
    <mergeCell ref="AB297:AC297"/>
    <mergeCell ref="F297:G297"/>
    <mergeCell ref="H297:I297"/>
    <mergeCell ref="J297:K297"/>
    <mergeCell ref="L297:M297"/>
    <mergeCell ref="N297:O297"/>
    <mergeCell ref="P297:Q297"/>
    <mergeCell ref="R297:S297"/>
    <mergeCell ref="T298:U298"/>
    <mergeCell ref="V298:W298"/>
    <mergeCell ref="X298:Y298"/>
    <mergeCell ref="Z298:AA298"/>
    <mergeCell ref="AB298:AC298"/>
    <mergeCell ref="F298:G298"/>
    <mergeCell ref="H298:I298"/>
    <mergeCell ref="J298:K298"/>
    <mergeCell ref="L298:M298"/>
    <mergeCell ref="N298:O298"/>
    <mergeCell ref="P298:Q298"/>
    <mergeCell ref="R298:S298"/>
    <mergeCell ref="T299:U299"/>
    <mergeCell ref="V299:W299"/>
    <mergeCell ref="X299:Y299"/>
    <mergeCell ref="Z299:AA299"/>
    <mergeCell ref="AB299:AC299"/>
    <mergeCell ref="F299:G299"/>
    <mergeCell ref="H299:I299"/>
    <mergeCell ref="J299:K299"/>
    <mergeCell ref="L299:M299"/>
    <mergeCell ref="N299:O299"/>
    <mergeCell ref="P299:Q299"/>
    <mergeCell ref="R299:S299"/>
    <mergeCell ref="T300:U300"/>
    <mergeCell ref="V300:W300"/>
    <mergeCell ref="X300:Y300"/>
    <mergeCell ref="Z300:AA300"/>
    <mergeCell ref="AB300:AC300"/>
    <mergeCell ref="F300:G300"/>
    <mergeCell ref="H300:I300"/>
    <mergeCell ref="J300:K300"/>
    <mergeCell ref="L300:M300"/>
    <mergeCell ref="N300:O300"/>
    <mergeCell ref="P300:Q300"/>
    <mergeCell ref="R300:S300"/>
    <mergeCell ref="T301:U301"/>
    <mergeCell ref="V301:W301"/>
    <mergeCell ref="X301:Y301"/>
    <mergeCell ref="Z301:AA301"/>
    <mergeCell ref="AB301:AC301"/>
    <mergeCell ref="F301:G301"/>
    <mergeCell ref="H301:I301"/>
    <mergeCell ref="J301:K301"/>
    <mergeCell ref="L301:M301"/>
    <mergeCell ref="N301:O301"/>
    <mergeCell ref="P301:Q301"/>
    <mergeCell ref="R301:S301"/>
    <mergeCell ref="T358:U358"/>
    <mergeCell ref="V358:W358"/>
    <mergeCell ref="X358:Y358"/>
    <mergeCell ref="Z358:AA358"/>
    <mergeCell ref="AB358:AC358"/>
    <mergeCell ref="F358:G358"/>
    <mergeCell ref="H358:I358"/>
    <mergeCell ref="J358:K358"/>
    <mergeCell ref="L358:M358"/>
    <mergeCell ref="N358:O358"/>
    <mergeCell ref="P358:Q358"/>
    <mergeCell ref="R358:S358"/>
    <mergeCell ref="T6:U6"/>
    <mergeCell ref="V6:W6"/>
    <mergeCell ref="X6:Y6"/>
    <mergeCell ref="Z6:AA6"/>
    <mergeCell ref="AB6:AC6"/>
    <mergeCell ref="F6:G6"/>
    <mergeCell ref="H6:I6"/>
    <mergeCell ref="J6:K6"/>
    <mergeCell ref="L6:M6"/>
    <mergeCell ref="N6:O6"/>
    <mergeCell ref="P6:Q6"/>
    <mergeCell ref="R6:S6"/>
    <mergeCell ref="T7:U7"/>
    <mergeCell ref="V7:W7"/>
    <mergeCell ref="X7:Y7"/>
    <mergeCell ref="Z7:AA7"/>
    <mergeCell ref="AB7:AC7"/>
    <mergeCell ref="F7:G7"/>
    <mergeCell ref="H7:I7"/>
    <mergeCell ref="J7:K7"/>
    <mergeCell ref="L7:M7"/>
    <mergeCell ref="N7:O7"/>
    <mergeCell ref="P7:Q7"/>
    <mergeCell ref="R7:S7"/>
    <mergeCell ref="T8:U8"/>
    <mergeCell ref="V8:W8"/>
    <mergeCell ref="X8:Y8"/>
    <mergeCell ref="Z8:AA8"/>
    <mergeCell ref="AB8:AC8"/>
    <mergeCell ref="F8:G8"/>
    <mergeCell ref="H8:I8"/>
    <mergeCell ref="J8:K8"/>
    <mergeCell ref="L8:M8"/>
    <mergeCell ref="N8:O8"/>
    <mergeCell ref="P8:Q8"/>
    <mergeCell ref="R8:S8"/>
    <mergeCell ref="T359:U359"/>
    <mergeCell ref="V359:W359"/>
    <mergeCell ref="X359:Y359"/>
    <mergeCell ref="Z359:AA359"/>
    <mergeCell ref="AB359:AC359"/>
    <mergeCell ref="F359:G359"/>
    <mergeCell ref="H359:I359"/>
    <mergeCell ref="J359:K359"/>
    <mergeCell ref="L359:M359"/>
    <mergeCell ref="N359:O359"/>
    <mergeCell ref="P359:Q359"/>
    <mergeCell ref="R359:S359"/>
    <mergeCell ref="T351:U351"/>
    <mergeCell ref="V351:W351"/>
    <mergeCell ref="X351:Y351"/>
    <mergeCell ref="Z351:AA351"/>
    <mergeCell ref="AB351:AC351"/>
    <mergeCell ref="F351:G351"/>
    <mergeCell ref="H351:I351"/>
    <mergeCell ref="J351:K351"/>
    <mergeCell ref="L351:M351"/>
    <mergeCell ref="N351:O351"/>
    <mergeCell ref="P351:Q351"/>
    <mergeCell ref="R351:S351"/>
    <mergeCell ref="T352:U352"/>
    <mergeCell ref="V352:W352"/>
    <mergeCell ref="X352:Y352"/>
    <mergeCell ref="Z352:AA352"/>
    <mergeCell ref="AB352:AC352"/>
    <mergeCell ref="F352:G352"/>
    <mergeCell ref="H352:I352"/>
    <mergeCell ref="J352:K352"/>
    <mergeCell ref="L352:M352"/>
    <mergeCell ref="N352:O352"/>
    <mergeCell ref="P352:Q352"/>
    <mergeCell ref="R352:S352"/>
    <mergeCell ref="T353:U353"/>
    <mergeCell ref="V353:W353"/>
    <mergeCell ref="X353:Y353"/>
    <mergeCell ref="Z353:AA353"/>
    <mergeCell ref="AB353:AC353"/>
    <mergeCell ref="F353:G353"/>
    <mergeCell ref="H353:I353"/>
    <mergeCell ref="J353:K353"/>
    <mergeCell ref="L353:M353"/>
    <mergeCell ref="N353:O353"/>
    <mergeCell ref="P353:Q353"/>
    <mergeCell ref="R353:S353"/>
    <mergeCell ref="T354:U354"/>
    <mergeCell ref="V354:W354"/>
    <mergeCell ref="X354:Y354"/>
    <mergeCell ref="Z354:AA354"/>
    <mergeCell ref="AB354:AC354"/>
    <mergeCell ref="F354:G354"/>
    <mergeCell ref="H354:I354"/>
    <mergeCell ref="J354:K354"/>
    <mergeCell ref="L354:M354"/>
    <mergeCell ref="N354:O354"/>
    <mergeCell ref="P354:Q354"/>
    <mergeCell ref="R354:S354"/>
    <mergeCell ref="T355:U355"/>
    <mergeCell ref="V355:W355"/>
    <mergeCell ref="X355:Y355"/>
    <mergeCell ref="Z355:AA355"/>
    <mergeCell ref="AB355:AC355"/>
    <mergeCell ref="F355:G355"/>
    <mergeCell ref="H355:I355"/>
    <mergeCell ref="J355:K355"/>
    <mergeCell ref="L355:M355"/>
    <mergeCell ref="N355:O355"/>
    <mergeCell ref="P355:Q355"/>
    <mergeCell ref="R355:S355"/>
    <mergeCell ref="T356:U356"/>
    <mergeCell ref="V356:W356"/>
    <mergeCell ref="X356:Y356"/>
    <mergeCell ref="Z356:AA356"/>
    <mergeCell ref="AB356:AC356"/>
    <mergeCell ref="F356:G356"/>
    <mergeCell ref="H356:I356"/>
    <mergeCell ref="J356:K356"/>
    <mergeCell ref="L356:M356"/>
    <mergeCell ref="N356:O356"/>
    <mergeCell ref="P356:Q356"/>
    <mergeCell ref="R356:S356"/>
    <mergeCell ref="T357:U357"/>
    <mergeCell ref="V357:W357"/>
    <mergeCell ref="X357:Y357"/>
    <mergeCell ref="Z357:AA357"/>
    <mergeCell ref="AB357:AC357"/>
    <mergeCell ref="F357:G357"/>
    <mergeCell ref="H357:I357"/>
    <mergeCell ref="J357:K357"/>
    <mergeCell ref="L357:M357"/>
    <mergeCell ref="N357:O357"/>
    <mergeCell ref="P357:Q357"/>
    <mergeCell ref="R357:S357"/>
    <mergeCell ref="T302:U302"/>
    <mergeCell ref="V302:W302"/>
    <mergeCell ref="X302:Y302"/>
    <mergeCell ref="Z302:AA302"/>
    <mergeCell ref="AB302:AC302"/>
    <mergeCell ref="F302:G302"/>
    <mergeCell ref="H302:I302"/>
    <mergeCell ref="J302:K302"/>
    <mergeCell ref="L302:M302"/>
    <mergeCell ref="N302:O302"/>
    <mergeCell ref="P302:Q302"/>
    <mergeCell ref="R302:S302"/>
    <mergeCell ref="T303:U303"/>
    <mergeCell ref="V303:W303"/>
    <mergeCell ref="X303:Y303"/>
    <mergeCell ref="Z303:AA303"/>
    <mergeCell ref="AB303:AC303"/>
    <mergeCell ref="F303:G303"/>
    <mergeCell ref="H303:I303"/>
    <mergeCell ref="J303:K303"/>
    <mergeCell ref="L303:M303"/>
    <mergeCell ref="N303:O303"/>
    <mergeCell ref="P303:Q303"/>
    <mergeCell ref="R303:S303"/>
    <mergeCell ref="T304:U304"/>
    <mergeCell ref="V304:W304"/>
    <mergeCell ref="X304:Y304"/>
    <mergeCell ref="Z304:AA304"/>
    <mergeCell ref="AB304:AC304"/>
    <mergeCell ref="F304:G304"/>
    <mergeCell ref="H304:I304"/>
    <mergeCell ref="J304:K304"/>
    <mergeCell ref="L304:M304"/>
    <mergeCell ref="N304:O304"/>
    <mergeCell ref="P304:Q304"/>
    <mergeCell ref="R304:S304"/>
    <mergeCell ref="T305:U305"/>
    <mergeCell ref="V305:W305"/>
    <mergeCell ref="X305:Y305"/>
    <mergeCell ref="Z305:AA305"/>
    <mergeCell ref="AB305:AC305"/>
    <mergeCell ref="F305:G305"/>
    <mergeCell ref="H305:I305"/>
    <mergeCell ref="J305:K305"/>
    <mergeCell ref="L305:M305"/>
    <mergeCell ref="N305:O305"/>
    <mergeCell ref="P305:Q305"/>
    <mergeCell ref="R305:S305"/>
    <mergeCell ref="T306:U306"/>
    <mergeCell ref="V306:W306"/>
    <mergeCell ref="X306:Y306"/>
    <mergeCell ref="Z306:AA306"/>
    <mergeCell ref="AB306:AC306"/>
    <mergeCell ref="F306:G306"/>
    <mergeCell ref="H306:I306"/>
    <mergeCell ref="J306:K306"/>
    <mergeCell ref="L306:M306"/>
    <mergeCell ref="N306:O306"/>
    <mergeCell ref="P306:Q306"/>
    <mergeCell ref="R306:S306"/>
    <mergeCell ref="T307:U307"/>
    <mergeCell ref="V307:W307"/>
    <mergeCell ref="X307:Y307"/>
    <mergeCell ref="Z307:AA307"/>
    <mergeCell ref="AB307:AC307"/>
    <mergeCell ref="F307:G307"/>
    <mergeCell ref="H307:I307"/>
    <mergeCell ref="J307:K307"/>
    <mergeCell ref="L307:M307"/>
    <mergeCell ref="N307:O307"/>
    <mergeCell ref="P307:Q307"/>
    <mergeCell ref="R307:S307"/>
    <mergeCell ref="T308:U308"/>
    <mergeCell ref="V308:W308"/>
    <mergeCell ref="X308:Y308"/>
    <mergeCell ref="Z308:AA308"/>
    <mergeCell ref="AB308:AC308"/>
    <mergeCell ref="F308:G308"/>
    <mergeCell ref="H308:I308"/>
    <mergeCell ref="J308:K308"/>
    <mergeCell ref="L308:M308"/>
    <mergeCell ref="N308:O308"/>
    <mergeCell ref="P308:Q308"/>
    <mergeCell ref="R308:S308"/>
    <mergeCell ref="T309:U309"/>
    <mergeCell ref="V309:W309"/>
    <mergeCell ref="X309:Y309"/>
    <mergeCell ref="Z309:AA309"/>
    <mergeCell ref="AB309:AC309"/>
    <mergeCell ref="F309:G309"/>
    <mergeCell ref="H309:I309"/>
    <mergeCell ref="J309:K309"/>
    <mergeCell ref="L309:M309"/>
    <mergeCell ref="N309:O309"/>
    <mergeCell ref="P309:Q309"/>
    <mergeCell ref="R309:S309"/>
    <mergeCell ref="T310:U310"/>
    <mergeCell ref="V310:W310"/>
    <mergeCell ref="X310:Y310"/>
    <mergeCell ref="Z310:AA310"/>
    <mergeCell ref="AB310:AC310"/>
    <mergeCell ref="F310:G310"/>
    <mergeCell ref="H310:I310"/>
    <mergeCell ref="J310:K310"/>
    <mergeCell ref="L310:M310"/>
    <mergeCell ref="N310:O310"/>
    <mergeCell ref="P310:Q310"/>
    <mergeCell ref="R310:S310"/>
    <mergeCell ref="T311:U311"/>
    <mergeCell ref="V311:W311"/>
    <mergeCell ref="X311:Y311"/>
    <mergeCell ref="Z311:AA311"/>
    <mergeCell ref="AB311:AC311"/>
    <mergeCell ref="F311:G311"/>
    <mergeCell ref="H311:I311"/>
    <mergeCell ref="J311:K311"/>
    <mergeCell ref="L311:M311"/>
    <mergeCell ref="N311:O311"/>
    <mergeCell ref="P311:Q311"/>
    <mergeCell ref="R311:S311"/>
    <mergeCell ref="T312:U312"/>
    <mergeCell ref="V312:W312"/>
    <mergeCell ref="X312:Y312"/>
    <mergeCell ref="Z312:AA312"/>
    <mergeCell ref="AB312:AC312"/>
    <mergeCell ref="F312:G312"/>
    <mergeCell ref="H312:I312"/>
    <mergeCell ref="J312:K312"/>
    <mergeCell ref="L312:M312"/>
    <mergeCell ref="N312:O312"/>
    <mergeCell ref="P312:Q312"/>
    <mergeCell ref="R312:S312"/>
    <mergeCell ref="T313:U313"/>
    <mergeCell ref="V313:W313"/>
    <mergeCell ref="X313:Y313"/>
    <mergeCell ref="Z313:AA313"/>
    <mergeCell ref="AB313:AC313"/>
    <mergeCell ref="F313:G313"/>
    <mergeCell ref="H313:I313"/>
    <mergeCell ref="J313:K313"/>
    <mergeCell ref="L313:M313"/>
    <mergeCell ref="N313:O313"/>
    <mergeCell ref="P313:Q313"/>
    <mergeCell ref="R313:S313"/>
    <mergeCell ref="T314:U314"/>
    <mergeCell ref="V314:W314"/>
    <mergeCell ref="X314:Y314"/>
    <mergeCell ref="Z314:AA314"/>
    <mergeCell ref="AB314:AC314"/>
    <mergeCell ref="F314:G314"/>
    <mergeCell ref="H314:I314"/>
    <mergeCell ref="J314:K314"/>
    <mergeCell ref="L314:M314"/>
    <mergeCell ref="N314:O314"/>
    <mergeCell ref="P314:Q314"/>
    <mergeCell ref="R314:S314"/>
    <mergeCell ref="T315:U315"/>
    <mergeCell ref="V315:W315"/>
    <mergeCell ref="X315:Y315"/>
    <mergeCell ref="Z315:AA315"/>
    <mergeCell ref="AB315:AC315"/>
    <mergeCell ref="F315:G315"/>
    <mergeCell ref="H315:I315"/>
    <mergeCell ref="J315:K315"/>
    <mergeCell ref="L315:M315"/>
    <mergeCell ref="N315:O315"/>
    <mergeCell ref="P315:Q315"/>
    <mergeCell ref="R315:S315"/>
    <mergeCell ref="T316:U316"/>
    <mergeCell ref="V316:W316"/>
    <mergeCell ref="X316:Y316"/>
    <mergeCell ref="Z316:AA316"/>
    <mergeCell ref="AB316:AC316"/>
    <mergeCell ref="F316:G316"/>
    <mergeCell ref="H316:I316"/>
    <mergeCell ref="J316:K316"/>
    <mergeCell ref="L316:M316"/>
    <mergeCell ref="N316:O316"/>
    <mergeCell ref="P316:Q316"/>
    <mergeCell ref="R316:S316"/>
    <mergeCell ref="T317:U317"/>
    <mergeCell ref="V317:W317"/>
    <mergeCell ref="X317:Y317"/>
    <mergeCell ref="Z317:AA317"/>
    <mergeCell ref="AB317:AC317"/>
    <mergeCell ref="F317:G317"/>
    <mergeCell ref="H317:I317"/>
    <mergeCell ref="J317:K317"/>
    <mergeCell ref="L317:M317"/>
    <mergeCell ref="N317:O317"/>
    <mergeCell ref="P317:Q317"/>
    <mergeCell ref="R317:S317"/>
    <mergeCell ref="T318:U318"/>
    <mergeCell ref="V318:W318"/>
    <mergeCell ref="X318:Y318"/>
    <mergeCell ref="Z318:AA318"/>
    <mergeCell ref="AB318:AC318"/>
    <mergeCell ref="F318:G318"/>
    <mergeCell ref="H318:I318"/>
    <mergeCell ref="J318:K318"/>
    <mergeCell ref="L318:M318"/>
    <mergeCell ref="N318:O318"/>
    <mergeCell ref="P318:Q318"/>
    <mergeCell ref="R318:S318"/>
    <mergeCell ref="T319:U319"/>
    <mergeCell ref="V319:W319"/>
    <mergeCell ref="X319:Y319"/>
    <mergeCell ref="Z319:AA319"/>
    <mergeCell ref="AB319:AC319"/>
    <mergeCell ref="F319:G319"/>
    <mergeCell ref="H319:I319"/>
    <mergeCell ref="J319:K319"/>
    <mergeCell ref="L319:M319"/>
    <mergeCell ref="N319:O319"/>
    <mergeCell ref="P319:Q319"/>
    <mergeCell ref="R319:S319"/>
    <mergeCell ref="T320:U320"/>
    <mergeCell ref="V320:W320"/>
    <mergeCell ref="X320:Y320"/>
    <mergeCell ref="Z320:AA320"/>
    <mergeCell ref="AB320:AC320"/>
    <mergeCell ref="F320:G320"/>
    <mergeCell ref="H320:I320"/>
    <mergeCell ref="J320:K320"/>
    <mergeCell ref="L320:M320"/>
    <mergeCell ref="N320:O320"/>
    <mergeCell ref="P320:Q320"/>
    <mergeCell ref="R320:S320"/>
    <mergeCell ref="T321:U321"/>
    <mergeCell ref="V321:W321"/>
    <mergeCell ref="X321:Y321"/>
    <mergeCell ref="Z321:AA321"/>
    <mergeCell ref="AB321:AC321"/>
    <mergeCell ref="F321:G321"/>
    <mergeCell ref="H321:I321"/>
    <mergeCell ref="J321:K321"/>
    <mergeCell ref="L321:M321"/>
    <mergeCell ref="N321:O321"/>
    <mergeCell ref="P321:Q321"/>
    <mergeCell ref="R321:S321"/>
    <mergeCell ref="T322:U322"/>
    <mergeCell ref="V322:W322"/>
    <mergeCell ref="X322:Y322"/>
    <mergeCell ref="Z322:AA322"/>
    <mergeCell ref="AB322:AC322"/>
    <mergeCell ref="F322:G322"/>
    <mergeCell ref="H322:I322"/>
    <mergeCell ref="J322:K322"/>
    <mergeCell ref="L322:M322"/>
    <mergeCell ref="N322:O322"/>
    <mergeCell ref="P322:Q322"/>
    <mergeCell ref="R322:S322"/>
    <mergeCell ref="T323:U323"/>
    <mergeCell ref="V323:W323"/>
    <mergeCell ref="X323:Y323"/>
    <mergeCell ref="Z323:AA323"/>
    <mergeCell ref="AB323:AC323"/>
    <mergeCell ref="F323:G323"/>
    <mergeCell ref="H323:I323"/>
    <mergeCell ref="J323:K323"/>
    <mergeCell ref="L323:M323"/>
    <mergeCell ref="N323:O323"/>
    <mergeCell ref="P323:Q323"/>
    <mergeCell ref="R323:S323"/>
    <mergeCell ref="T324:U324"/>
    <mergeCell ref="V324:W324"/>
    <mergeCell ref="X324:Y324"/>
    <mergeCell ref="Z324:AA324"/>
    <mergeCell ref="AB324:AC324"/>
    <mergeCell ref="F324:G324"/>
    <mergeCell ref="H324:I324"/>
    <mergeCell ref="J324:K324"/>
    <mergeCell ref="L324:M324"/>
    <mergeCell ref="N324:O324"/>
    <mergeCell ref="P324:Q324"/>
    <mergeCell ref="R324:S324"/>
    <mergeCell ref="T325:U325"/>
    <mergeCell ref="V325:W325"/>
    <mergeCell ref="X325:Y325"/>
    <mergeCell ref="Z325:AA325"/>
    <mergeCell ref="AB325:AC325"/>
    <mergeCell ref="F325:G325"/>
    <mergeCell ref="H325:I325"/>
    <mergeCell ref="J325:K325"/>
    <mergeCell ref="L325:M325"/>
    <mergeCell ref="N325:O325"/>
    <mergeCell ref="P325:Q325"/>
    <mergeCell ref="R325:S325"/>
    <mergeCell ref="T326:U326"/>
    <mergeCell ref="V326:W326"/>
    <mergeCell ref="X326:Y326"/>
    <mergeCell ref="Z326:AA326"/>
    <mergeCell ref="AB326:AC326"/>
    <mergeCell ref="F326:G326"/>
    <mergeCell ref="H326:I326"/>
    <mergeCell ref="J326:K326"/>
    <mergeCell ref="L326:M326"/>
    <mergeCell ref="N326:O326"/>
    <mergeCell ref="P326:Q326"/>
    <mergeCell ref="R326:S326"/>
    <mergeCell ref="T327:U327"/>
    <mergeCell ref="V327:W327"/>
    <mergeCell ref="X327:Y327"/>
    <mergeCell ref="Z327:AA327"/>
    <mergeCell ref="AB327:AC327"/>
    <mergeCell ref="F327:G327"/>
    <mergeCell ref="H327:I327"/>
    <mergeCell ref="J327:K327"/>
    <mergeCell ref="L327:M327"/>
    <mergeCell ref="N327:O327"/>
    <mergeCell ref="P327:Q327"/>
    <mergeCell ref="R327:S327"/>
    <mergeCell ref="T328:U328"/>
    <mergeCell ref="V328:W328"/>
    <mergeCell ref="X328:Y328"/>
    <mergeCell ref="Z328:AA328"/>
    <mergeCell ref="AB328:AC328"/>
    <mergeCell ref="F328:G328"/>
    <mergeCell ref="H328:I328"/>
    <mergeCell ref="J328:K328"/>
    <mergeCell ref="L328:M328"/>
    <mergeCell ref="N328:O328"/>
    <mergeCell ref="P328:Q328"/>
    <mergeCell ref="R328:S328"/>
    <mergeCell ref="T329:U329"/>
    <mergeCell ref="V329:W329"/>
    <mergeCell ref="X329:Y329"/>
    <mergeCell ref="Z329:AA329"/>
    <mergeCell ref="AB329:AC329"/>
    <mergeCell ref="F329:G329"/>
    <mergeCell ref="H329:I329"/>
    <mergeCell ref="J329:K329"/>
    <mergeCell ref="L329:M329"/>
    <mergeCell ref="N329:O329"/>
    <mergeCell ref="P329:Q329"/>
    <mergeCell ref="R329:S329"/>
    <mergeCell ref="T330:U330"/>
    <mergeCell ref="V330:W330"/>
    <mergeCell ref="X330:Y330"/>
    <mergeCell ref="Z330:AA330"/>
    <mergeCell ref="AB330:AC330"/>
    <mergeCell ref="F330:G330"/>
    <mergeCell ref="H330:I330"/>
    <mergeCell ref="J330:K330"/>
    <mergeCell ref="L330:M330"/>
    <mergeCell ref="N330:O330"/>
    <mergeCell ref="P330:Q330"/>
    <mergeCell ref="R330:S330"/>
    <mergeCell ref="T331:U331"/>
    <mergeCell ref="V331:W331"/>
    <mergeCell ref="X331:Y331"/>
    <mergeCell ref="Z331:AA331"/>
    <mergeCell ref="AB331:AC331"/>
    <mergeCell ref="F331:G331"/>
    <mergeCell ref="H331:I331"/>
    <mergeCell ref="J331:K331"/>
    <mergeCell ref="L331:M331"/>
    <mergeCell ref="N331:O331"/>
    <mergeCell ref="P331:Q331"/>
    <mergeCell ref="R331:S331"/>
    <mergeCell ref="T332:U332"/>
    <mergeCell ref="V332:W332"/>
    <mergeCell ref="X332:Y332"/>
    <mergeCell ref="Z332:AA332"/>
    <mergeCell ref="AB332:AC332"/>
    <mergeCell ref="F332:G332"/>
    <mergeCell ref="H332:I332"/>
    <mergeCell ref="J332:K332"/>
    <mergeCell ref="L332:M332"/>
    <mergeCell ref="N332:O332"/>
    <mergeCell ref="P332:Q332"/>
    <mergeCell ref="R332:S332"/>
    <mergeCell ref="T333:U333"/>
    <mergeCell ref="V333:W333"/>
    <mergeCell ref="X333:Y333"/>
    <mergeCell ref="Z333:AA333"/>
    <mergeCell ref="AB333:AC333"/>
    <mergeCell ref="F333:G333"/>
    <mergeCell ref="H333:I333"/>
    <mergeCell ref="J333:K333"/>
    <mergeCell ref="L333:M333"/>
    <mergeCell ref="N333:O333"/>
    <mergeCell ref="P333:Q333"/>
    <mergeCell ref="R333:S333"/>
    <mergeCell ref="T334:U334"/>
    <mergeCell ref="V334:W334"/>
    <mergeCell ref="X334:Y334"/>
    <mergeCell ref="Z334:AA334"/>
    <mergeCell ref="AB334:AC334"/>
    <mergeCell ref="F334:G334"/>
    <mergeCell ref="H334:I334"/>
    <mergeCell ref="J334:K334"/>
    <mergeCell ref="L334:M334"/>
    <mergeCell ref="N334:O334"/>
    <mergeCell ref="P334:Q334"/>
    <mergeCell ref="R334:S334"/>
    <mergeCell ref="T335:U335"/>
    <mergeCell ref="V335:W335"/>
    <mergeCell ref="X335:Y335"/>
    <mergeCell ref="Z335:AA335"/>
    <mergeCell ref="AB335:AC335"/>
    <mergeCell ref="F335:G335"/>
    <mergeCell ref="H335:I335"/>
    <mergeCell ref="J335:K335"/>
    <mergeCell ref="L335:M335"/>
    <mergeCell ref="N335:O335"/>
    <mergeCell ref="P335:Q335"/>
    <mergeCell ref="R335:S335"/>
    <mergeCell ref="T336:U336"/>
    <mergeCell ref="V336:W336"/>
    <mergeCell ref="X336:Y336"/>
    <mergeCell ref="Z336:AA336"/>
    <mergeCell ref="AB336:AC336"/>
    <mergeCell ref="F336:G336"/>
    <mergeCell ref="H336:I336"/>
    <mergeCell ref="J336:K336"/>
    <mergeCell ref="L336:M336"/>
    <mergeCell ref="N336:O336"/>
    <mergeCell ref="P336:Q336"/>
    <mergeCell ref="R336:S336"/>
    <mergeCell ref="T337:U337"/>
    <mergeCell ref="V337:W337"/>
    <mergeCell ref="X337:Y337"/>
    <mergeCell ref="Z337:AA337"/>
    <mergeCell ref="AB337:AC337"/>
    <mergeCell ref="F337:G337"/>
    <mergeCell ref="H337:I337"/>
    <mergeCell ref="J337:K337"/>
    <mergeCell ref="L337:M337"/>
    <mergeCell ref="N337:O337"/>
    <mergeCell ref="P337:Q337"/>
    <mergeCell ref="R337:S337"/>
    <mergeCell ref="T338:U338"/>
    <mergeCell ref="V338:W338"/>
    <mergeCell ref="X338:Y338"/>
    <mergeCell ref="Z338:AA338"/>
    <mergeCell ref="AB338:AC338"/>
    <mergeCell ref="F338:G338"/>
    <mergeCell ref="H338:I338"/>
    <mergeCell ref="J338:K338"/>
    <mergeCell ref="L338:M338"/>
    <mergeCell ref="N338:O338"/>
    <mergeCell ref="P338:Q338"/>
    <mergeCell ref="R338:S338"/>
    <mergeCell ref="T339:U339"/>
    <mergeCell ref="V339:W339"/>
    <mergeCell ref="X339:Y339"/>
    <mergeCell ref="Z339:AA339"/>
    <mergeCell ref="AB339:AC339"/>
    <mergeCell ref="F339:G339"/>
    <mergeCell ref="H339:I339"/>
    <mergeCell ref="J339:K339"/>
    <mergeCell ref="L339:M339"/>
    <mergeCell ref="N339:O339"/>
    <mergeCell ref="P339:Q339"/>
    <mergeCell ref="R339:S339"/>
    <mergeCell ref="T340:U340"/>
    <mergeCell ref="V340:W340"/>
    <mergeCell ref="X340:Y340"/>
    <mergeCell ref="Z340:AA340"/>
    <mergeCell ref="AB340:AC340"/>
    <mergeCell ref="F340:G340"/>
    <mergeCell ref="H340:I340"/>
    <mergeCell ref="J340:K340"/>
    <mergeCell ref="L340:M340"/>
    <mergeCell ref="N340:O340"/>
    <mergeCell ref="P340:Q340"/>
    <mergeCell ref="R340:S340"/>
    <mergeCell ref="T341:U341"/>
    <mergeCell ref="V341:W341"/>
    <mergeCell ref="X341:Y341"/>
    <mergeCell ref="Z341:AA341"/>
    <mergeCell ref="AB341:AC341"/>
    <mergeCell ref="F341:G341"/>
    <mergeCell ref="H341:I341"/>
    <mergeCell ref="J341:K341"/>
    <mergeCell ref="L341:M341"/>
    <mergeCell ref="N341:O341"/>
    <mergeCell ref="P341:Q341"/>
    <mergeCell ref="R341:S341"/>
    <mergeCell ref="T342:U342"/>
    <mergeCell ref="V342:W342"/>
    <mergeCell ref="X342:Y342"/>
    <mergeCell ref="Z342:AA342"/>
    <mergeCell ref="AB342:AC342"/>
    <mergeCell ref="F342:G342"/>
    <mergeCell ref="H342:I342"/>
    <mergeCell ref="J342:K342"/>
    <mergeCell ref="L342:M342"/>
    <mergeCell ref="N342:O342"/>
    <mergeCell ref="P342:Q342"/>
    <mergeCell ref="R342:S342"/>
    <mergeCell ref="T343:U343"/>
    <mergeCell ref="V343:W343"/>
    <mergeCell ref="X343:Y343"/>
    <mergeCell ref="Z343:AA343"/>
    <mergeCell ref="AB343:AC343"/>
    <mergeCell ref="F343:G343"/>
    <mergeCell ref="H343:I343"/>
    <mergeCell ref="J343:K343"/>
    <mergeCell ref="L343:M343"/>
    <mergeCell ref="N343:O343"/>
    <mergeCell ref="P343:Q343"/>
    <mergeCell ref="R343:S343"/>
    <mergeCell ref="T344:U344"/>
    <mergeCell ref="V344:W344"/>
    <mergeCell ref="X344:Y344"/>
    <mergeCell ref="Z344:AA344"/>
    <mergeCell ref="AB344:AC344"/>
    <mergeCell ref="F344:G344"/>
    <mergeCell ref="H344:I344"/>
    <mergeCell ref="J344:K344"/>
    <mergeCell ref="L344:M344"/>
    <mergeCell ref="N344:O344"/>
    <mergeCell ref="P344:Q344"/>
    <mergeCell ref="R344:S344"/>
    <mergeCell ref="T345:U345"/>
    <mergeCell ref="V345:W345"/>
    <mergeCell ref="X345:Y345"/>
    <mergeCell ref="Z345:AA345"/>
    <mergeCell ref="AB345:AC345"/>
    <mergeCell ref="F345:G345"/>
    <mergeCell ref="H345:I345"/>
    <mergeCell ref="J345:K345"/>
    <mergeCell ref="L345:M345"/>
    <mergeCell ref="N345:O345"/>
    <mergeCell ref="P345:Q345"/>
    <mergeCell ref="R345:S345"/>
    <mergeCell ref="T346:U346"/>
    <mergeCell ref="V346:W346"/>
    <mergeCell ref="X346:Y346"/>
    <mergeCell ref="Z346:AA346"/>
    <mergeCell ref="AB346:AC346"/>
    <mergeCell ref="F346:G346"/>
    <mergeCell ref="H346:I346"/>
    <mergeCell ref="J346:K346"/>
    <mergeCell ref="L346:M346"/>
    <mergeCell ref="N346:O346"/>
    <mergeCell ref="P346:Q346"/>
    <mergeCell ref="R346:S346"/>
    <mergeCell ref="T347:U347"/>
    <mergeCell ref="V347:W347"/>
    <mergeCell ref="X347:Y347"/>
    <mergeCell ref="Z347:AA347"/>
    <mergeCell ref="AB347:AC347"/>
    <mergeCell ref="F347:G347"/>
    <mergeCell ref="H347:I347"/>
    <mergeCell ref="J347:K347"/>
    <mergeCell ref="L347:M347"/>
    <mergeCell ref="N347:O347"/>
    <mergeCell ref="P347:Q347"/>
    <mergeCell ref="R347:S347"/>
    <mergeCell ref="T348:U348"/>
    <mergeCell ref="V348:W348"/>
    <mergeCell ref="X348:Y348"/>
    <mergeCell ref="Z348:AA348"/>
    <mergeCell ref="AB348:AC348"/>
    <mergeCell ref="F348:G348"/>
    <mergeCell ref="H348:I348"/>
    <mergeCell ref="J348:K348"/>
    <mergeCell ref="L348:M348"/>
    <mergeCell ref="N348:O348"/>
    <mergeCell ref="P348:Q348"/>
    <mergeCell ref="R348:S348"/>
    <mergeCell ref="T349:U349"/>
    <mergeCell ref="V349:W349"/>
    <mergeCell ref="X349:Y349"/>
    <mergeCell ref="Z349:AA349"/>
    <mergeCell ref="AB349:AC349"/>
    <mergeCell ref="F349:G349"/>
    <mergeCell ref="H349:I349"/>
    <mergeCell ref="J349:K349"/>
    <mergeCell ref="L349:M349"/>
    <mergeCell ref="N349:O349"/>
    <mergeCell ref="P349:Q349"/>
    <mergeCell ref="R349:S349"/>
    <mergeCell ref="T350:U350"/>
    <mergeCell ref="V350:W350"/>
    <mergeCell ref="X350:Y350"/>
    <mergeCell ref="Z350:AA350"/>
    <mergeCell ref="AB350:AC350"/>
    <mergeCell ref="F350:G350"/>
    <mergeCell ref="H350:I350"/>
    <mergeCell ref="J350:K350"/>
    <mergeCell ref="L350:M350"/>
    <mergeCell ref="N350:O350"/>
    <mergeCell ref="P350:Q350"/>
    <mergeCell ref="R350:S350"/>
  </mergeCells>
  <printOptions/>
  <pageMargins bottom="0.75" footer="0.0" header="0.0" left="0.7" right="0.7" top="0.75"/>
  <pageSetup orientation="landscape"/>
  <drawing r:id="rId1"/>
</worksheet>
</file>