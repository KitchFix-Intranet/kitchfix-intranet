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as Rangers MLB - H - 2026 - " sheetId="1" r:id="rId5"/>
    <sheet state="visible" name="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<sst xmlns="http://schemas.openxmlformats.org/spreadsheetml/2006/main" count="3432" uniqueCount="82">
  <si>
    <t>Texas Rangers - Home @ Arlington, TX</t>
  </si>
  <si>
    <t>Texas Rangers</t>
  </si>
  <si>
    <t>TOTALS</t>
  </si>
  <si>
    <t>Day</t>
  </si>
  <si>
    <t>Date</t>
  </si>
  <si>
    <t>Period</t>
  </si>
  <si>
    <t>Week</t>
  </si>
  <si>
    <t>Game Type</t>
  </si>
  <si>
    <t>Game Time</t>
  </si>
  <si>
    <t>Arrival</t>
  </si>
  <si>
    <t>Post BP</t>
  </si>
  <si>
    <t>Post-Game</t>
  </si>
  <si>
    <t>Umpire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</si>
  <si>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</si>
  <si>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</si>
  <si>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</si>
  <si>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</si>
  <si>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</si>
  <si>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</si>
  <si>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</si>
  <si>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</si>
  <si>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</si>
  <si>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</si>
  <si>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</si>
  <si>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</si>
  <si>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</si>
  <si>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</si>
  <si>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</si>
  <si>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</si>
  <si>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Away</t>
  </si>
  <si>
    <t>-</t>
  </si>
  <si>
    <t>Home</t>
  </si>
  <si>
    <t>TBD</t>
  </si>
  <si>
    <t>OFF</t>
  </si>
  <si>
    <t>P</t>
  </si>
  <si>
    <t>SUM</t>
  </si>
  <si>
    <t>Count</t>
  </si>
  <si>
    <t>Rev</t>
  </si>
  <si>
    <t>Food Cost, %</t>
  </si>
  <si>
    <t>Hourly Labor Cost</t>
  </si>
  <si>
    <t>Salary</t>
  </si>
  <si>
    <t>Includes desired raises</t>
  </si>
  <si>
    <t>Prev.</t>
  </si>
  <si>
    <t>EC</t>
  </si>
  <si>
    <t>SC</t>
  </si>
  <si>
    <t>HM</t>
  </si>
  <si>
    <t>Packaging</t>
  </si>
  <si>
    <t>Supplies</t>
  </si>
  <si>
    <t xml:space="preserve">Linen </t>
  </si>
  <si>
    <t>5002 Repair &amp; Maintenance</t>
  </si>
  <si>
    <t xml:space="preserve">    5002.1 General Repair &amp; Maintenance</t>
  </si>
  <si>
    <t xml:space="preserve">    5002.5 Equipment</t>
  </si>
  <si>
    <t xml:space="preserve">  Total 5002 Repair &amp; Maintenance</t>
  </si>
  <si>
    <t>5004 Wages</t>
  </si>
  <si>
    <t xml:space="preserve">    5004.8 Incentives</t>
  </si>
  <si>
    <t>Incentive Rate</t>
  </si>
  <si>
    <t xml:space="preserve">    5004.9 Employer Payroll Taxes</t>
  </si>
  <si>
    <t>Tax Rate:</t>
  </si>
  <si>
    <t xml:space="preserve">  Total 5004 Wages</t>
  </si>
  <si>
    <t>5006 Travel</t>
  </si>
  <si>
    <t xml:space="preserve">    5006.1 Operations Travel</t>
  </si>
  <si>
    <t xml:space="preserve">    5006.3 Account Management Travel</t>
  </si>
  <si>
    <t xml:space="preserve">  Total 5006 Travel</t>
  </si>
  <si>
    <t>5012 Utilities</t>
  </si>
  <si>
    <t xml:space="preserve">    5012.1 Telephone Expense</t>
  </si>
  <si>
    <t xml:space="preserve">    5012.2 Scavenger</t>
  </si>
  <si>
    <t xml:space="preserve">    5012.3 General Utilities</t>
  </si>
  <si>
    <t xml:space="preserve">  Total 5012 Utilities</t>
  </si>
  <si>
    <t>5013 Lease Expenses</t>
  </si>
  <si>
    <t xml:space="preserve">    5013.1 Equipment Lease</t>
  </si>
  <si>
    <t xml:space="preserve">    5013.2 Building Lease</t>
  </si>
  <si>
    <t xml:space="preserve">  Total 5013 Lease Expenses</t>
  </si>
  <si>
    <t>5016 Professional Fees</t>
  </si>
  <si>
    <t xml:space="preserve">    5016.6 Merchant Service Fees</t>
  </si>
  <si>
    <t xml:space="preserve">    5016.7 Licenses &amp; Fees</t>
  </si>
  <si>
    <t xml:space="preserve">  Total 5016 Professional Fees</t>
  </si>
  <si>
    <t>5017 Team Development</t>
  </si>
  <si>
    <t xml:space="preserve">    5017.3 Perks</t>
  </si>
  <si>
    <t xml:space="preserve">    5017.5 Meals &amp; Entertainment</t>
  </si>
  <si>
    <t xml:space="preserve">    5017.7 Paid Time Off</t>
  </si>
  <si>
    <t xml:space="preserve">  Total 5017 Team Development</t>
  </si>
  <si>
    <t>Total SG&amp;A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</si>
</sst>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&quot;$&quot;#,##0_);[Red]\(&quot;$&quot;#,##0\)"/>
    <numFmt numFmtId="166" formatCode="_(&quot;$&quot;* #,##0.00_);_(&quot;$&quot;* \(#,##0.00\);_(&quot;$&quot;* &quot;-&quot;??_);_(@_)"/>
    <numFmt numFmtId="167" formatCode="0.0%"/>
  </numFmts>
  <fonts count="13">
    <font>
      <sz val="12.0"/>
      <color theme="1"/>
      <name val="Calibri"/>
      <scheme val="minor"/>
    </font>
    <font>
      <b/>
      <sz val="16.0"/>
      <color rgb="FFFFFFFF"/>
      <name val="Arial"/>
    </font>
    <font/>
    <font>
      <b/>
      <sz val="16.0"/>
      <color theme="0"/>
      <name val="Arial"/>
    </font>
    <font>
      <sz val="12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sz val="10.0"/>
      <color rgb="FF000000"/>
      <name val="Calibri"/>
    </font>
    <font>
      <sz val="10.0"/>
      <color rgb="FF000000"/>
      <name val="Calibri"/>
    </font>
    <font>
      <b/>
      <sz val="9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0" fillId="0" fontId="4" numFmtId="0" xfId="0" applyFont="1"/>
    <xf borderId="6" fillId="0" fontId="5" numFmtId="0" xfId="0" applyAlignment="1" applyBorder="1" applyFont="1">
      <alignment horizontal="right"/>
    </xf>
    <xf borderId="6" fillId="0" fontId="5" numFmtId="0" xfId="0" applyBorder="1" applyFont="1"/>
    <xf borderId="6" fillId="0" fontId="5" numFmtId="0" xfId="0" applyAlignment="1" applyBorder="1" applyFont="1">
      <alignment vertical="bottom"/>
    </xf>
    <xf borderId="6" fillId="0" fontId="5" numFmtId="164" xfId="0" applyAlignment="1" applyBorder="1" applyFont="1" applyNumberFormat="1">
      <alignment textRotation="90"/>
    </xf>
    <xf borderId="6" fillId="0" fontId="6" numFmtId="164" xfId="0" applyAlignment="1" applyBorder="1" applyFont="1" applyNumberFormat="1">
      <alignment textRotation="90"/>
    </xf>
    <xf borderId="6" fillId="3" fontId="3" numFmtId="0" xfId="0" applyAlignment="1" applyBorder="1" applyFill="1" applyFont="1">
      <alignment shrinkToFit="0" textRotation="90" wrapText="1"/>
    </xf>
    <xf borderId="7" fillId="0" fontId="7" numFmtId="0" xfId="0" applyAlignment="1" applyBorder="1" applyFont="1">
      <alignment horizontal="right"/>
    </xf>
    <xf borderId="7" fillId="0" fontId="7" numFmtId="14" xfId="0" applyBorder="1" applyFont="1" applyNumberFormat="1"/>
    <xf borderId="7" fillId="0" fontId="7" numFmtId="0" xfId="0" applyAlignment="1" applyBorder="1" applyFont="1">
      <alignment readingOrder="0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7" numFmtId="0" xfId="0" applyFont="1"/>
    <xf borderId="10" fillId="0" fontId="7" numFmtId="165" xfId="0" applyBorder="1" applyFont="1" applyNumberFormat="1"/>
    <xf borderId="11" fillId="0" fontId="7" numFmtId="0" xfId="0" applyBorder="1" applyFont="1"/>
    <xf borderId="12" fillId="0" fontId="7" numFmtId="0" xfId="0" applyAlignment="1" applyBorder="1" applyFont="1">
      <alignment horizontal="right"/>
    </xf>
    <xf borderId="12" fillId="0" fontId="7" numFmtId="14" xfId="0" applyBorder="1" applyFont="1" applyNumberFormat="1"/>
    <xf borderId="12" fillId="0" fontId="7" numFmtId="0" xfId="0" applyAlignment="1" applyBorder="1" applyFont="1">
      <alignment readingOrder="0"/>
    </xf>
    <xf borderId="12" fillId="0" fontId="7" numFmtId="0" xfId="0" applyBorder="1" applyFont="1"/>
    <xf borderId="9" fillId="0" fontId="7" numFmtId="165" xfId="0" applyBorder="1" applyFont="1" applyNumberFormat="1"/>
    <xf borderId="11" fillId="0" fontId="7" numFmtId="165" xfId="0" applyBorder="1" applyFont="1" applyNumberFormat="1"/>
    <xf borderId="13" fillId="0" fontId="7" numFmtId="0" xfId="0" applyAlignment="1" applyBorder="1" applyFont="1">
      <alignment horizontal="right"/>
    </xf>
    <xf borderId="13" fillId="0" fontId="7" numFmtId="14" xfId="0" applyBorder="1" applyFont="1" applyNumberFormat="1"/>
    <xf borderId="13" fillId="0" fontId="7" numFmtId="0" xfId="0" applyAlignment="1" applyBorder="1" applyFont="1">
      <alignment readingOrder="0"/>
    </xf>
    <xf borderId="13" fillId="0" fontId="7" numFmtId="0" xfId="0" applyBorder="1" applyFont="1"/>
    <xf borderId="14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4" fillId="0" fontId="7" numFmtId="165" xfId="0" applyBorder="1" applyFont="1" applyNumberFormat="1"/>
    <xf borderId="14" fillId="0" fontId="7" numFmtId="165" xfId="0" applyBorder="1" applyFont="1" applyNumberFormat="1"/>
    <xf borderId="8" fillId="0" fontId="7" numFmtId="165" xfId="0" applyBorder="1" applyFont="1" applyNumberFormat="1"/>
    <xf borderId="9" fillId="4" fontId="7" numFmtId="0" xfId="0" applyBorder="1" applyFill="1" applyFont="1"/>
    <xf borderId="0" fillId="4" fontId="7" numFmtId="0" xfId="0" applyFill="1" applyFont="1"/>
    <xf borderId="4" fillId="4" fontId="7" numFmtId="0" xfId="0" applyBorder="1" applyFill="1" applyFont="1"/>
    <xf borderId="5" fillId="4" fontId="7" numFmtId="0" xfId="0" applyBorder="1" applyFill="1" applyFont="1"/>
    <xf borderId="15" fillId="4" fontId="7" numFmtId="165" xfId="0" applyBorder="1" applyFill="1" applyFont="1" applyNumberFormat="1"/>
    <xf borderId="16" fillId="4" fontId="7" numFmtId="0" xfId="0" applyBorder="1" applyFill="1" applyFont="1"/>
    <xf borderId="17" fillId="4" fontId="7" numFmtId="165" xfId="0" applyBorder="1" applyFill="1" applyFont="1" applyNumberFormat="1"/>
    <xf borderId="18" fillId="4" fontId="7" numFmtId="0" xfId="0" applyBorder="1" applyFill="1" applyFont="1"/>
    <xf borderId="19" fillId="4" fontId="7" numFmtId="165" xfId="0" applyBorder="1" applyFill="1" applyFont="1" applyNumberFormat="1"/>
    <xf borderId="20" fillId="4" fontId="7" numFmtId="0" xfId="0" applyBorder="1" applyFill="1" applyFont="1"/>
    <xf borderId="0" fillId="0" fontId="6" numFmtId="14" xfId="0" applyAlignment="1" applyFont="1" applyNumberFormat="1">
      <alignment horizontal="right"/>
    </xf>
    <xf borderId="0" fillId="0" fontId="6" numFmtId="14" xfId="0" applyFont="1" applyNumberFormat="1"/>
    <xf borderId="0" fillId="0" fontId="6" numFmtId="0" xfId="0" applyFont="1"/>
    <xf borderId="0" fillId="0" fontId="8" numFmtId="0" xfId="0" applyFont="1"/>
    <xf borderId="0" fillId="0" fontId="9" numFmtId="0" xfId="0" applyFont="1"/>
    <xf borderId="0" fillId="0" fontId="6" numFmtId="165" xfId="0" applyFont="1" applyNumberFormat="1"/>
    <xf borderId="0" fillId="0" fontId="6" numFmtId="3" xfId="0" applyFont="1" applyNumberFormat="1"/>
    <xf borderId="0" fillId="0" fontId="6" numFmtId="10" xfId="0" applyFont="1" applyNumberFormat="1"/>
    <xf borderId="0" fillId="0" fontId="9" numFmtId="166" xfId="0" applyFont="1" applyNumberFormat="1"/>
    <xf borderId="0" fillId="0" fontId="8" numFmtId="166" xfId="0" applyFont="1" applyNumberFormat="1"/>
    <xf borderId="0" fillId="0" fontId="6" numFmtId="0" xfId="0" applyAlignment="1" applyFont="1">
      <alignment horizontal="right"/>
    </xf>
    <xf borderId="21" fillId="5" fontId="8" numFmtId="0" xfId="0" applyBorder="1" applyFill="1" applyFont="1"/>
    <xf borderId="22" fillId="5" fontId="9" numFmtId="167" xfId="0" applyBorder="1" applyFill="1" applyFont="1" applyNumberFormat="1"/>
    <xf borderId="0" fillId="0" fontId="9" numFmtId="10" xfId="0" applyFont="1" applyNumberFormat="1"/>
    <xf borderId="23" fillId="6" fontId="8" numFmtId="0" xfId="0" applyBorder="1" applyFill="1" applyFont="1"/>
    <xf borderId="23" fillId="6" fontId="9" numFmtId="10" xfId="0" applyBorder="1" applyFill="1" applyFont="1" applyNumberFormat="1"/>
    <xf borderId="23" fillId="6" fontId="9" numFmtId="0" xfId="0" applyBorder="1" applyFill="1" applyFont="1"/>
    <xf borderId="0" fillId="0" fontId="10" numFmtId="0" xfId="0" applyFont="1"/>
    <xf borderId="0" fillId="0" fontId="9" numFmtId="167" xfId="0" applyFont="1" applyNumberFormat="1"/>
    <xf borderId="0" fillId="0" fontId="11" numFmtId="0" xfId="0" applyFont="1"/>
    <xf borderId="24" fillId="0" fontId="9" numFmtId="0" xfId="0" applyBorder="1" applyFont="1"/>
    <xf borderId="8" fillId="0" fontId="7" numFmtId="166" xfId="0" applyBorder="1" applyFont="1" applyNumberFormat="1"/>
    <xf borderId="0" fillId="0" fontId="12" numFmtId="0" xfId="0" applyFont="1"/>
    <xf borderId="11" fillId="0" fontId="12" numFmtId="166" xfId="0" applyBorder="1" applyFont="1" applyNumberFormat="1"/>
    <xf borderId="5" fillId="0" fontId="12" numFmtId="0" xfId="0" applyBorder="1" applyFont="1"/>
    <xf borderId="24" fillId="0" fontId="11" numFmtId="0" xfId="0" applyBorder="1" applyFont="1"/>
    <xf borderId="11" fillId="0" fontId="11" numFmtId="166" xfId="0" applyBorder="1" applyFont="1" applyNumberFormat="1"/>
    <xf borderId="11" fillId="0" fontId="7" numFmtId="166" xfId="0" applyBorder="1" applyFont="1" applyNumberFormat="1"/>
    <xf borderId="11" fillId="0" fontId="4" numFmtId="166" xfId="0" applyBorder="1" applyFont="1" applyNumberFormat="1"/>
    <xf borderId="25" fillId="0" fontId="11" numFmtId="0" xfId="0" applyBorder="1" applyFont="1"/>
    <xf borderId="9" fillId="0" fontId="12" numFmtId="0" xfId="0" applyBorder="1" applyFont="1"/>
    <xf borderId="9" fillId="0" fontId="11" numFmtId="0" xfId="0" applyBorder="1" applyFont="1"/>
    <xf borderId="9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  <col customWidth="1" min="22" max="24" width="11.11"/>
    <col customWidth="1" min="25" max="25" width="11.44"/>
    <col customWidth="1" min="26" max="37" width="11.11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130.5" customHeight="1">
      <c r="A2" s="8" t="s">
        <v>3</v>
      </c>
      <c r="B2" s="9" t="s">
        <v>4</v>
      </c>
      <c r="C2" s="9" t="s">
        <v>5</v>
      </c>
      <c r="D2" s="9" t="s">
        <v>6</v>
      </c>
      <c r="E2" s="10" t="s">
        <v>7</v>
      </c>
      <c r="F2" s="10" t="s">
        <v>8</v>
      </c>
      <c r="G2" s="11" t="s">
        <v>9</v>
      </c>
      <c r="H2" s="12">
        <f>24.98*1.039</f>
        <v>25.95422</v>
      </c>
      <c r="I2" s="11" t="s">
        <v>10</v>
      </c>
      <c r="J2" s="12">
        <f>24.98*1.039</f>
        <v>25.95422</v>
      </c>
      <c r="K2" s="11" t="s">
        <v>11</v>
      </c>
      <c r="L2" s="12">
        <f>24.98*1.039</f>
        <v>25.95422</v>
      </c>
      <c r="M2" s="11" t="s">
        <v>12</v>
      </c>
      <c r="N2" s="12">
        <f>24.98*1.039</f>
        <v>25.95422</v>
      </c>
      <c r="O2" s="11"/>
      <c r="P2" s="12"/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15.75" customHeight="1">
      <c r="A3" s="14" t="s">
        <v>18</v>
      </c>
      <c r="B3" s="15">
        <v>46020.0</v>
      </c>
      <c r="C3" s="16">
        <v>1.1</v>
      </c>
      <c r="D3" s="17" t="s">
        <v>19</v>
      </c>
      <c r="E3" s="18"/>
      <c r="F3" s="18"/>
      <c r="G3" s="19"/>
      <c r="I3" s="20"/>
      <c r="K3" s="20"/>
      <c r="M3" s="20"/>
      <c r="O3" s="20"/>
      <c r="Q3" s="21">
        <f t="shared" ref="Q3:Q359" si="1">(G3*H$2)+(I3*J$2)+(K3*L$2)+(M3*N$2)+(O3*P$2)</f>
        <v>0</v>
      </c>
      <c r="R3" s="17">
        <f t="shared" ref="R3:R359" si="2">SUM(G3:N3)</f>
        <v>0</v>
      </c>
      <c r="S3" s="17">
        <f t="shared" ref="S3:S359" si="3">SUM(O3:P3)</f>
        <v>0</v>
      </c>
      <c r="T3" s="17">
        <f t="shared" ref="T3:T359" si="4">SUM(G3:P3)</f>
        <v>0</v>
      </c>
      <c r="U3" s="22">
        <f t="shared" ref="U3:U359" si="5">IFERROR(Q3/T3,0)</f>
        <v>0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15.75" customHeight="1">
      <c r="A4" s="23" t="s">
        <v>20</v>
      </c>
      <c r="B4" s="24">
        <f t="shared" ref="B4:B359" si="6">B3+1</f>
        <v>46021</v>
      </c>
      <c r="C4" s="25">
        <v>1.1</v>
      </c>
      <c r="D4" s="26" t="s">
        <v>19</v>
      </c>
      <c r="E4" s="22"/>
      <c r="F4" s="22"/>
      <c r="G4" s="19"/>
      <c r="I4" s="20"/>
      <c r="K4" s="20"/>
      <c r="M4" s="20"/>
      <c r="O4" s="20"/>
      <c r="Q4" s="27">
        <f t="shared" si="1"/>
        <v>0</v>
      </c>
      <c r="R4" s="26">
        <f t="shared" si="2"/>
        <v>0</v>
      </c>
      <c r="S4" s="26">
        <f t="shared" si="3"/>
        <v>0</v>
      </c>
      <c r="T4" s="26">
        <f t="shared" si="4"/>
        <v>0</v>
      </c>
      <c r="U4" s="28">
        <f t="shared" si="5"/>
        <v>0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15.75" customHeight="1">
      <c r="A5" s="23" t="s">
        <v>21</v>
      </c>
      <c r="B5" s="24">
        <f t="shared" si="6"/>
        <v>46022</v>
      </c>
      <c r="C5" s="25">
        <v>1.1</v>
      </c>
      <c r="D5" s="26" t="s">
        <v>19</v>
      </c>
      <c r="E5" s="22"/>
      <c r="F5" s="22"/>
      <c r="G5" s="19"/>
      <c r="I5" s="20"/>
      <c r="K5" s="20"/>
      <c r="M5" s="20"/>
      <c r="O5" s="20"/>
      <c r="Q5" s="27">
        <f t="shared" si="1"/>
        <v>0</v>
      </c>
      <c r="R5" s="26">
        <f t="shared" si="2"/>
        <v>0</v>
      </c>
      <c r="S5" s="26">
        <f t="shared" si="3"/>
        <v>0</v>
      </c>
      <c r="T5" s="26">
        <f t="shared" si="4"/>
        <v>0</v>
      </c>
      <c r="U5" s="28">
        <f t="shared" si="5"/>
        <v>0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15.75" customHeight="1">
      <c r="A6" s="23" t="s">
        <v>22</v>
      </c>
      <c r="B6" s="24">
        <f t="shared" si="6"/>
        <v>46023</v>
      </c>
      <c r="C6" s="25">
        <v>1.1</v>
      </c>
      <c r="D6" s="26" t="s">
        <v>19</v>
      </c>
      <c r="E6" s="22"/>
      <c r="F6" s="22"/>
      <c r="G6" s="19"/>
      <c r="I6" s="20"/>
      <c r="K6" s="20"/>
      <c r="M6" s="20"/>
      <c r="O6" s="20"/>
      <c r="Q6" s="27">
        <f t="shared" si="1"/>
        <v>0</v>
      </c>
      <c r="R6" s="26">
        <f t="shared" si="2"/>
        <v>0</v>
      </c>
      <c r="S6" s="26">
        <f t="shared" si="3"/>
        <v>0</v>
      </c>
      <c r="T6" s="26">
        <f t="shared" si="4"/>
        <v>0</v>
      </c>
      <c r="U6" s="28">
        <f t="shared" si="5"/>
        <v>0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5.75" customHeight="1">
      <c r="A7" s="23" t="s">
        <v>23</v>
      </c>
      <c r="B7" s="24">
        <f t="shared" si="6"/>
        <v>46024</v>
      </c>
      <c r="C7" s="25">
        <v>1.1</v>
      </c>
      <c r="D7" s="26" t="s">
        <v>19</v>
      </c>
      <c r="E7" s="22"/>
      <c r="F7" s="22"/>
      <c r="G7" s="19"/>
      <c r="I7" s="20"/>
      <c r="K7" s="20"/>
      <c r="M7" s="20"/>
      <c r="O7" s="20"/>
      <c r="Q7" s="27">
        <f t="shared" si="1"/>
        <v>0</v>
      </c>
      <c r="R7" s="26">
        <f t="shared" si="2"/>
        <v>0</v>
      </c>
      <c r="S7" s="26">
        <f t="shared" si="3"/>
        <v>0</v>
      </c>
      <c r="T7" s="26">
        <f t="shared" si="4"/>
        <v>0</v>
      </c>
      <c r="U7" s="28">
        <f t="shared" si="5"/>
        <v>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15.75" customHeight="1">
      <c r="A8" s="23" t="s">
        <v>24</v>
      </c>
      <c r="B8" s="24">
        <f t="shared" si="6"/>
        <v>46025</v>
      </c>
      <c r="C8" s="25">
        <v>1.1</v>
      </c>
      <c r="D8" s="26" t="s">
        <v>19</v>
      </c>
      <c r="E8" s="22"/>
      <c r="F8" s="22"/>
      <c r="G8" s="19"/>
      <c r="I8" s="20"/>
      <c r="K8" s="20"/>
      <c r="M8" s="20"/>
      <c r="O8" s="20"/>
      <c r="Q8" s="27">
        <f t="shared" si="1"/>
        <v>0</v>
      </c>
      <c r="R8" s="26">
        <f t="shared" si="2"/>
        <v>0</v>
      </c>
      <c r="S8" s="26">
        <f t="shared" si="3"/>
        <v>0</v>
      </c>
      <c r="T8" s="26">
        <f t="shared" si="4"/>
        <v>0</v>
      </c>
      <c r="U8" s="28">
        <f t="shared" si="5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15.75" customHeight="1">
      <c r="A9" s="29" t="s">
        <v>25</v>
      </c>
      <c r="B9" s="30">
        <f t="shared" si="6"/>
        <v>46026</v>
      </c>
      <c r="C9" s="31">
        <v>1.1</v>
      </c>
      <c r="D9" s="32" t="s">
        <v>19</v>
      </c>
      <c r="E9" s="33"/>
      <c r="F9" s="33"/>
      <c r="G9" s="34"/>
      <c r="H9" s="6"/>
      <c r="I9" s="35"/>
      <c r="J9" s="6"/>
      <c r="K9" s="35"/>
      <c r="L9" s="6"/>
      <c r="M9" s="35"/>
      <c r="N9" s="6"/>
      <c r="O9" s="35"/>
      <c r="P9" s="6"/>
      <c r="Q9" s="36">
        <f t="shared" si="1"/>
        <v>0</v>
      </c>
      <c r="R9" s="32">
        <f t="shared" si="2"/>
        <v>0</v>
      </c>
      <c r="S9" s="32">
        <f t="shared" si="3"/>
        <v>0</v>
      </c>
      <c r="T9" s="32">
        <f t="shared" si="4"/>
        <v>0</v>
      </c>
      <c r="U9" s="37">
        <f t="shared" si="5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15.75" customHeight="1">
      <c r="A10" s="14" t="s">
        <v>18</v>
      </c>
      <c r="B10" s="15">
        <f t="shared" si="6"/>
        <v>46027</v>
      </c>
      <c r="C10" s="16">
        <v>1.2</v>
      </c>
      <c r="D10" s="17" t="s">
        <v>26</v>
      </c>
      <c r="E10" s="18"/>
      <c r="F10" s="18"/>
      <c r="G10" s="19"/>
      <c r="I10" s="20"/>
      <c r="K10" s="20"/>
      <c r="M10" s="20"/>
      <c r="O10" s="20"/>
      <c r="Q10" s="21">
        <f t="shared" si="1"/>
        <v>0</v>
      </c>
      <c r="R10" s="17">
        <f t="shared" si="2"/>
        <v>0</v>
      </c>
      <c r="S10" s="17">
        <f t="shared" si="3"/>
        <v>0</v>
      </c>
      <c r="T10" s="17">
        <f t="shared" si="4"/>
        <v>0</v>
      </c>
      <c r="U10" s="38">
        <f t="shared" si="5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15.75" customHeight="1">
      <c r="A11" s="23" t="s">
        <v>20</v>
      </c>
      <c r="B11" s="24">
        <f t="shared" si="6"/>
        <v>46028</v>
      </c>
      <c r="C11" s="25">
        <v>1.2</v>
      </c>
      <c r="D11" s="26" t="s">
        <v>26</v>
      </c>
      <c r="E11" s="22"/>
      <c r="F11" s="22"/>
      <c r="G11" s="19"/>
      <c r="I11" s="20"/>
      <c r="K11" s="20"/>
      <c r="M11" s="20"/>
      <c r="O11" s="20"/>
      <c r="Q11" s="27">
        <f t="shared" si="1"/>
        <v>0</v>
      </c>
      <c r="R11" s="26">
        <f t="shared" si="2"/>
        <v>0</v>
      </c>
      <c r="S11" s="26">
        <f t="shared" si="3"/>
        <v>0</v>
      </c>
      <c r="T11" s="26">
        <f t="shared" si="4"/>
        <v>0</v>
      </c>
      <c r="U11" s="28">
        <f t="shared" si="5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15.75" customHeight="1">
      <c r="A12" s="23" t="s">
        <v>21</v>
      </c>
      <c r="B12" s="24">
        <f t="shared" si="6"/>
        <v>46029</v>
      </c>
      <c r="C12" s="25">
        <v>1.2</v>
      </c>
      <c r="D12" s="26" t="s">
        <v>26</v>
      </c>
      <c r="E12" s="22"/>
      <c r="F12" s="22"/>
      <c r="G12" s="19"/>
      <c r="I12" s="20"/>
      <c r="K12" s="20"/>
      <c r="M12" s="20"/>
      <c r="O12" s="20"/>
      <c r="Q12" s="27">
        <f t="shared" si="1"/>
        <v>0</v>
      </c>
      <c r="R12" s="26">
        <f t="shared" si="2"/>
        <v>0</v>
      </c>
      <c r="S12" s="26">
        <f t="shared" si="3"/>
        <v>0</v>
      </c>
      <c r="T12" s="26">
        <f t="shared" si="4"/>
        <v>0</v>
      </c>
      <c r="U12" s="28">
        <f t="shared" si="5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15.75" customHeight="1">
      <c r="A13" s="23" t="s">
        <v>22</v>
      </c>
      <c r="B13" s="24">
        <f t="shared" si="6"/>
        <v>46030</v>
      </c>
      <c r="C13" s="25">
        <v>1.2</v>
      </c>
      <c r="D13" s="26" t="s">
        <v>26</v>
      </c>
      <c r="E13" s="22"/>
      <c r="F13" s="22"/>
      <c r="G13" s="19"/>
      <c r="I13" s="20"/>
      <c r="K13" s="20"/>
      <c r="M13" s="20"/>
      <c r="O13" s="20"/>
      <c r="Q13" s="27">
        <f t="shared" si="1"/>
        <v>0</v>
      </c>
      <c r="R13" s="26">
        <f t="shared" si="2"/>
        <v>0</v>
      </c>
      <c r="S13" s="26">
        <f t="shared" si="3"/>
        <v>0</v>
      </c>
      <c r="T13" s="26">
        <f t="shared" si="4"/>
        <v>0</v>
      </c>
      <c r="U13" s="28">
        <f t="shared" si="5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15.75" customHeight="1">
      <c r="A14" s="23" t="s">
        <v>23</v>
      </c>
      <c r="B14" s="24">
        <f t="shared" si="6"/>
        <v>46031</v>
      </c>
      <c r="C14" s="25">
        <v>1.2</v>
      </c>
      <c r="D14" s="26" t="s">
        <v>26</v>
      </c>
      <c r="E14" s="22"/>
      <c r="F14" s="22"/>
      <c r="G14" s="19"/>
      <c r="I14" s="20"/>
      <c r="K14" s="20"/>
      <c r="M14" s="20"/>
      <c r="O14" s="20"/>
      <c r="Q14" s="27">
        <f t="shared" si="1"/>
        <v>0</v>
      </c>
      <c r="R14" s="26">
        <f t="shared" si="2"/>
        <v>0</v>
      </c>
      <c r="S14" s="26">
        <f t="shared" si="3"/>
        <v>0</v>
      </c>
      <c r="T14" s="26">
        <f t="shared" si="4"/>
        <v>0</v>
      </c>
      <c r="U14" s="28">
        <f t="shared" si="5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15.75" customHeight="1">
      <c r="A15" s="23" t="s">
        <v>24</v>
      </c>
      <c r="B15" s="24">
        <f t="shared" si="6"/>
        <v>46032</v>
      </c>
      <c r="C15" s="25">
        <v>1.2</v>
      </c>
      <c r="D15" s="26" t="s">
        <v>26</v>
      </c>
      <c r="E15" s="22"/>
      <c r="F15" s="22"/>
      <c r="G15" s="19"/>
      <c r="I15" s="20"/>
      <c r="K15" s="20"/>
      <c r="M15" s="20"/>
      <c r="O15" s="20"/>
      <c r="Q15" s="27">
        <f t="shared" si="1"/>
        <v>0</v>
      </c>
      <c r="R15" s="26">
        <f t="shared" si="2"/>
        <v>0</v>
      </c>
      <c r="S15" s="26">
        <f t="shared" si="3"/>
        <v>0</v>
      </c>
      <c r="T15" s="26">
        <f t="shared" si="4"/>
        <v>0</v>
      </c>
      <c r="U15" s="28">
        <f t="shared" si="5"/>
        <v>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15.75" customHeight="1">
      <c r="A16" s="29" t="s">
        <v>25</v>
      </c>
      <c r="B16" s="30">
        <f t="shared" si="6"/>
        <v>46033</v>
      </c>
      <c r="C16" s="31">
        <v>1.2</v>
      </c>
      <c r="D16" s="32" t="s">
        <v>26</v>
      </c>
      <c r="E16" s="33"/>
      <c r="F16" s="33"/>
      <c r="G16" s="34"/>
      <c r="H16" s="6"/>
      <c r="I16" s="35"/>
      <c r="J16" s="6"/>
      <c r="K16" s="35"/>
      <c r="L16" s="6"/>
      <c r="M16" s="35"/>
      <c r="N16" s="6"/>
      <c r="O16" s="35"/>
      <c r="P16" s="6"/>
      <c r="Q16" s="36">
        <f t="shared" si="1"/>
        <v>0</v>
      </c>
      <c r="R16" s="32">
        <f t="shared" si="2"/>
        <v>0</v>
      </c>
      <c r="S16" s="32">
        <f t="shared" si="3"/>
        <v>0</v>
      </c>
      <c r="T16" s="32">
        <f t="shared" si="4"/>
        <v>0</v>
      </c>
      <c r="U16" s="37">
        <f t="shared" si="5"/>
        <v>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15.75" customHeight="1">
      <c r="A17" s="14" t="s">
        <v>18</v>
      </c>
      <c r="B17" s="15">
        <f t="shared" si="6"/>
        <v>46034</v>
      </c>
      <c r="C17" s="16">
        <v>1.3</v>
      </c>
      <c r="D17" s="17" t="s">
        <v>27</v>
      </c>
      <c r="E17" s="18"/>
      <c r="F17" s="18"/>
      <c r="G17" s="19"/>
      <c r="I17" s="20"/>
      <c r="K17" s="20"/>
      <c r="M17" s="20"/>
      <c r="O17" s="20"/>
      <c r="Q17" s="21">
        <f t="shared" si="1"/>
        <v>0</v>
      </c>
      <c r="R17" s="17">
        <f t="shared" si="2"/>
        <v>0</v>
      </c>
      <c r="S17" s="17">
        <f t="shared" si="3"/>
        <v>0</v>
      </c>
      <c r="T17" s="17">
        <f t="shared" si="4"/>
        <v>0</v>
      </c>
      <c r="U17" s="38">
        <f t="shared" si="5"/>
        <v>0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15.75" customHeight="1">
      <c r="A18" s="23" t="s">
        <v>20</v>
      </c>
      <c r="B18" s="24">
        <f t="shared" si="6"/>
        <v>46035</v>
      </c>
      <c r="C18" s="25">
        <v>1.3</v>
      </c>
      <c r="D18" s="26" t="s">
        <v>27</v>
      </c>
      <c r="E18" s="22"/>
      <c r="F18" s="22"/>
      <c r="G18" s="19"/>
      <c r="I18" s="20"/>
      <c r="K18" s="20"/>
      <c r="M18" s="20"/>
      <c r="O18" s="20"/>
      <c r="Q18" s="27">
        <f t="shared" si="1"/>
        <v>0</v>
      </c>
      <c r="R18" s="26">
        <f t="shared" si="2"/>
        <v>0</v>
      </c>
      <c r="S18" s="26">
        <f t="shared" si="3"/>
        <v>0</v>
      </c>
      <c r="T18" s="26">
        <f t="shared" si="4"/>
        <v>0</v>
      </c>
      <c r="U18" s="28">
        <f t="shared" si="5"/>
        <v>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15.75" customHeight="1">
      <c r="A19" s="23" t="s">
        <v>21</v>
      </c>
      <c r="B19" s="24">
        <f t="shared" si="6"/>
        <v>46036</v>
      </c>
      <c r="C19" s="25">
        <v>1.3</v>
      </c>
      <c r="D19" s="26" t="s">
        <v>27</v>
      </c>
      <c r="E19" s="22"/>
      <c r="F19" s="22"/>
      <c r="G19" s="19"/>
      <c r="I19" s="20"/>
      <c r="K19" s="20"/>
      <c r="M19" s="20"/>
      <c r="O19" s="20"/>
      <c r="Q19" s="27">
        <f t="shared" si="1"/>
        <v>0</v>
      </c>
      <c r="R19" s="26">
        <f t="shared" si="2"/>
        <v>0</v>
      </c>
      <c r="S19" s="26">
        <f t="shared" si="3"/>
        <v>0</v>
      </c>
      <c r="T19" s="26">
        <f t="shared" si="4"/>
        <v>0</v>
      </c>
      <c r="U19" s="28">
        <f t="shared" si="5"/>
        <v>0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15.75" customHeight="1">
      <c r="A20" s="23" t="s">
        <v>22</v>
      </c>
      <c r="B20" s="24">
        <f t="shared" si="6"/>
        <v>46037</v>
      </c>
      <c r="C20" s="25">
        <v>1.3</v>
      </c>
      <c r="D20" s="26" t="s">
        <v>27</v>
      </c>
      <c r="E20" s="22"/>
      <c r="F20" s="22"/>
      <c r="G20" s="19"/>
      <c r="I20" s="20"/>
      <c r="K20" s="20"/>
      <c r="M20" s="20"/>
      <c r="O20" s="20"/>
      <c r="Q20" s="27">
        <f t="shared" si="1"/>
        <v>0</v>
      </c>
      <c r="R20" s="26">
        <f t="shared" si="2"/>
        <v>0</v>
      </c>
      <c r="S20" s="26">
        <f t="shared" si="3"/>
        <v>0</v>
      </c>
      <c r="T20" s="26">
        <f t="shared" si="4"/>
        <v>0</v>
      </c>
      <c r="U20" s="28">
        <f t="shared" si="5"/>
        <v>0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23" t="s">
        <v>23</v>
      </c>
      <c r="B21" s="24">
        <f t="shared" si="6"/>
        <v>46038</v>
      </c>
      <c r="C21" s="25">
        <v>1.3</v>
      </c>
      <c r="D21" s="26" t="s">
        <v>27</v>
      </c>
      <c r="E21" s="22"/>
      <c r="F21" s="22"/>
      <c r="G21" s="19"/>
      <c r="I21" s="20"/>
      <c r="K21" s="20"/>
      <c r="M21" s="20"/>
      <c r="O21" s="20"/>
      <c r="Q21" s="27">
        <f t="shared" si="1"/>
        <v>0</v>
      </c>
      <c r="R21" s="26">
        <f t="shared" si="2"/>
        <v>0</v>
      </c>
      <c r="S21" s="26">
        <f t="shared" si="3"/>
        <v>0</v>
      </c>
      <c r="T21" s="26">
        <f t="shared" si="4"/>
        <v>0</v>
      </c>
      <c r="U21" s="28">
        <f t="shared" si="5"/>
        <v>0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23" t="s">
        <v>24</v>
      </c>
      <c r="B22" s="24">
        <f t="shared" si="6"/>
        <v>46039</v>
      </c>
      <c r="C22" s="25">
        <v>1.3</v>
      </c>
      <c r="D22" s="26" t="s">
        <v>27</v>
      </c>
      <c r="E22" s="22"/>
      <c r="F22" s="22"/>
      <c r="G22" s="19"/>
      <c r="I22" s="20"/>
      <c r="K22" s="20"/>
      <c r="M22" s="20"/>
      <c r="O22" s="20"/>
      <c r="Q22" s="27">
        <f t="shared" si="1"/>
        <v>0</v>
      </c>
      <c r="R22" s="26">
        <f t="shared" si="2"/>
        <v>0</v>
      </c>
      <c r="S22" s="26">
        <f t="shared" si="3"/>
        <v>0</v>
      </c>
      <c r="T22" s="26">
        <f t="shared" si="4"/>
        <v>0</v>
      </c>
      <c r="U22" s="28">
        <f t="shared" si="5"/>
        <v>0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29" t="s">
        <v>25</v>
      </c>
      <c r="B23" s="30">
        <f t="shared" si="6"/>
        <v>46040</v>
      </c>
      <c r="C23" s="31">
        <v>1.3</v>
      </c>
      <c r="D23" s="32" t="s">
        <v>27</v>
      </c>
      <c r="E23" s="33"/>
      <c r="F23" s="33"/>
      <c r="G23" s="34"/>
      <c r="H23" s="6"/>
      <c r="I23" s="35"/>
      <c r="J23" s="6"/>
      <c r="K23" s="35"/>
      <c r="L23" s="6"/>
      <c r="M23" s="35"/>
      <c r="N23" s="6"/>
      <c r="O23" s="35"/>
      <c r="P23" s="6"/>
      <c r="Q23" s="36">
        <f t="shared" si="1"/>
        <v>0</v>
      </c>
      <c r="R23" s="32">
        <f t="shared" si="2"/>
        <v>0</v>
      </c>
      <c r="S23" s="32">
        <f t="shared" si="3"/>
        <v>0</v>
      </c>
      <c r="T23" s="32">
        <f t="shared" si="4"/>
        <v>0</v>
      </c>
      <c r="U23" s="37">
        <f t="shared" si="5"/>
        <v>0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14" t="s">
        <v>18</v>
      </c>
      <c r="B24" s="15">
        <f t="shared" si="6"/>
        <v>46041</v>
      </c>
      <c r="C24" s="16">
        <v>1.4</v>
      </c>
      <c r="D24" s="17" t="s">
        <v>28</v>
      </c>
      <c r="E24" s="18"/>
      <c r="F24" s="18"/>
      <c r="G24" s="19"/>
      <c r="I24" s="20"/>
      <c r="K24" s="20"/>
      <c r="M24" s="20"/>
      <c r="O24" s="20"/>
      <c r="Q24" s="21">
        <f t="shared" si="1"/>
        <v>0</v>
      </c>
      <c r="R24" s="17">
        <f t="shared" si="2"/>
        <v>0</v>
      </c>
      <c r="S24" s="17">
        <f t="shared" si="3"/>
        <v>0</v>
      </c>
      <c r="T24" s="17">
        <f t="shared" si="4"/>
        <v>0</v>
      </c>
      <c r="U24" s="38">
        <f t="shared" si="5"/>
        <v>0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23" t="s">
        <v>20</v>
      </c>
      <c r="B25" s="24">
        <f t="shared" si="6"/>
        <v>46042</v>
      </c>
      <c r="C25" s="25">
        <v>1.4</v>
      </c>
      <c r="D25" s="26" t="s">
        <v>28</v>
      </c>
      <c r="E25" s="22"/>
      <c r="F25" s="22"/>
      <c r="G25" s="19"/>
      <c r="I25" s="20"/>
      <c r="K25" s="20"/>
      <c r="M25" s="20"/>
      <c r="O25" s="20"/>
      <c r="Q25" s="27">
        <f t="shared" si="1"/>
        <v>0</v>
      </c>
      <c r="R25" s="26">
        <f t="shared" si="2"/>
        <v>0</v>
      </c>
      <c r="S25" s="26">
        <f t="shared" si="3"/>
        <v>0</v>
      </c>
      <c r="T25" s="26">
        <f t="shared" si="4"/>
        <v>0</v>
      </c>
      <c r="U25" s="28">
        <f t="shared" si="5"/>
        <v>0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23" t="s">
        <v>21</v>
      </c>
      <c r="B26" s="24">
        <f t="shared" si="6"/>
        <v>46043</v>
      </c>
      <c r="C26" s="25">
        <v>1.4</v>
      </c>
      <c r="D26" s="26" t="s">
        <v>28</v>
      </c>
      <c r="E26" s="22"/>
      <c r="F26" s="22"/>
      <c r="G26" s="19"/>
      <c r="I26" s="20"/>
      <c r="K26" s="20"/>
      <c r="M26" s="20"/>
      <c r="O26" s="20"/>
      <c r="Q26" s="27">
        <f t="shared" si="1"/>
        <v>0</v>
      </c>
      <c r="R26" s="26">
        <f t="shared" si="2"/>
        <v>0</v>
      </c>
      <c r="S26" s="26">
        <f t="shared" si="3"/>
        <v>0</v>
      </c>
      <c r="T26" s="26">
        <f t="shared" si="4"/>
        <v>0</v>
      </c>
      <c r="U26" s="28">
        <f t="shared" si="5"/>
        <v>0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23" t="s">
        <v>22</v>
      </c>
      <c r="B27" s="24">
        <f t="shared" si="6"/>
        <v>46044</v>
      </c>
      <c r="C27" s="25">
        <v>1.4</v>
      </c>
      <c r="D27" s="26" t="s">
        <v>28</v>
      </c>
      <c r="E27" s="22"/>
      <c r="F27" s="22"/>
      <c r="G27" s="19"/>
      <c r="I27" s="20"/>
      <c r="K27" s="20"/>
      <c r="M27" s="20"/>
      <c r="O27" s="20"/>
      <c r="Q27" s="27">
        <f t="shared" si="1"/>
        <v>0</v>
      </c>
      <c r="R27" s="26">
        <f t="shared" si="2"/>
        <v>0</v>
      </c>
      <c r="S27" s="26">
        <f t="shared" si="3"/>
        <v>0</v>
      </c>
      <c r="T27" s="26">
        <f t="shared" si="4"/>
        <v>0</v>
      </c>
      <c r="U27" s="28">
        <f t="shared" si="5"/>
        <v>0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23" t="s">
        <v>23</v>
      </c>
      <c r="B28" s="24">
        <f t="shared" si="6"/>
        <v>46045</v>
      </c>
      <c r="C28" s="25">
        <v>1.4</v>
      </c>
      <c r="D28" s="26" t="s">
        <v>28</v>
      </c>
      <c r="E28" s="22"/>
      <c r="F28" s="22"/>
      <c r="G28" s="19"/>
      <c r="I28" s="20"/>
      <c r="K28" s="20"/>
      <c r="M28" s="20"/>
      <c r="O28" s="20"/>
      <c r="Q28" s="27">
        <f t="shared" si="1"/>
        <v>0</v>
      </c>
      <c r="R28" s="26">
        <f t="shared" si="2"/>
        <v>0</v>
      </c>
      <c r="S28" s="26">
        <f t="shared" si="3"/>
        <v>0</v>
      </c>
      <c r="T28" s="26">
        <f t="shared" si="4"/>
        <v>0</v>
      </c>
      <c r="U28" s="28">
        <f t="shared" si="5"/>
        <v>0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23" t="s">
        <v>24</v>
      </c>
      <c r="B29" s="24">
        <f t="shared" si="6"/>
        <v>46046</v>
      </c>
      <c r="C29" s="25">
        <v>1.4</v>
      </c>
      <c r="D29" s="26" t="s">
        <v>28</v>
      </c>
      <c r="E29" s="22"/>
      <c r="F29" s="22"/>
      <c r="G29" s="19"/>
      <c r="I29" s="20"/>
      <c r="K29" s="20"/>
      <c r="M29" s="20"/>
      <c r="O29" s="20"/>
      <c r="Q29" s="27">
        <f t="shared" si="1"/>
        <v>0</v>
      </c>
      <c r="R29" s="26">
        <f t="shared" si="2"/>
        <v>0</v>
      </c>
      <c r="S29" s="26">
        <f t="shared" si="3"/>
        <v>0</v>
      </c>
      <c r="T29" s="26">
        <f t="shared" si="4"/>
        <v>0</v>
      </c>
      <c r="U29" s="28">
        <f t="shared" si="5"/>
        <v>0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29" t="s">
        <v>25</v>
      </c>
      <c r="B30" s="30">
        <f t="shared" si="6"/>
        <v>46047</v>
      </c>
      <c r="C30" s="31">
        <v>1.4</v>
      </c>
      <c r="D30" s="32" t="s">
        <v>28</v>
      </c>
      <c r="E30" s="33"/>
      <c r="F30" s="33"/>
      <c r="G30" s="34"/>
      <c r="H30" s="6"/>
      <c r="I30" s="35"/>
      <c r="J30" s="6"/>
      <c r="K30" s="35"/>
      <c r="L30" s="6"/>
      <c r="M30" s="35"/>
      <c r="N30" s="6"/>
      <c r="O30" s="35"/>
      <c r="P30" s="6"/>
      <c r="Q30" s="36">
        <f t="shared" si="1"/>
        <v>0</v>
      </c>
      <c r="R30" s="32">
        <f t="shared" si="2"/>
        <v>0</v>
      </c>
      <c r="S30" s="32">
        <f t="shared" si="3"/>
        <v>0</v>
      </c>
      <c r="T30" s="32">
        <f t="shared" si="4"/>
        <v>0</v>
      </c>
      <c r="U30" s="37">
        <f t="shared" si="5"/>
        <v>0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14" t="s">
        <v>18</v>
      </c>
      <c r="B31" s="15">
        <f t="shared" si="6"/>
        <v>46048</v>
      </c>
      <c r="C31" s="16">
        <v>2.1</v>
      </c>
      <c r="D31" s="17" t="s">
        <v>19</v>
      </c>
      <c r="E31" s="18"/>
      <c r="F31" s="18"/>
      <c r="G31" s="19"/>
      <c r="I31" s="20"/>
      <c r="K31" s="20"/>
      <c r="M31" s="20"/>
      <c r="O31" s="20"/>
      <c r="Q31" s="21">
        <f t="shared" si="1"/>
        <v>0</v>
      </c>
      <c r="R31" s="17">
        <f t="shared" si="2"/>
        <v>0</v>
      </c>
      <c r="S31" s="17">
        <f t="shared" si="3"/>
        <v>0</v>
      </c>
      <c r="T31" s="17">
        <f t="shared" si="4"/>
        <v>0</v>
      </c>
      <c r="U31" s="38">
        <f t="shared" si="5"/>
        <v>0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23" t="s">
        <v>20</v>
      </c>
      <c r="B32" s="24">
        <f t="shared" si="6"/>
        <v>46049</v>
      </c>
      <c r="C32" s="25">
        <v>2.1</v>
      </c>
      <c r="D32" s="26" t="s">
        <v>19</v>
      </c>
      <c r="E32" s="22"/>
      <c r="F32" s="22"/>
      <c r="G32" s="19"/>
      <c r="I32" s="20"/>
      <c r="K32" s="20"/>
      <c r="M32" s="20"/>
      <c r="O32" s="20"/>
      <c r="Q32" s="27">
        <f t="shared" si="1"/>
        <v>0</v>
      </c>
      <c r="R32" s="26">
        <f t="shared" si="2"/>
        <v>0</v>
      </c>
      <c r="S32" s="26">
        <f t="shared" si="3"/>
        <v>0</v>
      </c>
      <c r="T32" s="26">
        <f t="shared" si="4"/>
        <v>0</v>
      </c>
      <c r="U32" s="28">
        <f t="shared" si="5"/>
        <v>0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23" t="s">
        <v>21</v>
      </c>
      <c r="B33" s="24">
        <f t="shared" si="6"/>
        <v>46050</v>
      </c>
      <c r="C33" s="25">
        <v>2.1</v>
      </c>
      <c r="D33" s="26" t="s">
        <v>19</v>
      </c>
      <c r="E33" s="22"/>
      <c r="F33" s="22"/>
      <c r="G33" s="19"/>
      <c r="I33" s="20"/>
      <c r="K33" s="20"/>
      <c r="M33" s="20"/>
      <c r="O33" s="20"/>
      <c r="Q33" s="27">
        <f t="shared" si="1"/>
        <v>0</v>
      </c>
      <c r="R33" s="26">
        <f t="shared" si="2"/>
        <v>0</v>
      </c>
      <c r="S33" s="26">
        <f t="shared" si="3"/>
        <v>0</v>
      </c>
      <c r="T33" s="26">
        <f t="shared" si="4"/>
        <v>0</v>
      </c>
      <c r="U33" s="28">
        <f t="shared" si="5"/>
        <v>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23" t="s">
        <v>22</v>
      </c>
      <c r="B34" s="24">
        <f t="shared" si="6"/>
        <v>46051</v>
      </c>
      <c r="C34" s="25">
        <v>2.1</v>
      </c>
      <c r="D34" s="26" t="s">
        <v>19</v>
      </c>
      <c r="E34" s="22"/>
      <c r="F34" s="22"/>
      <c r="G34" s="19"/>
      <c r="I34" s="20"/>
      <c r="K34" s="20"/>
      <c r="M34" s="20"/>
      <c r="O34" s="20"/>
      <c r="Q34" s="27">
        <f t="shared" si="1"/>
        <v>0</v>
      </c>
      <c r="R34" s="26">
        <f t="shared" si="2"/>
        <v>0</v>
      </c>
      <c r="S34" s="26">
        <f t="shared" si="3"/>
        <v>0</v>
      </c>
      <c r="T34" s="26">
        <f t="shared" si="4"/>
        <v>0</v>
      </c>
      <c r="U34" s="28">
        <f t="shared" si="5"/>
        <v>0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23" t="s">
        <v>23</v>
      </c>
      <c r="B35" s="24">
        <f t="shared" si="6"/>
        <v>46052</v>
      </c>
      <c r="C35" s="25">
        <v>2.1</v>
      </c>
      <c r="D35" s="26" t="s">
        <v>19</v>
      </c>
      <c r="E35" s="22"/>
      <c r="F35" s="22"/>
      <c r="G35" s="19"/>
      <c r="I35" s="20"/>
      <c r="K35" s="20"/>
      <c r="M35" s="20"/>
      <c r="O35" s="20"/>
      <c r="Q35" s="27">
        <f t="shared" si="1"/>
        <v>0</v>
      </c>
      <c r="R35" s="26">
        <f t="shared" si="2"/>
        <v>0</v>
      </c>
      <c r="S35" s="26">
        <f t="shared" si="3"/>
        <v>0</v>
      </c>
      <c r="T35" s="26">
        <f t="shared" si="4"/>
        <v>0</v>
      </c>
      <c r="U35" s="28">
        <f t="shared" si="5"/>
        <v>0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23" t="s">
        <v>24</v>
      </c>
      <c r="B36" s="24">
        <f t="shared" si="6"/>
        <v>46053</v>
      </c>
      <c r="C36" s="25">
        <v>2.1</v>
      </c>
      <c r="D36" s="26" t="s">
        <v>19</v>
      </c>
      <c r="E36" s="22"/>
      <c r="F36" s="22"/>
      <c r="G36" s="19"/>
      <c r="I36" s="20"/>
      <c r="K36" s="20"/>
      <c r="M36" s="20"/>
      <c r="O36" s="20"/>
      <c r="Q36" s="27">
        <f t="shared" si="1"/>
        <v>0</v>
      </c>
      <c r="R36" s="26">
        <f t="shared" si="2"/>
        <v>0</v>
      </c>
      <c r="S36" s="26">
        <f t="shared" si="3"/>
        <v>0</v>
      </c>
      <c r="T36" s="26">
        <f t="shared" si="4"/>
        <v>0</v>
      </c>
      <c r="U36" s="28">
        <f t="shared" si="5"/>
        <v>0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29" t="s">
        <v>25</v>
      </c>
      <c r="B37" s="30">
        <f t="shared" si="6"/>
        <v>46054</v>
      </c>
      <c r="C37" s="31">
        <v>2.1</v>
      </c>
      <c r="D37" s="32" t="s">
        <v>19</v>
      </c>
      <c r="E37" s="33"/>
      <c r="F37" s="33"/>
      <c r="G37" s="34"/>
      <c r="H37" s="6"/>
      <c r="I37" s="35"/>
      <c r="J37" s="6"/>
      <c r="K37" s="35"/>
      <c r="L37" s="6"/>
      <c r="M37" s="35"/>
      <c r="N37" s="6"/>
      <c r="O37" s="35"/>
      <c r="P37" s="6"/>
      <c r="Q37" s="36">
        <f t="shared" si="1"/>
        <v>0</v>
      </c>
      <c r="R37" s="32">
        <f t="shared" si="2"/>
        <v>0</v>
      </c>
      <c r="S37" s="32">
        <f t="shared" si="3"/>
        <v>0</v>
      </c>
      <c r="T37" s="32">
        <f t="shared" si="4"/>
        <v>0</v>
      </c>
      <c r="U37" s="37">
        <f t="shared" si="5"/>
        <v>0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14" t="s">
        <v>18</v>
      </c>
      <c r="B38" s="15">
        <f t="shared" si="6"/>
        <v>46055</v>
      </c>
      <c r="C38" s="16">
        <v>2.2</v>
      </c>
      <c r="D38" s="17" t="s">
        <v>26</v>
      </c>
      <c r="E38" s="18"/>
      <c r="F38" s="18"/>
      <c r="G38" s="19"/>
      <c r="I38" s="20"/>
      <c r="K38" s="20"/>
      <c r="M38" s="20"/>
      <c r="O38" s="20"/>
      <c r="Q38" s="21">
        <f t="shared" si="1"/>
        <v>0</v>
      </c>
      <c r="R38" s="17">
        <f t="shared" si="2"/>
        <v>0</v>
      </c>
      <c r="S38" s="17">
        <f t="shared" si="3"/>
        <v>0</v>
      </c>
      <c r="T38" s="17">
        <f t="shared" si="4"/>
        <v>0</v>
      </c>
      <c r="U38" s="38">
        <f t="shared" si="5"/>
        <v>0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23" t="s">
        <v>20</v>
      </c>
      <c r="B39" s="24">
        <f t="shared" si="6"/>
        <v>46056</v>
      </c>
      <c r="C39" s="25">
        <v>2.2</v>
      </c>
      <c r="D39" s="26" t="s">
        <v>26</v>
      </c>
      <c r="E39" s="22"/>
      <c r="F39" s="22"/>
      <c r="G39" s="19"/>
      <c r="I39" s="20"/>
      <c r="K39" s="20"/>
      <c r="M39" s="20"/>
      <c r="O39" s="20"/>
      <c r="Q39" s="27">
        <f t="shared" si="1"/>
        <v>0</v>
      </c>
      <c r="R39" s="26">
        <f t="shared" si="2"/>
        <v>0</v>
      </c>
      <c r="S39" s="26">
        <f t="shared" si="3"/>
        <v>0</v>
      </c>
      <c r="T39" s="26">
        <f t="shared" si="4"/>
        <v>0</v>
      </c>
      <c r="U39" s="28">
        <f t="shared" si="5"/>
        <v>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23" t="s">
        <v>21</v>
      </c>
      <c r="B40" s="24">
        <f t="shared" si="6"/>
        <v>46057</v>
      </c>
      <c r="C40" s="25">
        <v>2.2</v>
      </c>
      <c r="D40" s="26" t="s">
        <v>26</v>
      </c>
      <c r="E40" s="22"/>
      <c r="F40" s="22"/>
      <c r="G40" s="19"/>
      <c r="I40" s="20"/>
      <c r="K40" s="20"/>
      <c r="M40" s="20"/>
      <c r="O40" s="20"/>
      <c r="Q40" s="27">
        <f t="shared" si="1"/>
        <v>0</v>
      </c>
      <c r="R40" s="26">
        <f t="shared" si="2"/>
        <v>0</v>
      </c>
      <c r="S40" s="26">
        <f t="shared" si="3"/>
        <v>0</v>
      </c>
      <c r="T40" s="26">
        <f t="shared" si="4"/>
        <v>0</v>
      </c>
      <c r="U40" s="28">
        <f t="shared" si="5"/>
        <v>0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23" t="s">
        <v>22</v>
      </c>
      <c r="B41" s="24">
        <f t="shared" si="6"/>
        <v>46058</v>
      </c>
      <c r="C41" s="25">
        <v>2.2</v>
      </c>
      <c r="D41" s="26" t="s">
        <v>26</v>
      </c>
      <c r="E41" s="22"/>
      <c r="F41" s="22"/>
      <c r="G41" s="19"/>
      <c r="I41" s="20"/>
      <c r="K41" s="20"/>
      <c r="M41" s="20"/>
      <c r="O41" s="20"/>
      <c r="Q41" s="27">
        <f t="shared" si="1"/>
        <v>0</v>
      </c>
      <c r="R41" s="26">
        <f t="shared" si="2"/>
        <v>0</v>
      </c>
      <c r="S41" s="26">
        <f t="shared" si="3"/>
        <v>0</v>
      </c>
      <c r="T41" s="26">
        <f t="shared" si="4"/>
        <v>0</v>
      </c>
      <c r="U41" s="28">
        <f t="shared" si="5"/>
        <v>0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23" t="s">
        <v>23</v>
      </c>
      <c r="B42" s="24">
        <f t="shared" si="6"/>
        <v>46059</v>
      </c>
      <c r="C42" s="25">
        <v>2.2</v>
      </c>
      <c r="D42" s="26" t="s">
        <v>26</v>
      </c>
      <c r="E42" s="22"/>
      <c r="F42" s="22"/>
      <c r="G42" s="19"/>
      <c r="I42" s="20"/>
      <c r="K42" s="20"/>
      <c r="M42" s="20"/>
      <c r="O42" s="20"/>
      <c r="Q42" s="27">
        <f t="shared" si="1"/>
        <v>0</v>
      </c>
      <c r="R42" s="26">
        <f t="shared" si="2"/>
        <v>0</v>
      </c>
      <c r="S42" s="26">
        <f t="shared" si="3"/>
        <v>0</v>
      </c>
      <c r="T42" s="26">
        <f t="shared" si="4"/>
        <v>0</v>
      </c>
      <c r="U42" s="28">
        <f t="shared" si="5"/>
        <v>0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23" t="s">
        <v>24</v>
      </c>
      <c r="B43" s="24">
        <f t="shared" si="6"/>
        <v>46060</v>
      </c>
      <c r="C43" s="25">
        <v>2.2</v>
      </c>
      <c r="D43" s="26" t="s">
        <v>26</v>
      </c>
      <c r="E43" s="22"/>
      <c r="F43" s="22"/>
      <c r="G43" s="19"/>
      <c r="I43" s="20"/>
      <c r="K43" s="20"/>
      <c r="M43" s="20"/>
      <c r="O43" s="20"/>
      <c r="Q43" s="27">
        <f t="shared" si="1"/>
        <v>0</v>
      </c>
      <c r="R43" s="26">
        <f t="shared" si="2"/>
        <v>0</v>
      </c>
      <c r="S43" s="26">
        <f t="shared" si="3"/>
        <v>0</v>
      </c>
      <c r="T43" s="26">
        <f t="shared" si="4"/>
        <v>0</v>
      </c>
      <c r="U43" s="28">
        <f t="shared" si="5"/>
        <v>0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29" t="s">
        <v>25</v>
      </c>
      <c r="B44" s="30">
        <f t="shared" si="6"/>
        <v>46061</v>
      </c>
      <c r="C44" s="31">
        <v>2.2</v>
      </c>
      <c r="D44" s="32" t="s">
        <v>26</v>
      </c>
      <c r="E44" s="33"/>
      <c r="F44" s="33"/>
      <c r="G44" s="34"/>
      <c r="H44" s="6"/>
      <c r="I44" s="35"/>
      <c r="J44" s="6"/>
      <c r="K44" s="35"/>
      <c r="L44" s="6"/>
      <c r="M44" s="35"/>
      <c r="N44" s="6"/>
      <c r="O44" s="35"/>
      <c r="P44" s="6"/>
      <c r="Q44" s="36">
        <f t="shared" si="1"/>
        <v>0</v>
      </c>
      <c r="R44" s="32">
        <f t="shared" si="2"/>
        <v>0</v>
      </c>
      <c r="S44" s="32">
        <f t="shared" si="3"/>
        <v>0</v>
      </c>
      <c r="T44" s="32">
        <f t="shared" si="4"/>
        <v>0</v>
      </c>
      <c r="U44" s="37">
        <f t="shared" si="5"/>
        <v>0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14" t="s">
        <v>18</v>
      </c>
      <c r="B45" s="15">
        <f t="shared" si="6"/>
        <v>46062</v>
      </c>
      <c r="C45" s="16">
        <v>2.3</v>
      </c>
      <c r="D45" s="17" t="s">
        <v>27</v>
      </c>
      <c r="E45" s="18"/>
      <c r="F45" s="18"/>
      <c r="G45" s="19"/>
      <c r="I45" s="20"/>
      <c r="K45" s="20"/>
      <c r="M45" s="20"/>
      <c r="O45" s="20"/>
      <c r="Q45" s="21">
        <f t="shared" si="1"/>
        <v>0</v>
      </c>
      <c r="R45" s="17">
        <f t="shared" si="2"/>
        <v>0</v>
      </c>
      <c r="S45" s="17">
        <f t="shared" si="3"/>
        <v>0</v>
      </c>
      <c r="T45" s="17">
        <f t="shared" si="4"/>
        <v>0</v>
      </c>
      <c r="U45" s="38">
        <f t="shared" si="5"/>
        <v>0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23" t="s">
        <v>20</v>
      </c>
      <c r="B46" s="24">
        <f t="shared" si="6"/>
        <v>46063</v>
      </c>
      <c r="C46" s="25">
        <v>2.3</v>
      </c>
      <c r="D46" s="26" t="s">
        <v>27</v>
      </c>
      <c r="E46" s="22"/>
      <c r="F46" s="22"/>
      <c r="G46" s="19"/>
      <c r="I46" s="20"/>
      <c r="K46" s="20"/>
      <c r="M46" s="20"/>
      <c r="O46" s="20"/>
      <c r="Q46" s="27">
        <f t="shared" si="1"/>
        <v>0</v>
      </c>
      <c r="R46" s="26">
        <f t="shared" si="2"/>
        <v>0</v>
      </c>
      <c r="S46" s="26">
        <f t="shared" si="3"/>
        <v>0</v>
      </c>
      <c r="T46" s="26">
        <f t="shared" si="4"/>
        <v>0</v>
      </c>
      <c r="U46" s="28">
        <f t="shared" si="5"/>
        <v>0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23" t="s">
        <v>21</v>
      </c>
      <c r="B47" s="24">
        <f t="shared" si="6"/>
        <v>46064</v>
      </c>
      <c r="C47" s="25">
        <v>2.3</v>
      </c>
      <c r="D47" s="26" t="s">
        <v>27</v>
      </c>
      <c r="E47" s="22"/>
      <c r="F47" s="22"/>
      <c r="G47" s="19"/>
      <c r="I47" s="20"/>
      <c r="K47" s="20"/>
      <c r="M47" s="20"/>
      <c r="O47" s="20"/>
      <c r="Q47" s="27">
        <f t="shared" si="1"/>
        <v>0</v>
      </c>
      <c r="R47" s="26">
        <f t="shared" si="2"/>
        <v>0</v>
      </c>
      <c r="S47" s="26">
        <f t="shared" si="3"/>
        <v>0</v>
      </c>
      <c r="T47" s="26">
        <f t="shared" si="4"/>
        <v>0</v>
      </c>
      <c r="U47" s="28">
        <f t="shared" si="5"/>
        <v>0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23" t="s">
        <v>22</v>
      </c>
      <c r="B48" s="24">
        <f t="shared" si="6"/>
        <v>46065</v>
      </c>
      <c r="C48" s="25">
        <v>2.3</v>
      </c>
      <c r="D48" s="26" t="s">
        <v>27</v>
      </c>
      <c r="E48" s="22"/>
      <c r="F48" s="22"/>
      <c r="G48" s="19"/>
      <c r="I48" s="20"/>
      <c r="K48" s="20"/>
      <c r="M48" s="20"/>
      <c r="O48" s="20"/>
      <c r="Q48" s="27">
        <f t="shared" si="1"/>
        <v>0</v>
      </c>
      <c r="R48" s="26">
        <f t="shared" si="2"/>
        <v>0</v>
      </c>
      <c r="S48" s="26">
        <f t="shared" si="3"/>
        <v>0</v>
      </c>
      <c r="T48" s="26">
        <f t="shared" si="4"/>
        <v>0</v>
      </c>
      <c r="U48" s="28">
        <f t="shared" si="5"/>
        <v>0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23" t="s">
        <v>23</v>
      </c>
      <c r="B49" s="24">
        <f t="shared" si="6"/>
        <v>46066</v>
      </c>
      <c r="C49" s="25">
        <v>2.3</v>
      </c>
      <c r="D49" s="26" t="s">
        <v>27</v>
      </c>
      <c r="E49" s="22"/>
      <c r="F49" s="22"/>
      <c r="G49" s="19"/>
      <c r="I49" s="20"/>
      <c r="K49" s="20"/>
      <c r="M49" s="20"/>
      <c r="O49" s="20"/>
      <c r="Q49" s="27">
        <f t="shared" si="1"/>
        <v>0</v>
      </c>
      <c r="R49" s="26">
        <f t="shared" si="2"/>
        <v>0</v>
      </c>
      <c r="S49" s="26">
        <f t="shared" si="3"/>
        <v>0</v>
      </c>
      <c r="T49" s="26">
        <f t="shared" si="4"/>
        <v>0</v>
      </c>
      <c r="U49" s="28">
        <f t="shared" si="5"/>
        <v>0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23" t="s">
        <v>24</v>
      </c>
      <c r="B50" s="24">
        <f t="shared" si="6"/>
        <v>46067</v>
      </c>
      <c r="C50" s="25">
        <v>2.3</v>
      </c>
      <c r="D50" s="26" t="s">
        <v>27</v>
      </c>
      <c r="E50" s="22"/>
      <c r="F50" s="22"/>
      <c r="G50" s="19"/>
      <c r="I50" s="20"/>
      <c r="K50" s="20"/>
      <c r="M50" s="20"/>
      <c r="O50" s="20"/>
      <c r="Q50" s="27">
        <f t="shared" si="1"/>
        <v>0</v>
      </c>
      <c r="R50" s="26">
        <f t="shared" si="2"/>
        <v>0</v>
      </c>
      <c r="S50" s="26">
        <f t="shared" si="3"/>
        <v>0</v>
      </c>
      <c r="T50" s="26">
        <f t="shared" si="4"/>
        <v>0</v>
      </c>
      <c r="U50" s="28">
        <f t="shared" si="5"/>
        <v>0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29" t="s">
        <v>25</v>
      </c>
      <c r="B51" s="30">
        <f t="shared" si="6"/>
        <v>46068</v>
      </c>
      <c r="C51" s="31">
        <v>2.3</v>
      </c>
      <c r="D51" s="32" t="s">
        <v>27</v>
      </c>
      <c r="E51" s="33"/>
      <c r="F51" s="33"/>
      <c r="G51" s="34"/>
      <c r="H51" s="6"/>
      <c r="I51" s="35"/>
      <c r="J51" s="6"/>
      <c r="K51" s="35"/>
      <c r="L51" s="6"/>
      <c r="M51" s="35"/>
      <c r="N51" s="6"/>
      <c r="O51" s="35"/>
      <c r="P51" s="6"/>
      <c r="Q51" s="36">
        <f t="shared" si="1"/>
        <v>0</v>
      </c>
      <c r="R51" s="32">
        <f t="shared" si="2"/>
        <v>0</v>
      </c>
      <c r="S51" s="32">
        <f t="shared" si="3"/>
        <v>0</v>
      </c>
      <c r="T51" s="32">
        <f t="shared" si="4"/>
        <v>0</v>
      </c>
      <c r="U51" s="37">
        <f t="shared" si="5"/>
        <v>0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14" t="s">
        <v>18</v>
      </c>
      <c r="B52" s="15">
        <f t="shared" si="6"/>
        <v>46069</v>
      </c>
      <c r="C52" s="16">
        <v>2.4</v>
      </c>
      <c r="D52" s="17" t="s">
        <v>28</v>
      </c>
      <c r="E52" s="18"/>
      <c r="F52" s="18"/>
      <c r="G52" s="19"/>
      <c r="I52" s="20"/>
      <c r="K52" s="20"/>
      <c r="M52" s="20"/>
      <c r="O52" s="20"/>
      <c r="Q52" s="21">
        <f t="shared" si="1"/>
        <v>0</v>
      </c>
      <c r="R52" s="17">
        <f t="shared" si="2"/>
        <v>0</v>
      </c>
      <c r="S52" s="17">
        <f t="shared" si="3"/>
        <v>0</v>
      </c>
      <c r="T52" s="17">
        <f t="shared" si="4"/>
        <v>0</v>
      </c>
      <c r="U52" s="38">
        <f t="shared" si="5"/>
        <v>0</v>
      </c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23" t="s">
        <v>20</v>
      </c>
      <c r="B53" s="24">
        <f t="shared" si="6"/>
        <v>46070</v>
      </c>
      <c r="C53" s="25">
        <v>2.4</v>
      </c>
      <c r="D53" s="26" t="s">
        <v>28</v>
      </c>
      <c r="E53" s="22"/>
      <c r="F53" s="22"/>
      <c r="G53" s="19"/>
      <c r="I53" s="20"/>
      <c r="K53" s="20"/>
      <c r="M53" s="20"/>
      <c r="O53" s="20"/>
      <c r="Q53" s="27">
        <f t="shared" si="1"/>
        <v>0</v>
      </c>
      <c r="R53" s="26">
        <f t="shared" si="2"/>
        <v>0</v>
      </c>
      <c r="S53" s="26">
        <f t="shared" si="3"/>
        <v>0</v>
      </c>
      <c r="T53" s="26">
        <f t="shared" si="4"/>
        <v>0</v>
      </c>
      <c r="U53" s="28">
        <f t="shared" si="5"/>
        <v>0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23" t="s">
        <v>21</v>
      </c>
      <c r="B54" s="24">
        <f t="shared" si="6"/>
        <v>46071</v>
      </c>
      <c r="C54" s="25">
        <v>2.4</v>
      </c>
      <c r="D54" s="26" t="s">
        <v>28</v>
      </c>
      <c r="E54" s="22"/>
      <c r="F54" s="22"/>
      <c r="G54" s="19"/>
      <c r="I54" s="20"/>
      <c r="K54" s="20"/>
      <c r="M54" s="20"/>
      <c r="O54" s="20"/>
      <c r="Q54" s="27">
        <f t="shared" si="1"/>
        <v>0</v>
      </c>
      <c r="R54" s="26">
        <f t="shared" si="2"/>
        <v>0</v>
      </c>
      <c r="S54" s="26">
        <f t="shared" si="3"/>
        <v>0</v>
      </c>
      <c r="T54" s="26">
        <f t="shared" si="4"/>
        <v>0</v>
      </c>
      <c r="U54" s="28">
        <f t="shared" si="5"/>
        <v>0</v>
      </c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23" t="s">
        <v>22</v>
      </c>
      <c r="B55" s="24">
        <f t="shared" si="6"/>
        <v>46072</v>
      </c>
      <c r="C55" s="25">
        <v>2.4</v>
      </c>
      <c r="D55" s="26" t="s">
        <v>28</v>
      </c>
      <c r="E55" s="22"/>
      <c r="F55" s="22"/>
      <c r="G55" s="19"/>
      <c r="I55" s="20"/>
      <c r="K55" s="20"/>
      <c r="M55" s="20"/>
      <c r="O55" s="20"/>
      <c r="Q55" s="27">
        <f t="shared" si="1"/>
        <v>0</v>
      </c>
      <c r="R55" s="26">
        <f t="shared" si="2"/>
        <v>0</v>
      </c>
      <c r="S55" s="26">
        <f t="shared" si="3"/>
        <v>0</v>
      </c>
      <c r="T55" s="26">
        <f t="shared" si="4"/>
        <v>0</v>
      </c>
      <c r="U55" s="28">
        <f t="shared" si="5"/>
        <v>0</v>
      </c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23" t="s">
        <v>23</v>
      </c>
      <c r="B56" s="24">
        <f t="shared" si="6"/>
        <v>46073</v>
      </c>
      <c r="C56" s="25">
        <v>2.4</v>
      </c>
      <c r="D56" s="26" t="s">
        <v>28</v>
      </c>
      <c r="E56" s="22"/>
      <c r="F56" s="22"/>
      <c r="G56" s="19"/>
      <c r="I56" s="20"/>
      <c r="K56" s="20"/>
      <c r="M56" s="20"/>
      <c r="O56" s="20"/>
      <c r="Q56" s="27">
        <f t="shared" si="1"/>
        <v>0</v>
      </c>
      <c r="R56" s="26">
        <f t="shared" si="2"/>
        <v>0</v>
      </c>
      <c r="S56" s="26">
        <f t="shared" si="3"/>
        <v>0</v>
      </c>
      <c r="T56" s="26">
        <f t="shared" si="4"/>
        <v>0</v>
      </c>
      <c r="U56" s="28">
        <f t="shared" si="5"/>
        <v>0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23" t="s">
        <v>24</v>
      </c>
      <c r="B57" s="24">
        <f t="shared" si="6"/>
        <v>46074</v>
      </c>
      <c r="C57" s="25">
        <v>2.4</v>
      </c>
      <c r="D57" s="26" t="s">
        <v>28</v>
      </c>
      <c r="E57" s="22"/>
      <c r="F57" s="22"/>
      <c r="G57" s="19"/>
      <c r="I57" s="20"/>
      <c r="K57" s="20"/>
      <c r="M57" s="20"/>
      <c r="O57" s="20"/>
      <c r="Q57" s="27">
        <f t="shared" si="1"/>
        <v>0</v>
      </c>
      <c r="R57" s="26">
        <f t="shared" si="2"/>
        <v>0</v>
      </c>
      <c r="S57" s="26">
        <f t="shared" si="3"/>
        <v>0</v>
      </c>
      <c r="T57" s="26">
        <f t="shared" si="4"/>
        <v>0</v>
      </c>
      <c r="U57" s="28">
        <f t="shared" si="5"/>
        <v>0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29" t="s">
        <v>25</v>
      </c>
      <c r="B58" s="30">
        <f t="shared" si="6"/>
        <v>46075</v>
      </c>
      <c r="C58" s="31">
        <v>2.4</v>
      </c>
      <c r="D58" s="32" t="s">
        <v>28</v>
      </c>
      <c r="E58" s="33"/>
      <c r="F58" s="33"/>
      <c r="G58" s="34"/>
      <c r="H58" s="6"/>
      <c r="I58" s="35"/>
      <c r="J58" s="6"/>
      <c r="K58" s="35"/>
      <c r="L58" s="6"/>
      <c r="M58" s="35"/>
      <c r="N58" s="6"/>
      <c r="O58" s="35"/>
      <c r="P58" s="6"/>
      <c r="Q58" s="36">
        <f t="shared" si="1"/>
        <v>0</v>
      </c>
      <c r="R58" s="32">
        <f t="shared" si="2"/>
        <v>0</v>
      </c>
      <c r="S58" s="32">
        <f t="shared" si="3"/>
        <v>0</v>
      </c>
      <c r="T58" s="32">
        <f t="shared" si="4"/>
        <v>0</v>
      </c>
      <c r="U58" s="37">
        <f t="shared" si="5"/>
        <v>0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14" t="s">
        <v>18</v>
      </c>
      <c r="B59" s="15">
        <f t="shared" si="6"/>
        <v>46076</v>
      </c>
      <c r="C59" s="16">
        <v>3.1</v>
      </c>
      <c r="D59" s="17" t="s">
        <v>19</v>
      </c>
      <c r="E59" s="18"/>
      <c r="F59" s="18"/>
      <c r="G59" s="19"/>
      <c r="I59" s="20"/>
      <c r="K59" s="20"/>
      <c r="M59" s="20"/>
      <c r="O59" s="20"/>
      <c r="Q59" s="21">
        <f t="shared" si="1"/>
        <v>0</v>
      </c>
      <c r="R59" s="17">
        <f t="shared" si="2"/>
        <v>0</v>
      </c>
      <c r="S59" s="17">
        <f t="shared" si="3"/>
        <v>0</v>
      </c>
      <c r="T59" s="17">
        <f t="shared" si="4"/>
        <v>0</v>
      </c>
      <c r="U59" s="38">
        <f t="shared" si="5"/>
        <v>0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23" t="s">
        <v>20</v>
      </c>
      <c r="B60" s="24">
        <f t="shared" si="6"/>
        <v>46077</v>
      </c>
      <c r="C60" s="25">
        <v>3.1</v>
      </c>
      <c r="D60" s="26" t="s">
        <v>19</v>
      </c>
      <c r="E60" s="22"/>
      <c r="F60" s="22"/>
      <c r="G60" s="19"/>
      <c r="I60" s="20"/>
      <c r="K60" s="20"/>
      <c r="M60" s="20"/>
      <c r="O60" s="20"/>
      <c r="Q60" s="27">
        <f t="shared" si="1"/>
        <v>0</v>
      </c>
      <c r="R60" s="26">
        <f t="shared" si="2"/>
        <v>0</v>
      </c>
      <c r="S60" s="26">
        <f t="shared" si="3"/>
        <v>0</v>
      </c>
      <c r="T60" s="26">
        <f t="shared" si="4"/>
        <v>0</v>
      </c>
      <c r="U60" s="28">
        <f t="shared" si="5"/>
        <v>0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23" t="s">
        <v>21</v>
      </c>
      <c r="B61" s="24">
        <f t="shared" si="6"/>
        <v>46078</v>
      </c>
      <c r="C61" s="25">
        <v>3.1</v>
      </c>
      <c r="D61" s="26" t="s">
        <v>19</v>
      </c>
      <c r="E61" s="22"/>
      <c r="F61" s="22"/>
      <c r="G61" s="19"/>
      <c r="I61" s="20"/>
      <c r="K61" s="20"/>
      <c r="M61" s="20"/>
      <c r="O61" s="20"/>
      <c r="Q61" s="27">
        <f t="shared" si="1"/>
        <v>0</v>
      </c>
      <c r="R61" s="26">
        <f t="shared" si="2"/>
        <v>0</v>
      </c>
      <c r="S61" s="26">
        <f t="shared" si="3"/>
        <v>0</v>
      </c>
      <c r="T61" s="26">
        <f t="shared" si="4"/>
        <v>0</v>
      </c>
      <c r="U61" s="28">
        <f t="shared" si="5"/>
        <v>0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23" t="s">
        <v>22</v>
      </c>
      <c r="B62" s="24">
        <f t="shared" si="6"/>
        <v>46079</v>
      </c>
      <c r="C62" s="25">
        <v>3.1</v>
      </c>
      <c r="D62" s="26" t="s">
        <v>19</v>
      </c>
      <c r="E62" s="22"/>
      <c r="F62" s="22"/>
      <c r="G62" s="19"/>
      <c r="I62" s="20"/>
      <c r="K62" s="20"/>
      <c r="M62" s="20"/>
      <c r="O62" s="20"/>
      <c r="Q62" s="27">
        <f t="shared" si="1"/>
        <v>0</v>
      </c>
      <c r="R62" s="26">
        <f t="shared" si="2"/>
        <v>0</v>
      </c>
      <c r="S62" s="26">
        <f t="shared" si="3"/>
        <v>0</v>
      </c>
      <c r="T62" s="26">
        <f t="shared" si="4"/>
        <v>0</v>
      </c>
      <c r="U62" s="28">
        <f t="shared" si="5"/>
        <v>0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23" t="s">
        <v>23</v>
      </c>
      <c r="B63" s="24">
        <f t="shared" si="6"/>
        <v>46080</v>
      </c>
      <c r="C63" s="25">
        <v>3.1</v>
      </c>
      <c r="D63" s="26" t="s">
        <v>19</v>
      </c>
      <c r="E63" s="22"/>
      <c r="F63" s="22"/>
      <c r="G63" s="19"/>
      <c r="I63" s="20"/>
      <c r="K63" s="20"/>
      <c r="M63" s="20"/>
      <c r="O63" s="20"/>
      <c r="Q63" s="27">
        <f t="shared" si="1"/>
        <v>0</v>
      </c>
      <c r="R63" s="26">
        <f t="shared" si="2"/>
        <v>0</v>
      </c>
      <c r="S63" s="26">
        <f t="shared" si="3"/>
        <v>0</v>
      </c>
      <c r="T63" s="26">
        <f t="shared" si="4"/>
        <v>0</v>
      </c>
      <c r="U63" s="28">
        <f t="shared" si="5"/>
        <v>0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23" t="s">
        <v>24</v>
      </c>
      <c r="B64" s="24">
        <f t="shared" si="6"/>
        <v>46081</v>
      </c>
      <c r="C64" s="25">
        <v>3.1</v>
      </c>
      <c r="D64" s="26" t="s">
        <v>19</v>
      </c>
      <c r="E64" s="22"/>
      <c r="F64" s="22"/>
      <c r="G64" s="19"/>
      <c r="I64" s="20"/>
      <c r="K64" s="20"/>
      <c r="M64" s="20"/>
      <c r="O64" s="20"/>
      <c r="Q64" s="27">
        <f t="shared" si="1"/>
        <v>0</v>
      </c>
      <c r="R64" s="26">
        <f t="shared" si="2"/>
        <v>0</v>
      </c>
      <c r="S64" s="26">
        <f t="shared" si="3"/>
        <v>0</v>
      </c>
      <c r="T64" s="26">
        <f t="shared" si="4"/>
        <v>0</v>
      </c>
      <c r="U64" s="28">
        <f t="shared" si="5"/>
        <v>0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29" t="s">
        <v>25</v>
      </c>
      <c r="B65" s="30">
        <f t="shared" si="6"/>
        <v>46082</v>
      </c>
      <c r="C65" s="31">
        <v>3.1</v>
      </c>
      <c r="D65" s="32" t="s">
        <v>19</v>
      </c>
      <c r="E65" s="33"/>
      <c r="F65" s="33"/>
      <c r="G65" s="34"/>
      <c r="H65" s="6"/>
      <c r="I65" s="35"/>
      <c r="J65" s="6"/>
      <c r="K65" s="35"/>
      <c r="L65" s="6"/>
      <c r="M65" s="35"/>
      <c r="N65" s="6"/>
      <c r="O65" s="35"/>
      <c r="P65" s="6"/>
      <c r="Q65" s="36">
        <f t="shared" si="1"/>
        <v>0</v>
      </c>
      <c r="R65" s="32">
        <f t="shared" si="2"/>
        <v>0</v>
      </c>
      <c r="S65" s="32">
        <f t="shared" si="3"/>
        <v>0</v>
      </c>
      <c r="T65" s="32">
        <f t="shared" si="4"/>
        <v>0</v>
      </c>
      <c r="U65" s="37">
        <f t="shared" si="5"/>
        <v>0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14" t="s">
        <v>18</v>
      </c>
      <c r="B66" s="15">
        <f t="shared" si="6"/>
        <v>46083</v>
      </c>
      <c r="C66" s="16">
        <v>3.2</v>
      </c>
      <c r="D66" s="17" t="s">
        <v>26</v>
      </c>
      <c r="E66" s="18"/>
      <c r="F66" s="18"/>
      <c r="G66" s="19"/>
      <c r="I66" s="20"/>
      <c r="K66" s="20"/>
      <c r="M66" s="20"/>
      <c r="O66" s="20"/>
      <c r="Q66" s="21">
        <f t="shared" si="1"/>
        <v>0</v>
      </c>
      <c r="R66" s="17">
        <f t="shared" si="2"/>
        <v>0</v>
      </c>
      <c r="S66" s="17">
        <f t="shared" si="3"/>
        <v>0</v>
      </c>
      <c r="T66" s="17">
        <f t="shared" si="4"/>
        <v>0</v>
      </c>
      <c r="U66" s="38">
        <f t="shared" si="5"/>
        <v>0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23" t="s">
        <v>20</v>
      </c>
      <c r="B67" s="24">
        <f t="shared" si="6"/>
        <v>46084</v>
      </c>
      <c r="C67" s="25">
        <v>3.2</v>
      </c>
      <c r="D67" s="26" t="s">
        <v>26</v>
      </c>
      <c r="E67" s="22"/>
      <c r="F67" s="22"/>
      <c r="G67" s="19"/>
      <c r="I67" s="20"/>
      <c r="K67" s="20"/>
      <c r="M67" s="20"/>
      <c r="O67" s="20"/>
      <c r="Q67" s="27">
        <f t="shared" si="1"/>
        <v>0</v>
      </c>
      <c r="R67" s="26">
        <f t="shared" si="2"/>
        <v>0</v>
      </c>
      <c r="S67" s="26">
        <f t="shared" si="3"/>
        <v>0</v>
      </c>
      <c r="T67" s="26">
        <f t="shared" si="4"/>
        <v>0</v>
      </c>
      <c r="U67" s="28">
        <f t="shared" si="5"/>
        <v>0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23" t="s">
        <v>21</v>
      </c>
      <c r="B68" s="24">
        <f t="shared" si="6"/>
        <v>46085</v>
      </c>
      <c r="C68" s="25">
        <v>3.2</v>
      </c>
      <c r="D68" s="26" t="s">
        <v>26</v>
      </c>
      <c r="E68" s="22"/>
      <c r="F68" s="22"/>
      <c r="G68" s="19"/>
      <c r="I68" s="20"/>
      <c r="K68" s="20"/>
      <c r="M68" s="20"/>
      <c r="O68" s="20"/>
      <c r="Q68" s="27">
        <f t="shared" si="1"/>
        <v>0</v>
      </c>
      <c r="R68" s="26">
        <f t="shared" si="2"/>
        <v>0</v>
      </c>
      <c r="S68" s="26">
        <f t="shared" si="3"/>
        <v>0</v>
      </c>
      <c r="T68" s="26">
        <f t="shared" si="4"/>
        <v>0</v>
      </c>
      <c r="U68" s="28">
        <f t="shared" si="5"/>
        <v>0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23" t="s">
        <v>22</v>
      </c>
      <c r="B69" s="24">
        <f t="shared" si="6"/>
        <v>46086</v>
      </c>
      <c r="C69" s="25">
        <v>3.2</v>
      </c>
      <c r="D69" s="26" t="s">
        <v>26</v>
      </c>
      <c r="E69" s="22"/>
      <c r="F69" s="22"/>
      <c r="G69" s="19"/>
      <c r="I69" s="20"/>
      <c r="K69" s="20"/>
      <c r="M69" s="20"/>
      <c r="O69" s="20"/>
      <c r="Q69" s="27">
        <f t="shared" si="1"/>
        <v>0</v>
      </c>
      <c r="R69" s="26">
        <f t="shared" si="2"/>
        <v>0</v>
      </c>
      <c r="S69" s="26">
        <f t="shared" si="3"/>
        <v>0</v>
      </c>
      <c r="T69" s="26">
        <f t="shared" si="4"/>
        <v>0</v>
      </c>
      <c r="U69" s="28">
        <f t="shared" si="5"/>
        <v>0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23" t="s">
        <v>23</v>
      </c>
      <c r="B70" s="24">
        <f t="shared" si="6"/>
        <v>46087</v>
      </c>
      <c r="C70" s="25">
        <v>3.2</v>
      </c>
      <c r="D70" s="26" t="s">
        <v>26</v>
      </c>
      <c r="E70" s="22"/>
      <c r="F70" s="22"/>
      <c r="G70" s="19"/>
      <c r="I70" s="20"/>
      <c r="K70" s="20"/>
      <c r="M70" s="20"/>
      <c r="O70" s="20"/>
      <c r="Q70" s="27">
        <f t="shared" si="1"/>
        <v>0</v>
      </c>
      <c r="R70" s="26">
        <f t="shared" si="2"/>
        <v>0</v>
      </c>
      <c r="S70" s="26">
        <f t="shared" si="3"/>
        <v>0</v>
      </c>
      <c r="T70" s="26">
        <f t="shared" si="4"/>
        <v>0</v>
      </c>
      <c r="U70" s="28">
        <f t="shared" si="5"/>
        <v>0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23" t="s">
        <v>24</v>
      </c>
      <c r="B71" s="24">
        <f t="shared" si="6"/>
        <v>46088</v>
      </c>
      <c r="C71" s="25">
        <v>3.2</v>
      </c>
      <c r="D71" s="26" t="s">
        <v>26</v>
      </c>
      <c r="E71" s="22"/>
      <c r="F71" s="22"/>
      <c r="G71" s="19"/>
      <c r="I71" s="20"/>
      <c r="K71" s="20"/>
      <c r="M71" s="20"/>
      <c r="O71" s="20"/>
      <c r="Q71" s="27">
        <f t="shared" si="1"/>
        <v>0</v>
      </c>
      <c r="R71" s="26">
        <f t="shared" si="2"/>
        <v>0</v>
      </c>
      <c r="S71" s="26">
        <f t="shared" si="3"/>
        <v>0</v>
      </c>
      <c r="T71" s="26">
        <f t="shared" si="4"/>
        <v>0</v>
      </c>
      <c r="U71" s="28">
        <f t="shared" si="5"/>
        <v>0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29" t="s">
        <v>25</v>
      </c>
      <c r="B72" s="30">
        <f t="shared" si="6"/>
        <v>46089</v>
      </c>
      <c r="C72" s="31">
        <v>3.2</v>
      </c>
      <c r="D72" s="32" t="s">
        <v>26</v>
      </c>
      <c r="E72" s="33"/>
      <c r="F72" s="33"/>
      <c r="G72" s="34"/>
      <c r="H72" s="6"/>
      <c r="I72" s="35"/>
      <c r="J72" s="6"/>
      <c r="K72" s="35"/>
      <c r="L72" s="6"/>
      <c r="M72" s="35"/>
      <c r="N72" s="6"/>
      <c r="O72" s="35"/>
      <c r="P72" s="6"/>
      <c r="Q72" s="36">
        <f t="shared" si="1"/>
        <v>0</v>
      </c>
      <c r="R72" s="32">
        <f t="shared" si="2"/>
        <v>0</v>
      </c>
      <c r="S72" s="32">
        <f t="shared" si="3"/>
        <v>0</v>
      </c>
      <c r="T72" s="32">
        <f t="shared" si="4"/>
        <v>0</v>
      </c>
      <c r="U72" s="37">
        <f t="shared" si="5"/>
        <v>0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14" t="s">
        <v>18</v>
      </c>
      <c r="B73" s="15">
        <f t="shared" si="6"/>
        <v>46090</v>
      </c>
      <c r="C73" s="16">
        <v>3.3</v>
      </c>
      <c r="D73" s="17" t="s">
        <v>27</v>
      </c>
      <c r="E73" s="18"/>
      <c r="F73" s="18"/>
      <c r="G73" s="19"/>
      <c r="I73" s="20"/>
      <c r="K73" s="20"/>
      <c r="M73" s="20"/>
      <c r="O73" s="20"/>
      <c r="Q73" s="21">
        <f t="shared" si="1"/>
        <v>0</v>
      </c>
      <c r="R73" s="17">
        <f t="shared" si="2"/>
        <v>0</v>
      </c>
      <c r="S73" s="17">
        <f t="shared" si="3"/>
        <v>0</v>
      </c>
      <c r="T73" s="17">
        <f t="shared" si="4"/>
        <v>0</v>
      </c>
      <c r="U73" s="38">
        <f t="shared" si="5"/>
        <v>0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23" t="s">
        <v>20</v>
      </c>
      <c r="B74" s="24">
        <f t="shared" si="6"/>
        <v>46091</v>
      </c>
      <c r="C74" s="25">
        <v>3.3</v>
      </c>
      <c r="D74" s="26" t="s">
        <v>27</v>
      </c>
      <c r="E74" s="22"/>
      <c r="F74" s="22"/>
      <c r="G74" s="19"/>
      <c r="I74" s="20"/>
      <c r="K74" s="20"/>
      <c r="M74" s="20"/>
      <c r="O74" s="20"/>
      <c r="Q74" s="27">
        <f t="shared" si="1"/>
        <v>0</v>
      </c>
      <c r="R74" s="26">
        <f t="shared" si="2"/>
        <v>0</v>
      </c>
      <c r="S74" s="26">
        <f t="shared" si="3"/>
        <v>0</v>
      </c>
      <c r="T74" s="26">
        <f t="shared" si="4"/>
        <v>0</v>
      </c>
      <c r="U74" s="28">
        <f t="shared" si="5"/>
        <v>0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23" t="s">
        <v>21</v>
      </c>
      <c r="B75" s="24">
        <f t="shared" si="6"/>
        <v>46092</v>
      </c>
      <c r="C75" s="25">
        <v>3.3</v>
      </c>
      <c r="D75" s="26" t="s">
        <v>27</v>
      </c>
      <c r="E75" s="22"/>
      <c r="F75" s="22"/>
      <c r="G75" s="19"/>
      <c r="I75" s="20"/>
      <c r="K75" s="20"/>
      <c r="M75" s="20"/>
      <c r="O75" s="20"/>
      <c r="Q75" s="27">
        <f t="shared" si="1"/>
        <v>0</v>
      </c>
      <c r="R75" s="26">
        <f t="shared" si="2"/>
        <v>0</v>
      </c>
      <c r="S75" s="26">
        <f t="shared" si="3"/>
        <v>0</v>
      </c>
      <c r="T75" s="26">
        <f t="shared" si="4"/>
        <v>0</v>
      </c>
      <c r="U75" s="28">
        <f t="shared" si="5"/>
        <v>0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23" t="s">
        <v>22</v>
      </c>
      <c r="B76" s="24">
        <f t="shared" si="6"/>
        <v>46093</v>
      </c>
      <c r="C76" s="25">
        <v>3.3</v>
      </c>
      <c r="D76" s="26" t="s">
        <v>27</v>
      </c>
      <c r="E76" s="22"/>
      <c r="F76" s="22"/>
      <c r="G76" s="19"/>
      <c r="I76" s="20"/>
      <c r="K76" s="20"/>
      <c r="M76" s="20"/>
      <c r="O76" s="20"/>
      <c r="Q76" s="27">
        <f t="shared" si="1"/>
        <v>0</v>
      </c>
      <c r="R76" s="26">
        <f t="shared" si="2"/>
        <v>0</v>
      </c>
      <c r="S76" s="26">
        <f t="shared" si="3"/>
        <v>0</v>
      </c>
      <c r="T76" s="26">
        <f t="shared" si="4"/>
        <v>0</v>
      </c>
      <c r="U76" s="28">
        <f t="shared" si="5"/>
        <v>0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23" t="s">
        <v>23</v>
      </c>
      <c r="B77" s="24">
        <f t="shared" si="6"/>
        <v>46094</v>
      </c>
      <c r="C77" s="25">
        <v>3.3</v>
      </c>
      <c r="D77" s="26" t="s">
        <v>27</v>
      </c>
      <c r="E77" s="22"/>
      <c r="F77" s="22"/>
      <c r="G77" s="19"/>
      <c r="I77" s="20"/>
      <c r="K77" s="20"/>
      <c r="M77" s="20"/>
      <c r="O77" s="20"/>
      <c r="Q77" s="27">
        <f t="shared" si="1"/>
        <v>0</v>
      </c>
      <c r="R77" s="26">
        <f t="shared" si="2"/>
        <v>0</v>
      </c>
      <c r="S77" s="26">
        <f t="shared" si="3"/>
        <v>0</v>
      </c>
      <c r="T77" s="26">
        <f t="shared" si="4"/>
        <v>0</v>
      </c>
      <c r="U77" s="28">
        <f t="shared" si="5"/>
        <v>0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23" t="s">
        <v>24</v>
      </c>
      <c r="B78" s="24">
        <f t="shared" si="6"/>
        <v>46095</v>
      </c>
      <c r="C78" s="25">
        <v>3.3</v>
      </c>
      <c r="D78" s="26" t="s">
        <v>27</v>
      </c>
      <c r="E78" s="22"/>
      <c r="F78" s="22"/>
      <c r="G78" s="19"/>
      <c r="I78" s="20"/>
      <c r="K78" s="20"/>
      <c r="M78" s="20"/>
      <c r="O78" s="20"/>
      <c r="Q78" s="27">
        <f t="shared" si="1"/>
        <v>0</v>
      </c>
      <c r="R78" s="26">
        <f t="shared" si="2"/>
        <v>0</v>
      </c>
      <c r="S78" s="26">
        <f t="shared" si="3"/>
        <v>0</v>
      </c>
      <c r="T78" s="26">
        <f t="shared" si="4"/>
        <v>0</v>
      </c>
      <c r="U78" s="28">
        <f t="shared" si="5"/>
        <v>0</v>
      </c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29" t="s">
        <v>25</v>
      </c>
      <c r="B79" s="30">
        <f t="shared" si="6"/>
        <v>46096</v>
      </c>
      <c r="C79" s="31">
        <v>3.3</v>
      </c>
      <c r="D79" s="32" t="s">
        <v>27</v>
      </c>
      <c r="E79" s="33"/>
      <c r="F79" s="33"/>
      <c r="G79" s="34"/>
      <c r="H79" s="6"/>
      <c r="I79" s="35"/>
      <c r="J79" s="6"/>
      <c r="K79" s="35"/>
      <c r="L79" s="6"/>
      <c r="M79" s="35"/>
      <c r="N79" s="6"/>
      <c r="O79" s="35"/>
      <c r="P79" s="6"/>
      <c r="Q79" s="36">
        <f t="shared" si="1"/>
        <v>0</v>
      </c>
      <c r="R79" s="32">
        <f t="shared" si="2"/>
        <v>0</v>
      </c>
      <c r="S79" s="32">
        <f t="shared" si="3"/>
        <v>0</v>
      </c>
      <c r="T79" s="32">
        <f t="shared" si="4"/>
        <v>0</v>
      </c>
      <c r="U79" s="37">
        <f t="shared" si="5"/>
        <v>0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14" t="s">
        <v>18</v>
      </c>
      <c r="B80" s="15">
        <f t="shared" si="6"/>
        <v>46097</v>
      </c>
      <c r="C80" s="16">
        <v>3.4</v>
      </c>
      <c r="D80" s="17" t="s">
        <v>28</v>
      </c>
      <c r="E80" s="18"/>
      <c r="F80" s="18"/>
      <c r="G80" s="19"/>
      <c r="I80" s="20"/>
      <c r="K80" s="20"/>
      <c r="M80" s="20"/>
      <c r="O80" s="20"/>
      <c r="Q80" s="21">
        <f t="shared" si="1"/>
        <v>0</v>
      </c>
      <c r="R80" s="17">
        <f t="shared" si="2"/>
        <v>0</v>
      </c>
      <c r="S80" s="17">
        <f t="shared" si="3"/>
        <v>0</v>
      </c>
      <c r="T80" s="17">
        <f t="shared" si="4"/>
        <v>0</v>
      </c>
      <c r="U80" s="38">
        <f t="shared" si="5"/>
        <v>0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23" t="s">
        <v>20</v>
      </c>
      <c r="B81" s="24">
        <f t="shared" si="6"/>
        <v>46098</v>
      </c>
      <c r="C81" s="25">
        <v>3.4</v>
      </c>
      <c r="D81" s="26" t="s">
        <v>28</v>
      </c>
      <c r="E81" s="22"/>
      <c r="F81" s="22"/>
      <c r="G81" s="19"/>
      <c r="I81" s="20"/>
      <c r="K81" s="20"/>
      <c r="M81" s="20"/>
      <c r="O81" s="20"/>
      <c r="Q81" s="27">
        <f t="shared" si="1"/>
        <v>0</v>
      </c>
      <c r="R81" s="26">
        <f t="shared" si="2"/>
        <v>0</v>
      </c>
      <c r="S81" s="26">
        <f t="shared" si="3"/>
        <v>0</v>
      </c>
      <c r="T81" s="26">
        <f t="shared" si="4"/>
        <v>0</v>
      </c>
      <c r="U81" s="28">
        <f t="shared" si="5"/>
        <v>0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23" t="s">
        <v>21</v>
      </c>
      <c r="B82" s="24">
        <f t="shared" si="6"/>
        <v>46099</v>
      </c>
      <c r="C82" s="25">
        <v>3.4</v>
      </c>
      <c r="D82" s="26" t="s">
        <v>28</v>
      </c>
      <c r="E82" s="22"/>
      <c r="F82" s="22"/>
      <c r="G82" s="19"/>
      <c r="I82" s="20"/>
      <c r="K82" s="20"/>
      <c r="M82" s="20"/>
      <c r="O82" s="20"/>
      <c r="Q82" s="27">
        <f t="shared" si="1"/>
        <v>0</v>
      </c>
      <c r="R82" s="26">
        <f t="shared" si="2"/>
        <v>0</v>
      </c>
      <c r="S82" s="26">
        <f t="shared" si="3"/>
        <v>0</v>
      </c>
      <c r="T82" s="26">
        <f t="shared" si="4"/>
        <v>0</v>
      </c>
      <c r="U82" s="28">
        <f t="shared" si="5"/>
        <v>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23" t="s">
        <v>22</v>
      </c>
      <c r="B83" s="24">
        <f t="shared" si="6"/>
        <v>46100</v>
      </c>
      <c r="C83" s="25">
        <v>3.4</v>
      </c>
      <c r="D83" s="26" t="s">
        <v>28</v>
      </c>
      <c r="E83" s="22"/>
      <c r="F83" s="22"/>
      <c r="G83" s="19"/>
      <c r="I83" s="20"/>
      <c r="K83" s="20"/>
      <c r="M83" s="20"/>
      <c r="O83" s="20"/>
      <c r="Q83" s="27">
        <f t="shared" si="1"/>
        <v>0</v>
      </c>
      <c r="R83" s="26">
        <f t="shared" si="2"/>
        <v>0</v>
      </c>
      <c r="S83" s="26">
        <f t="shared" si="3"/>
        <v>0</v>
      </c>
      <c r="T83" s="26">
        <f t="shared" si="4"/>
        <v>0</v>
      </c>
      <c r="U83" s="28">
        <f t="shared" si="5"/>
        <v>0</v>
      </c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23" t="s">
        <v>23</v>
      </c>
      <c r="B84" s="24">
        <f t="shared" si="6"/>
        <v>46101</v>
      </c>
      <c r="C84" s="25">
        <v>3.4</v>
      </c>
      <c r="D84" s="26" t="s">
        <v>28</v>
      </c>
      <c r="E84" s="22"/>
      <c r="F84" s="22"/>
      <c r="G84" s="19"/>
      <c r="I84" s="20"/>
      <c r="K84" s="20"/>
      <c r="M84" s="20"/>
      <c r="O84" s="20"/>
      <c r="Q84" s="27">
        <f t="shared" si="1"/>
        <v>0</v>
      </c>
      <c r="R84" s="26">
        <f t="shared" si="2"/>
        <v>0</v>
      </c>
      <c r="S84" s="26">
        <f t="shared" si="3"/>
        <v>0</v>
      </c>
      <c r="T84" s="26">
        <f t="shared" si="4"/>
        <v>0</v>
      </c>
      <c r="U84" s="28">
        <f t="shared" si="5"/>
        <v>0</v>
      </c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23" t="s">
        <v>24</v>
      </c>
      <c r="B85" s="24">
        <f t="shared" si="6"/>
        <v>46102</v>
      </c>
      <c r="C85" s="25">
        <v>3.4</v>
      </c>
      <c r="D85" s="26" t="s">
        <v>28</v>
      </c>
      <c r="E85" s="22"/>
      <c r="F85" s="22"/>
      <c r="G85" s="39"/>
      <c r="I85" s="40"/>
      <c r="K85" s="40"/>
      <c r="M85" s="40"/>
      <c r="O85" s="40"/>
      <c r="Q85" s="27">
        <f t="shared" si="1"/>
        <v>0</v>
      </c>
      <c r="R85" s="26">
        <f t="shared" si="2"/>
        <v>0</v>
      </c>
      <c r="S85" s="26">
        <f t="shared" si="3"/>
        <v>0</v>
      </c>
      <c r="T85" s="26">
        <f t="shared" si="4"/>
        <v>0</v>
      </c>
      <c r="U85" s="28">
        <f t="shared" si="5"/>
        <v>0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29" t="s">
        <v>25</v>
      </c>
      <c r="B86" s="30">
        <f t="shared" si="6"/>
        <v>46103</v>
      </c>
      <c r="C86" s="31">
        <v>3.4</v>
      </c>
      <c r="D86" s="32" t="s">
        <v>28</v>
      </c>
      <c r="E86" s="33"/>
      <c r="F86" s="33"/>
      <c r="G86" s="41"/>
      <c r="H86" s="6"/>
      <c r="I86" s="42"/>
      <c r="J86" s="6"/>
      <c r="K86" s="42"/>
      <c r="L86" s="6"/>
      <c r="M86" s="42"/>
      <c r="N86" s="6"/>
      <c r="O86" s="42"/>
      <c r="P86" s="6"/>
      <c r="Q86" s="36">
        <f t="shared" si="1"/>
        <v>0</v>
      </c>
      <c r="R86" s="32">
        <f t="shared" si="2"/>
        <v>0</v>
      </c>
      <c r="S86" s="32">
        <f t="shared" si="3"/>
        <v>0</v>
      </c>
      <c r="T86" s="32">
        <f t="shared" si="4"/>
        <v>0</v>
      </c>
      <c r="U86" s="37">
        <f t="shared" si="5"/>
        <v>0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14" t="s">
        <v>18</v>
      </c>
      <c r="B87" s="15">
        <f t="shared" si="6"/>
        <v>46104</v>
      </c>
      <c r="C87" s="16">
        <v>4.1</v>
      </c>
      <c r="D87" s="17" t="s">
        <v>19</v>
      </c>
      <c r="E87" s="18"/>
      <c r="F87" s="18"/>
      <c r="G87" s="19"/>
      <c r="I87" s="20"/>
      <c r="K87" s="20"/>
      <c r="M87" s="20"/>
      <c r="O87" s="20"/>
      <c r="Q87" s="21">
        <f t="shared" si="1"/>
        <v>0</v>
      </c>
      <c r="R87" s="17">
        <f t="shared" si="2"/>
        <v>0</v>
      </c>
      <c r="S87" s="17">
        <f t="shared" si="3"/>
        <v>0</v>
      </c>
      <c r="T87" s="17">
        <f t="shared" si="4"/>
        <v>0</v>
      </c>
      <c r="U87" s="38">
        <f t="shared" si="5"/>
        <v>0</v>
      </c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23" t="s">
        <v>20</v>
      </c>
      <c r="B88" s="24">
        <f t="shared" si="6"/>
        <v>46105</v>
      </c>
      <c r="C88" s="25">
        <v>4.1</v>
      </c>
      <c r="D88" s="26" t="s">
        <v>19</v>
      </c>
      <c r="E88" s="22"/>
      <c r="F88" s="22"/>
      <c r="G88" s="19"/>
      <c r="I88" s="20"/>
      <c r="K88" s="20"/>
      <c r="M88" s="20"/>
      <c r="O88" s="20"/>
      <c r="Q88" s="27">
        <f t="shared" si="1"/>
        <v>0</v>
      </c>
      <c r="R88" s="26">
        <f t="shared" si="2"/>
        <v>0</v>
      </c>
      <c r="S88" s="26">
        <f t="shared" si="3"/>
        <v>0</v>
      </c>
      <c r="T88" s="26">
        <f t="shared" si="4"/>
        <v>0</v>
      </c>
      <c r="U88" s="28">
        <f t="shared" si="5"/>
        <v>0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23" t="s">
        <v>21</v>
      </c>
      <c r="B89" s="24">
        <f t="shared" si="6"/>
        <v>46106</v>
      </c>
      <c r="C89" s="25">
        <v>4.1</v>
      </c>
      <c r="D89" s="26" t="s">
        <v>19</v>
      </c>
      <c r="E89" s="22"/>
      <c r="F89" s="22"/>
      <c r="G89" s="19"/>
      <c r="I89" s="20"/>
      <c r="K89" s="20"/>
      <c r="M89" s="20"/>
      <c r="O89" s="20"/>
      <c r="Q89" s="27">
        <f t="shared" si="1"/>
        <v>0</v>
      </c>
      <c r="R89" s="26">
        <f t="shared" si="2"/>
        <v>0</v>
      </c>
      <c r="S89" s="26">
        <f t="shared" si="3"/>
        <v>0</v>
      </c>
      <c r="T89" s="26">
        <f t="shared" si="4"/>
        <v>0</v>
      </c>
      <c r="U89" s="28">
        <f t="shared" si="5"/>
        <v>0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23" t="s">
        <v>22</v>
      </c>
      <c r="B90" s="24">
        <f t="shared" si="6"/>
        <v>46107</v>
      </c>
      <c r="C90" s="25">
        <v>4.1</v>
      </c>
      <c r="D90" s="26" t="s">
        <v>19</v>
      </c>
      <c r="E90" s="22"/>
      <c r="F90" s="22"/>
      <c r="G90" s="19"/>
      <c r="I90" s="20"/>
      <c r="K90" s="20"/>
      <c r="M90" s="20"/>
      <c r="O90" s="20"/>
      <c r="Q90" s="27">
        <f t="shared" si="1"/>
        <v>0</v>
      </c>
      <c r="R90" s="26">
        <f t="shared" si="2"/>
        <v>0</v>
      </c>
      <c r="S90" s="26">
        <f t="shared" si="3"/>
        <v>0</v>
      </c>
      <c r="T90" s="26">
        <f t="shared" si="4"/>
        <v>0</v>
      </c>
      <c r="U90" s="28">
        <f t="shared" si="5"/>
        <v>0</v>
      </c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6.5" customHeight="1">
      <c r="A91" s="23" t="s">
        <v>23</v>
      </c>
      <c r="B91" s="24">
        <f t="shared" si="6"/>
        <v>46108</v>
      </c>
      <c r="C91" s="25">
        <v>4.1</v>
      </c>
      <c r="D91" s="26" t="s">
        <v>19</v>
      </c>
      <c r="E91" s="22"/>
      <c r="F91" s="22"/>
      <c r="G91" s="19"/>
      <c r="I91" s="20"/>
      <c r="K91" s="20"/>
      <c r="M91" s="20"/>
      <c r="O91" s="20"/>
      <c r="Q91" s="27">
        <f t="shared" si="1"/>
        <v>0</v>
      </c>
      <c r="R91" s="26">
        <f t="shared" si="2"/>
        <v>0</v>
      </c>
      <c r="S91" s="26">
        <f t="shared" si="3"/>
        <v>0</v>
      </c>
      <c r="T91" s="26">
        <f t="shared" si="4"/>
        <v>0</v>
      </c>
      <c r="U91" s="28">
        <f t="shared" si="5"/>
        <v>0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23" t="s">
        <v>24</v>
      </c>
      <c r="B92" s="24">
        <f t="shared" si="6"/>
        <v>46109</v>
      </c>
      <c r="C92" s="25">
        <v>4.1</v>
      </c>
      <c r="D92" s="26" t="s">
        <v>19</v>
      </c>
      <c r="E92" s="22"/>
      <c r="F92" s="22"/>
      <c r="G92" s="19"/>
      <c r="I92" s="20"/>
      <c r="K92" s="20"/>
      <c r="M92" s="20"/>
      <c r="O92" s="20"/>
      <c r="Q92" s="27">
        <f t="shared" si="1"/>
        <v>0</v>
      </c>
      <c r="R92" s="26">
        <f t="shared" si="2"/>
        <v>0</v>
      </c>
      <c r="S92" s="26">
        <f t="shared" si="3"/>
        <v>0</v>
      </c>
      <c r="T92" s="26">
        <f t="shared" si="4"/>
        <v>0</v>
      </c>
      <c r="U92" s="28">
        <f t="shared" si="5"/>
        <v>0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29" t="s">
        <v>25</v>
      </c>
      <c r="B93" s="30">
        <f t="shared" si="6"/>
        <v>46110</v>
      </c>
      <c r="C93" s="31">
        <v>4.1</v>
      </c>
      <c r="D93" s="32" t="s">
        <v>19</v>
      </c>
      <c r="E93" s="33"/>
      <c r="F93" s="33"/>
      <c r="G93" s="34"/>
      <c r="H93" s="6"/>
      <c r="I93" s="35"/>
      <c r="J93" s="6"/>
      <c r="K93" s="35"/>
      <c r="L93" s="6"/>
      <c r="M93" s="35"/>
      <c r="N93" s="6"/>
      <c r="O93" s="35"/>
      <c r="P93" s="6"/>
      <c r="Q93" s="36">
        <f t="shared" si="1"/>
        <v>0</v>
      </c>
      <c r="R93" s="32">
        <f t="shared" si="2"/>
        <v>0</v>
      </c>
      <c r="S93" s="32">
        <f t="shared" si="3"/>
        <v>0</v>
      </c>
      <c r="T93" s="32">
        <f t="shared" si="4"/>
        <v>0</v>
      </c>
      <c r="U93" s="37">
        <f t="shared" si="5"/>
        <v>0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14" t="s">
        <v>18</v>
      </c>
      <c r="B94" s="15">
        <f t="shared" si="6"/>
        <v>46111</v>
      </c>
      <c r="C94" s="16">
        <v>4.2</v>
      </c>
      <c r="D94" s="17" t="s">
        <v>26</v>
      </c>
      <c r="E94" s="18" t="s">
        <v>29</v>
      </c>
      <c r="F94" s="18" t="s">
        <v>30</v>
      </c>
      <c r="G94" s="19">
        <v>0.0</v>
      </c>
      <c r="I94" s="20">
        <v>0.0</v>
      </c>
      <c r="K94" s="20">
        <v>0.0</v>
      </c>
      <c r="M94" s="20">
        <v>0.0</v>
      </c>
      <c r="O94" s="20">
        <v>0.0</v>
      </c>
      <c r="Q94" s="21">
        <f t="shared" si="1"/>
        <v>0</v>
      </c>
      <c r="R94" s="17">
        <f t="shared" si="2"/>
        <v>0</v>
      </c>
      <c r="S94" s="17">
        <f t="shared" si="3"/>
        <v>0</v>
      </c>
      <c r="T94" s="17">
        <f t="shared" si="4"/>
        <v>0</v>
      </c>
      <c r="U94" s="38">
        <f t="shared" si="5"/>
        <v>0</v>
      </c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23" t="s">
        <v>20</v>
      </c>
      <c r="B95" s="24">
        <f t="shared" si="6"/>
        <v>46112</v>
      </c>
      <c r="C95" s="25">
        <v>4.2</v>
      </c>
      <c r="D95" s="26" t="s">
        <v>26</v>
      </c>
      <c r="E95" s="22" t="s">
        <v>29</v>
      </c>
      <c r="F95" s="22" t="s">
        <v>30</v>
      </c>
      <c r="G95" s="19">
        <v>0.0</v>
      </c>
      <c r="I95" s="20">
        <v>0.0</v>
      </c>
      <c r="K95" s="20">
        <v>0.0</v>
      </c>
      <c r="M95" s="20">
        <v>0.0</v>
      </c>
      <c r="O95" s="20">
        <v>0.0</v>
      </c>
      <c r="Q95" s="27">
        <f t="shared" si="1"/>
        <v>0</v>
      </c>
      <c r="R95" s="26">
        <f t="shared" si="2"/>
        <v>0</v>
      </c>
      <c r="S95" s="26">
        <f t="shared" si="3"/>
        <v>0</v>
      </c>
      <c r="T95" s="26">
        <f t="shared" si="4"/>
        <v>0</v>
      </c>
      <c r="U95" s="28">
        <f t="shared" si="5"/>
        <v>0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23" t="s">
        <v>21</v>
      </c>
      <c r="B96" s="24">
        <f t="shared" si="6"/>
        <v>46113</v>
      </c>
      <c r="C96" s="25">
        <v>4.2</v>
      </c>
      <c r="D96" s="26" t="s">
        <v>26</v>
      </c>
      <c r="E96" s="22" t="s">
        <v>29</v>
      </c>
      <c r="F96" s="22" t="s">
        <v>30</v>
      </c>
      <c r="G96" s="19">
        <v>0.0</v>
      </c>
      <c r="I96" s="20">
        <v>0.0</v>
      </c>
      <c r="K96" s="20">
        <v>0.0</v>
      </c>
      <c r="M96" s="20">
        <v>0.0</v>
      </c>
      <c r="O96" s="20">
        <v>0.0</v>
      </c>
      <c r="Q96" s="27">
        <f t="shared" si="1"/>
        <v>0</v>
      </c>
      <c r="R96" s="26">
        <f t="shared" si="2"/>
        <v>0</v>
      </c>
      <c r="S96" s="26">
        <f t="shared" si="3"/>
        <v>0</v>
      </c>
      <c r="T96" s="26">
        <f t="shared" si="4"/>
        <v>0</v>
      </c>
      <c r="U96" s="28">
        <f t="shared" si="5"/>
        <v>0</v>
      </c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23" t="s">
        <v>22</v>
      </c>
      <c r="B97" s="24">
        <f t="shared" si="6"/>
        <v>46114</v>
      </c>
      <c r="C97" s="25">
        <v>4.2</v>
      </c>
      <c r="D97" s="26" t="s">
        <v>26</v>
      </c>
      <c r="E97" s="22" t="s">
        <v>29</v>
      </c>
      <c r="F97" s="22" t="s">
        <v>30</v>
      </c>
      <c r="G97" s="19">
        <v>0.0</v>
      </c>
      <c r="I97" s="20">
        <v>0.0</v>
      </c>
      <c r="K97" s="20">
        <v>0.0</v>
      </c>
      <c r="M97" s="20">
        <v>0.0</v>
      </c>
      <c r="O97" s="20">
        <v>0.0</v>
      </c>
      <c r="Q97" s="27">
        <f t="shared" si="1"/>
        <v>0</v>
      </c>
      <c r="R97" s="26">
        <f t="shared" si="2"/>
        <v>0</v>
      </c>
      <c r="S97" s="26">
        <f t="shared" si="3"/>
        <v>0</v>
      </c>
      <c r="T97" s="26">
        <f t="shared" si="4"/>
        <v>0</v>
      </c>
      <c r="U97" s="28">
        <f t="shared" si="5"/>
        <v>0</v>
      </c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23" t="s">
        <v>23</v>
      </c>
      <c r="B98" s="24">
        <f t="shared" si="6"/>
        <v>46115</v>
      </c>
      <c r="C98" s="25">
        <v>4.2</v>
      </c>
      <c r="D98" s="26" t="s">
        <v>26</v>
      </c>
      <c r="E98" s="22" t="s">
        <v>31</v>
      </c>
      <c r="F98" s="22" t="s">
        <v>32</v>
      </c>
      <c r="G98" s="19">
        <v>60.0</v>
      </c>
      <c r="I98" s="20">
        <v>60.0</v>
      </c>
      <c r="K98" s="20">
        <v>60.0</v>
      </c>
      <c r="M98" s="20">
        <v>0.0</v>
      </c>
      <c r="O98" s="20">
        <v>0.0</v>
      </c>
      <c r="Q98" s="27">
        <f t="shared" si="1"/>
        <v>4671.7596</v>
      </c>
      <c r="R98" s="26">
        <f t="shared" si="2"/>
        <v>180</v>
      </c>
      <c r="S98" s="26">
        <f t="shared" si="3"/>
        <v>0</v>
      </c>
      <c r="T98" s="26">
        <f t="shared" si="4"/>
        <v>180</v>
      </c>
      <c r="U98" s="28">
        <f t="shared" si="5"/>
        <v>25.95422</v>
      </c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23" t="s">
        <v>24</v>
      </c>
      <c r="B99" s="24">
        <f t="shared" si="6"/>
        <v>46116</v>
      </c>
      <c r="C99" s="25">
        <v>4.2</v>
      </c>
      <c r="D99" s="26" t="s">
        <v>26</v>
      </c>
      <c r="E99" s="22" t="s">
        <v>31</v>
      </c>
      <c r="F99" s="22" t="s">
        <v>32</v>
      </c>
      <c r="G99" s="19">
        <v>60.0</v>
      </c>
      <c r="I99" s="20">
        <v>60.0</v>
      </c>
      <c r="K99" s="20">
        <v>60.0</v>
      </c>
      <c r="M99" s="20">
        <v>0.0</v>
      </c>
      <c r="O99" s="20">
        <v>0.0</v>
      </c>
      <c r="Q99" s="27">
        <f t="shared" si="1"/>
        <v>4671.7596</v>
      </c>
      <c r="R99" s="26">
        <f t="shared" si="2"/>
        <v>180</v>
      </c>
      <c r="S99" s="26">
        <f t="shared" si="3"/>
        <v>0</v>
      </c>
      <c r="T99" s="26">
        <f t="shared" si="4"/>
        <v>180</v>
      </c>
      <c r="U99" s="28">
        <f t="shared" si="5"/>
        <v>25.95422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29" t="s">
        <v>25</v>
      </c>
      <c r="B100" s="30">
        <f t="shared" si="6"/>
        <v>46117</v>
      </c>
      <c r="C100" s="31">
        <v>4.2</v>
      </c>
      <c r="D100" s="32" t="s">
        <v>26</v>
      </c>
      <c r="E100" s="33" t="s">
        <v>31</v>
      </c>
      <c r="F100" s="33" t="s">
        <v>32</v>
      </c>
      <c r="G100" s="34">
        <v>60.0</v>
      </c>
      <c r="H100" s="6"/>
      <c r="I100" s="35">
        <v>60.0</v>
      </c>
      <c r="J100" s="6"/>
      <c r="K100" s="35">
        <v>60.0</v>
      </c>
      <c r="L100" s="6"/>
      <c r="M100" s="35">
        <v>0.0</v>
      </c>
      <c r="N100" s="6"/>
      <c r="O100" s="35">
        <v>0.0</v>
      </c>
      <c r="P100" s="6"/>
      <c r="Q100" s="36">
        <f t="shared" si="1"/>
        <v>4671.7596</v>
      </c>
      <c r="R100" s="32">
        <f t="shared" si="2"/>
        <v>180</v>
      </c>
      <c r="S100" s="32">
        <f t="shared" si="3"/>
        <v>0</v>
      </c>
      <c r="T100" s="32">
        <f t="shared" si="4"/>
        <v>180</v>
      </c>
      <c r="U100" s="37">
        <f t="shared" si="5"/>
        <v>25.95422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14" t="s">
        <v>18</v>
      </c>
      <c r="B101" s="15">
        <f t="shared" si="6"/>
        <v>46118</v>
      </c>
      <c r="C101" s="16">
        <v>4.3</v>
      </c>
      <c r="D101" s="17" t="s">
        <v>27</v>
      </c>
      <c r="E101" s="18" t="s">
        <v>31</v>
      </c>
      <c r="F101" s="18" t="s">
        <v>32</v>
      </c>
      <c r="G101" s="19">
        <v>60.0</v>
      </c>
      <c r="I101" s="20">
        <v>60.0</v>
      </c>
      <c r="K101" s="20">
        <v>60.0</v>
      </c>
      <c r="M101" s="20">
        <v>0.0</v>
      </c>
      <c r="O101" s="20">
        <v>0.0</v>
      </c>
      <c r="Q101" s="21">
        <f t="shared" si="1"/>
        <v>4671.7596</v>
      </c>
      <c r="R101" s="17">
        <f t="shared" si="2"/>
        <v>180</v>
      </c>
      <c r="S101" s="17">
        <f t="shared" si="3"/>
        <v>0</v>
      </c>
      <c r="T101" s="17">
        <f t="shared" si="4"/>
        <v>180</v>
      </c>
      <c r="U101" s="38">
        <f t="shared" si="5"/>
        <v>25.95422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23" t="s">
        <v>20</v>
      </c>
      <c r="B102" s="24">
        <f t="shared" si="6"/>
        <v>46119</v>
      </c>
      <c r="C102" s="25">
        <v>4.3</v>
      </c>
      <c r="D102" s="26" t="s">
        <v>27</v>
      </c>
      <c r="E102" s="22" t="s">
        <v>31</v>
      </c>
      <c r="F102" s="22" t="s">
        <v>32</v>
      </c>
      <c r="G102" s="19">
        <v>60.0</v>
      </c>
      <c r="I102" s="20">
        <v>60.0</v>
      </c>
      <c r="K102" s="20">
        <v>60.0</v>
      </c>
      <c r="M102" s="20">
        <v>0.0</v>
      </c>
      <c r="O102" s="20">
        <v>0.0</v>
      </c>
      <c r="Q102" s="27">
        <f t="shared" si="1"/>
        <v>4671.7596</v>
      </c>
      <c r="R102" s="26">
        <f t="shared" si="2"/>
        <v>180</v>
      </c>
      <c r="S102" s="26">
        <f t="shared" si="3"/>
        <v>0</v>
      </c>
      <c r="T102" s="26">
        <f t="shared" si="4"/>
        <v>180</v>
      </c>
      <c r="U102" s="28">
        <f t="shared" si="5"/>
        <v>25.95422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23" t="s">
        <v>21</v>
      </c>
      <c r="B103" s="24">
        <f t="shared" si="6"/>
        <v>46120</v>
      </c>
      <c r="C103" s="25">
        <v>4.3</v>
      </c>
      <c r="D103" s="26" t="s">
        <v>27</v>
      </c>
      <c r="E103" s="22" t="s">
        <v>31</v>
      </c>
      <c r="F103" s="22" t="s">
        <v>32</v>
      </c>
      <c r="G103" s="19">
        <v>60.0</v>
      </c>
      <c r="I103" s="20">
        <v>60.0</v>
      </c>
      <c r="K103" s="20">
        <v>60.0</v>
      </c>
      <c r="M103" s="20">
        <v>0.0</v>
      </c>
      <c r="O103" s="20">
        <v>0.0</v>
      </c>
      <c r="Q103" s="27">
        <f t="shared" si="1"/>
        <v>4671.7596</v>
      </c>
      <c r="R103" s="26">
        <f t="shared" si="2"/>
        <v>180</v>
      </c>
      <c r="S103" s="26">
        <f t="shared" si="3"/>
        <v>0</v>
      </c>
      <c r="T103" s="26">
        <f t="shared" si="4"/>
        <v>180</v>
      </c>
      <c r="U103" s="28">
        <f t="shared" si="5"/>
        <v>25.95422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23" t="s">
        <v>22</v>
      </c>
      <c r="B104" s="24">
        <f t="shared" si="6"/>
        <v>46121</v>
      </c>
      <c r="C104" s="25">
        <v>4.3</v>
      </c>
      <c r="D104" s="26" t="s">
        <v>27</v>
      </c>
      <c r="E104" s="22" t="s">
        <v>29</v>
      </c>
      <c r="F104" s="22" t="s">
        <v>30</v>
      </c>
      <c r="G104" s="19">
        <v>0.0</v>
      </c>
      <c r="I104" s="20">
        <v>0.0</v>
      </c>
      <c r="K104" s="20">
        <v>0.0</v>
      </c>
      <c r="M104" s="20">
        <v>0.0</v>
      </c>
      <c r="O104" s="20">
        <v>0.0</v>
      </c>
      <c r="Q104" s="27">
        <f t="shared" si="1"/>
        <v>0</v>
      </c>
      <c r="R104" s="26">
        <f t="shared" si="2"/>
        <v>0</v>
      </c>
      <c r="S104" s="26">
        <f t="shared" si="3"/>
        <v>0</v>
      </c>
      <c r="T104" s="26">
        <f t="shared" si="4"/>
        <v>0</v>
      </c>
      <c r="U104" s="28">
        <f t="shared" si="5"/>
        <v>0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23" t="s">
        <v>23</v>
      </c>
      <c r="B105" s="24">
        <f t="shared" si="6"/>
        <v>46122</v>
      </c>
      <c r="C105" s="25">
        <v>4.3</v>
      </c>
      <c r="D105" s="26" t="s">
        <v>27</v>
      </c>
      <c r="E105" s="22" t="s">
        <v>29</v>
      </c>
      <c r="F105" s="22" t="s">
        <v>30</v>
      </c>
      <c r="G105" s="19">
        <v>0.0</v>
      </c>
      <c r="I105" s="20">
        <v>0.0</v>
      </c>
      <c r="K105" s="20">
        <v>0.0</v>
      </c>
      <c r="M105" s="20">
        <v>0.0</v>
      </c>
      <c r="O105" s="20">
        <v>0.0</v>
      </c>
      <c r="Q105" s="27">
        <f t="shared" si="1"/>
        <v>0</v>
      </c>
      <c r="R105" s="26">
        <f t="shared" si="2"/>
        <v>0</v>
      </c>
      <c r="S105" s="26">
        <f t="shared" si="3"/>
        <v>0</v>
      </c>
      <c r="T105" s="26">
        <f t="shared" si="4"/>
        <v>0</v>
      </c>
      <c r="U105" s="28">
        <f t="shared" si="5"/>
        <v>0</v>
      </c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23" t="s">
        <v>24</v>
      </c>
      <c r="B106" s="24">
        <f t="shared" si="6"/>
        <v>46123</v>
      </c>
      <c r="C106" s="25">
        <v>4.3</v>
      </c>
      <c r="D106" s="26" t="s">
        <v>27</v>
      </c>
      <c r="E106" s="22" t="s">
        <v>29</v>
      </c>
      <c r="F106" s="22" t="s">
        <v>30</v>
      </c>
      <c r="G106" s="19">
        <v>0.0</v>
      </c>
      <c r="I106" s="20">
        <v>0.0</v>
      </c>
      <c r="K106" s="20">
        <v>0.0</v>
      </c>
      <c r="M106" s="20">
        <v>0.0</v>
      </c>
      <c r="O106" s="20">
        <v>0.0</v>
      </c>
      <c r="Q106" s="27">
        <f t="shared" si="1"/>
        <v>0</v>
      </c>
      <c r="R106" s="26">
        <f t="shared" si="2"/>
        <v>0</v>
      </c>
      <c r="S106" s="26">
        <f t="shared" si="3"/>
        <v>0</v>
      </c>
      <c r="T106" s="26">
        <f t="shared" si="4"/>
        <v>0</v>
      </c>
      <c r="U106" s="28">
        <f t="shared" si="5"/>
        <v>0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29" t="s">
        <v>25</v>
      </c>
      <c r="B107" s="30">
        <f t="shared" si="6"/>
        <v>46124</v>
      </c>
      <c r="C107" s="31">
        <v>4.3</v>
      </c>
      <c r="D107" s="32" t="s">
        <v>27</v>
      </c>
      <c r="E107" s="33" t="s">
        <v>29</v>
      </c>
      <c r="F107" s="33" t="s">
        <v>30</v>
      </c>
      <c r="G107" s="34">
        <v>0.0</v>
      </c>
      <c r="H107" s="6"/>
      <c r="I107" s="35">
        <v>0.0</v>
      </c>
      <c r="J107" s="6"/>
      <c r="K107" s="35">
        <v>0.0</v>
      </c>
      <c r="L107" s="6"/>
      <c r="M107" s="35">
        <v>0.0</v>
      </c>
      <c r="N107" s="6"/>
      <c r="O107" s="35">
        <v>0.0</v>
      </c>
      <c r="P107" s="6"/>
      <c r="Q107" s="36">
        <f t="shared" si="1"/>
        <v>0</v>
      </c>
      <c r="R107" s="32">
        <f t="shared" si="2"/>
        <v>0</v>
      </c>
      <c r="S107" s="32">
        <f t="shared" si="3"/>
        <v>0</v>
      </c>
      <c r="T107" s="32">
        <f t="shared" si="4"/>
        <v>0</v>
      </c>
      <c r="U107" s="37">
        <f t="shared" si="5"/>
        <v>0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14" t="s">
        <v>18</v>
      </c>
      <c r="B108" s="15">
        <f t="shared" si="6"/>
        <v>46125</v>
      </c>
      <c r="C108" s="16">
        <v>4.4</v>
      </c>
      <c r="D108" s="17" t="s">
        <v>28</v>
      </c>
      <c r="E108" s="18" t="s">
        <v>29</v>
      </c>
      <c r="F108" s="18" t="s">
        <v>30</v>
      </c>
      <c r="G108" s="19">
        <v>0.0</v>
      </c>
      <c r="I108" s="20">
        <v>0.0</v>
      </c>
      <c r="K108" s="20">
        <v>0.0</v>
      </c>
      <c r="M108" s="20">
        <v>0.0</v>
      </c>
      <c r="O108" s="20">
        <v>0.0</v>
      </c>
      <c r="Q108" s="21">
        <f t="shared" si="1"/>
        <v>0</v>
      </c>
      <c r="R108" s="17">
        <f t="shared" si="2"/>
        <v>0</v>
      </c>
      <c r="S108" s="17">
        <f t="shared" si="3"/>
        <v>0</v>
      </c>
      <c r="T108" s="17">
        <f t="shared" si="4"/>
        <v>0</v>
      </c>
      <c r="U108" s="38">
        <f t="shared" si="5"/>
        <v>0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23" t="s">
        <v>20</v>
      </c>
      <c r="B109" s="24">
        <f t="shared" si="6"/>
        <v>46126</v>
      </c>
      <c r="C109" s="25">
        <v>4.4</v>
      </c>
      <c r="D109" s="26" t="s">
        <v>28</v>
      </c>
      <c r="E109" s="22" t="s">
        <v>29</v>
      </c>
      <c r="F109" s="22" t="s">
        <v>30</v>
      </c>
      <c r="G109" s="19">
        <v>0.0</v>
      </c>
      <c r="I109" s="20">
        <v>0.0</v>
      </c>
      <c r="K109" s="20">
        <v>0.0</v>
      </c>
      <c r="M109" s="20">
        <v>0.0</v>
      </c>
      <c r="O109" s="20">
        <v>0.0</v>
      </c>
      <c r="Q109" s="27">
        <f t="shared" si="1"/>
        <v>0</v>
      </c>
      <c r="R109" s="26">
        <f t="shared" si="2"/>
        <v>0</v>
      </c>
      <c r="S109" s="26">
        <f t="shared" si="3"/>
        <v>0</v>
      </c>
      <c r="T109" s="26">
        <f t="shared" si="4"/>
        <v>0</v>
      </c>
      <c r="U109" s="28">
        <f t="shared" si="5"/>
        <v>0</v>
      </c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23" t="s">
        <v>21</v>
      </c>
      <c r="B110" s="24">
        <f t="shared" si="6"/>
        <v>46127</v>
      </c>
      <c r="C110" s="25">
        <v>4.4</v>
      </c>
      <c r="D110" s="26" t="s">
        <v>28</v>
      </c>
      <c r="E110" s="22" t="s">
        <v>29</v>
      </c>
      <c r="F110" s="22" t="s">
        <v>30</v>
      </c>
      <c r="G110" s="19">
        <v>0.0</v>
      </c>
      <c r="I110" s="20">
        <v>0.0</v>
      </c>
      <c r="K110" s="20">
        <v>0.0</v>
      </c>
      <c r="M110" s="20">
        <v>0.0</v>
      </c>
      <c r="O110" s="20">
        <v>0.0</v>
      </c>
      <c r="Q110" s="27">
        <f t="shared" si="1"/>
        <v>0</v>
      </c>
      <c r="R110" s="26">
        <f t="shared" si="2"/>
        <v>0</v>
      </c>
      <c r="S110" s="26">
        <f t="shared" si="3"/>
        <v>0</v>
      </c>
      <c r="T110" s="26">
        <f t="shared" si="4"/>
        <v>0</v>
      </c>
      <c r="U110" s="28">
        <f t="shared" si="5"/>
        <v>0</v>
      </c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23" t="s">
        <v>22</v>
      </c>
      <c r="B111" s="24">
        <f t="shared" si="6"/>
        <v>46128</v>
      </c>
      <c r="C111" s="25">
        <v>4.4</v>
      </c>
      <c r="D111" s="26" t="s">
        <v>28</v>
      </c>
      <c r="E111" s="22" t="s">
        <v>29</v>
      </c>
      <c r="F111" s="22" t="s">
        <v>30</v>
      </c>
      <c r="G111" s="19">
        <v>0.0</v>
      </c>
      <c r="I111" s="20">
        <v>0.0</v>
      </c>
      <c r="K111" s="20">
        <v>0.0</v>
      </c>
      <c r="M111" s="20">
        <v>0.0</v>
      </c>
      <c r="O111" s="20">
        <v>0.0</v>
      </c>
      <c r="Q111" s="27">
        <f t="shared" si="1"/>
        <v>0</v>
      </c>
      <c r="R111" s="26">
        <f t="shared" si="2"/>
        <v>0</v>
      </c>
      <c r="S111" s="26">
        <f t="shared" si="3"/>
        <v>0</v>
      </c>
      <c r="T111" s="26">
        <f t="shared" si="4"/>
        <v>0</v>
      </c>
      <c r="U111" s="28">
        <f t="shared" si="5"/>
        <v>0</v>
      </c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23" t="s">
        <v>23</v>
      </c>
      <c r="B112" s="24">
        <f t="shared" si="6"/>
        <v>46129</v>
      </c>
      <c r="C112" s="25">
        <v>4.4</v>
      </c>
      <c r="D112" s="26" t="s">
        <v>28</v>
      </c>
      <c r="E112" s="22" t="s">
        <v>29</v>
      </c>
      <c r="F112" s="22" t="s">
        <v>30</v>
      </c>
      <c r="G112" s="19">
        <v>0.0</v>
      </c>
      <c r="I112" s="20">
        <v>0.0</v>
      </c>
      <c r="K112" s="20">
        <v>0.0</v>
      </c>
      <c r="M112" s="20">
        <v>0.0</v>
      </c>
      <c r="O112" s="20">
        <v>0.0</v>
      </c>
      <c r="Q112" s="27">
        <f t="shared" si="1"/>
        <v>0</v>
      </c>
      <c r="R112" s="26">
        <f t="shared" si="2"/>
        <v>0</v>
      </c>
      <c r="S112" s="26">
        <f t="shared" si="3"/>
        <v>0</v>
      </c>
      <c r="T112" s="26">
        <f t="shared" si="4"/>
        <v>0</v>
      </c>
      <c r="U112" s="28">
        <f t="shared" si="5"/>
        <v>0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23" t="s">
        <v>24</v>
      </c>
      <c r="B113" s="24">
        <f t="shared" si="6"/>
        <v>46130</v>
      </c>
      <c r="C113" s="25">
        <v>4.4</v>
      </c>
      <c r="D113" s="26" t="s">
        <v>28</v>
      </c>
      <c r="E113" s="22" t="s">
        <v>29</v>
      </c>
      <c r="F113" s="22" t="s">
        <v>30</v>
      </c>
      <c r="G113" s="19">
        <v>0.0</v>
      </c>
      <c r="I113" s="20">
        <v>0.0</v>
      </c>
      <c r="K113" s="20">
        <v>0.0</v>
      </c>
      <c r="M113" s="20">
        <v>0.0</v>
      </c>
      <c r="O113" s="20">
        <v>0.0</v>
      </c>
      <c r="Q113" s="27">
        <f t="shared" si="1"/>
        <v>0</v>
      </c>
      <c r="R113" s="26">
        <f t="shared" si="2"/>
        <v>0</v>
      </c>
      <c r="S113" s="26">
        <f t="shared" si="3"/>
        <v>0</v>
      </c>
      <c r="T113" s="26">
        <f t="shared" si="4"/>
        <v>0</v>
      </c>
      <c r="U113" s="28">
        <f t="shared" si="5"/>
        <v>0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29" t="s">
        <v>25</v>
      </c>
      <c r="B114" s="30">
        <f t="shared" si="6"/>
        <v>46131</v>
      </c>
      <c r="C114" s="31">
        <v>4.4</v>
      </c>
      <c r="D114" s="32" t="s">
        <v>28</v>
      </c>
      <c r="E114" s="33" t="s">
        <v>29</v>
      </c>
      <c r="F114" s="33" t="s">
        <v>30</v>
      </c>
      <c r="G114" s="34">
        <v>0.0</v>
      </c>
      <c r="H114" s="6"/>
      <c r="I114" s="35">
        <v>0.0</v>
      </c>
      <c r="J114" s="6"/>
      <c r="K114" s="35">
        <v>0.0</v>
      </c>
      <c r="L114" s="6"/>
      <c r="M114" s="35">
        <v>0.0</v>
      </c>
      <c r="N114" s="6"/>
      <c r="O114" s="35">
        <v>0.0</v>
      </c>
      <c r="P114" s="6"/>
      <c r="Q114" s="36">
        <f t="shared" si="1"/>
        <v>0</v>
      </c>
      <c r="R114" s="32">
        <f t="shared" si="2"/>
        <v>0</v>
      </c>
      <c r="S114" s="32">
        <f t="shared" si="3"/>
        <v>0</v>
      </c>
      <c r="T114" s="32">
        <f t="shared" si="4"/>
        <v>0</v>
      </c>
      <c r="U114" s="37">
        <f t="shared" si="5"/>
        <v>0</v>
      </c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14" t="s">
        <v>18</v>
      </c>
      <c r="B115" s="15">
        <f t="shared" si="6"/>
        <v>46132</v>
      </c>
      <c r="C115" s="16">
        <v>5.1</v>
      </c>
      <c r="D115" s="17" t="s">
        <v>19</v>
      </c>
      <c r="E115" s="18" t="s">
        <v>29</v>
      </c>
      <c r="F115" s="18" t="s">
        <v>30</v>
      </c>
      <c r="G115" s="19">
        <v>0.0</v>
      </c>
      <c r="I115" s="20">
        <v>0.0</v>
      </c>
      <c r="K115" s="20">
        <v>0.0</v>
      </c>
      <c r="M115" s="20">
        <v>0.0</v>
      </c>
      <c r="O115" s="20">
        <v>0.0</v>
      </c>
      <c r="Q115" s="21">
        <f t="shared" si="1"/>
        <v>0</v>
      </c>
      <c r="R115" s="17">
        <f t="shared" si="2"/>
        <v>0</v>
      </c>
      <c r="S115" s="17">
        <f t="shared" si="3"/>
        <v>0</v>
      </c>
      <c r="T115" s="17">
        <f t="shared" si="4"/>
        <v>0</v>
      </c>
      <c r="U115" s="38">
        <f t="shared" si="5"/>
        <v>0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23" t="s">
        <v>20</v>
      </c>
      <c r="B116" s="24">
        <f t="shared" si="6"/>
        <v>46133</v>
      </c>
      <c r="C116" s="25">
        <v>5.1</v>
      </c>
      <c r="D116" s="26" t="s">
        <v>19</v>
      </c>
      <c r="E116" s="22" t="s">
        <v>31</v>
      </c>
      <c r="F116" s="22" t="s">
        <v>32</v>
      </c>
      <c r="G116" s="19">
        <v>60.0</v>
      </c>
      <c r="I116" s="20">
        <v>60.0</v>
      </c>
      <c r="K116" s="20">
        <v>60.0</v>
      </c>
      <c r="M116" s="20">
        <v>0.0</v>
      </c>
      <c r="O116" s="20">
        <v>0.0</v>
      </c>
      <c r="Q116" s="27">
        <f t="shared" si="1"/>
        <v>4671.7596</v>
      </c>
      <c r="R116" s="26">
        <f t="shared" si="2"/>
        <v>180</v>
      </c>
      <c r="S116" s="26">
        <f t="shared" si="3"/>
        <v>0</v>
      </c>
      <c r="T116" s="26">
        <f t="shared" si="4"/>
        <v>180</v>
      </c>
      <c r="U116" s="28">
        <f t="shared" si="5"/>
        <v>25.95422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23" t="s">
        <v>21</v>
      </c>
      <c r="B117" s="24">
        <f t="shared" si="6"/>
        <v>46134</v>
      </c>
      <c r="C117" s="25">
        <v>5.1</v>
      </c>
      <c r="D117" s="26" t="s">
        <v>19</v>
      </c>
      <c r="E117" s="22" t="s">
        <v>31</v>
      </c>
      <c r="F117" s="22" t="s">
        <v>32</v>
      </c>
      <c r="G117" s="19">
        <v>60.0</v>
      </c>
      <c r="I117" s="20">
        <v>60.0</v>
      </c>
      <c r="K117" s="20">
        <v>60.0</v>
      </c>
      <c r="M117" s="20">
        <v>0.0</v>
      </c>
      <c r="O117" s="20">
        <v>0.0</v>
      </c>
      <c r="Q117" s="27">
        <f t="shared" si="1"/>
        <v>4671.7596</v>
      </c>
      <c r="R117" s="26">
        <f t="shared" si="2"/>
        <v>180</v>
      </c>
      <c r="S117" s="26">
        <f t="shared" si="3"/>
        <v>0</v>
      </c>
      <c r="T117" s="26">
        <f t="shared" si="4"/>
        <v>180</v>
      </c>
      <c r="U117" s="28">
        <f t="shared" si="5"/>
        <v>25.95422</v>
      </c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23" t="s">
        <v>22</v>
      </c>
      <c r="B118" s="24">
        <f t="shared" si="6"/>
        <v>46135</v>
      </c>
      <c r="C118" s="25">
        <v>5.1</v>
      </c>
      <c r="D118" s="26" t="s">
        <v>19</v>
      </c>
      <c r="E118" s="22" t="s">
        <v>31</v>
      </c>
      <c r="F118" s="22" t="s">
        <v>32</v>
      </c>
      <c r="G118" s="19">
        <v>60.0</v>
      </c>
      <c r="I118" s="20">
        <v>60.0</v>
      </c>
      <c r="K118" s="20">
        <v>60.0</v>
      </c>
      <c r="M118" s="20">
        <v>0.0</v>
      </c>
      <c r="O118" s="20">
        <v>0.0</v>
      </c>
      <c r="Q118" s="27">
        <f t="shared" si="1"/>
        <v>4671.7596</v>
      </c>
      <c r="R118" s="26">
        <f t="shared" si="2"/>
        <v>180</v>
      </c>
      <c r="S118" s="26">
        <f t="shared" si="3"/>
        <v>0</v>
      </c>
      <c r="T118" s="26">
        <f t="shared" si="4"/>
        <v>180</v>
      </c>
      <c r="U118" s="28">
        <f t="shared" si="5"/>
        <v>25.95422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23" t="s">
        <v>23</v>
      </c>
      <c r="B119" s="24">
        <f t="shared" si="6"/>
        <v>46136</v>
      </c>
      <c r="C119" s="25">
        <v>5.1</v>
      </c>
      <c r="D119" s="26" t="s">
        <v>19</v>
      </c>
      <c r="E119" s="22" t="s">
        <v>31</v>
      </c>
      <c r="F119" s="22" t="s">
        <v>32</v>
      </c>
      <c r="G119" s="19">
        <v>60.0</v>
      </c>
      <c r="I119" s="20">
        <v>60.0</v>
      </c>
      <c r="K119" s="20">
        <v>60.0</v>
      </c>
      <c r="M119" s="20">
        <v>0.0</v>
      </c>
      <c r="O119" s="20">
        <v>0.0</v>
      </c>
      <c r="Q119" s="27">
        <f t="shared" si="1"/>
        <v>4671.7596</v>
      </c>
      <c r="R119" s="26">
        <f t="shared" si="2"/>
        <v>180</v>
      </c>
      <c r="S119" s="26">
        <f t="shared" si="3"/>
        <v>0</v>
      </c>
      <c r="T119" s="26">
        <f t="shared" si="4"/>
        <v>180</v>
      </c>
      <c r="U119" s="28">
        <f t="shared" si="5"/>
        <v>25.95422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23" t="s">
        <v>24</v>
      </c>
      <c r="B120" s="24">
        <f t="shared" si="6"/>
        <v>46137</v>
      </c>
      <c r="C120" s="25">
        <v>5.1</v>
      </c>
      <c r="D120" s="26" t="s">
        <v>19</v>
      </c>
      <c r="E120" s="22" t="s">
        <v>31</v>
      </c>
      <c r="F120" s="22" t="s">
        <v>32</v>
      </c>
      <c r="G120" s="19">
        <v>60.0</v>
      </c>
      <c r="I120" s="20">
        <v>60.0</v>
      </c>
      <c r="K120" s="20">
        <v>60.0</v>
      </c>
      <c r="M120" s="20">
        <v>0.0</v>
      </c>
      <c r="O120" s="20">
        <v>0.0</v>
      </c>
      <c r="Q120" s="27">
        <f t="shared" si="1"/>
        <v>4671.7596</v>
      </c>
      <c r="R120" s="26">
        <f t="shared" si="2"/>
        <v>180</v>
      </c>
      <c r="S120" s="26">
        <f t="shared" si="3"/>
        <v>0</v>
      </c>
      <c r="T120" s="26">
        <f t="shared" si="4"/>
        <v>180</v>
      </c>
      <c r="U120" s="28">
        <f t="shared" si="5"/>
        <v>25.95422</v>
      </c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29" t="s">
        <v>25</v>
      </c>
      <c r="B121" s="30">
        <f t="shared" si="6"/>
        <v>46138</v>
      </c>
      <c r="C121" s="31">
        <v>5.1</v>
      </c>
      <c r="D121" s="32" t="s">
        <v>19</v>
      </c>
      <c r="E121" s="33" t="s">
        <v>31</v>
      </c>
      <c r="F121" s="33" t="s">
        <v>32</v>
      </c>
      <c r="G121" s="34">
        <v>60.0</v>
      </c>
      <c r="H121" s="6"/>
      <c r="I121" s="35">
        <v>60.0</v>
      </c>
      <c r="J121" s="6"/>
      <c r="K121" s="35">
        <v>60.0</v>
      </c>
      <c r="L121" s="6"/>
      <c r="M121" s="35">
        <v>0.0</v>
      </c>
      <c r="N121" s="6"/>
      <c r="O121" s="35">
        <v>0.0</v>
      </c>
      <c r="P121" s="6"/>
      <c r="Q121" s="36">
        <f t="shared" si="1"/>
        <v>4671.7596</v>
      </c>
      <c r="R121" s="32">
        <f t="shared" si="2"/>
        <v>180</v>
      </c>
      <c r="S121" s="32">
        <f t="shared" si="3"/>
        <v>0</v>
      </c>
      <c r="T121" s="32">
        <f t="shared" si="4"/>
        <v>180</v>
      </c>
      <c r="U121" s="37">
        <f t="shared" si="5"/>
        <v>25.95422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14" t="s">
        <v>18</v>
      </c>
      <c r="B122" s="15">
        <f t="shared" si="6"/>
        <v>46139</v>
      </c>
      <c r="C122" s="16">
        <v>5.2</v>
      </c>
      <c r="D122" s="17" t="s">
        <v>26</v>
      </c>
      <c r="E122" s="18" t="s">
        <v>31</v>
      </c>
      <c r="F122" s="18" t="s">
        <v>32</v>
      </c>
      <c r="G122" s="19">
        <v>60.0</v>
      </c>
      <c r="I122" s="20">
        <v>60.0</v>
      </c>
      <c r="K122" s="20">
        <v>60.0</v>
      </c>
      <c r="M122" s="20">
        <v>0.0</v>
      </c>
      <c r="O122" s="20">
        <v>0.0</v>
      </c>
      <c r="Q122" s="21">
        <f t="shared" si="1"/>
        <v>4671.7596</v>
      </c>
      <c r="R122" s="17">
        <f t="shared" si="2"/>
        <v>180</v>
      </c>
      <c r="S122" s="17">
        <f t="shared" si="3"/>
        <v>0</v>
      </c>
      <c r="T122" s="17">
        <f t="shared" si="4"/>
        <v>180</v>
      </c>
      <c r="U122" s="38">
        <f t="shared" si="5"/>
        <v>25.95422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23" t="s">
        <v>20</v>
      </c>
      <c r="B123" s="24">
        <f t="shared" si="6"/>
        <v>46140</v>
      </c>
      <c r="C123" s="25">
        <v>5.2</v>
      </c>
      <c r="D123" s="26" t="s">
        <v>26</v>
      </c>
      <c r="E123" s="22" t="s">
        <v>31</v>
      </c>
      <c r="F123" s="22" t="s">
        <v>32</v>
      </c>
      <c r="G123" s="19">
        <v>60.0</v>
      </c>
      <c r="I123" s="20">
        <v>60.0</v>
      </c>
      <c r="K123" s="20">
        <v>60.0</v>
      </c>
      <c r="M123" s="20">
        <v>0.0</v>
      </c>
      <c r="O123" s="20">
        <v>0.0</v>
      </c>
      <c r="Q123" s="27">
        <f t="shared" si="1"/>
        <v>4671.7596</v>
      </c>
      <c r="R123" s="26">
        <f t="shared" si="2"/>
        <v>180</v>
      </c>
      <c r="S123" s="26">
        <f t="shared" si="3"/>
        <v>0</v>
      </c>
      <c r="T123" s="26">
        <f t="shared" si="4"/>
        <v>180</v>
      </c>
      <c r="U123" s="28">
        <f t="shared" si="5"/>
        <v>25.95422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23" t="s">
        <v>21</v>
      </c>
      <c r="B124" s="24">
        <f t="shared" si="6"/>
        <v>46141</v>
      </c>
      <c r="C124" s="25">
        <v>5.2</v>
      </c>
      <c r="D124" s="26" t="s">
        <v>26</v>
      </c>
      <c r="E124" s="22" t="s">
        <v>31</v>
      </c>
      <c r="F124" s="22" t="s">
        <v>32</v>
      </c>
      <c r="G124" s="19">
        <v>60.0</v>
      </c>
      <c r="I124" s="20">
        <v>60.0</v>
      </c>
      <c r="K124" s="20">
        <v>60.0</v>
      </c>
      <c r="M124" s="20">
        <v>0.0</v>
      </c>
      <c r="O124" s="20">
        <v>0.0</v>
      </c>
      <c r="Q124" s="27">
        <f t="shared" si="1"/>
        <v>4671.7596</v>
      </c>
      <c r="R124" s="26">
        <f t="shared" si="2"/>
        <v>180</v>
      </c>
      <c r="S124" s="26">
        <f t="shared" si="3"/>
        <v>0</v>
      </c>
      <c r="T124" s="26">
        <f t="shared" si="4"/>
        <v>180</v>
      </c>
      <c r="U124" s="28">
        <f t="shared" si="5"/>
        <v>25.95422</v>
      </c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23" t="s">
        <v>22</v>
      </c>
      <c r="B125" s="24">
        <f t="shared" si="6"/>
        <v>46142</v>
      </c>
      <c r="C125" s="25">
        <v>5.2</v>
      </c>
      <c r="D125" s="26" t="s">
        <v>26</v>
      </c>
      <c r="E125" s="22" t="s">
        <v>29</v>
      </c>
      <c r="F125" s="22" t="s">
        <v>30</v>
      </c>
      <c r="G125" s="19">
        <v>0.0</v>
      </c>
      <c r="I125" s="20">
        <v>0.0</v>
      </c>
      <c r="K125" s="20">
        <v>0.0</v>
      </c>
      <c r="M125" s="20">
        <v>0.0</v>
      </c>
      <c r="O125" s="20">
        <v>0.0</v>
      </c>
      <c r="Q125" s="27">
        <f t="shared" si="1"/>
        <v>0</v>
      </c>
      <c r="R125" s="26">
        <f t="shared" si="2"/>
        <v>0</v>
      </c>
      <c r="S125" s="26">
        <f t="shared" si="3"/>
        <v>0</v>
      </c>
      <c r="T125" s="26">
        <f t="shared" si="4"/>
        <v>0</v>
      </c>
      <c r="U125" s="28">
        <f t="shared" si="5"/>
        <v>0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23" t="s">
        <v>23</v>
      </c>
      <c r="B126" s="24">
        <f t="shared" si="6"/>
        <v>46143</v>
      </c>
      <c r="C126" s="25">
        <v>5.2</v>
      </c>
      <c r="D126" s="26" t="s">
        <v>26</v>
      </c>
      <c r="E126" s="22" t="s">
        <v>29</v>
      </c>
      <c r="F126" s="22" t="s">
        <v>30</v>
      </c>
      <c r="G126" s="19">
        <v>0.0</v>
      </c>
      <c r="I126" s="20">
        <v>0.0</v>
      </c>
      <c r="K126" s="20">
        <v>0.0</v>
      </c>
      <c r="M126" s="20">
        <v>0.0</v>
      </c>
      <c r="O126" s="20">
        <v>0.0</v>
      </c>
      <c r="Q126" s="27">
        <f t="shared" si="1"/>
        <v>0</v>
      </c>
      <c r="R126" s="26">
        <f t="shared" si="2"/>
        <v>0</v>
      </c>
      <c r="S126" s="26">
        <f t="shared" si="3"/>
        <v>0</v>
      </c>
      <c r="T126" s="26">
        <f t="shared" si="4"/>
        <v>0</v>
      </c>
      <c r="U126" s="28">
        <f t="shared" si="5"/>
        <v>0</v>
      </c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23" t="s">
        <v>24</v>
      </c>
      <c r="B127" s="24">
        <f t="shared" si="6"/>
        <v>46144</v>
      </c>
      <c r="C127" s="25">
        <v>5.2</v>
      </c>
      <c r="D127" s="26" t="s">
        <v>26</v>
      </c>
      <c r="E127" s="22" t="s">
        <v>29</v>
      </c>
      <c r="F127" s="22" t="s">
        <v>30</v>
      </c>
      <c r="G127" s="19">
        <v>0.0</v>
      </c>
      <c r="I127" s="20">
        <v>0.0</v>
      </c>
      <c r="K127" s="20">
        <v>0.0</v>
      </c>
      <c r="M127" s="20">
        <v>0.0</v>
      </c>
      <c r="O127" s="20">
        <v>0.0</v>
      </c>
      <c r="Q127" s="27">
        <f t="shared" si="1"/>
        <v>0</v>
      </c>
      <c r="R127" s="26">
        <f t="shared" si="2"/>
        <v>0</v>
      </c>
      <c r="S127" s="26">
        <f t="shared" si="3"/>
        <v>0</v>
      </c>
      <c r="T127" s="26">
        <f t="shared" si="4"/>
        <v>0</v>
      </c>
      <c r="U127" s="28">
        <f t="shared" si="5"/>
        <v>0</v>
      </c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29" t="s">
        <v>25</v>
      </c>
      <c r="B128" s="30">
        <f t="shared" si="6"/>
        <v>46145</v>
      </c>
      <c r="C128" s="31">
        <v>5.2</v>
      </c>
      <c r="D128" s="32" t="s">
        <v>26</v>
      </c>
      <c r="E128" s="33" t="s">
        <v>29</v>
      </c>
      <c r="F128" s="33" t="s">
        <v>30</v>
      </c>
      <c r="G128" s="34">
        <v>0.0</v>
      </c>
      <c r="H128" s="6"/>
      <c r="I128" s="35">
        <v>0.0</v>
      </c>
      <c r="J128" s="6"/>
      <c r="K128" s="35">
        <v>0.0</v>
      </c>
      <c r="L128" s="6"/>
      <c r="M128" s="35">
        <v>0.0</v>
      </c>
      <c r="N128" s="6"/>
      <c r="O128" s="35">
        <v>0.0</v>
      </c>
      <c r="P128" s="6"/>
      <c r="Q128" s="36">
        <f t="shared" si="1"/>
        <v>0</v>
      </c>
      <c r="R128" s="32">
        <f t="shared" si="2"/>
        <v>0</v>
      </c>
      <c r="S128" s="32">
        <f t="shared" si="3"/>
        <v>0</v>
      </c>
      <c r="T128" s="32">
        <f t="shared" si="4"/>
        <v>0</v>
      </c>
      <c r="U128" s="37">
        <f t="shared" si="5"/>
        <v>0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14" t="s">
        <v>18</v>
      </c>
      <c r="B129" s="15">
        <f t="shared" si="6"/>
        <v>46146</v>
      </c>
      <c r="C129" s="16">
        <v>5.3</v>
      </c>
      <c r="D129" s="17" t="s">
        <v>27</v>
      </c>
      <c r="E129" s="18" t="s">
        <v>29</v>
      </c>
      <c r="F129" s="18" t="s">
        <v>30</v>
      </c>
      <c r="G129" s="19">
        <v>0.0</v>
      </c>
      <c r="I129" s="20">
        <v>0.0</v>
      </c>
      <c r="K129" s="20">
        <v>0.0</v>
      </c>
      <c r="M129" s="20">
        <v>0.0</v>
      </c>
      <c r="O129" s="20">
        <v>0.0</v>
      </c>
      <c r="Q129" s="21">
        <f t="shared" si="1"/>
        <v>0</v>
      </c>
      <c r="R129" s="17">
        <f t="shared" si="2"/>
        <v>0</v>
      </c>
      <c r="S129" s="17">
        <f t="shared" si="3"/>
        <v>0</v>
      </c>
      <c r="T129" s="17">
        <f t="shared" si="4"/>
        <v>0</v>
      </c>
      <c r="U129" s="38">
        <f t="shared" si="5"/>
        <v>0</v>
      </c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23" t="s">
        <v>20</v>
      </c>
      <c r="B130" s="24">
        <f t="shared" si="6"/>
        <v>46147</v>
      </c>
      <c r="C130" s="25">
        <v>5.3</v>
      </c>
      <c r="D130" s="26" t="s">
        <v>27</v>
      </c>
      <c r="E130" s="22" t="s">
        <v>29</v>
      </c>
      <c r="F130" s="22" t="s">
        <v>30</v>
      </c>
      <c r="G130" s="19">
        <v>0.0</v>
      </c>
      <c r="I130" s="20">
        <v>0.0</v>
      </c>
      <c r="K130" s="20">
        <v>0.0</v>
      </c>
      <c r="M130" s="20">
        <v>0.0</v>
      </c>
      <c r="O130" s="20">
        <v>0.0</v>
      </c>
      <c r="Q130" s="27">
        <f t="shared" si="1"/>
        <v>0</v>
      </c>
      <c r="R130" s="26">
        <f t="shared" si="2"/>
        <v>0</v>
      </c>
      <c r="S130" s="26">
        <f t="shared" si="3"/>
        <v>0</v>
      </c>
      <c r="T130" s="26">
        <f t="shared" si="4"/>
        <v>0</v>
      </c>
      <c r="U130" s="28">
        <f t="shared" si="5"/>
        <v>0</v>
      </c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23" t="s">
        <v>21</v>
      </c>
      <c r="B131" s="24">
        <f t="shared" si="6"/>
        <v>46148</v>
      </c>
      <c r="C131" s="25">
        <v>5.3</v>
      </c>
      <c r="D131" s="26" t="s">
        <v>27</v>
      </c>
      <c r="E131" s="22" t="s">
        <v>29</v>
      </c>
      <c r="F131" s="22" t="s">
        <v>30</v>
      </c>
      <c r="G131" s="19">
        <v>0.0</v>
      </c>
      <c r="I131" s="20">
        <v>0.0</v>
      </c>
      <c r="K131" s="20">
        <v>0.0</v>
      </c>
      <c r="M131" s="20">
        <v>0.0</v>
      </c>
      <c r="O131" s="20">
        <v>0.0</v>
      </c>
      <c r="Q131" s="27">
        <f t="shared" si="1"/>
        <v>0</v>
      </c>
      <c r="R131" s="26">
        <f t="shared" si="2"/>
        <v>0</v>
      </c>
      <c r="S131" s="26">
        <f t="shared" si="3"/>
        <v>0</v>
      </c>
      <c r="T131" s="26">
        <f t="shared" si="4"/>
        <v>0</v>
      </c>
      <c r="U131" s="28">
        <f t="shared" si="5"/>
        <v>0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23" t="s">
        <v>22</v>
      </c>
      <c r="B132" s="24">
        <f t="shared" si="6"/>
        <v>46149</v>
      </c>
      <c r="C132" s="25">
        <v>5.3</v>
      </c>
      <c r="D132" s="26" t="s">
        <v>27</v>
      </c>
      <c r="E132" s="22" t="s">
        <v>29</v>
      </c>
      <c r="F132" s="22" t="s">
        <v>30</v>
      </c>
      <c r="G132" s="19">
        <v>0.0</v>
      </c>
      <c r="I132" s="20">
        <v>0.0</v>
      </c>
      <c r="K132" s="20">
        <v>0.0</v>
      </c>
      <c r="M132" s="20">
        <v>0.0</v>
      </c>
      <c r="O132" s="20">
        <v>0.0</v>
      </c>
      <c r="Q132" s="27">
        <f t="shared" si="1"/>
        <v>0</v>
      </c>
      <c r="R132" s="26">
        <f t="shared" si="2"/>
        <v>0</v>
      </c>
      <c r="S132" s="26">
        <f t="shared" si="3"/>
        <v>0</v>
      </c>
      <c r="T132" s="26">
        <f t="shared" si="4"/>
        <v>0</v>
      </c>
      <c r="U132" s="28">
        <f t="shared" si="5"/>
        <v>0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23" t="s">
        <v>23</v>
      </c>
      <c r="B133" s="24">
        <f t="shared" si="6"/>
        <v>46150</v>
      </c>
      <c r="C133" s="25">
        <v>5.3</v>
      </c>
      <c r="D133" s="26" t="s">
        <v>27</v>
      </c>
      <c r="E133" s="22" t="s">
        <v>31</v>
      </c>
      <c r="F133" s="22" t="s">
        <v>32</v>
      </c>
      <c r="G133" s="19">
        <v>60.0</v>
      </c>
      <c r="I133" s="20">
        <v>60.0</v>
      </c>
      <c r="K133" s="20">
        <v>60.0</v>
      </c>
      <c r="M133" s="20">
        <v>0.0</v>
      </c>
      <c r="O133" s="20">
        <v>0.0</v>
      </c>
      <c r="Q133" s="27">
        <f t="shared" si="1"/>
        <v>4671.7596</v>
      </c>
      <c r="R133" s="26">
        <f t="shared" si="2"/>
        <v>180</v>
      </c>
      <c r="S133" s="26">
        <f t="shared" si="3"/>
        <v>0</v>
      </c>
      <c r="T133" s="26">
        <f t="shared" si="4"/>
        <v>180</v>
      </c>
      <c r="U133" s="28">
        <f t="shared" si="5"/>
        <v>25.95422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23" t="s">
        <v>24</v>
      </c>
      <c r="B134" s="24">
        <f t="shared" si="6"/>
        <v>46151</v>
      </c>
      <c r="C134" s="25">
        <v>5.3</v>
      </c>
      <c r="D134" s="26" t="s">
        <v>27</v>
      </c>
      <c r="E134" s="22" t="s">
        <v>31</v>
      </c>
      <c r="F134" s="22" t="s">
        <v>32</v>
      </c>
      <c r="G134" s="19">
        <v>60.0</v>
      </c>
      <c r="I134" s="20">
        <v>60.0</v>
      </c>
      <c r="K134" s="20">
        <v>60.0</v>
      </c>
      <c r="M134" s="20">
        <v>0.0</v>
      </c>
      <c r="O134" s="20">
        <v>0.0</v>
      </c>
      <c r="Q134" s="27">
        <f t="shared" si="1"/>
        <v>4671.7596</v>
      </c>
      <c r="R134" s="26">
        <f t="shared" si="2"/>
        <v>180</v>
      </c>
      <c r="S134" s="26">
        <f t="shared" si="3"/>
        <v>0</v>
      </c>
      <c r="T134" s="26">
        <f t="shared" si="4"/>
        <v>180</v>
      </c>
      <c r="U134" s="28">
        <f t="shared" si="5"/>
        <v>25.95422</v>
      </c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29" t="s">
        <v>25</v>
      </c>
      <c r="B135" s="30">
        <f t="shared" si="6"/>
        <v>46152</v>
      </c>
      <c r="C135" s="31">
        <v>5.3</v>
      </c>
      <c r="D135" s="32" t="s">
        <v>27</v>
      </c>
      <c r="E135" s="33" t="s">
        <v>31</v>
      </c>
      <c r="F135" s="33" t="s">
        <v>32</v>
      </c>
      <c r="G135" s="34">
        <v>60.0</v>
      </c>
      <c r="H135" s="6"/>
      <c r="I135" s="35">
        <v>60.0</v>
      </c>
      <c r="J135" s="6"/>
      <c r="K135" s="35">
        <v>60.0</v>
      </c>
      <c r="L135" s="6"/>
      <c r="M135" s="35">
        <v>0.0</v>
      </c>
      <c r="N135" s="6"/>
      <c r="O135" s="35">
        <v>0.0</v>
      </c>
      <c r="P135" s="6"/>
      <c r="Q135" s="36">
        <f t="shared" si="1"/>
        <v>4671.7596</v>
      </c>
      <c r="R135" s="32">
        <f t="shared" si="2"/>
        <v>180</v>
      </c>
      <c r="S135" s="32">
        <f t="shared" si="3"/>
        <v>0</v>
      </c>
      <c r="T135" s="32">
        <f t="shared" si="4"/>
        <v>180</v>
      </c>
      <c r="U135" s="37">
        <f t="shared" si="5"/>
        <v>25.95422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14" t="s">
        <v>18</v>
      </c>
      <c r="B136" s="15">
        <f t="shared" si="6"/>
        <v>46153</v>
      </c>
      <c r="C136" s="16">
        <v>5.4</v>
      </c>
      <c r="D136" s="17" t="s">
        <v>28</v>
      </c>
      <c r="E136" s="18" t="s">
        <v>31</v>
      </c>
      <c r="F136" s="18" t="s">
        <v>32</v>
      </c>
      <c r="G136" s="19">
        <v>60.0</v>
      </c>
      <c r="I136" s="20">
        <v>60.0</v>
      </c>
      <c r="K136" s="20">
        <v>60.0</v>
      </c>
      <c r="M136" s="20">
        <v>0.0</v>
      </c>
      <c r="O136" s="20">
        <v>0.0</v>
      </c>
      <c r="Q136" s="21">
        <f t="shared" si="1"/>
        <v>4671.7596</v>
      </c>
      <c r="R136" s="17">
        <f t="shared" si="2"/>
        <v>180</v>
      </c>
      <c r="S136" s="17">
        <f t="shared" si="3"/>
        <v>0</v>
      </c>
      <c r="T136" s="17">
        <f t="shared" si="4"/>
        <v>180</v>
      </c>
      <c r="U136" s="38">
        <f t="shared" si="5"/>
        <v>25.95422</v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23" t="s">
        <v>20</v>
      </c>
      <c r="B137" s="24">
        <f t="shared" si="6"/>
        <v>46154</v>
      </c>
      <c r="C137" s="25">
        <v>5.4</v>
      </c>
      <c r="D137" s="26" t="s">
        <v>28</v>
      </c>
      <c r="E137" s="22" t="s">
        <v>31</v>
      </c>
      <c r="F137" s="22" t="s">
        <v>32</v>
      </c>
      <c r="G137" s="19">
        <v>60.0</v>
      </c>
      <c r="I137" s="20">
        <v>60.0</v>
      </c>
      <c r="K137" s="20">
        <v>60.0</v>
      </c>
      <c r="M137" s="20">
        <v>0.0</v>
      </c>
      <c r="O137" s="20">
        <v>0.0</v>
      </c>
      <c r="Q137" s="27">
        <f t="shared" si="1"/>
        <v>4671.7596</v>
      </c>
      <c r="R137" s="26">
        <f t="shared" si="2"/>
        <v>180</v>
      </c>
      <c r="S137" s="26">
        <f t="shared" si="3"/>
        <v>0</v>
      </c>
      <c r="T137" s="26">
        <f t="shared" si="4"/>
        <v>180</v>
      </c>
      <c r="U137" s="28">
        <f t="shared" si="5"/>
        <v>25.95422</v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23" t="s">
        <v>21</v>
      </c>
      <c r="B138" s="24">
        <f t="shared" si="6"/>
        <v>46155</v>
      </c>
      <c r="C138" s="25">
        <v>5.4</v>
      </c>
      <c r="D138" s="26" t="s">
        <v>28</v>
      </c>
      <c r="E138" s="22" t="s">
        <v>31</v>
      </c>
      <c r="F138" s="22" t="s">
        <v>32</v>
      </c>
      <c r="G138" s="19">
        <v>60.0</v>
      </c>
      <c r="I138" s="20">
        <v>60.0</v>
      </c>
      <c r="K138" s="20">
        <v>60.0</v>
      </c>
      <c r="M138" s="20">
        <v>0.0</v>
      </c>
      <c r="O138" s="20">
        <v>0.0</v>
      </c>
      <c r="Q138" s="27">
        <f t="shared" si="1"/>
        <v>4671.7596</v>
      </c>
      <c r="R138" s="26">
        <f t="shared" si="2"/>
        <v>180</v>
      </c>
      <c r="S138" s="26">
        <f t="shared" si="3"/>
        <v>0</v>
      </c>
      <c r="T138" s="26">
        <f t="shared" si="4"/>
        <v>180</v>
      </c>
      <c r="U138" s="28">
        <f t="shared" si="5"/>
        <v>25.95422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23" t="s">
        <v>22</v>
      </c>
      <c r="B139" s="24">
        <f t="shared" si="6"/>
        <v>46156</v>
      </c>
      <c r="C139" s="25">
        <v>5.4</v>
      </c>
      <c r="D139" s="26" t="s">
        <v>28</v>
      </c>
      <c r="E139" s="22" t="s">
        <v>29</v>
      </c>
      <c r="F139" s="22" t="s">
        <v>30</v>
      </c>
      <c r="G139" s="19">
        <v>0.0</v>
      </c>
      <c r="I139" s="20">
        <v>0.0</v>
      </c>
      <c r="K139" s="20">
        <v>0.0</v>
      </c>
      <c r="M139" s="20">
        <v>0.0</v>
      </c>
      <c r="O139" s="20">
        <v>0.0</v>
      </c>
      <c r="Q139" s="27">
        <f t="shared" si="1"/>
        <v>0</v>
      </c>
      <c r="R139" s="26">
        <f t="shared" si="2"/>
        <v>0</v>
      </c>
      <c r="S139" s="26">
        <f t="shared" si="3"/>
        <v>0</v>
      </c>
      <c r="T139" s="26">
        <f t="shared" si="4"/>
        <v>0</v>
      </c>
      <c r="U139" s="28">
        <f t="shared" si="5"/>
        <v>0</v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23" t="s">
        <v>23</v>
      </c>
      <c r="B140" s="24">
        <f t="shared" si="6"/>
        <v>46157</v>
      </c>
      <c r="C140" s="25">
        <v>5.4</v>
      </c>
      <c r="D140" s="26" t="s">
        <v>28</v>
      </c>
      <c r="E140" s="22" t="s">
        <v>29</v>
      </c>
      <c r="F140" s="22" t="s">
        <v>30</v>
      </c>
      <c r="G140" s="19">
        <v>0.0</v>
      </c>
      <c r="I140" s="20">
        <v>0.0</v>
      </c>
      <c r="K140" s="20">
        <v>0.0</v>
      </c>
      <c r="M140" s="20">
        <v>0.0</v>
      </c>
      <c r="O140" s="20">
        <v>0.0</v>
      </c>
      <c r="Q140" s="27">
        <f t="shared" si="1"/>
        <v>0</v>
      </c>
      <c r="R140" s="26">
        <f t="shared" si="2"/>
        <v>0</v>
      </c>
      <c r="S140" s="26">
        <f t="shared" si="3"/>
        <v>0</v>
      </c>
      <c r="T140" s="26">
        <f t="shared" si="4"/>
        <v>0</v>
      </c>
      <c r="U140" s="28">
        <f t="shared" si="5"/>
        <v>0</v>
      </c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23" t="s">
        <v>24</v>
      </c>
      <c r="B141" s="24">
        <f t="shared" si="6"/>
        <v>46158</v>
      </c>
      <c r="C141" s="25">
        <v>5.4</v>
      </c>
      <c r="D141" s="26" t="s">
        <v>28</v>
      </c>
      <c r="E141" s="22" t="s">
        <v>29</v>
      </c>
      <c r="F141" s="22" t="s">
        <v>30</v>
      </c>
      <c r="G141" s="19">
        <v>0.0</v>
      </c>
      <c r="I141" s="20">
        <v>0.0</v>
      </c>
      <c r="K141" s="20">
        <v>0.0</v>
      </c>
      <c r="M141" s="20">
        <v>0.0</v>
      </c>
      <c r="O141" s="20">
        <v>0.0</v>
      </c>
      <c r="Q141" s="27">
        <f t="shared" si="1"/>
        <v>0</v>
      </c>
      <c r="R141" s="26">
        <f t="shared" si="2"/>
        <v>0</v>
      </c>
      <c r="S141" s="26">
        <f t="shared" si="3"/>
        <v>0</v>
      </c>
      <c r="T141" s="26">
        <f t="shared" si="4"/>
        <v>0</v>
      </c>
      <c r="U141" s="28">
        <f t="shared" si="5"/>
        <v>0</v>
      </c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29" t="s">
        <v>25</v>
      </c>
      <c r="B142" s="30">
        <f t="shared" si="6"/>
        <v>46159</v>
      </c>
      <c r="C142" s="31">
        <v>5.4</v>
      </c>
      <c r="D142" s="32" t="s">
        <v>28</v>
      </c>
      <c r="E142" s="33" t="s">
        <v>29</v>
      </c>
      <c r="F142" s="33" t="s">
        <v>30</v>
      </c>
      <c r="G142" s="34">
        <v>0.0</v>
      </c>
      <c r="H142" s="6"/>
      <c r="I142" s="35">
        <v>0.0</v>
      </c>
      <c r="J142" s="6"/>
      <c r="K142" s="35">
        <v>0.0</v>
      </c>
      <c r="L142" s="6"/>
      <c r="M142" s="35">
        <v>0.0</v>
      </c>
      <c r="N142" s="6"/>
      <c r="O142" s="35">
        <v>0.0</v>
      </c>
      <c r="P142" s="6"/>
      <c r="Q142" s="36">
        <f t="shared" si="1"/>
        <v>0</v>
      </c>
      <c r="R142" s="32">
        <f t="shared" si="2"/>
        <v>0</v>
      </c>
      <c r="S142" s="32">
        <f t="shared" si="3"/>
        <v>0</v>
      </c>
      <c r="T142" s="32">
        <f t="shared" si="4"/>
        <v>0</v>
      </c>
      <c r="U142" s="37">
        <f t="shared" si="5"/>
        <v>0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14" t="s">
        <v>18</v>
      </c>
      <c r="B143" s="15">
        <f t="shared" si="6"/>
        <v>46160</v>
      </c>
      <c r="C143" s="16">
        <v>6.1</v>
      </c>
      <c r="D143" s="17" t="s">
        <v>19</v>
      </c>
      <c r="E143" s="18" t="s">
        <v>29</v>
      </c>
      <c r="F143" s="18" t="s">
        <v>30</v>
      </c>
      <c r="G143" s="19">
        <v>0.0</v>
      </c>
      <c r="I143" s="20">
        <v>0.0</v>
      </c>
      <c r="K143" s="20">
        <v>0.0</v>
      </c>
      <c r="M143" s="20">
        <v>0.0</v>
      </c>
      <c r="O143" s="20">
        <v>0.0</v>
      </c>
      <c r="Q143" s="21">
        <f t="shared" si="1"/>
        <v>0</v>
      </c>
      <c r="R143" s="17">
        <f t="shared" si="2"/>
        <v>0</v>
      </c>
      <c r="S143" s="17">
        <f t="shared" si="3"/>
        <v>0</v>
      </c>
      <c r="T143" s="17">
        <f t="shared" si="4"/>
        <v>0</v>
      </c>
      <c r="U143" s="38">
        <f t="shared" si="5"/>
        <v>0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23" t="s">
        <v>20</v>
      </c>
      <c r="B144" s="24">
        <f t="shared" si="6"/>
        <v>46161</v>
      </c>
      <c r="C144" s="25">
        <v>6.1</v>
      </c>
      <c r="D144" s="26" t="s">
        <v>19</v>
      </c>
      <c r="E144" s="22" t="s">
        <v>29</v>
      </c>
      <c r="F144" s="22" t="s">
        <v>30</v>
      </c>
      <c r="G144" s="19">
        <v>0.0</v>
      </c>
      <c r="I144" s="20">
        <v>0.0</v>
      </c>
      <c r="K144" s="20">
        <v>0.0</v>
      </c>
      <c r="M144" s="20">
        <v>0.0</v>
      </c>
      <c r="O144" s="20">
        <v>0.0</v>
      </c>
      <c r="Q144" s="27">
        <f t="shared" si="1"/>
        <v>0</v>
      </c>
      <c r="R144" s="26">
        <f t="shared" si="2"/>
        <v>0</v>
      </c>
      <c r="S144" s="26">
        <f t="shared" si="3"/>
        <v>0</v>
      </c>
      <c r="T144" s="26">
        <f t="shared" si="4"/>
        <v>0</v>
      </c>
      <c r="U144" s="28">
        <f t="shared" si="5"/>
        <v>0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23" t="s">
        <v>21</v>
      </c>
      <c r="B145" s="24">
        <f t="shared" si="6"/>
        <v>46162</v>
      </c>
      <c r="C145" s="25">
        <v>6.1</v>
      </c>
      <c r="D145" s="26" t="s">
        <v>19</v>
      </c>
      <c r="E145" s="22" t="s">
        <v>29</v>
      </c>
      <c r="F145" s="22" t="s">
        <v>30</v>
      </c>
      <c r="G145" s="19">
        <v>0.0</v>
      </c>
      <c r="I145" s="20">
        <v>0.0</v>
      </c>
      <c r="K145" s="20">
        <v>0.0</v>
      </c>
      <c r="M145" s="20">
        <v>0.0</v>
      </c>
      <c r="O145" s="20">
        <v>0.0</v>
      </c>
      <c r="Q145" s="27">
        <f t="shared" si="1"/>
        <v>0</v>
      </c>
      <c r="R145" s="26">
        <f t="shared" si="2"/>
        <v>0</v>
      </c>
      <c r="S145" s="26">
        <f t="shared" si="3"/>
        <v>0</v>
      </c>
      <c r="T145" s="26">
        <f t="shared" si="4"/>
        <v>0</v>
      </c>
      <c r="U145" s="28">
        <f t="shared" si="5"/>
        <v>0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23" t="s">
        <v>22</v>
      </c>
      <c r="B146" s="24">
        <f t="shared" si="6"/>
        <v>46163</v>
      </c>
      <c r="C146" s="25">
        <v>6.1</v>
      </c>
      <c r="D146" s="26" t="s">
        <v>19</v>
      </c>
      <c r="E146" s="22" t="s">
        <v>29</v>
      </c>
      <c r="F146" s="22" t="s">
        <v>30</v>
      </c>
      <c r="G146" s="19">
        <v>0.0</v>
      </c>
      <c r="I146" s="20">
        <v>0.0</v>
      </c>
      <c r="K146" s="20">
        <v>0.0</v>
      </c>
      <c r="M146" s="20">
        <v>0.0</v>
      </c>
      <c r="O146" s="20">
        <v>0.0</v>
      </c>
      <c r="Q146" s="27">
        <f t="shared" si="1"/>
        <v>0</v>
      </c>
      <c r="R146" s="26">
        <f t="shared" si="2"/>
        <v>0</v>
      </c>
      <c r="S146" s="26">
        <f t="shared" si="3"/>
        <v>0</v>
      </c>
      <c r="T146" s="26">
        <f t="shared" si="4"/>
        <v>0</v>
      </c>
      <c r="U146" s="28">
        <f t="shared" si="5"/>
        <v>0</v>
      </c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23" t="s">
        <v>23</v>
      </c>
      <c r="B147" s="24">
        <f t="shared" si="6"/>
        <v>46164</v>
      </c>
      <c r="C147" s="25">
        <v>6.1</v>
      </c>
      <c r="D147" s="26" t="s">
        <v>19</v>
      </c>
      <c r="E147" s="22" t="s">
        <v>29</v>
      </c>
      <c r="F147" s="22" t="s">
        <v>30</v>
      </c>
      <c r="G147" s="19">
        <v>0.0</v>
      </c>
      <c r="I147" s="20">
        <v>0.0</v>
      </c>
      <c r="K147" s="20">
        <v>0.0</v>
      </c>
      <c r="M147" s="20">
        <v>0.0</v>
      </c>
      <c r="O147" s="20">
        <v>0.0</v>
      </c>
      <c r="Q147" s="27">
        <f t="shared" si="1"/>
        <v>0</v>
      </c>
      <c r="R147" s="26">
        <f t="shared" si="2"/>
        <v>0</v>
      </c>
      <c r="S147" s="26">
        <f t="shared" si="3"/>
        <v>0</v>
      </c>
      <c r="T147" s="26">
        <f t="shared" si="4"/>
        <v>0</v>
      </c>
      <c r="U147" s="28">
        <f t="shared" si="5"/>
        <v>0</v>
      </c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23" t="s">
        <v>24</v>
      </c>
      <c r="B148" s="24">
        <f t="shared" si="6"/>
        <v>46165</v>
      </c>
      <c r="C148" s="25">
        <v>6.1</v>
      </c>
      <c r="D148" s="26" t="s">
        <v>19</v>
      </c>
      <c r="E148" s="22" t="s">
        <v>29</v>
      </c>
      <c r="F148" s="22" t="s">
        <v>30</v>
      </c>
      <c r="G148" s="19">
        <v>0.0</v>
      </c>
      <c r="I148" s="20">
        <v>0.0</v>
      </c>
      <c r="K148" s="20">
        <v>0.0</v>
      </c>
      <c r="M148" s="20">
        <v>0.0</v>
      </c>
      <c r="O148" s="20">
        <v>0.0</v>
      </c>
      <c r="Q148" s="27">
        <f t="shared" si="1"/>
        <v>0</v>
      </c>
      <c r="R148" s="26">
        <f t="shared" si="2"/>
        <v>0</v>
      </c>
      <c r="S148" s="26">
        <f t="shared" si="3"/>
        <v>0</v>
      </c>
      <c r="T148" s="26">
        <f t="shared" si="4"/>
        <v>0</v>
      </c>
      <c r="U148" s="28">
        <f t="shared" si="5"/>
        <v>0</v>
      </c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29" t="s">
        <v>25</v>
      </c>
      <c r="B149" s="30">
        <f t="shared" si="6"/>
        <v>46166</v>
      </c>
      <c r="C149" s="31">
        <v>6.1</v>
      </c>
      <c r="D149" s="32" t="s">
        <v>19</v>
      </c>
      <c r="E149" s="33" t="s">
        <v>29</v>
      </c>
      <c r="F149" s="33" t="s">
        <v>30</v>
      </c>
      <c r="G149" s="34">
        <v>0.0</v>
      </c>
      <c r="H149" s="6"/>
      <c r="I149" s="35">
        <v>0.0</v>
      </c>
      <c r="J149" s="6"/>
      <c r="K149" s="35">
        <v>0.0</v>
      </c>
      <c r="L149" s="6"/>
      <c r="M149" s="35">
        <v>0.0</v>
      </c>
      <c r="N149" s="6"/>
      <c r="O149" s="35">
        <v>0.0</v>
      </c>
      <c r="P149" s="6"/>
      <c r="Q149" s="36">
        <f t="shared" si="1"/>
        <v>0</v>
      </c>
      <c r="R149" s="32">
        <f t="shared" si="2"/>
        <v>0</v>
      </c>
      <c r="S149" s="32">
        <f t="shared" si="3"/>
        <v>0</v>
      </c>
      <c r="T149" s="32">
        <f t="shared" si="4"/>
        <v>0</v>
      </c>
      <c r="U149" s="37">
        <f t="shared" si="5"/>
        <v>0</v>
      </c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14" t="s">
        <v>18</v>
      </c>
      <c r="B150" s="15">
        <f t="shared" si="6"/>
        <v>46167</v>
      </c>
      <c r="C150" s="16">
        <v>6.2</v>
      </c>
      <c r="D150" s="17" t="s">
        <v>26</v>
      </c>
      <c r="E150" s="18" t="s">
        <v>31</v>
      </c>
      <c r="F150" s="18" t="s">
        <v>32</v>
      </c>
      <c r="G150" s="19">
        <v>60.0</v>
      </c>
      <c r="I150" s="20">
        <v>60.0</v>
      </c>
      <c r="K150" s="20">
        <v>60.0</v>
      </c>
      <c r="M150" s="20">
        <v>0.0</v>
      </c>
      <c r="O150" s="20">
        <v>0.0</v>
      </c>
      <c r="Q150" s="21">
        <f t="shared" si="1"/>
        <v>4671.7596</v>
      </c>
      <c r="R150" s="17">
        <f t="shared" si="2"/>
        <v>180</v>
      </c>
      <c r="S150" s="17">
        <f t="shared" si="3"/>
        <v>0</v>
      </c>
      <c r="T150" s="17">
        <f t="shared" si="4"/>
        <v>180</v>
      </c>
      <c r="U150" s="38">
        <f t="shared" si="5"/>
        <v>25.95422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23" t="s">
        <v>20</v>
      </c>
      <c r="B151" s="24">
        <f t="shared" si="6"/>
        <v>46168</v>
      </c>
      <c r="C151" s="25">
        <v>6.2</v>
      </c>
      <c r="D151" s="26" t="s">
        <v>26</v>
      </c>
      <c r="E151" s="22" t="s">
        <v>31</v>
      </c>
      <c r="F151" s="22" t="s">
        <v>32</v>
      </c>
      <c r="G151" s="19">
        <v>60.0</v>
      </c>
      <c r="I151" s="20">
        <v>60.0</v>
      </c>
      <c r="K151" s="20">
        <v>60.0</v>
      </c>
      <c r="M151" s="20">
        <v>0.0</v>
      </c>
      <c r="O151" s="20">
        <v>0.0</v>
      </c>
      <c r="Q151" s="27">
        <f t="shared" si="1"/>
        <v>4671.7596</v>
      </c>
      <c r="R151" s="26">
        <f t="shared" si="2"/>
        <v>180</v>
      </c>
      <c r="S151" s="26">
        <f t="shared" si="3"/>
        <v>0</v>
      </c>
      <c r="T151" s="26">
        <f t="shared" si="4"/>
        <v>180</v>
      </c>
      <c r="U151" s="28">
        <f t="shared" si="5"/>
        <v>25.95422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23" t="s">
        <v>21</v>
      </c>
      <c r="B152" s="24">
        <f t="shared" si="6"/>
        <v>46169</v>
      </c>
      <c r="C152" s="25">
        <v>6.2</v>
      </c>
      <c r="D152" s="26" t="s">
        <v>26</v>
      </c>
      <c r="E152" s="22" t="s">
        <v>31</v>
      </c>
      <c r="F152" s="22" t="s">
        <v>32</v>
      </c>
      <c r="G152" s="19">
        <v>60.0</v>
      </c>
      <c r="I152" s="20">
        <v>60.0</v>
      </c>
      <c r="K152" s="20">
        <v>60.0</v>
      </c>
      <c r="M152" s="20">
        <v>0.0</v>
      </c>
      <c r="O152" s="20">
        <v>0.0</v>
      </c>
      <c r="Q152" s="27">
        <f t="shared" si="1"/>
        <v>4671.7596</v>
      </c>
      <c r="R152" s="26">
        <f t="shared" si="2"/>
        <v>180</v>
      </c>
      <c r="S152" s="26">
        <f t="shared" si="3"/>
        <v>0</v>
      </c>
      <c r="T152" s="26">
        <f t="shared" si="4"/>
        <v>180</v>
      </c>
      <c r="U152" s="28">
        <f t="shared" si="5"/>
        <v>25.95422</v>
      </c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23" t="s">
        <v>22</v>
      </c>
      <c r="B153" s="24">
        <f t="shared" si="6"/>
        <v>46170</v>
      </c>
      <c r="C153" s="25">
        <v>6.2</v>
      </c>
      <c r="D153" s="26" t="s">
        <v>26</v>
      </c>
      <c r="E153" s="22" t="s">
        <v>31</v>
      </c>
      <c r="F153" s="22" t="s">
        <v>32</v>
      </c>
      <c r="G153" s="19">
        <v>60.0</v>
      </c>
      <c r="I153" s="20">
        <v>60.0</v>
      </c>
      <c r="K153" s="20">
        <v>60.0</v>
      </c>
      <c r="M153" s="20">
        <v>0.0</v>
      </c>
      <c r="O153" s="20">
        <v>0.0</v>
      </c>
      <c r="Q153" s="27">
        <f t="shared" si="1"/>
        <v>4671.7596</v>
      </c>
      <c r="R153" s="26">
        <f t="shared" si="2"/>
        <v>180</v>
      </c>
      <c r="S153" s="26">
        <f t="shared" si="3"/>
        <v>0</v>
      </c>
      <c r="T153" s="26">
        <f t="shared" si="4"/>
        <v>180</v>
      </c>
      <c r="U153" s="28">
        <f t="shared" si="5"/>
        <v>25.95422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23" t="s">
        <v>23</v>
      </c>
      <c r="B154" s="24">
        <f t="shared" si="6"/>
        <v>46171</v>
      </c>
      <c r="C154" s="25">
        <v>6.2</v>
      </c>
      <c r="D154" s="26" t="s">
        <v>26</v>
      </c>
      <c r="E154" s="22" t="s">
        <v>31</v>
      </c>
      <c r="F154" s="22" t="s">
        <v>32</v>
      </c>
      <c r="G154" s="19">
        <v>60.0</v>
      </c>
      <c r="I154" s="20">
        <v>60.0</v>
      </c>
      <c r="K154" s="20">
        <v>60.0</v>
      </c>
      <c r="M154" s="20">
        <v>0.0</v>
      </c>
      <c r="O154" s="20">
        <v>0.0</v>
      </c>
      <c r="Q154" s="27">
        <f t="shared" si="1"/>
        <v>4671.7596</v>
      </c>
      <c r="R154" s="26">
        <f t="shared" si="2"/>
        <v>180</v>
      </c>
      <c r="S154" s="26">
        <f t="shared" si="3"/>
        <v>0</v>
      </c>
      <c r="T154" s="26">
        <f t="shared" si="4"/>
        <v>180</v>
      </c>
      <c r="U154" s="28">
        <f t="shared" si="5"/>
        <v>25.95422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23" t="s">
        <v>24</v>
      </c>
      <c r="B155" s="24">
        <f t="shared" si="6"/>
        <v>46172</v>
      </c>
      <c r="C155" s="25">
        <v>6.2</v>
      </c>
      <c r="D155" s="26" t="s">
        <v>26</v>
      </c>
      <c r="E155" s="22" t="s">
        <v>31</v>
      </c>
      <c r="F155" s="22" t="s">
        <v>32</v>
      </c>
      <c r="G155" s="19">
        <v>60.0</v>
      </c>
      <c r="I155" s="20">
        <v>60.0</v>
      </c>
      <c r="K155" s="20">
        <v>60.0</v>
      </c>
      <c r="M155" s="20">
        <v>0.0</v>
      </c>
      <c r="O155" s="20">
        <v>0.0</v>
      </c>
      <c r="Q155" s="27">
        <f t="shared" si="1"/>
        <v>4671.7596</v>
      </c>
      <c r="R155" s="26">
        <f t="shared" si="2"/>
        <v>180</v>
      </c>
      <c r="S155" s="26">
        <f t="shared" si="3"/>
        <v>0</v>
      </c>
      <c r="T155" s="26">
        <f t="shared" si="4"/>
        <v>180</v>
      </c>
      <c r="U155" s="28">
        <f t="shared" si="5"/>
        <v>25.95422</v>
      </c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29" t="s">
        <v>25</v>
      </c>
      <c r="B156" s="30">
        <f t="shared" si="6"/>
        <v>46173</v>
      </c>
      <c r="C156" s="31">
        <v>6.2</v>
      </c>
      <c r="D156" s="32" t="s">
        <v>26</v>
      </c>
      <c r="E156" s="33" t="s">
        <v>31</v>
      </c>
      <c r="F156" s="33" t="s">
        <v>32</v>
      </c>
      <c r="G156" s="34">
        <v>60.0</v>
      </c>
      <c r="H156" s="6"/>
      <c r="I156" s="35">
        <v>60.0</v>
      </c>
      <c r="J156" s="6"/>
      <c r="K156" s="35">
        <v>60.0</v>
      </c>
      <c r="L156" s="6"/>
      <c r="M156" s="35">
        <v>0.0</v>
      </c>
      <c r="N156" s="6"/>
      <c r="O156" s="35">
        <v>0.0</v>
      </c>
      <c r="P156" s="6"/>
      <c r="Q156" s="36">
        <f t="shared" si="1"/>
        <v>4671.7596</v>
      </c>
      <c r="R156" s="32">
        <f t="shared" si="2"/>
        <v>180</v>
      </c>
      <c r="S156" s="32">
        <f t="shared" si="3"/>
        <v>0</v>
      </c>
      <c r="T156" s="32">
        <f t="shared" si="4"/>
        <v>180</v>
      </c>
      <c r="U156" s="37">
        <f t="shared" si="5"/>
        <v>25.95422</v>
      </c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14" t="s">
        <v>18</v>
      </c>
      <c r="B157" s="15">
        <f t="shared" si="6"/>
        <v>46174</v>
      </c>
      <c r="C157" s="16">
        <v>6.3</v>
      </c>
      <c r="D157" s="17" t="s">
        <v>27</v>
      </c>
      <c r="E157" s="18" t="s">
        <v>29</v>
      </c>
      <c r="F157" s="18" t="s">
        <v>30</v>
      </c>
      <c r="G157" s="19">
        <v>0.0</v>
      </c>
      <c r="I157" s="20">
        <v>0.0</v>
      </c>
      <c r="K157" s="20">
        <v>0.0</v>
      </c>
      <c r="M157" s="20">
        <v>0.0</v>
      </c>
      <c r="O157" s="20">
        <v>0.0</v>
      </c>
      <c r="Q157" s="21">
        <f t="shared" si="1"/>
        <v>0</v>
      </c>
      <c r="R157" s="17">
        <f t="shared" si="2"/>
        <v>0</v>
      </c>
      <c r="S157" s="17">
        <f t="shared" si="3"/>
        <v>0</v>
      </c>
      <c r="T157" s="17">
        <f t="shared" si="4"/>
        <v>0</v>
      </c>
      <c r="U157" s="38">
        <f t="shared" si="5"/>
        <v>0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23" t="s">
        <v>20</v>
      </c>
      <c r="B158" s="24">
        <f t="shared" si="6"/>
        <v>46175</v>
      </c>
      <c r="C158" s="25">
        <v>6.3</v>
      </c>
      <c r="D158" s="26" t="s">
        <v>27</v>
      </c>
      <c r="E158" s="22" t="s">
        <v>29</v>
      </c>
      <c r="F158" s="22" t="s">
        <v>30</v>
      </c>
      <c r="G158" s="19">
        <v>0.0</v>
      </c>
      <c r="I158" s="20">
        <v>0.0</v>
      </c>
      <c r="K158" s="20">
        <v>0.0</v>
      </c>
      <c r="M158" s="20">
        <v>0.0</v>
      </c>
      <c r="O158" s="20">
        <v>0.0</v>
      </c>
      <c r="Q158" s="27">
        <f t="shared" si="1"/>
        <v>0</v>
      </c>
      <c r="R158" s="26">
        <f t="shared" si="2"/>
        <v>0</v>
      </c>
      <c r="S158" s="26">
        <f t="shared" si="3"/>
        <v>0</v>
      </c>
      <c r="T158" s="26">
        <f t="shared" si="4"/>
        <v>0</v>
      </c>
      <c r="U158" s="28">
        <f t="shared" si="5"/>
        <v>0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23" t="s">
        <v>21</v>
      </c>
      <c r="B159" s="24">
        <f t="shared" si="6"/>
        <v>46176</v>
      </c>
      <c r="C159" s="25">
        <v>6.3</v>
      </c>
      <c r="D159" s="26" t="s">
        <v>27</v>
      </c>
      <c r="E159" s="22" t="s">
        <v>29</v>
      </c>
      <c r="F159" s="22" t="s">
        <v>30</v>
      </c>
      <c r="G159" s="19">
        <v>0.0</v>
      </c>
      <c r="I159" s="20">
        <v>0.0</v>
      </c>
      <c r="K159" s="20">
        <v>0.0</v>
      </c>
      <c r="M159" s="20">
        <v>0.0</v>
      </c>
      <c r="O159" s="20">
        <v>0.0</v>
      </c>
      <c r="Q159" s="27">
        <f t="shared" si="1"/>
        <v>0</v>
      </c>
      <c r="R159" s="26">
        <f t="shared" si="2"/>
        <v>0</v>
      </c>
      <c r="S159" s="26">
        <f t="shared" si="3"/>
        <v>0</v>
      </c>
      <c r="T159" s="26">
        <f t="shared" si="4"/>
        <v>0</v>
      </c>
      <c r="U159" s="28">
        <f t="shared" si="5"/>
        <v>0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23" t="s">
        <v>22</v>
      </c>
      <c r="B160" s="24">
        <f t="shared" si="6"/>
        <v>46177</v>
      </c>
      <c r="C160" s="25">
        <v>6.3</v>
      </c>
      <c r="D160" s="26" t="s">
        <v>27</v>
      </c>
      <c r="E160" s="22" t="s">
        <v>29</v>
      </c>
      <c r="F160" s="22" t="s">
        <v>30</v>
      </c>
      <c r="G160" s="19">
        <v>0.0</v>
      </c>
      <c r="I160" s="20">
        <v>0.0</v>
      </c>
      <c r="K160" s="20">
        <v>0.0</v>
      </c>
      <c r="M160" s="20">
        <v>0.0</v>
      </c>
      <c r="O160" s="20">
        <v>0.0</v>
      </c>
      <c r="Q160" s="27">
        <f t="shared" si="1"/>
        <v>0</v>
      </c>
      <c r="R160" s="26">
        <f t="shared" si="2"/>
        <v>0</v>
      </c>
      <c r="S160" s="26">
        <f t="shared" si="3"/>
        <v>0</v>
      </c>
      <c r="T160" s="26">
        <f t="shared" si="4"/>
        <v>0</v>
      </c>
      <c r="U160" s="28">
        <f t="shared" si="5"/>
        <v>0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23" t="s">
        <v>23</v>
      </c>
      <c r="B161" s="24">
        <f t="shared" si="6"/>
        <v>46178</v>
      </c>
      <c r="C161" s="25">
        <v>6.3</v>
      </c>
      <c r="D161" s="26" t="s">
        <v>27</v>
      </c>
      <c r="E161" s="22" t="s">
        <v>31</v>
      </c>
      <c r="F161" s="22" t="s">
        <v>32</v>
      </c>
      <c r="G161" s="19">
        <v>60.0</v>
      </c>
      <c r="I161" s="20">
        <v>60.0</v>
      </c>
      <c r="K161" s="20">
        <v>60.0</v>
      </c>
      <c r="M161" s="20">
        <v>0.0</v>
      </c>
      <c r="O161" s="20">
        <v>0.0</v>
      </c>
      <c r="Q161" s="27">
        <f t="shared" si="1"/>
        <v>4671.7596</v>
      </c>
      <c r="R161" s="26">
        <f t="shared" si="2"/>
        <v>180</v>
      </c>
      <c r="S161" s="26">
        <f t="shared" si="3"/>
        <v>0</v>
      </c>
      <c r="T161" s="26">
        <f t="shared" si="4"/>
        <v>180</v>
      </c>
      <c r="U161" s="28">
        <f t="shared" si="5"/>
        <v>25.95422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23" t="s">
        <v>24</v>
      </c>
      <c r="B162" s="24">
        <f t="shared" si="6"/>
        <v>46179</v>
      </c>
      <c r="C162" s="25">
        <v>6.3</v>
      </c>
      <c r="D162" s="26" t="s">
        <v>27</v>
      </c>
      <c r="E162" s="22" t="s">
        <v>31</v>
      </c>
      <c r="F162" s="22" t="s">
        <v>32</v>
      </c>
      <c r="G162" s="19">
        <v>60.0</v>
      </c>
      <c r="I162" s="20">
        <v>60.0</v>
      </c>
      <c r="K162" s="20">
        <v>60.0</v>
      </c>
      <c r="M162" s="20">
        <v>0.0</v>
      </c>
      <c r="O162" s="20">
        <v>0.0</v>
      </c>
      <c r="Q162" s="27">
        <f t="shared" si="1"/>
        <v>4671.7596</v>
      </c>
      <c r="R162" s="26">
        <f t="shared" si="2"/>
        <v>180</v>
      </c>
      <c r="S162" s="26">
        <f t="shared" si="3"/>
        <v>0</v>
      </c>
      <c r="T162" s="26">
        <f t="shared" si="4"/>
        <v>180</v>
      </c>
      <c r="U162" s="28">
        <f t="shared" si="5"/>
        <v>25.95422</v>
      </c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29" t="s">
        <v>25</v>
      </c>
      <c r="B163" s="30">
        <f t="shared" si="6"/>
        <v>46180</v>
      </c>
      <c r="C163" s="31">
        <v>6.3</v>
      </c>
      <c r="D163" s="32" t="s">
        <v>27</v>
      </c>
      <c r="E163" s="33" t="s">
        <v>31</v>
      </c>
      <c r="F163" s="33" t="s">
        <v>32</v>
      </c>
      <c r="G163" s="34">
        <v>60.0</v>
      </c>
      <c r="H163" s="6"/>
      <c r="I163" s="35">
        <v>60.0</v>
      </c>
      <c r="J163" s="6"/>
      <c r="K163" s="35">
        <v>60.0</v>
      </c>
      <c r="L163" s="6"/>
      <c r="M163" s="35">
        <v>0.0</v>
      </c>
      <c r="N163" s="6"/>
      <c r="O163" s="35">
        <v>0.0</v>
      </c>
      <c r="P163" s="6"/>
      <c r="Q163" s="36">
        <f t="shared" si="1"/>
        <v>4671.7596</v>
      </c>
      <c r="R163" s="32">
        <f t="shared" si="2"/>
        <v>180</v>
      </c>
      <c r="S163" s="32">
        <f t="shared" si="3"/>
        <v>0</v>
      </c>
      <c r="T163" s="32">
        <f t="shared" si="4"/>
        <v>180</v>
      </c>
      <c r="U163" s="37">
        <f t="shared" si="5"/>
        <v>25.95422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14" t="s">
        <v>18</v>
      </c>
      <c r="B164" s="15">
        <f t="shared" si="6"/>
        <v>46181</v>
      </c>
      <c r="C164" s="16">
        <v>6.4</v>
      </c>
      <c r="D164" s="17" t="s">
        <v>28</v>
      </c>
      <c r="E164" s="18" t="s">
        <v>29</v>
      </c>
      <c r="F164" s="18" t="s">
        <v>30</v>
      </c>
      <c r="G164" s="19">
        <v>0.0</v>
      </c>
      <c r="I164" s="20">
        <v>0.0</v>
      </c>
      <c r="K164" s="20">
        <v>0.0</v>
      </c>
      <c r="M164" s="20">
        <v>0.0</v>
      </c>
      <c r="O164" s="20">
        <v>0.0</v>
      </c>
      <c r="Q164" s="21">
        <f t="shared" si="1"/>
        <v>0</v>
      </c>
      <c r="R164" s="17">
        <f t="shared" si="2"/>
        <v>0</v>
      </c>
      <c r="S164" s="17">
        <f t="shared" si="3"/>
        <v>0</v>
      </c>
      <c r="T164" s="17">
        <f t="shared" si="4"/>
        <v>0</v>
      </c>
      <c r="U164" s="38">
        <f t="shared" si="5"/>
        <v>0</v>
      </c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23" t="s">
        <v>20</v>
      </c>
      <c r="B165" s="24">
        <f t="shared" si="6"/>
        <v>46182</v>
      </c>
      <c r="C165" s="25">
        <v>6.4</v>
      </c>
      <c r="D165" s="26" t="s">
        <v>28</v>
      </c>
      <c r="E165" s="22" t="s">
        <v>29</v>
      </c>
      <c r="F165" s="22" t="s">
        <v>30</v>
      </c>
      <c r="G165" s="19">
        <v>0.0</v>
      </c>
      <c r="I165" s="20">
        <v>0.0</v>
      </c>
      <c r="K165" s="20">
        <v>0.0</v>
      </c>
      <c r="M165" s="20">
        <v>0.0</v>
      </c>
      <c r="O165" s="20">
        <v>0.0</v>
      </c>
      <c r="Q165" s="27">
        <f t="shared" si="1"/>
        <v>0</v>
      </c>
      <c r="R165" s="26">
        <f t="shared" si="2"/>
        <v>0</v>
      </c>
      <c r="S165" s="26">
        <f t="shared" si="3"/>
        <v>0</v>
      </c>
      <c r="T165" s="26">
        <f t="shared" si="4"/>
        <v>0</v>
      </c>
      <c r="U165" s="28">
        <f t="shared" si="5"/>
        <v>0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23" t="s">
        <v>21</v>
      </c>
      <c r="B166" s="24">
        <f t="shared" si="6"/>
        <v>46183</v>
      </c>
      <c r="C166" s="25">
        <v>6.4</v>
      </c>
      <c r="D166" s="26" t="s">
        <v>28</v>
      </c>
      <c r="E166" s="22" t="s">
        <v>29</v>
      </c>
      <c r="F166" s="22" t="s">
        <v>30</v>
      </c>
      <c r="G166" s="19">
        <v>0.0</v>
      </c>
      <c r="I166" s="20">
        <v>0.0</v>
      </c>
      <c r="K166" s="20">
        <v>0.0</v>
      </c>
      <c r="M166" s="20">
        <v>0.0</v>
      </c>
      <c r="O166" s="20">
        <v>0.0</v>
      </c>
      <c r="Q166" s="27">
        <f t="shared" si="1"/>
        <v>0</v>
      </c>
      <c r="R166" s="26">
        <f t="shared" si="2"/>
        <v>0</v>
      </c>
      <c r="S166" s="26">
        <f t="shared" si="3"/>
        <v>0</v>
      </c>
      <c r="T166" s="26">
        <f t="shared" si="4"/>
        <v>0</v>
      </c>
      <c r="U166" s="28">
        <f t="shared" si="5"/>
        <v>0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23" t="s">
        <v>22</v>
      </c>
      <c r="B167" s="24">
        <f t="shared" si="6"/>
        <v>46184</v>
      </c>
      <c r="C167" s="25">
        <v>6.4</v>
      </c>
      <c r="D167" s="26" t="s">
        <v>28</v>
      </c>
      <c r="E167" s="22" t="s">
        <v>29</v>
      </c>
      <c r="F167" s="22" t="s">
        <v>30</v>
      </c>
      <c r="G167" s="19">
        <v>0.0</v>
      </c>
      <c r="I167" s="20">
        <v>0.0</v>
      </c>
      <c r="K167" s="20">
        <v>0.0</v>
      </c>
      <c r="M167" s="20">
        <v>0.0</v>
      </c>
      <c r="O167" s="20">
        <v>0.0</v>
      </c>
      <c r="Q167" s="27">
        <f t="shared" si="1"/>
        <v>0</v>
      </c>
      <c r="R167" s="26">
        <f t="shared" si="2"/>
        <v>0</v>
      </c>
      <c r="S167" s="26">
        <f t="shared" si="3"/>
        <v>0</v>
      </c>
      <c r="T167" s="26">
        <f t="shared" si="4"/>
        <v>0</v>
      </c>
      <c r="U167" s="28">
        <f t="shared" si="5"/>
        <v>0</v>
      </c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23" t="s">
        <v>23</v>
      </c>
      <c r="B168" s="24">
        <f t="shared" si="6"/>
        <v>46185</v>
      </c>
      <c r="C168" s="25">
        <v>6.4</v>
      </c>
      <c r="D168" s="26" t="s">
        <v>28</v>
      </c>
      <c r="E168" s="22" t="s">
        <v>29</v>
      </c>
      <c r="F168" s="22" t="s">
        <v>30</v>
      </c>
      <c r="G168" s="19">
        <v>0.0</v>
      </c>
      <c r="I168" s="20">
        <v>0.0</v>
      </c>
      <c r="K168" s="20">
        <v>0.0</v>
      </c>
      <c r="M168" s="20">
        <v>0.0</v>
      </c>
      <c r="O168" s="20">
        <v>0.0</v>
      </c>
      <c r="Q168" s="27">
        <f t="shared" si="1"/>
        <v>0</v>
      </c>
      <c r="R168" s="26">
        <f t="shared" si="2"/>
        <v>0</v>
      </c>
      <c r="S168" s="26">
        <f t="shared" si="3"/>
        <v>0</v>
      </c>
      <c r="T168" s="26">
        <f t="shared" si="4"/>
        <v>0</v>
      </c>
      <c r="U168" s="28">
        <f t="shared" si="5"/>
        <v>0</v>
      </c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23" t="s">
        <v>24</v>
      </c>
      <c r="B169" s="24">
        <f t="shared" si="6"/>
        <v>46186</v>
      </c>
      <c r="C169" s="25">
        <v>6.4</v>
      </c>
      <c r="D169" s="26" t="s">
        <v>28</v>
      </c>
      <c r="E169" s="22" t="s">
        <v>29</v>
      </c>
      <c r="F169" s="22" t="s">
        <v>30</v>
      </c>
      <c r="G169" s="19">
        <v>0.0</v>
      </c>
      <c r="I169" s="20">
        <v>0.0</v>
      </c>
      <c r="K169" s="20">
        <v>0.0</v>
      </c>
      <c r="M169" s="20">
        <v>0.0</v>
      </c>
      <c r="O169" s="20">
        <v>0.0</v>
      </c>
      <c r="Q169" s="27">
        <f t="shared" si="1"/>
        <v>0</v>
      </c>
      <c r="R169" s="26">
        <f t="shared" si="2"/>
        <v>0</v>
      </c>
      <c r="S169" s="26">
        <f t="shared" si="3"/>
        <v>0</v>
      </c>
      <c r="T169" s="26">
        <f t="shared" si="4"/>
        <v>0</v>
      </c>
      <c r="U169" s="28">
        <f t="shared" si="5"/>
        <v>0</v>
      </c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29" t="s">
        <v>25</v>
      </c>
      <c r="B170" s="30">
        <f t="shared" si="6"/>
        <v>46187</v>
      </c>
      <c r="C170" s="31">
        <v>6.4</v>
      </c>
      <c r="D170" s="32" t="s">
        <v>28</v>
      </c>
      <c r="E170" s="33" t="s">
        <v>29</v>
      </c>
      <c r="F170" s="33" t="s">
        <v>30</v>
      </c>
      <c r="G170" s="34">
        <v>0.0</v>
      </c>
      <c r="H170" s="6"/>
      <c r="I170" s="35">
        <v>0.0</v>
      </c>
      <c r="J170" s="6"/>
      <c r="K170" s="35">
        <v>0.0</v>
      </c>
      <c r="L170" s="6"/>
      <c r="M170" s="35">
        <v>0.0</v>
      </c>
      <c r="N170" s="6"/>
      <c r="O170" s="35">
        <v>0.0</v>
      </c>
      <c r="P170" s="6"/>
      <c r="Q170" s="36">
        <f t="shared" si="1"/>
        <v>0</v>
      </c>
      <c r="R170" s="32">
        <f t="shared" si="2"/>
        <v>0</v>
      </c>
      <c r="S170" s="32">
        <f t="shared" si="3"/>
        <v>0</v>
      </c>
      <c r="T170" s="32">
        <f t="shared" si="4"/>
        <v>0</v>
      </c>
      <c r="U170" s="37">
        <f t="shared" si="5"/>
        <v>0</v>
      </c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14" t="s">
        <v>18</v>
      </c>
      <c r="B171" s="15">
        <f t="shared" si="6"/>
        <v>46188</v>
      </c>
      <c r="C171" s="16">
        <v>7.1</v>
      </c>
      <c r="D171" s="17" t="s">
        <v>19</v>
      </c>
      <c r="E171" s="18" t="s">
        <v>31</v>
      </c>
      <c r="F171" s="18" t="s">
        <v>32</v>
      </c>
      <c r="G171" s="19">
        <v>60.0</v>
      </c>
      <c r="I171" s="20">
        <v>60.0</v>
      </c>
      <c r="K171" s="20">
        <v>60.0</v>
      </c>
      <c r="M171" s="20">
        <v>0.0</v>
      </c>
      <c r="O171" s="20">
        <v>0.0</v>
      </c>
      <c r="Q171" s="21">
        <f t="shared" si="1"/>
        <v>4671.7596</v>
      </c>
      <c r="R171" s="17">
        <f t="shared" si="2"/>
        <v>180</v>
      </c>
      <c r="S171" s="17">
        <f t="shared" si="3"/>
        <v>0</v>
      </c>
      <c r="T171" s="17">
        <f t="shared" si="4"/>
        <v>180</v>
      </c>
      <c r="U171" s="38">
        <f t="shared" si="5"/>
        <v>25.95422</v>
      </c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23" t="s">
        <v>20</v>
      </c>
      <c r="B172" s="24">
        <f t="shared" si="6"/>
        <v>46189</v>
      </c>
      <c r="C172" s="25">
        <v>7.1</v>
      </c>
      <c r="D172" s="26" t="s">
        <v>19</v>
      </c>
      <c r="E172" s="22" t="s">
        <v>31</v>
      </c>
      <c r="F172" s="22" t="s">
        <v>32</v>
      </c>
      <c r="G172" s="19">
        <v>60.0</v>
      </c>
      <c r="I172" s="20">
        <v>60.0</v>
      </c>
      <c r="K172" s="20">
        <v>60.0</v>
      </c>
      <c r="M172" s="20">
        <v>0.0</v>
      </c>
      <c r="O172" s="20">
        <v>0.0</v>
      </c>
      <c r="Q172" s="27">
        <f t="shared" si="1"/>
        <v>4671.7596</v>
      </c>
      <c r="R172" s="26">
        <f t="shared" si="2"/>
        <v>180</v>
      </c>
      <c r="S172" s="26">
        <f t="shared" si="3"/>
        <v>0</v>
      </c>
      <c r="T172" s="26">
        <f t="shared" si="4"/>
        <v>180</v>
      </c>
      <c r="U172" s="28">
        <f t="shared" si="5"/>
        <v>25.95422</v>
      </c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23" t="s">
        <v>21</v>
      </c>
      <c r="B173" s="24">
        <f t="shared" si="6"/>
        <v>46190</v>
      </c>
      <c r="C173" s="25">
        <v>7.1</v>
      </c>
      <c r="D173" s="26" t="s">
        <v>19</v>
      </c>
      <c r="E173" s="22" t="s">
        <v>33</v>
      </c>
      <c r="F173" s="22" t="s">
        <v>30</v>
      </c>
      <c r="G173" s="19">
        <v>0.0</v>
      </c>
      <c r="I173" s="20">
        <v>0.0</v>
      </c>
      <c r="K173" s="20">
        <v>0.0</v>
      </c>
      <c r="M173" s="20">
        <v>0.0</v>
      </c>
      <c r="O173" s="20">
        <v>0.0</v>
      </c>
      <c r="Q173" s="27">
        <f t="shared" si="1"/>
        <v>0</v>
      </c>
      <c r="R173" s="26">
        <f t="shared" si="2"/>
        <v>0</v>
      </c>
      <c r="S173" s="26">
        <f t="shared" si="3"/>
        <v>0</v>
      </c>
      <c r="T173" s="26">
        <f t="shared" si="4"/>
        <v>0</v>
      </c>
      <c r="U173" s="28">
        <f t="shared" si="5"/>
        <v>0</v>
      </c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23" t="s">
        <v>22</v>
      </c>
      <c r="B174" s="24">
        <f t="shared" si="6"/>
        <v>46191</v>
      </c>
      <c r="C174" s="25">
        <v>7.1</v>
      </c>
      <c r="D174" s="26" t="s">
        <v>19</v>
      </c>
      <c r="E174" s="22" t="s">
        <v>31</v>
      </c>
      <c r="F174" s="22" t="s">
        <v>32</v>
      </c>
      <c r="G174" s="19">
        <v>60.0</v>
      </c>
      <c r="I174" s="20">
        <v>60.0</v>
      </c>
      <c r="K174" s="20">
        <v>60.0</v>
      </c>
      <c r="M174" s="20">
        <v>0.0</v>
      </c>
      <c r="O174" s="20">
        <v>0.0</v>
      </c>
      <c r="Q174" s="27">
        <f t="shared" si="1"/>
        <v>4671.7596</v>
      </c>
      <c r="R174" s="26">
        <f t="shared" si="2"/>
        <v>180</v>
      </c>
      <c r="S174" s="26">
        <f t="shared" si="3"/>
        <v>0</v>
      </c>
      <c r="T174" s="26">
        <f t="shared" si="4"/>
        <v>180</v>
      </c>
      <c r="U174" s="28">
        <f t="shared" si="5"/>
        <v>25.95422</v>
      </c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23" t="s">
        <v>23</v>
      </c>
      <c r="B175" s="24">
        <f t="shared" si="6"/>
        <v>46192</v>
      </c>
      <c r="C175" s="25">
        <v>7.1</v>
      </c>
      <c r="D175" s="26" t="s">
        <v>19</v>
      </c>
      <c r="E175" s="22" t="s">
        <v>31</v>
      </c>
      <c r="F175" s="22" t="s">
        <v>32</v>
      </c>
      <c r="G175" s="19">
        <v>60.0</v>
      </c>
      <c r="I175" s="20">
        <v>60.0</v>
      </c>
      <c r="K175" s="20">
        <v>60.0</v>
      </c>
      <c r="M175" s="20">
        <v>0.0</v>
      </c>
      <c r="O175" s="20">
        <v>0.0</v>
      </c>
      <c r="Q175" s="27">
        <f t="shared" si="1"/>
        <v>4671.7596</v>
      </c>
      <c r="R175" s="26">
        <f t="shared" si="2"/>
        <v>180</v>
      </c>
      <c r="S175" s="26">
        <f t="shared" si="3"/>
        <v>0</v>
      </c>
      <c r="T175" s="26">
        <f t="shared" si="4"/>
        <v>180</v>
      </c>
      <c r="U175" s="28">
        <f t="shared" si="5"/>
        <v>25.95422</v>
      </c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23" t="s">
        <v>24</v>
      </c>
      <c r="B176" s="24">
        <f t="shared" si="6"/>
        <v>46193</v>
      </c>
      <c r="C176" s="25">
        <v>7.1</v>
      </c>
      <c r="D176" s="26" t="s">
        <v>19</v>
      </c>
      <c r="E176" s="22" t="s">
        <v>31</v>
      </c>
      <c r="F176" s="22" t="s">
        <v>32</v>
      </c>
      <c r="G176" s="19">
        <v>60.0</v>
      </c>
      <c r="I176" s="20">
        <v>60.0</v>
      </c>
      <c r="K176" s="20">
        <v>60.0</v>
      </c>
      <c r="M176" s="20">
        <v>0.0</v>
      </c>
      <c r="O176" s="20">
        <v>0.0</v>
      </c>
      <c r="Q176" s="27">
        <f t="shared" si="1"/>
        <v>4671.7596</v>
      </c>
      <c r="R176" s="26">
        <f t="shared" si="2"/>
        <v>180</v>
      </c>
      <c r="S176" s="26">
        <f t="shared" si="3"/>
        <v>0</v>
      </c>
      <c r="T176" s="26">
        <f t="shared" si="4"/>
        <v>180</v>
      </c>
      <c r="U176" s="28">
        <f t="shared" si="5"/>
        <v>25.95422</v>
      </c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29" t="s">
        <v>25</v>
      </c>
      <c r="B177" s="30">
        <f t="shared" si="6"/>
        <v>46194</v>
      </c>
      <c r="C177" s="31">
        <v>7.1</v>
      </c>
      <c r="D177" s="32" t="s">
        <v>19</v>
      </c>
      <c r="E177" s="33" t="s">
        <v>31</v>
      </c>
      <c r="F177" s="33" t="s">
        <v>32</v>
      </c>
      <c r="G177" s="34">
        <v>60.0</v>
      </c>
      <c r="H177" s="6"/>
      <c r="I177" s="35">
        <v>60.0</v>
      </c>
      <c r="J177" s="6"/>
      <c r="K177" s="35">
        <v>60.0</v>
      </c>
      <c r="L177" s="6"/>
      <c r="M177" s="35">
        <v>0.0</v>
      </c>
      <c r="N177" s="6"/>
      <c r="O177" s="35">
        <v>0.0</v>
      </c>
      <c r="P177" s="6"/>
      <c r="Q177" s="36">
        <f t="shared" si="1"/>
        <v>4671.7596</v>
      </c>
      <c r="R177" s="32">
        <f t="shared" si="2"/>
        <v>180</v>
      </c>
      <c r="S177" s="32">
        <f t="shared" si="3"/>
        <v>0</v>
      </c>
      <c r="T177" s="32">
        <f t="shared" si="4"/>
        <v>180</v>
      </c>
      <c r="U177" s="37">
        <f t="shared" si="5"/>
        <v>25.95422</v>
      </c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14" t="s">
        <v>18</v>
      </c>
      <c r="B178" s="15">
        <f t="shared" si="6"/>
        <v>46195</v>
      </c>
      <c r="C178" s="16">
        <v>7.2</v>
      </c>
      <c r="D178" s="17" t="s">
        <v>26</v>
      </c>
      <c r="E178" s="18" t="s">
        <v>29</v>
      </c>
      <c r="F178" s="18" t="s">
        <v>30</v>
      </c>
      <c r="G178" s="19">
        <v>0.0</v>
      </c>
      <c r="I178" s="20">
        <v>0.0</v>
      </c>
      <c r="K178" s="20">
        <v>0.0</v>
      </c>
      <c r="M178" s="20">
        <v>0.0</v>
      </c>
      <c r="O178" s="20">
        <v>0.0</v>
      </c>
      <c r="Q178" s="21">
        <f t="shared" si="1"/>
        <v>0</v>
      </c>
      <c r="R178" s="17">
        <f t="shared" si="2"/>
        <v>0</v>
      </c>
      <c r="S178" s="17">
        <f t="shared" si="3"/>
        <v>0</v>
      </c>
      <c r="T178" s="17">
        <f t="shared" si="4"/>
        <v>0</v>
      </c>
      <c r="U178" s="38">
        <f t="shared" si="5"/>
        <v>0</v>
      </c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23" t="s">
        <v>20</v>
      </c>
      <c r="B179" s="24">
        <f t="shared" si="6"/>
        <v>46196</v>
      </c>
      <c r="C179" s="25">
        <v>7.2</v>
      </c>
      <c r="D179" s="26" t="s">
        <v>26</v>
      </c>
      <c r="E179" s="22" t="s">
        <v>29</v>
      </c>
      <c r="F179" s="22" t="s">
        <v>30</v>
      </c>
      <c r="G179" s="19">
        <v>0.0</v>
      </c>
      <c r="I179" s="20">
        <v>0.0</v>
      </c>
      <c r="K179" s="20">
        <v>0.0</v>
      </c>
      <c r="M179" s="20">
        <v>0.0</v>
      </c>
      <c r="O179" s="20">
        <v>0.0</v>
      </c>
      <c r="Q179" s="27">
        <f t="shared" si="1"/>
        <v>0</v>
      </c>
      <c r="R179" s="26">
        <f t="shared" si="2"/>
        <v>0</v>
      </c>
      <c r="S179" s="26">
        <f t="shared" si="3"/>
        <v>0</v>
      </c>
      <c r="T179" s="26">
        <f t="shared" si="4"/>
        <v>0</v>
      </c>
      <c r="U179" s="28">
        <f t="shared" si="5"/>
        <v>0</v>
      </c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23" t="s">
        <v>21</v>
      </c>
      <c r="B180" s="24">
        <f t="shared" si="6"/>
        <v>46197</v>
      </c>
      <c r="C180" s="25">
        <v>7.2</v>
      </c>
      <c r="D180" s="26" t="s">
        <v>26</v>
      </c>
      <c r="E180" s="22" t="s">
        <v>29</v>
      </c>
      <c r="F180" s="22" t="s">
        <v>30</v>
      </c>
      <c r="G180" s="19">
        <v>0.0</v>
      </c>
      <c r="I180" s="20">
        <v>0.0</v>
      </c>
      <c r="K180" s="20">
        <v>0.0</v>
      </c>
      <c r="M180" s="20">
        <v>0.0</v>
      </c>
      <c r="O180" s="20">
        <v>0.0</v>
      </c>
      <c r="Q180" s="27">
        <f t="shared" si="1"/>
        <v>0</v>
      </c>
      <c r="R180" s="26">
        <f t="shared" si="2"/>
        <v>0</v>
      </c>
      <c r="S180" s="26">
        <f t="shared" si="3"/>
        <v>0</v>
      </c>
      <c r="T180" s="26">
        <f t="shared" si="4"/>
        <v>0</v>
      </c>
      <c r="U180" s="28">
        <f t="shared" si="5"/>
        <v>0</v>
      </c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23" t="s">
        <v>22</v>
      </c>
      <c r="B181" s="24">
        <f t="shared" si="6"/>
        <v>46198</v>
      </c>
      <c r="C181" s="25">
        <v>7.2</v>
      </c>
      <c r="D181" s="26" t="s">
        <v>26</v>
      </c>
      <c r="E181" s="22" t="s">
        <v>29</v>
      </c>
      <c r="F181" s="22" t="s">
        <v>30</v>
      </c>
      <c r="G181" s="19">
        <v>0.0</v>
      </c>
      <c r="I181" s="20">
        <v>0.0</v>
      </c>
      <c r="K181" s="20">
        <v>0.0</v>
      </c>
      <c r="M181" s="20">
        <v>0.0</v>
      </c>
      <c r="O181" s="20">
        <v>0.0</v>
      </c>
      <c r="Q181" s="27">
        <f t="shared" si="1"/>
        <v>0</v>
      </c>
      <c r="R181" s="26">
        <f t="shared" si="2"/>
        <v>0</v>
      </c>
      <c r="S181" s="26">
        <f t="shared" si="3"/>
        <v>0</v>
      </c>
      <c r="T181" s="26">
        <f t="shared" si="4"/>
        <v>0</v>
      </c>
      <c r="U181" s="28">
        <f t="shared" si="5"/>
        <v>0</v>
      </c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23" t="s">
        <v>23</v>
      </c>
      <c r="B182" s="24">
        <f t="shared" si="6"/>
        <v>46199</v>
      </c>
      <c r="C182" s="25">
        <v>7.2</v>
      </c>
      <c r="D182" s="26" t="s">
        <v>26</v>
      </c>
      <c r="E182" s="22" t="s">
        <v>29</v>
      </c>
      <c r="F182" s="22" t="s">
        <v>30</v>
      </c>
      <c r="G182" s="19">
        <v>0.0</v>
      </c>
      <c r="I182" s="20">
        <v>0.0</v>
      </c>
      <c r="K182" s="20">
        <v>0.0</v>
      </c>
      <c r="M182" s="20">
        <v>0.0</v>
      </c>
      <c r="O182" s="20">
        <v>0.0</v>
      </c>
      <c r="Q182" s="27">
        <f t="shared" si="1"/>
        <v>0</v>
      </c>
      <c r="R182" s="26">
        <f t="shared" si="2"/>
        <v>0</v>
      </c>
      <c r="S182" s="26">
        <f t="shared" si="3"/>
        <v>0</v>
      </c>
      <c r="T182" s="26">
        <f t="shared" si="4"/>
        <v>0</v>
      </c>
      <c r="U182" s="28">
        <f t="shared" si="5"/>
        <v>0</v>
      </c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23" t="s">
        <v>24</v>
      </c>
      <c r="B183" s="24">
        <f t="shared" si="6"/>
        <v>46200</v>
      </c>
      <c r="C183" s="25">
        <v>7.2</v>
      </c>
      <c r="D183" s="26" t="s">
        <v>26</v>
      </c>
      <c r="E183" s="22" t="s">
        <v>29</v>
      </c>
      <c r="F183" s="22" t="s">
        <v>30</v>
      </c>
      <c r="G183" s="19">
        <v>0.0</v>
      </c>
      <c r="I183" s="20">
        <v>0.0</v>
      </c>
      <c r="K183" s="20">
        <v>0.0</v>
      </c>
      <c r="M183" s="20">
        <v>0.0</v>
      </c>
      <c r="O183" s="20">
        <v>0.0</v>
      </c>
      <c r="Q183" s="27">
        <f t="shared" si="1"/>
        <v>0</v>
      </c>
      <c r="R183" s="26">
        <f t="shared" si="2"/>
        <v>0</v>
      </c>
      <c r="S183" s="26">
        <f t="shared" si="3"/>
        <v>0</v>
      </c>
      <c r="T183" s="26">
        <f t="shared" si="4"/>
        <v>0</v>
      </c>
      <c r="U183" s="28">
        <f t="shared" si="5"/>
        <v>0</v>
      </c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29" t="s">
        <v>25</v>
      </c>
      <c r="B184" s="30">
        <f t="shared" si="6"/>
        <v>46201</v>
      </c>
      <c r="C184" s="31">
        <v>7.2</v>
      </c>
      <c r="D184" s="32" t="s">
        <v>26</v>
      </c>
      <c r="E184" s="33" t="s">
        <v>29</v>
      </c>
      <c r="F184" s="33" t="s">
        <v>30</v>
      </c>
      <c r="G184" s="34">
        <v>0.0</v>
      </c>
      <c r="H184" s="6"/>
      <c r="I184" s="35">
        <v>0.0</v>
      </c>
      <c r="J184" s="6"/>
      <c r="K184" s="35">
        <v>0.0</v>
      </c>
      <c r="L184" s="6"/>
      <c r="M184" s="35">
        <v>0.0</v>
      </c>
      <c r="N184" s="6"/>
      <c r="O184" s="35">
        <v>0.0</v>
      </c>
      <c r="P184" s="6"/>
      <c r="Q184" s="36">
        <f t="shared" si="1"/>
        <v>0</v>
      </c>
      <c r="R184" s="32">
        <f t="shared" si="2"/>
        <v>0</v>
      </c>
      <c r="S184" s="32">
        <f t="shared" si="3"/>
        <v>0</v>
      </c>
      <c r="T184" s="32">
        <f t="shared" si="4"/>
        <v>0</v>
      </c>
      <c r="U184" s="37">
        <f t="shared" si="5"/>
        <v>0</v>
      </c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14" t="s">
        <v>18</v>
      </c>
      <c r="B185" s="15">
        <f t="shared" si="6"/>
        <v>46202</v>
      </c>
      <c r="C185" s="16">
        <v>7.3</v>
      </c>
      <c r="D185" s="17" t="s">
        <v>27</v>
      </c>
      <c r="E185" s="18" t="s">
        <v>29</v>
      </c>
      <c r="F185" s="18" t="s">
        <v>30</v>
      </c>
      <c r="G185" s="19">
        <v>0.0</v>
      </c>
      <c r="I185" s="20">
        <v>0.0</v>
      </c>
      <c r="K185" s="20">
        <v>0.0</v>
      </c>
      <c r="M185" s="20">
        <v>0.0</v>
      </c>
      <c r="O185" s="20">
        <v>0.0</v>
      </c>
      <c r="Q185" s="21">
        <f t="shared" si="1"/>
        <v>0</v>
      </c>
      <c r="R185" s="17">
        <f t="shared" si="2"/>
        <v>0</v>
      </c>
      <c r="S185" s="17">
        <f t="shared" si="3"/>
        <v>0</v>
      </c>
      <c r="T185" s="17">
        <f t="shared" si="4"/>
        <v>0</v>
      </c>
      <c r="U185" s="38">
        <f t="shared" si="5"/>
        <v>0</v>
      </c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23" t="s">
        <v>20</v>
      </c>
      <c r="B186" s="24">
        <f t="shared" si="6"/>
        <v>46203</v>
      </c>
      <c r="C186" s="25">
        <v>7.3</v>
      </c>
      <c r="D186" s="26" t="s">
        <v>27</v>
      </c>
      <c r="E186" s="22" t="s">
        <v>29</v>
      </c>
      <c r="F186" s="22" t="s">
        <v>30</v>
      </c>
      <c r="G186" s="19">
        <v>0.0</v>
      </c>
      <c r="I186" s="20">
        <v>0.0</v>
      </c>
      <c r="K186" s="20">
        <v>0.0</v>
      </c>
      <c r="M186" s="20">
        <v>0.0</v>
      </c>
      <c r="O186" s="20">
        <v>0.0</v>
      </c>
      <c r="Q186" s="27">
        <f t="shared" si="1"/>
        <v>0</v>
      </c>
      <c r="R186" s="26">
        <f t="shared" si="2"/>
        <v>0</v>
      </c>
      <c r="S186" s="26">
        <f t="shared" si="3"/>
        <v>0</v>
      </c>
      <c r="T186" s="26">
        <f t="shared" si="4"/>
        <v>0</v>
      </c>
      <c r="U186" s="28">
        <f t="shared" si="5"/>
        <v>0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23" t="s">
        <v>21</v>
      </c>
      <c r="B187" s="24">
        <f t="shared" si="6"/>
        <v>46204</v>
      </c>
      <c r="C187" s="25">
        <v>7.3</v>
      </c>
      <c r="D187" s="26" t="s">
        <v>27</v>
      </c>
      <c r="E187" s="22" t="s">
        <v>29</v>
      </c>
      <c r="F187" s="22" t="s">
        <v>30</v>
      </c>
      <c r="G187" s="19">
        <v>0.0</v>
      </c>
      <c r="I187" s="20">
        <v>0.0</v>
      </c>
      <c r="K187" s="20">
        <v>0.0</v>
      </c>
      <c r="M187" s="20">
        <v>0.0</v>
      </c>
      <c r="O187" s="20">
        <v>0.0</v>
      </c>
      <c r="Q187" s="27">
        <f t="shared" si="1"/>
        <v>0</v>
      </c>
      <c r="R187" s="26">
        <f t="shared" si="2"/>
        <v>0</v>
      </c>
      <c r="S187" s="26">
        <f t="shared" si="3"/>
        <v>0</v>
      </c>
      <c r="T187" s="26">
        <f t="shared" si="4"/>
        <v>0</v>
      </c>
      <c r="U187" s="28">
        <f t="shared" si="5"/>
        <v>0</v>
      </c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23" t="s">
        <v>22</v>
      </c>
      <c r="B188" s="24">
        <f t="shared" si="6"/>
        <v>46205</v>
      </c>
      <c r="C188" s="25">
        <v>7.3</v>
      </c>
      <c r="D188" s="26" t="s">
        <v>27</v>
      </c>
      <c r="E188" s="22" t="s">
        <v>31</v>
      </c>
      <c r="F188" s="22" t="s">
        <v>32</v>
      </c>
      <c r="G188" s="19">
        <v>60.0</v>
      </c>
      <c r="I188" s="20">
        <v>60.0</v>
      </c>
      <c r="K188" s="20">
        <v>60.0</v>
      </c>
      <c r="M188" s="20">
        <v>0.0</v>
      </c>
      <c r="O188" s="20">
        <v>0.0</v>
      </c>
      <c r="Q188" s="27">
        <f t="shared" si="1"/>
        <v>4671.7596</v>
      </c>
      <c r="R188" s="26">
        <f t="shared" si="2"/>
        <v>180</v>
      </c>
      <c r="S188" s="26">
        <f t="shared" si="3"/>
        <v>0</v>
      </c>
      <c r="T188" s="26">
        <f t="shared" si="4"/>
        <v>180</v>
      </c>
      <c r="U188" s="28">
        <f t="shared" si="5"/>
        <v>25.95422</v>
      </c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23" t="s">
        <v>23</v>
      </c>
      <c r="B189" s="24">
        <f t="shared" si="6"/>
        <v>46206</v>
      </c>
      <c r="C189" s="25">
        <v>7.3</v>
      </c>
      <c r="D189" s="26" t="s">
        <v>27</v>
      </c>
      <c r="E189" s="22" t="s">
        <v>33</v>
      </c>
      <c r="F189" s="22" t="s">
        <v>30</v>
      </c>
      <c r="G189" s="19">
        <v>0.0</v>
      </c>
      <c r="I189" s="20">
        <v>0.0</v>
      </c>
      <c r="K189" s="20">
        <v>0.0</v>
      </c>
      <c r="M189" s="20">
        <v>0.0</v>
      </c>
      <c r="O189" s="20">
        <v>0.0</v>
      </c>
      <c r="Q189" s="27">
        <f t="shared" si="1"/>
        <v>0</v>
      </c>
      <c r="R189" s="26">
        <f t="shared" si="2"/>
        <v>0</v>
      </c>
      <c r="S189" s="26">
        <f t="shared" si="3"/>
        <v>0</v>
      </c>
      <c r="T189" s="26">
        <f t="shared" si="4"/>
        <v>0</v>
      </c>
      <c r="U189" s="28">
        <f t="shared" si="5"/>
        <v>0</v>
      </c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23" t="s">
        <v>24</v>
      </c>
      <c r="B190" s="24">
        <f t="shared" si="6"/>
        <v>46207</v>
      </c>
      <c r="C190" s="25">
        <v>7.3</v>
      </c>
      <c r="D190" s="26" t="s">
        <v>27</v>
      </c>
      <c r="E190" s="22" t="s">
        <v>31</v>
      </c>
      <c r="F190" s="22" t="s">
        <v>32</v>
      </c>
      <c r="G190" s="19">
        <v>60.0</v>
      </c>
      <c r="I190" s="20">
        <v>60.0</v>
      </c>
      <c r="K190" s="20">
        <v>60.0</v>
      </c>
      <c r="M190" s="20">
        <v>0.0</v>
      </c>
      <c r="O190" s="20">
        <v>0.0</v>
      </c>
      <c r="Q190" s="27">
        <f t="shared" si="1"/>
        <v>4671.7596</v>
      </c>
      <c r="R190" s="26">
        <f t="shared" si="2"/>
        <v>180</v>
      </c>
      <c r="S190" s="26">
        <f t="shared" si="3"/>
        <v>0</v>
      </c>
      <c r="T190" s="26">
        <f t="shared" si="4"/>
        <v>180</v>
      </c>
      <c r="U190" s="28">
        <f t="shared" si="5"/>
        <v>25.95422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29" t="s">
        <v>25</v>
      </c>
      <c r="B191" s="30">
        <f t="shared" si="6"/>
        <v>46208</v>
      </c>
      <c r="C191" s="31">
        <v>7.3</v>
      </c>
      <c r="D191" s="32" t="s">
        <v>27</v>
      </c>
      <c r="E191" s="33" t="s">
        <v>31</v>
      </c>
      <c r="F191" s="33" t="s">
        <v>32</v>
      </c>
      <c r="G191" s="34">
        <v>60.0</v>
      </c>
      <c r="H191" s="6"/>
      <c r="I191" s="35">
        <v>60.0</v>
      </c>
      <c r="J191" s="6"/>
      <c r="K191" s="35">
        <v>60.0</v>
      </c>
      <c r="L191" s="6"/>
      <c r="M191" s="35">
        <v>0.0</v>
      </c>
      <c r="N191" s="6"/>
      <c r="O191" s="35">
        <v>0.0</v>
      </c>
      <c r="P191" s="6"/>
      <c r="Q191" s="36">
        <f t="shared" si="1"/>
        <v>4671.7596</v>
      </c>
      <c r="R191" s="32">
        <f t="shared" si="2"/>
        <v>180</v>
      </c>
      <c r="S191" s="32">
        <f t="shared" si="3"/>
        <v>0</v>
      </c>
      <c r="T191" s="32">
        <f t="shared" si="4"/>
        <v>180</v>
      </c>
      <c r="U191" s="37">
        <f t="shared" si="5"/>
        <v>25.95422</v>
      </c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14" t="s">
        <v>18</v>
      </c>
      <c r="B192" s="15">
        <f t="shared" si="6"/>
        <v>46209</v>
      </c>
      <c r="C192" s="16">
        <v>7.4</v>
      </c>
      <c r="D192" s="17" t="s">
        <v>28</v>
      </c>
      <c r="E192" s="18" t="s">
        <v>33</v>
      </c>
      <c r="F192" s="18" t="s">
        <v>30</v>
      </c>
      <c r="G192" s="19">
        <v>0.0</v>
      </c>
      <c r="I192" s="20">
        <v>0.0</v>
      </c>
      <c r="K192" s="20">
        <v>0.0</v>
      </c>
      <c r="M192" s="20">
        <v>0.0</v>
      </c>
      <c r="O192" s="20">
        <v>0.0</v>
      </c>
      <c r="Q192" s="21">
        <f t="shared" si="1"/>
        <v>0</v>
      </c>
      <c r="R192" s="17">
        <f t="shared" si="2"/>
        <v>0</v>
      </c>
      <c r="S192" s="17">
        <f t="shared" si="3"/>
        <v>0</v>
      </c>
      <c r="T192" s="17">
        <f t="shared" si="4"/>
        <v>0</v>
      </c>
      <c r="U192" s="38">
        <f t="shared" si="5"/>
        <v>0</v>
      </c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23" t="s">
        <v>20</v>
      </c>
      <c r="B193" s="24">
        <f t="shared" si="6"/>
        <v>46210</v>
      </c>
      <c r="C193" s="25">
        <v>7.4</v>
      </c>
      <c r="D193" s="26" t="s">
        <v>28</v>
      </c>
      <c r="E193" s="22" t="s">
        <v>31</v>
      </c>
      <c r="F193" s="22" t="s">
        <v>32</v>
      </c>
      <c r="G193" s="19">
        <v>60.0</v>
      </c>
      <c r="I193" s="20">
        <v>60.0</v>
      </c>
      <c r="K193" s="20">
        <v>60.0</v>
      </c>
      <c r="M193" s="20">
        <v>0.0</v>
      </c>
      <c r="O193" s="20">
        <v>0.0</v>
      </c>
      <c r="Q193" s="27">
        <f t="shared" si="1"/>
        <v>4671.7596</v>
      </c>
      <c r="R193" s="26">
        <f t="shared" si="2"/>
        <v>180</v>
      </c>
      <c r="S193" s="26">
        <f t="shared" si="3"/>
        <v>0</v>
      </c>
      <c r="T193" s="26">
        <f t="shared" si="4"/>
        <v>180</v>
      </c>
      <c r="U193" s="28">
        <f t="shared" si="5"/>
        <v>25.95422</v>
      </c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23" t="s">
        <v>21</v>
      </c>
      <c r="B194" s="24">
        <f t="shared" si="6"/>
        <v>46211</v>
      </c>
      <c r="C194" s="25">
        <v>7.4</v>
      </c>
      <c r="D194" s="26" t="s">
        <v>28</v>
      </c>
      <c r="E194" s="22" t="s">
        <v>31</v>
      </c>
      <c r="F194" s="22" t="s">
        <v>32</v>
      </c>
      <c r="G194" s="19">
        <v>60.0</v>
      </c>
      <c r="I194" s="20">
        <v>60.0</v>
      </c>
      <c r="K194" s="20">
        <v>60.0</v>
      </c>
      <c r="M194" s="20">
        <v>0.0</v>
      </c>
      <c r="O194" s="20">
        <v>0.0</v>
      </c>
      <c r="Q194" s="27">
        <f t="shared" si="1"/>
        <v>4671.7596</v>
      </c>
      <c r="R194" s="26">
        <f t="shared" si="2"/>
        <v>180</v>
      </c>
      <c r="S194" s="26">
        <f t="shared" si="3"/>
        <v>0</v>
      </c>
      <c r="T194" s="26">
        <f t="shared" si="4"/>
        <v>180</v>
      </c>
      <c r="U194" s="28">
        <f t="shared" si="5"/>
        <v>25.95422</v>
      </c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23" t="s">
        <v>22</v>
      </c>
      <c r="B195" s="24">
        <f t="shared" si="6"/>
        <v>46212</v>
      </c>
      <c r="C195" s="25">
        <v>7.4</v>
      </c>
      <c r="D195" s="26" t="s">
        <v>28</v>
      </c>
      <c r="E195" s="22" t="s">
        <v>31</v>
      </c>
      <c r="F195" s="22" t="s">
        <v>32</v>
      </c>
      <c r="G195" s="19">
        <v>60.0</v>
      </c>
      <c r="I195" s="20">
        <v>60.0</v>
      </c>
      <c r="K195" s="20">
        <v>60.0</v>
      </c>
      <c r="M195" s="20">
        <v>0.0</v>
      </c>
      <c r="O195" s="20">
        <v>0.0</v>
      </c>
      <c r="Q195" s="27">
        <f t="shared" si="1"/>
        <v>4671.7596</v>
      </c>
      <c r="R195" s="26">
        <f t="shared" si="2"/>
        <v>180</v>
      </c>
      <c r="S195" s="26">
        <f t="shared" si="3"/>
        <v>0</v>
      </c>
      <c r="T195" s="26">
        <f t="shared" si="4"/>
        <v>180</v>
      </c>
      <c r="U195" s="28">
        <f t="shared" si="5"/>
        <v>25.95422</v>
      </c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23" t="s">
        <v>23</v>
      </c>
      <c r="B196" s="24">
        <f t="shared" si="6"/>
        <v>46213</v>
      </c>
      <c r="C196" s="25">
        <v>7.4</v>
      </c>
      <c r="D196" s="26" t="s">
        <v>28</v>
      </c>
      <c r="E196" s="22" t="s">
        <v>31</v>
      </c>
      <c r="F196" s="22" t="s">
        <v>32</v>
      </c>
      <c r="G196" s="19">
        <v>60.0</v>
      </c>
      <c r="I196" s="20">
        <v>60.0</v>
      </c>
      <c r="K196" s="20">
        <v>60.0</v>
      </c>
      <c r="M196" s="20">
        <v>0.0</v>
      </c>
      <c r="O196" s="20">
        <v>0.0</v>
      </c>
      <c r="Q196" s="27">
        <f t="shared" si="1"/>
        <v>4671.7596</v>
      </c>
      <c r="R196" s="26">
        <f t="shared" si="2"/>
        <v>180</v>
      </c>
      <c r="S196" s="26">
        <f t="shared" si="3"/>
        <v>0</v>
      </c>
      <c r="T196" s="26">
        <f t="shared" si="4"/>
        <v>180</v>
      </c>
      <c r="U196" s="28">
        <f t="shared" si="5"/>
        <v>25.95422</v>
      </c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23" t="s">
        <v>24</v>
      </c>
      <c r="B197" s="24">
        <f t="shared" si="6"/>
        <v>46214</v>
      </c>
      <c r="C197" s="25">
        <v>7.4</v>
      </c>
      <c r="D197" s="26" t="s">
        <v>28</v>
      </c>
      <c r="E197" s="22" t="s">
        <v>31</v>
      </c>
      <c r="F197" s="22" t="s">
        <v>32</v>
      </c>
      <c r="G197" s="19">
        <v>60.0</v>
      </c>
      <c r="I197" s="20">
        <v>60.0</v>
      </c>
      <c r="K197" s="20">
        <v>60.0</v>
      </c>
      <c r="M197" s="20">
        <v>0.0</v>
      </c>
      <c r="O197" s="20">
        <v>0.0</v>
      </c>
      <c r="Q197" s="27">
        <f t="shared" si="1"/>
        <v>4671.7596</v>
      </c>
      <c r="R197" s="26">
        <f t="shared" si="2"/>
        <v>180</v>
      </c>
      <c r="S197" s="26">
        <f t="shared" si="3"/>
        <v>0</v>
      </c>
      <c r="T197" s="26">
        <f t="shared" si="4"/>
        <v>180</v>
      </c>
      <c r="U197" s="28">
        <f t="shared" si="5"/>
        <v>25.95422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29" t="s">
        <v>25</v>
      </c>
      <c r="B198" s="30">
        <f t="shared" si="6"/>
        <v>46215</v>
      </c>
      <c r="C198" s="31">
        <v>7.4</v>
      </c>
      <c r="D198" s="32" t="s">
        <v>28</v>
      </c>
      <c r="E198" s="33" t="s">
        <v>31</v>
      </c>
      <c r="F198" s="33" t="s">
        <v>32</v>
      </c>
      <c r="G198" s="34">
        <v>60.0</v>
      </c>
      <c r="H198" s="6"/>
      <c r="I198" s="35">
        <v>60.0</v>
      </c>
      <c r="J198" s="6"/>
      <c r="K198" s="35">
        <v>60.0</v>
      </c>
      <c r="L198" s="6"/>
      <c r="M198" s="35">
        <v>0.0</v>
      </c>
      <c r="N198" s="6"/>
      <c r="O198" s="35">
        <v>0.0</v>
      </c>
      <c r="P198" s="6"/>
      <c r="Q198" s="36">
        <f t="shared" si="1"/>
        <v>4671.7596</v>
      </c>
      <c r="R198" s="32">
        <f t="shared" si="2"/>
        <v>180</v>
      </c>
      <c r="S198" s="32">
        <f t="shared" si="3"/>
        <v>0</v>
      </c>
      <c r="T198" s="32">
        <f t="shared" si="4"/>
        <v>180</v>
      </c>
      <c r="U198" s="37">
        <f t="shared" si="5"/>
        <v>25.95422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14" t="s">
        <v>18</v>
      </c>
      <c r="B199" s="15">
        <f t="shared" si="6"/>
        <v>46216</v>
      </c>
      <c r="C199" s="16">
        <v>8.1</v>
      </c>
      <c r="D199" s="17" t="s">
        <v>19</v>
      </c>
      <c r="E199" s="18" t="s">
        <v>29</v>
      </c>
      <c r="F199" s="18" t="s">
        <v>30</v>
      </c>
      <c r="G199" s="19">
        <v>0.0</v>
      </c>
      <c r="I199" s="20">
        <v>0.0</v>
      </c>
      <c r="K199" s="20">
        <v>0.0</v>
      </c>
      <c r="M199" s="20">
        <v>0.0</v>
      </c>
      <c r="O199" s="20">
        <v>0.0</v>
      </c>
      <c r="Q199" s="21">
        <f t="shared" si="1"/>
        <v>0</v>
      </c>
      <c r="R199" s="17">
        <f t="shared" si="2"/>
        <v>0</v>
      </c>
      <c r="S199" s="17">
        <f t="shared" si="3"/>
        <v>0</v>
      </c>
      <c r="T199" s="17">
        <f t="shared" si="4"/>
        <v>0</v>
      </c>
      <c r="U199" s="38">
        <f t="shared" si="5"/>
        <v>0</v>
      </c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23" t="s">
        <v>20</v>
      </c>
      <c r="B200" s="24">
        <f t="shared" si="6"/>
        <v>46217</v>
      </c>
      <c r="C200" s="25">
        <v>8.1</v>
      </c>
      <c r="D200" s="26" t="s">
        <v>19</v>
      </c>
      <c r="E200" s="22" t="s">
        <v>29</v>
      </c>
      <c r="F200" s="22" t="s">
        <v>30</v>
      </c>
      <c r="G200" s="19">
        <v>0.0</v>
      </c>
      <c r="I200" s="20">
        <v>0.0</v>
      </c>
      <c r="K200" s="20">
        <v>0.0</v>
      </c>
      <c r="M200" s="20">
        <v>0.0</v>
      </c>
      <c r="O200" s="20">
        <v>0.0</v>
      </c>
      <c r="Q200" s="27">
        <f t="shared" si="1"/>
        <v>0</v>
      </c>
      <c r="R200" s="26">
        <f t="shared" si="2"/>
        <v>0</v>
      </c>
      <c r="S200" s="26">
        <f t="shared" si="3"/>
        <v>0</v>
      </c>
      <c r="T200" s="26">
        <f t="shared" si="4"/>
        <v>0</v>
      </c>
      <c r="U200" s="28">
        <f t="shared" si="5"/>
        <v>0</v>
      </c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23" t="s">
        <v>21</v>
      </c>
      <c r="B201" s="24">
        <f t="shared" si="6"/>
        <v>46218</v>
      </c>
      <c r="C201" s="25">
        <v>8.1</v>
      </c>
      <c r="D201" s="26" t="s">
        <v>19</v>
      </c>
      <c r="E201" s="22" t="s">
        <v>29</v>
      </c>
      <c r="F201" s="22" t="s">
        <v>30</v>
      </c>
      <c r="G201" s="19">
        <v>0.0</v>
      </c>
      <c r="I201" s="20">
        <v>0.0</v>
      </c>
      <c r="K201" s="20">
        <v>0.0</v>
      </c>
      <c r="M201" s="20">
        <v>0.0</v>
      </c>
      <c r="O201" s="20">
        <v>0.0</v>
      </c>
      <c r="Q201" s="27">
        <f t="shared" si="1"/>
        <v>0</v>
      </c>
      <c r="R201" s="26">
        <f t="shared" si="2"/>
        <v>0</v>
      </c>
      <c r="S201" s="26">
        <f t="shared" si="3"/>
        <v>0</v>
      </c>
      <c r="T201" s="26">
        <f t="shared" si="4"/>
        <v>0</v>
      </c>
      <c r="U201" s="28">
        <f t="shared" si="5"/>
        <v>0</v>
      </c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23" t="s">
        <v>22</v>
      </c>
      <c r="B202" s="24">
        <f t="shared" si="6"/>
        <v>46219</v>
      </c>
      <c r="C202" s="25">
        <v>8.1</v>
      </c>
      <c r="D202" s="26" t="s">
        <v>19</v>
      </c>
      <c r="E202" s="22" t="s">
        <v>29</v>
      </c>
      <c r="F202" s="22" t="s">
        <v>30</v>
      </c>
      <c r="G202" s="19">
        <v>0.0</v>
      </c>
      <c r="I202" s="20">
        <v>0.0</v>
      </c>
      <c r="K202" s="20">
        <v>0.0</v>
      </c>
      <c r="M202" s="20">
        <v>0.0</v>
      </c>
      <c r="O202" s="20">
        <v>0.0</v>
      </c>
      <c r="Q202" s="27">
        <f t="shared" si="1"/>
        <v>0</v>
      </c>
      <c r="R202" s="26">
        <f t="shared" si="2"/>
        <v>0</v>
      </c>
      <c r="S202" s="26">
        <f t="shared" si="3"/>
        <v>0</v>
      </c>
      <c r="T202" s="26">
        <f t="shared" si="4"/>
        <v>0</v>
      </c>
      <c r="U202" s="28">
        <f t="shared" si="5"/>
        <v>0</v>
      </c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23" t="s">
        <v>23</v>
      </c>
      <c r="B203" s="24">
        <f t="shared" si="6"/>
        <v>46220</v>
      </c>
      <c r="C203" s="25">
        <v>8.1</v>
      </c>
      <c r="D203" s="26" t="s">
        <v>19</v>
      </c>
      <c r="E203" s="22" t="s">
        <v>29</v>
      </c>
      <c r="F203" s="22" t="s">
        <v>30</v>
      </c>
      <c r="G203" s="19">
        <v>0.0</v>
      </c>
      <c r="I203" s="20">
        <v>0.0</v>
      </c>
      <c r="K203" s="20">
        <v>0.0</v>
      </c>
      <c r="M203" s="20">
        <v>0.0</v>
      </c>
      <c r="O203" s="20">
        <v>0.0</v>
      </c>
      <c r="Q203" s="27">
        <f t="shared" si="1"/>
        <v>0</v>
      </c>
      <c r="R203" s="26">
        <f t="shared" si="2"/>
        <v>0</v>
      </c>
      <c r="S203" s="26">
        <f t="shared" si="3"/>
        <v>0</v>
      </c>
      <c r="T203" s="26">
        <f t="shared" si="4"/>
        <v>0</v>
      </c>
      <c r="U203" s="28">
        <f t="shared" si="5"/>
        <v>0</v>
      </c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23" t="s">
        <v>24</v>
      </c>
      <c r="B204" s="24">
        <f t="shared" si="6"/>
        <v>46221</v>
      </c>
      <c r="C204" s="25">
        <v>8.1</v>
      </c>
      <c r="D204" s="26" t="s">
        <v>19</v>
      </c>
      <c r="E204" s="22" t="s">
        <v>29</v>
      </c>
      <c r="F204" s="22" t="s">
        <v>30</v>
      </c>
      <c r="G204" s="19">
        <v>0.0</v>
      </c>
      <c r="I204" s="20">
        <v>0.0</v>
      </c>
      <c r="K204" s="20">
        <v>0.0</v>
      </c>
      <c r="M204" s="20">
        <v>0.0</v>
      </c>
      <c r="O204" s="20">
        <v>0.0</v>
      </c>
      <c r="Q204" s="27">
        <f t="shared" si="1"/>
        <v>0</v>
      </c>
      <c r="R204" s="26">
        <f t="shared" si="2"/>
        <v>0</v>
      </c>
      <c r="S204" s="26">
        <f t="shared" si="3"/>
        <v>0</v>
      </c>
      <c r="T204" s="26">
        <f t="shared" si="4"/>
        <v>0</v>
      </c>
      <c r="U204" s="28">
        <f t="shared" si="5"/>
        <v>0</v>
      </c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29" t="s">
        <v>25</v>
      </c>
      <c r="B205" s="30">
        <f t="shared" si="6"/>
        <v>46222</v>
      </c>
      <c r="C205" s="31">
        <v>8.1</v>
      </c>
      <c r="D205" s="32" t="s">
        <v>19</v>
      </c>
      <c r="E205" s="33" t="s">
        <v>29</v>
      </c>
      <c r="F205" s="33" t="s">
        <v>30</v>
      </c>
      <c r="G205" s="34">
        <v>0.0</v>
      </c>
      <c r="H205" s="6"/>
      <c r="I205" s="35">
        <v>0.0</v>
      </c>
      <c r="J205" s="6"/>
      <c r="K205" s="35">
        <v>0.0</v>
      </c>
      <c r="L205" s="6"/>
      <c r="M205" s="35">
        <v>0.0</v>
      </c>
      <c r="N205" s="6"/>
      <c r="O205" s="35">
        <v>0.0</v>
      </c>
      <c r="P205" s="6"/>
      <c r="Q205" s="36">
        <f t="shared" si="1"/>
        <v>0</v>
      </c>
      <c r="R205" s="32">
        <f t="shared" si="2"/>
        <v>0</v>
      </c>
      <c r="S205" s="32">
        <f t="shared" si="3"/>
        <v>0</v>
      </c>
      <c r="T205" s="32">
        <f t="shared" si="4"/>
        <v>0</v>
      </c>
      <c r="U205" s="37">
        <f t="shared" si="5"/>
        <v>0</v>
      </c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14" t="s">
        <v>18</v>
      </c>
      <c r="B206" s="15">
        <f t="shared" si="6"/>
        <v>46223</v>
      </c>
      <c r="C206" s="16">
        <v>8.2</v>
      </c>
      <c r="D206" s="17" t="s">
        <v>26</v>
      </c>
      <c r="E206" s="18" t="s">
        <v>31</v>
      </c>
      <c r="F206" s="18" t="s">
        <v>32</v>
      </c>
      <c r="G206" s="19">
        <v>60.0</v>
      </c>
      <c r="I206" s="20">
        <v>60.0</v>
      </c>
      <c r="K206" s="20">
        <v>60.0</v>
      </c>
      <c r="M206" s="20">
        <v>0.0</v>
      </c>
      <c r="O206" s="20">
        <v>0.0</v>
      </c>
      <c r="Q206" s="21">
        <f t="shared" si="1"/>
        <v>4671.7596</v>
      </c>
      <c r="R206" s="17">
        <f t="shared" si="2"/>
        <v>180</v>
      </c>
      <c r="S206" s="17">
        <f t="shared" si="3"/>
        <v>0</v>
      </c>
      <c r="T206" s="17">
        <f t="shared" si="4"/>
        <v>180</v>
      </c>
      <c r="U206" s="38">
        <f t="shared" si="5"/>
        <v>25.95422</v>
      </c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23" t="s">
        <v>20</v>
      </c>
      <c r="B207" s="24">
        <f t="shared" si="6"/>
        <v>46224</v>
      </c>
      <c r="C207" s="25">
        <v>8.2</v>
      </c>
      <c r="D207" s="26" t="s">
        <v>26</v>
      </c>
      <c r="E207" s="22" t="s">
        <v>31</v>
      </c>
      <c r="F207" s="22" t="s">
        <v>32</v>
      </c>
      <c r="G207" s="19">
        <v>60.0</v>
      </c>
      <c r="I207" s="20">
        <v>60.0</v>
      </c>
      <c r="K207" s="20">
        <v>60.0</v>
      </c>
      <c r="M207" s="20">
        <v>0.0</v>
      </c>
      <c r="O207" s="20">
        <v>0.0</v>
      </c>
      <c r="Q207" s="27">
        <f t="shared" si="1"/>
        <v>4671.7596</v>
      </c>
      <c r="R207" s="26">
        <f t="shared" si="2"/>
        <v>180</v>
      </c>
      <c r="S207" s="26">
        <f t="shared" si="3"/>
        <v>0</v>
      </c>
      <c r="T207" s="26">
        <f t="shared" si="4"/>
        <v>180</v>
      </c>
      <c r="U207" s="28">
        <f t="shared" si="5"/>
        <v>25.95422</v>
      </c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23" t="s">
        <v>21</v>
      </c>
      <c r="B208" s="24">
        <f t="shared" si="6"/>
        <v>46225</v>
      </c>
      <c r="C208" s="25">
        <v>8.2</v>
      </c>
      <c r="D208" s="26" t="s">
        <v>26</v>
      </c>
      <c r="E208" s="22" t="s">
        <v>31</v>
      </c>
      <c r="F208" s="22" t="s">
        <v>32</v>
      </c>
      <c r="G208" s="19">
        <v>60.0</v>
      </c>
      <c r="I208" s="20">
        <v>60.0</v>
      </c>
      <c r="K208" s="20">
        <v>60.0</v>
      </c>
      <c r="M208" s="20">
        <v>0.0</v>
      </c>
      <c r="O208" s="20">
        <v>0.0</v>
      </c>
      <c r="Q208" s="27">
        <f t="shared" si="1"/>
        <v>4671.7596</v>
      </c>
      <c r="R208" s="26">
        <f t="shared" si="2"/>
        <v>180</v>
      </c>
      <c r="S208" s="26">
        <f t="shared" si="3"/>
        <v>0</v>
      </c>
      <c r="T208" s="26">
        <f t="shared" si="4"/>
        <v>180</v>
      </c>
      <c r="U208" s="28">
        <f t="shared" si="5"/>
        <v>25.95422</v>
      </c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23" t="s">
        <v>22</v>
      </c>
      <c r="B209" s="24">
        <f t="shared" si="6"/>
        <v>46226</v>
      </c>
      <c r="C209" s="25">
        <v>8.2</v>
      </c>
      <c r="D209" s="26" t="s">
        <v>26</v>
      </c>
      <c r="E209" s="22" t="s">
        <v>33</v>
      </c>
      <c r="F209" s="22" t="s">
        <v>30</v>
      </c>
      <c r="G209" s="19">
        <v>0.0</v>
      </c>
      <c r="I209" s="20">
        <v>0.0</v>
      </c>
      <c r="K209" s="20">
        <v>0.0</v>
      </c>
      <c r="M209" s="20">
        <v>0.0</v>
      </c>
      <c r="O209" s="20">
        <v>0.0</v>
      </c>
      <c r="Q209" s="27">
        <f t="shared" si="1"/>
        <v>0</v>
      </c>
      <c r="R209" s="26">
        <f t="shared" si="2"/>
        <v>0</v>
      </c>
      <c r="S209" s="26">
        <f t="shared" si="3"/>
        <v>0</v>
      </c>
      <c r="T209" s="26">
        <f t="shared" si="4"/>
        <v>0</v>
      </c>
      <c r="U209" s="28">
        <f t="shared" si="5"/>
        <v>0</v>
      </c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23" t="s">
        <v>23</v>
      </c>
      <c r="B210" s="24">
        <f t="shared" si="6"/>
        <v>46227</v>
      </c>
      <c r="C210" s="25">
        <v>8.2</v>
      </c>
      <c r="D210" s="26" t="s">
        <v>26</v>
      </c>
      <c r="E210" s="22" t="s">
        <v>31</v>
      </c>
      <c r="F210" s="22" t="s">
        <v>32</v>
      </c>
      <c r="G210" s="19">
        <v>60.0</v>
      </c>
      <c r="I210" s="20">
        <v>60.0</v>
      </c>
      <c r="K210" s="20">
        <v>60.0</v>
      </c>
      <c r="M210" s="20">
        <v>0.0</v>
      </c>
      <c r="O210" s="20">
        <v>0.0</v>
      </c>
      <c r="Q210" s="27">
        <f t="shared" si="1"/>
        <v>4671.7596</v>
      </c>
      <c r="R210" s="26">
        <f t="shared" si="2"/>
        <v>180</v>
      </c>
      <c r="S210" s="26">
        <f t="shared" si="3"/>
        <v>0</v>
      </c>
      <c r="T210" s="26">
        <f t="shared" si="4"/>
        <v>180</v>
      </c>
      <c r="U210" s="28">
        <f t="shared" si="5"/>
        <v>25.95422</v>
      </c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23" t="s">
        <v>24</v>
      </c>
      <c r="B211" s="24">
        <f t="shared" si="6"/>
        <v>46228</v>
      </c>
      <c r="C211" s="25">
        <v>8.2</v>
      </c>
      <c r="D211" s="26" t="s">
        <v>26</v>
      </c>
      <c r="E211" s="22" t="s">
        <v>31</v>
      </c>
      <c r="F211" s="22" t="s">
        <v>32</v>
      </c>
      <c r="G211" s="19">
        <v>60.0</v>
      </c>
      <c r="I211" s="20">
        <v>60.0</v>
      </c>
      <c r="K211" s="20">
        <v>60.0</v>
      </c>
      <c r="M211" s="20">
        <v>0.0</v>
      </c>
      <c r="O211" s="20">
        <v>0.0</v>
      </c>
      <c r="Q211" s="27">
        <f t="shared" si="1"/>
        <v>4671.7596</v>
      </c>
      <c r="R211" s="26">
        <f t="shared" si="2"/>
        <v>180</v>
      </c>
      <c r="S211" s="26">
        <f t="shared" si="3"/>
        <v>0</v>
      </c>
      <c r="T211" s="26">
        <f t="shared" si="4"/>
        <v>180</v>
      </c>
      <c r="U211" s="28">
        <f t="shared" si="5"/>
        <v>25.95422</v>
      </c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29" t="s">
        <v>25</v>
      </c>
      <c r="B212" s="30">
        <f t="shared" si="6"/>
        <v>46229</v>
      </c>
      <c r="C212" s="31">
        <v>8.2</v>
      </c>
      <c r="D212" s="32" t="s">
        <v>26</v>
      </c>
      <c r="E212" s="33" t="s">
        <v>31</v>
      </c>
      <c r="F212" s="33" t="s">
        <v>32</v>
      </c>
      <c r="G212" s="34">
        <v>60.0</v>
      </c>
      <c r="H212" s="6"/>
      <c r="I212" s="35">
        <v>60.0</v>
      </c>
      <c r="J212" s="6"/>
      <c r="K212" s="35">
        <v>60.0</v>
      </c>
      <c r="L212" s="6"/>
      <c r="M212" s="35">
        <v>0.0</v>
      </c>
      <c r="N212" s="6"/>
      <c r="O212" s="35">
        <v>0.0</v>
      </c>
      <c r="P212" s="6"/>
      <c r="Q212" s="36">
        <f t="shared" si="1"/>
        <v>4671.7596</v>
      </c>
      <c r="R212" s="32">
        <f t="shared" si="2"/>
        <v>180</v>
      </c>
      <c r="S212" s="32">
        <f t="shared" si="3"/>
        <v>0</v>
      </c>
      <c r="T212" s="32">
        <f t="shared" si="4"/>
        <v>180</v>
      </c>
      <c r="U212" s="37">
        <f t="shared" si="5"/>
        <v>25.95422</v>
      </c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14" t="s">
        <v>18</v>
      </c>
      <c r="B213" s="15">
        <f t="shared" si="6"/>
        <v>46230</v>
      </c>
      <c r="C213" s="16">
        <v>8.3</v>
      </c>
      <c r="D213" s="17" t="s">
        <v>27</v>
      </c>
      <c r="E213" s="18" t="s">
        <v>31</v>
      </c>
      <c r="F213" s="18" t="s">
        <v>32</v>
      </c>
      <c r="G213" s="19">
        <v>60.0</v>
      </c>
      <c r="I213" s="20">
        <v>60.0</v>
      </c>
      <c r="K213" s="20">
        <v>60.0</v>
      </c>
      <c r="M213" s="20">
        <v>0.0</v>
      </c>
      <c r="O213" s="20">
        <v>0.0</v>
      </c>
      <c r="Q213" s="21">
        <f t="shared" si="1"/>
        <v>4671.7596</v>
      </c>
      <c r="R213" s="17">
        <f t="shared" si="2"/>
        <v>180</v>
      </c>
      <c r="S213" s="17">
        <f t="shared" si="3"/>
        <v>0</v>
      </c>
      <c r="T213" s="17">
        <f t="shared" si="4"/>
        <v>180</v>
      </c>
      <c r="U213" s="38">
        <f t="shared" si="5"/>
        <v>25.95422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23" t="s">
        <v>20</v>
      </c>
      <c r="B214" s="24">
        <f t="shared" si="6"/>
        <v>46231</v>
      </c>
      <c r="C214" s="25">
        <v>8.3</v>
      </c>
      <c r="D214" s="26" t="s">
        <v>27</v>
      </c>
      <c r="E214" s="22" t="s">
        <v>29</v>
      </c>
      <c r="F214" s="22" t="s">
        <v>30</v>
      </c>
      <c r="G214" s="19">
        <v>0.0</v>
      </c>
      <c r="I214" s="20">
        <v>0.0</v>
      </c>
      <c r="K214" s="20">
        <v>0.0</v>
      </c>
      <c r="M214" s="20">
        <v>0.0</v>
      </c>
      <c r="O214" s="20">
        <v>0.0</v>
      </c>
      <c r="Q214" s="27">
        <f t="shared" si="1"/>
        <v>0</v>
      </c>
      <c r="R214" s="26">
        <f t="shared" si="2"/>
        <v>0</v>
      </c>
      <c r="S214" s="26">
        <f t="shared" si="3"/>
        <v>0</v>
      </c>
      <c r="T214" s="26">
        <f t="shared" si="4"/>
        <v>0</v>
      </c>
      <c r="U214" s="28">
        <f t="shared" si="5"/>
        <v>0</v>
      </c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23" t="s">
        <v>21</v>
      </c>
      <c r="B215" s="24">
        <f t="shared" si="6"/>
        <v>46232</v>
      </c>
      <c r="C215" s="25">
        <v>8.3</v>
      </c>
      <c r="D215" s="26" t="s">
        <v>27</v>
      </c>
      <c r="E215" s="22" t="s">
        <v>29</v>
      </c>
      <c r="F215" s="22" t="s">
        <v>30</v>
      </c>
      <c r="G215" s="19">
        <v>0.0</v>
      </c>
      <c r="I215" s="20">
        <v>0.0</v>
      </c>
      <c r="K215" s="20">
        <v>0.0</v>
      </c>
      <c r="M215" s="20">
        <v>0.0</v>
      </c>
      <c r="O215" s="20">
        <v>0.0</v>
      </c>
      <c r="Q215" s="27">
        <f t="shared" si="1"/>
        <v>0</v>
      </c>
      <c r="R215" s="26">
        <f t="shared" si="2"/>
        <v>0</v>
      </c>
      <c r="S215" s="26">
        <f t="shared" si="3"/>
        <v>0</v>
      </c>
      <c r="T215" s="26">
        <f t="shared" si="4"/>
        <v>0</v>
      </c>
      <c r="U215" s="28">
        <f t="shared" si="5"/>
        <v>0</v>
      </c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23" t="s">
        <v>22</v>
      </c>
      <c r="B216" s="24">
        <f t="shared" si="6"/>
        <v>46233</v>
      </c>
      <c r="C216" s="25">
        <v>8.3</v>
      </c>
      <c r="D216" s="26" t="s">
        <v>27</v>
      </c>
      <c r="E216" s="22" t="s">
        <v>29</v>
      </c>
      <c r="F216" s="22" t="s">
        <v>30</v>
      </c>
      <c r="G216" s="19">
        <v>0.0</v>
      </c>
      <c r="I216" s="20">
        <v>0.0</v>
      </c>
      <c r="K216" s="20">
        <v>0.0</v>
      </c>
      <c r="M216" s="20">
        <v>0.0</v>
      </c>
      <c r="O216" s="20">
        <v>0.0</v>
      </c>
      <c r="Q216" s="27">
        <f t="shared" si="1"/>
        <v>0</v>
      </c>
      <c r="R216" s="26">
        <f t="shared" si="2"/>
        <v>0</v>
      </c>
      <c r="S216" s="26">
        <f t="shared" si="3"/>
        <v>0</v>
      </c>
      <c r="T216" s="26">
        <f t="shared" si="4"/>
        <v>0</v>
      </c>
      <c r="U216" s="28">
        <f t="shared" si="5"/>
        <v>0</v>
      </c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23" t="s">
        <v>23</v>
      </c>
      <c r="B217" s="24">
        <f t="shared" si="6"/>
        <v>46234</v>
      </c>
      <c r="C217" s="25">
        <v>8.3</v>
      </c>
      <c r="D217" s="26" t="s">
        <v>27</v>
      </c>
      <c r="E217" s="22" t="s">
        <v>29</v>
      </c>
      <c r="F217" s="22" t="s">
        <v>30</v>
      </c>
      <c r="G217" s="19">
        <v>0.0</v>
      </c>
      <c r="I217" s="20">
        <v>0.0</v>
      </c>
      <c r="K217" s="20">
        <v>0.0</v>
      </c>
      <c r="M217" s="20">
        <v>0.0</v>
      </c>
      <c r="O217" s="20">
        <v>0.0</v>
      </c>
      <c r="Q217" s="27">
        <f t="shared" si="1"/>
        <v>0</v>
      </c>
      <c r="R217" s="26">
        <f t="shared" si="2"/>
        <v>0</v>
      </c>
      <c r="S217" s="26">
        <f t="shared" si="3"/>
        <v>0</v>
      </c>
      <c r="T217" s="26">
        <f t="shared" si="4"/>
        <v>0</v>
      </c>
      <c r="U217" s="28">
        <f t="shared" si="5"/>
        <v>0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23" t="s">
        <v>24</v>
      </c>
      <c r="B218" s="24">
        <f t="shared" si="6"/>
        <v>46235</v>
      </c>
      <c r="C218" s="25">
        <v>8.3</v>
      </c>
      <c r="D218" s="26" t="s">
        <v>27</v>
      </c>
      <c r="E218" s="22" t="s">
        <v>29</v>
      </c>
      <c r="F218" s="22" t="s">
        <v>30</v>
      </c>
      <c r="G218" s="19">
        <v>0.0</v>
      </c>
      <c r="I218" s="20">
        <v>0.0</v>
      </c>
      <c r="K218" s="20">
        <v>0.0</v>
      </c>
      <c r="M218" s="20">
        <v>0.0</v>
      </c>
      <c r="O218" s="20">
        <v>0.0</v>
      </c>
      <c r="Q218" s="27">
        <f t="shared" si="1"/>
        <v>0</v>
      </c>
      <c r="R218" s="26">
        <f t="shared" si="2"/>
        <v>0</v>
      </c>
      <c r="S218" s="26">
        <f t="shared" si="3"/>
        <v>0</v>
      </c>
      <c r="T218" s="26">
        <f t="shared" si="4"/>
        <v>0</v>
      </c>
      <c r="U218" s="28">
        <f t="shared" si="5"/>
        <v>0</v>
      </c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29" t="s">
        <v>25</v>
      </c>
      <c r="B219" s="30">
        <f t="shared" si="6"/>
        <v>46236</v>
      </c>
      <c r="C219" s="31">
        <v>8.3</v>
      </c>
      <c r="D219" s="32" t="s">
        <v>27</v>
      </c>
      <c r="E219" s="33" t="s">
        <v>29</v>
      </c>
      <c r="F219" s="33" t="s">
        <v>30</v>
      </c>
      <c r="G219" s="34">
        <v>0.0</v>
      </c>
      <c r="H219" s="6"/>
      <c r="I219" s="35">
        <v>0.0</v>
      </c>
      <c r="J219" s="6"/>
      <c r="K219" s="35">
        <v>0.0</v>
      </c>
      <c r="L219" s="6"/>
      <c r="M219" s="35">
        <v>0.0</v>
      </c>
      <c r="N219" s="6"/>
      <c r="O219" s="35">
        <v>0.0</v>
      </c>
      <c r="P219" s="6"/>
      <c r="Q219" s="36">
        <f t="shared" si="1"/>
        <v>0</v>
      </c>
      <c r="R219" s="32">
        <f t="shared" si="2"/>
        <v>0</v>
      </c>
      <c r="S219" s="32">
        <f t="shared" si="3"/>
        <v>0</v>
      </c>
      <c r="T219" s="32">
        <f t="shared" si="4"/>
        <v>0</v>
      </c>
      <c r="U219" s="37">
        <f t="shared" si="5"/>
        <v>0</v>
      </c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14" t="s">
        <v>18</v>
      </c>
      <c r="B220" s="15">
        <f t="shared" si="6"/>
        <v>46237</v>
      </c>
      <c r="C220" s="16">
        <v>8.4</v>
      </c>
      <c r="D220" s="17" t="s">
        <v>28</v>
      </c>
      <c r="E220" s="18" t="s">
        <v>31</v>
      </c>
      <c r="F220" s="18" t="s">
        <v>32</v>
      </c>
      <c r="G220" s="19">
        <v>60.0</v>
      </c>
      <c r="I220" s="20">
        <v>60.0</v>
      </c>
      <c r="K220" s="20">
        <v>60.0</v>
      </c>
      <c r="M220" s="20">
        <v>0.0</v>
      </c>
      <c r="O220" s="20">
        <v>0.0</v>
      </c>
      <c r="Q220" s="21">
        <f t="shared" si="1"/>
        <v>4671.7596</v>
      </c>
      <c r="R220" s="17">
        <f t="shared" si="2"/>
        <v>180</v>
      </c>
      <c r="S220" s="17">
        <f t="shared" si="3"/>
        <v>0</v>
      </c>
      <c r="T220" s="17">
        <f t="shared" si="4"/>
        <v>180</v>
      </c>
      <c r="U220" s="38">
        <f t="shared" si="5"/>
        <v>25.95422</v>
      </c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23" t="s">
        <v>20</v>
      </c>
      <c r="B221" s="24">
        <f t="shared" si="6"/>
        <v>46238</v>
      </c>
      <c r="C221" s="25">
        <v>8.4</v>
      </c>
      <c r="D221" s="26" t="s">
        <v>28</v>
      </c>
      <c r="E221" s="22" t="s">
        <v>31</v>
      </c>
      <c r="F221" s="22" t="s">
        <v>32</v>
      </c>
      <c r="G221" s="19">
        <v>60.0</v>
      </c>
      <c r="I221" s="20">
        <v>60.0</v>
      </c>
      <c r="K221" s="20">
        <v>60.0</v>
      </c>
      <c r="M221" s="20">
        <v>0.0</v>
      </c>
      <c r="O221" s="20">
        <v>0.0</v>
      </c>
      <c r="Q221" s="27">
        <f t="shared" si="1"/>
        <v>4671.7596</v>
      </c>
      <c r="R221" s="26">
        <f t="shared" si="2"/>
        <v>180</v>
      </c>
      <c r="S221" s="26">
        <f t="shared" si="3"/>
        <v>0</v>
      </c>
      <c r="T221" s="26">
        <f t="shared" si="4"/>
        <v>180</v>
      </c>
      <c r="U221" s="28">
        <f t="shared" si="5"/>
        <v>25.95422</v>
      </c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23" t="s">
        <v>21</v>
      </c>
      <c r="B222" s="24">
        <f t="shared" si="6"/>
        <v>46239</v>
      </c>
      <c r="C222" s="25">
        <v>8.4</v>
      </c>
      <c r="D222" s="26" t="s">
        <v>28</v>
      </c>
      <c r="E222" s="22" t="s">
        <v>31</v>
      </c>
      <c r="F222" s="22" t="s">
        <v>32</v>
      </c>
      <c r="G222" s="19">
        <v>60.0</v>
      </c>
      <c r="I222" s="20">
        <v>60.0</v>
      </c>
      <c r="K222" s="20">
        <v>60.0</v>
      </c>
      <c r="M222" s="20">
        <v>0.0</v>
      </c>
      <c r="O222" s="20">
        <v>0.0</v>
      </c>
      <c r="Q222" s="27">
        <f t="shared" si="1"/>
        <v>4671.7596</v>
      </c>
      <c r="R222" s="26">
        <f t="shared" si="2"/>
        <v>180</v>
      </c>
      <c r="S222" s="26">
        <f t="shared" si="3"/>
        <v>0</v>
      </c>
      <c r="T222" s="26">
        <f t="shared" si="4"/>
        <v>180</v>
      </c>
      <c r="U222" s="28">
        <f t="shared" si="5"/>
        <v>25.95422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23" t="s">
        <v>22</v>
      </c>
      <c r="B223" s="24">
        <f t="shared" si="6"/>
        <v>46240</v>
      </c>
      <c r="C223" s="25">
        <v>8.4</v>
      </c>
      <c r="D223" s="26" t="s">
        <v>28</v>
      </c>
      <c r="E223" s="22" t="s">
        <v>33</v>
      </c>
      <c r="F223" s="22" t="s">
        <v>30</v>
      </c>
      <c r="G223" s="19">
        <v>0.0</v>
      </c>
      <c r="I223" s="20">
        <v>0.0</v>
      </c>
      <c r="K223" s="20">
        <v>0.0</v>
      </c>
      <c r="M223" s="20">
        <v>0.0</v>
      </c>
      <c r="O223" s="20">
        <v>0.0</v>
      </c>
      <c r="Q223" s="27">
        <f t="shared" si="1"/>
        <v>0</v>
      </c>
      <c r="R223" s="26">
        <f t="shared" si="2"/>
        <v>0</v>
      </c>
      <c r="S223" s="26">
        <f t="shared" si="3"/>
        <v>0</v>
      </c>
      <c r="T223" s="26">
        <f t="shared" si="4"/>
        <v>0</v>
      </c>
      <c r="U223" s="28">
        <f t="shared" si="5"/>
        <v>0</v>
      </c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23" t="s">
        <v>23</v>
      </c>
      <c r="B224" s="24">
        <f t="shared" si="6"/>
        <v>46241</v>
      </c>
      <c r="C224" s="25">
        <v>8.4</v>
      </c>
      <c r="D224" s="26" t="s">
        <v>28</v>
      </c>
      <c r="E224" s="22" t="s">
        <v>31</v>
      </c>
      <c r="F224" s="22" t="s">
        <v>32</v>
      </c>
      <c r="G224" s="19">
        <v>60.0</v>
      </c>
      <c r="I224" s="20">
        <v>60.0</v>
      </c>
      <c r="K224" s="20">
        <v>60.0</v>
      </c>
      <c r="M224" s="20">
        <v>0.0</v>
      </c>
      <c r="O224" s="20">
        <v>0.0</v>
      </c>
      <c r="Q224" s="27">
        <f t="shared" si="1"/>
        <v>4671.7596</v>
      </c>
      <c r="R224" s="26">
        <f t="shared" si="2"/>
        <v>180</v>
      </c>
      <c r="S224" s="26">
        <f t="shared" si="3"/>
        <v>0</v>
      </c>
      <c r="T224" s="26">
        <f t="shared" si="4"/>
        <v>180</v>
      </c>
      <c r="U224" s="28">
        <f t="shared" si="5"/>
        <v>25.95422</v>
      </c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23" t="s">
        <v>24</v>
      </c>
      <c r="B225" s="24">
        <f t="shared" si="6"/>
        <v>46242</v>
      </c>
      <c r="C225" s="25">
        <v>8.4</v>
      </c>
      <c r="D225" s="26" t="s">
        <v>28</v>
      </c>
      <c r="E225" s="22" t="s">
        <v>31</v>
      </c>
      <c r="F225" s="22" t="s">
        <v>32</v>
      </c>
      <c r="G225" s="19">
        <v>60.0</v>
      </c>
      <c r="I225" s="20">
        <v>60.0</v>
      </c>
      <c r="K225" s="20">
        <v>60.0</v>
      </c>
      <c r="M225" s="20">
        <v>0.0</v>
      </c>
      <c r="O225" s="20">
        <v>0.0</v>
      </c>
      <c r="Q225" s="27">
        <f t="shared" si="1"/>
        <v>4671.7596</v>
      </c>
      <c r="R225" s="26">
        <f t="shared" si="2"/>
        <v>180</v>
      </c>
      <c r="S225" s="26">
        <f t="shared" si="3"/>
        <v>0</v>
      </c>
      <c r="T225" s="26">
        <f t="shared" si="4"/>
        <v>180</v>
      </c>
      <c r="U225" s="28">
        <f t="shared" si="5"/>
        <v>25.95422</v>
      </c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29" t="s">
        <v>25</v>
      </c>
      <c r="B226" s="30">
        <f t="shared" si="6"/>
        <v>46243</v>
      </c>
      <c r="C226" s="31">
        <v>8.4</v>
      </c>
      <c r="D226" s="32" t="s">
        <v>28</v>
      </c>
      <c r="E226" s="33" t="s">
        <v>31</v>
      </c>
      <c r="F226" s="33" t="s">
        <v>32</v>
      </c>
      <c r="G226" s="34">
        <v>60.0</v>
      </c>
      <c r="H226" s="6"/>
      <c r="I226" s="35">
        <v>60.0</v>
      </c>
      <c r="J226" s="6"/>
      <c r="K226" s="35">
        <v>60.0</v>
      </c>
      <c r="L226" s="6"/>
      <c r="M226" s="35">
        <v>0.0</v>
      </c>
      <c r="N226" s="6"/>
      <c r="O226" s="35">
        <v>0.0</v>
      </c>
      <c r="P226" s="6"/>
      <c r="Q226" s="36">
        <f t="shared" si="1"/>
        <v>4671.7596</v>
      </c>
      <c r="R226" s="32">
        <f t="shared" si="2"/>
        <v>180</v>
      </c>
      <c r="S226" s="32">
        <f t="shared" si="3"/>
        <v>0</v>
      </c>
      <c r="T226" s="32">
        <f t="shared" si="4"/>
        <v>180</v>
      </c>
      <c r="U226" s="37">
        <f t="shared" si="5"/>
        <v>25.95422</v>
      </c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14" t="s">
        <v>18</v>
      </c>
      <c r="B227" s="15">
        <f t="shared" si="6"/>
        <v>46244</v>
      </c>
      <c r="C227" s="16">
        <v>9.1</v>
      </c>
      <c r="D227" s="17" t="s">
        <v>19</v>
      </c>
      <c r="E227" s="18" t="s">
        <v>29</v>
      </c>
      <c r="F227" s="18" t="s">
        <v>30</v>
      </c>
      <c r="G227" s="19">
        <v>0.0</v>
      </c>
      <c r="I227" s="20">
        <v>0.0</v>
      </c>
      <c r="K227" s="20">
        <v>0.0</v>
      </c>
      <c r="M227" s="20">
        <v>0.0</v>
      </c>
      <c r="O227" s="20">
        <v>0.0</v>
      </c>
      <c r="Q227" s="21">
        <f t="shared" si="1"/>
        <v>0</v>
      </c>
      <c r="R227" s="17">
        <f t="shared" si="2"/>
        <v>0</v>
      </c>
      <c r="S227" s="17">
        <f t="shared" si="3"/>
        <v>0</v>
      </c>
      <c r="T227" s="17">
        <f t="shared" si="4"/>
        <v>0</v>
      </c>
      <c r="U227" s="38">
        <f t="shared" si="5"/>
        <v>0</v>
      </c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23" t="s">
        <v>20</v>
      </c>
      <c r="B228" s="24">
        <f t="shared" si="6"/>
        <v>46245</v>
      </c>
      <c r="C228" s="25">
        <v>9.1</v>
      </c>
      <c r="D228" s="26" t="s">
        <v>19</v>
      </c>
      <c r="E228" s="22" t="s">
        <v>29</v>
      </c>
      <c r="F228" s="22" t="s">
        <v>30</v>
      </c>
      <c r="G228" s="19">
        <v>0.0</v>
      </c>
      <c r="I228" s="20">
        <v>0.0</v>
      </c>
      <c r="K228" s="20">
        <v>0.0</v>
      </c>
      <c r="M228" s="20">
        <v>0.0</v>
      </c>
      <c r="O228" s="20">
        <v>0.0</v>
      </c>
      <c r="Q228" s="27">
        <f t="shared" si="1"/>
        <v>0</v>
      </c>
      <c r="R228" s="26">
        <f t="shared" si="2"/>
        <v>0</v>
      </c>
      <c r="S228" s="26">
        <f t="shared" si="3"/>
        <v>0</v>
      </c>
      <c r="T228" s="26">
        <f t="shared" si="4"/>
        <v>0</v>
      </c>
      <c r="U228" s="28">
        <f t="shared" si="5"/>
        <v>0</v>
      </c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23" t="s">
        <v>21</v>
      </c>
      <c r="B229" s="24">
        <f t="shared" si="6"/>
        <v>46246</v>
      </c>
      <c r="C229" s="25">
        <v>9.1</v>
      </c>
      <c r="D229" s="26" t="s">
        <v>19</v>
      </c>
      <c r="E229" s="22" t="s">
        <v>29</v>
      </c>
      <c r="F229" s="22" t="s">
        <v>30</v>
      </c>
      <c r="G229" s="19">
        <v>0.0</v>
      </c>
      <c r="I229" s="20">
        <v>0.0</v>
      </c>
      <c r="K229" s="20">
        <v>0.0</v>
      </c>
      <c r="M229" s="20">
        <v>0.0</v>
      </c>
      <c r="O229" s="20">
        <v>0.0</v>
      </c>
      <c r="Q229" s="27">
        <f t="shared" si="1"/>
        <v>0</v>
      </c>
      <c r="R229" s="26">
        <f t="shared" si="2"/>
        <v>0</v>
      </c>
      <c r="S229" s="26">
        <f t="shared" si="3"/>
        <v>0</v>
      </c>
      <c r="T229" s="26">
        <f t="shared" si="4"/>
        <v>0</v>
      </c>
      <c r="U229" s="28">
        <f t="shared" si="5"/>
        <v>0</v>
      </c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23" t="s">
        <v>22</v>
      </c>
      <c r="B230" s="24">
        <f t="shared" si="6"/>
        <v>46247</v>
      </c>
      <c r="C230" s="25">
        <v>9.1</v>
      </c>
      <c r="D230" s="26" t="s">
        <v>19</v>
      </c>
      <c r="E230" s="22" t="s">
        <v>29</v>
      </c>
      <c r="F230" s="22" t="s">
        <v>30</v>
      </c>
      <c r="G230" s="19">
        <v>0.0</v>
      </c>
      <c r="I230" s="20">
        <v>0.0</v>
      </c>
      <c r="K230" s="20">
        <v>0.0</v>
      </c>
      <c r="M230" s="20">
        <v>0.0</v>
      </c>
      <c r="O230" s="20">
        <v>0.0</v>
      </c>
      <c r="Q230" s="27">
        <f t="shared" si="1"/>
        <v>0</v>
      </c>
      <c r="R230" s="26">
        <f t="shared" si="2"/>
        <v>0</v>
      </c>
      <c r="S230" s="26">
        <f t="shared" si="3"/>
        <v>0</v>
      </c>
      <c r="T230" s="26">
        <f t="shared" si="4"/>
        <v>0</v>
      </c>
      <c r="U230" s="28">
        <f t="shared" si="5"/>
        <v>0</v>
      </c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23" t="s">
        <v>23</v>
      </c>
      <c r="B231" s="24">
        <f t="shared" si="6"/>
        <v>46248</v>
      </c>
      <c r="C231" s="25">
        <v>9.1</v>
      </c>
      <c r="D231" s="26" t="s">
        <v>19</v>
      </c>
      <c r="E231" s="22" t="s">
        <v>29</v>
      </c>
      <c r="F231" s="22" t="s">
        <v>30</v>
      </c>
      <c r="G231" s="19">
        <v>0.0</v>
      </c>
      <c r="I231" s="20">
        <v>0.0</v>
      </c>
      <c r="K231" s="20">
        <v>0.0</v>
      </c>
      <c r="M231" s="20">
        <v>0.0</v>
      </c>
      <c r="O231" s="20">
        <v>0.0</v>
      </c>
      <c r="Q231" s="27">
        <f t="shared" si="1"/>
        <v>0</v>
      </c>
      <c r="R231" s="26">
        <f t="shared" si="2"/>
        <v>0</v>
      </c>
      <c r="S231" s="26">
        <f t="shared" si="3"/>
        <v>0</v>
      </c>
      <c r="T231" s="26">
        <f t="shared" si="4"/>
        <v>0</v>
      </c>
      <c r="U231" s="28">
        <f t="shared" si="5"/>
        <v>0</v>
      </c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23" t="s">
        <v>24</v>
      </c>
      <c r="B232" s="24">
        <f t="shared" si="6"/>
        <v>46249</v>
      </c>
      <c r="C232" s="25">
        <v>9.1</v>
      </c>
      <c r="D232" s="26" t="s">
        <v>19</v>
      </c>
      <c r="E232" s="22" t="s">
        <v>29</v>
      </c>
      <c r="F232" s="22" t="s">
        <v>30</v>
      </c>
      <c r="G232" s="19">
        <v>0.0</v>
      </c>
      <c r="I232" s="20">
        <v>0.0</v>
      </c>
      <c r="K232" s="20">
        <v>0.0</v>
      </c>
      <c r="M232" s="20">
        <v>0.0</v>
      </c>
      <c r="O232" s="20">
        <v>0.0</v>
      </c>
      <c r="Q232" s="27">
        <f t="shared" si="1"/>
        <v>0</v>
      </c>
      <c r="R232" s="26">
        <f t="shared" si="2"/>
        <v>0</v>
      </c>
      <c r="S232" s="26">
        <f t="shared" si="3"/>
        <v>0</v>
      </c>
      <c r="T232" s="26">
        <f t="shared" si="4"/>
        <v>0</v>
      </c>
      <c r="U232" s="28">
        <f t="shared" si="5"/>
        <v>0</v>
      </c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29" t="s">
        <v>25</v>
      </c>
      <c r="B233" s="30">
        <f t="shared" si="6"/>
        <v>46250</v>
      </c>
      <c r="C233" s="31">
        <v>9.1</v>
      </c>
      <c r="D233" s="32" t="s">
        <v>19</v>
      </c>
      <c r="E233" s="33" t="s">
        <v>29</v>
      </c>
      <c r="F233" s="33" t="s">
        <v>30</v>
      </c>
      <c r="G233" s="34">
        <v>0.0</v>
      </c>
      <c r="H233" s="6"/>
      <c r="I233" s="35">
        <v>0.0</v>
      </c>
      <c r="J233" s="6"/>
      <c r="K233" s="35">
        <v>0.0</v>
      </c>
      <c r="L233" s="6"/>
      <c r="M233" s="35">
        <v>0.0</v>
      </c>
      <c r="N233" s="6"/>
      <c r="O233" s="35">
        <v>0.0</v>
      </c>
      <c r="P233" s="6"/>
      <c r="Q233" s="36">
        <f t="shared" si="1"/>
        <v>0</v>
      </c>
      <c r="R233" s="32">
        <f t="shared" si="2"/>
        <v>0</v>
      </c>
      <c r="S233" s="32">
        <f t="shared" si="3"/>
        <v>0</v>
      </c>
      <c r="T233" s="32">
        <f t="shared" si="4"/>
        <v>0</v>
      </c>
      <c r="U233" s="37">
        <f t="shared" si="5"/>
        <v>0</v>
      </c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14" t="s">
        <v>18</v>
      </c>
      <c r="B234" s="15">
        <f t="shared" si="6"/>
        <v>46251</v>
      </c>
      <c r="C234" s="16">
        <v>9.2</v>
      </c>
      <c r="D234" s="17" t="s">
        <v>26</v>
      </c>
      <c r="E234" s="18" t="s">
        <v>29</v>
      </c>
      <c r="F234" s="18" t="s">
        <v>30</v>
      </c>
      <c r="G234" s="19">
        <v>0.0</v>
      </c>
      <c r="I234" s="20">
        <v>0.0</v>
      </c>
      <c r="K234" s="20">
        <v>0.0</v>
      </c>
      <c r="M234" s="20">
        <v>0.0</v>
      </c>
      <c r="O234" s="20">
        <v>0.0</v>
      </c>
      <c r="Q234" s="21">
        <f t="shared" si="1"/>
        <v>0</v>
      </c>
      <c r="R234" s="17">
        <f t="shared" si="2"/>
        <v>0</v>
      </c>
      <c r="S234" s="17">
        <f t="shared" si="3"/>
        <v>0</v>
      </c>
      <c r="T234" s="17">
        <f t="shared" si="4"/>
        <v>0</v>
      </c>
      <c r="U234" s="38">
        <f t="shared" si="5"/>
        <v>0</v>
      </c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23" t="s">
        <v>20</v>
      </c>
      <c r="B235" s="24">
        <f t="shared" si="6"/>
        <v>46252</v>
      </c>
      <c r="C235" s="25">
        <v>9.2</v>
      </c>
      <c r="D235" s="26" t="s">
        <v>26</v>
      </c>
      <c r="E235" s="22" t="s">
        <v>31</v>
      </c>
      <c r="F235" s="22" t="s">
        <v>32</v>
      </c>
      <c r="G235" s="19">
        <v>60.0</v>
      </c>
      <c r="I235" s="20">
        <v>60.0</v>
      </c>
      <c r="K235" s="20">
        <v>60.0</v>
      </c>
      <c r="M235" s="20">
        <v>0.0</v>
      </c>
      <c r="O235" s="20">
        <v>0.0</v>
      </c>
      <c r="Q235" s="27">
        <f t="shared" si="1"/>
        <v>4671.7596</v>
      </c>
      <c r="R235" s="26">
        <f t="shared" si="2"/>
        <v>180</v>
      </c>
      <c r="S235" s="26">
        <f t="shared" si="3"/>
        <v>0</v>
      </c>
      <c r="T235" s="26">
        <f t="shared" si="4"/>
        <v>180</v>
      </c>
      <c r="U235" s="28">
        <f t="shared" si="5"/>
        <v>25.95422</v>
      </c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23" t="s">
        <v>21</v>
      </c>
      <c r="B236" s="24">
        <f t="shared" si="6"/>
        <v>46253</v>
      </c>
      <c r="C236" s="25">
        <v>9.2</v>
      </c>
      <c r="D236" s="26" t="s">
        <v>26</v>
      </c>
      <c r="E236" s="22" t="s">
        <v>31</v>
      </c>
      <c r="F236" s="22" t="s">
        <v>32</v>
      </c>
      <c r="G236" s="19">
        <v>60.0</v>
      </c>
      <c r="I236" s="20">
        <v>60.0</v>
      </c>
      <c r="K236" s="20">
        <v>60.0</v>
      </c>
      <c r="M236" s="20">
        <v>0.0</v>
      </c>
      <c r="O236" s="20">
        <v>0.0</v>
      </c>
      <c r="Q236" s="27">
        <f t="shared" si="1"/>
        <v>4671.7596</v>
      </c>
      <c r="R236" s="26">
        <f t="shared" si="2"/>
        <v>180</v>
      </c>
      <c r="S236" s="26">
        <f t="shared" si="3"/>
        <v>0</v>
      </c>
      <c r="T236" s="26">
        <f t="shared" si="4"/>
        <v>180</v>
      </c>
      <c r="U236" s="28">
        <f t="shared" si="5"/>
        <v>25.95422</v>
      </c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23" t="s">
        <v>22</v>
      </c>
      <c r="B237" s="24">
        <f t="shared" si="6"/>
        <v>46254</v>
      </c>
      <c r="C237" s="25">
        <v>9.2</v>
      </c>
      <c r="D237" s="26" t="s">
        <v>26</v>
      </c>
      <c r="E237" s="22" t="s">
        <v>31</v>
      </c>
      <c r="F237" s="22" t="s">
        <v>32</v>
      </c>
      <c r="G237" s="19">
        <v>60.0</v>
      </c>
      <c r="I237" s="20">
        <v>60.0</v>
      </c>
      <c r="K237" s="20">
        <v>60.0</v>
      </c>
      <c r="M237" s="20">
        <v>0.0</v>
      </c>
      <c r="O237" s="20">
        <v>0.0</v>
      </c>
      <c r="Q237" s="27">
        <f t="shared" si="1"/>
        <v>4671.7596</v>
      </c>
      <c r="R237" s="26">
        <f t="shared" si="2"/>
        <v>180</v>
      </c>
      <c r="S237" s="26">
        <f t="shared" si="3"/>
        <v>0</v>
      </c>
      <c r="T237" s="26">
        <f t="shared" si="4"/>
        <v>180</v>
      </c>
      <c r="U237" s="28">
        <f t="shared" si="5"/>
        <v>25.95422</v>
      </c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23" t="s">
        <v>23</v>
      </c>
      <c r="B238" s="24">
        <f t="shared" si="6"/>
        <v>46255</v>
      </c>
      <c r="C238" s="25">
        <v>9.2</v>
      </c>
      <c r="D238" s="26" t="s">
        <v>26</v>
      </c>
      <c r="E238" s="22" t="s">
        <v>31</v>
      </c>
      <c r="F238" s="22" t="s">
        <v>32</v>
      </c>
      <c r="G238" s="19">
        <v>60.0</v>
      </c>
      <c r="I238" s="20">
        <v>60.0</v>
      </c>
      <c r="K238" s="20">
        <v>60.0</v>
      </c>
      <c r="M238" s="20">
        <v>0.0</v>
      </c>
      <c r="O238" s="20">
        <v>0.0</v>
      </c>
      <c r="Q238" s="27">
        <f t="shared" si="1"/>
        <v>4671.7596</v>
      </c>
      <c r="R238" s="26">
        <f t="shared" si="2"/>
        <v>180</v>
      </c>
      <c r="S238" s="26">
        <f t="shared" si="3"/>
        <v>0</v>
      </c>
      <c r="T238" s="26">
        <f t="shared" si="4"/>
        <v>180</v>
      </c>
      <c r="U238" s="28">
        <f t="shared" si="5"/>
        <v>25.95422</v>
      </c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23" t="s">
        <v>24</v>
      </c>
      <c r="B239" s="24">
        <f t="shared" si="6"/>
        <v>46256</v>
      </c>
      <c r="C239" s="25">
        <v>9.2</v>
      </c>
      <c r="D239" s="26" t="s">
        <v>26</v>
      </c>
      <c r="E239" s="22" t="s">
        <v>31</v>
      </c>
      <c r="F239" s="22" t="s">
        <v>32</v>
      </c>
      <c r="G239" s="19">
        <v>60.0</v>
      </c>
      <c r="I239" s="20">
        <v>60.0</v>
      </c>
      <c r="K239" s="20">
        <v>60.0</v>
      </c>
      <c r="M239" s="20">
        <v>0.0</v>
      </c>
      <c r="O239" s="20">
        <v>0.0</v>
      </c>
      <c r="Q239" s="27">
        <f t="shared" si="1"/>
        <v>4671.7596</v>
      </c>
      <c r="R239" s="26">
        <f t="shared" si="2"/>
        <v>180</v>
      </c>
      <c r="S239" s="26">
        <f t="shared" si="3"/>
        <v>0</v>
      </c>
      <c r="T239" s="26">
        <f t="shared" si="4"/>
        <v>180</v>
      </c>
      <c r="U239" s="28">
        <f t="shared" si="5"/>
        <v>25.95422</v>
      </c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29" t="s">
        <v>25</v>
      </c>
      <c r="B240" s="30">
        <f t="shared" si="6"/>
        <v>46257</v>
      </c>
      <c r="C240" s="31">
        <v>9.2</v>
      </c>
      <c r="D240" s="32" t="s">
        <v>26</v>
      </c>
      <c r="E240" s="33" t="s">
        <v>31</v>
      </c>
      <c r="F240" s="33" t="s">
        <v>32</v>
      </c>
      <c r="G240" s="34">
        <v>60.0</v>
      </c>
      <c r="H240" s="6"/>
      <c r="I240" s="35">
        <v>60.0</v>
      </c>
      <c r="J240" s="6"/>
      <c r="K240" s="35">
        <v>60.0</v>
      </c>
      <c r="L240" s="6"/>
      <c r="M240" s="35">
        <v>0.0</v>
      </c>
      <c r="N240" s="6"/>
      <c r="O240" s="35">
        <v>0.0</v>
      </c>
      <c r="P240" s="6"/>
      <c r="Q240" s="36">
        <f t="shared" si="1"/>
        <v>4671.7596</v>
      </c>
      <c r="R240" s="32">
        <f t="shared" si="2"/>
        <v>180</v>
      </c>
      <c r="S240" s="32">
        <f t="shared" si="3"/>
        <v>0</v>
      </c>
      <c r="T240" s="32">
        <f t="shared" si="4"/>
        <v>180</v>
      </c>
      <c r="U240" s="37">
        <f t="shared" si="5"/>
        <v>25.95422</v>
      </c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14" t="s">
        <v>18</v>
      </c>
      <c r="B241" s="15">
        <f t="shared" si="6"/>
        <v>46258</v>
      </c>
      <c r="C241" s="16">
        <v>9.3</v>
      </c>
      <c r="D241" s="17" t="s">
        <v>27</v>
      </c>
      <c r="E241" s="18" t="s">
        <v>29</v>
      </c>
      <c r="F241" s="18" t="s">
        <v>30</v>
      </c>
      <c r="G241" s="19">
        <v>0.0</v>
      </c>
      <c r="I241" s="20">
        <v>0.0</v>
      </c>
      <c r="K241" s="20">
        <v>0.0</v>
      </c>
      <c r="M241" s="20">
        <v>0.0</v>
      </c>
      <c r="O241" s="20">
        <v>0.0</v>
      </c>
      <c r="Q241" s="21">
        <f t="shared" si="1"/>
        <v>0</v>
      </c>
      <c r="R241" s="17">
        <f t="shared" si="2"/>
        <v>0</v>
      </c>
      <c r="S241" s="17">
        <f t="shared" si="3"/>
        <v>0</v>
      </c>
      <c r="T241" s="17">
        <f t="shared" si="4"/>
        <v>0</v>
      </c>
      <c r="U241" s="38">
        <f t="shared" si="5"/>
        <v>0</v>
      </c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23" t="s">
        <v>20</v>
      </c>
      <c r="B242" s="24">
        <f t="shared" si="6"/>
        <v>46259</v>
      </c>
      <c r="C242" s="25">
        <v>9.3</v>
      </c>
      <c r="D242" s="26" t="s">
        <v>27</v>
      </c>
      <c r="E242" s="22" t="s">
        <v>29</v>
      </c>
      <c r="F242" s="22" t="s">
        <v>30</v>
      </c>
      <c r="G242" s="19">
        <v>0.0</v>
      </c>
      <c r="I242" s="20">
        <v>0.0</v>
      </c>
      <c r="K242" s="20">
        <v>0.0</v>
      </c>
      <c r="M242" s="20">
        <v>0.0</v>
      </c>
      <c r="O242" s="20">
        <v>0.0</v>
      </c>
      <c r="Q242" s="27">
        <f t="shared" si="1"/>
        <v>0</v>
      </c>
      <c r="R242" s="26">
        <f t="shared" si="2"/>
        <v>0</v>
      </c>
      <c r="S242" s="26">
        <f t="shared" si="3"/>
        <v>0</v>
      </c>
      <c r="T242" s="26">
        <f t="shared" si="4"/>
        <v>0</v>
      </c>
      <c r="U242" s="28">
        <f t="shared" si="5"/>
        <v>0</v>
      </c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23" t="s">
        <v>21</v>
      </c>
      <c r="B243" s="24">
        <f t="shared" si="6"/>
        <v>46260</v>
      </c>
      <c r="C243" s="25">
        <v>9.3</v>
      </c>
      <c r="D243" s="26" t="s">
        <v>27</v>
      </c>
      <c r="E243" s="22" t="s">
        <v>29</v>
      </c>
      <c r="F243" s="22" t="s">
        <v>30</v>
      </c>
      <c r="G243" s="19">
        <v>0.0</v>
      </c>
      <c r="I243" s="20">
        <v>0.0</v>
      </c>
      <c r="K243" s="20">
        <v>0.0</v>
      </c>
      <c r="M243" s="20">
        <v>0.0</v>
      </c>
      <c r="O243" s="20">
        <v>0.0</v>
      </c>
      <c r="Q243" s="27">
        <f t="shared" si="1"/>
        <v>0</v>
      </c>
      <c r="R243" s="26">
        <f t="shared" si="2"/>
        <v>0</v>
      </c>
      <c r="S243" s="26">
        <f t="shared" si="3"/>
        <v>0</v>
      </c>
      <c r="T243" s="26">
        <f t="shared" si="4"/>
        <v>0</v>
      </c>
      <c r="U243" s="28">
        <f t="shared" si="5"/>
        <v>0</v>
      </c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23" t="s">
        <v>22</v>
      </c>
      <c r="B244" s="24">
        <f t="shared" si="6"/>
        <v>46261</v>
      </c>
      <c r="C244" s="25">
        <v>9.3</v>
      </c>
      <c r="D244" s="26" t="s">
        <v>27</v>
      </c>
      <c r="E244" s="22" t="s">
        <v>29</v>
      </c>
      <c r="F244" s="22" t="s">
        <v>30</v>
      </c>
      <c r="G244" s="19">
        <v>0.0</v>
      </c>
      <c r="I244" s="20">
        <v>0.0</v>
      </c>
      <c r="K244" s="20">
        <v>0.0</v>
      </c>
      <c r="M244" s="20">
        <v>0.0</v>
      </c>
      <c r="O244" s="20">
        <v>0.0</v>
      </c>
      <c r="Q244" s="27">
        <f t="shared" si="1"/>
        <v>0</v>
      </c>
      <c r="R244" s="26">
        <f t="shared" si="2"/>
        <v>0</v>
      </c>
      <c r="S244" s="26">
        <f t="shared" si="3"/>
        <v>0</v>
      </c>
      <c r="T244" s="26">
        <f t="shared" si="4"/>
        <v>0</v>
      </c>
      <c r="U244" s="28">
        <f t="shared" si="5"/>
        <v>0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23" t="s">
        <v>23</v>
      </c>
      <c r="B245" s="24">
        <f t="shared" si="6"/>
        <v>46262</v>
      </c>
      <c r="C245" s="25">
        <v>9.3</v>
      </c>
      <c r="D245" s="26" t="s">
        <v>27</v>
      </c>
      <c r="E245" s="22" t="s">
        <v>29</v>
      </c>
      <c r="F245" s="22" t="s">
        <v>30</v>
      </c>
      <c r="G245" s="19">
        <v>0.0</v>
      </c>
      <c r="I245" s="20">
        <v>0.0</v>
      </c>
      <c r="K245" s="20">
        <v>0.0</v>
      </c>
      <c r="M245" s="20">
        <v>0.0</v>
      </c>
      <c r="O245" s="20">
        <v>0.0</v>
      </c>
      <c r="Q245" s="27">
        <f t="shared" si="1"/>
        <v>0</v>
      </c>
      <c r="R245" s="26">
        <f t="shared" si="2"/>
        <v>0</v>
      </c>
      <c r="S245" s="26">
        <f t="shared" si="3"/>
        <v>0</v>
      </c>
      <c r="T245" s="26">
        <f t="shared" si="4"/>
        <v>0</v>
      </c>
      <c r="U245" s="28">
        <f t="shared" si="5"/>
        <v>0</v>
      </c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23" t="s">
        <v>24</v>
      </c>
      <c r="B246" s="24">
        <f t="shared" si="6"/>
        <v>46263</v>
      </c>
      <c r="C246" s="25">
        <v>9.3</v>
      </c>
      <c r="D246" s="26" t="s">
        <v>27</v>
      </c>
      <c r="E246" s="22" t="s">
        <v>29</v>
      </c>
      <c r="F246" s="22" t="s">
        <v>30</v>
      </c>
      <c r="G246" s="19">
        <v>0.0</v>
      </c>
      <c r="I246" s="20">
        <v>0.0</v>
      </c>
      <c r="K246" s="20">
        <v>0.0</v>
      </c>
      <c r="M246" s="20">
        <v>0.0</v>
      </c>
      <c r="O246" s="20">
        <v>0.0</v>
      </c>
      <c r="Q246" s="27">
        <f t="shared" si="1"/>
        <v>0</v>
      </c>
      <c r="R246" s="26">
        <f t="shared" si="2"/>
        <v>0</v>
      </c>
      <c r="S246" s="26">
        <f t="shared" si="3"/>
        <v>0</v>
      </c>
      <c r="T246" s="26">
        <f t="shared" si="4"/>
        <v>0</v>
      </c>
      <c r="U246" s="28">
        <f t="shared" si="5"/>
        <v>0</v>
      </c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29" t="s">
        <v>25</v>
      </c>
      <c r="B247" s="30">
        <f t="shared" si="6"/>
        <v>46264</v>
      </c>
      <c r="C247" s="31">
        <v>9.3</v>
      </c>
      <c r="D247" s="32" t="s">
        <v>27</v>
      </c>
      <c r="E247" s="33" t="s">
        <v>29</v>
      </c>
      <c r="F247" s="33" t="s">
        <v>30</v>
      </c>
      <c r="G247" s="34">
        <v>0.0</v>
      </c>
      <c r="H247" s="6"/>
      <c r="I247" s="35">
        <v>0.0</v>
      </c>
      <c r="J247" s="6"/>
      <c r="K247" s="35">
        <v>0.0</v>
      </c>
      <c r="L247" s="6"/>
      <c r="M247" s="35">
        <v>0.0</v>
      </c>
      <c r="N247" s="6"/>
      <c r="O247" s="35">
        <v>0.0</v>
      </c>
      <c r="P247" s="6"/>
      <c r="Q247" s="36">
        <f t="shared" si="1"/>
        <v>0</v>
      </c>
      <c r="R247" s="32">
        <f t="shared" si="2"/>
        <v>0</v>
      </c>
      <c r="S247" s="32">
        <f t="shared" si="3"/>
        <v>0</v>
      </c>
      <c r="T247" s="32">
        <f t="shared" si="4"/>
        <v>0</v>
      </c>
      <c r="U247" s="37">
        <f t="shared" si="5"/>
        <v>0</v>
      </c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14" t="s">
        <v>18</v>
      </c>
      <c r="B248" s="15">
        <f t="shared" si="6"/>
        <v>46265</v>
      </c>
      <c r="C248" s="16">
        <v>9.4</v>
      </c>
      <c r="D248" s="17" t="s">
        <v>28</v>
      </c>
      <c r="E248" s="18" t="s">
        <v>31</v>
      </c>
      <c r="F248" s="18" t="s">
        <v>32</v>
      </c>
      <c r="G248" s="19">
        <v>60.0</v>
      </c>
      <c r="I248" s="20">
        <v>60.0</v>
      </c>
      <c r="K248" s="20">
        <v>60.0</v>
      </c>
      <c r="M248" s="20">
        <v>0.0</v>
      </c>
      <c r="O248" s="20">
        <v>0.0</v>
      </c>
      <c r="Q248" s="21">
        <f t="shared" si="1"/>
        <v>4671.7596</v>
      </c>
      <c r="R248" s="17">
        <f t="shared" si="2"/>
        <v>180</v>
      </c>
      <c r="S248" s="17">
        <f t="shared" si="3"/>
        <v>0</v>
      </c>
      <c r="T248" s="17">
        <f t="shared" si="4"/>
        <v>180</v>
      </c>
      <c r="U248" s="38">
        <f t="shared" si="5"/>
        <v>25.95422</v>
      </c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23" t="s">
        <v>20</v>
      </c>
      <c r="B249" s="24">
        <f t="shared" si="6"/>
        <v>46266</v>
      </c>
      <c r="C249" s="25">
        <v>9.4</v>
      </c>
      <c r="D249" s="26" t="s">
        <v>28</v>
      </c>
      <c r="E249" s="22" t="s">
        <v>31</v>
      </c>
      <c r="F249" s="22" t="s">
        <v>32</v>
      </c>
      <c r="G249" s="19">
        <v>60.0</v>
      </c>
      <c r="I249" s="20">
        <v>60.0</v>
      </c>
      <c r="K249" s="20">
        <v>60.0</v>
      </c>
      <c r="M249" s="20">
        <v>0.0</v>
      </c>
      <c r="O249" s="20">
        <v>0.0</v>
      </c>
      <c r="Q249" s="27">
        <f t="shared" si="1"/>
        <v>4671.7596</v>
      </c>
      <c r="R249" s="26">
        <f t="shared" si="2"/>
        <v>180</v>
      </c>
      <c r="S249" s="26">
        <f t="shared" si="3"/>
        <v>0</v>
      </c>
      <c r="T249" s="26">
        <f t="shared" si="4"/>
        <v>180</v>
      </c>
      <c r="U249" s="28">
        <f t="shared" si="5"/>
        <v>25.95422</v>
      </c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23" t="s">
        <v>21</v>
      </c>
      <c r="B250" s="24">
        <f t="shared" si="6"/>
        <v>46267</v>
      </c>
      <c r="C250" s="25">
        <v>9.4</v>
      </c>
      <c r="D250" s="26" t="s">
        <v>28</v>
      </c>
      <c r="E250" s="22" t="s">
        <v>31</v>
      </c>
      <c r="F250" s="22" t="s">
        <v>32</v>
      </c>
      <c r="G250" s="19">
        <v>60.0</v>
      </c>
      <c r="I250" s="20">
        <v>60.0</v>
      </c>
      <c r="K250" s="20">
        <v>60.0</v>
      </c>
      <c r="M250" s="20">
        <v>0.0</v>
      </c>
      <c r="O250" s="20">
        <v>0.0</v>
      </c>
      <c r="Q250" s="27">
        <f t="shared" si="1"/>
        <v>4671.7596</v>
      </c>
      <c r="R250" s="26">
        <f t="shared" si="2"/>
        <v>180</v>
      </c>
      <c r="S250" s="26">
        <f t="shared" si="3"/>
        <v>0</v>
      </c>
      <c r="T250" s="26">
        <f t="shared" si="4"/>
        <v>180</v>
      </c>
      <c r="U250" s="28">
        <f t="shared" si="5"/>
        <v>25.95422</v>
      </c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23" t="s">
        <v>22</v>
      </c>
      <c r="B251" s="24">
        <f t="shared" si="6"/>
        <v>46268</v>
      </c>
      <c r="C251" s="25">
        <v>9.4</v>
      </c>
      <c r="D251" s="26" t="s">
        <v>28</v>
      </c>
      <c r="E251" s="22" t="s">
        <v>31</v>
      </c>
      <c r="F251" s="22" t="s">
        <v>32</v>
      </c>
      <c r="G251" s="19">
        <v>60.0</v>
      </c>
      <c r="I251" s="20">
        <v>60.0</v>
      </c>
      <c r="K251" s="20">
        <v>60.0</v>
      </c>
      <c r="M251" s="20">
        <v>0.0</v>
      </c>
      <c r="O251" s="20">
        <v>0.0</v>
      </c>
      <c r="Q251" s="27">
        <f t="shared" si="1"/>
        <v>4671.7596</v>
      </c>
      <c r="R251" s="26">
        <f t="shared" si="2"/>
        <v>180</v>
      </c>
      <c r="S251" s="26">
        <f t="shared" si="3"/>
        <v>0</v>
      </c>
      <c r="T251" s="26">
        <f t="shared" si="4"/>
        <v>180</v>
      </c>
      <c r="U251" s="28">
        <f t="shared" si="5"/>
        <v>25.95422</v>
      </c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23" t="s">
        <v>23</v>
      </c>
      <c r="B252" s="24">
        <f t="shared" si="6"/>
        <v>46269</v>
      </c>
      <c r="C252" s="25">
        <v>9.4</v>
      </c>
      <c r="D252" s="26" t="s">
        <v>28</v>
      </c>
      <c r="E252" s="22" t="s">
        <v>31</v>
      </c>
      <c r="F252" s="22" t="s">
        <v>32</v>
      </c>
      <c r="G252" s="19">
        <v>60.0</v>
      </c>
      <c r="I252" s="20">
        <v>60.0</v>
      </c>
      <c r="K252" s="20">
        <v>60.0</v>
      </c>
      <c r="M252" s="20">
        <v>0.0</v>
      </c>
      <c r="O252" s="20">
        <v>0.0</v>
      </c>
      <c r="Q252" s="27">
        <f t="shared" si="1"/>
        <v>4671.7596</v>
      </c>
      <c r="R252" s="26">
        <f t="shared" si="2"/>
        <v>180</v>
      </c>
      <c r="S252" s="26">
        <f t="shared" si="3"/>
        <v>0</v>
      </c>
      <c r="T252" s="26">
        <f t="shared" si="4"/>
        <v>180</v>
      </c>
      <c r="U252" s="28">
        <f t="shared" si="5"/>
        <v>25.95422</v>
      </c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23" t="s">
        <v>24</v>
      </c>
      <c r="B253" s="24">
        <f t="shared" si="6"/>
        <v>46270</v>
      </c>
      <c r="C253" s="25">
        <v>9.4</v>
      </c>
      <c r="D253" s="26" t="s">
        <v>28</v>
      </c>
      <c r="E253" s="22" t="s">
        <v>31</v>
      </c>
      <c r="F253" s="22" t="s">
        <v>32</v>
      </c>
      <c r="G253" s="19">
        <v>60.0</v>
      </c>
      <c r="I253" s="20">
        <v>60.0</v>
      </c>
      <c r="K253" s="20">
        <v>60.0</v>
      </c>
      <c r="M253" s="20">
        <v>0.0</v>
      </c>
      <c r="O253" s="20">
        <v>0.0</v>
      </c>
      <c r="Q253" s="27">
        <f t="shared" si="1"/>
        <v>4671.7596</v>
      </c>
      <c r="R253" s="26">
        <f t="shared" si="2"/>
        <v>180</v>
      </c>
      <c r="S253" s="26">
        <f t="shared" si="3"/>
        <v>0</v>
      </c>
      <c r="T253" s="26">
        <f t="shared" si="4"/>
        <v>180</v>
      </c>
      <c r="U253" s="28">
        <f t="shared" si="5"/>
        <v>25.95422</v>
      </c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29" t="s">
        <v>25</v>
      </c>
      <c r="B254" s="30">
        <f t="shared" si="6"/>
        <v>46271</v>
      </c>
      <c r="C254" s="31">
        <v>9.4</v>
      </c>
      <c r="D254" s="32" t="s">
        <v>28</v>
      </c>
      <c r="E254" s="33" t="s">
        <v>31</v>
      </c>
      <c r="F254" s="33" t="s">
        <v>32</v>
      </c>
      <c r="G254" s="34">
        <v>60.0</v>
      </c>
      <c r="H254" s="6"/>
      <c r="I254" s="35">
        <v>60.0</v>
      </c>
      <c r="J254" s="6"/>
      <c r="K254" s="35">
        <v>60.0</v>
      </c>
      <c r="L254" s="6"/>
      <c r="M254" s="35">
        <v>0.0</v>
      </c>
      <c r="N254" s="6"/>
      <c r="O254" s="35">
        <v>0.0</v>
      </c>
      <c r="P254" s="6"/>
      <c r="Q254" s="36">
        <f t="shared" si="1"/>
        <v>4671.7596</v>
      </c>
      <c r="R254" s="32">
        <f t="shared" si="2"/>
        <v>180</v>
      </c>
      <c r="S254" s="32">
        <f t="shared" si="3"/>
        <v>0</v>
      </c>
      <c r="T254" s="32">
        <f t="shared" si="4"/>
        <v>180</v>
      </c>
      <c r="U254" s="37">
        <f t="shared" si="5"/>
        <v>25.95422</v>
      </c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14" t="s">
        <v>18</v>
      </c>
      <c r="B255" s="15">
        <f t="shared" si="6"/>
        <v>46272</v>
      </c>
      <c r="C255" s="16">
        <v>10.1</v>
      </c>
      <c r="D255" s="17" t="s">
        <v>19</v>
      </c>
      <c r="E255" s="18" t="s">
        <v>29</v>
      </c>
      <c r="F255" s="18" t="s">
        <v>30</v>
      </c>
      <c r="G255" s="19">
        <v>0.0</v>
      </c>
      <c r="I255" s="20">
        <v>0.0</v>
      </c>
      <c r="K255" s="20">
        <v>0.0</v>
      </c>
      <c r="M255" s="20">
        <v>0.0</v>
      </c>
      <c r="O255" s="20">
        <v>0.0</v>
      </c>
      <c r="Q255" s="21">
        <f t="shared" si="1"/>
        <v>0</v>
      </c>
      <c r="R255" s="17">
        <f t="shared" si="2"/>
        <v>0</v>
      </c>
      <c r="S255" s="17">
        <f t="shared" si="3"/>
        <v>0</v>
      </c>
      <c r="T255" s="17">
        <f t="shared" si="4"/>
        <v>0</v>
      </c>
      <c r="U255" s="38">
        <f t="shared" si="5"/>
        <v>0</v>
      </c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23" t="s">
        <v>20</v>
      </c>
      <c r="B256" s="24">
        <f t="shared" si="6"/>
        <v>46273</v>
      </c>
      <c r="C256" s="25">
        <v>10.1</v>
      </c>
      <c r="D256" s="26" t="s">
        <v>19</v>
      </c>
      <c r="E256" s="22" t="s">
        <v>29</v>
      </c>
      <c r="F256" s="22" t="s">
        <v>30</v>
      </c>
      <c r="G256" s="19">
        <v>0.0</v>
      </c>
      <c r="I256" s="20">
        <v>0.0</v>
      </c>
      <c r="K256" s="20">
        <v>0.0</v>
      </c>
      <c r="M256" s="20">
        <v>0.0</v>
      </c>
      <c r="O256" s="20">
        <v>0.0</v>
      </c>
      <c r="Q256" s="27">
        <f t="shared" si="1"/>
        <v>0</v>
      </c>
      <c r="R256" s="26">
        <f t="shared" si="2"/>
        <v>0</v>
      </c>
      <c r="S256" s="26">
        <f t="shared" si="3"/>
        <v>0</v>
      </c>
      <c r="T256" s="26">
        <f t="shared" si="4"/>
        <v>0</v>
      </c>
      <c r="U256" s="28">
        <f t="shared" si="5"/>
        <v>0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23" t="s">
        <v>21</v>
      </c>
      <c r="B257" s="24">
        <f t="shared" si="6"/>
        <v>46274</v>
      </c>
      <c r="C257" s="25">
        <v>10.1</v>
      </c>
      <c r="D257" s="26" t="s">
        <v>19</v>
      </c>
      <c r="E257" s="22" t="s">
        <v>29</v>
      </c>
      <c r="F257" s="22" t="s">
        <v>30</v>
      </c>
      <c r="G257" s="19">
        <v>0.0</v>
      </c>
      <c r="I257" s="20">
        <v>0.0</v>
      </c>
      <c r="K257" s="20">
        <v>0.0</v>
      </c>
      <c r="M257" s="20">
        <v>0.0</v>
      </c>
      <c r="O257" s="20">
        <v>0.0</v>
      </c>
      <c r="Q257" s="27">
        <f t="shared" si="1"/>
        <v>0</v>
      </c>
      <c r="R257" s="26">
        <f t="shared" si="2"/>
        <v>0</v>
      </c>
      <c r="S257" s="26">
        <f t="shared" si="3"/>
        <v>0</v>
      </c>
      <c r="T257" s="26">
        <f t="shared" si="4"/>
        <v>0</v>
      </c>
      <c r="U257" s="28">
        <f t="shared" si="5"/>
        <v>0</v>
      </c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23" t="s">
        <v>22</v>
      </c>
      <c r="B258" s="24">
        <f t="shared" si="6"/>
        <v>46275</v>
      </c>
      <c r="C258" s="25">
        <v>10.1</v>
      </c>
      <c r="D258" s="26" t="s">
        <v>19</v>
      </c>
      <c r="E258" s="22" t="s">
        <v>29</v>
      </c>
      <c r="F258" s="22" t="s">
        <v>30</v>
      </c>
      <c r="G258" s="19">
        <v>0.0</v>
      </c>
      <c r="I258" s="20">
        <v>0.0</v>
      </c>
      <c r="K258" s="20">
        <v>0.0</v>
      </c>
      <c r="M258" s="20">
        <v>0.0</v>
      </c>
      <c r="O258" s="20">
        <v>0.0</v>
      </c>
      <c r="Q258" s="27">
        <f t="shared" si="1"/>
        <v>0</v>
      </c>
      <c r="R258" s="26">
        <f t="shared" si="2"/>
        <v>0</v>
      </c>
      <c r="S258" s="26">
        <f t="shared" si="3"/>
        <v>0</v>
      </c>
      <c r="T258" s="26">
        <f t="shared" si="4"/>
        <v>0</v>
      </c>
      <c r="U258" s="28">
        <f t="shared" si="5"/>
        <v>0</v>
      </c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23" t="s">
        <v>23</v>
      </c>
      <c r="B259" s="24">
        <f t="shared" si="6"/>
        <v>46276</v>
      </c>
      <c r="C259" s="25">
        <v>10.1</v>
      </c>
      <c r="D259" s="26" t="s">
        <v>19</v>
      </c>
      <c r="E259" s="22" t="s">
        <v>29</v>
      </c>
      <c r="F259" s="22" t="s">
        <v>30</v>
      </c>
      <c r="G259" s="19">
        <v>0.0</v>
      </c>
      <c r="I259" s="20">
        <v>0.0</v>
      </c>
      <c r="K259" s="20">
        <v>0.0</v>
      </c>
      <c r="M259" s="20">
        <v>0.0</v>
      </c>
      <c r="O259" s="20">
        <v>0.0</v>
      </c>
      <c r="Q259" s="27">
        <f t="shared" si="1"/>
        <v>0</v>
      </c>
      <c r="R259" s="26">
        <f t="shared" si="2"/>
        <v>0</v>
      </c>
      <c r="S259" s="26">
        <f t="shared" si="3"/>
        <v>0</v>
      </c>
      <c r="T259" s="26">
        <f t="shared" si="4"/>
        <v>0</v>
      </c>
      <c r="U259" s="28">
        <f t="shared" si="5"/>
        <v>0</v>
      </c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23" t="s">
        <v>24</v>
      </c>
      <c r="B260" s="24">
        <f t="shared" si="6"/>
        <v>46277</v>
      </c>
      <c r="C260" s="25">
        <v>10.1</v>
      </c>
      <c r="D260" s="26" t="s">
        <v>19</v>
      </c>
      <c r="E260" s="22" t="s">
        <v>29</v>
      </c>
      <c r="F260" s="22" t="s">
        <v>30</v>
      </c>
      <c r="G260" s="19">
        <v>0.0</v>
      </c>
      <c r="I260" s="20">
        <v>0.0</v>
      </c>
      <c r="K260" s="20">
        <v>0.0</v>
      </c>
      <c r="M260" s="20">
        <v>0.0</v>
      </c>
      <c r="O260" s="20">
        <v>0.0</v>
      </c>
      <c r="Q260" s="27">
        <f t="shared" si="1"/>
        <v>0</v>
      </c>
      <c r="R260" s="26">
        <f t="shared" si="2"/>
        <v>0</v>
      </c>
      <c r="S260" s="26">
        <f t="shared" si="3"/>
        <v>0</v>
      </c>
      <c r="T260" s="26">
        <f t="shared" si="4"/>
        <v>0</v>
      </c>
      <c r="U260" s="28">
        <f t="shared" si="5"/>
        <v>0</v>
      </c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29" t="s">
        <v>25</v>
      </c>
      <c r="B261" s="30">
        <f t="shared" si="6"/>
        <v>46278</v>
      </c>
      <c r="C261" s="31">
        <v>10.1</v>
      </c>
      <c r="D261" s="32" t="s">
        <v>19</v>
      </c>
      <c r="E261" s="33" t="s">
        <v>29</v>
      </c>
      <c r="F261" s="33" t="s">
        <v>30</v>
      </c>
      <c r="G261" s="34">
        <v>0.0</v>
      </c>
      <c r="H261" s="6"/>
      <c r="I261" s="35">
        <v>0.0</v>
      </c>
      <c r="J261" s="6"/>
      <c r="K261" s="35">
        <v>0.0</v>
      </c>
      <c r="L261" s="6"/>
      <c r="M261" s="35">
        <v>0.0</v>
      </c>
      <c r="N261" s="6"/>
      <c r="O261" s="35">
        <v>0.0</v>
      </c>
      <c r="P261" s="6"/>
      <c r="Q261" s="36">
        <f t="shared" si="1"/>
        <v>0</v>
      </c>
      <c r="R261" s="32">
        <f t="shared" si="2"/>
        <v>0</v>
      </c>
      <c r="S261" s="32">
        <f t="shared" si="3"/>
        <v>0</v>
      </c>
      <c r="T261" s="32">
        <f t="shared" si="4"/>
        <v>0</v>
      </c>
      <c r="U261" s="37">
        <f t="shared" si="5"/>
        <v>0</v>
      </c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14" t="s">
        <v>18</v>
      </c>
      <c r="B262" s="15">
        <f t="shared" si="6"/>
        <v>46279</v>
      </c>
      <c r="C262" s="16">
        <v>10.2</v>
      </c>
      <c r="D262" s="17" t="s">
        <v>26</v>
      </c>
      <c r="E262" s="18" t="s">
        <v>29</v>
      </c>
      <c r="F262" s="18" t="s">
        <v>30</v>
      </c>
      <c r="G262" s="19">
        <v>0.0</v>
      </c>
      <c r="I262" s="20">
        <v>0.0</v>
      </c>
      <c r="K262" s="20">
        <v>0.0</v>
      </c>
      <c r="M262" s="20">
        <v>0.0</v>
      </c>
      <c r="O262" s="20">
        <v>0.0</v>
      </c>
      <c r="Q262" s="21">
        <f t="shared" si="1"/>
        <v>0</v>
      </c>
      <c r="R262" s="17">
        <f t="shared" si="2"/>
        <v>0</v>
      </c>
      <c r="S262" s="17">
        <f t="shared" si="3"/>
        <v>0</v>
      </c>
      <c r="T262" s="17">
        <f t="shared" si="4"/>
        <v>0</v>
      </c>
      <c r="U262" s="38">
        <f t="shared" si="5"/>
        <v>0</v>
      </c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23" t="s">
        <v>20</v>
      </c>
      <c r="B263" s="24">
        <f t="shared" si="6"/>
        <v>46280</v>
      </c>
      <c r="C263" s="25">
        <v>10.2</v>
      </c>
      <c r="D263" s="26" t="s">
        <v>26</v>
      </c>
      <c r="E263" s="22" t="s">
        <v>31</v>
      </c>
      <c r="F263" s="22" t="s">
        <v>32</v>
      </c>
      <c r="G263" s="19">
        <v>60.0</v>
      </c>
      <c r="I263" s="20">
        <v>60.0</v>
      </c>
      <c r="K263" s="20">
        <v>60.0</v>
      </c>
      <c r="M263" s="20">
        <v>0.0</v>
      </c>
      <c r="O263" s="20">
        <v>0.0</v>
      </c>
      <c r="Q263" s="27">
        <f t="shared" si="1"/>
        <v>4671.7596</v>
      </c>
      <c r="R263" s="26">
        <f t="shared" si="2"/>
        <v>180</v>
      </c>
      <c r="S263" s="26">
        <f t="shared" si="3"/>
        <v>0</v>
      </c>
      <c r="T263" s="26">
        <f t="shared" si="4"/>
        <v>180</v>
      </c>
      <c r="U263" s="28">
        <f t="shared" si="5"/>
        <v>25.95422</v>
      </c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23" t="s">
        <v>21</v>
      </c>
      <c r="B264" s="24">
        <f t="shared" si="6"/>
        <v>46281</v>
      </c>
      <c r="C264" s="25">
        <v>10.2</v>
      </c>
      <c r="D264" s="26" t="s">
        <v>26</v>
      </c>
      <c r="E264" s="22" t="s">
        <v>31</v>
      </c>
      <c r="F264" s="22" t="s">
        <v>32</v>
      </c>
      <c r="G264" s="19">
        <v>60.0</v>
      </c>
      <c r="I264" s="20">
        <v>60.0</v>
      </c>
      <c r="K264" s="20">
        <v>60.0</v>
      </c>
      <c r="M264" s="20">
        <v>0.0</v>
      </c>
      <c r="O264" s="20">
        <v>0.0</v>
      </c>
      <c r="Q264" s="27">
        <f t="shared" si="1"/>
        <v>4671.7596</v>
      </c>
      <c r="R264" s="26">
        <f t="shared" si="2"/>
        <v>180</v>
      </c>
      <c r="S264" s="26">
        <f t="shared" si="3"/>
        <v>0</v>
      </c>
      <c r="T264" s="26">
        <f t="shared" si="4"/>
        <v>180</v>
      </c>
      <c r="U264" s="28">
        <f t="shared" si="5"/>
        <v>25.95422</v>
      </c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23" t="s">
        <v>22</v>
      </c>
      <c r="B265" s="24">
        <f t="shared" si="6"/>
        <v>46282</v>
      </c>
      <c r="C265" s="25">
        <v>10.2</v>
      </c>
      <c r="D265" s="26" t="s">
        <v>26</v>
      </c>
      <c r="E265" s="22" t="s">
        <v>31</v>
      </c>
      <c r="F265" s="22" t="s">
        <v>32</v>
      </c>
      <c r="G265" s="19">
        <v>60.0</v>
      </c>
      <c r="I265" s="20">
        <v>60.0</v>
      </c>
      <c r="K265" s="20">
        <v>60.0</v>
      </c>
      <c r="M265" s="20">
        <v>0.0</v>
      </c>
      <c r="O265" s="20">
        <v>0.0</v>
      </c>
      <c r="Q265" s="27">
        <f t="shared" si="1"/>
        <v>4671.7596</v>
      </c>
      <c r="R265" s="26">
        <f t="shared" si="2"/>
        <v>180</v>
      </c>
      <c r="S265" s="26">
        <f t="shared" si="3"/>
        <v>0</v>
      </c>
      <c r="T265" s="26">
        <f t="shared" si="4"/>
        <v>180</v>
      </c>
      <c r="U265" s="28">
        <f t="shared" si="5"/>
        <v>25.95422</v>
      </c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23" t="s">
        <v>23</v>
      </c>
      <c r="B266" s="24">
        <f t="shared" si="6"/>
        <v>46283</v>
      </c>
      <c r="C266" s="25">
        <v>10.2</v>
      </c>
      <c r="D266" s="26" t="s">
        <v>26</v>
      </c>
      <c r="E266" s="22" t="s">
        <v>31</v>
      </c>
      <c r="F266" s="22" t="s">
        <v>32</v>
      </c>
      <c r="G266" s="19">
        <v>60.0</v>
      </c>
      <c r="I266" s="20">
        <v>60.0</v>
      </c>
      <c r="K266" s="20">
        <v>60.0</v>
      </c>
      <c r="M266" s="20">
        <v>0.0</v>
      </c>
      <c r="O266" s="20">
        <v>0.0</v>
      </c>
      <c r="Q266" s="27">
        <f t="shared" si="1"/>
        <v>4671.7596</v>
      </c>
      <c r="R266" s="26">
        <f t="shared" si="2"/>
        <v>180</v>
      </c>
      <c r="S266" s="26">
        <f t="shared" si="3"/>
        <v>0</v>
      </c>
      <c r="T266" s="26">
        <f t="shared" si="4"/>
        <v>180</v>
      </c>
      <c r="U266" s="28">
        <f t="shared" si="5"/>
        <v>25.95422</v>
      </c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23" t="s">
        <v>24</v>
      </c>
      <c r="B267" s="24">
        <f t="shared" si="6"/>
        <v>46284</v>
      </c>
      <c r="C267" s="25">
        <v>10.2</v>
      </c>
      <c r="D267" s="26" t="s">
        <v>26</v>
      </c>
      <c r="E267" s="22" t="s">
        <v>31</v>
      </c>
      <c r="F267" s="22" t="s">
        <v>32</v>
      </c>
      <c r="G267" s="19">
        <v>60.0</v>
      </c>
      <c r="I267" s="20">
        <v>60.0</v>
      </c>
      <c r="K267" s="20">
        <v>60.0</v>
      </c>
      <c r="M267" s="20">
        <v>0.0</v>
      </c>
      <c r="O267" s="20">
        <v>0.0</v>
      </c>
      <c r="Q267" s="27">
        <f t="shared" si="1"/>
        <v>4671.7596</v>
      </c>
      <c r="R267" s="26">
        <f t="shared" si="2"/>
        <v>180</v>
      </c>
      <c r="S267" s="26">
        <f t="shared" si="3"/>
        <v>0</v>
      </c>
      <c r="T267" s="26">
        <f t="shared" si="4"/>
        <v>180</v>
      </c>
      <c r="U267" s="28">
        <f t="shared" si="5"/>
        <v>25.95422</v>
      </c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29" t="s">
        <v>25</v>
      </c>
      <c r="B268" s="30">
        <f t="shared" si="6"/>
        <v>46285</v>
      </c>
      <c r="C268" s="31">
        <v>10.2</v>
      </c>
      <c r="D268" s="32" t="s">
        <v>26</v>
      </c>
      <c r="E268" s="33" t="s">
        <v>31</v>
      </c>
      <c r="F268" s="33" t="s">
        <v>32</v>
      </c>
      <c r="G268" s="34">
        <v>60.0</v>
      </c>
      <c r="H268" s="6"/>
      <c r="I268" s="35">
        <v>60.0</v>
      </c>
      <c r="J268" s="6"/>
      <c r="K268" s="35">
        <v>60.0</v>
      </c>
      <c r="L268" s="6"/>
      <c r="M268" s="35">
        <v>0.0</v>
      </c>
      <c r="N268" s="6"/>
      <c r="O268" s="35">
        <v>0.0</v>
      </c>
      <c r="P268" s="6"/>
      <c r="Q268" s="36">
        <f t="shared" si="1"/>
        <v>4671.7596</v>
      </c>
      <c r="R268" s="32">
        <f t="shared" si="2"/>
        <v>180</v>
      </c>
      <c r="S268" s="32">
        <f t="shared" si="3"/>
        <v>0</v>
      </c>
      <c r="T268" s="32">
        <f t="shared" si="4"/>
        <v>180</v>
      </c>
      <c r="U268" s="37">
        <f t="shared" si="5"/>
        <v>25.95422</v>
      </c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14" t="s">
        <v>18</v>
      </c>
      <c r="B269" s="15">
        <f t="shared" si="6"/>
        <v>46286</v>
      </c>
      <c r="C269" s="16">
        <v>10.3</v>
      </c>
      <c r="D269" s="17" t="s">
        <v>27</v>
      </c>
      <c r="E269" s="18" t="s">
        <v>33</v>
      </c>
      <c r="F269" s="18" t="s">
        <v>30</v>
      </c>
      <c r="G269" s="19">
        <v>0.0</v>
      </c>
      <c r="I269" s="20">
        <v>0.0</v>
      </c>
      <c r="K269" s="20">
        <v>0.0</v>
      </c>
      <c r="M269" s="20">
        <v>0.0</v>
      </c>
      <c r="O269" s="20">
        <v>0.0</v>
      </c>
      <c r="Q269" s="21">
        <f t="shared" si="1"/>
        <v>0</v>
      </c>
      <c r="R269" s="17">
        <f t="shared" si="2"/>
        <v>0</v>
      </c>
      <c r="S269" s="17">
        <f t="shared" si="3"/>
        <v>0</v>
      </c>
      <c r="T269" s="17">
        <f t="shared" si="4"/>
        <v>0</v>
      </c>
      <c r="U269" s="38">
        <f t="shared" si="5"/>
        <v>0</v>
      </c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23" t="s">
        <v>20</v>
      </c>
      <c r="B270" s="24">
        <f t="shared" si="6"/>
        <v>46287</v>
      </c>
      <c r="C270" s="25">
        <v>10.3</v>
      </c>
      <c r="D270" s="26" t="s">
        <v>27</v>
      </c>
      <c r="E270" s="22" t="s">
        <v>31</v>
      </c>
      <c r="F270" s="22" t="s">
        <v>32</v>
      </c>
      <c r="G270" s="19">
        <v>60.0</v>
      </c>
      <c r="I270" s="20">
        <v>60.0</v>
      </c>
      <c r="K270" s="20">
        <v>60.0</v>
      </c>
      <c r="M270" s="20">
        <v>0.0</v>
      </c>
      <c r="O270" s="20">
        <v>0.0</v>
      </c>
      <c r="Q270" s="27">
        <f t="shared" si="1"/>
        <v>4671.7596</v>
      </c>
      <c r="R270" s="26">
        <f t="shared" si="2"/>
        <v>180</v>
      </c>
      <c r="S270" s="26">
        <f t="shared" si="3"/>
        <v>0</v>
      </c>
      <c r="T270" s="26">
        <f t="shared" si="4"/>
        <v>180</v>
      </c>
      <c r="U270" s="28">
        <f t="shared" si="5"/>
        <v>25.95422</v>
      </c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23" t="s">
        <v>21</v>
      </c>
      <c r="B271" s="24">
        <f t="shared" si="6"/>
        <v>46288</v>
      </c>
      <c r="C271" s="25">
        <v>10.3</v>
      </c>
      <c r="D271" s="26" t="s">
        <v>27</v>
      </c>
      <c r="E271" s="22" t="s">
        <v>31</v>
      </c>
      <c r="F271" s="22" t="s">
        <v>32</v>
      </c>
      <c r="G271" s="19">
        <v>60.0</v>
      </c>
      <c r="I271" s="20">
        <v>60.0</v>
      </c>
      <c r="K271" s="20">
        <v>60.0</v>
      </c>
      <c r="M271" s="20">
        <v>0.0</v>
      </c>
      <c r="O271" s="20">
        <v>0.0</v>
      </c>
      <c r="Q271" s="27">
        <f t="shared" si="1"/>
        <v>4671.7596</v>
      </c>
      <c r="R271" s="26">
        <f t="shared" si="2"/>
        <v>180</v>
      </c>
      <c r="S271" s="26">
        <f t="shared" si="3"/>
        <v>0</v>
      </c>
      <c r="T271" s="26">
        <f t="shared" si="4"/>
        <v>180</v>
      </c>
      <c r="U271" s="28">
        <f t="shared" si="5"/>
        <v>25.95422</v>
      </c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23" t="s">
        <v>22</v>
      </c>
      <c r="B272" s="24">
        <f t="shared" si="6"/>
        <v>46289</v>
      </c>
      <c r="C272" s="25">
        <v>10.3</v>
      </c>
      <c r="D272" s="26" t="s">
        <v>27</v>
      </c>
      <c r="E272" s="22" t="s">
        <v>31</v>
      </c>
      <c r="F272" s="22" t="s">
        <v>32</v>
      </c>
      <c r="G272" s="19">
        <v>60.0</v>
      </c>
      <c r="I272" s="20">
        <v>60.0</v>
      </c>
      <c r="K272" s="20">
        <v>60.0</v>
      </c>
      <c r="M272" s="20">
        <v>0.0</v>
      </c>
      <c r="O272" s="20">
        <v>0.0</v>
      </c>
      <c r="Q272" s="27">
        <f t="shared" si="1"/>
        <v>4671.7596</v>
      </c>
      <c r="R272" s="26">
        <f t="shared" si="2"/>
        <v>180</v>
      </c>
      <c r="S272" s="26">
        <f t="shared" si="3"/>
        <v>0</v>
      </c>
      <c r="T272" s="26">
        <f t="shared" si="4"/>
        <v>180</v>
      </c>
      <c r="U272" s="28">
        <f t="shared" si="5"/>
        <v>25.95422</v>
      </c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23" t="s">
        <v>23</v>
      </c>
      <c r="B273" s="24">
        <f t="shared" si="6"/>
        <v>46290</v>
      </c>
      <c r="C273" s="25">
        <v>10.3</v>
      </c>
      <c r="D273" s="26" t="s">
        <v>27</v>
      </c>
      <c r="E273" s="22" t="s">
        <v>29</v>
      </c>
      <c r="F273" s="22" t="s">
        <v>30</v>
      </c>
      <c r="G273" s="19">
        <v>0.0</v>
      </c>
      <c r="I273" s="20">
        <v>0.0</v>
      </c>
      <c r="K273" s="20">
        <v>0.0</v>
      </c>
      <c r="M273" s="20">
        <v>0.0</v>
      </c>
      <c r="O273" s="20">
        <v>0.0</v>
      </c>
      <c r="Q273" s="27">
        <f t="shared" si="1"/>
        <v>0</v>
      </c>
      <c r="R273" s="26">
        <f t="shared" si="2"/>
        <v>0</v>
      </c>
      <c r="S273" s="26">
        <f t="shared" si="3"/>
        <v>0</v>
      </c>
      <c r="T273" s="26">
        <f t="shared" si="4"/>
        <v>0</v>
      </c>
      <c r="U273" s="28">
        <f t="shared" si="5"/>
        <v>0</v>
      </c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23" t="s">
        <v>24</v>
      </c>
      <c r="B274" s="24">
        <f t="shared" si="6"/>
        <v>46291</v>
      </c>
      <c r="C274" s="25">
        <v>10.3</v>
      </c>
      <c r="D274" s="26" t="s">
        <v>27</v>
      </c>
      <c r="E274" s="22" t="s">
        <v>29</v>
      </c>
      <c r="F274" s="22" t="s">
        <v>30</v>
      </c>
      <c r="G274" s="19">
        <v>0.0</v>
      </c>
      <c r="I274" s="20">
        <v>0.0</v>
      </c>
      <c r="K274" s="20">
        <v>0.0</v>
      </c>
      <c r="M274" s="20">
        <v>0.0</v>
      </c>
      <c r="O274" s="20">
        <v>0.0</v>
      </c>
      <c r="Q274" s="27">
        <f t="shared" si="1"/>
        <v>0</v>
      </c>
      <c r="R274" s="26">
        <f t="shared" si="2"/>
        <v>0</v>
      </c>
      <c r="S274" s="26">
        <f t="shared" si="3"/>
        <v>0</v>
      </c>
      <c r="T274" s="26">
        <f t="shared" si="4"/>
        <v>0</v>
      </c>
      <c r="U274" s="28">
        <f t="shared" si="5"/>
        <v>0</v>
      </c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29" t="s">
        <v>25</v>
      </c>
      <c r="B275" s="30">
        <f t="shared" si="6"/>
        <v>46292</v>
      </c>
      <c r="C275" s="31">
        <v>10.3</v>
      </c>
      <c r="D275" s="32" t="s">
        <v>27</v>
      </c>
      <c r="E275" s="33" t="s">
        <v>29</v>
      </c>
      <c r="F275" s="33" t="s">
        <v>30</v>
      </c>
      <c r="G275" s="34">
        <v>0.0</v>
      </c>
      <c r="H275" s="6"/>
      <c r="I275" s="35">
        <v>0.0</v>
      </c>
      <c r="J275" s="6"/>
      <c r="K275" s="35">
        <v>0.0</v>
      </c>
      <c r="L275" s="6"/>
      <c r="M275" s="35">
        <v>0.0</v>
      </c>
      <c r="N275" s="6"/>
      <c r="O275" s="35">
        <v>0.0</v>
      </c>
      <c r="P275" s="6"/>
      <c r="Q275" s="36">
        <f t="shared" si="1"/>
        <v>0</v>
      </c>
      <c r="R275" s="32">
        <f t="shared" si="2"/>
        <v>0</v>
      </c>
      <c r="S275" s="32">
        <f t="shared" si="3"/>
        <v>0</v>
      </c>
      <c r="T275" s="32">
        <f t="shared" si="4"/>
        <v>0</v>
      </c>
      <c r="U275" s="37">
        <f t="shared" si="5"/>
        <v>0</v>
      </c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14" t="s">
        <v>18</v>
      </c>
      <c r="B276" s="15">
        <f t="shared" si="6"/>
        <v>46293</v>
      </c>
      <c r="C276" s="16">
        <v>10.4</v>
      </c>
      <c r="D276" s="17" t="s">
        <v>28</v>
      </c>
      <c r="E276" s="18"/>
      <c r="F276" s="18"/>
      <c r="G276" s="19"/>
      <c r="I276" s="20"/>
      <c r="K276" s="20"/>
      <c r="M276" s="20"/>
      <c r="O276" s="20"/>
      <c r="Q276" s="21">
        <f t="shared" si="1"/>
        <v>0</v>
      </c>
      <c r="R276" s="17">
        <f t="shared" si="2"/>
        <v>0</v>
      </c>
      <c r="S276" s="17">
        <f t="shared" si="3"/>
        <v>0</v>
      </c>
      <c r="T276" s="17">
        <f t="shared" si="4"/>
        <v>0</v>
      </c>
      <c r="U276" s="38">
        <f t="shared" si="5"/>
        <v>0</v>
      </c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23" t="s">
        <v>20</v>
      </c>
      <c r="B277" s="24">
        <f t="shared" si="6"/>
        <v>46294</v>
      </c>
      <c r="C277" s="25">
        <v>10.4</v>
      </c>
      <c r="D277" s="26" t="s">
        <v>28</v>
      </c>
      <c r="E277" s="22"/>
      <c r="F277" s="22"/>
      <c r="G277" s="19"/>
      <c r="I277" s="20"/>
      <c r="K277" s="20"/>
      <c r="M277" s="20"/>
      <c r="O277" s="20"/>
      <c r="Q277" s="27">
        <f t="shared" si="1"/>
        <v>0</v>
      </c>
      <c r="R277" s="26">
        <f t="shared" si="2"/>
        <v>0</v>
      </c>
      <c r="S277" s="26">
        <f t="shared" si="3"/>
        <v>0</v>
      </c>
      <c r="T277" s="26">
        <f t="shared" si="4"/>
        <v>0</v>
      </c>
      <c r="U277" s="28">
        <f t="shared" si="5"/>
        <v>0</v>
      </c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23" t="s">
        <v>21</v>
      </c>
      <c r="B278" s="24">
        <f t="shared" si="6"/>
        <v>46295</v>
      </c>
      <c r="C278" s="25">
        <v>10.4</v>
      </c>
      <c r="D278" s="26" t="s">
        <v>28</v>
      </c>
      <c r="E278" s="22"/>
      <c r="F278" s="22"/>
      <c r="G278" s="19"/>
      <c r="I278" s="20"/>
      <c r="K278" s="20"/>
      <c r="M278" s="20"/>
      <c r="O278" s="20"/>
      <c r="Q278" s="27">
        <f t="shared" si="1"/>
        <v>0</v>
      </c>
      <c r="R278" s="26">
        <f t="shared" si="2"/>
        <v>0</v>
      </c>
      <c r="S278" s="26">
        <f t="shared" si="3"/>
        <v>0</v>
      </c>
      <c r="T278" s="26">
        <f t="shared" si="4"/>
        <v>0</v>
      </c>
      <c r="U278" s="28">
        <f t="shared" si="5"/>
        <v>0</v>
      </c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23" t="s">
        <v>22</v>
      </c>
      <c r="B279" s="24">
        <f t="shared" si="6"/>
        <v>46296</v>
      </c>
      <c r="C279" s="25">
        <v>10.4</v>
      </c>
      <c r="D279" s="26" t="s">
        <v>28</v>
      </c>
      <c r="E279" s="22"/>
      <c r="F279" s="22"/>
      <c r="G279" s="19"/>
      <c r="I279" s="20"/>
      <c r="K279" s="20"/>
      <c r="M279" s="20"/>
      <c r="O279" s="20"/>
      <c r="Q279" s="27">
        <f t="shared" si="1"/>
        <v>0</v>
      </c>
      <c r="R279" s="26">
        <f t="shared" si="2"/>
        <v>0</v>
      </c>
      <c r="S279" s="26">
        <f t="shared" si="3"/>
        <v>0</v>
      </c>
      <c r="T279" s="26">
        <f t="shared" si="4"/>
        <v>0</v>
      </c>
      <c r="U279" s="28">
        <f t="shared" si="5"/>
        <v>0</v>
      </c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23" t="s">
        <v>23</v>
      </c>
      <c r="B280" s="24">
        <f t="shared" si="6"/>
        <v>46297</v>
      </c>
      <c r="C280" s="25">
        <v>10.4</v>
      </c>
      <c r="D280" s="26" t="s">
        <v>28</v>
      </c>
      <c r="E280" s="22"/>
      <c r="F280" s="22"/>
      <c r="G280" s="19"/>
      <c r="I280" s="20"/>
      <c r="K280" s="20"/>
      <c r="M280" s="20"/>
      <c r="O280" s="20"/>
      <c r="Q280" s="27">
        <f t="shared" si="1"/>
        <v>0</v>
      </c>
      <c r="R280" s="26">
        <f t="shared" si="2"/>
        <v>0</v>
      </c>
      <c r="S280" s="26">
        <f t="shared" si="3"/>
        <v>0</v>
      </c>
      <c r="T280" s="26">
        <f t="shared" si="4"/>
        <v>0</v>
      </c>
      <c r="U280" s="28">
        <f t="shared" si="5"/>
        <v>0</v>
      </c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23" t="s">
        <v>24</v>
      </c>
      <c r="B281" s="24">
        <f t="shared" si="6"/>
        <v>46298</v>
      </c>
      <c r="C281" s="25">
        <v>10.4</v>
      </c>
      <c r="D281" s="26" t="s">
        <v>28</v>
      </c>
      <c r="E281" s="22"/>
      <c r="F281" s="22"/>
      <c r="G281" s="19"/>
      <c r="I281" s="20"/>
      <c r="K281" s="20"/>
      <c r="M281" s="20"/>
      <c r="O281" s="20"/>
      <c r="Q281" s="27">
        <f t="shared" si="1"/>
        <v>0</v>
      </c>
      <c r="R281" s="26">
        <f t="shared" si="2"/>
        <v>0</v>
      </c>
      <c r="S281" s="26">
        <f t="shared" si="3"/>
        <v>0</v>
      </c>
      <c r="T281" s="26">
        <f t="shared" si="4"/>
        <v>0</v>
      </c>
      <c r="U281" s="28">
        <f t="shared" si="5"/>
        <v>0</v>
      </c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29" t="s">
        <v>25</v>
      </c>
      <c r="B282" s="30">
        <f t="shared" si="6"/>
        <v>46299</v>
      </c>
      <c r="C282" s="31">
        <v>10.4</v>
      </c>
      <c r="D282" s="32" t="s">
        <v>28</v>
      </c>
      <c r="E282" s="33"/>
      <c r="F282" s="33"/>
      <c r="G282" s="34"/>
      <c r="H282" s="6"/>
      <c r="I282" s="35"/>
      <c r="J282" s="6"/>
      <c r="K282" s="35"/>
      <c r="L282" s="6"/>
      <c r="M282" s="35"/>
      <c r="N282" s="6"/>
      <c r="O282" s="35"/>
      <c r="P282" s="6"/>
      <c r="Q282" s="36">
        <f t="shared" si="1"/>
        <v>0</v>
      </c>
      <c r="R282" s="32">
        <f t="shared" si="2"/>
        <v>0</v>
      </c>
      <c r="S282" s="32">
        <f t="shared" si="3"/>
        <v>0</v>
      </c>
      <c r="T282" s="32">
        <f t="shared" si="4"/>
        <v>0</v>
      </c>
      <c r="U282" s="37">
        <f t="shared" si="5"/>
        <v>0</v>
      </c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14" t="s">
        <v>18</v>
      </c>
      <c r="B283" s="15">
        <f t="shared" si="6"/>
        <v>46300</v>
      </c>
      <c r="C283" s="16">
        <v>11.1</v>
      </c>
      <c r="D283" s="17" t="s">
        <v>19</v>
      </c>
      <c r="E283" s="18"/>
      <c r="F283" s="18"/>
      <c r="G283" s="19"/>
      <c r="I283" s="20"/>
      <c r="K283" s="20"/>
      <c r="M283" s="20"/>
      <c r="O283" s="20"/>
      <c r="Q283" s="21">
        <f t="shared" si="1"/>
        <v>0</v>
      </c>
      <c r="R283" s="17">
        <f t="shared" si="2"/>
        <v>0</v>
      </c>
      <c r="S283" s="17">
        <f t="shared" si="3"/>
        <v>0</v>
      </c>
      <c r="T283" s="17">
        <f t="shared" si="4"/>
        <v>0</v>
      </c>
      <c r="U283" s="38">
        <f t="shared" si="5"/>
        <v>0</v>
      </c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23" t="s">
        <v>20</v>
      </c>
      <c r="B284" s="24">
        <f t="shared" si="6"/>
        <v>46301</v>
      </c>
      <c r="C284" s="25">
        <v>11.1</v>
      </c>
      <c r="D284" s="26" t="s">
        <v>19</v>
      </c>
      <c r="E284" s="22"/>
      <c r="F284" s="22"/>
      <c r="G284" s="19"/>
      <c r="I284" s="20"/>
      <c r="K284" s="20"/>
      <c r="M284" s="20"/>
      <c r="O284" s="20"/>
      <c r="Q284" s="27">
        <f t="shared" si="1"/>
        <v>0</v>
      </c>
      <c r="R284" s="26">
        <f t="shared" si="2"/>
        <v>0</v>
      </c>
      <c r="S284" s="26">
        <f t="shared" si="3"/>
        <v>0</v>
      </c>
      <c r="T284" s="26">
        <f t="shared" si="4"/>
        <v>0</v>
      </c>
      <c r="U284" s="28">
        <f t="shared" si="5"/>
        <v>0</v>
      </c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23" t="s">
        <v>21</v>
      </c>
      <c r="B285" s="24">
        <f t="shared" si="6"/>
        <v>46302</v>
      </c>
      <c r="C285" s="25">
        <v>11.1</v>
      </c>
      <c r="D285" s="26" t="s">
        <v>19</v>
      </c>
      <c r="E285" s="22"/>
      <c r="F285" s="22"/>
      <c r="G285" s="19"/>
      <c r="I285" s="20"/>
      <c r="K285" s="20"/>
      <c r="M285" s="20"/>
      <c r="O285" s="20"/>
      <c r="Q285" s="27">
        <f t="shared" si="1"/>
        <v>0</v>
      </c>
      <c r="R285" s="26">
        <f t="shared" si="2"/>
        <v>0</v>
      </c>
      <c r="S285" s="26">
        <f t="shared" si="3"/>
        <v>0</v>
      </c>
      <c r="T285" s="26">
        <f t="shared" si="4"/>
        <v>0</v>
      </c>
      <c r="U285" s="28">
        <f t="shared" si="5"/>
        <v>0</v>
      </c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23" t="s">
        <v>22</v>
      </c>
      <c r="B286" s="24">
        <f t="shared" si="6"/>
        <v>46303</v>
      </c>
      <c r="C286" s="25">
        <v>11.1</v>
      </c>
      <c r="D286" s="26" t="s">
        <v>19</v>
      </c>
      <c r="E286" s="22"/>
      <c r="F286" s="22"/>
      <c r="G286" s="19"/>
      <c r="I286" s="20"/>
      <c r="K286" s="20"/>
      <c r="M286" s="20"/>
      <c r="O286" s="20"/>
      <c r="Q286" s="27">
        <f t="shared" si="1"/>
        <v>0</v>
      </c>
      <c r="R286" s="26">
        <f t="shared" si="2"/>
        <v>0</v>
      </c>
      <c r="S286" s="26">
        <f t="shared" si="3"/>
        <v>0</v>
      </c>
      <c r="T286" s="26">
        <f t="shared" si="4"/>
        <v>0</v>
      </c>
      <c r="U286" s="28">
        <f t="shared" si="5"/>
        <v>0</v>
      </c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23" t="s">
        <v>23</v>
      </c>
      <c r="B287" s="24">
        <f t="shared" si="6"/>
        <v>46304</v>
      </c>
      <c r="C287" s="25">
        <v>11.1</v>
      </c>
      <c r="D287" s="26" t="s">
        <v>19</v>
      </c>
      <c r="E287" s="22"/>
      <c r="F287" s="22"/>
      <c r="G287" s="19"/>
      <c r="I287" s="20"/>
      <c r="K287" s="20"/>
      <c r="M287" s="20"/>
      <c r="O287" s="20"/>
      <c r="Q287" s="27">
        <f t="shared" si="1"/>
        <v>0</v>
      </c>
      <c r="R287" s="26">
        <f t="shared" si="2"/>
        <v>0</v>
      </c>
      <c r="S287" s="26">
        <f t="shared" si="3"/>
        <v>0</v>
      </c>
      <c r="T287" s="26">
        <f t="shared" si="4"/>
        <v>0</v>
      </c>
      <c r="U287" s="28">
        <f t="shared" si="5"/>
        <v>0</v>
      </c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23" t="s">
        <v>24</v>
      </c>
      <c r="B288" s="24">
        <f t="shared" si="6"/>
        <v>46305</v>
      </c>
      <c r="C288" s="25">
        <v>11.1</v>
      </c>
      <c r="D288" s="26" t="s">
        <v>19</v>
      </c>
      <c r="E288" s="22"/>
      <c r="F288" s="22"/>
      <c r="G288" s="19"/>
      <c r="I288" s="20"/>
      <c r="K288" s="20"/>
      <c r="M288" s="20"/>
      <c r="O288" s="20"/>
      <c r="Q288" s="27">
        <f t="shared" si="1"/>
        <v>0</v>
      </c>
      <c r="R288" s="26">
        <f t="shared" si="2"/>
        <v>0</v>
      </c>
      <c r="S288" s="26">
        <f t="shared" si="3"/>
        <v>0</v>
      </c>
      <c r="T288" s="26">
        <f t="shared" si="4"/>
        <v>0</v>
      </c>
      <c r="U288" s="28">
        <f t="shared" si="5"/>
        <v>0</v>
      </c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29" t="s">
        <v>25</v>
      </c>
      <c r="B289" s="30">
        <f t="shared" si="6"/>
        <v>46306</v>
      </c>
      <c r="C289" s="31">
        <v>11.1</v>
      </c>
      <c r="D289" s="32" t="s">
        <v>19</v>
      </c>
      <c r="E289" s="33"/>
      <c r="F289" s="33"/>
      <c r="G289" s="34"/>
      <c r="H289" s="6"/>
      <c r="I289" s="35"/>
      <c r="J289" s="6"/>
      <c r="K289" s="35"/>
      <c r="L289" s="6"/>
      <c r="M289" s="35"/>
      <c r="N289" s="6"/>
      <c r="O289" s="35"/>
      <c r="P289" s="6"/>
      <c r="Q289" s="36">
        <f t="shared" si="1"/>
        <v>0</v>
      </c>
      <c r="R289" s="32">
        <f t="shared" si="2"/>
        <v>0</v>
      </c>
      <c r="S289" s="32">
        <f t="shared" si="3"/>
        <v>0</v>
      </c>
      <c r="T289" s="32">
        <f t="shared" si="4"/>
        <v>0</v>
      </c>
      <c r="U289" s="37">
        <f t="shared" si="5"/>
        <v>0</v>
      </c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14" t="s">
        <v>18</v>
      </c>
      <c r="B290" s="15">
        <f t="shared" si="6"/>
        <v>46307</v>
      </c>
      <c r="C290" s="16">
        <v>11.2</v>
      </c>
      <c r="D290" s="17" t="s">
        <v>26</v>
      </c>
      <c r="E290" s="18"/>
      <c r="F290" s="18"/>
      <c r="G290" s="19"/>
      <c r="I290" s="20"/>
      <c r="K290" s="20"/>
      <c r="M290" s="20"/>
      <c r="O290" s="20"/>
      <c r="Q290" s="21">
        <f t="shared" si="1"/>
        <v>0</v>
      </c>
      <c r="R290" s="17">
        <f t="shared" si="2"/>
        <v>0</v>
      </c>
      <c r="S290" s="17">
        <f t="shared" si="3"/>
        <v>0</v>
      </c>
      <c r="T290" s="17">
        <f t="shared" si="4"/>
        <v>0</v>
      </c>
      <c r="U290" s="38">
        <f t="shared" si="5"/>
        <v>0</v>
      </c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23" t="s">
        <v>20</v>
      </c>
      <c r="B291" s="24">
        <f t="shared" si="6"/>
        <v>46308</v>
      </c>
      <c r="C291" s="25">
        <v>11.2</v>
      </c>
      <c r="D291" s="26" t="s">
        <v>26</v>
      </c>
      <c r="E291" s="22"/>
      <c r="F291" s="22"/>
      <c r="G291" s="19"/>
      <c r="I291" s="20"/>
      <c r="K291" s="20"/>
      <c r="M291" s="20"/>
      <c r="O291" s="20"/>
      <c r="Q291" s="27">
        <f t="shared" si="1"/>
        <v>0</v>
      </c>
      <c r="R291" s="26">
        <f t="shared" si="2"/>
        <v>0</v>
      </c>
      <c r="S291" s="26">
        <f t="shared" si="3"/>
        <v>0</v>
      </c>
      <c r="T291" s="26">
        <f t="shared" si="4"/>
        <v>0</v>
      </c>
      <c r="U291" s="28">
        <f t="shared" si="5"/>
        <v>0</v>
      </c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23" t="s">
        <v>21</v>
      </c>
      <c r="B292" s="24">
        <f t="shared" si="6"/>
        <v>46309</v>
      </c>
      <c r="C292" s="25">
        <v>11.2</v>
      </c>
      <c r="D292" s="26" t="s">
        <v>26</v>
      </c>
      <c r="E292" s="22"/>
      <c r="F292" s="22"/>
      <c r="G292" s="19"/>
      <c r="I292" s="20"/>
      <c r="K292" s="20"/>
      <c r="M292" s="20"/>
      <c r="O292" s="20"/>
      <c r="Q292" s="27">
        <f t="shared" si="1"/>
        <v>0</v>
      </c>
      <c r="R292" s="26">
        <f t="shared" si="2"/>
        <v>0</v>
      </c>
      <c r="S292" s="26">
        <f t="shared" si="3"/>
        <v>0</v>
      </c>
      <c r="T292" s="26">
        <f t="shared" si="4"/>
        <v>0</v>
      </c>
      <c r="U292" s="28">
        <f t="shared" si="5"/>
        <v>0</v>
      </c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23" t="s">
        <v>22</v>
      </c>
      <c r="B293" s="24">
        <f t="shared" si="6"/>
        <v>46310</v>
      </c>
      <c r="C293" s="25">
        <v>11.2</v>
      </c>
      <c r="D293" s="26" t="s">
        <v>26</v>
      </c>
      <c r="E293" s="22"/>
      <c r="F293" s="22"/>
      <c r="G293" s="19"/>
      <c r="I293" s="20"/>
      <c r="K293" s="20"/>
      <c r="M293" s="20"/>
      <c r="O293" s="20"/>
      <c r="Q293" s="27">
        <f t="shared" si="1"/>
        <v>0</v>
      </c>
      <c r="R293" s="26">
        <f t="shared" si="2"/>
        <v>0</v>
      </c>
      <c r="S293" s="26">
        <f t="shared" si="3"/>
        <v>0</v>
      </c>
      <c r="T293" s="26">
        <f t="shared" si="4"/>
        <v>0</v>
      </c>
      <c r="U293" s="28">
        <f t="shared" si="5"/>
        <v>0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23" t="s">
        <v>23</v>
      </c>
      <c r="B294" s="24">
        <f t="shared" si="6"/>
        <v>46311</v>
      </c>
      <c r="C294" s="25">
        <v>11.2</v>
      </c>
      <c r="D294" s="26" t="s">
        <v>26</v>
      </c>
      <c r="E294" s="22"/>
      <c r="F294" s="22"/>
      <c r="G294" s="19"/>
      <c r="I294" s="20"/>
      <c r="K294" s="20"/>
      <c r="M294" s="20"/>
      <c r="O294" s="20"/>
      <c r="Q294" s="27">
        <f t="shared" si="1"/>
        <v>0</v>
      </c>
      <c r="R294" s="26">
        <f t="shared" si="2"/>
        <v>0</v>
      </c>
      <c r="S294" s="26">
        <f t="shared" si="3"/>
        <v>0</v>
      </c>
      <c r="T294" s="26">
        <f t="shared" si="4"/>
        <v>0</v>
      </c>
      <c r="U294" s="28">
        <f t="shared" si="5"/>
        <v>0</v>
      </c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23" t="s">
        <v>24</v>
      </c>
      <c r="B295" s="24">
        <f t="shared" si="6"/>
        <v>46312</v>
      </c>
      <c r="C295" s="25">
        <v>11.2</v>
      </c>
      <c r="D295" s="26" t="s">
        <v>26</v>
      </c>
      <c r="E295" s="22"/>
      <c r="F295" s="22"/>
      <c r="G295" s="19"/>
      <c r="I295" s="20"/>
      <c r="K295" s="20"/>
      <c r="M295" s="20"/>
      <c r="O295" s="20"/>
      <c r="Q295" s="27">
        <f t="shared" si="1"/>
        <v>0</v>
      </c>
      <c r="R295" s="26">
        <f t="shared" si="2"/>
        <v>0</v>
      </c>
      <c r="S295" s="26">
        <f t="shared" si="3"/>
        <v>0</v>
      </c>
      <c r="T295" s="26">
        <f t="shared" si="4"/>
        <v>0</v>
      </c>
      <c r="U295" s="28">
        <f t="shared" si="5"/>
        <v>0</v>
      </c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29" t="s">
        <v>25</v>
      </c>
      <c r="B296" s="30">
        <f t="shared" si="6"/>
        <v>46313</v>
      </c>
      <c r="C296" s="31">
        <v>11.2</v>
      </c>
      <c r="D296" s="32" t="s">
        <v>26</v>
      </c>
      <c r="E296" s="33"/>
      <c r="F296" s="33"/>
      <c r="G296" s="34"/>
      <c r="H296" s="6"/>
      <c r="I296" s="35"/>
      <c r="J296" s="6"/>
      <c r="K296" s="35"/>
      <c r="L296" s="6"/>
      <c r="M296" s="35"/>
      <c r="N296" s="6"/>
      <c r="O296" s="35"/>
      <c r="P296" s="6"/>
      <c r="Q296" s="36">
        <f t="shared" si="1"/>
        <v>0</v>
      </c>
      <c r="R296" s="32">
        <f t="shared" si="2"/>
        <v>0</v>
      </c>
      <c r="S296" s="32">
        <f t="shared" si="3"/>
        <v>0</v>
      </c>
      <c r="T296" s="32">
        <f t="shared" si="4"/>
        <v>0</v>
      </c>
      <c r="U296" s="37">
        <f t="shared" si="5"/>
        <v>0</v>
      </c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14" t="s">
        <v>18</v>
      </c>
      <c r="B297" s="15">
        <f t="shared" si="6"/>
        <v>46314</v>
      </c>
      <c r="C297" s="16">
        <v>11.3</v>
      </c>
      <c r="D297" s="17" t="s">
        <v>27</v>
      </c>
      <c r="E297" s="18"/>
      <c r="F297" s="18"/>
      <c r="G297" s="19"/>
      <c r="I297" s="20"/>
      <c r="K297" s="20"/>
      <c r="M297" s="20"/>
      <c r="O297" s="20"/>
      <c r="Q297" s="21">
        <f t="shared" si="1"/>
        <v>0</v>
      </c>
      <c r="R297" s="17">
        <f t="shared" si="2"/>
        <v>0</v>
      </c>
      <c r="S297" s="17">
        <f t="shared" si="3"/>
        <v>0</v>
      </c>
      <c r="T297" s="17">
        <f t="shared" si="4"/>
        <v>0</v>
      </c>
      <c r="U297" s="38">
        <f t="shared" si="5"/>
        <v>0</v>
      </c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23" t="s">
        <v>20</v>
      </c>
      <c r="B298" s="24">
        <f t="shared" si="6"/>
        <v>46315</v>
      </c>
      <c r="C298" s="25">
        <v>11.3</v>
      </c>
      <c r="D298" s="26" t="s">
        <v>27</v>
      </c>
      <c r="E298" s="22"/>
      <c r="F298" s="22"/>
      <c r="G298" s="19"/>
      <c r="I298" s="20"/>
      <c r="K298" s="20"/>
      <c r="M298" s="20"/>
      <c r="O298" s="20"/>
      <c r="Q298" s="27">
        <f t="shared" si="1"/>
        <v>0</v>
      </c>
      <c r="R298" s="26">
        <f t="shared" si="2"/>
        <v>0</v>
      </c>
      <c r="S298" s="26">
        <f t="shared" si="3"/>
        <v>0</v>
      </c>
      <c r="T298" s="26">
        <f t="shared" si="4"/>
        <v>0</v>
      </c>
      <c r="U298" s="28">
        <f t="shared" si="5"/>
        <v>0</v>
      </c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23" t="s">
        <v>21</v>
      </c>
      <c r="B299" s="24">
        <f t="shared" si="6"/>
        <v>46316</v>
      </c>
      <c r="C299" s="25">
        <v>11.3</v>
      </c>
      <c r="D299" s="26" t="s">
        <v>27</v>
      </c>
      <c r="E299" s="22"/>
      <c r="F299" s="22"/>
      <c r="G299" s="19"/>
      <c r="I299" s="20"/>
      <c r="K299" s="20"/>
      <c r="M299" s="20"/>
      <c r="O299" s="20"/>
      <c r="Q299" s="27">
        <f t="shared" si="1"/>
        <v>0</v>
      </c>
      <c r="R299" s="26">
        <f t="shared" si="2"/>
        <v>0</v>
      </c>
      <c r="S299" s="26">
        <f t="shared" si="3"/>
        <v>0</v>
      </c>
      <c r="T299" s="26">
        <f t="shared" si="4"/>
        <v>0</v>
      </c>
      <c r="U299" s="28">
        <f t="shared" si="5"/>
        <v>0</v>
      </c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23" t="s">
        <v>22</v>
      </c>
      <c r="B300" s="24">
        <f t="shared" si="6"/>
        <v>46317</v>
      </c>
      <c r="C300" s="25">
        <v>11.3</v>
      </c>
      <c r="D300" s="26" t="s">
        <v>27</v>
      </c>
      <c r="E300" s="22"/>
      <c r="F300" s="22"/>
      <c r="G300" s="19"/>
      <c r="I300" s="20"/>
      <c r="K300" s="20"/>
      <c r="M300" s="20"/>
      <c r="O300" s="20"/>
      <c r="Q300" s="27">
        <f t="shared" si="1"/>
        <v>0</v>
      </c>
      <c r="R300" s="26">
        <f t="shared" si="2"/>
        <v>0</v>
      </c>
      <c r="S300" s="26">
        <f t="shared" si="3"/>
        <v>0</v>
      </c>
      <c r="T300" s="26">
        <f t="shared" si="4"/>
        <v>0</v>
      </c>
      <c r="U300" s="28">
        <f t="shared" si="5"/>
        <v>0</v>
      </c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23" t="s">
        <v>23</v>
      </c>
      <c r="B301" s="24">
        <f t="shared" si="6"/>
        <v>46318</v>
      </c>
      <c r="C301" s="25">
        <v>11.3</v>
      </c>
      <c r="D301" s="26" t="s">
        <v>27</v>
      </c>
      <c r="E301" s="22"/>
      <c r="F301" s="22"/>
      <c r="G301" s="19"/>
      <c r="I301" s="20"/>
      <c r="K301" s="20"/>
      <c r="M301" s="20"/>
      <c r="O301" s="20"/>
      <c r="Q301" s="27">
        <f t="shared" si="1"/>
        <v>0</v>
      </c>
      <c r="R301" s="26">
        <f t="shared" si="2"/>
        <v>0</v>
      </c>
      <c r="S301" s="26">
        <f t="shared" si="3"/>
        <v>0</v>
      </c>
      <c r="T301" s="26">
        <f t="shared" si="4"/>
        <v>0</v>
      </c>
      <c r="U301" s="28">
        <f t="shared" si="5"/>
        <v>0</v>
      </c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23" t="s">
        <v>24</v>
      </c>
      <c r="B302" s="24">
        <f t="shared" si="6"/>
        <v>46319</v>
      </c>
      <c r="C302" s="25">
        <v>11.3</v>
      </c>
      <c r="D302" s="26" t="s">
        <v>27</v>
      </c>
      <c r="E302" s="22"/>
      <c r="F302" s="22"/>
      <c r="G302" s="19"/>
      <c r="I302" s="20"/>
      <c r="K302" s="20"/>
      <c r="M302" s="20"/>
      <c r="O302" s="20"/>
      <c r="Q302" s="27">
        <f t="shared" si="1"/>
        <v>0</v>
      </c>
      <c r="R302" s="26">
        <f t="shared" si="2"/>
        <v>0</v>
      </c>
      <c r="S302" s="26">
        <f t="shared" si="3"/>
        <v>0</v>
      </c>
      <c r="T302" s="26">
        <f t="shared" si="4"/>
        <v>0</v>
      </c>
      <c r="U302" s="28">
        <f t="shared" si="5"/>
        <v>0</v>
      </c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29" t="s">
        <v>25</v>
      </c>
      <c r="B303" s="30">
        <f t="shared" si="6"/>
        <v>46320</v>
      </c>
      <c r="C303" s="31">
        <v>11.3</v>
      </c>
      <c r="D303" s="32" t="s">
        <v>27</v>
      </c>
      <c r="E303" s="33"/>
      <c r="F303" s="33"/>
      <c r="G303" s="34"/>
      <c r="H303" s="6"/>
      <c r="I303" s="35"/>
      <c r="J303" s="6"/>
      <c r="K303" s="35"/>
      <c r="L303" s="6"/>
      <c r="M303" s="35"/>
      <c r="N303" s="6"/>
      <c r="O303" s="35"/>
      <c r="P303" s="6"/>
      <c r="Q303" s="36">
        <f t="shared" si="1"/>
        <v>0</v>
      </c>
      <c r="R303" s="32">
        <f t="shared" si="2"/>
        <v>0</v>
      </c>
      <c r="S303" s="32">
        <f t="shared" si="3"/>
        <v>0</v>
      </c>
      <c r="T303" s="32">
        <f t="shared" si="4"/>
        <v>0</v>
      </c>
      <c r="U303" s="37">
        <f t="shared" si="5"/>
        <v>0</v>
      </c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14" t="s">
        <v>18</v>
      </c>
      <c r="B304" s="15">
        <f t="shared" si="6"/>
        <v>46321</v>
      </c>
      <c r="C304" s="16">
        <v>11.4</v>
      </c>
      <c r="D304" s="17" t="s">
        <v>28</v>
      </c>
      <c r="E304" s="18"/>
      <c r="F304" s="18"/>
      <c r="G304" s="19"/>
      <c r="I304" s="20"/>
      <c r="K304" s="20"/>
      <c r="M304" s="20"/>
      <c r="O304" s="20"/>
      <c r="Q304" s="21">
        <f t="shared" si="1"/>
        <v>0</v>
      </c>
      <c r="R304" s="17">
        <f t="shared" si="2"/>
        <v>0</v>
      </c>
      <c r="S304" s="17">
        <f t="shared" si="3"/>
        <v>0</v>
      </c>
      <c r="T304" s="17">
        <f t="shared" si="4"/>
        <v>0</v>
      </c>
      <c r="U304" s="38">
        <f t="shared" si="5"/>
        <v>0</v>
      </c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23" t="s">
        <v>20</v>
      </c>
      <c r="B305" s="24">
        <f t="shared" si="6"/>
        <v>46322</v>
      </c>
      <c r="C305" s="25">
        <v>11.4</v>
      </c>
      <c r="D305" s="26" t="s">
        <v>28</v>
      </c>
      <c r="E305" s="22"/>
      <c r="F305" s="22"/>
      <c r="G305" s="19"/>
      <c r="I305" s="20"/>
      <c r="K305" s="20"/>
      <c r="M305" s="20"/>
      <c r="O305" s="20"/>
      <c r="Q305" s="27">
        <f t="shared" si="1"/>
        <v>0</v>
      </c>
      <c r="R305" s="26">
        <f t="shared" si="2"/>
        <v>0</v>
      </c>
      <c r="S305" s="26">
        <f t="shared" si="3"/>
        <v>0</v>
      </c>
      <c r="T305" s="26">
        <f t="shared" si="4"/>
        <v>0</v>
      </c>
      <c r="U305" s="28">
        <f t="shared" si="5"/>
        <v>0</v>
      </c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23" t="s">
        <v>21</v>
      </c>
      <c r="B306" s="24">
        <f t="shared" si="6"/>
        <v>46323</v>
      </c>
      <c r="C306" s="25">
        <v>11.4</v>
      </c>
      <c r="D306" s="26" t="s">
        <v>28</v>
      </c>
      <c r="E306" s="22"/>
      <c r="F306" s="22"/>
      <c r="G306" s="19"/>
      <c r="I306" s="20"/>
      <c r="K306" s="20"/>
      <c r="M306" s="20"/>
      <c r="O306" s="20"/>
      <c r="Q306" s="27">
        <f t="shared" si="1"/>
        <v>0</v>
      </c>
      <c r="R306" s="26">
        <f t="shared" si="2"/>
        <v>0</v>
      </c>
      <c r="S306" s="26">
        <f t="shared" si="3"/>
        <v>0</v>
      </c>
      <c r="T306" s="26">
        <f t="shared" si="4"/>
        <v>0</v>
      </c>
      <c r="U306" s="28">
        <f t="shared" si="5"/>
        <v>0</v>
      </c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23" t="s">
        <v>22</v>
      </c>
      <c r="B307" s="24">
        <f t="shared" si="6"/>
        <v>46324</v>
      </c>
      <c r="C307" s="25">
        <v>11.4</v>
      </c>
      <c r="D307" s="26" t="s">
        <v>28</v>
      </c>
      <c r="E307" s="22"/>
      <c r="F307" s="22"/>
      <c r="G307" s="19"/>
      <c r="I307" s="20"/>
      <c r="K307" s="20"/>
      <c r="M307" s="20"/>
      <c r="O307" s="20"/>
      <c r="Q307" s="27">
        <f t="shared" si="1"/>
        <v>0</v>
      </c>
      <c r="R307" s="26">
        <f t="shared" si="2"/>
        <v>0</v>
      </c>
      <c r="S307" s="26">
        <f t="shared" si="3"/>
        <v>0</v>
      </c>
      <c r="T307" s="26">
        <f t="shared" si="4"/>
        <v>0</v>
      </c>
      <c r="U307" s="28">
        <f t="shared" si="5"/>
        <v>0</v>
      </c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23" t="s">
        <v>23</v>
      </c>
      <c r="B308" s="24">
        <f t="shared" si="6"/>
        <v>46325</v>
      </c>
      <c r="C308" s="25">
        <v>11.4</v>
      </c>
      <c r="D308" s="26" t="s">
        <v>28</v>
      </c>
      <c r="E308" s="22"/>
      <c r="F308" s="22"/>
      <c r="G308" s="19"/>
      <c r="I308" s="20"/>
      <c r="K308" s="20"/>
      <c r="M308" s="20"/>
      <c r="O308" s="20"/>
      <c r="Q308" s="27">
        <f t="shared" si="1"/>
        <v>0</v>
      </c>
      <c r="R308" s="26">
        <f t="shared" si="2"/>
        <v>0</v>
      </c>
      <c r="S308" s="26">
        <f t="shared" si="3"/>
        <v>0</v>
      </c>
      <c r="T308" s="26">
        <f t="shared" si="4"/>
        <v>0</v>
      </c>
      <c r="U308" s="28">
        <f t="shared" si="5"/>
        <v>0</v>
      </c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23" t="s">
        <v>24</v>
      </c>
      <c r="B309" s="24">
        <f t="shared" si="6"/>
        <v>46326</v>
      </c>
      <c r="C309" s="25">
        <v>11.4</v>
      </c>
      <c r="D309" s="26" t="s">
        <v>28</v>
      </c>
      <c r="E309" s="22"/>
      <c r="F309" s="22"/>
      <c r="G309" s="19"/>
      <c r="I309" s="20"/>
      <c r="K309" s="20"/>
      <c r="M309" s="20"/>
      <c r="O309" s="20"/>
      <c r="Q309" s="27">
        <f t="shared" si="1"/>
        <v>0</v>
      </c>
      <c r="R309" s="26">
        <f t="shared" si="2"/>
        <v>0</v>
      </c>
      <c r="S309" s="26">
        <f t="shared" si="3"/>
        <v>0</v>
      </c>
      <c r="T309" s="26">
        <f t="shared" si="4"/>
        <v>0</v>
      </c>
      <c r="U309" s="28">
        <f t="shared" si="5"/>
        <v>0</v>
      </c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29" t="s">
        <v>25</v>
      </c>
      <c r="B310" s="30">
        <f t="shared" si="6"/>
        <v>46327</v>
      </c>
      <c r="C310" s="31">
        <v>11.4</v>
      </c>
      <c r="D310" s="32" t="s">
        <v>28</v>
      </c>
      <c r="E310" s="33"/>
      <c r="F310" s="33"/>
      <c r="G310" s="34"/>
      <c r="H310" s="6"/>
      <c r="I310" s="35"/>
      <c r="J310" s="6"/>
      <c r="K310" s="35"/>
      <c r="L310" s="6"/>
      <c r="M310" s="35"/>
      <c r="N310" s="6"/>
      <c r="O310" s="35"/>
      <c r="P310" s="6"/>
      <c r="Q310" s="36">
        <f t="shared" si="1"/>
        <v>0</v>
      </c>
      <c r="R310" s="32">
        <f t="shared" si="2"/>
        <v>0</v>
      </c>
      <c r="S310" s="32">
        <f t="shared" si="3"/>
        <v>0</v>
      </c>
      <c r="T310" s="32">
        <f t="shared" si="4"/>
        <v>0</v>
      </c>
      <c r="U310" s="37">
        <f t="shared" si="5"/>
        <v>0</v>
      </c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14" t="s">
        <v>18</v>
      </c>
      <c r="B311" s="15">
        <f t="shared" si="6"/>
        <v>46328</v>
      </c>
      <c r="C311" s="16">
        <v>12.1</v>
      </c>
      <c r="D311" s="17" t="s">
        <v>19</v>
      </c>
      <c r="E311" s="18"/>
      <c r="F311" s="18"/>
      <c r="G311" s="19"/>
      <c r="I311" s="20"/>
      <c r="K311" s="20"/>
      <c r="M311" s="20"/>
      <c r="O311" s="20"/>
      <c r="Q311" s="21">
        <f t="shared" si="1"/>
        <v>0</v>
      </c>
      <c r="R311" s="17">
        <f t="shared" si="2"/>
        <v>0</v>
      </c>
      <c r="S311" s="17">
        <f t="shared" si="3"/>
        <v>0</v>
      </c>
      <c r="T311" s="17">
        <f t="shared" si="4"/>
        <v>0</v>
      </c>
      <c r="U311" s="38">
        <f t="shared" si="5"/>
        <v>0</v>
      </c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23" t="s">
        <v>20</v>
      </c>
      <c r="B312" s="24">
        <f t="shared" si="6"/>
        <v>46329</v>
      </c>
      <c r="C312" s="25">
        <v>12.1</v>
      </c>
      <c r="D312" s="26" t="s">
        <v>19</v>
      </c>
      <c r="E312" s="22"/>
      <c r="F312" s="22"/>
      <c r="G312" s="19"/>
      <c r="I312" s="20"/>
      <c r="K312" s="20"/>
      <c r="M312" s="20"/>
      <c r="O312" s="20"/>
      <c r="Q312" s="27">
        <f t="shared" si="1"/>
        <v>0</v>
      </c>
      <c r="R312" s="26">
        <f t="shared" si="2"/>
        <v>0</v>
      </c>
      <c r="S312" s="26">
        <f t="shared" si="3"/>
        <v>0</v>
      </c>
      <c r="T312" s="26">
        <f t="shared" si="4"/>
        <v>0</v>
      </c>
      <c r="U312" s="28">
        <f t="shared" si="5"/>
        <v>0</v>
      </c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23" t="s">
        <v>21</v>
      </c>
      <c r="B313" s="24">
        <f t="shared" si="6"/>
        <v>46330</v>
      </c>
      <c r="C313" s="25">
        <v>12.1</v>
      </c>
      <c r="D313" s="26" t="s">
        <v>19</v>
      </c>
      <c r="E313" s="22"/>
      <c r="F313" s="22"/>
      <c r="G313" s="19"/>
      <c r="I313" s="20"/>
      <c r="K313" s="20"/>
      <c r="M313" s="20"/>
      <c r="O313" s="20"/>
      <c r="Q313" s="43">
        <f t="shared" si="1"/>
        <v>0</v>
      </c>
      <c r="R313" s="44">
        <f t="shared" si="2"/>
        <v>0</v>
      </c>
      <c r="S313" s="26">
        <f t="shared" si="3"/>
        <v>0</v>
      </c>
      <c r="T313" s="26">
        <f t="shared" si="4"/>
        <v>0</v>
      </c>
      <c r="U313" s="28">
        <f t="shared" si="5"/>
        <v>0</v>
      </c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23" t="s">
        <v>22</v>
      </c>
      <c r="B314" s="24">
        <f t="shared" si="6"/>
        <v>46331</v>
      </c>
      <c r="C314" s="25">
        <v>12.1</v>
      </c>
      <c r="D314" s="26" t="s">
        <v>19</v>
      </c>
      <c r="E314" s="22"/>
      <c r="F314" s="22"/>
      <c r="G314" s="19"/>
      <c r="I314" s="20"/>
      <c r="K314" s="20"/>
      <c r="M314" s="20"/>
      <c r="O314" s="20"/>
      <c r="Q314" s="43">
        <f t="shared" si="1"/>
        <v>0</v>
      </c>
      <c r="R314" s="44">
        <f t="shared" si="2"/>
        <v>0</v>
      </c>
      <c r="S314" s="26">
        <f t="shared" si="3"/>
        <v>0</v>
      </c>
      <c r="T314" s="26">
        <f t="shared" si="4"/>
        <v>0</v>
      </c>
      <c r="U314" s="28">
        <f t="shared" si="5"/>
        <v>0</v>
      </c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23" t="s">
        <v>23</v>
      </c>
      <c r="B315" s="24">
        <f t="shared" si="6"/>
        <v>46332</v>
      </c>
      <c r="C315" s="25">
        <v>12.1</v>
      </c>
      <c r="D315" s="26" t="s">
        <v>19</v>
      </c>
      <c r="E315" s="22"/>
      <c r="F315" s="22"/>
      <c r="G315" s="19"/>
      <c r="I315" s="20"/>
      <c r="K315" s="20"/>
      <c r="M315" s="20"/>
      <c r="O315" s="20"/>
      <c r="Q315" s="43">
        <f t="shared" si="1"/>
        <v>0</v>
      </c>
      <c r="R315" s="44">
        <f t="shared" si="2"/>
        <v>0</v>
      </c>
      <c r="S315" s="26">
        <f t="shared" si="3"/>
        <v>0</v>
      </c>
      <c r="T315" s="26">
        <f t="shared" si="4"/>
        <v>0</v>
      </c>
      <c r="U315" s="28">
        <f t="shared" si="5"/>
        <v>0</v>
      </c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23" t="s">
        <v>24</v>
      </c>
      <c r="B316" s="24">
        <f t="shared" si="6"/>
        <v>46333</v>
      </c>
      <c r="C316" s="25">
        <v>12.1</v>
      </c>
      <c r="D316" s="26" t="s">
        <v>19</v>
      </c>
      <c r="E316" s="22"/>
      <c r="F316" s="22"/>
      <c r="G316" s="19"/>
      <c r="I316" s="20"/>
      <c r="K316" s="20"/>
      <c r="M316" s="20"/>
      <c r="O316" s="20"/>
      <c r="Q316" s="43">
        <f t="shared" si="1"/>
        <v>0</v>
      </c>
      <c r="R316" s="44">
        <f t="shared" si="2"/>
        <v>0</v>
      </c>
      <c r="S316" s="26">
        <f t="shared" si="3"/>
        <v>0</v>
      </c>
      <c r="T316" s="26">
        <f t="shared" si="4"/>
        <v>0</v>
      </c>
      <c r="U316" s="28">
        <f t="shared" si="5"/>
        <v>0</v>
      </c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29" t="s">
        <v>25</v>
      </c>
      <c r="B317" s="30">
        <f t="shared" si="6"/>
        <v>46334</v>
      </c>
      <c r="C317" s="31">
        <v>12.1</v>
      </c>
      <c r="D317" s="32" t="s">
        <v>19</v>
      </c>
      <c r="E317" s="33"/>
      <c r="F317" s="33"/>
      <c r="G317" s="34"/>
      <c r="H317" s="6"/>
      <c r="I317" s="35"/>
      <c r="J317" s="6"/>
      <c r="K317" s="35"/>
      <c r="L317" s="6"/>
      <c r="M317" s="35"/>
      <c r="N317" s="6"/>
      <c r="O317" s="35"/>
      <c r="P317" s="6"/>
      <c r="Q317" s="45">
        <f t="shared" si="1"/>
        <v>0</v>
      </c>
      <c r="R317" s="46">
        <f t="shared" si="2"/>
        <v>0</v>
      </c>
      <c r="S317" s="32">
        <f t="shared" si="3"/>
        <v>0</v>
      </c>
      <c r="T317" s="32">
        <f t="shared" si="4"/>
        <v>0</v>
      </c>
      <c r="U317" s="37">
        <f t="shared" si="5"/>
        <v>0</v>
      </c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14" t="s">
        <v>18</v>
      </c>
      <c r="B318" s="15">
        <f t="shared" si="6"/>
        <v>46335</v>
      </c>
      <c r="C318" s="16">
        <v>12.2</v>
      </c>
      <c r="D318" s="17" t="s">
        <v>26</v>
      </c>
      <c r="E318" s="18"/>
      <c r="F318" s="18"/>
      <c r="G318" s="19"/>
      <c r="I318" s="20"/>
      <c r="K318" s="20"/>
      <c r="M318" s="20"/>
      <c r="O318" s="20"/>
      <c r="Q318" s="47">
        <f t="shared" si="1"/>
        <v>0</v>
      </c>
      <c r="R318" s="48">
        <f t="shared" si="2"/>
        <v>0</v>
      </c>
      <c r="S318" s="17">
        <f t="shared" si="3"/>
        <v>0</v>
      </c>
      <c r="T318" s="17">
        <f t="shared" si="4"/>
        <v>0</v>
      </c>
      <c r="U318" s="38">
        <f t="shared" si="5"/>
        <v>0</v>
      </c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23" t="s">
        <v>20</v>
      </c>
      <c r="B319" s="24">
        <f t="shared" si="6"/>
        <v>46336</v>
      </c>
      <c r="C319" s="25">
        <v>12.2</v>
      </c>
      <c r="D319" s="26" t="s">
        <v>26</v>
      </c>
      <c r="E319" s="22"/>
      <c r="F319" s="22"/>
      <c r="G319" s="19"/>
      <c r="I319" s="20"/>
      <c r="K319" s="20"/>
      <c r="M319" s="20"/>
      <c r="O319" s="20"/>
      <c r="Q319" s="43">
        <f t="shared" si="1"/>
        <v>0</v>
      </c>
      <c r="R319" s="44">
        <f t="shared" si="2"/>
        <v>0</v>
      </c>
      <c r="S319" s="26">
        <f t="shared" si="3"/>
        <v>0</v>
      </c>
      <c r="T319" s="26">
        <f t="shared" si="4"/>
        <v>0</v>
      </c>
      <c r="U319" s="28">
        <f t="shared" si="5"/>
        <v>0</v>
      </c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23" t="s">
        <v>21</v>
      </c>
      <c r="B320" s="24">
        <f t="shared" si="6"/>
        <v>46337</v>
      </c>
      <c r="C320" s="25">
        <v>12.2</v>
      </c>
      <c r="D320" s="26" t="s">
        <v>26</v>
      </c>
      <c r="E320" s="22"/>
      <c r="F320" s="22"/>
      <c r="G320" s="19"/>
      <c r="I320" s="20"/>
      <c r="K320" s="20"/>
      <c r="M320" s="20"/>
      <c r="O320" s="20"/>
      <c r="Q320" s="43">
        <f t="shared" si="1"/>
        <v>0</v>
      </c>
      <c r="R320" s="44">
        <f t="shared" si="2"/>
        <v>0</v>
      </c>
      <c r="S320" s="26">
        <f t="shared" si="3"/>
        <v>0</v>
      </c>
      <c r="T320" s="26">
        <f t="shared" si="4"/>
        <v>0</v>
      </c>
      <c r="U320" s="28">
        <f t="shared" si="5"/>
        <v>0</v>
      </c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23" t="s">
        <v>22</v>
      </c>
      <c r="B321" s="24">
        <f t="shared" si="6"/>
        <v>46338</v>
      </c>
      <c r="C321" s="25">
        <v>12.2</v>
      </c>
      <c r="D321" s="26" t="s">
        <v>26</v>
      </c>
      <c r="E321" s="22"/>
      <c r="F321" s="22"/>
      <c r="G321" s="19"/>
      <c r="I321" s="20"/>
      <c r="K321" s="20"/>
      <c r="M321" s="20"/>
      <c r="O321" s="20"/>
      <c r="Q321" s="43">
        <f t="shared" si="1"/>
        <v>0</v>
      </c>
      <c r="R321" s="44">
        <f t="shared" si="2"/>
        <v>0</v>
      </c>
      <c r="S321" s="26">
        <f t="shared" si="3"/>
        <v>0</v>
      </c>
      <c r="T321" s="26">
        <f t="shared" si="4"/>
        <v>0</v>
      </c>
      <c r="U321" s="28">
        <f t="shared" si="5"/>
        <v>0</v>
      </c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23" t="s">
        <v>23</v>
      </c>
      <c r="B322" s="24">
        <f t="shared" si="6"/>
        <v>46339</v>
      </c>
      <c r="C322" s="25">
        <v>12.2</v>
      </c>
      <c r="D322" s="26" t="s">
        <v>26</v>
      </c>
      <c r="E322" s="22"/>
      <c r="F322" s="22"/>
      <c r="G322" s="19"/>
      <c r="I322" s="20"/>
      <c r="K322" s="20"/>
      <c r="M322" s="20"/>
      <c r="O322" s="20"/>
      <c r="Q322" s="43">
        <f t="shared" si="1"/>
        <v>0</v>
      </c>
      <c r="R322" s="44">
        <f t="shared" si="2"/>
        <v>0</v>
      </c>
      <c r="S322" s="26">
        <f t="shared" si="3"/>
        <v>0</v>
      </c>
      <c r="T322" s="26">
        <f t="shared" si="4"/>
        <v>0</v>
      </c>
      <c r="U322" s="28">
        <f t="shared" si="5"/>
        <v>0</v>
      </c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23" t="s">
        <v>24</v>
      </c>
      <c r="B323" s="24">
        <f t="shared" si="6"/>
        <v>46340</v>
      </c>
      <c r="C323" s="25">
        <v>12.2</v>
      </c>
      <c r="D323" s="26" t="s">
        <v>26</v>
      </c>
      <c r="E323" s="22"/>
      <c r="F323" s="22"/>
      <c r="G323" s="19"/>
      <c r="I323" s="20"/>
      <c r="K323" s="20"/>
      <c r="M323" s="20"/>
      <c r="O323" s="20"/>
      <c r="Q323" s="43">
        <f t="shared" si="1"/>
        <v>0</v>
      </c>
      <c r="R323" s="44">
        <f t="shared" si="2"/>
        <v>0</v>
      </c>
      <c r="S323" s="26">
        <f t="shared" si="3"/>
        <v>0</v>
      </c>
      <c r="T323" s="26">
        <f t="shared" si="4"/>
        <v>0</v>
      </c>
      <c r="U323" s="28">
        <f t="shared" si="5"/>
        <v>0</v>
      </c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29" t="s">
        <v>25</v>
      </c>
      <c r="B324" s="30">
        <f t="shared" si="6"/>
        <v>46341</v>
      </c>
      <c r="C324" s="31">
        <v>12.2</v>
      </c>
      <c r="D324" s="32" t="s">
        <v>26</v>
      </c>
      <c r="E324" s="33"/>
      <c r="F324" s="33"/>
      <c r="G324" s="34"/>
      <c r="H324" s="6"/>
      <c r="I324" s="35"/>
      <c r="J324" s="6"/>
      <c r="K324" s="35"/>
      <c r="L324" s="6"/>
      <c r="M324" s="35"/>
      <c r="N324" s="6"/>
      <c r="O324" s="35"/>
      <c r="P324" s="6"/>
      <c r="Q324" s="45">
        <f t="shared" si="1"/>
        <v>0</v>
      </c>
      <c r="R324" s="46">
        <f t="shared" si="2"/>
        <v>0</v>
      </c>
      <c r="S324" s="32">
        <f t="shared" si="3"/>
        <v>0</v>
      </c>
      <c r="T324" s="32">
        <f t="shared" si="4"/>
        <v>0</v>
      </c>
      <c r="U324" s="37">
        <f t="shared" si="5"/>
        <v>0</v>
      </c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14" t="s">
        <v>18</v>
      </c>
      <c r="B325" s="15">
        <f t="shared" si="6"/>
        <v>46342</v>
      </c>
      <c r="C325" s="16">
        <v>12.3</v>
      </c>
      <c r="D325" s="17" t="s">
        <v>27</v>
      </c>
      <c r="E325" s="18"/>
      <c r="F325" s="18"/>
      <c r="G325" s="19"/>
      <c r="I325" s="20"/>
      <c r="K325" s="20"/>
      <c r="M325" s="20"/>
      <c r="O325" s="20"/>
      <c r="Q325" s="47">
        <f t="shared" si="1"/>
        <v>0</v>
      </c>
      <c r="R325" s="48">
        <f t="shared" si="2"/>
        <v>0</v>
      </c>
      <c r="S325" s="17">
        <f t="shared" si="3"/>
        <v>0</v>
      </c>
      <c r="T325" s="17">
        <f t="shared" si="4"/>
        <v>0</v>
      </c>
      <c r="U325" s="38">
        <f t="shared" si="5"/>
        <v>0</v>
      </c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23" t="s">
        <v>20</v>
      </c>
      <c r="B326" s="24">
        <f t="shared" si="6"/>
        <v>46343</v>
      </c>
      <c r="C326" s="25">
        <v>12.3</v>
      </c>
      <c r="D326" s="26" t="s">
        <v>27</v>
      </c>
      <c r="E326" s="22"/>
      <c r="F326" s="22"/>
      <c r="G326" s="19"/>
      <c r="I326" s="20"/>
      <c r="K326" s="20"/>
      <c r="M326" s="20"/>
      <c r="O326" s="20"/>
      <c r="Q326" s="43">
        <f t="shared" si="1"/>
        <v>0</v>
      </c>
      <c r="R326" s="44">
        <f t="shared" si="2"/>
        <v>0</v>
      </c>
      <c r="S326" s="26">
        <f t="shared" si="3"/>
        <v>0</v>
      </c>
      <c r="T326" s="26">
        <f t="shared" si="4"/>
        <v>0</v>
      </c>
      <c r="U326" s="28">
        <f t="shared" si="5"/>
        <v>0</v>
      </c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23" t="s">
        <v>21</v>
      </c>
      <c r="B327" s="24">
        <f t="shared" si="6"/>
        <v>46344</v>
      </c>
      <c r="C327" s="25">
        <v>12.3</v>
      </c>
      <c r="D327" s="26" t="s">
        <v>27</v>
      </c>
      <c r="E327" s="22"/>
      <c r="F327" s="22"/>
      <c r="G327" s="19"/>
      <c r="I327" s="20"/>
      <c r="K327" s="20"/>
      <c r="M327" s="20"/>
      <c r="O327" s="20"/>
      <c r="Q327" s="43">
        <f t="shared" si="1"/>
        <v>0</v>
      </c>
      <c r="R327" s="44">
        <f t="shared" si="2"/>
        <v>0</v>
      </c>
      <c r="S327" s="26">
        <f t="shared" si="3"/>
        <v>0</v>
      </c>
      <c r="T327" s="26">
        <f t="shared" si="4"/>
        <v>0</v>
      </c>
      <c r="U327" s="28">
        <f t="shared" si="5"/>
        <v>0</v>
      </c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23" t="s">
        <v>22</v>
      </c>
      <c r="B328" s="24">
        <f t="shared" si="6"/>
        <v>46345</v>
      </c>
      <c r="C328" s="25">
        <v>12.3</v>
      </c>
      <c r="D328" s="26" t="s">
        <v>27</v>
      </c>
      <c r="E328" s="22"/>
      <c r="F328" s="22"/>
      <c r="G328" s="19"/>
      <c r="I328" s="20"/>
      <c r="K328" s="20"/>
      <c r="M328" s="20"/>
      <c r="O328" s="20"/>
      <c r="Q328" s="27">
        <f t="shared" si="1"/>
        <v>0</v>
      </c>
      <c r="R328" s="26">
        <f t="shared" si="2"/>
        <v>0</v>
      </c>
      <c r="S328" s="26">
        <f t="shared" si="3"/>
        <v>0</v>
      </c>
      <c r="T328" s="26">
        <f t="shared" si="4"/>
        <v>0</v>
      </c>
      <c r="U328" s="28">
        <f t="shared" si="5"/>
        <v>0</v>
      </c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23" t="s">
        <v>23</v>
      </c>
      <c r="B329" s="24">
        <f t="shared" si="6"/>
        <v>46346</v>
      </c>
      <c r="C329" s="25">
        <v>12.3</v>
      </c>
      <c r="D329" s="26" t="s">
        <v>27</v>
      </c>
      <c r="E329" s="22"/>
      <c r="F329" s="22"/>
      <c r="G329" s="19"/>
      <c r="I329" s="20"/>
      <c r="K329" s="20"/>
      <c r="M329" s="20"/>
      <c r="O329" s="20"/>
      <c r="Q329" s="27">
        <f t="shared" si="1"/>
        <v>0</v>
      </c>
      <c r="R329" s="26">
        <f t="shared" si="2"/>
        <v>0</v>
      </c>
      <c r="S329" s="26">
        <f t="shared" si="3"/>
        <v>0</v>
      </c>
      <c r="T329" s="26">
        <f t="shared" si="4"/>
        <v>0</v>
      </c>
      <c r="U329" s="28">
        <f t="shared" si="5"/>
        <v>0</v>
      </c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23" t="s">
        <v>24</v>
      </c>
      <c r="B330" s="24">
        <f t="shared" si="6"/>
        <v>46347</v>
      </c>
      <c r="C330" s="25">
        <v>12.3</v>
      </c>
      <c r="D330" s="26" t="s">
        <v>27</v>
      </c>
      <c r="E330" s="22"/>
      <c r="F330" s="22"/>
      <c r="G330" s="19"/>
      <c r="I330" s="20"/>
      <c r="K330" s="20"/>
      <c r="M330" s="20"/>
      <c r="O330" s="20"/>
      <c r="Q330" s="27">
        <f t="shared" si="1"/>
        <v>0</v>
      </c>
      <c r="R330" s="26">
        <f t="shared" si="2"/>
        <v>0</v>
      </c>
      <c r="S330" s="26">
        <f t="shared" si="3"/>
        <v>0</v>
      </c>
      <c r="T330" s="26">
        <f t="shared" si="4"/>
        <v>0</v>
      </c>
      <c r="U330" s="28">
        <f t="shared" si="5"/>
        <v>0</v>
      </c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29" t="s">
        <v>25</v>
      </c>
      <c r="B331" s="30">
        <f t="shared" si="6"/>
        <v>46348</v>
      </c>
      <c r="C331" s="31">
        <v>12.3</v>
      </c>
      <c r="D331" s="32" t="s">
        <v>27</v>
      </c>
      <c r="E331" s="33"/>
      <c r="F331" s="33"/>
      <c r="G331" s="34"/>
      <c r="H331" s="6"/>
      <c r="I331" s="35"/>
      <c r="J331" s="6"/>
      <c r="K331" s="35"/>
      <c r="L331" s="6"/>
      <c r="M331" s="35"/>
      <c r="N331" s="6"/>
      <c r="O331" s="35"/>
      <c r="P331" s="6"/>
      <c r="Q331" s="36">
        <f t="shared" si="1"/>
        <v>0</v>
      </c>
      <c r="R331" s="32">
        <f t="shared" si="2"/>
        <v>0</v>
      </c>
      <c r="S331" s="32">
        <f t="shared" si="3"/>
        <v>0</v>
      </c>
      <c r="T331" s="32">
        <f t="shared" si="4"/>
        <v>0</v>
      </c>
      <c r="U331" s="37">
        <f t="shared" si="5"/>
        <v>0</v>
      </c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14" t="s">
        <v>18</v>
      </c>
      <c r="B332" s="15">
        <f t="shared" si="6"/>
        <v>46349</v>
      </c>
      <c r="C332" s="16">
        <v>12.4</v>
      </c>
      <c r="D332" s="17" t="s">
        <v>28</v>
      </c>
      <c r="E332" s="18"/>
      <c r="F332" s="18"/>
      <c r="G332" s="19"/>
      <c r="I332" s="20"/>
      <c r="K332" s="20"/>
      <c r="M332" s="20"/>
      <c r="O332" s="20"/>
      <c r="Q332" s="21">
        <f t="shared" si="1"/>
        <v>0</v>
      </c>
      <c r="R332" s="17">
        <f t="shared" si="2"/>
        <v>0</v>
      </c>
      <c r="S332" s="17">
        <f t="shared" si="3"/>
        <v>0</v>
      </c>
      <c r="T332" s="17">
        <f t="shared" si="4"/>
        <v>0</v>
      </c>
      <c r="U332" s="38">
        <f t="shared" si="5"/>
        <v>0</v>
      </c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23" t="s">
        <v>20</v>
      </c>
      <c r="B333" s="24">
        <f t="shared" si="6"/>
        <v>46350</v>
      </c>
      <c r="C333" s="25">
        <v>12.4</v>
      </c>
      <c r="D333" s="26" t="s">
        <v>28</v>
      </c>
      <c r="E333" s="22"/>
      <c r="F333" s="22"/>
      <c r="G333" s="19"/>
      <c r="I333" s="20"/>
      <c r="K333" s="20"/>
      <c r="M333" s="20"/>
      <c r="O333" s="20"/>
      <c r="Q333" s="27">
        <f t="shared" si="1"/>
        <v>0</v>
      </c>
      <c r="R333" s="26">
        <f t="shared" si="2"/>
        <v>0</v>
      </c>
      <c r="S333" s="26">
        <f t="shared" si="3"/>
        <v>0</v>
      </c>
      <c r="T333" s="26">
        <f t="shared" si="4"/>
        <v>0</v>
      </c>
      <c r="U333" s="28">
        <f t="shared" si="5"/>
        <v>0</v>
      </c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23" t="s">
        <v>21</v>
      </c>
      <c r="B334" s="24">
        <f t="shared" si="6"/>
        <v>46351</v>
      </c>
      <c r="C334" s="25">
        <v>12.4</v>
      </c>
      <c r="D334" s="26" t="s">
        <v>28</v>
      </c>
      <c r="E334" s="22"/>
      <c r="F334" s="22"/>
      <c r="G334" s="19"/>
      <c r="I334" s="20"/>
      <c r="K334" s="20"/>
      <c r="M334" s="20"/>
      <c r="O334" s="20"/>
      <c r="Q334" s="27">
        <f t="shared" si="1"/>
        <v>0</v>
      </c>
      <c r="R334" s="26">
        <f t="shared" si="2"/>
        <v>0</v>
      </c>
      <c r="S334" s="26">
        <f t="shared" si="3"/>
        <v>0</v>
      </c>
      <c r="T334" s="26">
        <f t="shared" si="4"/>
        <v>0</v>
      </c>
      <c r="U334" s="28">
        <f t="shared" si="5"/>
        <v>0</v>
      </c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23" t="s">
        <v>22</v>
      </c>
      <c r="B335" s="24">
        <f t="shared" si="6"/>
        <v>46352</v>
      </c>
      <c r="C335" s="25">
        <v>12.4</v>
      </c>
      <c r="D335" s="26" t="s">
        <v>28</v>
      </c>
      <c r="E335" s="22"/>
      <c r="F335" s="22"/>
      <c r="G335" s="19"/>
      <c r="I335" s="20"/>
      <c r="K335" s="20"/>
      <c r="M335" s="20"/>
      <c r="O335" s="20"/>
      <c r="Q335" s="27">
        <f t="shared" si="1"/>
        <v>0</v>
      </c>
      <c r="R335" s="26">
        <f t="shared" si="2"/>
        <v>0</v>
      </c>
      <c r="S335" s="26">
        <f t="shared" si="3"/>
        <v>0</v>
      </c>
      <c r="T335" s="26">
        <f t="shared" si="4"/>
        <v>0</v>
      </c>
      <c r="U335" s="28">
        <f t="shared" si="5"/>
        <v>0</v>
      </c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23" t="s">
        <v>23</v>
      </c>
      <c r="B336" s="24">
        <f t="shared" si="6"/>
        <v>46353</v>
      </c>
      <c r="C336" s="25">
        <v>12.4</v>
      </c>
      <c r="D336" s="26" t="s">
        <v>28</v>
      </c>
      <c r="E336" s="22"/>
      <c r="F336" s="22"/>
      <c r="G336" s="19"/>
      <c r="I336" s="20"/>
      <c r="K336" s="20"/>
      <c r="M336" s="20"/>
      <c r="O336" s="20"/>
      <c r="Q336" s="27">
        <f t="shared" si="1"/>
        <v>0</v>
      </c>
      <c r="R336" s="26">
        <f t="shared" si="2"/>
        <v>0</v>
      </c>
      <c r="S336" s="26">
        <f t="shared" si="3"/>
        <v>0</v>
      </c>
      <c r="T336" s="26">
        <f t="shared" si="4"/>
        <v>0</v>
      </c>
      <c r="U336" s="28">
        <f t="shared" si="5"/>
        <v>0</v>
      </c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23" t="s">
        <v>24</v>
      </c>
      <c r="B337" s="24">
        <f t="shared" si="6"/>
        <v>46354</v>
      </c>
      <c r="C337" s="25">
        <v>12.4</v>
      </c>
      <c r="D337" s="26" t="s">
        <v>28</v>
      </c>
      <c r="E337" s="22"/>
      <c r="F337" s="22"/>
      <c r="G337" s="19"/>
      <c r="I337" s="20"/>
      <c r="K337" s="20"/>
      <c r="M337" s="20"/>
      <c r="O337" s="20"/>
      <c r="Q337" s="27">
        <f t="shared" si="1"/>
        <v>0</v>
      </c>
      <c r="R337" s="26">
        <f t="shared" si="2"/>
        <v>0</v>
      </c>
      <c r="S337" s="26">
        <f t="shared" si="3"/>
        <v>0</v>
      </c>
      <c r="T337" s="26">
        <f t="shared" si="4"/>
        <v>0</v>
      </c>
      <c r="U337" s="28">
        <f t="shared" si="5"/>
        <v>0</v>
      </c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29" t="s">
        <v>25</v>
      </c>
      <c r="B338" s="30">
        <f t="shared" si="6"/>
        <v>46355</v>
      </c>
      <c r="C338" s="31">
        <v>12.4</v>
      </c>
      <c r="D338" s="32" t="s">
        <v>28</v>
      </c>
      <c r="E338" s="33"/>
      <c r="F338" s="33"/>
      <c r="G338" s="34"/>
      <c r="H338" s="6"/>
      <c r="I338" s="35"/>
      <c r="J338" s="6"/>
      <c r="K338" s="35"/>
      <c r="L338" s="6"/>
      <c r="M338" s="35"/>
      <c r="N338" s="6"/>
      <c r="O338" s="35"/>
      <c r="P338" s="6"/>
      <c r="Q338" s="36">
        <f t="shared" si="1"/>
        <v>0</v>
      </c>
      <c r="R338" s="32">
        <f t="shared" si="2"/>
        <v>0</v>
      </c>
      <c r="S338" s="32">
        <f t="shared" si="3"/>
        <v>0</v>
      </c>
      <c r="T338" s="32">
        <f t="shared" si="4"/>
        <v>0</v>
      </c>
      <c r="U338" s="37">
        <f t="shared" si="5"/>
        <v>0</v>
      </c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14" t="s">
        <v>18</v>
      </c>
      <c r="B339" s="15">
        <f t="shared" si="6"/>
        <v>46356</v>
      </c>
      <c r="C339" s="16">
        <v>13.1</v>
      </c>
      <c r="D339" s="17" t="s">
        <v>26</v>
      </c>
      <c r="E339" s="18"/>
      <c r="F339" s="18"/>
      <c r="G339" s="19"/>
      <c r="I339" s="20"/>
      <c r="K339" s="20"/>
      <c r="M339" s="20"/>
      <c r="O339" s="20"/>
      <c r="Q339" s="21">
        <f t="shared" si="1"/>
        <v>0</v>
      </c>
      <c r="R339" s="17">
        <f t="shared" si="2"/>
        <v>0</v>
      </c>
      <c r="S339" s="17">
        <f t="shared" si="3"/>
        <v>0</v>
      </c>
      <c r="T339" s="17">
        <f t="shared" si="4"/>
        <v>0</v>
      </c>
      <c r="U339" s="38">
        <f t="shared" si="5"/>
        <v>0</v>
      </c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23" t="s">
        <v>20</v>
      </c>
      <c r="B340" s="24">
        <f t="shared" si="6"/>
        <v>46357</v>
      </c>
      <c r="C340" s="25">
        <v>13.1</v>
      </c>
      <c r="D340" s="26" t="s">
        <v>26</v>
      </c>
      <c r="E340" s="22"/>
      <c r="F340" s="22"/>
      <c r="G340" s="19"/>
      <c r="I340" s="20"/>
      <c r="K340" s="20"/>
      <c r="M340" s="20"/>
      <c r="O340" s="20"/>
      <c r="Q340" s="27">
        <f t="shared" si="1"/>
        <v>0</v>
      </c>
      <c r="R340" s="26">
        <f t="shared" si="2"/>
        <v>0</v>
      </c>
      <c r="S340" s="26">
        <f t="shared" si="3"/>
        <v>0</v>
      </c>
      <c r="T340" s="26">
        <f t="shared" si="4"/>
        <v>0</v>
      </c>
      <c r="U340" s="28">
        <f t="shared" si="5"/>
        <v>0</v>
      </c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23" t="s">
        <v>21</v>
      </c>
      <c r="B341" s="24">
        <f t="shared" si="6"/>
        <v>46358</v>
      </c>
      <c r="C341" s="25">
        <v>13.1</v>
      </c>
      <c r="D341" s="26" t="s">
        <v>26</v>
      </c>
      <c r="E341" s="22"/>
      <c r="F341" s="22"/>
      <c r="G341" s="19"/>
      <c r="I341" s="20"/>
      <c r="K341" s="20"/>
      <c r="M341" s="20"/>
      <c r="O341" s="20"/>
      <c r="Q341" s="27">
        <f t="shared" si="1"/>
        <v>0</v>
      </c>
      <c r="R341" s="26">
        <f t="shared" si="2"/>
        <v>0</v>
      </c>
      <c r="S341" s="26">
        <f t="shared" si="3"/>
        <v>0</v>
      </c>
      <c r="T341" s="26">
        <f t="shared" si="4"/>
        <v>0</v>
      </c>
      <c r="U341" s="28">
        <f t="shared" si="5"/>
        <v>0</v>
      </c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23" t="s">
        <v>22</v>
      </c>
      <c r="B342" s="24">
        <f t="shared" si="6"/>
        <v>46359</v>
      </c>
      <c r="C342" s="25">
        <v>13.1</v>
      </c>
      <c r="D342" s="26" t="s">
        <v>26</v>
      </c>
      <c r="E342" s="22"/>
      <c r="F342" s="22"/>
      <c r="G342" s="19"/>
      <c r="I342" s="20"/>
      <c r="K342" s="20"/>
      <c r="M342" s="20"/>
      <c r="O342" s="20"/>
      <c r="Q342" s="27">
        <f t="shared" si="1"/>
        <v>0</v>
      </c>
      <c r="R342" s="26">
        <f t="shared" si="2"/>
        <v>0</v>
      </c>
      <c r="S342" s="26">
        <f t="shared" si="3"/>
        <v>0</v>
      </c>
      <c r="T342" s="26">
        <f t="shared" si="4"/>
        <v>0</v>
      </c>
      <c r="U342" s="28">
        <f t="shared" si="5"/>
        <v>0</v>
      </c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23" t="s">
        <v>23</v>
      </c>
      <c r="B343" s="24">
        <f t="shared" si="6"/>
        <v>46360</v>
      </c>
      <c r="C343" s="25">
        <v>13.1</v>
      </c>
      <c r="D343" s="26" t="s">
        <v>26</v>
      </c>
      <c r="E343" s="22"/>
      <c r="F343" s="22"/>
      <c r="G343" s="19"/>
      <c r="I343" s="20"/>
      <c r="K343" s="20"/>
      <c r="M343" s="20"/>
      <c r="O343" s="20"/>
      <c r="Q343" s="27">
        <f t="shared" si="1"/>
        <v>0</v>
      </c>
      <c r="R343" s="26">
        <f t="shared" si="2"/>
        <v>0</v>
      </c>
      <c r="S343" s="26">
        <f t="shared" si="3"/>
        <v>0</v>
      </c>
      <c r="T343" s="26">
        <f t="shared" si="4"/>
        <v>0</v>
      </c>
      <c r="U343" s="28">
        <f t="shared" si="5"/>
        <v>0</v>
      </c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23" t="s">
        <v>24</v>
      </c>
      <c r="B344" s="24">
        <f t="shared" si="6"/>
        <v>46361</v>
      </c>
      <c r="C344" s="25">
        <v>13.1</v>
      </c>
      <c r="D344" s="26" t="s">
        <v>26</v>
      </c>
      <c r="E344" s="22"/>
      <c r="F344" s="22"/>
      <c r="G344" s="19"/>
      <c r="I344" s="20"/>
      <c r="K344" s="20"/>
      <c r="M344" s="20"/>
      <c r="O344" s="20"/>
      <c r="Q344" s="27">
        <f t="shared" si="1"/>
        <v>0</v>
      </c>
      <c r="R344" s="26">
        <f t="shared" si="2"/>
        <v>0</v>
      </c>
      <c r="S344" s="26">
        <f t="shared" si="3"/>
        <v>0</v>
      </c>
      <c r="T344" s="26">
        <f t="shared" si="4"/>
        <v>0</v>
      </c>
      <c r="U344" s="28">
        <f t="shared" si="5"/>
        <v>0</v>
      </c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29" t="s">
        <v>25</v>
      </c>
      <c r="B345" s="30">
        <f t="shared" si="6"/>
        <v>46362</v>
      </c>
      <c r="C345" s="31">
        <v>13.1</v>
      </c>
      <c r="D345" s="32" t="s">
        <v>26</v>
      </c>
      <c r="E345" s="33"/>
      <c r="F345" s="33"/>
      <c r="G345" s="34"/>
      <c r="H345" s="6"/>
      <c r="I345" s="35"/>
      <c r="J345" s="6"/>
      <c r="K345" s="35"/>
      <c r="L345" s="6"/>
      <c r="M345" s="35"/>
      <c r="N345" s="6"/>
      <c r="O345" s="35"/>
      <c r="P345" s="6"/>
      <c r="Q345" s="36">
        <f t="shared" si="1"/>
        <v>0</v>
      </c>
      <c r="R345" s="32">
        <f t="shared" si="2"/>
        <v>0</v>
      </c>
      <c r="S345" s="32">
        <f t="shared" si="3"/>
        <v>0</v>
      </c>
      <c r="T345" s="32">
        <f t="shared" si="4"/>
        <v>0</v>
      </c>
      <c r="U345" s="37">
        <f t="shared" si="5"/>
        <v>0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14" t="s">
        <v>18</v>
      </c>
      <c r="B346" s="15">
        <f t="shared" si="6"/>
        <v>46363</v>
      </c>
      <c r="C346" s="16">
        <v>13.2</v>
      </c>
      <c r="D346" s="17" t="s">
        <v>27</v>
      </c>
      <c r="E346" s="18"/>
      <c r="F346" s="18"/>
      <c r="G346" s="19"/>
      <c r="I346" s="20"/>
      <c r="K346" s="20"/>
      <c r="M346" s="20"/>
      <c r="O346" s="20"/>
      <c r="Q346" s="21">
        <f t="shared" si="1"/>
        <v>0</v>
      </c>
      <c r="R346" s="17">
        <f t="shared" si="2"/>
        <v>0</v>
      </c>
      <c r="S346" s="17">
        <f t="shared" si="3"/>
        <v>0</v>
      </c>
      <c r="T346" s="17">
        <f t="shared" si="4"/>
        <v>0</v>
      </c>
      <c r="U346" s="38">
        <f t="shared" si="5"/>
        <v>0</v>
      </c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23" t="s">
        <v>20</v>
      </c>
      <c r="B347" s="24">
        <f t="shared" si="6"/>
        <v>46364</v>
      </c>
      <c r="C347" s="25">
        <v>13.2</v>
      </c>
      <c r="D347" s="26" t="s">
        <v>27</v>
      </c>
      <c r="E347" s="22"/>
      <c r="F347" s="22"/>
      <c r="G347" s="19"/>
      <c r="I347" s="20"/>
      <c r="K347" s="20"/>
      <c r="M347" s="20"/>
      <c r="O347" s="20"/>
      <c r="Q347" s="27">
        <f t="shared" si="1"/>
        <v>0</v>
      </c>
      <c r="R347" s="26">
        <f t="shared" si="2"/>
        <v>0</v>
      </c>
      <c r="S347" s="26">
        <f t="shared" si="3"/>
        <v>0</v>
      </c>
      <c r="T347" s="26">
        <f t="shared" si="4"/>
        <v>0</v>
      </c>
      <c r="U347" s="28">
        <f t="shared" si="5"/>
        <v>0</v>
      </c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23" t="s">
        <v>21</v>
      </c>
      <c r="B348" s="24">
        <f t="shared" si="6"/>
        <v>46365</v>
      </c>
      <c r="C348" s="25">
        <v>13.2</v>
      </c>
      <c r="D348" s="26" t="s">
        <v>27</v>
      </c>
      <c r="E348" s="22"/>
      <c r="F348" s="22"/>
      <c r="G348" s="19"/>
      <c r="I348" s="20"/>
      <c r="K348" s="20"/>
      <c r="M348" s="20"/>
      <c r="O348" s="20"/>
      <c r="Q348" s="27">
        <f t="shared" si="1"/>
        <v>0</v>
      </c>
      <c r="R348" s="26">
        <f t="shared" si="2"/>
        <v>0</v>
      </c>
      <c r="S348" s="26">
        <f t="shared" si="3"/>
        <v>0</v>
      </c>
      <c r="T348" s="26">
        <f t="shared" si="4"/>
        <v>0</v>
      </c>
      <c r="U348" s="28">
        <f t="shared" si="5"/>
        <v>0</v>
      </c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23" t="s">
        <v>22</v>
      </c>
      <c r="B349" s="24">
        <f t="shared" si="6"/>
        <v>46366</v>
      </c>
      <c r="C349" s="25">
        <v>13.2</v>
      </c>
      <c r="D349" s="26" t="s">
        <v>27</v>
      </c>
      <c r="E349" s="22"/>
      <c r="F349" s="22"/>
      <c r="G349" s="19"/>
      <c r="I349" s="20"/>
      <c r="K349" s="20"/>
      <c r="M349" s="20"/>
      <c r="O349" s="20"/>
      <c r="Q349" s="27">
        <f t="shared" si="1"/>
        <v>0</v>
      </c>
      <c r="R349" s="26">
        <f t="shared" si="2"/>
        <v>0</v>
      </c>
      <c r="S349" s="26">
        <f t="shared" si="3"/>
        <v>0</v>
      </c>
      <c r="T349" s="26">
        <f t="shared" si="4"/>
        <v>0</v>
      </c>
      <c r="U349" s="28">
        <f t="shared" si="5"/>
        <v>0</v>
      </c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23" t="s">
        <v>23</v>
      </c>
      <c r="B350" s="24">
        <f t="shared" si="6"/>
        <v>46367</v>
      </c>
      <c r="C350" s="25">
        <v>13.2</v>
      </c>
      <c r="D350" s="26" t="s">
        <v>27</v>
      </c>
      <c r="E350" s="22"/>
      <c r="F350" s="22"/>
      <c r="G350" s="19"/>
      <c r="I350" s="20"/>
      <c r="K350" s="20"/>
      <c r="M350" s="20"/>
      <c r="O350" s="20"/>
      <c r="Q350" s="27">
        <f t="shared" si="1"/>
        <v>0</v>
      </c>
      <c r="R350" s="26">
        <f t="shared" si="2"/>
        <v>0</v>
      </c>
      <c r="S350" s="26">
        <f t="shared" si="3"/>
        <v>0</v>
      </c>
      <c r="T350" s="26">
        <f t="shared" si="4"/>
        <v>0</v>
      </c>
      <c r="U350" s="28">
        <f t="shared" si="5"/>
        <v>0</v>
      </c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23" t="s">
        <v>24</v>
      </c>
      <c r="B351" s="24">
        <f t="shared" si="6"/>
        <v>46368</v>
      </c>
      <c r="C351" s="25">
        <v>13.2</v>
      </c>
      <c r="D351" s="26" t="s">
        <v>27</v>
      </c>
      <c r="E351" s="22"/>
      <c r="F351" s="22"/>
      <c r="G351" s="19"/>
      <c r="I351" s="20"/>
      <c r="K351" s="20"/>
      <c r="M351" s="20"/>
      <c r="O351" s="20"/>
      <c r="Q351" s="27">
        <f t="shared" si="1"/>
        <v>0</v>
      </c>
      <c r="R351" s="26">
        <f t="shared" si="2"/>
        <v>0</v>
      </c>
      <c r="S351" s="26">
        <f t="shared" si="3"/>
        <v>0</v>
      </c>
      <c r="T351" s="26">
        <f t="shared" si="4"/>
        <v>0</v>
      </c>
      <c r="U351" s="28">
        <f t="shared" si="5"/>
        <v>0</v>
      </c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29" t="s">
        <v>25</v>
      </c>
      <c r="B352" s="30">
        <f t="shared" si="6"/>
        <v>46369</v>
      </c>
      <c r="C352" s="31">
        <v>13.2</v>
      </c>
      <c r="D352" s="32" t="s">
        <v>27</v>
      </c>
      <c r="E352" s="33"/>
      <c r="F352" s="33"/>
      <c r="G352" s="34"/>
      <c r="H352" s="6"/>
      <c r="I352" s="35"/>
      <c r="J352" s="6"/>
      <c r="K352" s="35"/>
      <c r="L352" s="6"/>
      <c r="M352" s="35"/>
      <c r="N352" s="6"/>
      <c r="O352" s="35"/>
      <c r="P352" s="6"/>
      <c r="Q352" s="36">
        <f t="shared" si="1"/>
        <v>0</v>
      </c>
      <c r="R352" s="32">
        <f t="shared" si="2"/>
        <v>0</v>
      </c>
      <c r="S352" s="32">
        <f t="shared" si="3"/>
        <v>0</v>
      </c>
      <c r="T352" s="32">
        <f t="shared" si="4"/>
        <v>0</v>
      </c>
      <c r="U352" s="37">
        <f t="shared" si="5"/>
        <v>0</v>
      </c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14" t="s">
        <v>18</v>
      </c>
      <c r="B353" s="15">
        <f t="shared" si="6"/>
        <v>46370</v>
      </c>
      <c r="C353" s="16">
        <v>13.3</v>
      </c>
      <c r="D353" s="17" t="s">
        <v>28</v>
      </c>
      <c r="E353" s="18"/>
      <c r="F353" s="18"/>
      <c r="G353" s="19"/>
      <c r="I353" s="20"/>
      <c r="K353" s="20"/>
      <c r="M353" s="20"/>
      <c r="O353" s="20"/>
      <c r="Q353" s="21">
        <f t="shared" si="1"/>
        <v>0</v>
      </c>
      <c r="R353" s="17">
        <f t="shared" si="2"/>
        <v>0</v>
      </c>
      <c r="S353" s="17">
        <f t="shared" si="3"/>
        <v>0</v>
      </c>
      <c r="T353" s="17">
        <f t="shared" si="4"/>
        <v>0</v>
      </c>
      <c r="U353" s="38">
        <f t="shared" si="5"/>
        <v>0</v>
      </c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23" t="s">
        <v>20</v>
      </c>
      <c r="B354" s="24">
        <f t="shared" si="6"/>
        <v>46371</v>
      </c>
      <c r="C354" s="25">
        <v>13.3</v>
      </c>
      <c r="D354" s="26" t="s">
        <v>28</v>
      </c>
      <c r="E354" s="22"/>
      <c r="F354" s="22"/>
      <c r="G354" s="19"/>
      <c r="I354" s="20"/>
      <c r="K354" s="20"/>
      <c r="M354" s="20"/>
      <c r="O354" s="20"/>
      <c r="Q354" s="27">
        <f t="shared" si="1"/>
        <v>0</v>
      </c>
      <c r="R354" s="26">
        <f t="shared" si="2"/>
        <v>0</v>
      </c>
      <c r="S354" s="26">
        <f t="shared" si="3"/>
        <v>0</v>
      </c>
      <c r="T354" s="26">
        <f t="shared" si="4"/>
        <v>0</v>
      </c>
      <c r="U354" s="28">
        <f t="shared" si="5"/>
        <v>0</v>
      </c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23" t="s">
        <v>21</v>
      </c>
      <c r="B355" s="24">
        <f t="shared" si="6"/>
        <v>46372</v>
      </c>
      <c r="C355" s="25">
        <v>13.3</v>
      </c>
      <c r="D355" s="26" t="s">
        <v>28</v>
      </c>
      <c r="E355" s="22"/>
      <c r="F355" s="22"/>
      <c r="G355" s="19"/>
      <c r="I355" s="20"/>
      <c r="K355" s="20"/>
      <c r="M355" s="20"/>
      <c r="O355" s="20"/>
      <c r="Q355" s="27">
        <f t="shared" si="1"/>
        <v>0</v>
      </c>
      <c r="R355" s="26">
        <f t="shared" si="2"/>
        <v>0</v>
      </c>
      <c r="S355" s="26">
        <f t="shared" si="3"/>
        <v>0</v>
      </c>
      <c r="T355" s="26">
        <f t="shared" si="4"/>
        <v>0</v>
      </c>
      <c r="U355" s="28">
        <f t="shared" si="5"/>
        <v>0</v>
      </c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23" t="s">
        <v>22</v>
      </c>
      <c r="B356" s="24">
        <f t="shared" si="6"/>
        <v>46373</v>
      </c>
      <c r="C356" s="25">
        <v>13.3</v>
      </c>
      <c r="D356" s="26" t="s">
        <v>28</v>
      </c>
      <c r="E356" s="22"/>
      <c r="F356" s="22"/>
      <c r="G356" s="19"/>
      <c r="I356" s="20"/>
      <c r="K356" s="20"/>
      <c r="M356" s="20"/>
      <c r="O356" s="20"/>
      <c r="Q356" s="27">
        <f t="shared" si="1"/>
        <v>0</v>
      </c>
      <c r="R356" s="26">
        <f t="shared" si="2"/>
        <v>0</v>
      </c>
      <c r="S356" s="26">
        <f t="shared" si="3"/>
        <v>0</v>
      </c>
      <c r="T356" s="26">
        <f t="shared" si="4"/>
        <v>0</v>
      </c>
      <c r="U356" s="28">
        <f t="shared" si="5"/>
        <v>0</v>
      </c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23" t="s">
        <v>23</v>
      </c>
      <c r="B357" s="24">
        <f t="shared" si="6"/>
        <v>46374</v>
      </c>
      <c r="C357" s="25">
        <v>13.3</v>
      </c>
      <c r="D357" s="26" t="s">
        <v>28</v>
      </c>
      <c r="E357" s="22"/>
      <c r="F357" s="22"/>
      <c r="G357" s="19"/>
      <c r="I357" s="20"/>
      <c r="K357" s="20"/>
      <c r="M357" s="20"/>
      <c r="O357" s="20"/>
      <c r="Q357" s="27">
        <f t="shared" si="1"/>
        <v>0</v>
      </c>
      <c r="R357" s="26">
        <f t="shared" si="2"/>
        <v>0</v>
      </c>
      <c r="S357" s="26">
        <f t="shared" si="3"/>
        <v>0</v>
      </c>
      <c r="T357" s="26">
        <f t="shared" si="4"/>
        <v>0</v>
      </c>
      <c r="U357" s="28">
        <f t="shared" si="5"/>
        <v>0</v>
      </c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23" t="s">
        <v>24</v>
      </c>
      <c r="B358" s="24">
        <f t="shared" si="6"/>
        <v>46375</v>
      </c>
      <c r="C358" s="25">
        <v>13.3</v>
      </c>
      <c r="D358" s="26" t="s">
        <v>28</v>
      </c>
      <c r="E358" s="22"/>
      <c r="F358" s="22"/>
      <c r="G358" s="19"/>
      <c r="I358" s="20"/>
      <c r="K358" s="20"/>
      <c r="M358" s="20"/>
      <c r="O358" s="20"/>
      <c r="Q358" s="27">
        <f t="shared" si="1"/>
        <v>0</v>
      </c>
      <c r="R358" s="26">
        <f t="shared" si="2"/>
        <v>0</v>
      </c>
      <c r="S358" s="26">
        <f t="shared" si="3"/>
        <v>0</v>
      </c>
      <c r="T358" s="26">
        <f t="shared" si="4"/>
        <v>0</v>
      </c>
      <c r="U358" s="28">
        <f t="shared" si="5"/>
        <v>0</v>
      </c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29" t="s">
        <v>25</v>
      </c>
      <c r="B359" s="30">
        <f t="shared" si="6"/>
        <v>46376</v>
      </c>
      <c r="C359" s="31">
        <v>13.3</v>
      </c>
      <c r="D359" s="32" t="s">
        <v>28</v>
      </c>
      <c r="E359" s="33"/>
      <c r="F359" s="33"/>
      <c r="G359" s="34"/>
      <c r="H359" s="6"/>
      <c r="I359" s="35"/>
      <c r="J359" s="6"/>
      <c r="K359" s="35"/>
      <c r="L359" s="6"/>
      <c r="M359" s="35"/>
      <c r="N359" s="6"/>
      <c r="O359" s="35"/>
      <c r="P359" s="6"/>
      <c r="Q359" s="36">
        <f t="shared" si="1"/>
        <v>0</v>
      </c>
      <c r="R359" s="32">
        <f t="shared" si="2"/>
        <v>0</v>
      </c>
      <c r="S359" s="32">
        <f t="shared" si="3"/>
        <v>0</v>
      </c>
      <c r="T359" s="32">
        <f t="shared" si="4"/>
        <v>0</v>
      </c>
      <c r="U359" s="37">
        <f t="shared" si="5"/>
        <v>0</v>
      </c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49"/>
      <c r="B360" s="50"/>
      <c r="C360" s="20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2" t="s">
        <v>34</v>
      </c>
      <c r="W360" s="52">
        <v>1.0</v>
      </c>
      <c r="X360" s="52">
        <v>2.0</v>
      </c>
      <c r="Y360" s="52">
        <v>3.0</v>
      </c>
      <c r="Z360" s="52">
        <v>4.0</v>
      </c>
      <c r="AA360" s="52">
        <v>5.0</v>
      </c>
      <c r="AB360" s="52">
        <v>6.0</v>
      </c>
      <c r="AC360" s="52">
        <v>7.0</v>
      </c>
      <c r="AD360" s="52">
        <v>8.0</v>
      </c>
      <c r="AE360" s="52">
        <v>9.0</v>
      </c>
      <c r="AF360" s="52">
        <v>10.0</v>
      </c>
      <c r="AG360" s="52">
        <v>11.0</v>
      </c>
      <c r="AH360" s="52">
        <v>12.0</v>
      </c>
      <c r="AI360" s="52">
        <v>13.0</v>
      </c>
      <c r="AJ360" s="52" t="s">
        <v>35</v>
      </c>
      <c r="AK360" s="53"/>
    </row>
    <row r="361" ht="15.75" customHeight="1">
      <c r="A361" s="49"/>
      <c r="B361" s="50"/>
      <c r="C361" s="20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4">
        <f>SUM(Q3:Q359)</f>
        <v>378412.5276</v>
      </c>
      <c r="R361" s="51"/>
      <c r="S361" s="51"/>
      <c r="T361" s="55">
        <f>SUM(T3:T359)</f>
        <v>14580</v>
      </c>
      <c r="U361" s="51"/>
      <c r="V361" s="52" t="s">
        <v>36</v>
      </c>
      <c r="W361" s="53">
        <f t="shared" ref="W361:AI361" si="7">SUMIF($C$3:$C$359, W360, $T$3:$T$359)</f>
        <v>0</v>
      </c>
      <c r="X361" s="53">
        <f t="shared" si="7"/>
        <v>0</v>
      </c>
      <c r="Y361" s="53">
        <f t="shared" si="7"/>
        <v>0</v>
      </c>
      <c r="Z361" s="53">
        <f t="shared" si="7"/>
        <v>0</v>
      </c>
      <c r="AA361" s="53">
        <f t="shared" si="7"/>
        <v>0</v>
      </c>
      <c r="AB361" s="53">
        <f t="shared" si="7"/>
        <v>0</v>
      </c>
      <c r="AC361" s="53">
        <f t="shared" si="7"/>
        <v>0</v>
      </c>
      <c r="AD361" s="53">
        <f t="shared" si="7"/>
        <v>0</v>
      </c>
      <c r="AE361" s="53">
        <f t="shared" si="7"/>
        <v>0</v>
      </c>
      <c r="AF361" s="53">
        <f t="shared" si="7"/>
        <v>0</v>
      </c>
      <c r="AG361" s="53">
        <f t="shared" si="7"/>
        <v>0</v>
      </c>
      <c r="AH361" s="53">
        <f t="shared" si="7"/>
        <v>0</v>
      </c>
      <c r="AI361" s="53">
        <f t="shared" si="7"/>
        <v>0</v>
      </c>
      <c r="AJ361" s="52">
        <f>SUM(W361:AI361)</f>
        <v>0</v>
      </c>
      <c r="AK361" s="53"/>
    </row>
    <row r="362" ht="15.75" customHeight="1">
      <c r="A362" s="49"/>
      <c r="B362" s="50"/>
      <c r="C362" s="20"/>
      <c r="D362" s="51"/>
      <c r="E362" s="56"/>
      <c r="F362" s="56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2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2"/>
      <c r="AK362" s="53"/>
    </row>
    <row r="363" ht="15.75" customHeight="1">
      <c r="A363" s="49"/>
      <c r="B363" s="50"/>
      <c r="C363" s="20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2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2"/>
      <c r="AK363" s="53"/>
    </row>
    <row r="364" ht="15.75" customHeight="1">
      <c r="A364" s="49"/>
      <c r="B364" s="50"/>
      <c r="C364" s="20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2" t="s">
        <v>37</v>
      </c>
      <c r="W364" s="57">
        <f t="shared" ref="W364:AI364" si="8">SUMIF($C$3:$C$359, W360, $Q$3:$Q$359)</f>
        <v>0</v>
      </c>
      <c r="X364" s="57">
        <f t="shared" si="8"/>
        <v>0</v>
      </c>
      <c r="Y364" s="57">
        <f t="shared" si="8"/>
        <v>0</v>
      </c>
      <c r="Z364" s="57">
        <f t="shared" si="8"/>
        <v>0</v>
      </c>
      <c r="AA364" s="57">
        <f t="shared" si="8"/>
        <v>0</v>
      </c>
      <c r="AB364" s="57">
        <f t="shared" si="8"/>
        <v>0</v>
      </c>
      <c r="AC364" s="57">
        <f t="shared" si="8"/>
        <v>0</v>
      </c>
      <c r="AD364" s="57">
        <f t="shared" si="8"/>
        <v>0</v>
      </c>
      <c r="AE364" s="57">
        <f t="shared" si="8"/>
        <v>0</v>
      </c>
      <c r="AF364" s="57">
        <f t="shared" si="8"/>
        <v>0</v>
      </c>
      <c r="AG364" s="57">
        <f t="shared" si="8"/>
        <v>0</v>
      </c>
      <c r="AH364" s="57">
        <f t="shared" si="8"/>
        <v>0</v>
      </c>
      <c r="AI364" s="57">
        <f t="shared" si="8"/>
        <v>0</v>
      </c>
      <c r="AJ364" s="58">
        <f>SUM(W364:AI364)</f>
        <v>0</v>
      </c>
      <c r="AK364" s="53"/>
    </row>
    <row r="365" ht="15.75" customHeight="1">
      <c r="A365" s="49"/>
      <c r="B365" s="50"/>
      <c r="C365" s="20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2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8"/>
      <c r="AK365" s="53"/>
    </row>
    <row r="366" ht="15.75" customHeight="1">
      <c r="A366" s="59"/>
      <c r="B366" s="51"/>
      <c r="C366" s="20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2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8"/>
      <c r="AK366" s="53"/>
    </row>
    <row r="367" ht="15.75" customHeight="1">
      <c r="A367" s="59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2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8"/>
      <c r="AK367" s="53"/>
    </row>
    <row r="368" ht="15.75" customHeight="1">
      <c r="A368" s="59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2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8"/>
      <c r="AK368" s="53"/>
    </row>
    <row r="369" ht="15.75" customHeight="1">
      <c r="A369" s="59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60" t="s">
        <v>38</v>
      </c>
      <c r="W369" s="61">
        <v>0.26</v>
      </c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8"/>
      <c r="AK369" s="53"/>
    </row>
    <row r="370" ht="15.75" customHeight="1">
      <c r="A370" s="59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2"/>
      <c r="W370" s="57">
        <f t="shared" ref="W370:AI370" si="9">SUM(W364:W366)*$W$369</f>
        <v>0</v>
      </c>
      <c r="X370" s="57">
        <f t="shared" si="9"/>
        <v>0</v>
      </c>
      <c r="Y370" s="57">
        <f t="shared" si="9"/>
        <v>0</v>
      </c>
      <c r="Z370" s="57">
        <f t="shared" si="9"/>
        <v>0</v>
      </c>
      <c r="AA370" s="57">
        <f t="shared" si="9"/>
        <v>0</v>
      </c>
      <c r="AB370" s="57">
        <f t="shared" si="9"/>
        <v>0</v>
      </c>
      <c r="AC370" s="57">
        <f t="shared" si="9"/>
        <v>0</v>
      </c>
      <c r="AD370" s="57">
        <f t="shared" si="9"/>
        <v>0</v>
      </c>
      <c r="AE370" s="57">
        <f t="shared" si="9"/>
        <v>0</v>
      </c>
      <c r="AF370" s="57">
        <f t="shared" si="9"/>
        <v>0</v>
      </c>
      <c r="AG370" s="57">
        <f t="shared" si="9"/>
        <v>0</v>
      </c>
      <c r="AH370" s="57">
        <f t="shared" si="9"/>
        <v>0</v>
      </c>
      <c r="AI370" s="57">
        <f t="shared" si="9"/>
        <v>0</v>
      </c>
      <c r="AJ370" s="58">
        <f>SUM(W370:AI370)</f>
        <v>0</v>
      </c>
      <c r="AK370" s="62" t="str">
        <f>AJ370/AJ364</f>
        <v>#DIV/0!</v>
      </c>
    </row>
    <row r="371" ht="15.75" customHeight="1">
      <c r="A371" s="59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2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8"/>
      <c r="AK371" s="53"/>
    </row>
    <row r="372" ht="15.75" customHeight="1">
      <c r="A372" s="59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60" t="s">
        <v>39</v>
      </c>
      <c r="W372" s="61">
        <v>0.0</v>
      </c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8"/>
      <c r="AK372" s="53"/>
    </row>
    <row r="373" ht="15.75" customHeight="1">
      <c r="A373" s="59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2"/>
      <c r="W373" s="57">
        <f t="shared" ref="W373:AI373" si="10">$AO$372*SUM(W364:W366)</f>
        <v>0</v>
      </c>
      <c r="X373" s="57">
        <f t="shared" si="10"/>
        <v>0</v>
      </c>
      <c r="Y373" s="57">
        <f t="shared" si="10"/>
        <v>0</v>
      </c>
      <c r="Z373" s="57">
        <f t="shared" si="10"/>
        <v>0</v>
      </c>
      <c r="AA373" s="57">
        <f t="shared" si="10"/>
        <v>0</v>
      </c>
      <c r="AB373" s="57">
        <f t="shared" si="10"/>
        <v>0</v>
      </c>
      <c r="AC373" s="57">
        <f t="shared" si="10"/>
        <v>0</v>
      </c>
      <c r="AD373" s="57">
        <f t="shared" si="10"/>
        <v>0</v>
      </c>
      <c r="AE373" s="57">
        <f t="shared" si="10"/>
        <v>0</v>
      </c>
      <c r="AF373" s="57">
        <f t="shared" si="10"/>
        <v>0</v>
      </c>
      <c r="AG373" s="57">
        <f t="shared" si="10"/>
        <v>0</v>
      </c>
      <c r="AH373" s="57">
        <f t="shared" si="10"/>
        <v>0</v>
      </c>
      <c r="AI373" s="57">
        <f t="shared" si="10"/>
        <v>0</v>
      </c>
      <c r="AJ373" s="58">
        <f>SUM(W373:AI373)</f>
        <v>0</v>
      </c>
      <c r="AK373" s="53"/>
    </row>
    <row r="374" ht="15.75" customHeight="1">
      <c r="A374" s="59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2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8"/>
      <c r="AK374" s="53"/>
    </row>
    <row r="375" ht="15.75" customHeight="1">
      <c r="A375" s="59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2" t="s">
        <v>40</v>
      </c>
      <c r="W375" s="57">
        <f>SUM(W376:W378)</f>
        <v>42000</v>
      </c>
      <c r="X375" s="63" t="s">
        <v>41</v>
      </c>
      <c r="Y375" s="64">
        <f>SUM(W376:W378)/SUM(Z376:Z378)-1</f>
        <v>0.05</v>
      </c>
      <c r="Z375" s="65" t="s">
        <v>42</v>
      </c>
      <c r="AA375" s="53"/>
      <c r="AB375" s="53"/>
      <c r="AC375" s="53"/>
      <c r="AD375" s="53"/>
      <c r="AE375" s="53"/>
      <c r="AF375" s="53"/>
      <c r="AG375" s="53"/>
      <c r="AH375" s="53"/>
      <c r="AI375" s="53"/>
      <c r="AJ375" s="58"/>
      <c r="AK375" s="53"/>
    </row>
    <row r="376" ht="15.75" customHeight="1">
      <c r="A376" s="59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2" t="s">
        <v>43</v>
      </c>
      <c r="W376" s="57">
        <v>42000.0</v>
      </c>
      <c r="X376" s="53"/>
      <c r="Y376" s="53"/>
      <c r="Z376" s="57">
        <v>40000.0</v>
      </c>
      <c r="AA376" s="53"/>
      <c r="AB376" s="53"/>
      <c r="AC376" s="53"/>
      <c r="AD376" s="53"/>
      <c r="AE376" s="53"/>
      <c r="AF376" s="53"/>
      <c r="AG376" s="53"/>
      <c r="AH376" s="53"/>
      <c r="AI376" s="53"/>
      <c r="AJ376" s="58"/>
      <c r="AK376" s="53"/>
    </row>
    <row r="377" ht="15.75" customHeight="1">
      <c r="A377" s="59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2" t="s">
        <v>44</v>
      </c>
      <c r="W377" s="57">
        <v>0.0</v>
      </c>
      <c r="X377" s="53"/>
      <c r="Y377" s="53"/>
      <c r="Z377" s="57">
        <v>0.0</v>
      </c>
      <c r="AA377" s="53"/>
      <c r="AB377" s="53"/>
      <c r="AC377" s="53"/>
      <c r="AD377" s="53"/>
      <c r="AE377" s="53"/>
      <c r="AF377" s="53"/>
      <c r="AG377" s="53"/>
      <c r="AH377" s="53"/>
      <c r="AI377" s="53"/>
      <c r="AJ377" s="58"/>
      <c r="AK377" s="53"/>
    </row>
    <row r="378" ht="15.75" customHeight="1">
      <c r="A378" s="59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2" t="s">
        <v>45</v>
      </c>
      <c r="W378" s="57">
        <v>0.0</v>
      </c>
      <c r="X378" s="53"/>
      <c r="Y378" s="53"/>
      <c r="Z378" s="57">
        <v>0.0</v>
      </c>
      <c r="AA378" s="53"/>
      <c r="AB378" s="53"/>
      <c r="AC378" s="53"/>
      <c r="AD378" s="53"/>
      <c r="AE378" s="53"/>
      <c r="AF378" s="53"/>
      <c r="AG378" s="53"/>
      <c r="AH378" s="53"/>
      <c r="AI378" s="53"/>
      <c r="AJ378" s="58"/>
      <c r="AK378" s="53"/>
    </row>
    <row r="379" ht="15.75" customHeight="1">
      <c r="A379" s="59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2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8"/>
      <c r="AK379" s="53"/>
    </row>
    <row r="380" ht="15.75" customHeight="1">
      <c r="A380" s="59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66" t="s">
        <v>46</v>
      </c>
      <c r="W380" s="67">
        <v>0.025</v>
      </c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8"/>
      <c r="AK380" s="53"/>
    </row>
    <row r="381" ht="15.75" customHeight="1">
      <c r="A381" s="59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66"/>
      <c r="W381" s="57">
        <f t="shared" ref="W381:AI381" si="11">$W$380 * W364</f>
        <v>0</v>
      </c>
      <c r="X381" s="57">
        <f t="shared" si="11"/>
        <v>0</v>
      </c>
      <c r="Y381" s="57">
        <f t="shared" si="11"/>
        <v>0</v>
      </c>
      <c r="Z381" s="57">
        <f t="shared" si="11"/>
        <v>0</v>
      </c>
      <c r="AA381" s="57">
        <f t="shared" si="11"/>
        <v>0</v>
      </c>
      <c r="AB381" s="57">
        <f t="shared" si="11"/>
        <v>0</v>
      </c>
      <c r="AC381" s="57">
        <f t="shared" si="11"/>
        <v>0</v>
      </c>
      <c r="AD381" s="57">
        <f t="shared" si="11"/>
        <v>0</v>
      </c>
      <c r="AE381" s="57">
        <f t="shared" si="11"/>
        <v>0</v>
      </c>
      <c r="AF381" s="57">
        <f t="shared" si="11"/>
        <v>0</v>
      </c>
      <c r="AG381" s="57">
        <f t="shared" si="11"/>
        <v>0</v>
      </c>
      <c r="AH381" s="57">
        <f t="shared" si="11"/>
        <v>0</v>
      </c>
      <c r="AI381" s="57">
        <f t="shared" si="11"/>
        <v>0</v>
      </c>
      <c r="AJ381" s="58">
        <f>SUM(W381:AI381)</f>
        <v>0</v>
      </c>
      <c r="AK381" s="53"/>
    </row>
    <row r="382" ht="15.75" customHeight="1">
      <c r="A382" s="59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2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2"/>
      <c r="AK382" s="53"/>
    </row>
    <row r="383" ht="15.75" customHeight="1">
      <c r="A383" s="59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66" t="s">
        <v>47</v>
      </c>
      <c r="W383" s="67">
        <v>0.015</v>
      </c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8"/>
      <c r="AK383" s="53"/>
    </row>
    <row r="384" ht="15.75" customHeight="1">
      <c r="A384" s="59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2"/>
      <c r="W384" s="57">
        <f t="shared" ref="W384:AI384" si="12">$W$383 * W364</f>
        <v>0</v>
      </c>
      <c r="X384" s="57">
        <f t="shared" si="12"/>
        <v>0</v>
      </c>
      <c r="Y384" s="57">
        <f t="shared" si="12"/>
        <v>0</v>
      </c>
      <c r="Z384" s="57">
        <f t="shared" si="12"/>
        <v>0</v>
      </c>
      <c r="AA384" s="57">
        <f t="shared" si="12"/>
        <v>0</v>
      </c>
      <c r="AB384" s="57">
        <f t="shared" si="12"/>
        <v>0</v>
      </c>
      <c r="AC384" s="57">
        <f t="shared" si="12"/>
        <v>0</v>
      </c>
      <c r="AD384" s="57">
        <f t="shared" si="12"/>
        <v>0</v>
      </c>
      <c r="AE384" s="57">
        <f t="shared" si="12"/>
        <v>0</v>
      </c>
      <c r="AF384" s="57">
        <f t="shared" si="12"/>
        <v>0</v>
      </c>
      <c r="AG384" s="57">
        <f t="shared" si="12"/>
        <v>0</v>
      </c>
      <c r="AH384" s="57">
        <f t="shared" si="12"/>
        <v>0</v>
      </c>
      <c r="AI384" s="57">
        <f t="shared" si="12"/>
        <v>0</v>
      </c>
      <c r="AJ384" s="58">
        <f>SUM(W384:AI384)</f>
        <v>0</v>
      </c>
      <c r="AK384" s="53"/>
    </row>
    <row r="385" ht="15.75" customHeight="1">
      <c r="A385" s="59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2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2"/>
      <c r="AK385" s="53"/>
    </row>
    <row r="386" ht="15.75" customHeight="1">
      <c r="A386" s="59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2" t="s">
        <v>48</v>
      </c>
      <c r="W386" s="57">
        <v>0.0</v>
      </c>
      <c r="X386" s="57">
        <v>0.0</v>
      </c>
      <c r="Y386" s="57">
        <v>0.0</v>
      </c>
      <c r="Z386" s="57">
        <v>500.0</v>
      </c>
      <c r="AA386" s="57">
        <v>20.0</v>
      </c>
      <c r="AB386" s="57">
        <v>20.0</v>
      </c>
      <c r="AC386" s="57">
        <v>20.0</v>
      </c>
      <c r="AD386" s="57">
        <v>20.0</v>
      </c>
      <c r="AE386" s="57">
        <v>20.0</v>
      </c>
      <c r="AF386" s="57">
        <v>20.0</v>
      </c>
      <c r="AG386" s="57">
        <v>0.0</v>
      </c>
      <c r="AH386" s="57">
        <v>0.0</v>
      </c>
      <c r="AI386" s="57">
        <v>0.0</v>
      </c>
      <c r="AJ386" s="58">
        <f>SUM(W386:AI386)</f>
        <v>620</v>
      </c>
      <c r="AK386" s="53"/>
    </row>
    <row r="387" ht="15.75" customHeight="1">
      <c r="A387" s="59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8"/>
      <c r="AK387" s="53"/>
    </row>
    <row r="388" ht="15.75" customHeight="1">
      <c r="A388" s="59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68" t="s">
        <v>49</v>
      </c>
      <c r="W388" s="69"/>
      <c r="X388" s="69"/>
      <c r="Y388" s="70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8"/>
      <c r="AK388" s="53"/>
    </row>
    <row r="389" ht="15.75" customHeight="1">
      <c r="A389" s="59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71" t="s">
        <v>50</v>
      </c>
      <c r="W389" s="53"/>
      <c r="X389" s="53"/>
      <c r="Y389" s="72">
        <v>1000.0</v>
      </c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8"/>
      <c r="AK389" s="53"/>
    </row>
    <row r="390" ht="15.75" customHeight="1">
      <c r="A390" s="59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73" t="s">
        <v>51</v>
      </c>
      <c r="W390" s="53"/>
      <c r="X390" s="53"/>
      <c r="Y390" s="72">
        <v>5000.0</v>
      </c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8"/>
      <c r="AK390" s="53"/>
    </row>
    <row r="391" ht="15.75" customHeight="1">
      <c r="A391" s="59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74" t="s">
        <v>52</v>
      </c>
      <c r="W391" s="53"/>
      <c r="X391" s="53"/>
      <c r="Y391" s="75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8"/>
      <c r="AK391" s="53"/>
    </row>
    <row r="392" ht="15.75" customHeight="1">
      <c r="A392" s="59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71"/>
      <c r="W392" s="53"/>
      <c r="X392" s="53"/>
      <c r="Y392" s="76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8"/>
      <c r="AK392" s="53"/>
    </row>
    <row r="393" ht="15.75" customHeight="1">
      <c r="A393" s="59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68" t="s">
        <v>53</v>
      </c>
      <c r="W393" s="53"/>
      <c r="X393" s="53"/>
      <c r="Y393" s="76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8"/>
      <c r="AK393" s="53"/>
    </row>
    <row r="394" ht="15.75" customHeight="1">
      <c r="A394" s="59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71" t="s">
        <v>54</v>
      </c>
      <c r="W394" s="53"/>
      <c r="X394" s="53"/>
      <c r="Y394" s="72"/>
      <c r="Z394" s="53"/>
      <c r="AA394" s="53" t="s">
        <v>55</v>
      </c>
      <c r="AB394" s="67">
        <v>0.05</v>
      </c>
      <c r="AC394" s="53"/>
      <c r="AD394" s="53"/>
      <c r="AE394" s="53"/>
      <c r="AF394" s="53"/>
      <c r="AG394" s="53"/>
      <c r="AH394" s="53"/>
      <c r="AI394" s="53"/>
      <c r="AJ394" s="58"/>
      <c r="AK394" s="53"/>
    </row>
    <row r="395" ht="15.75" customHeight="1">
      <c r="A395" s="59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73" t="s">
        <v>56</v>
      </c>
      <c r="W395" s="53"/>
      <c r="X395" s="53"/>
      <c r="Y395" s="72"/>
      <c r="Z395" s="53"/>
      <c r="AA395" s="53" t="s">
        <v>57</v>
      </c>
      <c r="AB395" s="67">
        <v>0.072</v>
      </c>
      <c r="AC395" s="53"/>
      <c r="AD395" s="53"/>
      <c r="AE395" s="53"/>
      <c r="AF395" s="53"/>
      <c r="AG395" s="53"/>
      <c r="AH395" s="53"/>
      <c r="AI395" s="53"/>
      <c r="AJ395" s="52"/>
      <c r="AK395" s="53"/>
    </row>
    <row r="396" ht="15.75" customHeight="1">
      <c r="A396" s="59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74" t="s">
        <v>58</v>
      </c>
      <c r="W396" s="53"/>
      <c r="X396" s="53"/>
      <c r="Y396" s="75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2"/>
      <c r="AK396" s="53"/>
    </row>
    <row r="397" ht="15.75" customHeight="1">
      <c r="A397" s="59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71"/>
      <c r="W397" s="53"/>
      <c r="X397" s="53"/>
      <c r="Y397" s="76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2"/>
      <c r="AK397" s="53"/>
    </row>
    <row r="398" ht="15.75" customHeight="1">
      <c r="A398" s="59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68" t="s">
        <v>59</v>
      </c>
      <c r="W398" s="53"/>
      <c r="X398" s="53"/>
      <c r="Y398" s="76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2"/>
      <c r="AK398" s="53"/>
    </row>
    <row r="399" ht="15.75" customHeight="1">
      <c r="A399" s="59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71" t="s">
        <v>60</v>
      </c>
      <c r="W399" s="53"/>
      <c r="X399" s="53"/>
      <c r="Y399" s="72">
        <v>12000.0</v>
      </c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2"/>
      <c r="AK399" s="53"/>
    </row>
    <row r="400" ht="15.75" customHeight="1">
      <c r="A400" s="59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73" t="s">
        <v>61</v>
      </c>
      <c r="W400" s="53"/>
      <c r="X400" s="53"/>
      <c r="Y400" s="72">
        <v>0.0</v>
      </c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2"/>
      <c r="AK400" s="53"/>
    </row>
    <row r="401" ht="15.75" customHeight="1">
      <c r="A401" s="59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74" t="s">
        <v>62</v>
      </c>
      <c r="W401" s="53"/>
      <c r="X401" s="53"/>
      <c r="Y401" s="75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2"/>
      <c r="AK401" s="53"/>
    </row>
    <row r="402" ht="15.75" customHeight="1">
      <c r="A402" s="59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71"/>
      <c r="W402" s="53"/>
      <c r="X402" s="53"/>
      <c r="Y402" s="76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2"/>
      <c r="AK402" s="53"/>
    </row>
    <row r="403" ht="15.75" customHeight="1">
      <c r="A403" s="59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68" t="s">
        <v>63</v>
      </c>
      <c r="W403" s="53"/>
      <c r="X403" s="53"/>
      <c r="Y403" s="77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2"/>
      <c r="AK403" s="53"/>
    </row>
    <row r="404" ht="15.75" customHeight="1">
      <c r="A404" s="59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71" t="s">
        <v>64</v>
      </c>
      <c r="W404" s="53"/>
      <c r="X404" s="53"/>
      <c r="Y404" s="72">
        <f>60*7</f>
        <v>420</v>
      </c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2"/>
      <c r="AK404" s="53"/>
    </row>
    <row r="405" ht="15.75" customHeight="1">
      <c r="A405" s="59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71" t="s">
        <v>65</v>
      </c>
      <c r="W405" s="53"/>
      <c r="X405" s="53"/>
      <c r="Y405" s="72">
        <v>0.0</v>
      </c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2"/>
      <c r="AK405" s="53"/>
    </row>
    <row r="406" ht="15.75" customHeight="1">
      <c r="A406" s="59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73" t="s">
        <v>66</v>
      </c>
      <c r="W406" s="53"/>
      <c r="X406" s="53"/>
      <c r="Y406" s="72">
        <v>0.0</v>
      </c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2"/>
      <c r="AK406" s="53"/>
    </row>
    <row r="407" ht="15.75" customHeight="1">
      <c r="A407" s="59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74" t="s">
        <v>67</v>
      </c>
      <c r="W407" s="53"/>
      <c r="X407" s="53"/>
      <c r="Y407" s="75">
        <v>0.0</v>
      </c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2"/>
      <c r="AK407" s="53"/>
    </row>
    <row r="408" ht="15.75" customHeight="1">
      <c r="A408" s="59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71"/>
      <c r="W408" s="53"/>
      <c r="X408" s="53"/>
      <c r="Y408" s="76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2"/>
      <c r="AK408" s="53"/>
    </row>
    <row r="409" ht="15.75" customHeight="1">
      <c r="A409" s="59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68" t="s">
        <v>68</v>
      </c>
      <c r="W409" s="53"/>
      <c r="X409" s="53"/>
      <c r="Y409" s="72">
        <v>0.0</v>
      </c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2"/>
      <c r="AK409" s="53"/>
    </row>
    <row r="410" ht="15.75" customHeight="1">
      <c r="A410" s="59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71" t="s">
        <v>69</v>
      </c>
      <c r="W410" s="53"/>
      <c r="X410" s="53"/>
      <c r="Y410" s="72">
        <v>2600.0</v>
      </c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2"/>
      <c r="AK410" s="53"/>
    </row>
    <row r="411" ht="15.75" customHeight="1">
      <c r="A411" s="59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73" t="s">
        <v>70</v>
      </c>
      <c r="W411" s="53"/>
      <c r="X411" s="53"/>
      <c r="Y411" s="72">
        <v>7500.0</v>
      </c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2"/>
      <c r="AK411" s="53"/>
    </row>
    <row r="412" ht="15.75" customHeight="1">
      <c r="A412" s="59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74" t="s">
        <v>71</v>
      </c>
      <c r="W412" s="53"/>
      <c r="X412" s="53"/>
      <c r="Y412" s="72">
        <v>0.0</v>
      </c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2"/>
      <c r="AK412" s="53"/>
    </row>
    <row r="413" ht="15.75" customHeight="1">
      <c r="A413" s="59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71"/>
      <c r="W413" s="53"/>
      <c r="X413" s="53"/>
      <c r="Y413" s="75">
        <v>0.0</v>
      </c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2"/>
      <c r="AK413" s="53"/>
    </row>
    <row r="414" ht="15.75" customHeight="1">
      <c r="A414" s="59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68" t="s">
        <v>72</v>
      </c>
      <c r="W414" s="53"/>
      <c r="X414" s="53"/>
      <c r="Y414" s="76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2"/>
      <c r="AK414" s="53"/>
    </row>
    <row r="415" ht="15.75" customHeight="1">
      <c r="A415" s="59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71" t="s">
        <v>73</v>
      </c>
      <c r="W415" s="53"/>
      <c r="X415" s="53"/>
      <c r="Y415" s="72">
        <v>0.0</v>
      </c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2"/>
      <c r="AK415" s="53"/>
    </row>
    <row r="416" ht="15.75" customHeight="1">
      <c r="A416" s="59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73" t="s">
        <v>74</v>
      </c>
      <c r="W416" s="53"/>
      <c r="X416" s="53"/>
      <c r="Y416" s="72">
        <v>500.0</v>
      </c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2"/>
      <c r="AK416" s="53"/>
    </row>
    <row r="417" ht="15.75" customHeight="1">
      <c r="A417" s="59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74" t="s">
        <v>75</v>
      </c>
      <c r="W417" s="53"/>
      <c r="X417" s="53"/>
      <c r="Y417" s="75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2"/>
      <c r="AK417" s="53"/>
    </row>
    <row r="418" ht="15.75" customHeight="1">
      <c r="A418" s="59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71"/>
      <c r="W418" s="53"/>
      <c r="X418" s="53"/>
      <c r="Y418" s="77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2"/>
      <c r="AK418" s="53"/>
    </row>
    <row r="419" ht="15.75" customHeight="1">
      <c r="A419" s="59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68" t="s">
        <v>76</v>
      </c>
      <c r="W419" s="53"/>
      <c r="X419" s="53"/>
      <c r="Y419" s="72">
        <v>0.0</v>
      </c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2"/>
      <c r="AK419" s="53"/>
    </row>
    <row r="420" ht="15.75" customHeight="1">
      <c r="A420" s="59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71" t="s">
        <v>77</v>
      </c>
      <c r="W420" s="53"/>
      <c r="X420" s="53"/>
      <c r="Y420" s="72">
        <v>350.0</v>
      </c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2"/>
      <c r="AK420" s="53"/>
    </row>
    <row r="421" ht="15.75" customHeight="1">
      <c r="A421" s="59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71" t="s">
        <v>78</v>
      </c>
      <c r="W421" s="53"/>
      <c r="X421" s="53"/>
      <c r="Y421" s="72">
        <v>350.0</v>
      </c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2"/>
      <c r="AK421" s="53"/>
    </row>
    <row r="422" ht="15.75" customHeight="1">
      <c r="A422" s="59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73" t="s">
        <v>79</v>
      </c>
      <c r="W422" s="53"/>
      <c r="X422" s="53"/>
      <c r="Y422" s="72">
        <v>0.0</v>
      </c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2"/>
      <c r="AK422" s="53"/>
    </row>
    <row r="423" ht="15.75" customHeight="1">
      <c r="A423" s="59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74" t="s">
        <v>80</v>
      </c>
      <c r="W423" s="53"/>
      <c r="X423" s="53"/>
      <c r="Y423" s="72">
        <v>0.0</v>
      </c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2"/>
      <c r="AK423" s="53"/>
    </row>
    <row r="424" ht="15.75" customHeight="1">
      <c r="A424" s="59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71"/>
      <c r="W424" s="53"/>
      <c r="X424" s="53"/>
      <c r="Y424" s="72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2"/>
      <c r="AK424" s="53"/>
    </row>
    <row r="425" ht="15.75" customHeight="1">
      <c r="A425" s="59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78" t="s">
        <v>81</v>
      </c>
      <c r="W425" s="53"/>
      <c r="X425" s="53"/>
      <c r="Y425" s="75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2"/>
      <c r="AK425" s="53"/>
    </row>
    <row r="426" ht="15.75" customHeight="1">
      <c r="A426" s="59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79"/>
      <c r="W426" s="53"/>
      <c r="X426" s="53"/>
      <c r="Y426" s="76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2"/>
      <c r="AK426" s="53"/>
    </row>
    <row r="427" ht="15.75" customHeight="1">
      <c r="A427" s="59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80"/>
      <c r="W427" s="53"/>
      <c r="X427" s="53"/>
      <c r="Y427" s="75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2"/>
      <c r="AK427" s="53"/>
    </row>
    <row r="428" ht="15.75" customHeight="1">
      <c r="A428" s="59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81"/>
      <c r="W428" s="53"/>
      <c r="X428" s="53"/>
      <c r="Y428" s="77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2"/>
      <c r="AK428" s="53"/>
    </row>
    <row r="429" ht="15.75" customHeight="1">
      <c r="A429" s="59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82"/>
      <c r="W429" s="83"/>
      <c r="X429" s="83"/>
      <c r="Y429" s="84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2"/>
      <c r="AK429" s="53"/>
    </row>
    <row r="430" ht="15.75" customHeight="1">
      <c r="A430" s="59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59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59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59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59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59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59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59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59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59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59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59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59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59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59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59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59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59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59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59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59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59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59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59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59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59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59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59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59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59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59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59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59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59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59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59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59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59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59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59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59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59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59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59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59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59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59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59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59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59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59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59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59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59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59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59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59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59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59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59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59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59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59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59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59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59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59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59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59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59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59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59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59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59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59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59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59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59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59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59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59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59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59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59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59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59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59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59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59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59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59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59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59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59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59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59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59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59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59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59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59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59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59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59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59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59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59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59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59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59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59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59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59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59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59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59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59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59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59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59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59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59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59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59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59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59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59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59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59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59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59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59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59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59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59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59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59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59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59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59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59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59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59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59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59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59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59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59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59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59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59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59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59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59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59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59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59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59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59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59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59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59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59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59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59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59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59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59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59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59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59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59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59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59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59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59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59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59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59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59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59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59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59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59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59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59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59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59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59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59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59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59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59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59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59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59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</sheetData>
  <mergeCells count="1788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  <col customWidth="1" min="22" max="24" width="11.11"/>
    <col customWidth="1" min="25" max="25" width="11.44"/>
    <col customWidth="1" min="26" max="37" width="11.11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130.5" customHeight="1">
      <c r="A2" s="8" t="s">
        <v>3</v>
      </c>
      <c r="B2" s="9" t="s">
        <v>4</v>
      </c>
      <c r="C2" s="9" t="s">
        <v>5</v>
      </c>
      <c r="D2" s="9" t="s">
        <v>6</v>
      </c>
      <c r="E2" s="10" t="s">
        <v>7</v>
      </c>
      <c r="F2" s="10" t="s">
        <v>8</v>
      </c>
      <c r="G2" s="11" t="s">
        <v>9</v>
      </c>
      <c r="H2" s="12">
        <f>24.98*1.039</f>
        <v>25.95422</v>
      </c>
      <c r="I2" s="11" t="s">
        <v>10</v>
      </c>
      <c r="J2" s="12">
        <f>24.98*1.039</f>
        <v>25.95422</v>
      </c>
      <c r="K2" s="11" t="s">
        <v>11</v>
      </c>
      <c r="L2" s="12">
        <f>24.98*1.039</f>
        <v>25.95422</v>
      </c>
      <c r="M2" s="11" t="s">
        <v>12</v>
      </c>
      <c r="N2" s="12">
        <f>24.98*1.039</f>
        <v>25.95422</v>
      </c>
      <c r="O2" s="11"/>
      <c r="P2" s="12"/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15.75" customHeight="1">
      <c r="A3" s="14" t="s">
        <v>18</v>
      </c>
      <c r="B3" s="15">
        <v>46020.0</v>
      </c>
      <c r="C3" s="16">
        <v>1.1</v>
      </c>
      <c r="D3" s="17" t="s">
        <v>19</v>
      </c>
      <c r="E3" s="18"/>
      <c r="F3" s="18"/>
      <c r="G3" s="19"/>
      <c r="I3" s="20"/>
      <c r="K3" s="20"/>
      <c r="M3" s="20"/>
      <c r="O3" s="20"/>
      <c r="Q3" s="21">
        <f t="shared" ref="Q3:Q359" si="1">(G3*H$2)+(I3*J$2)+(K3*L$2)+(M3*N$2)+(O3*P$2)</f>
        <v>0</v>
      </c>
      <c r="R3" s="17">
        <f t="shared" ref="R3:R359" si="2">SUM(G3:N3)</f>
        <v>0</v>
      </c>
      <c r="S3" s="17">
        <f t="shared" ref="S3:S359" si="3">SUM(O3:P3)</f>
        <v>0</v>
      </c>
      <c r="T3" s="17">
        <f t="shared" ref="T3:T359" si="4">SUM(G3:P3)</f>
        <v>0</v>
      </c>
      <c r="U3" s="22">
        <f t="shared" ref="U3:U359" si="5">IFERROR(Q3/T3,0)</f>
        <v>0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15.75" customHeight="1">
      <c r="A4" s="23" t="s">
        <v>20</v>
      </c>
      <c r="B4" s="24">
        <f t="shared" ref="B4:B359" si="6">B3+1</f>
        <v>46021</v>
      </c>
      <c r="C4" s="25">
        <v>1.1</v>
      </c>
      <c r="D4" s="26" t="s">
        <v>19</v>
      </c>
      <c r="E4" s="22"/>
      <c r="F4" s="22"/>
      <c r="G4" s="19"/>
      <c r="I4" s="20"/>
      <c r="K4" s="20"/>
      <c r="M4" s="20"/>
      <c r="O4" s="20"/>
      <c r="Q4" s="27">
        <f t="shared" si="1"/>
        <v>0</v>
      </c>
      <c r="R4" s="26">
        <f t="shared" si="2"/>
        <v>0</v>
      </c>
      <c r="S4" s="26">
        <f t="shared" si="3"/>
        <v>0</v>
      </c>
      <c r="T4" s="26">
        <f t="shared" si="4"/>
        <v>0</v>
      </c>
      <c r="U4" s="28">
        <f t="shared" si="5"/>
        <v>0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15.75" customHeight="1">
      <c r="A5" s="23" t="s">
        <v>21</v>
      </c>
      <c r="B5" s="24">
        <f t="shared" si="6"/>
        <v>46022</v>
      </c>
      <c r="C5" s="25">
        <v>1.1</v>
      </c>
      <c r="D5" s="26" t="s">
        <v>19</v>
      </c>
      <c r="E5" s="22"/>
      <c r="F5" s="22"/>
      <c r="G5" s="19"/>
      <c r="I5" s="20"/>
      <c r="K5" s="20"/>
      <c r="M5" s="20"/>
      <c r="O5" s="20"/>
      <c r="Q5" s="27">
        <f t="shared" si="1"/>
        <v>0</v>
      </c>
      <c r="R5" s="26">
        <f t="shared" si="2"/>
        <v>0</v>
      </c>
      <c r="S5" s="26">
        <f t="shared" si="3"/>
        <v>0</v>
      </c>
      <c r="T5" s="26">
        <f t="shared" si="4"/>
        <v>0</v>
      </c>
      <c r="U5" s="28">
        <f t="shared" si="5"/>
        <v>0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15.75" customHeight="1">
      <c r="A6" s="23" t="s">
        <v>22</v>
      </c>
      <c r="B6" s="24">
        <f t="shared" si="6"/>
        <v>46023</v>
      </c>
      <c r="C6" s="25">
        <v>1.1</v>
      </c>
      <c r="D6" s="26" t="s">
        <v>19</v>
      </c>
      <c r="E6" s="22"/>
      <c r="F6" s="22"/>
      <c r="G6" s="19"/>
      <c r="I6" s="20"/>
      <c r="K6" s="20"/>
      <c r="M6" s="20"/>
      <c r="O6" s="20"/>
      <c r="Q6" s="27">
        <f t="shared" si="1"/>
        <v>0</v>
      </c>
      <c r="R6" s="26">
        <f t="shared" si="2"/>
        <v>0</v>
      </c>
      <c r="S6" s="26">
        <f t="shared" si="3"/>
        <v>0</v>
      </c>
      <c r="T6" s="26">
        <f t="shared" si="4"/>
        <v>0</v>
      </c>
      <c r="U6" s="28">
        <f t="shared" si="5"/>
        <v>0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5.75" customHeight="1">
      <c r="A7" s="23" t="s">
        <v>23</v>
      </c>
      <c r="B7" s="24">
        <f t="shared" si="6"/>
        <v>46024</v>
      </c>
      <c r="C7" s="25">
        <v>1.1</v>
      </c>
      <c r="D7" s="26" t="s">
        <v>19</v>
      </c>
      <c r="E7" s="22"/>
      <c r="F7" s="22"/>
      <c r="G7" s="19"/>
      <c r="I7" s="20"/>
      <c r="K7" s="20"/>
      <c r="M7" s="20"/>
      <c r="O7" s="20"/>
      <c r="Q7" s="27">
        <f t="shared" si="1"/>
        <v>0</v>
      </c>
      <c r="R7" s="26">
        <f t="shared" si="2"/>
        <v>0</v>
      </c>
      <c r="S7" s="26">
        <f t="shared" si="3"/>
        <v>0</v>
      </c>
      <c r="T7" s="26">
        <f t="shared" si="4"/>
        <v>0</v>
      </c>
      <c r="U7" s="28">
        <f t="shared" si="5"/>
        <v>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15.75" customHeight="1">
      <c r="A8" s="23" t="s">
        <v>24</v>
      </c>
      <c r="B8" s="24">
        <f t="shared" si="6"/>
        <v>46025</v>
      </c>
      <c r="C8" s="25">
        <v>1.1</v>
      </c>
      <c r="D8" s="26" t="s">
        <v>19</v>
      </c>
      <c r="E8" s="22"/>
      <c r="F8" s="22"/>
      <c r="G8" s="19"/>
      <c r="I8" s="20"/>
      <c r="K8" s="20"/>
      <c r="M8" s="20"/>
      <c r="O8" s="20"/>
      <c r="Q8" s="27">
        <f t="shared" si="1"/>
        <v>0</v>
      </c>
      <c r="R8" s="26">
        <f t="shared" si="2"/>
        <v>0</v>
      </c>
      <c r="S8" s="26">
        <f t="shared" si="3"/>
        <v>0</v>
      </c>
      <c r="T8" s="26">
        <f t="shared" si="4"/>
        <v>0</v>
      </c>
      <c r="U8" s="28">
        <f t="shared" si="5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15.75" customHeight="1">
      <c r="A9" s="29" t="s">
        <v>25</v>
      </c>
      <c r="B9" s="30">
        <f t="shared" si="6"/>
        <v>46026</v>
      </c>
      <c r="C9" s="31">
        <v>1.1</v>
      </c>
      <c r="D9" s="32" t="s">
        <v>19</v>
      </c>
      <c r="E9" s="33"/>
      <c r="F9" s="33"/>
      <c r="G9" s="34"/>
      <c r="H9" s="6"/>
      <c r="I9" s="35"/>
      <c r="J9" s="6"/>
      <c r="K9" s="35"/>
      <c r="L9" s="6"/>
      <c r="M9" s="35"/>
      <c r="N9" s="6"/>
      <c r="O9" s="35"/>
      <c r="P9" s="6"/>
      <c r="Q9" s="36">
        <f t="shared" si="1"/>
        <v>0</v>
      </c>
      <c r="R9" s="32">
        <f t="shared" si="2"/>
        <v>0</v>
      </c>
      <c r="S9" s="32">
        <f t="shared" si="3"/>
        <v>0</v>
      </c>
      <c r="T9" s="32">
        <f t="shared" si="4"/>
        <v>0</v>
      </c>
      <c r="U9" s="37">
        <f t="shared" si="5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15.75" customHeight="1">
      <c r="A10" s="14" t="s">
        <v>18</v>
      </c>
      <c r="B10" s="15">
        <f t="shared" si="6"/>
        <v>46027</v>
      </c>
      <c r="C10" s="16">
        <v>1.2</v>
      </c>
      <c r="D10" s="17" t="s">
        <v>26</v>
      </c>
      <c r="E10" s="18"/>
      <c r="F10" s="18"/>
      <c r="G10" s="19"/>
      <c r="I10" s="20"/>
      <c r="K10" s="20"/>
      <c r="M10" s="20"/>
      <c r="O10" s="20"/>
      <c r="Q10" s="21">
        <f t="shared" si="1"/>
        <v>0</v>
      </c>
      <c r="R10" s="17">
        <f t="shared" si="2"/>
        <v>0</v>
      </c>
      <c r="S10" s="17">
        <f t="shared" si="3"/>
        <v>0</v>
      </c>
      <c r="T10" s="17">
        <f t="shared" si="4"/>
        <v>0</v>
      </c>
      <c r="U10" s="38">
        <f t="shared" si="5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15.75" customHeight="1">
      <c r="A11" s="23" t="s">
        <v>20</v>
      </c>
      <c r="B11" s="24">
        <f t="shared" si="6"/>
        <v>46028</v>
      </c>
      <c r="C11" s="25">
        <v>1.2</v>
      </c>
      <c r="D11" s="26" t="s">
        <v>26</v>
      </c>
      <c r="E11" s="22"/>
      <c r="F11" s="22"/>
      <c r="G11" s="19"/>
      <c r="I11" s="20"/>
      <c r="K11" s="20"/>
      <c r="M11" s="20"/>
      <c r="O11" s="20"/>
      <c r="Q11" s="27">
        <f t="shared" si="1"/>
        <v>0</v>
      </c>
      <c r="R11" s="26">
        <f t="shared" si="2"/>
        <v>0</v>
      </c>
      <c r="S11" s="26">
        <f t="shared" si="3"/>
        <v>0</v>
      </c>
      <c r="T11" s="26">
        <f t="shared" si="4"/>
        <v>0</v>
      </c>
      <c r="U11" s="28">
        <f t="shared" si="5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15.75" customHeight="1">
      <c r="A12" s="23" t="s">
        <v>21</v>
      </c>
      <c r="B12" s="24">
        <f t="shared" si="6"/>
        <v>46029</v>
      </c>
      <c r="C12" s="25">
        <v>1.2</v>
      </c>
      <c r="D12" s="26" t="s">
        <v>26</v>
      </c>
      <c r="E12" s="22"/>
      <c r="F12" s="22"/>
      <c r="G12" s="19"/>
      <c r="I12" s="20"/>
      <c r="K12" s="20"/>
      <c r="M12" s="20"/>
      <c r="O12" s="20"/>
      <c r="Q12" s="27">
        <f t="shared" si="1"/>
        <v>0</v>
      </c>
      <c r="R12" s="26">
        <f t="shared" si="2"/>
        <v>0</v>
      </c>
      <c r="S12" s="26">
        <f t="shared" si="3"/>
        <v>0</v>
      </c>
      <c r="T12" s="26">
        <f t="shared" si="4"/>
        <v>0</v>
      </c>
      <c r="U12" s="28">
        <f t="shared" si="5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15.75" customHeight="1">
      <c r="A13" s="23" t="s">
        <v>22</v>
      </c>
      <c r="B13" s="24">
        <f t="shared" si="6"/>
        <v>46030</v>
      </c>
      <c r="C13" s="25">
        <v>1.2</v>
      </c>
      <c r="D13" s="26" t="s">
        <v>26</v>
      </c>
      <c r="E13" s="22"/>
      <c r="F13" s="22"/>
      <c r="G13" s="19"/>
      <c r="I13" s="20"/>
      <c r="K13" s="20"/>
      <c r="M13" s="20"/>
      <c r="O13" s="20"/>
      <c r="Q13" s="27">
        <f t="shared" si="1"/>
        <v>0</v>
      </c>
      <c r="R13" s="26">
        <f t="shared" si="2"/>
        <v>0</v>
      </c>
      <c r="S13" s="26">
        <f t="shared" si="3"/>
        <v>0</v>
      </c>
      <c r="T13" s="26">
        <f t="shared" si="4"/>
        <v>0</v>
      </c>
      <c r="U13" s="28">
        <f t="shared" si="5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15.75" customHeight="1">
      <c r="A14" s="23" t="s">
        <v>23</v>
      </c>
      <c r="B14" s="24">
        <f t="shared" si="6"/>
        <v>46031</v>
      </c>
      <c r="C14" s="25">
        <v>1.2</v>
      </c>
      <c r="D14" s="26" t="s">
        <v>26</v>
      </c>
      <c r="E14" s="22"/>
      <c r="F14" s="22"/>
      <c r="G14" s="19"/>
      <c r="I14" s="20"/>
      <c r="K14" s="20"/>
      <c r="M14" s="20"/>
      <c r="O14" s="20"/>
      <c r="Q14" s="27">
        <f t="shared" si="1"/>
        <v>0</v>
      </c>
      <c r="R14" s="26">
        <f t="shared" si="2"/>
        <v>0</v>
      </c>
      <c r="S14" s="26">
        <f t="shared" si="3"/>
        <v>0</v>
      </c>
      <c r="T14" s="26">
        <f t="shared" si="4"/>
        <v>0</v>
      </c>
      <c r="U14" s="28">
        <f t="shared" si="5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15.75" customHeight="1">
      <c r="A15" s="23" t="s">
        <v>24</v>
      </c>
      <c r="B15" s="24">
        <f t="shared" si="6"/>
        <v>46032</v>
      </c>
      <c r="C15" s="25">
        <v>1.2</v>
      </c>
      <c r="D15" s="26" t="s">
        <v>26</v>
      </c>
      <c r="E15" s="22"/>
      <c r="F15" s="22"/>
      <c r="G15" s="19"/>
      <c r="I15" s="20"/>
      <c r="K15" s="20"/>
      <c r="M15" s="20"/>
      <c r="O15" s="20"/>
      <c r="Q15" s="27">
        <f t="shared" si="1"/>
        <v>0</v>
      </c>
      <c r="R15" s="26">
        <f t="shared" si="2"/>
        <v>0</v>
      </c>
      <c r="S15" s="26">
        <f t="shared" si="3"/>
        <v>0</v>
      </c>
      <c r="T15" s="26">
        <f t="shared" si="4"/>
        <v>0</v>
      </c>
      <c r="U15" s="28">
        <f t="shared" si="5"/>
        <v>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15.75" customHeight="1">
      <c r="A16" s="29" t="s">
        <v>25</v>
      </c>
      <c r="B16" s="30">
        <f t="shared" si="6"/>
        <v>46033</v>
      </c>
      <c r="C16" s="31">
        <v>1.2</v>
      </c>
      <c r="D16" s="32" t="s">
        <v>26</v>
      </c>
      <c r="E16" s="33"/>
      <c r="F16" s="33"/>
      <c r="G16" s="34"/>
      <c r="H16" s="6"/>
      <c r="I16" s="35"/>
      <c r="J16" s="6"/>
      <c r="K16" s="35"/>
      <c r="L16" s="6"/>
      <c r="M16" s="35"/>
      <c r="N16" s="6"/>
      <c r="O16" s="35"/>
      <c r="P16" s="6"/>
      <c r="Q16" s="36">
        <f t="shared" si="1"/>
        <v>0</v>
      </c>
      <c r="R16" s="32">
        <f t="shared" si="2"/>
        <v>0</v>
      </c>
      <c r="S16" s="32">
        <f t="shared" si="3"/>
        <v>0</v>
      </c>
      <c r="T16" s="32">
        <f t="shared" si="4"/>
        <v>0</v>
      </c>
      <c r="U16" s="37">
        <f t="shared" si="5"/>
        <v>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15.75" customHeight="1">
      <c r="A17" s="14" t="s">
        <v>18</v>
      </c>
      <c r="B17" s="15">
        <f t="shared" si="6"/>
        <v>46034</v>
      </c>
      <c r="C17" s="16">
        <v>1.3</v>
      </c>
      <c r="D17" s="17" t="s">
        <v>27</v>
      </c>
      <c r="E17" s="18"/>
      <c r="F17" s="18"/>
      <c r="G17" s="19"/>
      <c r="I17" s="20"/>
      <c r="K17" s="20"/>
      <c r="M17" s="20"/>
      <c r="O17" s="20"/>
      <c r="Q17" s="21">
        <f t="shared" si="1"/>
        <v>0</v>
      </c>
      <c r="R17" s="17">
        <f t="shared" si="2"/>
        <v>0</v>
      </c>
      <c r="S17" s="17">
        <f t="shared" si="3"/>
        <v>0</v>
      </c>
      <c r="T17" s="17">
        <f t="shared" si="4"/>
        <v>0</v>
      </c>
      <c r="U17" s="38">
        <f t="shared" si="5"/>
        <v>0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15.75" customHeight="1">
      <c r="A18" s="23" t="s">
        <v>20</v>
      </c>
      <c r="B18" s="24">
        <f t="shared" si="6"/>
        <v>46035</v>
      </c>
      <c r="C18" s="25">
        <v>1.3</v>
      </c>
      <c r="D18" s="26" t="s">
        <v>27</v>
      </c>
      <c r="E18" s="22"/>
      <c r="F18" s="22"/>
      <c r="G18" s="19"/>
      <c r="I18" s="20"/>
      <c r="K18" s="20"/>
      <c r="M18" s="20"/>
      <c r="O18" s="20"/>
      <c r="Q18" s="27">
        <f t="shared" si="1"/>
        <v>0</v>
      </c>
      <c r="R18" s="26">
        <f t="shared" si="2"/>
        <v>0</v>
      </c>
      <c r="S18" s="26">
        <f t="shared" si="3"/>
        <v>0</v>
      </c>
      <c r="T18" s="26">
        <f t="shared" si="4"/>
        <v>0</v>
      </c>
      <c r="U18" s="28">
        <f t="shared" si="5"/>
        <v>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15.75" customHeight="1">
      <c r="A19" s="23" t="s">
        <v>21</v>
      </c>
      <c r="B19" s="24">
        <f t="shared" si="6"/>
        <v>46036</v>
      </c>
      <c r="C19" s="25">
        <v>1.3</v>
      </c>
      <c r="D19" s="26" t="s">
        <v>27</v>
      </c>
      <c r="E19" s="22"/>
      <c r="F19" s="22"/>
      <c r="G19" s="19"/>
      <c r="I19" s="20"/>
      <c r="K19" s="20"/>
      <c r="M19" s="20"/>
      <c r="O19" s="20"/>
      <c r="Q19" s="27">
        <f t="shared" si="1"/>
        <v>0</v>
      </c>
      <c r="R19" s="26">
        <f t="shared" si="2"/>
        <v>0</v>
      </c>
      <c r="S19" s="26">
        <f t="shared" si="3"/>
        <v>0</v>
      </c>
      <c r="T19" s="26">
        <f t="shared" si="4"/>
        <v>0</v>
      </c>
      <c r="U19" s="28">
        <f t="shared" si="5"/>
        <v>0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15.75" customHeight="1">
      <c r="A20" s="23" t="s">
        <v>22</v>
      </c>
      <c r="B20" s="24">
        <f t="shared" si="6"/>
        <v>46037</v>
      </c>
      <c r="C20" s="25">
        <v>1.3</v>
      </c>
      <c r="D20" s="26" t="s">
        <v>27</v>
      </c>
      <c r="E20" s="22"/>
      <c r="F20" s="22"/>
      <c r="G20" s="19"/>
      <c r="I20" s="20"/>
      <c r="K20" s="20"/>
      <c r="M20" s="20"/>
      <c r="O20" s="20"/>
      <c r="Q20" s="27">
        <f t="shared" si="1"/>
        <v>0</v>
      </c>
      <c r="R20" s="26">
        <f t="shared" si="2"/>
        <v>0</v>
      </c>
      <c r="S20" s="26">
        <f t="shared" si="3"/>
        <v>0</v>
      </c>
      <c r="T20" s="26">
        <f t="shared" si="4"/>
        <v>0</v>
      </c>
      <c r="U20" s="28">
        <f t="shared" si="5"/>
        <v>0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23" t="s">
        <v>23</v>
      </c>
      <c r="B21" s="24">
        <f t="shared" si="6"/>
        <v>46038</v>
      </c>
      <c r="C21" s="25">
        <v>1.3</v>
      </c>
      <c r="D21" s="26" t="s">
        <v>27</v>
      </c>
      <c r="E21" s="22"/>
      <c r="F21" s="22"/>
      <c r="G21" s="19"/>
      <c r="I21" s="20"/>
      <c r="K21" s="20"/>
      <c r="M21" s="20"/>
      <c r="O21" s="20"/>
      <c r="Q21" s="27">
        <f t="shared" si="1"/>
        <v>0</v>
      </c>
      <c r="R21" s="26">
        <f t="shared" si="2"/>
        <v>0</v>
      </c>
      <c r="S21" s="26">
        <f t="shared" si="3"/>
        <v>0</v>
      </c>
      <c r="T21" s="26">
        <f t="shared" si="4"/>
        <v>0</v>
      </c>
      <c r="U21" s="28">
        <f t="shared" si="5"/>
        <v>0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23" t="s">
        <v>24</v>
      </c>
      <c r="B22" s="24">
        <f t="shared" si="6"/>
        <v>46039</v>
      </c>
      <c r="C22" s="25">
        <v>1.3</v>
      </c>
      <c r="D22" s="26" t="s">
        <v>27</v>
      </c>
      <c r="E22" s="22"/>
      <c r="F22" s="22"/>
      <c r="G22" s="19"/>
      <c r="I22" s="20"/>
      <c r="K22" s="20"/>
      <c r="M22" s="20"/>
      <c r="O22" s="20"/>
      <c r="Q22" s="27">
        <f t="shared" si="1"/>
        <v>0</v>
      </c>
      <c r="R22" s="26">
        <f t="shared" si="2"/>
        <v>0</v>
      </c>
      <c r="S22" s="26">
        <f t="shared" si="3"/>
        <v>0</v>
      </c>
      <c r="T22" s="26">
        <f t="shared" si="4"/>
        <v>0</v>
      </c>
      <c r="U22" s="28">
        <f t="shared" si="5"/>
        <v>0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29" t="s">
        <v>25</v>
      </c>
      <c r="B23" s="30">
        <f t="shared" si="6"/>
        <v>46040</v>
      </c>
      <c r="C23" s="31">
        <v>1.3</v>
      </c>
      <c r="D23" s="32" t="s">
        <v>27</v>
      </c>
      <c r="E23" s="33"/>
      <c r="F23" s="33"/>
      <c r="G23" s="34"/>
      <c r="H23" s="6"/>
      <c r="I23" s="35"/>
      <c r="J23" s="6"/>
      <c r="K23" s="35"/>
      <c r="L23" s="6"/>
      <c r="M23" s="35"/>
      <c r="N23" s="6"/>
      <c r="O23" s="35"/>
      <c r="P23" s="6"/>
      <c r="Q23" s="36">
        <f t="shared" si="1"/>
        <v>0</v>
      </c>
      <c r="R23" s="32">
        <f t="shared" si="2"/>
        <v>0</v>
      </c>
      <c r="S23" s="32">
        <f t="shared" si="3"/>
        <v>0</v>
      </c>
      <c r="T23" s="32">
        <f t="shared" si="4"/>
        <v>0</v>
      </c>
      <c r="U23" s="37">
        <f t="shared" si="5"/>
        <v>0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14" t="s">
        <v>18</v>
      </c>
      <c r="B24" s="15">
        <f t="shared" si="6"/>
        <v>46041</v>
      </c>
      <c r="C24" s="16">
        <v>1.4</v>
      </c>
      <c r="D24" s="17" t="s">
        <v>28</v>
      </c>
      <c r="E24" s="18"/>
      <c r="F24" s="18"/>
      <c r="G24" s="19"/>
      <c r="I24" s="20"/>
      <c r="K24" s="20"/>
      <c r="M24" s="20"/>
      <c r="O24" s="20"/>
      <c r="Q24" s="21">
        <f t="shared" si="1"/>
        <v>0</v>
      </c>
      <c r="R24" s="17">
        <f t="shared" si="2"/>
        <v>0</v>
      </c>
      <c r="S24" s="17">
        <f t="shared" si="3"/>
        <v>0</v>
      </c>
      <c r="T24" s="17">
        <f t="shared" si="4"/>
        <v>0</v>
      </c>
      <c r="U24" s="38">
        <f t="shared" si="5"/>
        <v>0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23" t="s">
        <v>20</v>
      </c>
      <c r="B25" s="24">
        <f t="shared" si="6"/>
        <v>46042</v>
      </c>
      <c r="C25" s="25">
        <v>1.4</v>
      </c>
      <c r="D25" s="26" t="s">
        <v>28</v>
      </c>
      <c r="E25" s="22"/>
      <c r="F25" s="22"/>
      <c r="G25" s="19"/>
      <c r="I25" s="20"/>
      <c r="K25" s="20"/>
      <c r="M25" s="20"/>
      <c r="O25" s="20"/>
      <c r="Q25" s="27">
        <f t="shared" si="1"/>
        <v>0</v>
      </c>
      <c r="R25" s="26">
        <f t="shared" si="2"/>
        <v>0</v>
      </c>
      <c r="S25" s="26">
        <f t="shared" si="3"/>
        <v>0</v>
      </c>
      <c r="T25" s="26">
        <f t="shared" si="4"/>
        <v>0</v>
      </c>
      <c r="U25" s="28">
        <f t="shared" si="5"/>
        <v>0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23" t="s">
        <v>21</v>
      </c>
      <c r="B26" s="24">
        <f t="shared" si="6"/>
        <v>46043</v>
      </c>
      <c r="C26" s="25">
        <v>1.4</v>
      </c>
      <c r="D26" s="26" t="s">
        <v>28</v>
      </c>
      <c r="E26" s="22"/>
      <c r="F26" s="22"/>
      <c r="G26" s="19"/>
      <c r="I26" s="20"/>
      <c r="K26" s="20"/>
      <c r="M26" s="20"/>
      <c r="O26" s="20"/>
      <c r="Q26" s="27">
        <f t="shared" si="1"/>
        <v>0</v>
      </c>
      <c r="R26" s="26">
        <f t="shared" si="2"/>
        <v>0</v>
      </c>
      <c r="S26" s="26">
        <f t="shared" si="3"/>
        <v>0</v>
      </c>
      <c r="T26" s="26">
        <f t="shared" si="4"/>
        <v>0</v>
      </c>
      <c r="U26" s="28">
        <f t="shared" si="5"/>
        <v>0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23" t="s">
        <v>22</v>
      </c>
      <c r="B27" s="24">
        <f t="shared" si="6"/>
        <v>46044</v>
      </c>
      <c r="C27" s="25">
        <v>1.4</v>
      </c>
      <c r="D27" s="26" t="s">
        <v>28</v>
      </c>
      <c r="E27" s="22"/>
      <c r="F27" s="22"/>
      <c r="G27" s="19"/>
      <c r="I27" s="20"/>
      <c r="K27" s="20"/>
      <c r="M27" s="20"/>
      <c r="O27" s="20"/>
      <c r="Q27" s="27">
        <f t="shared" si="1"/>
        <v>0</v>
      </c>
      <c r="R27" s="26">
        <f t="shared" si="2"/>
        <v>0</v>
      </c>
      <c r="S27" s="26">
        <f t="shared" si="3"/>
        <v>0</v>
      </c>
      <c r="T27" s="26">
        <f t="shared" si="4"/>
        <v>0</v>
      </c>
      <c r="U27" s="28">
        <f t="shared" si="5"/>
        <v>0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23" t="s">
        <v>23</v>
      </c>
      <c r="B28" s="24">
        <f t="shared" si="6"/>
        <v>46045</v>
      </c>
      <c r="C28" s="25">
        <v>1.4</v>
      </c>
      <c r="D28" s="26" t="s">
        <v>28</v>
      </c>
      <c r="E28" s="22"/>
      <c r="F28" s="22"/>
      <c r="G28" s="19"/>
      <c r="I28" s="20"/>
      <c r="K28" s="20"/>
      <c r="M28" s="20"/>
      <c r="O28" s="20"/>
      <c r="Q28" s="27">
        <f t="shared" si="1"/>
        <v>0</v>
      </c>
      <c r="R28" s="26">
        <f t="shared" si="2"/>
        <v>0</v>
      </c>
      <c r="S28" s="26">
        <f t="shared" si="3"/>
        <v>0</v>
      </c>
      <c r="T28" s="26">
        <f t="shared" si="4"/>
        <v>0</v>
      </c>
      <c r="U28" s="28">
        <f t="shared" si="5"/>
        <v>0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23" t="s">
        <v>24</v>
      </c>
      <c r="B29" s="24">
        <f t="shared" si="6"/>
        <v>46046</v>
      </c>
      <c r="C29" s="25">
        <v>1.4</v>
      </c>
      <c r="D29" s="26" t="s">
        <v>28</v>
      </c>
      <c r="E29" s="22"/>
      <c r="F29" s="22"/>
      <c r="G29" s="19"/>
      <c r="I29" s="20"/>
      <c r="K29" s="20"/>
      <c r="M29" s="20"/>
      <c r="O29" s="20"/>
      <c r="Q29" s="27">
        <f t="shared" si="1"/>
        <v>0</v>
      </c>
      <c r="R29" s="26">
        <f t="shared" si="2"/>
        <v>0</v>
      </c>
      <c r="S29" s="26">
        <f t="shared" si="3"/>
        <v>0</v>
      </c>
      <c r="T29" s="26">
        <f t="shared" si="4"/>
        <v>0</v>
      </c>
      <c r="U29" s="28">
        <f t="shared" si="5"/>
        <v>0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29" t="s">
        <v>25</v>
      </c>
      <c r="B30" s="30">
        <f t="shared" si="6"/>
        <v>46047</v>
      </c>
      <c r="C30" s="31">
        <v>1.4</v>
      </c>
      <c r="D30" s="32" t="s">
        <v>28</v>
      </c>
      <c r="E30" s="33"/>
      <c r="F30" s="33"/>
      <c r="G30" s="34"/>
      <c r="H30" s="6"/>
      <c r="I30" s="35"/>
      <c r="J30" s="6"/>
      <c r="K30" s="35"/>
      <c r="L30" s="6"/>
      <c r="M30" s="35"/>
      <c r="N30" s="6"/>
      <c r="O30" s="35"/>
      <c r="P30" s="6"/>
      <c r="Q30" s="36">
        <f t="shared" si="1"/>
        <v>0</v>
      </c>
      <c r="R30" s="32">
        <f t="shared" si="2"/>
        <v>0</v>
      </c>
      <c r="S30" s="32">
        <f t="shared" si="3"/>
        <v>0</v>
      </c>
      <c r="T30" s="32">
        <f t="shared" si="4"/>
        <v>0</v>
      </c>
      <c r="U30" s="37">
        <f t="shared" si="5"/>
        <v>0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14" t="s">
        <v>18</v>
      </c>
      <c r="B31" s="15">
        <f t="shared" si="6"/>
        <v>46048</v>
      </c>
      <c r="C31" s="16">
        <v>2.1</v>
      </c>
      <c r="D31" s="17" t="s">
        <v>19</v>
      </c>
      <c r="E31" s="18"/>
      <c r="F31" s="18"/>
      <c r="G31" s="19"/>
      <c r="I31" s="20"/>
      <c r="K31" s="20"/>
      <c r="M31" s="20"/>
      <c r="O31" s="20"/>
      <c r="Q31" s="21">
        <f t="shared" si="1"/>
        <v>0</v>
      </c>
      <c r="R31" s="17">
        <f t="shared" si="2"/>
        <v>0</v>
      </c>
      <c r="S31" s="17">
        <f t="shared" si="3"/>
        <v>0</v>
      </c>
      <c r="T31" s="17">
        <f t="shared" si="4"/>
        <v>0</v>
      </c>
      <c r="U31" s="38">
        <f t="shared" si="5"/>
        <v>0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23" t="s">
        <v>20</v>
      </c>
      <c r="B32" s="24">
        <f t="shared" si="6"/>
        <v>46049</v>
      </c>
      <c r="C32" s="25">
        <v>2.1</v>
      </c>
      <c r="D32" s="26" t="s">
        <v>19</v>
      </c>
      <c r="E32" s="22"/>
      <c r="F32" s="22"/>
      <c r="G32" s="19"/>
      <c r="I32" s="20"/>
      <c r="K32" s="20"/>
      <c r="M32" s="20"/>
      <c r="O32" s="20"/>
      <c r="Q32" s="27">
        <f t="shared" si="1"/>
        <v>0</v>
      </c>
      <c r="R32" s="26">
        <f t="shared" si="2"/>
        <v>0</v>
      </c>
      <c r="S32" s="26">
        <f t="shared" si="3"/>
        <v>0</v>
      </c>
      <c r="T32" s="26">
        <f t="shared" si="4"/>
        <v>0</v>
      </c>
      <c r="U32" s="28">
        <f t="shared" si="5"/>
        <v>0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23" t="s">
        <v>21</v>
      </c>
      <c r="B33" s="24">
        <f t="shared" si="6"/>
        <v>46050</v>
      </c>
      <c r="C33" s="25">
        <v>2.1</v>
      </c>
      <c r="D33" s="26" t="s">
        <v>19</v>
      </c>
      <c r="E33" s="22"/>
      <c r="F33" s="22"/>
      <c r="G33" s="19"/>
      <c r="I33" s="20"/>
      <c r="K33" s="20"/>
      <c r="M33" s="20"/>
      <c r="O33" s="20"/>
      <c r="Q33" s="27">
        <f t="shared" si="1"/>
        <v>0</v>
      </c>
      <c r="R33" s="26">
        <f t="shared" si="2"/>
        <v>0</v>
      </c>
      <c r="S33" s="26">
        <f t="shared" si="3"/>
        <v>0</v>
      </c>
      <c r="T33" s="26">
        <f t="shared" si="4"/>
        <v>0</v>
      </c>
      <c r="U33" s="28">
        <f t="shared" si="5"/>
        <v>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23" t="s">
        <v>22</v>
      </c>
      <c r="B34" s="24">
        <f t="shared" si="6"/>
        <v>46051</v>
      </c>
      <c r="C34" s="25">
        <v>2.1</v>
      </c>
      <c r="D34" s="26" t="s">
        <v>19</v>
      </c>
      <c r="E34" s="22"/>
      <c r="F34" s="22"/>
      <c r="G34" s="19"/>
      <c r="I34" s="20"/>
      <c r="K34" s="20"/>
      <c r="M34" s="20"/>
      <c r="O34" s="20"/>
      <c r="Q34" s="27">
        <f t="shared" si="1"/>
        <v>0</v>
      </c>
      <c r="R34" s="26">
        <f t="shared" si="2"/>
        <v>0</v>
      </c>
      <c r="S34" s="26">
        <f t="shared" si="3"/>
        <v>0</v>
      </c>
      <c r="T34" s="26">
        <f t="shared" si="4"/>
        <v>0</v>
      </c>
      <c r="U34" s="28">
        <f t="shared" si="5"/>
        <v>0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23" t="s">
        <v>23</v>
      </c>
      <c r="B35" s="24">
        <f t="shared" si="6"/>
        <v>46052</v>
      </c>
      <c r="C35" s="25">
        <v>2.1</v>
      </c>
      <c r="D35" s="26" t="s">
        <v>19</v>
      </c>
      <c r="E35" s="22"/>
      <c r="F35" s="22"/>
      <c r="G35" s="19"/>
      <c r="I35" s="20"/>
      <c r="K35" s="20"/>
      <c r="M35" s="20"/>
      <c r="O35" s="20"/>
      <c r="Q35" s="27">
        <f t="shared" si="1"/>
        <v>0</v>
      </c>
      <c r="R35" s="26">
        <f t="shared" si="2"/>
        <v>0</v>
      </c>
      <c r="S35" s="26">
        <f t="shared" si="3"/>
        <v>0</v>
      </c>
      <c r="T35" s="26">
        <f t="shared" si="4"/>
        <v>0</v>
      </c>
      <c r="U35" s="28">
        <f t="shared" si="5"/>
        <v>0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23" t="s">
        <v>24</v>
      </c>
      <c r="B36" s="24">
        <f t="shared" si="6"/>
        <v>46053</v>
      </c>
      <c r="C36" s="25">
        <v>2.1</v>
      </c>
      <c r="D36" s="26" t="s">
        <v>19</v>
      </c>
      <c r="E36" s="22"/>
      <c r="F36" s="22"/>
      <c r="G36" s="19"/>
      <c r="I36" s="20"/>
      <c r="K36" s="20"/>
      <c r="M36" s="20"/>
      <c r="O36" s="20"/>
      <c r="Q36" s="27">
        <f t="shared" si="1"/>
        <v>0</v>
      </c>
      <c r="R36" s="26">
        <f t="shared" si="2"/>
        <v>0</v>
      </c>
      <c r="S36" s="26">
        <f t="shared" si="3"/>
        <v>0</v>
      </c>
      <c r="T36" s="26">
        <f t="shared" si="4"/>
        <v>0</v>
      </c>
      <c r="U36" s="28">
        <f t="shared" si="5"/>
        <v>0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29" t="s">
        <v>25</v>
      </c>
      <c r="B37" s="30">
        <f t="shared" si="6"/>
        <v>46054</v>
      </c>
      <c r="C37" s="31">
        <v>2.1</v>
      </c>
      <c r="D37" s="32" t="s">
        <v>19</v>
      </c>
      <c r="E37" s="33"/>
      <c r="F37" s="33"/>
      <c r="G37" s="34"/>
      <c r="H37" s="6"/>
      <c r="I37" s="35"/>
      <c r="J37" s="6"/>
      <c r="K37" s="35"/>
      <c r="L37" s="6"/>
      <c r="M37" s="35"/>
      <c r="N37" s="6"/>
      <c r="O37" s="35"/>
      <c r="P37" s="6"/>
      <c r="Q37" s="36">
        <f t="shared" si="1"/>
        <v>0</v>
      </c>
      <c r="R37" s="32">
        <f t="shared" si="2"/>
        <v>0</v>
      </c>
      <c r="S37" s="32">
        <f t="shared" si="3"/>
        <v>0</v>
      </c>
      <c r="T37" s="32">
        <f t="shared" si="4"/>
        <v>0</v>
      </c>
      <c r="U37" s="37">
        <f t="shared" si="5"/>
        <v>0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14" t="s">
        <v>18</v>
      </c>
      <c r="B38" s="15">
        <f t="shared" si="6"/>
        <v>46055</v>
      </c>
      <c r="C38" s="16">
        <v>2.2</v>
      </c>
      <c r="D38" s="17" t="s">
        <v>26</v>
      </c>
      <c r="E38" s="18"/>
      <c r="F38" s="18"/>
      <c r="G38" s="19"/>
      <c r="I38" s="20"/>
      <c r="K38" s="20"/>
      <c r="M38" s="20"/>
      <c r="O38" s="20"/>
      <c r="Q38" s="21">
        <f t="shared" si="1"/>
        <v>0</v>
      </c>
      <c r="R38" s="17">
        <f t="shared" si="2"/>
        <v>0</v>
      </c>
      <c r="S38" s="17">
        <f t="shared" si="3"/>
        <v>0</v>
      </c>
      <c r="T38" s="17">
        <f t="shared" si="4"/>
        <v>0</v>
      </c>
      <c r="U38" s="38">
        <f t="shared" si="5"/>
        <v>0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23" t="s">
        <v>20</v>
      </c>
      <c r="B39" s="24">
        <f t="shared" si="6"/>
        <v>46056</v>
      </c>
      <c r="C39" s="25">
        <v>2.2</v>
      </c>
      <c r="D39" s="26" t="s">
        <v>26</v>
      </c>
      <c r="E39" s="22"/>
      <c r="F39" s="22"/>
      <c r="G39" s="19"/>
      <c r="I39" s="20"/>
      <c r="K39" s="20"/>
      <c r="M39" s="20"/>
      <c r="O39" s="20"/>
      <c r="Q39" s="27">
        <f t="shared" si="1"/>
        <v>0</v>
      </c>
      <c r="R39" s="26">
        <f t="shared" si="2"/>
        <v>0</v>
      </c>
      <c r="S39" s="26">
        <f t="shared" si="3"/>
        <v>0</v>
      </c>
      <c r="T39" s="26">
        <f t="shared" si="4"/>
        <v>0</v>
      </c>
      <c r="U39" s="28">
        <f t="shared" si="5"/>
        <v>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23" t="s">
        <v>21</v>
      </c>
      <c r="B40" s="24">
        <f t="shared" si="6"/>
        <v>46057</v>
      </c>
      <c r="C40" s="25">
        <v>2.2</v>
      </c>
      <c r="D40" s="26" t="s">
        <v>26</v>
      </c>
      <c r="E40" s="22"/>
      <c r="F40" s="22"/>
      <c r="G40" s="19"/>
      <c r="I40" s="20"/>
      <c r="K40" s="20"/>
      <c r="M40" s="20"/>
      <c r="O40" s="20"/>
      <c r="Q40" s="27">
        <f t="shared" si="1"/>
        <v>0</v>
      </c>
      <c r="R40" s="26">
        <f t="shared" si="2"/>
        <v>0</v>
      </c>
      <c r="S40" s="26">
        <f t="shared" si="3"/>
        <v>0</v>
      </c>
      <c r="T40" s="26">
        <f t="shared" si="4"/>
        <v>0</v>
      </c>
      <c r="U40" s="28">
        <f t="shared" si="5"/>
        <v>0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23" t="s">
        <v>22</v>
      </c>
      <c r="B41" s="24">
        <f t="shared" si="6"/>
        <v>46058</v>
      </c>
      <c r="C41" s="25">
        <v>2.2</v>
      </c>
      <c r="D41" s="26" t="s">
        <v>26</v>
      </c>
      <c r="E41" s="22"/>
      <c r="F41" s="22"/>
      <c r="G41" s="19"/>
      <c r="I41" s="20"/>
      <c r="K41" s="20"/>
      <c r="M41" s="20"/>
      <c r="O41" s="20"/>
      <c r="Q41" s="27">
        <f t="shared" si="1"/>
        <v>0</v>
      </c>
      <c r="R41" s="26">
        <f t="shared" si="2"/>
        <v>0</v>
      </c>
      <c r="S41" s="26">
        <f t="shared" si="3"/>
        <v>0</v>
      </c>
      <c r="T41" s="26">
        <f t="shared" si="4"/>
        <v>0</v>
      </c>
      <c r="U41" s="28">
        <f t="shared" si="5"/>
        <v>0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23" t="s">
        <v>23</v>
      </c>
      <c r="B42" s="24">
        <f t="shared" si="6"/>
        <v>46059</v>
      </c>
      <c r="C42" s="25">
        <v>2.2</v>
      </c>
      <c r="D42" s="26" t="s">
        <v>26</v>
      </c>
      <c r="E42" s="22"/>
      <c r="F42" s="22"/>
      <c r="G42" s="19"/>
      <c r="I42" s="20"/>
      <c r="K42" s="20"/>
      <c r="M42" s="20"/>
      <c r="O42" s="20"/>
      <c r="Q42" s="27">
        <f t="shared" si="1"/>
        <v>0</v>
      </c>
      <c r="R42" s="26">
        <f t="shared" si="2"/>
        <v>0</v>
      </c>
      <c r="S42" s="26">
        <f t="shared" si="3"/>
        <v>0</v>
      </c>
      <c r="T42" s="26">
        <f t="shared" si="4"/>
        <v>0</v>
      </c>
      <c r="U42" s="28">
        <f t="shared" si="5"/>
        <v>0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23" t="s">
        <v>24</v>
      </c>
      <c r="B43" s="24">
        <f t="shared" si="6"/>
        <v>46060</v>
      </c>
      <c r="C43" s="25">
        <v>2.2</v>
      </c>
      <c r="D43" s="26" t="s">
        <v>26</v>
      </c>
      <c r="E43" s="22"/>
      <c r="F43" s="22"/>
      <c r="G43" s="19"/>
      <c r="I43" s="20"/>
      <c r="K43" s="20"/>
      <c r="M43" s="20"/>
      <c r="O43" s="20"/>
      <c r="Q43" s="27">
        <f t="shared" si="1"/>
        <v>0</v>
      </c>
      <c r="R43" s="26">
        <f t="shared" si="2"/>
        <v>0</v>
      </c>
      <c r="S43" s="26">
        <f t="shared" si="3"/>
        <v>0</v>
      </c>
      <c r="T43" s="26">
        <f t="shared" si="4"/>
        <v>0</v>
      </c>
      <c r="U43" s="28">
        <f t="shared" si="5"/>
        <v>0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29" t="s">
        <v>25</v>
      </c>
      <c r="B44" s="30">
        <f t="shared" si="6"/>
        <v>46061</v>
      </c>
      <c r="C44" s="31">
        <v>2.2</v>
      </c>
      <c r="D44" s="32" t="s">
        <v>26</v>
      </c>
      <c r="E44" s="33"/>
      <c r="F44" s="33"/>
      <c r="G44" s="34"/>
      <c r="H44" s="6"/>
      <c r="I44" s="35"/>
      <c r="J44" s="6"/>
      <c r="K44" s="35"/>
      <c r="L44" s="6"/>
      <c r="M44" s="35"/>
      <c r="N44" s="6"/>
      <c r="O44" s="35"/>
      <c r="P44" s="6"/>
      <c r="Q44" s="36">
        <f t="shared" si="1"/>
        <v>0</v>
      </c>
      <c r="R44" s="32">
        <f t="shared" si="2"/>
        <v>0</v>
      </c>
      <c r="S44" s="32">
        <f t="shared" si="3"/>
        <v>0</v>
      </c>
      <c r="T44" s="32">
        <f t="shared" si="4"/>
        <v>0</v>
      </c>
      <c r="U44" s="37">
        <f t="shared" si="5"/>
        <v>0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14" t="s">
        <v>18</v>
      </c>
      <c r="B45" s="15">
        <f t="shared" si="6"/>
        <v>46062</v>
      </c>
      <c r="C45" s="16">
        <v>2.3</v>
      </c>
      <c r="D45" s="17" t="s">
        <v>27</v>
      </c>
      <c r="E45" s="18"/>
      <c r="F45" s="18"/>
      <c r="G45" s="19"/>
      <c r="I45" s="20"/>
      <c r="K45" s="20"/>
      <c r="M45" s="20"/>
      <c r="O45" s="20"/>
      <c r="Q45" s="21">
        <f t="shared" si="1"/>
        <v>0</v>
      </c>
      <c r="R45" s="17">
        <f t="shared" si="2"/>
        <v>0</v>
      </c>
      <c r="S45" s="17">
        <f t="shared" si="3"/>
        <v>0</v>
      </c>
      <c r="T45" s="17">
        <f t="shared" si="4"/>
        <v>0</v>
      </c>
      <c r="U45" s="38">
        <f t="shared" si="5"/>
        <v>0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23" t="s">
        <v>20</v>
      </c>
      <c r="B46" s="24">
        <f t="shared" si="6"/>
        <v>46063</v>
      </c>
      <c r="C46" s="25">
        <v>2.3</v>
      </c>
      <c r="D46" s="26" t="s">
        <v>27</v>
      </c>
      <c r="E46" s="22"/>
      <c r="F46" s="22"/>
      <c r="G46" s="19"/>
      <c r="I46" s="20"/>
      <c r="K46" s="20"/>
      <c r="M46" s="20"/>
      <c r="O46" s="20"/>
      <c r="Q46" s="27">
        <f t="shared" si="1"/>
        <v>0</v>
      </c>
      <c r="R46" s="26">
        <f t="shared" si="2"/>
        <v>0</v>
      </c>
      <c r="S46" s="26">
        <f t="shared" si="3"/>
        <v>0</v>
      </c>
      <c r="T46" s="26">
        <f t="shared" si="4"/>
        <v>0</v>
      </c>
      <c r="U46" s="28">
        <f t="shared" si="5"/>
        <v>0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23" t="s">
        <v>21</v>
      </c>
      <c r="B47" s="24">
        <f t="shared" si="6"/>
        <v>46064</v>
      </c>
      <c r="C47" s="25">
        <v>2.3</v>
      </c>
      <c r="D47" s="26" t="s">
        <v>27</v>
      </c>
      <c r="E47" s="22"/>
      <c r="F47" s="22"/>
      <c r="G47" s="19"/>
      <c r="I47" s="20"/>
      <c r="K47" s="20"/>
      <c r="M47" s="20"/>
      <c r="O47" s="20"/>
      <c r="Q47" s="27">
        <f t="shared" si="1"/>
        <v>0</v>
      </c>
      <c r="R47" s="26">
        <f t="shared" si="2"/>
        <v>0</v>
      </c>
      <c r="S47" s="26">
        <f t="shared" si="3"/>
        <v>0</v>
      </c>
      <c r="T47" s="26">
        <f t="shared" si="4"/>
        <v>0</v>
      </c>
      <c r="U47" s="28">
        <f t="shared" si="5"/>
        <v>0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23" t="s">
        <v>22</v>
      </c>
      <c r="B48" s="24">
        <f t="shared" si="6"/>
        <v>46065</v>
      </c>
      <c r="C48" s="25">
        <v>2.3</v>
      </c>
      <c r="D48" s="26" t="s">
        <v>27</v>
      </c>
      <c r="E48" s="22"/>
      <c r="F48" s="22"/>
      <c r="G48" s="19"/>
      <c r="I48" s="20"/>
      <c r="K48" s="20"/>
      <c r="M48" s="20"/>
      <c r="O48" s="20"/>
      <c r="Q48" s="27">
        <f t="shared" si="1"/>
        <v>0</v>
      </c>
      <c r="R48" s="26">
        <f t="shared" si="2"/>
        <v>0</v>
      </c>
      <c r="S48" s="26">
        <f t="shared" si="3"/>
        <v>0</v>
      </c>
      <c r="T48" s="26">
        <f t="shared" si="4"/>
        <v>0</v>
      </c>
      <c r="U48" s="28">
        <f t="shared" si="5"/>
        <v>0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23" t="s">
        <v>23</v>
      </c>
      <c r="B49" s="24">
        <f t="shared" si="6"/>
        <v>46066</v>
      </c>
      <c r="C49" s="25">
        <v>2.3</v>
      </c>
      <c r="D49" s="26" t="s">
        <v>27</v>
      </c>
      <c r="E49" s="22"/>
      <c r="F49" s="22"/>
      <c r="G49" s="19"/>
      <c r="I49" s="20"/>
      <c r="K49" s="20"/>
      <c r="M49" s="20"/>
      <c r="O49" s="20"/>
      <c r="Q49" s="27">
        <f t="shared" si="1"/>
        <v>0</v>
      </c>
      <c r="R49" s="26">
        <f t="shared" si="2"/>
        <v>0</v>
      </c>
      <c r="S49" s="26">
        <f t="shared" si="3"/>
        <v>0</v>
      </c>
      <c r="T49" s="26">
        <f t="shared" si="4"/>
        <v>0</v>
      </c>
      <c r="U49" s="28">
        <f t="shared" si="5"/>
        <v>0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23" t="s">
        <v>24</v>
      </c>
      <c r="B50" s="24">
        <f t="shared" si="6"/>
        <v>46067</v>
      </c>
      <c r="C50" s="25">
        <v>2.3</v>
      </c>
      <c r="D50" s="26" t="s">
        <v>27</v>
      </c>
      <c r="E50" s="22"/>
      <c r="F50" s="22"/>
      <c r="G50" s="19"/>
      <c r="I50" s="20"/>
      <c r="K50" s="20"/>
      <c r="M50" s="20"/>
      <c r="O50" s="20"/>
      <c r="Q50" s="27">
        <f t="shared" si="1"/>
        <v>0</v>
      </c>
      <c r="R50" s="26">
        <f t="shared" si="2"/>
        <v>0</v>
      </c>
      <c r="S50" s="26">
        <f t="shared" si="3"/>
        <v>0</v>
      </c>
      <c r="T50" s="26">
        <f t="shared" si="4"/>
        <v>0</v>
      </c>
      <c r="U50" s="28">
        <f t="shared" si="5"/>
        <v>0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29" t="s">
        <v>25</v>
      </c>
      <c r="B51" s="30">
        <f t="shared" si="6"/>
        <v>46068</v>
      </c>
      <c r="C51" s="31">
        <v>2.3</v>
      </c>
      <c r="D51" s="32" t="s">
        <v>27</v>
      </c>
      <c r="E51" s="33"/>
      <c r="F51" s="33"/>
      <c r="G51" s="34"/>
      <c r="H51" s="6"/>
      <c r="I51" s="35"/>
      <c r="J51" s="6"/>
      <c r="K51" s="35"/>
      <c r="L51" s="6"/>
      <c r="M51" s="35"/>
      <c r="N51" s="6"/>
      <c r="O51" s="35"/>
      <c r="P51" s="6"/>
      <c r="Q51" s="36">
        <f t="shared" si="1"/>
        <v>0</v>
      </c>
      <c r="R51" s="32">
        <f t="shared" si="2"/>
        <v>0</v>
      </c>
      <c r="S51" s="32">
        <f t="shared" si="3"/>
        <v>0</v>
      </c>
      <c r="T51" s="32">
        <f t="shared" si="4"/>
        <v>0</v>
      </c>
      <c r="U51" s="37">
        <f t="shared" si="5"/>
        <v>0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14" t="s">
        <v>18</v>
      </c>
      <c r="B52" s="15">
        <f t="shared" si="6"/>
        <v>46069</v>
      </c>
      <c r="C52" s="16">
        <v>2.4</v>
      </c>
      <c r="D52" s="17" t="s">
        <v>28</v>
      </c>
      <c r="E52" s="18"/>
      <c r="F52" s="18"/>
      <c r="G52" s="19"/>
      <c r="I52" s="20"/>
      <c r="K52" s="20"/>
      <c r="M52" s="20"/>
      <c r="O52" s="20"/>
      <c r="Q52" s="21">
        <f t="shared" si="1"/>
        <v>0</v>
      </c>
      <c r="R52" s="17">
        <f t="shared" si="2"/>
        <v>0</v>
      </c>
      <c r="S52" s="17">
        <f t="shared" si="3"/>
        <v>0</v>
      </c>
      <c r="T52" s="17">
        <f t="shared" si="4"/>
        <v>0</v>
      </c>
      <c r="U52" s="38">
        <f t="shared" si="5"/>
        <v>0</v>
      </c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23" t="s">
        <v>20</v>
      </c>
      <c r="B53" s="24">
        <f t="shared" si="6"/>
        <v>46070</v>
      </c>
      <c r="C53" s="25">
        <v>2.4</v>
      </c>
      <c r="D53" s="26" t="s">
        <v>28</v>
      </c>
      <c r="E53" s="22"/>
      <c r="F53" s="22"/>
      <c r="G53" s="19"/>
      <c r="I53" s="20"/>
      <c r="K53" s="20"/>
      <c r="M53" s="20"/>
      <c r="O53" s="20"/>
      <c r="Q53" s="27">
        <f t="shared" si="1"/>
        <v>0</v>
      </c>
      <c r="R53" s="26">
        <f t="shared" si="2"/>
        <v>0</v>
      </c>
      <c r="S53" s="26">
        <f t="shared" si="3"/>
        <v>0</v>
      </c>
      <c r="T53" s="26">
        <f t="shared" si="4"/>
        <v>0</v>
      </c>
      <c r="U53" s="28">
        <f t="shared" si="5"/>
        <v>0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23" t="s">
        <v>21</v>
      </c>
      <c r="B54" s="24">
        <f t="shared" si="6"/>
        <v>46071</v>
      </c>
      <c r="C54" s="25">
        <v>2.4</v>
      </c>
      <c r="D54" s="26" t="s">
        <v>28</v>
      </c>
      <c r="E54" s="22"/>
      <c r="F54" s="22"/>
      <c r="G54" s="19"/>
      <c r="I54" s="20"/>
      <c r="K54" s="20"/>
      <c r="M54" s="20"/>
      <c r="O54" s="20"/>
      <c r="Q54" s="27">
        <f t="shared" si="1"/>
        <v>0</v>
      </c>
      <c r="R54" s="26">
        <f t="shared" si="2"/>
        <v>0</v>
      </c>
      <c r="S54" s="26">
        <f t="shared" si="3"/>
        <v>0</v>
      </c>
      <c r="T54" s="26">
        <f t="shared" si="4"/>
        <v>0</v>
      </c>
      <c r="U54" s="28">
        <f t="shared" si="5"/>
        <v>0</v>
      </c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23" t="s">
        <v>22</v>
      </c>
      <c r="B55" s="24">
        <f t="shared" si="6"/>
        <v>46072</v>
      </c>
      <c r="C55" s="25">
        <v>2.4</v>
      </c>
      <c r="D55" s="26" t="s">
        <v>28</v>
      </c>
      <c r="E55" s="22"/>
      <c r="F55" s="22"/>
      <c r="G55" s="19"/>
      <c r="I55" s="20"/>
      <c r="K55" s="20"/>
      <c r="M55" s="20"/>
      <c r="O55" s="20"/>
      <c r="Q55" s="27">
        <f t="shared" si="1"/>
        <v>0</v>
      </c>
      <c r="R55" s="26">
        <f t="shared" si="2"/>
        <v>0</v>
      </c>
      <c r="S55" s="26">
        <f t="shared" si="3"/>
        <v>0</v>
      </c>
      <c r="T55" s="26">
        <f t="shared" si="4"/>
        <v>0</v>
      </c>
      <c r="U55" s="28">
        <f t="shared" si="5"/>
        <v>0</v>
      </c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23" t="s">
        <v>23</v>
      </c>
      <c r="B56" s="24">
        <f t="shared" si="6"/>
        <v>46073</v>
      </c>
      <c r="C56" s="25">
        <v>2.4</v>
      </c>
      <c r="D56" s="26" t="s">
        <v>28</v>
      </c>
      <c r="E56" s="22"/>
      <c r="F56" s="22"/>
      <c r="G56" s="19"/>
      <c r="I56" s="20"/>
      <c r="K56" s="20"/>
      <c r="M56" s="20"/>
      <c r="O56" s="20"/>
      <c r="Q56" s="27">
        <f t="shared" si="1"/>
        <v>0</v>
      </c>
      <c r="R56" s="26">
        <f t="shared" si="2"/>
        <v>0</v>
      </c>
      <c r="S56" s="26">
        <f t="shared" si="3"/>
        <v>0</v>
      </c>
      <c r="T56" s="26">
        <f t="shared" si="4"/>
        <v>0</v>
      </c>
      <c r="U56" s="28">
        <f t="shared" si="5"/>
        <v>0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23" t="s">
        <v>24</v>
      </c>
      <c r="B57" s="24">
        <f t="shared" si="6"/>
        <v>46074</v>
      </c>
      <c r="C57" s="25">
        <v>2.4</v>
      </c>
      <c r="D57" s="26" t="s">
        <v>28</v>
      </c>
      <c r="E57" s="22"/>
      <c r="F57" s="22"/>
      <c r="G57" s="19"/>
      <c r="I57" s="20"/>
      <c r="K57" s="20"/>
      <c r="M57" s="20"/>
      <c r="O57" s="20"/>
      <c r="Q57" s="27">
        <f t="shared" si="1"/>
        <v>0</v>
      </c>
      <c r="R57" s="26">
        <f t="shared" si="2"/>
        <v>0</v>
      </c>
      <c r="S57" s="26">
        <f t="shared" si="3"/>
        <v>0</v>
      </c>
      <c r="T57" s="26">
        <f t="shared" si="4"/>
        <v>0</v>
      </c>
      <c r="U57" s="28">
        <f t="shared" si="5"/>
        <v>0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29" t="s">
        <v>25</v>
      </c>
      <c r="B58" s="30">
        <f t="shared" si="6"/>
        <v>46075</v>
      </c>
      <c r="C58" s="31">
        <v>2.4</v>
      </c>
      <c r="D58" s="32" t="s">
        <v>28</v>
      </c>
      <c r="E58" s="33"/>
      <c r="F58" s="33"/>
      <c r="G58" s="34"/>
      <c r="H58" s="6"/>
      <c r="I58" s="35"/>
      <c r="J58" s="6"/>
      <c r="K58" s="35"/>
      <c r="L58" s="6"/>
      <c r="M58" s="35"/>
      <c r="N58" s="6"/>
      <c r="O58" s="35"/>
      <c r="P58" s="6"/>
      <c r="Q58" s="36">
        <f t="shared" si="1"/>
        <v>0</v>
      </c>
      <c r="R58" s="32">
        <f t="shared" si="2"/>
        <v>0</v>
      </c>
      <c r="S58" s="32">
        <f t="shared" si="3"/>
        <v>0</v>
      </c>
      <c r="T58" s="32">
        <f t="shared" si="4"/>
        <v>0</v>
      </c>
      <c r="U58" s="37">
        <f t="shared" si="5"/>
        <v>0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14" t="s">
        <v>18</v>
      </c>
      <c r="B59" s="15">
        <f t="shared" si="6"/>
        <v>46076</v>
      </c>
      <c r="C59" s="16">
        <v>3.1</v>
      </c>
      <c r="D59" s="17" t="s">
        <v>19</v>
      </c>
      <c r="E59" s="18"/>
      <c r="F59" s="18"/>
      <c r="G59" s="19"/>
      <c r="I59" s="20"/>
      <c r="K59" s="20"/>
      <c r="M59" s="20"/>
      <c r="O59" s="20"/>
      <c r="Q59" s="21">
        <f t="shared" si="1"/>
        <v>0</v>
      </c>
      <c r="R59" s="17">
        <f t="shared" si="2"/>
        <v>0</v>
      </c>
      <c r="S59" s="17">
        <f t="shared" si="3"/>
        <v>0</v>
      </c>
      <c r="T59" s="17">
        <f t="shared" si="4"/>
        <v>0</v>
      </c>
      <c r="U59" s="38">
        <f t="shared" si="5"/>
        <v>0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23" t="s">
        <v>20</v>
      </c>
      <c r="B60" s="24">
        <f t="shared" si="6"/>
        <v>46077</v>
      </c>
      <c r="C60" s="25">
        <v>3.1</v>
      </c>
      <c r="D60" s="26" t="s">
        <v>19</v>
      </c>
      <c r="E60" s="22"/>
      <c r="F60" s="22"/>
      <c r="G60" s="19"/>
      <c r="I60" s="20"/>
      <c r="K60" s="20"/>
      <c r="M60" s="20"/>
      <c r="O60" s="20"/>
      <c r="Q60" s="27">
        <f t="shared" si="1"/>
        <v>0</v>
      </c>
      <c r="R60" s="26">
        <f t="shared" si="2"/>
        <v>0</v>
      </c>
      <c r="S60" s="26">
        <f t="shared" si="3"/>
        <v>0</v>
      </c>
      <c r="T60" s="26">
        <f t="shared" si="4"/>
        <v>0</v>
      </c>
      <c r="U60" s="28">
        <f t="shared" si="5"/>
        <v>0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23" t="s">
        <v>21</v>
      </c>
      <c r="B61" s="24">
        <f t="shared" si="6"/>
        <v>46078</v>
      </c>
      <c r="C61" s="25">
        <v>3.1</v>
      </c>
      <c r="D61" s="26" t="s">
        <v>19</v>
      </c>
      <c r="E61" s="22"/>
      <c r="F61" s="22"/>
      <c r="G61" s="19"/>
      <c r="I61" s="20"/>
      <c r="K61" s="20"/>
      <c r="M61" s="20"/>
      <c r="O61" s="20"/>
      <c r="Q61" s="27">
        <f t="shared" si="1"/>
        <v>0</v>
      </c>
      <c r="R61" s="26">
        <f t="shared" si="2"/>
        <v>0</v>
      </c>
      <c r="S61" s="26">
        <f t="shared" si="3"/>
        <v>0</v>
      </c>
      <c r="T61" s="26">
        <f t="shared" si="4"/>
        <v>0</v>
      </c>
      <c r="U61" s="28">
        <f t="shared" si="5"/>
        <v>0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23" t="s">
        <v>22</v>
      </c>
      <c r="B62" s="24">
        <f t="shared" si="6"/>
        <v>46079</v>
      </c>
      <c r="C62" s="25">
        <v>3.1</v>
      </c>
      <c r="D62" s="26" t="s">
        <v>19</v>
      </c>
      <c r="E62" s="22"/>
      <c r="F62" s="22"/>
      <c r="G62" s="19"/>
      <c r="I62" s="20"/>
      <c r="K62" s="20"/>
      <c r="M62" s="20"/>
      <c r="O62" s="20"/>
      <c r="Q62" s="27">
        <f t="shared" si="1"/>
        <v>0</v>
      </c>
      <c r="R62" s="26">
        <f t="shared" si="2"/>
        <v>0</v>
      </c>
      <c r="S62" s="26">
        <f t="shared" si="3"/>
        <v>0</v>
      </c>
      <c r="T62" s="26">
        <f t="shared" si="4"/>
        <v>0</v>
      </c>
      <c r="U62" s="28">
        <f t="shared" si="5"/>
        <v>0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23" t="s">
        <v>23</v>
      </c>
      <c r="B63" s="24">
        <f t="shared" si="6"/>
        <v>46080</v>
      </c>
      <c r="C63" s="25">
        <v>3.1</v>
      </c>
      <c r="D63" s="26" t="s">
        <v>19</v>
      </c>
      <c r="E63" s="22"/>
      <c r="F63" s="22"/>
      <c r="G63" s="19"/>
      <c r="I63" s="20"/>
      <c r="K63" s="20"/>
      <c r="M63" s="20"/>
      <c r="O63" s="20"/>
      <c r="Q63" s="27">
        <f t="shared" si="1"/>
        <v>0</v>
      </c>
      <c r="R63" s="26">
        <f t="shared" si="2"/>
        <v>0</v>
      </c>
      <c r="S63" s="26">
        <f t="shared" si="3"/>
        <v>0</v>
      </c>
      <c r="T63" s="26">
        <f t="shared" si="4"/>
        <v>0</v>
      </c>
      <c r="U63" s="28">
        <f t="shared" si="5"/>
        <v>0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23" t="s">
        <v>24</v>
      </c>
      <c r="B64" s="24">
        <f t="shared" si="6"/>
        <v>46081</v>
      </c>
      <c r="C64" s="25">
        <v>3.1</v>
      </c>
      <c r="D64" s="26" t="s">
        <v>19</v>
      </c>
      <c r="E64" s="22"/>
      <c r="F64" s="22"/>
      <c r="G64" s="19"/>
      <c r="I64" s="20"/>
      <c r="K64" s="20"/>
      <c r="M64" s="20"/>
      <c r="O64" s="20"/>
      <c r="Q64" s="27">
        <f t="shared" si="1"/>
        <v>0</v>
      </c>
      <c r="R64" s="26">
        <f t="shared" si="2"/>
        <v>0</v>
      </c>
      <c r="S64" s="26">
        <f t="shared" si="3"/>
        <v>0</v>
      </c>
      <c r="T64" s="26">
        <f t="shared" si="4"/>
        <v>0</v>
      </c>
      <c r="U64" s="28">
        <f t="shared" si="5"/>
        <v>0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29" t="s">
        <v>25</v>
      </c>
      <c r="B65" s="30">
        <f t="shared" si="6"/>
        <v>46082</v>
      </c>
      <c r="C65" s="31">
        <v>3.1</v>
      </c>
      <c r="D65" s="32" t="s">
        <v>19</v>
      </c>
      <c r="E65" s="33"/>
      <c r="F65" s="33"/>
      <c r="G65" s="34"/>
      <c r="H65" s="6"/>
      <c r="I65" s="35"/>
      <c r="J65" s="6"/>
      <c r="K65" s="35"/>
      <c r="L65" s="6"/>
      <c r="M65" s="35"/>
      <c r="N65" s="6"/>
      <c r="O65" s="35"/>
      <c r="P65" s="6"/>
      <c r="Q65" s="36">
        <f t="shared" si="1"/>
        <v>0</v>
      </c>
      <c r="R65" s="32">
        <f t="shared" si="2"/>
        <v>0</v>
      </c>
      <c r="S65" s="32">
        <f t="shared" si="3"/>
        <v>0</v>
      </c>
      <c r="T65" s="32">
        <f t="shared" si="4"/>
        <v>0</v>
      </c>
      <c r="U65" s="37">
        <f t="shared" si="5"/>
        <v>0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14" t="s">
        <v>18</v>
      </c>
      <c r="B66" s="15">
        <f t="shared" si="6"/>
        <v>46083</v>
      </c>
      <c r="C66" s="16">
        <v>3.2</v>
      </c>
      <c r="D66" s="17" t="s">
        <v>26</v>
      </c>
      <c r="E66" s="18"/>
      <c r="F66" s="18"/>
      <c r="G66" s="19"/>
      <c r="I66" s="20"/>
      <c r="K66" s="20"/>
      <c r="M66" s="20"/>
      <c r="O66" s="20"/>
      <c r="Q66" s="21">
        <f t="shared" si="1"/>
        <v>0</v>
      </c>
      <c r="R66" s="17">
        <f t="shared" si="2"/>
        <v>0</v>
      </c>
      <c r="S66" s="17">
        <f t="shared" si="3"/>
        <v>0</v>
      </c>
      <c r="T66" s="17">
        <f t="shared" si="4"/>
        <v>0</v>
      </c>
      <c r="U66" s="38">
        <f t="shared" si="5"/>
        <v>0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23" t="s">
        <v>20</v>
      </c>
      <c r="B67" s="24">
        <f t="shared" si="6"/>
        <v>46084</v>
      </c>
      <c r="C67" s="25">
        <v>3.2</v>
      </c>
      <c r="D67" s="26" t="s">
        <v>26</v>
      </c>
      <c r="E67" s="22"/>
      <c r="F67" s="22"/>
      <c r="G67" s="19"/>
      <c r="I67" s="20"/>
      <c r="K67" s="20"/>
      <c r="M67" s="20"/>
      <c r="O67" s="20"/>
      <c r="Q67" s="27">
        <f t="shared" si="1"/>
        <v>0</v>
      </c>
      <c r="R67" s="26">
        <f t="shared" si="2"/>
        <v>0</v>
      </c>
      <c r="S67" s="26">
        <f t="shared" si="3"/>
        <v>0</v>
      </c>
      <c r="T67" s="26">
        <f t="shared" si="4"/>
        <v>0</v>
      </c>
      <c r="U67" s="28">
        <f t="shared" si="5"/>
        <v>0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23" t="s">
        <v>21</v>
      </c>
      <c r="B68" s="24">
        <f t="shared" si="6"/>
        <v>46085</v>
      </c>
      <c r="C68" s="25">
        <v>3.2</v>
      </c>
      <c r="D68" s="26" t="s">
        <v>26</v>
      </c>
      <c r="E68" s="22"/>
      <c r="F68" s="22"/>
      <c r="G68" s="19"/>
      <c r="I68" s="20"/>
      <c r="K68" s="20"/>
      <c r="M68" s="20"/>
      <c r="O68" s="20"/>
      <c r="Q68" s="27">
        <f t="shared" si="1"/>
        <v>0</v>
      </c>
      <c r="R68" s="26">
        <f t="shared" si="2"/>
        <v>0</v>
      </c>
      <c r="S68" s="26">
        <f t="shared" si="3"/>
        <v>0</v>
      </c>
      <c r="T68" s="26">
        <f t="shared" si="4"/>
        <v>0</v>
      </c>
      <c r="U68" s="28">
        <f t="shared" si="5"/>
        <v>0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23" t="s">
        <v>22</v>
      </c>
      <c r="B69" s="24">
        <f t="shared" si="6"/>
        <v>46086</v>
      </c>
      <c r="C69" s="25">
        <v>3.2</v>
      </c>
      <c r="D69" s="26" t="s">
        <v>26</v>
      </c>
      <c r="E69" s="22"/>
      <c r="F69" s="22"/>
      <c r="G69" s="19"/>
      <c r="I69" s="20"/>
      <c r="K69" s="20"/>
      <c r="M69" s="20"/>
      <c r="O69" s="20"/>
      <c r="Q69" s="27">
        <f t="shared" si="1"/>
        <v>0</v>
      </c>
      <c r="R69" s="26">
        <f t="shared" si="2"/>
        <v>0</v>
      </c>
      <c r="S69" s="26">
        <f t="shared" si="3"/>
        <v>0</v>
      </c>
      <c r="T69" s="26">
        <f t="shared" si="4"/>
        <v>0</v>
      </c>
      <c r="U69" s="28">
        <f t="shared" si="5"/>
        <v>0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23" t="s">
        <v>23</v>
      </c>
      <c r="B70" s="24">
        <f t="shared" si="6"/>
        <v>46087</v>
      </c>
      <c r="C70" s="25">
        <v>3.2</v>
      </c>
      <c r="D70" s="26" t="s">
        <v>26</v>
      </c>
      <c r="E70" s="22"/>
      <c r="F70" s="22"/>
      <c r="G70" s="19"/>
      <c r="I70" s="20"/>
      <c r="K70" s="20"/>
      <c r="M70" s="20"/>
      <c r="O70" s="20"/>
      <c r="Q70" s="27">
        <f t="shared" si="1"/>
        <v>0</v>
      </c>
      <c r="R70" s="26">
        <f t="shared" si="2"/>
        <v>0</v>
      </c>
      <c r="S70" s="26">
        <f t="shared" si="3"/>
        <v>0</v>
      </c>
      <c r="T70" s="26">
        <f t="shared" si="4"/>
        <v>0</v>
      </c>
      <c r="U70" s="28">
        <f t="shared" si="5"/>
        <v>0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23" t="s">
        <v>24</v>
      </c>
      <c r="B71" s="24">
        <f t="shared" si="6"/>
        <v>46088</v>
      </c>
      <c r="C71" s="25">
        <v>3.2</v>
      </c>
      <c r="D71" s="26" t="s">
        <v>26</v>
      </c>
      <c r="E71" s="22"/>
      <c r="F71" s="22"/>
      <c r="G71" s="19"/>
      <c r="I71" s="20"/>
      <c r="K71" s="20"/>
      <c r="M71" s="20"/>
      <c r="O71" s="20"/>
      <c r="Q71" s="27">
        <f t="shared" si="1"/>
        <v>0</v>
      </c>
      <c r="R71" s="26">
        <f t="shared" si="2"/>
        <v>0</v>
      </c>
      <c r="S71" s="26">
        <f t="shared" si="3"/>
        <v>0</v>
      </c>
      <c r="T71" s="26">
        <f t="shared" si="4"/>
        <v>0</v>
      </c>
      <c r="U71" s="28">
        <f t="shared" si="5"/>
        <v>0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29" t="s">
        <v>25</v>
      </c>
      <c r="B72" s="30">
        <f t="shared" si="6"/>
        <v>46089</v>
      </c>
      <c r="C72" s="31">
        <v>3.2</v>
      </c>
      <c r="D72" s="32" t="s">
        <v>26</v>
      </c>
      <c r="E72" s="33"/>
      <c r="F72" s="33"/>
      <c r="G72" s="34"/>
      <c r="H72" s="6"/>
      <c r="I72" s="35"/>
      <c r="J72" s="6"/>
      <c r="K72" s="35"/>
      <c r="L72" s="6"/>
      <c r="M72" s="35"/>
      <c r="N72" s="6"/>
      <c r="O72" s="35"/>
      <c r="P72" s="6"/>
      <c r="Q72" s="36">
        <f t="shared" si="1"/>
        <v>0</v>
      </c>
      <c r="R72" s="32">
        <f t="shared" si="2"/>
        <v>0</v>
      </c>
      <c r="S72" s="32">
        <f t="shared" si="3"/>
        <v>0</v>
      </c>
      <c r="T72" s="32">
        <f t="shared" si="4"/>
        <v>0</v>
      </c>
      <c r="U72" s="37">
        <f t="shared" si="5"/>
        <v>0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14" t="s">
        <v>18</v>
      </c>
      <c r="B73" s="15">
        <f t="shared" si="6"/>
        <v>46090</v>
      </c>
      <c r="C73" s="16">
        <v>3.3</v>
      </c>
      <c r="D73" s="17" t="s">
        <v>27</v>
      </c>
      <c r="E73" s="18"/>
      <c r="F73" s="18"/>
      <c r="G73" s="19"/>
      <c r="I73" s="20"/>
      <c r="K73" s="20"/>
      <c r="M73" s="20"/>
      <c r="O73" s="20"/>
      <c r="Q73" s="21">
        <f t="shared" si="1"/>
        <v>0</v>
      </c>
      <c r="R73" s="17">
        <f t="shared" si="2"/>
        <v>0</v>
      </c>
      <c r="S73" s="17">
        <f t="shared" si="3"/>
        <v>0</v>
      </c>
      <c r="T73" s="17">
        <f t="shared" si="4"/>
        <v>0</v>
      </c>
      <c r="U73" s="38">
        <f t="shared" si="5"/>
        <v>0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23" t="s">
        <v>20</v>
      </c>
      <c r="B74" s="24">
        <f t="shared" si="6"/>
        <v>46091</v>
      </c>
      <c r="C74" s="25">
        <v>3.3</v>
      </c>
      <c r="D74" s="26" t="s">
        <v>27</v>
      </c>
      <c r="E74" s="22"/>
      <c r="F74" s="22"/>
      <c r="G74" s="19"/>
      <c r="I74" s="20"/>
      <c r="K74" s="20"/>
      <c r="M74" s="20"/>
      <c r="O74" s="20"/>
      <c r="Q74" s="27">
        <f t="shared" si="1"/>
        <v>0</v>
      </c>
      <c r="R74" s="26">
        <f t="shared" si="2"/>
        <v>0</v>
      </c>
      <c r="S74" s="26">
        <f t="shared" si="3"/>
        <v>0</v>
      </c>
      <c r="T74" s="26">
        <f t="shared" si="4"/>
        <v>0</v>
      </c>
      <c r="U74" s="28">
        <f t="shared" si="5"/>
        <v>0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23" t="s">
        <v>21</v>
      </c>
      <c r="B75" s="24">
        <f t="shared" si="6"/>
        <v>46092</v>
      </c>
      <c r="C75" s="25">
        <v>3.3</v>
      </c>
      <c r="D75" s="26" t="s">
        <v>27</v>
      </c>
      <c r="E75" s="22"/>
      <c r="F75" s="22"/>
      <c r="G75" s="19"/>
      <c r="I75" s="20"/>
      <c r="K75" s="20"/>
      <c r="M75" s="20"/>
      <c r="O75" s="20"/>
      <c r="Q75" s="27">
        <f t="shared" si="1"/>
        <v>0</v>
      </c>
      <c r="R75" s="26">
        <f t="shared" si="2"/>
        <v>0</v>
      </c>
      <c r="S75" s="26">
        <f t="shared" si="3"/>
        <v>0</v>
      </c>
      <c r="T75" s="26">
        <f t="shared" si="4"/>
        <v>0</v>
      </c>
      <c r="U75" s="28">
        <f t="shared" si="5"/>
        <v>0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23" t="s">
        <v>22</v>
      </c>
      <c r="B76" s="24">
        <f t="shared" si="6"/>
        <v>46093</v>
      </c>
      <c r="C76" s="25">
        <v>3.3</v>
      </c>
      <c r="D76" s="26" t="s">
        <v>27</v>
      </c>
      <c r="E76" s="22"/>
      <c r="F76" s="22"/>
      <c r="G76" s="19"/>
      <c r="I76" s="20"/>
      <c r="K76" s="20"/>
      <c r="M76" s="20"/>
      <c r="O76" s="20"/>
      <c r="Q76" s="27">
        <f t="shared" si="1"/>
        <v>0</v>
      </c>
      <c r="R76" s="26">
        <f t="shared" si="2"/>
        <v>0</v>
      </c>
      <c r="S76" s="26">
        <f t="shared" si="3"/>
        <v>0</v>
      </c>
      <c r="T76" s="26">
        <f t="shared" si="4"/>
        <v>0</v>
      </c>
      <c r="U76" s="28">
        <f t="shared" si="5"/>
        <v>0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23" t="s">
        <v>23</v>
      </c>
      <c r="B77" s="24">
        <f t="shared" si="6"/>
        <v>46094</v>
      </c>
      <c r="C77" s="25">
        <v>3.3</v>
      </c>
      <c r="D77" s="26" t="s">
        <v>27</v>
      </c>
      <c r="E77" s="22"/>
      <c r="F77" s="22"/>
      <c r="G77" s="19"/>
      <c r="I77" s="20"/>
      <c r="K77" s="20"/>
      <c r="M77" s="20"/>
      <c r="O77" s="20"/>
      <c r="Q77" s="27">
        <f t="shared" si="1"/>
        <v>0</v>
      </c>
      <c r="R77" s="26">
        <f t="shared" si="2"/>
        <v>0</v>
      </c>
      <c r="S77" s="26">
        <f t="shared" si="3"/>
        <v>0</v>
      </c>
      <c r="T77" s="26">
        <f t="shared" si="4"/>
        <v>0</v>
      </c>
      <c r="U77" s="28">
        <f t="shared" si="5"/>
        <v>0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23" t="s">
        <v>24</v>
      </c>
      <c r="B78" s="24">
        <f t="shared" si="6"/>
        <v>46095</v>
      </c>
      <c r="C78" s="25">
        <v>3.3</v>
      </c>
      <c r="D78" s="26" t="s">
        <v>27</v>
      </c>
      <c r="E78" s="22"/>
      <c r="F78" s="22"/>
      <c r="G78" s="19"/>
      <c r="I78" s="20"/>
      <c r="K78" s="20"/>
      <c r="M78" s="20"/>
      <c r="O78" s="20"/>
      <c r="Q78" s="27">
        <f t="shared" si="1"/>
        <v>0</v>
      </c>
      <c r="R78" s="26">
        <f t="shared" si="2"/>
        <v>0</v>
      </c>
      <c r="S78" s="26">
        <f t="shared" si="3"/>
        <v>0</v>
      </c>
      <c r="T78" s="26">
        <f t="shared" si="4"/>
        <v>0</v>
      </c>
      <c r="U78" s="28">
        <f t="shared" si="5"/>
        <v>0</v>
      </c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29" t="s">
        <v>25</v>
      </c>
      <c r="B79" s="30">
        <f t="shared" si="6"/>
        <v>46096</v>
      </c>
      <c r="C79" s="31">
        <v>3.3</v>
      </c>
      <c r="D79" s="32" t="s">
        <v>27</v>
      </c>
      <c r="E79" s="33"/>
      <c r="F79" s="33"/>
      <c r="G79" s="34"/>
      <c r="H79" s="6"/>
      <c r="I79" s="35"/>
      <c r="J79" s="6"/>
      <c r="K79" s="35"/>
      <c r="L79" s="6"/>
      <c r="M79" s="35"/>
      <c r="N79" s="6"/>
      <c r="O79" s="35"/>
      <c r="P79" s="6"/>
      <c r="Q79" s="36">
        <f t="shared" si="1"/>
        <v>0</v>
      </c>
      <c r="R79" s="32">
        <f t="shared" si="2"/>
        <v>0</v>
      </c>
      <c r="S79" s="32">
        <f t="shared" si="3"/>
        <v>0</v>
      </c>
      <c r="T79" s="32">
        <f t="shared" si="4"/>
        <v>0</v>
      </c>
      <c r="U79" s="37">
        <f t="shared" si="5"/>
        <v>0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14" t="s">
        <v>18</v>
      </c>
      <c r="B80" s="15">
        <f t="shared" si="6"/>
        <v>46097</v>
      </c>
      <c r="C80" s="16">
        <v>3.4</v>
      </c>
      <c r="D80" s="17" t="s">
        <v>28</v>
      </c>
      <c r="E80" s="18"/>
      <c r="F80" s="18"/>
      <c r="G80" s="19"/>
      <c r="I80" s="20"/>
      <c r="K80" s="20"/>
      <c r="M80" s="20"/>
      <c r="O80" s="20"/>
      <c r="Q80" s="21">
        <f t="shared" si="1"/>
        <v>0</v>
      </c>
      <c r="R80" s="17">
        <f t="shared" si="2"/>
        <v>0</v>
      </c>
      <c r="S80" s="17">
        <f t="shared" si="3"/>
        <v>0</v>
      </c>
      <c r="T80" s="17">
        <f t="shared" si="4"/>
        <v>0</v>
      </c>
      <c r="U80" s="38">
        <f t="shared" si="5"/>
        <v>0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23" t="s">
        <v>20</v>
      </c>
      <c r="B81" s="24">
        <f t="shared" si="6"/>
        <v>46098</v>
      </c>
      <c r="C81" s="25">
        <v>3.4</v>
      </c>
      <c r="D81" s="26" t="s">
        <v>28</v>
      </c>
      <c r="E81" s="22"/>
      <c r="F81" s="22"/>
      <c r="G81" s="19"/>
      <c r="I81" s="20"/>
      <c r="K81" s="20"/>
      <c r="M81" s="20"/>
      <c r="O81" s="20"/>
      <c r="Q81" s="27">
        <f t="shared" si="1"/>
        <v>0</v>
      </c>
      <c r="R81" s="26">
        <f t="shared" si="2"/>
        <v>0</v>
      </c>
      <c r="S81" s="26">
        <f t="shared" si="3"/>
        <v>0</v>
      </c>
      <c r="T81" s="26">
        <f t="shared" si="4"/>
        <v>0</v>
      </c>
      <c r="U81" s="28">
        <f t="shared" si="5"/>
        <v>0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23" t="s">
        <v>21</v>
      </c>
      <c r="B82" s="24">
        <f t="shared" si="6"/>
        <v>46099</v>
      </c>
      <c r="C82" s="25">
        <v>3.4</v>
      </c>
      <c r="D82" s="26" t="s">
        <v>28</v>
      </c>
      <c r="E82" s="22"/>
      <c r="F82" s="22"/>
      <c r="G82" s="19"/>
      <c r="I82" s="20"/>
      <c r="K82" s="20"/>
      <c r="M82" s="20"/>
      <c r="O82" s="20"/>
      <c r="Q82" s="27">
        <f t="shared" si="1"/>
        <v>0</v>
      </c>
      <c r="R82" s="26">
        <f t="shared" si="2"/>
        <v>0</v>
      </c>
      <c r="S82" s="26">
        <f t="shared" si="3"/>
        <v>0</v>
      </c>
      <c r="T82" s="26">
        <f t="shared" si="4"/>
        <v>0</v>
      </c>
      <c r="U82" s="28">
        <f t="shared" si="5"/>
        <v>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23" t="s">
        <v>22</v>
      </c>
      <c r="B83" s="24">
        <f t="shared" si="6"/>
        <v>46100</v>
      </c>
      <c r="C83" s="25">
        <v>3.4</v>
      </c>
      <c r="D83" s="26" t="s">
        <v>28</v>
      </c>
      <c r="E83" s="22"/>
      <c r="F83" s="22"/>
      <c r="G83" s="19"/>
      <c r="I83" s="20"/>
      <c r="K83" s="20"/>
      <c r="M83" s="20"/>
      <c r="O83" s="20"/>
      <c r="Q83" s="27">
        <f t="shared" si="1"/>
        <v>0</v>
      </c>
      <c r="R83" s="26">
        <f t="shared" si="2"/>
        <v>0</v>
      </c>
      <c r="S83" s="26">
        <f t="shared" si="3"/>
        <v>0</v>
      </c>
      <c r="T83" s="26">
        <f t="shared" si="4"/>
        <v>0</v>
      </c>
      <c r="U83" s="28">
        <f t="shared" si="5"/>
        <v>0</v>
      </c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23" t="s">
        <v>23</v>
      </c>
      <c r="B84" s="24">
        <f t="shared" si="6"/>
        <v>46101</v>
      </c>
      <c r="C84" s="25">
        <v>3.4</v>
      </c>
      <c r="D84" s="26" t="s">
        <v>28</v>
      </c>
      <c r="E84" s="22"/>
      <c r="F84" s="22"/>
      <c r="G84" s="19"/>
      <c r="I84" s="20"/>
      <c r="K84" s="20"/>
      <c r="M84" s="20"/>
      <c r="O84" s="20"/>
      <c r="Q84" s="27">
        <f t="shared" si="1"/>
        <v>0</v>
      </c>
      <c r="R84" s="26">
        <f t="shared" si="2"/>
        <v>0</v>
      </c>
      <c r="S84" s="26">
        <f t="shared" si="3"/>
        <v>0</v>
      </c>
      <c r="T84" s="26">
        <f t="shared" si="4"/>
        <v>0</v>
      </c>
      <c r="U84" s="28">
        <f t="shared" si="5"/>
        <v>0</v>
      </c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23" t="s">
        <v>24</v>
      </c>
      <c r="B85" s="24">
        <f t="shared" si="6"/>
        <v>46102</v>
      </c>
      <c r="C85" s="25">
        <v>3.4</v>
      </c>
      <c r="D85" s="26" t="s">
        <v>28</v>
      </c>
      <c r="E85" s="22"/>
      <c r="F85" s="22"/>
      <c r="G85" s="39"/>
      <c r="I85" s="40"/>
      <c r="K85" s="40"/>
      <c r="M85" s="40"/>
      <c r="O85" s="40"/>
      <c r="Q85" s="27">
        <f t="shared" si="1"/>
        <v>0</v>
      </c>
      <c r="R85" s="26">
        <f t="shared" si="2"/>
        <v>0</v>
      </c>
      <c r="S85" s="26">
        <f t="shared" si="3"/>
        <v>0</v>
      </c>
      <c r="T85" s="26">
        <f t="shared" si="4"/>
        <v>0</v>
      </c>
      <c r="U85" s="28">
        <f t="shared" si="5"/>
        <v>0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29" t="s">
        <v>25</v>
      </c>
      <c r="B86" s="30">
        <f t="shared" si="6"/>
        <v>46103</v>
      </c>
      <c r="C86" s="31">
        <v>3.4</v>
      </c>
      <c r="D86" s="32" t="s">
        <v>28</v>
      </c>
      <c r="E86" s="33"/>
      <c r="F86" s="33"/>
      <c r="G86" s="41"/>
      <c r="H86" s="6"/>
      <c r="I86" s="42"/>
      <c r="J86" s="6"/>
      <c r="K86" s="42"/>
      <c r="L86" s="6"/>
      <c r="M86" s="42"/>
      <c r="N86" s="6"/>
      <c r="O86" s="42"/>
      <c r="P86" s="6"/>
      <c r="Q86" s="36">
        <f t="shared" si="1"/>
        <v>0</v>
      </c>
      <c r="R86" s="32">
        <f t="shared" si="2"/>
        <v>0</v>
      </c>
      <c r="S86" s="32">
        <f t="shared" si="3"/>
        <v>0</v>
      </c>
      <c r="T86" s="32">
        <f t="shared" si="4"/>
        <v>0</v>
      </c>
      <c r="U86" s="37">
        <f t="shared" si="5"/>
        <v>0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14" t="s">
        <v>18</v>
      </c>
      <c r="B87" s="15">
        <f t="shared" si="6"/>
        <v>46104</v>
      </c>
      <c r="C87" s="16">
        <v>4.1</v>
      </c>
      <c r="D87" s="17" t="s">
        <v>19</v>
      </c>
      <c r="E87" s="18"/>
      <c r="F87" s="18"/>
      <c r="G87" s="19"/>
      <c r="I87" s="20"/>
      <c r="K87" s="20"/>
      <c r="M87" s="20"/>
      <c r="O87" s="20"/>
      <c r="Q87" s="21">
        <f t="shared" si="1"/>
        <v>0</v>
      </c>
      <c r="R87" s="17">
        <f t="shared" si="2"/>
        <v>0</v>
      </c>
      <c r="S87" s="17">
        <f t="shared" si="3"/>
        <v>0</v>
      </c>
      <c r="T87" s="17">
        <f t="shared" si="4"/>
        <v>0</v>
      </c>
      <c r="U87" s="38">
        <f t="shared" si="5"/>
        <v>0</v>
      </c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23" t="s">
        <v>20</v>
      </c>
      <c r="B88" s="24">
        <f t="shared" si="6"/>
        <v>46105</v>
      </c>
      <c r="C88" s="25">
        <v>4.1</v>
      </c>
      <c r="D88" s="26" t="s">
        <v>19</v>
      </c>
      <c r="E88" s="22"/>
      <c r="F88" s="22"/>
      <c r="G88" s="19"/>
      <c r="I88" s="20"/>
      <c r="K88" s="20"/>
      <c r="M88" s="20"/>
      <c r="O88" s="20"/>
      <c r="Q88" s="27">
        <f t="shared" si="1"/>
        <v>0</v>
      </c>
      <c r="R88" s="26">
        <f t="shared" si="2"/>
        <v>0</v>
      </c>
      <c r="S88" s="26">
        <f t="shared" si="3"/>
        <v>0</v>
      </c>
      <c r="T88" s="26">
        <f t="shared" si="4"/>
        <v>0</v>
      </c>
      <c r="U88" s="28">
        <f t="shared" si="5"/>
        <v>0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23" t="s">
        <v>21</v>
      </c>
      <c r="B89" s="24">
        <f t="shared" si="6"/>
        <v>46106</v>
      </c>
      <c r="C89" s="25">
        <v>4.1</v>
      </c>
      <c r="D89" s="26" t="s">
        <v>19</v>
      </c>
      <c r="E89" s="22"/>
      <c r="F89" s="22"/>
      <c r="G89" s="19"/>
      <c r="I89" s="20"/>
      <c r="K89" s="20"/>
      <c r="M89" s="20"/>
      <c r="O89" s="20"/>
      <c r="Q89" s="27">
        <f t="shared" si="1"/>
        <v>0</v>
      </c>
      <c r="R89" s="26">
        <f t="shared" si="2"/>
        <v>0</v>
      </c>
      <c r="S89" s="26">
        <f t="shared" si="3"/>
        <v>0</v>
      </c>
      <c r="T89" s="26">
        <f t="shared" si="4"/>
        <v>0</v>
      </c>
      <c r="U89" s="28">
        <f t="shared" si="5"/>
        <v>0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23" t="s">
        <v>22</v>
      </c>
      <c r="B90" s="24">
        <f t="shared" si="6"/>
        <v>46107</v>
      </c>
      <c r="C90" s="25">
        <v>4.1</v>
      </c>
      <c r="D90" s="26" t="s">
        <v>19</v>
      </c>
      <c r="E90" s="22"/>
      <c r="F90" s="22"/>
      <c r="G90" s="19"/>
      <c r="I90" s="20"/>
      <c r="K90" s="20"/>
      <c r="M90" s="20"/>
      <c r="O90" s="20"/>
      <c r="Q90" s="27">
        <f t="shared" si="1"/>
        <v>0</v>
      </c>
      <c r="R90" s="26">
        <f t="shared" si="2"/>
        <v>0</v>
      </c>
      <c r="S90" s="26">
        <f t="shared" si="3"/>
        <v>0</v>
      </c>
      <c r="T90" s="26">
        <f t="shared" si="4"/>
        <v>0</v>
      </c>
      <c r="U90" s="28">
        <f t="shared" si="5"/>
        <v>0</v>
      </c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6.5" customHeight="1">
      <c r="A91" s="23" t="s">
        <v>23</v>
      </c>
      <c r="B91" s="24">
        <f t="shared" si="6"/>
        <v>46108</v>
      </c>
      <c r="C91" s="25">
        <v>4.1</v>
      </c>
      <c r="D91" s="26" t="s">
        <v>19</v>
      </c>
      <c r="E91" s="22"/>
      <c r="F91" s="22"/>
      <c r="G91" s="19"/>
      <c r="I91" s="20"/>
      <c r="K91" s="20"/>
      <c r="M91" s="20"/>
      <c r="O91" s="20"/>
      <c r="Q91" s="27">
        <f t="shared" si="1"/>
        <v>0</v>
      </c>
      <c r="R91" s="26">
        <f t="shared" si="2"/>
        <v>0</v>
      </c>
      <c r="S91" s="26">
        <f t="shared" si="3"/>
        <v>0</v>
      </c>
      <c r="T91" s="26">
        <f t="shared" si="4"/>
        <v>0</v>
      </c>
      <c r="U91" s="28">
        <f t="shared" si="5"/>
        <v>0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23" t="s">
        <v>24</v>
      </c>
      <c r="B92" s="24">
        <f t="shared" si="6"/>
        <v>46109</v>
      </c>
      <c r="C92" s="25">
        <v>4.1</v>
      </c>
      <c r="D92" s="26" t="s">
        <v>19</v>
      </c>
      <c r="E92" s="22"/>
      <c r="F92" s="22"/>
      <c r="G92" s="19"/>
      <c r="I92" s="20"/>
      <c r="K92" s="20"/>
      <c r="M92" s="20"/>
      <c r="O92" s="20"/>
      <c r="Q92" s="27">
        <f t="shared" si="1"/>
        <v>0</v>
      </c>
      <c r="R92" s="26">
        <f t="shared" si="2"/>
        <v>0</v>
      </c>
      <c r="S92" s="26">
        <f t="shared" si="3"/>
        <v>0</v>
      </c>
      <c r="T92" s="26">
        <f t="shared" si="4"/>
        <v>0</v>
      </c>
      <c r="U92" s="28">
        <f t="shared" si="5"/>
        <v>0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29" t="s">
        <v>25</v>
      </c>
      <c r="B93" s="30">
        <f t="shared" si="6"/>
        <v>46110</v>
      </c>
      <c r="C93" s="31">
        <v>4.1</v>
      </c>
      <c r="D93" s="32" t="s">
        <v>19</v>
      </c>
      <c r="E93" s="33"/>
      <c r="F93" s="33"/>
      <c r="G93" s="34"/>
      <c r="H93" s="6"/>
      <c r="I93" s="35"/>
      <c r="J93" s="6"/>
      <c r="K93" s="35"/>
      <c r="L93" s="6"/>
      <c r="M93" s="35"/>
      <c r="N93" s="6"/>
      <c r="O93" s="35"/>
      <c r="P93" s="6"/>
      <c r="Q93" s="36">
        <f t="shared" si="1"/>
        <v>0</v>
      </c>
      <c r="R93" s="32">
        <f t="shared" si="2"/>
        <v>0</v>
      </c>
      <c r="S93" s="32">
        <f t="shared" si="3"/>
        <v>0</v>
      </c>
      <c r="T93" s="32">
        <f t="shared" si="4"/>
        <v>0</v>
      </c>
      <c r="U93" s="37">
        <f t="shared" si="5"/>
        <v>0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14" t="s">
        <v>18</v>
      </c>
      <c r="B94" s="15">
        <f t="shared" si="6"/>
        <v>46111</v>
      </c>
      <c r="C94" s="16">
        <v>4.2</v>
      </c>
      <c r="D94" s="17" t="s">
        <v>26</v>
      </c>
      <c r="E94" s="18" t="s">
        <v>29</v>
      </c>
      <c r="F94" s="18" t="s">
        <v>30</v>
      </c>
      <c r="G94" s="19"/>
      <c r="I94" s="20"/>
      <c r="K94" s="20"/>
      <c r="M94" s="20"/>
      <c r="O94" s="20"/>
      <c r="Q94" s="21">
        <f t="shared" si="1"/>
        <v>0</v>
      </c>
      <c r="R94" s="17">
        <f t="shared" si="2"/>
        <v>0</v>
      </c>
      <c r="S94" s="17">
        <f t="shared" si="3"/>
        <v>0</v>
      </c>
      <c r="T94" s="17">
        <f t="shared" si="4"/>
        <v>0</v>
      </c>
      <c r="U94" s="38">
        <f t="shared" si="5"/>
        <v>0</v>
      </c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23" t="s">
        <v>20</v>
      </c>
      <c r="B95" s="24">
        <f t="shared" si="6"/>
        <v>46112</v>
      </c>
      <c r="C95" s="25">
        <v>4.2</v>
      </c>
      <c r="D95" s="26" t="s">
        <v>26</v>
      </c>
      <c r="E95" s="22" t="s">
        <v>29</v>
      </c>
      <c r="F95" s="22" t="s">
        <v>30</v>
      </c>
      <c r="G95" s="19"/>
      <c r="I95" s="20"/>
      <c r="K95" s="20"/>
      <c r="M95" s="20"/>
      <c r="O95" s="20"/>
      <c r="Q95" s="27">
        <f t="shared" si="1"/>
        <v>0</v>
      </c>
      <c r="R95" s="26">
        <f t="shared" si="2"/>
        <v>0</v>
      </c>
      <c r="S95" s="26">
        <f t="shared" si="3"/>
        <v>0</v>
      </c>
      <c r="T95" s="26">
        <f t="shared" si="4"/>
        <v>0</v>
      </c>
      <c r="U95" s="28">
        <f t="shared" si="5"/>
        <v>0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23" t="s">
        <v>21</v>
      </c>
      <c r="B96" s="24">
        <f t="shared" si="6"/>
        <v>46113</v>
      </c>
      <c r="C96" s="25">
        <v>4.2</v>
      </c>
      <c r="D96" s="26" t="s">
        <v>26</v>
      </c>
      <c r="E96" s="22" t="s">
        <v>29</v>
      </c>
      <c r="F96" s="22" t="s">
        <v>30</v>
      </c>
      <c r="G96" s="19"/>
      <c r="I96" s="20"/>
      <c r="K96" s="20"/>
      <c r="M96" s="20"/>
      <c r="O96" s="20"/>
      <c r="Q96" s="27">
        <f t="shared" si="1"/>
        <v>0</v>
      </c>
      <c r="R96" s="26">
        <f t="shared" si="2"/>
        <v>0</v>
      </c>
      <c r="S96" s="26">
        <f t="shared" si="3"/>
        <v>0</v>
      </c>
      <c r="T96" s="26">
        <f t="shared" si="4"/>
        <v>0</v>
      </c>
      <c r="U96" s="28">
        <f t="shared" si="5"/>
        <v>0</v>
      </c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23" t="s">
        <v>22</v>
      </c>
      <c r="B97" s="24">
        <f t="shared" si="6"/>
        <v>46114</v>
      </c>
      <c r="C97" s="25">
        <v>4.2</v>
      </c>
      <c r="D97" s="26" t="s">
        <v>26</v>
      </c>
      <c r="E97" s="22" t="s">
        <v>29</v>
      </c>
      <c r="F97" s="22" t="s">
        <v>30</v>
      </c>
      <c r="G97" s="19"/>
      <c r="I97" s="20"/>
      <c r="K97" s="20"/>
      <c r="M97" s="20"/>
      <c r="O97" s="20"/>
      <c r="Q97" s="27">
        <f t="shared" si="1"/>
        <v>0</v>
      </c>
      <c r="R97" s="26">
        <f t="shared" si="2"/>
        <v>0</v>
      </c>
      <c r="S97" s="26">
        <f t="shared" si="3"/>
        <v>0</v>
      </c>
      <c r="T97" s="26">
        <f t="shared" si="4"/>
        <v>0</v>
      </c>
      <c r="U97" s="28">
        <f t="shared" si="5"/>
        <v>0</v>
      </c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23" t="s">
        <v>23</v>
      </c>
      <c r="B98" s="24">
        <f t="shared" si="6"/>
        <v>46115</v>
      </c>
      <c r="C98" s="25">
        <v>4.2</v>
      </c>
      <c r="D98" s="26" t="s">
        <v>26</v>
      </c>
      <c r="E98" s="22" t="s">
        <v>31</v>
      </c>
      <c r="F98" s="22" t="s">
        <v>32</v>
      </c>
      <c r="G98" s="19"/>
      <c r="I98" s="20"/>
      <c r="K98" s="20"/>
      <c r="M98" s="20"/>
      <c r="O98" s="20"/>
      <c r="Q98" s="27">
        <f t="shared" si="1"/>
        <v>0</v>
      </c>
      <c r="R98" s="26">
        <f t="shared" si="2"/>
        <v>0</v>
      </c>
      <c r="S98" s="26">
        <f t="shared" si="3"/>
        <v>0</v>
      </c>
      <c r="T98" s="26">
        <f t="shared" si="4"/>
        <v>0</v>
      </c>
      <c r="U98" s="28">
        <f t="shared" si="5"/>
        <v>0</v>
      </c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23" t="s">
        <v>24</v>
      </c>
      <c r="B99" s="24">
        <f t="shared" si="6"/>
        <v>46116</v>
      </c>
      <c r="C99" s="25">
        <v>4.2</v>
      </c>
      <c r="D99" s="26" t="s">
        <v>26</v>
      </c>
      <c r="E99" s="22" t="s">
        <v>31</v>
      </c>
      <c r="F99" s="22" t="s">
        <v>32</v>
      </c>
      <c r="G99" s="19"/>
      <c r="I99" s="20"/>
      <c r="K99" s="20"/>
      <c r="M99" s="20"/>
      <c r="O99" s="20"/>
      <c r="Q99" s="27">
        <f t="shared" si="1"/>
        <v>0</v>
      </c>
      <c r="R99" s="26">
        <f t="shared" si="2"/>
        <v>0</v>
      </c>
      <c r="S99" s="26">
        <f t="shared" si="3"/>
        <v>0</v>
      </c>
      <c r="T99" s="26">
        <f t="shared" si="4"/>
        <v>0</v>
      </c>
      <c r="U99" s="28">
        <f t="shared" si="5"/>
        <v>0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29" t="s">
        <v>25</v>
      </c>
      <c r="B100" s="30">
        <f t="shared" si="6"/>
        <v>46117</v>
      </c>
      <c r="C100" s="31">
        <v>4.2</v>
      </c>
      <c r="D100" s="32" t="s">
        <v>26</v>
      </c>
      <c r="E100" s="33" t="s">
        <v>31</v>
      </c>
      <c r="F100" s="33" t="s">
        <v>32</v>
      </c>
      <c r="G100" s="34"/>
      <c r="H100" s="6"/>
      <c r="I100" s="35"/>
      <c r="J100" s="6"/>
      <c r="K100" s="35"/>
      <c r="L100" s="6"/>
      <c r="M100" s="35"/>
      <c r="N100" s="6"/>
      <c r="O100" s="35"/>
      <c r="P100" s="6"/>
      <c r="Q100" s="36">
        <f t="shared" si="1"/>
        <v>0</v>
      </c>
      <c r="R100" s="32">
        <f t="shared" si="2"/>
        <v>0</v>
      </c>
      <c r="S100" s="32">
        <f t="shared" si="3"/>
        <v>0</v>
      </c>
      <c r="T100" s="32">
        <f t="shared" si="4"/>
        <v>0</v>
      </c>
      <c r="U100" s="37">
        <f t="shared" si="5"/>
        <v>0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14" t="s">
        <v>18</v>
      </c>
      <c r="B101" s="15">
        <f t="shared" si="6"/>
        <v>46118</v>
      </c>
      <c r="C101" s="16">
        <v>4.3</v>
      </c>
      <c r="D101" s="17" t="s">
        <v>27</v>
      </c>
      <c r="E101" s="18" t="s">
        <v>31</v>
      </c>
      <c r="F101" s="18" t="s">
        <v>32</v>
      </c>
      <c r="G101" s="19"/>
      <c r="I101" s="20"/>
      <c r="K101" s="20"/>
      <c r="M101" s="20"/>
      <c r="O101" s="20"/>
      <c r="Q101" s="21">
        <f t="shared" si="1"/>
        <v>0</v>
      </c>
      <c r="R101" s="17">
        <f t="shared" si="2"/>
        <v>0</v>
      </c>
      <c r="S101" s="17">
        <f t="shared" si="3"/>
        <v>0</v>
      </c>
      <c r="T101" s="17">
        <f t="shared" si="4"/>
        <v>0</v>
      </c>
      <c r="U101" s="38">
        <f t="shared" si="5"/>
        <v>0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23" t="s">
        <v>20</v>
      </c>
      <c r="B102" s="24">
        <f t="shared" si="6"/>
        <v>46119</v>
      </c>
      <c r="C102" s="25">
        <v>4.3</v>
      </c>
      <c r="D102" s="26" t="s">
        <v>27</v>
      </c>
      <c r="E102" s="22" t="s">
        <v>31</v>
      </c>
      <c r="F102" s="22" t="s">
        <v>32</v>
      </c>
      <c r="G102" s="19"/>
      <c r="I102" s="20"/>
      <c r="K102" s="20"/>
      <c r="M102" s="20"/>
      <c r="O102" s="20"/>
      <c r="Q102" s="27">
        <f t="shared" si="1"/>
        <v>0</v>
      </c>
      <c r="R102" s="26">
        <f t="shared" si="2"/>
        <v>0</v>
      </c>
      <c r="S102" s="26">
        <f t="shared" si="3"/>
        <v>0</v>
      </c>
      <c r="T102" s="26">
        <f t="shared" si="4"/>
        <v>0</v>
      </c>
      <c r="U102" s="28">
        <f t="shared" si="5"/>
        <v>0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23" t="s">
        <v>21</v>
      </c>
      <c r="B103" s="24">
        <f t="shared" si="6"/>
        <v>46120</v>
      </c>
      <c r="C103" s="25">
        <v>4.3</v>
      </c>
      <c r="D103" s="26" t="s">
        <v>27</v>
      </c>
      <c r="E103" s="22" t="s">
        <v>31</v>
      </c>
      <c r="F103" s="22" t="s">
        <v>32</v>
      </c>
      <c r="G103" s="19"/>
      <c r="I103" s="20"/>
      <c r="K103" s="20"/>
      <c r="M103" s="20"/>
      <c r="O103" s="20"/>
      <c r="Q103" s="27">
        <f t="shared" si="1"/>
        <v>0</v>
      </c>
      <c r="R103" s="26">
        <f t="shared" si="2"/>
        <v>0</v>
      </c>
      <c r="S103" s="26">
        <f t="shared" si="3"/>
        <v>0</v>
      </c>
      <c r="T103" s="26">
        <f t="shared" si="4"/>
        <v>0</v>
      </c>
      <c r="U103" s="28">
        <f t="shared" si="5"/>
        <v>0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23" t="s">
        <v>22</v>
      </c>
      <c r="B104" s="24">
        <f t="shared" si="6"/>
        <v>46121</v>
      </c>
      <c r="C104" s="25">
        <v>4.3</v>
      </c>
      <c r="D104" s="26" t="s">
        <v>27</v>
      </c>
      <c r="E104" s="22" t="s">
        <v>29</v>
      </c>
      <c r="F104" s="22" t="s">
        <v>30</v>
      </c>
      <c r="G104" s="19"/>
      <c r="I104" s="20"/>
      <c r="K104" s="20"/>
      <c r="M104" s="20"/>
      <c r="O104" s="20"/>
      <c r="Q104" s="27">
        <f t="shared" si="1"/>
        <v>0</v>
      </c>
      <c r="R104" s="26">
        <f t="shared" si="2"/>
        <v>0</v>
      </c>
      <c r="S104" s="26">
        <f t="shared" si="3"/>
        <v>0</v>
      </c>
      <c r="T104" s="26">
        <f t="shared" si="4"/>
        <v>0</v>
      </c>
      <c r="U104" s="28">
        <f t="shared" si="5"/>
        <v>0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23" t="s">
        <v>23</v>
      </c>
      <c r="B105" s="24">
        <f t="shared" si="6"/>
        <v>46122</v>
      </c>
      <c r="C105" s="25">
        <v>4.3</v>
      </c>
      <c r="D105" s="26" t="s">
        <v>27</v>
      </c>
      <c r="E105" s="22" t="s">
        <v>29</v>
      </c>
      <c r="F105" s="22" t="s">
        <v>30</v>
      </c>
      <c r="G105" s="19"/>
      <c r="I105" s="20"/>
      <c r="K105" s="20"/>
      <c r="M105" s="20"/>
      <c r="O105" s="20"/>
      <c r="Q105" s="27">
        <f t="shared" si="1"/>
        <v>0</v>
      </c>
      <c r="R105" s="26">
        <f t="shared" si="2"/>
        <v>0</v>
      </c>
      <c r="S105" s="26">
        <f t="shared" si="3"/>
        <v>0</v>
      </c>
      <c r="T105" s="26">
        <f t="shared" si="4"/>
        <v>0</v>
      </c>
      <c r="U105" s="28">
        <f t="shared" si="5"/>
        <v>0</v>
      </c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23" t="s">
        <v>24</v>
      </c>
      <c r="B106" s="24">
        <f t="shared" si="6"/>
        <v>46123</v>
      </c>
      <c r="C106" s="25">
        <v>4.3</v>
      </c>
      <c r="D106" s="26" t="s">
        <v>27</v>
      </c>
      <c r="E106" s="22" t="s">
        <v>29</v>
      </c>
      <c r="F106" s="22" t="s">
        <v>30</v>
      </c>
      <c r="G106" s="19"/>
      <c r="I106" s="20"/>
      <c r="K106" s="20"/>
      <c r="M106" s="20"/>
      <c r="O106" s="20"/>
      <c r="Q106" s="27">
        <f t="shared" si="1"/>
        <v>0</v>
      </c>
      <c r="R106" s="26">
        <f t="shared" si="2"/>
        <v>0</v>
      </c>
      <c r="S106" s="26">
        <f t="shared" si="3"/>
        <v>0</v>
      </c>
      <c r="T106" s="26">
        <f t="shared" si="4"/>
        <v>0</v>
      </c>
      <c r="U106" s="28">
        <f t="shared" si="5"/>
        <v>0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29" t="s">
        <v>25</v>
      </c>
      <c r="B107" s="30">
        <f t="shared" si="6"/>
        <v>46124</v>
      </c>
      <c r="C107" s="31">
        <v>4.3</v>
      </c>
      <c r="D107" s="32" t="s">
        <v>27</v>
      </c>
      <c r="E107" s="33" t="s">
        <v>29</v>
      </c>
      <c r="F107" s="33" t="s">
        <v>30</v>
      </c>
      <c r="G107" s="34"/>
      <c r="H107" s="6"/>
      <c r="I107" s="35"/>
      <c r="J107" s="6"/>
      <c r="K107" s="35"/>
      <c r="L107" s="6"/>
      <c r="M107" s="35"/>
      <c r="N107" s="6"/>
      <c r="O107" s="35"/>
      <c r="P107" s="6"/>
      <c r="Q107" s="36">
        <f t="shared" si="1"/>
        <v>0</v>
      </c>
      <c r="R107" s="32">
        <f t="shared" si="2"/>
        <v>0</v>
      </c>
      <c r="S107" s="32">
        <f t="shared" si="3"/>
        <v>0</v>
      </c>
      <c r="T107" s="32">
        <f t="shared" si="4"/>
        <v>0</v>
      </c>
      <c r="U107" s="37">
        <f t="shared" si="5"/>
        <v>0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14" t="s">
        <v>18</v>
      </c>
      <c r="B108" s="15">
        <f t="shared" si="6"/>
        <v>46125</v>
      </c>
      <c r="C108" s="16">
        <v>4.4</v>
      </c>
      <c r="D108" s="17" t="s">
        <v>28</v>
      </c>
      <c r="E108" s="18" t="s">
        <v>29</v>
      </c>
      <c r="F108" s="18" t="s">
        <v>30</v>
      </c>
      <c r="G108" s="19"/>
      <c r="I108" s="20"/>
      <c r="K108" s="20"/>
      <c r="M108" s="20"/>
      <c r="O108" s="20"/>
      <c r="Q108" s="21">
        <f t="shared" si="1"/>
        <v>0</v>
      </c>
      <c r="R108" s="17">
        <f t="shared" si="2"/>
        <v>0</v>
      </c>
      <c r="S108" s="17">
        <f t="shared" si="3"/>
        <v>0</v>
      </c>
      <c r="T108" s="17">
        <f t="shared" si="4"/>
        <v>0</v>
      </c>
      <c r="U108" s="38">
        <f t="shared" si="5"/>
        <v>0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23" t="s">
        <v>20</v>
      </c>
      <c r="B109" s="24">
        <f t="shared" si="6"/>
        <v>46126</v>
      </c>
      <c r="C109" s="25">
        <v>4.4</v>
      </c>
      <c r="D109" s="26" t="s">
        <v>28</v>
      </c>
      <c r="E109" s="22" t="s">
        <v>29</v>
      </c>
      <c r="F109" s="22" t="s">
        <v>30</v>
      </c>
      <c r="G109" s="19"/>
      <c r="I109" s="20"/>
      <c r="K109" s="20"/>
      <c r="M109" s="20"/>
      <c r="O109" s="20"/>
      <c r="Q109" s="27">
        <f t="shared" si="1"/>
        <v>0</v>
      </c>
      <c r="R109" s="26">
        <f t="shared" si="2"/>
        <v>0</v>
      </c>
      <c r="S109" s="26">
        <f t="shared" si="3"/>
        <v>0</v>
      </c>
      <c r="T109" s="26">
        <f t="shared" si="4"/>
        <v>0</v>
      </c>
      <c r="U109" s="28">
        <f t="shared" si="5"/>
        <v>0</v>
      </c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23" t="s">
        <v>21</v>
      </c>
      <c r="B110" s="24">
        <f t="shared" si="6"/>
        <v>46127</v>
      </c>
      <c r="C110" s="25">
        <v>4.4</v>
      </c>
      <c r="D110" s="26" t="s">
        <v>28</v>
      </c>
      <c r="E110" s="22" t="s">
        <v>29</v>
      </c>
      <c r="F110" s="22" t="s">
        <v>30</v>
      </c>
      <c r="G110" s="19"/>
      <c r="I110" s="20"/>
      <c r="K110" s="20"/>
      <c r="M110" s="20"/>
      <c r="O110" s="20"/>
      <c r="Q110" s="27">
        <f t="shared" si="1"/>
        <v>0</v>
      </c>
      <c r="R110" s="26">
        <f t="shared" si="2"/>
        <v>0</v>
      </c>
      <c r="S110" s="26">
        <f t="shared" si="3"/>
        <v>0</v>
      </c>
      <c r="T110" s="26">
        <f t="shared" si="4"/>
        <v>0</v>
      </c>
      <c r="U110" s="28">
        <f t="shared" si="5"/>
        <v>0</v>
      </c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23" t="s">
        <v>22</v>
      </c>
      <c r="B111" s="24">
        <f t="shared" si="6"/>
        <v>46128</v>
      </c>
      <c r="C111" s="25">
        <v>4.4</v>
      </c>
      <c r="D111" s="26" t="s">
        <v>28</v>
      </c>
      <c r="E111" s="22" t="s">
        <v>29</v>
      </c>
      <c r="F111" s="22" t="s">
        <v>30</v>
      </c>
      <c r="G111" s="19"/>
      <c r="I111" s="20"/>
      <c r="K111" s="20"/>
      <c r="M111" s="20"/>
      <c r="O111" s="20"/>
      <c r="Q111" s="27">
        <f t="shared" si="1"/>
        <v>0</v>
      </c>
      <c r="R111" s="26">
        <f t="shared" si="2"/>
        <v>0</v>
      </c>
      <c r="S111" s="26">
        <f t="shared" si="3"/>
        <v>0</v>
      </c>
      <c r="T111" s="26">
        <f t="shared" si="4"/>
        <v>0</v>
      </c>
      <c r="U111" s="28">
        <f t="shared" si="5"/>
        <v>0</v>
      </c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23" t="s">
        <v>23</v>
      </c>
      <c r="B112" s="24">
        <f t="shared" si="6"/>
        <v>46129</v>
      </c>
      <c r="C112" s="25">
        <v>4.4</v>
      </c>
      <c r="D112" s="26" t="s">
        <v>28</v>
      </c>
      <c r="E112" s="22" t="s">
        <v>29</v>
      </c>
      <c r="F112" s="22" t="s">
        <v>30</v>
      </c>
      <c r="G112" s="19"/>
      <c r="I112" s="20"/>
      <c r="K112" s="20"/>
      <c r="M112" s="20"/>
      <c r="O112" s="20"/>
      <c r="Q112" s="27">
        <f t="shared" si="1"/>
        <v>0</v>
      </c>
      <c r="R112" s="26">
        <f t="shared" si="2"/>
        <v>0</v>
      </c>
      <c r="S112" s="26">
        <f t="shared" si="3"/>
        <v>0</v>
      </c>
      <c r="T112" s="26">
        <f t="shared" si="4"/>
        <v>0</v>
      </c>
      <c r="U112" s="28">
        <f t="shared" si="5"/>
        <v>0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23" t="s">
        <v>24</v>
      </c>
      <c r="B113" s="24">
        <f t="shared" si="6"/>
        <v>46130</v>
      </c>
      <c r="C113" s="25">
        <v>4.4</v>
      </c>
      <c r="D113" s="26" t="s">
        <v>28</v>
      </c>
      <c r="E113" s="22" t="s">
        <v>29</v>
      </c>
      <c r="F113" s="22" t="s">
        <v>30</v>
      </c>
      <c r="G113" s="19"/>
      <c r="I113" s="20"/>
      <c r="K113" s="20"/>
      <c r="M113" s="20"/>
      <c r="O113" s="20"/>
      <c r="Q113" s="27">
        <f t="shared" si="1"/>
        <v>0</v>
      </c>
      <c r="R113" s="26">
        <f t="shared" si="2"/>
        <v>0</v>
      </c>
      <c r="S113" s="26">
        <f t="shared" si="3"/>
        <v>0</v>
      </c>
      <c r="T113" s="26">
        <f t="shared" si="4"/>
        <v>0</v>
      </c>
      <c r="U113" s="28">
        <f t="shared" si="5"/>
        <v>0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29" t="s">
        <v>25</v>
      </c>
      <c r="B114" s="30">
        <f t="shared" si="6"/>
        <v>46131</v>
      </c>
      <c r="C114" s="31">
        <v>4.4</v>
      </c>
      <c r="D114" s="32" t="s">
        <v>28</v>
      </c>
      <c r="E114" s="33" t="s">
        <v>29</v>
      </c>
      <c r="F114" s="33" t="s">
        <v>30</v>
      </c>
      <c r="G114" s="34"/>
      <c r="H114" s="6"/>
      <c r="I114" s="35"/>
      <c r="J114" s="6"/>
      <c r="K114" s="35"/>
      <c r="L114" s="6"/>
      <c r="M114" s="35"/>
      <c r="N114" s="6"/>
      <c r="O114" s="35"/>
      <c r="P114" s="6"/>
      <c r="Q114" s="36">
        <f t="shared" si="1"/>
        <v>0</v>
      </c>
      <c r="R114" s="32">
        <f t="shared" si="2"/>
        <v>0</v>
      </c>
      <c r="S114" s="32">
        <f t="shared" si="3"/>
        <v>0</v>
      </c>
      <c r="T114" s="32">
        <f t="shared" si="4"/>
        <v>0</v>
      </c>
      <c r="U114" s="37">
        <f t="shared" si="5"/>
        <v>0</v>
      </c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14" t="s">
        <v>18</v>
      </c>
      <c r="B115" s="15">
        <f t="shared" si="6"/>
        <v>46132</v>
      </c>
      <c r="C115" s="16">
        <v>5.1</v>
      </c>
      <c r="D115" s="17" t="s">
        <v>19</v>
      </c>
      <c r="E115" s="18" t="s">
        <v>29</v>
      </c>
      <c r="F115" s="18" t="s">
        <v>30</v>
      </c>
      <c r="G115" s="19"/>
      <c r="I115" s="20"/>
      <c r="K115" s="20"/>
      <c r="M115" s="20"/>
      <c r="O115" s="20"/>
      <c r="Q115" s="21">
        <f t="shared" si="1"/>
        <v>0</v>
      </c>
      <c r="R115" s="17">
        <f t="shared" si="2"/>
        <v>0</v>
      </c>
      <c r="S115" s="17">
        <f t="shared" si="3"/>
        <v>0</v>
      </c>
      <c r="T115" s="17">
        <f t="shared" si="4"/>
        <v>0</v>
      </c>
      <c r="U115" s="38">
        <f t="shared" si="5"/>
        <v>0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23" t="s">
        <v>20</v>
      </c>
      <c r="B116" s="24">
        <f t="shared" si="6"/>
        <v>46133</v>
      </c>
      <c r="C116" s="25">
        <v>5.1</v>
      </c>
      <c r="D116" s="26" t="s">
        <v>19</v>
      </c>
      <c r="E116" s="22" t="s">
        <v>31</v>
      </c>
      <c r="F116" s="22" t="s">
        <v>32</v>
      </c>
      <c r="G116" s="19"/>
      <c r="I116" s="20"/>
      <c r="K116" s="20"/>
      <c r="M116" s="20"/>
      <c r="O116" s="20"/>
      <c r="Q116" s="27">
        <f t="shared" si="1"/>
        <v>0</v>
      </c>
      <c r="R116" s="26">
        <f t="shared" si="2"/>
        <v>0</v>
      </c>
      <c r="S116" s="26">
        <f t="shared" si="3"/>
        <v>0</v>
      </c>
      <c r="T116" s="26">
        <f t="shared" si="4"/>
        <v>0</v>
      </c>
      <c r="U116" s="28">
        <f t="shared" si="5"/>
        <v>0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23" t="s">
        <v>21</v>
      </c>
      <c r="B117" s="24">
        <f t="shared" si="6"/>
        <v>46134</v>
      </c>
      <c r="C117" s="25">
        <v>5.1</v>
      </c>
      <c r="D117" s="26" t="s">
        <v>19</v>
      </c>
      <c r="E117" s="22" t="s">
        <v>31</v>
      </c>
      <c r="F117" s="22" t="s">
        <v>32</v>
      </c>
      <c r="G117" s="19"/>
      <c r="I117" s="20"/>
      <c r="K117" s="20"/>
      <c r="M117" s="20"/>
      <c r="O117" s="20"/>
      <c r="Q117" s="27">
        <f t="shared" si="1"/>
        <v>0</v>
      </c>
      <c r="R117" s="26">
        <f t="shared" si="2"/>
        <v>0</v>
      </c>
      <c r="S117" s="26">
        <f t="shared" si="3"/>
        <v>0</v>
      </c>
      <c r="T117" s="26">
        <f t="shared" si="4"/>
        <v>0</v>
      </c>
      <c r="U117" s="28">
        <f t="shared" si="5"/>
        <v>0</v>
      </c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23" t="s">
        <v>22</v>
      </c>
      <c r="B118" s="24">
        <f t="shared" si="6"/>
        <v>46135</v>
      </c>
      <c r="C118" s="25">
        <v>5.1</v>
      </c>
      <c r="D118" s="26" t="s">
        <v>19</v>
      </c>
      <c r="E118" s="22" t="s">
        <v>31</v>
      </c>
      <c r="F118" s="22" t="s">
        <v>32</v>
      </c>
      <c r="G118" s="19"/>
      <c r="I118" s="20"/>
      <c r="K118" s="20"/>
      <c r="M118" s="20"/>
      <c r="O118" s="20"/>
      <c r="Q118" s="27">
        <f t="shared" si="1"/>
        <v>0</v>
      </c>
      <c r="R118" s="26">
        <f t="shared" si="2"/>
        <v>0</v>
      </c>
      <c r="S118" s="26">
        <f t="shared" si="3"/>
        <v>0</v>
      </c>
      <c r="T118" s="26">
        <f t="shared" si="4"/>
        <v>0</v>
      </c>
      <c r="U118" s="28">
        <f t="shared" si="5"/>
        <v>0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23" t="s">
        <v>23</v>
      </c>
      <c r="B119" s="24">
        <f t="shared" si="6"/>
        <v>46136</v>
      </c>
      <c r="C119" s="25">
        <v>5.1</v>
      </c>
      <c r="D119" s="26" t="s">
        <v>19</v>
      </c>
      <c r="E119" s="22" t="s">
        <v>31</v>
      </c>
      <c r="F119" s="22" t="s">
        <v>32</v>
      </c>
      <c r="G119" s="19"/>
      <c r="I119" s="20"/>
      <c r="K119" s="20"/>
      <c r="M119" s="20"/>
      <c r="O119" s="20"/>
      <c r="Q119" s="27">
        <f t="shared" si="1"/>
        <v>0</v>
      </c>
      <c r="R119" s="26">
        <f t="shared" si="2"/>
        <v>0</v>
      </c>
      <c r="S119" s="26">
        <f t="shared" si="3"/>
        <v>0</v>
      </c>
      <c r="T119" s="26">
        <f t="shared" si="4"/>
        <v>0</v>
      </c>
      <c r="U119" s="28">
        <f t="shared" si="5"/>
        <v>0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23" t="s">
        <v>24</v>
      </c>
      <c r="B120" s="24">
        <f t="shared" si="6"/>
        <v>46137</v>
      </c>
      <c r="C120" s="25">
        <v>5.1</v>
      </c>
      <c r="D120" s="26" t="s">
        <v>19</v>
      </c>
      <c r="E120" s="22" t="s">
        <v>31</v>
      </c>
      <c r="F120" s="22" t="s">
        <v>32</v>
      </c>
      <c r="G120" s="19"/>
      <c r="I120" s="20"/>
      <c r="K120" s="20"/>
      <c r="M120" s="20"/>
      <c r="O120" s="20"/>
      <c r="Q120" s="27">
        <f t="shared" si="1"/>
        <v>0</v>
      </c>
      <c r="R120" s="26">
        <f t="shared" si="2"/>
        <v>0</v>
      </c>
      <c r="S120" s="26">
        <f t="shared" si="3"/>
        <v>0</v>
      </c>
      <c r="T120" s="26">
        <f t="shared" si="4"/>
        <v>0</v>
      </c>
      <c r="U120" s="28">
        <f t="shared" si="5"/>
        <v>0</v>
      </c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29" t="s">
        <v>25</v>
      </c>
      <c r="B121" s="30">
        <f t="shared" si="6"/>
        <v>46138</v>
      </c>
      <c r="C121" s="31">
        <v>5.1</v>
      </c>
      <c r="D121" s="32" t="s">
        <v>19</v>
      </c>
      <c r="E121" s="33" t="s">
        <v>31</v>
      </c>
      <c r="F121" s="33" t="s">
        <v>32</v>
      </c>
      <c r="G121" s="34"/>
      <c r="H121" s="6"/>
      <c r="I121" s="35"/>
      <c r="J121" s="6"/>
      <c r="K121" s="35"/>
      <c r="L121" s="6"/>
      <c r="M121" s="35"/>
      <c r="N121" s="6"/>
      <c r="O121" s="35"/>
      <c r="P121" s="6"/>
      <c r="Q121" s="36">
        <f t="shared" si="1"/>
        <v>0</v>
      </c>
      <c r="R121" s="32">
        <f t="shared" si="2"/>
        <v>0</v>
      </c>
      <c r="S121" s="32">
        <f t="shared" si="3"/>
        <v>0</v>
      </c>
      <c r="T121" s="32">
        <f t="shared" si="4"/>
        <v>0</v>
      </c>
      <c r="U121" s="37">
        <f t="shared" si="5"/>
        <v>0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14" t="s">
        <v>18</v>
      </c>
      <c r="B122" s="15">
        <f t="shared" si="6"/>
        <v>46139</v>
      </c>
      <c r="C122" s="16">
        <v>5.2</v>
      </c>
      <c r="D122" s="17" t="s">
        <v>26</v>
      </c>
      <c r="E122" s="18" t="s">
        <v>31</v>
      </c>
      <c r="F122" s="18" t="s">
        <v>32</v>
      </c>
      <c r="G122" s="19"/>
      <c r="I122" s="20"/>
      <c r="K122" s="20"/>
      <c r="M122" s="20"/>
      <c r="O122" s="20"/>
      <c r="Q122" s="21">
        <f t="shared" si="1"/>
        <v>0</v>
      </c>
      <c r="R122" s="17">
        <f t="shared" si="2"/>
        <v>0</v>
      </c>
      <c r="S122" s="17">
        <f t="shared" si="3"/>
        <v>0</v>
      </c>
      <c r="T122" s="17">
        <f t="shared" si="4"/>
        <v>0</v>
      </c>
      <c r="U122" s="38">
        <f t="shared" si="5"/>
        <v>0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23" t="s">
        <v>20</v>
      </c>
      <c r="B123" s="24">
        <f t="shared" si="6"/>
        <v>46140</v>
      </c>
      <c r="C123" s="25">
        <v>5.2</v>
      </c>
      <c r="D123" s="26" t="s">
        <v>26</v>
      </c>
      <c r="E123" s="22" t="s">
        <v>31</v>
      </c>
      <c r="F123" s="22" t="s">
        <v>32</v>
      </c>
      <c r="G123" s="19"/>
      <c r="I123" s="20"/>
      <c r="K123" s="20"/>
      <c r="M123" s="20"/>
      <c r="O123" s="20"/>
      <c r="Q123" s="27">
        <f t="shared" si="1"/>
        <v>0</v>
      </c>
      <c r="R123" s="26">
        <f t="shared" si="2"/>
        <v>0</v>
      </c>
      <c r="S123" s="26">
        <f t="shared" si="3"/>
        <v>0</v>
      </c>
      <c r="T123" s="26">
        <f t="shared" si="4"/>
        <v>0</v>
      </c>
      <c r="U123" s="28">
        <f t="shared" si="5"/>
        <v>0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23" t="s">
        <v>21</v>
      </c>
      <c r="B124" s="24">
        <f t="shared" si="6"/>
        <v>46141</v>
      </c>
      <c r="C124" s="25">
        <v>5.2</v>
      </c>
      <c r="D124" s="26" t="s">
        <v>26</v>
      </c>
      <c r="E124" s="22" t="s">
        <v>31</v>
      </c>
      <c r="F124" s="22" t="s">
        <v>32</v>
      </c>
      <c r="G124" s="19"/>
      <c r="I124" s="20"/>
      <c r="K124" s="20"/>
      <c r="M124" s="20"/>
      <c r="O124" s="20"/>
      <c r="Q124" s="27">
        <f t="shared" si="1"/>
        <v>0</v>
      </c>
      <c r="R124" s="26">
        <f t="shared" si="2"/>
        <v>0</v>
      </c>
      <c r="S124" s="26">
        <f t="shared" si="3"/>
        <v>0</v>
      </c>
      <c r="T124" s="26">
        <f t="shared" si="4"/>
        <v>0</v>
      </c>
      <c r="U124" s="28">
        <f t="shared" si="5"/>
        <v>0</v>
      </c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23" t="s">
        <v>22</v>
      </c>
      <c r="B125" s="24">
        <f t="shared" si="6"/>
        <v>46142</v>
      </c>
      <c r="C125" s="25">
        <v>5.2</v>
      </c>
      <c r="D125" s="26" t="s">
        <v>26</v>
      </c>
      <c r="E125" s="22" t="s">
        <v>29</v>
      </c>
      <c r="F125" s="22" t="s">
        <v>30</v>
      </c>
      <c r="G125" s="19"/>
      <c r="I125" s="20"/>
      <c r="K125" s="20"/>
      <c r="M125" s="20"/>
      <c r="O125" s="20"/>
      <c r="Q125" s="27">
        <f t="shared" si="1"/>
        <v>0</v>
      </c>
      <c r="R125" s="26">
        <f t="shared" si="2"/>
        <v>0</v>
      </c>
      <c r="S125" s="26">
        <f t="shared" si="3"/>
        <v>0</v>
      </c>
      <c r="T125" s="26">
        <f t="shared" si="4"/>
        <v>0</v>
      </c>
      <c r="U125" s="28">
        <f t="shared" si="5"/>
        <v>0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23" t="s">
        <v>23</v>
      </c>
      <c r="B126" s="24">
        <f t="shared" si="6"/>
        <v>46143</v>
      </c>
      <c r="C126" s="25">
        <v>5.2</v>
      </c>
      <c r="D126" s="26" t="s">
        <v>26</v>
      </c>
      <c r="E126" s="22" t="s">
        <v>29</v>
      </c>
      <c r="F126" s="22" t="s">
        <v>30</v>
      </c>
      <c r="G126" s="19"/>
      <c r="I126" s="20"/>
      <c r="K126" s="20"/>
      <c r="M126" s="20"/>
      <c r="O126" s="20"/>
      <c r="Q126" s="27">
        <f t="shared" si="1"/>
        <v>0</v>
      </c>
      <c r="R126" s="26">
        <f t="shared" si="2"/>
        <v>0</v>
      </c>
      <c r="S126" s="26">
        <f t="shared" si="3"/>
        <v>0</v>
      </c>
      <c r="T126" s="26">
        <f t="shared" si="4"/>
        <v>0</v>
      </c>
      <c r="U126" s="28">
        <f t="shared" si="5"/>
        <v>0</v>
      </c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23" t="s">
        <v>24</v>
      </c>
      <c r="B127" s="24">
        <f t="shared" si="6"/>
        <v>46144</v>
      </c>
      <c r="C127" s="25">
        <v>5.2</v>
      </c>
      <c r="D127" s="26" t="s">
        <v>26</v>
      </c>
      <c r="E127" s="22" t="s">
        <v>29</v>
      </c>
      <c r="F127" s="22" t="s">
        <v>30</v>
      </c>
      <c r="G127" s="19"/>
      <c r="I127" s="20"/>
      <c r="K127" s="20"/>
      <c r="M127" s="20"/>
      <c r="O127" s="20"/>
      <c r="Q127" s="27">
        <f t="shared" si="1"/>
        <v>0</v>
      </c>
      <c r="R127" s="26">
        <f t="shared" si="2"/>
        <v>0</v>
      </c>
      <c r="S127" s="26">
        <f t="shared" si="3"/>
        <v>0</v>
      </c>
      <c r="T127" s="26">
        <f t="shared" si="4"/>
        <v>0</v>
      </c>
      <c r="U127" s="28">
        <f t="shared" si="5"/>
        <v>0</v>
      </c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29" t="s">
        <v>25</v>
      </c>
      <c r="B128" s="30">
        <f t="shared" si="6"/>
        <v>46145</v>
      </c>
      <c r="C128" s="31">
        <v>5.2</v>
      </c>
      <c r="D128" s="32" t="s">
        <v>26</v>
      </c>
      <c r="E128" s="33" t="s">
        <v>29</v>
      </c>
      <c r="F128" s="33" t="s">
        <v>30</v>
      </c>
      <c r="G128" s="34"/>
      <c r="H128" s="6"/>
      <c r="I128" s="35"/>
      <c r="J128" s="6"/>
      <c r="K128" s="35"/>
      <c r="L128" s="6"/>
      <c r="M128" s="35"/>
      <c r="N128" s="6"/>
      <c r="O128" s="35"/>
      <c r="P128" s="6"/>
      <c r="Q128" s="36">
        <f t="shared" si="1"/>
        <v>0</v>
      </c>
      <c r="R128" s="32">
        <f t="shared" si="2"/>
        <v>0</v>
      </c>
      <c r="S128" s="32">
        <f t="shared" si="3"/>
        <v>0</v>
      </c>
      <c r="T128" s="32">
        <f t="shared" si="4"/>
        <v>0</v>
      </c>
      <c r="U128" s="37">
        <f t="shared" si="5"/>
        <v>0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14" t="s">
        <v>18</v>
      </c>
      <c r="B129" s="15">
        <f t="shared" si="6"/>
        <v>46146</v>
      </c>
      <c r="C129" s="16">
        <v>5.3</v>
      </c>
      <c r="D129" s="17" t="s">
        <v>27</v>
      </c>
      <c r="E129" s="18" t="s">
        <v>29</v>
      </c>
      <c r="F129" s="18" t="s">
        <v>30</v>
      </c>
      <c r="G129" s="19"/>
      <c r="I129" s="20"/>
      <c r="K129" s="20"/>
      <c r="M129" s="20"/>
      <c r="O129" s="20"/>
      <c r="Q129" s="21">
        <f t="shared" si="1"/>
        <v>0</v>
      </c>
      <c r="R129" s="17">
        <f t="shared" si="2"/>
        <v>0</v>
      </c>
      <c r="S129" s="17">
        <f t="shared" si="3"/>
        <v>0</v>
      </c>
      <c r="T129" s="17">
        <f t="shared" si="4"/>
        <v>0</v>
      </c>
      <c r="U129" s="38">
        <f t="shared" si="5"/>
        <v>0</v>
      </c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23" t="s">
        <v>20</v>
      </c>
      <c r="B130" s="24">
        <f t="shared" si="6"/>
        <v>46147</v>
      </c>
      <c r="C130" s="25">
        <v>5.3</v>
      </c>
      <c r="D130" s="26" t="s">
        <v>27</v>
      </c>
      <c r="E130" s="22" t="s">
        <v>29</v>
      </c>
      <c r="F130" s="22" t="s">
        <v>30</v>
      </c>
      <c r="G130" s="19"/>
      <c r="I130" s="20"/>
      <c r="K130" s="20"/>
      <c r="M130" s="20"/>
      <c r="O130" s="20"/>
      <c r="Q130" s="27">
        <f t="shared" si="1"/>
        <v>0</v>
      </c>
      <c r="R130" s="26">
        <f t="shared" si="2"/>
        <v>0</v>
      </c>
      <c r="S130" s="26">
        <f t="shared" si="3"/>
        <v>0</v>
      </c>
      <c r="T130" s="26">
        <f t="shared" si="4"/>
        <v>0</v>
      </c>
      <c r="U130" s="28">
        <f t="shared" si="5"/>
        <v>0</v>
      </c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23" t="s">
        <v>21</v>
      </c>
      <c r="B131" s="24">
        <f t="shared" si="6"/>
        <v>46148</v>
      </c>
      <c r="C131" s="25">
        <v>5.3</v>
      </c>
      <c r="D131" s="26" t="s">
        <v>27</v>
      </c>
      <c r="E131" s="22" t="s">
        <v>29</v>
      </c>
      <c r="F131" s="22" t="s">
        <v>30</v>
      </c>
      <c r="G131" s="19"/>
      <c r="I131" s="20"/>
      <c r="K131" s="20"/>
      <c r="M131" s="20"/>
      <c r="O131" s="20"/>
      <c r="Q131" s="27">
        <f t="shared" si="1"/>
        <v>0</v>
      </c>
      <c r="R131" s="26">
        <f t="shared" si="2"/>
        <v>0</v>
      </c>
      <c r="S131" s="26">
        <f t="shared" si="3"/>
        <v>0</v>
      </c>
      <c r="T131" s="26">
        <f t="shared" si="4"/>
        <v>0</v>
      </c>
      <c r="U131" s="28">
        <f t="shared" si="5"/>
        <v>0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23" t="s">
        <v>22</v>
      </c>
      <c r="B132" s="24">
        <f t="shared" si="6"/>
        <v>46149</v>
      </c>
      <c r="C132" s="25">
        <v>5.3</v>
      </c>
      <c r="D132" s="26" t="s">
        <v>27</v>
      </c>
      <c r="E132" s="22" t="s">
        <v>29</v>
      </c>
      <c r="F132" s="22" t="s">
        <v>30</v>
      </c>
      <c r="G132" s="19"/>
      <c r="I132" s="20"/>
      <c r="K132" s="20"/>
      <c r="M132" s="20"/>
      <c r="O132" s="20"/>
      <c r="Q132" s="27">
        <f t="shared" si="1"/>
        <v>0</v>
      </c>
      <c r="R132" s="26">
        <f t="shared" si="2"/>
        <v>0</v>
      </c>
      <c r="S132" s="26">
        <f t="shared" si="3"/>
        <v>0</v>
      </c>
      <c r="T132" s="26">
        <f t="shared" si="4"/>
        <v>0</v>
      </c>
      <c r="U132" s="28">
        <f t="shared" si="5"/>
        <v>0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23" t="s">
        <v>23</v>
      </c>
      <c r="B133" s="24">
        <f t="shared" si="6"/>
        <v>46150</v>
      </c>
      <c r="C133" s="25">
        <v>5.3</v>
      </c>
      <c r="D133" s="26" t="s">
        <v>27</v>
      </c>
      <c r="E133" s="22" t="s">
        <v>31</v>
      </c>
      <c r="F133" s="22" t="s">
        <v>32</v>
      </c>
      <c r="G133" s="19"/>
      <c r="I133" s="20"/>
      <c r="K133" s="20"/>
      <c r="M133" s="20"/>
      <c r="O133" s="20"/>
      <c r="Q133" s="27">
        <f t="shared" si="1"/>
        <v>0</v>
      </c>
      <c r="R133" s="26">
        <f t="shared" si="2"/>
        <v>0</v>
      </c>
      <c r="S133" s="26">
        <f t="shared" si="3"/>
        <v>0</v>
      </c>
      <c r="T133" s="26">
        <f t="shared" si="4"/>
        <v>0</v>
      </c>
      <c r="U133" s="28">
        <f t="shared" si="5"/>
        <v>0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23" t="s">
        <v>24</v>
      </c>
      <c r="B134" s="24">
        <f t="shared" si="6"/>
        <v>46151</v>
      </c>
      <c r="C134" s="25">
        <v>5.3</v>
      </c>
      <c r="D134" s="26" t="s">
        <v>27</v>
      </c>
      <c r="E134" s="22" t="s">
        <v>31</v>
      </c>
      <c r="F134" s="22" t="s">
        <v>32</v>
      </c>
      <c r="G134" s="19"/>
      <c r="I134" s="20"/>
      <c r="K134" s="20"/>
      <c r="M134" s="20"/>
      <c r="O134" s="20"/>
      <c r="Q134" s="27">
        <f t="shared" si="1"/>
        <v>0</v>
      </c>
      <c r="R134" s="26">
        <f t="shared" si="2"/>
        <v>0</v>
      </c>
      <c r="S134" s="26">
        <f t="shared" si="3"/>
        <v>0</v>
      </c>
      <c r="T134" s="26">
        <f t="shared" si="4"/>
        <v>0</v>
      </c>
      <c r="U134" s="28">
        <f t="shared" si="5"/>
        <v>0</v>
      </c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29" t="s">
        <v>25</v>
      </c>
      <c r="B135" s="30">
        <f t="shared" si="6"/>
        <v>46152</v>
      </c>
      <c r="C135" s="31">
        <v>5.3</v>
      </c>
      <c r="D135" s="32" t="s">
        <v>27</v>
      </c>
      <c r="E135" s="33" t="s">
        <v>31</v>
      </c>
      <c r="F135" s="33" t="s">
        <v>32</v>
      </c>
      <c r="G135" s="34"/>
      <c r="H135" s="6"/>
      <c r="I135" s="35"/>
      <c r="J135" s="6"/>
      <c r="K135" s="35"/>
      <c r="L135" s="6"/>
      <c r="M135" s="35"/>
      <c r="N135" s="6"/>
      <c r="O135" s="35"/>
      <c r="P135" s="6"/>
      <c r="Q135" s="36">
        <f t="shared" si="1"/>
        <v>0</v>
      </c>
      <c r="R135" s="32">
        <f t="shared" si="2"/>
        <v>0</v>
      </c>
      <c r="S135" s="32">
        <f t="shared" si="3"/>
        <v>0</v>
      </c>
      <c r="T135" s="32">
        <f t="shared" si="4"/>
        <v>0</v>
      </c>
      <c r="U135" s="37">
        <f t="shared" si="5"/>
        <v>0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14" t="s">
        <v>18</v>
      </c>
      <c r="B136" s="15">
        <f t="shared" si="6"/>
        <v>46153</v>
      </c>
      <c r="C136" s="16">
        <v>5.4</v>
      </c>
      <c r="D136" s="17" t="s">
        <v>28</v>
      </c>
      <c r="E136" s="18" t="s">
        <v>31</v>
      </c>
      <c r="F136" s="18" t="s">
        <v>32</v>
      </c>
      <c r="G136" s="19"/>
      <c r="I136" s="20"/>
      <c r="K136" s="20"/>
      <c r="M136" s="20"/>
      <c r="O136" s="20"/>
      <c r="Q136" s="21">
        <f t="shared" si="1"/>
        <v>0</v>
      </c>
      <c r="R136" s="17">
        <f t="shared" si="2"/>
        <v>0</v>
      </c>
      <c r="S136" s="17">
        <f t="shared" si="3"/>
        <v>0</v>
      </c>
      <c r="T136" s="17">
        <f t="shared" si="4"/>
        <v>0</v>
      </c>
      <c r="U136" s="38">
        <f t="shared" si="5"/>
        <v>0</v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23" t="s">
        <v>20</v>
      </c>
      <c r="B137" s="24">
        <f t="shared" si="6"/>
        <v>46154</v>
      </c>
      <c r="C137" s="25">
        <v>5.4</v>
      </c>
      <c r="D137" s="26" t="s">
        <v>28</v>
      </c>
      <c r="E137" s="22" t="s">
        <v>31</v>
      </c>
      <c r="F137" s="22" t="s">
        <v>32</v>
      </c>
      <c r="G137" s="19"/>
      <c r="I137" s="20"/>
      <c r="K137" s="20"/>
      <c r="M137" s="20"/>
      <c r="O137" s="20"/>
      <c r="Q137" s="27">
        <f t="shared" si="1"/>
        <v>0</v>
      </c>
      <c r="R137" s="26">
        <f t="shared" si="2"/>
        <v>0</v>
      </c>
      <c r="S137" s="26">
        <f t="shared" si="3"/>
        <v>0</v>
      </c>
      <c r="T137" s="26">
        <f t="shared" si="4"/>
        <v>0</v>
      </c>
      <c r="U137" s="28">
        <f t="shared" si="5"/>
        <v>0</v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23" t="s">
        <v>21</v>
      </c>
      <c r="B138" s="24">
        <f t="shared" si="6"/>
        <v>46155</v>
      </c>
      <c r="C138" s="25">
        <v>5.4</v>
      </c>
      <c r="D138" s="26" t="s">
        <v>28</v>
      </c>
      <c r="E138" s="22" t="s">
        <v>31</v>
      </c>
      <c r="F138" s="22" t="s">
        <v>32</v>
      </c>
      <c r="G138" s="19"/>
      <c r="I138" s="20"/>
      <c r="K138" s="20"/>
      <c r="M138" s="20"/>
      <c r="O138" s="20"/>
      <c r="Q138" s="27">
        <f t="shared" si="1"/>
        <v>0</v>
      </c>
      <c r="R138" s="26">
        <f t="shared" si="2"/>
        <v>0</v>
      </c>
      <c r="S138" s="26">
        <f t="shared" si="3"/>
        <v>0</v>
      </c>
      <c r="T138" s="26">
        <f t="shared" si="4"/>
        <v>0</v>
      </c>
      <c r="U138" s="28">
        <f t="shared" si="5"/>
        <v>0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23" t="s">
        <v>22</v>
      </c>
      <c r="B139" s="24">
        <f t="shared" si="6"/>
        <v>46156</v>
      </c>
      <c r="C139" s="25">
        <v>5.4</v>
      </c>
      <c r="D139" s="26" t="s">
        <v>28</v>
      </c>
      <c r="E139" s="22" t="s">
        <v>29</v>
      </c>
      <c r="F139" s="22" t="s">
        <v>30</v>
      </c>
      <c r="G139" s="19"/>
      <c r="I139" s="20"/>
      <c r="K139" s="20"/>
      <c r="M139" s="20"/>
      <c r="O139" s="20"/>
      <c r="Q139" s="27">
        <f t="shared" si="1"/>
        <v>0</v>
      </c>
      <c r="R139" s="26">
        <f t="shared" si="2"/>
        <v>0</v>
      </c>
      <c r="S139" s="26">
        <f t="shared" si="3"/>
        <v>0</v>
      </c>
      <c r="T139" s="26">
        <f t="shared" si="4"/>
        <v>0</v>
      </c>
      <c r="U139" s="28">
        <f t="shared" si="5"/>
        <v>0</v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23" t="s">
        <v>23</v>
      </c>
      <c r="B140" s="24">
        <f t="shared" si="6"/>
        <v>46157</v>
      </c>
      <c r="C140" s="25">
        <v>5.4</v>
      </c>
      <c r="D140" s="26" t="s">
        <v>28</v>
      </c>
      <c r="E140" s="22" t="s">
        <v>29</v>
      </c>
      <c r="F140" s="22" t="s">
        <v>30</v>
      </c>
      <c r="G140" s="19"/>
      <c r="I140" s="20"/>
      <c r="K140" s="20"/>
      <c r="M140" s="20"/>
      <c r="O140" s="20"/>
      <c r="Q140" s="27">
        <f t="shared" si="1"/>
        <v>0</v>
      </c>
      <c r="R140" s="26">
        <f t="shared" si="2"/>
        <v>0</v>
      </c>
      <c r="S140" s="26">
        <f t="shared" si="3"/>
        <v>0</v>
      </c>
      <c r="T140" s="26">
        <f t="shared" si="4"/>
        <v>0</v>
      </c>
      <c r="U140" s="28">
        <f t="shared" si="5"/>
        <v>0</v>
      </c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23" t="s">
        <v>24</v>
      </c>
      <c r="B141" s="24">
        <f t="shared" si="6"/>
        <v>46158</v>
      </c>
      <c r="C141" s="25">
        <v>5.4</v>
      </c>
      <c r="D141" s="26" t="s">
        <v>28</v>
      </c>
      <c r="E141" s="22" t="s">
        <v>29</v>
      </c>
      <c r="F141" s="22" t="s">
        <v>30</v>
      </c>
      <c r="G141" s="19"/>
      <c r="I141" s="20"/>
      <c r="K141" s="20"/>
      <c r="M141" s="20"/>
      <c r="O141" s="20"/>
      <c r="Q141" s="27">
        <f t="shared" si="1"/>
        <v>0</v>
      </c>
      <c r="R141" s="26">
        <f t="shared" si="2"/>
        <v>0</v>
      </c>
      <c r="S141" s="26">
        <f t="shared" si="3"/>
        <v>0</v>
      </c>
      <c r="T141" s="26">
        <f t="shared" si="4"/>
        <v>0</v>
      </c>
      <c r="U141" s="28">
        <f t="shared" si="5"/>
        <v>0</v>
      </c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29" t="s">
        <v>25</v>
      </c>
      <c r="B142" s="30">
        <f t="shared" si="6"/>
        <v>46159</v>
      </c>
      <c r="C142" s="31">
        <v>5.4</v>
      </c>
      <c r="D142" s="32" t="s">
        <v>28</v>
      </c>
      <c r="E142" s="33" t="s">
        <v>29</v>
      </c>
      <c r="F142" s="33" t="s">
        <v>30</v>
      </c>
      <c r="G142" s="34"/>
      <c r="H142" s="6"/>
      <c r="I142" s="35"/>
      <c r="J142" s="6"/>
      <c r="K142" s="35"/>
      <c r="L142" s="6"/>
      <c r="M142" s="35"/>
      <c r="N142" s="6"/>
      <c r="O142" s="35"/>
      <c r="P142" s="6"/>
      <c r="Q142" s="36">
        <f t="shared" si="1"/>
        <v>0</v>
      </c>
      <c r="R142" s="32">
        <f t="shared" si="2"/>
        <v>0</v>
      </c>
      <c r="S142" s="32">
        <f t="shared" si="3"/>
        <v>0</v>
      </c>
      <c r="T142" s="32">
        <f t="shared" si="4"/>
        <v>0</v>
      </c>
      <c r="U142" s="37">
        <f t="shared" si="5"/>
        <v>0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14" t="s">
        <v>18</v>
      </c>
      <c r="B143" s="15">
        <f t="shared" si="6"/>
        <v>46160</v>
      </c>
      <c r="C143" s="16">
        <v>6.1</v>
      </c>
      <c r="D143" s="17" t="s">
        <v>19</v>
      </c>
      <c r="E143" s="18" t="s">
        <v>29</v>
      </c>
      <c r="F143" s="18" t="s">
        <v>30</v>
      </c>
      <c r="G143" s="19"/>
      <c r="I143" s="20"/>
      <c r="K143" s="20"/>
      <c r="M143" s="20"/>
      <c r="O143" s="20"/>
      <c r="Q143" s="21">
        <f t="shared" si="1"/>
        <v>0</v>
      </c>
      <c r="R143" s="17">
        <f t="shared" si="2"/>
        <v>0</v>
      </c>
      <c r="S143" s="17">
        <f t="shared" si="3"/>
        <v>0</v>
      </c>
      <c r="T143" s="17">
        <f t="shared" si="4"/>
        <v>0</v>
      </c>
      <c r="U143" s="38">
        <f t="shared" si="5"/>
        <v>0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23" t="s">
        <v>20</v>
      </c>
      <c r="B144" s="24">
        <f t="shared" si="6"/>
        <v>46161</v>
      </c>
      <c r="C144" s="25">
        <v>6.1</v>
      </c>
      <c r="D144" s="26" t="s">
        <v>19</v>
      </c>
      <c r="E144" s="22" t="s">
        <v>29</v>
      </c>
      <c r="F144" s="22" t="s">
        <v>30</v>
      </c>
      <c r="G144" s="19"/>
      <c r="I144" s="20"/>
      <c r="K144" s="20"/>
      <c r="M144" s="20"/>
      <c r="O144" s="20"/>
      <c r="Q144" s="27">
        <f t="shared" si="1"/>
        <v>0</v>
      </c>
      <c r="R144" s="26">
        <f t="shared" si="2"/>
        <v>0</v>
      </c>
      <c r="S144" s="26">
        <f t="shared" si="3"/>
        <v>0</v>
      </c>
      <c r="T144" s="26">
        <f t="shared" si="4"/>
        <v>0</v>
      </c>
      <c r="U144" s="28">
        <f t="shared" si="5"/>
        <v>0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23" t="s">
        <v>21</v>
      </c>
      <c r="B145" s="24">
        <f t="shared" si="6"/>
        <v>46162</v>
      </c>
      <c r="C145" s="25">
        <v>6.1</v>
      </c>
      <c r="D145" s="26" t="s">
        <v>19</v>
      </c>
      <c r="E145" s="22" t="s">
        <v>29</v>
      </c>
      <c r="F145" s="22" t="s">
        <v>30</v>
      </c>
      <c r="G145" s="19"/>
      <c r="I145" s="20"/>
      <c r="K145" s="20"/>
      <c r="M145" s="20"/>
      <c r="O145" s="20"/>
      <c r="Q145" s="27">
        <f t="shared" si="1"/>
        <v>0</v>
      </c>
      <c r="R145" s="26">
        <f t="shared" si="2"/>
        <v>0</v>
      </c>
      <c r="S145" s="26">
        <f t="shared" si="3"/>
        <v>0</v>
      </c>
      <c r="T145" s="26">
        <f t="shared" si="4"/>
        <v>0</v>
      </c>
      <c r="U145" s="28">
        <f t="shared" si="5"/>
        <v>0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23" t="s">
        <v>22</v>
      </c>
      <c r="B146" s="24">
        <f t="shared" si="6"/>
        <v>46163</v>
      </c>
      <c r="C146" s="25">
        <v>6.1</v>
      </c>
      <c r="D146" s="26" t="s">
        <v>19</v>
      </c>
      <c r="E146" s="22" t="s">
        <v>29</v>
      </c>
      <c r="F146" s="22" t="s">
        <v>30</v>
      </c>
      <c r="G146" s="19"/>
      <c r="I146" s="20"/>
      <c r="K146" s="20"/>
      <c r="M146" s="20"/>
      <c r="O146" s="20"/>
      <c r="Q146" s="27">
        <f t="shared" si="1"/>
        <v>0</v>
      </c>
      <c r="R146" s="26">
        <f t="shared" si="2"/>
        <v>0</v>
      </c>
      <c r="S146" s="26">
        <f t="shared" si="3"/>
        <v>0</v>
      </c>
      <c r="T146" s="26">
        <f t="shared" si="4"/>
        <v>0</v>
      </c>
      <c r="U146" s="28">
        <f t="shared" si="5"/>
        <v>0</v>
      </c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23" t="s">
        <v>23</v>
      </c>
      <c r="B147" s="24">
        <f t="shared" si="6"/>
        <v>46164</v>
      </c>
      <c r="C147" s="25">
        <v>6.1</v>
      </c>
      <c r="D147" s="26" t="s">
        <v>19</v>
      </c>
      <c r="E147" s="22" t="s">
        <v>29</v>
      </c>
      <c r="F147" s="22" t="s">
        <v>30</v>
      </c>
      <c r="G147" s="19"/>
      <c r="I147" s="20"/>
      <c r="K147" s="20"/>
      <c r="M147" s="20"/>
      <c r="O147" s="20"/>
      <c r="Q147" s="27">
        <f t="shared" si="1"/>
        <v>0</v>
      </c>
      <c r="R147" s="26">
        <f t="shared" si="2"/>
        <v>0</v>
      </c>
      <c r="S147" s="26">
        <f t="shared" si="3"/>
        <v>0</v>
      </c>
      <c r="T147" s="26">
        <f t="shared" si="4"/>
        <v>0</v>
      </c>
      <c r="U147" s="28">
        <f t="shared" si="5"/>
        <v>0</v>
      </c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23" t="s">
        <v>24</v>
      </c>
      <c r="B148" s="24">
        <f t="shared" si="6"/>
        <v>46165</v>
      </c>
      <c r="C148" s="25">
        <v>6.1</v>
      </c>
      <c r="D148" s="26" t="s">
        <v>19</v>
      </c>
      <c r="E148" s="22" t="s">
        <v>29</v>
      </c>
      <c r="F148" s="22" t="s">
        <v>30</v>
      </c>
      <c r="G148" s="19"/>
      <c r="I148" s="20"/>
      <c r="K148" s="20"/>
      <c r="M148" s="20"/>
      <c r="O148" s="20"/>
      <c r="Q148" s="27">
        <f t="shared" si="1"/>
        <v>0</v>
      </c>
      <c r="R148" s="26">
        <f t="shared" si="2"/>
        <v>0</v>
      </c>
      <c r="S148" s="26">
        <f t="shared" si="3"/>
        <v>0</v>
      </c>
      <c r="T148" s="26">
        <f t="shared" si="4"/>
        <v>0</v>
      </c>
      <c r="U148" s="28">
        <f t="shared" si="5"/>
        <v>0</v>
      </c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29" t="s">
        <v>25</v>
      </c>
      <c r="B149" s="30">
        <f t="shared" si="6"/>
        <v>46166</v>
      </c>
      <c r="C149" s="31">
        <v>6.1</v>
      </c>
      <c r="D149" s="32" t="s">
        <v>19</v>
      </c>
      <c r="E149" s="33" t="s">
        <v>29</v>
      </c>
      <c r="F149" s="33" t="s">
        <v>30</v>
      </c>
      <c r="G149" s="34"/>
      <c r="H149" s="6"/>
      <c r="I149" s="35"/>
      <c r="J149" s="6"/>
      <c r="K149" s="35"/>
      <c r="L149" s="6"/>
      <c r="M149" s="35"/>
      <c r="N149" s="6"/>
      <c r="O149" s="35"/>
      <c r="P149" s="6"/>
      <c r="Q149" s="36">
        <f t="shared" si="1"/>
        <v>0</v>
      </c>
      <c r="R149" s="32">
        <f t="shared" si="2"/>
        <v>0</v>
      </c>
      <c r="S149" s="32">
        <f t="shared" si="3"/>
        <v>0</v>
      </c>
      <c r="T149" s="32">
        <f t="shared" si="4"/>
        <v>0</v>
      </c>
      <c r="U149" s="37">
        <f t="shared" si="5"/>
        <v>0</v>
      </c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14" t="s">
        <v>18</v>
      </c>
      <c r="B150" s="15">
        <f t="shared" si="6"/>
        <v>46167</v>
      </c>
      <c r="C150" s="16">
        <v>6.2</v>
      </c>
      <c r="D150" s="17" t="s">
        <v>26</v>
      </c>
      <c r="E150" s="18" t="s">
        <v>31</v>
      </c>
      <c r="F150" s="18" t="s">
        <v>32</v>
      </c>
      <c r="G150" s="19"/>
      <c r="I150" s="20"/>
      <c r="K150" s="20"/>
      <c r="M150" s="20"/>
      <c r="O150" s="20"/>
      <c r="Q150" s="21">
        <f t="shared" si="1"/>
        <v>0</v>
      </c>
      <c r="R150" s="17">
        <f t="shared" si="2"/>
        <v>0</v>
      </c>
      <c r="S150" s="17">
        <f t="shared" si="3"/>
        <v>0</v>
      </c>
      <c r="T150" s="17">
        <f t="shared" si="4"/>
        <v>0</v>
      </c>
      <c r="U150" s="38">
        <f t="shared" si="5"/>
        <v>0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23" t="s">
        <v>20</v>
      </c>
      <c r="B151" s="24">
        <f t="shared" si="6"/>
        <v>46168</v>
      </c>
      <c r="C151" s="25">
        <v>6.2</v>
      </c>
      <c r="D151" s="26" t="s">
        <v>26</v>
      </c>
      <c r="E151" s="22" t="s">
        <v>31</v>
      </c>
      <c r="F151" s="22" t="s">
        <v>32</v>
      </c>
      <c r="G151" s="19"/>
      <c r="I151" s="20"/>
      <c r="K151" s="20"/>
      <c r="M151" s="20"/>
      <c r="O151" s="20"/>
      <c r="Q151" s="27">
        <f t="shared" si="1"/>
        <v>0</v>
      </c>
      <c r="R151" s="26">
        <f t="shared" si="2"/>
        <v>0</v>
      </c>
      <c r="S151" s="26">
        <f t="shared" si="3"/>
        <v>0</v>
      </c>
      <c r="T151" s="26">
        <f t="shared" si="4"/>
        <v>0</v>
      </c>
      <c r="U151" s="28">
        <f t="shared" si="5"/>
        <v>0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23" t="s">
        <v>21</v>
      </c>
      <c r="B152" s="24">
        <f t="shared" si="6"/>
        <v>46169</v>
      </c>
      <c r="C152" s="25">
        <v>6.2</v>
      </c>
      <c r="D152" s="26" t="s">
        <v>26</v>
      </c>
      <c r="E152" s="22" t="s">
        <v>31</v>
      </c>
      <c r="F152" s="22" t="s">
        <v>32</v>
      </c>
      <c r="G152" s="19"/>
      <c r="I152" s="20"/>
      <c r="K152" s="20"/>
      <c r="M152" s="20"/>
      <c r="O152" s="20"/>
      <c r="Q152" s="27">
        <f t="shared" si="1"/>
        <v>0</v>
      </c>
      <c r="R152" s="26">
        <f t="shared" si="2"/>
        <v>0</v>
      </c>
      <c r="S152" s="26">
        <f t="shared" si="3"/>
        <v>0</v>
      </c>
      <c r="T152" s="26">
        <f t="shared" si="4"/>
        <v>0</v>
      </c>
      <c r="U152" s="28">
        <f t="shared" si="5"/>
        <v>0</v>
      </c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23" t="s">
        <v>22</v>
      </c>
      <c r="B153" s="24">
        <f t="shared" si="6"/>
        <v>46170</v>
      </c>
      <c r="C153" s="25">
        <v>6.2</v>
      </c>
      <c r="D153" s="26" t="s">
        <v>26</v>
      </c>
      <c r="E153" s="22" t="s">
        <v>31</v>
      </c>
      <c r="F153" s="22" t="s">
        <v>32</v>
      </c>
      <c r="G153" s="19"/>
      <c r="I153" s="20"/>
      <c r="K153" s="20"/>
      <c r="M153" s="20"/>
      <c r="O153" s="20"/>
      <c r="Q153" s="27">
        <f t="shared" si="1"/>
        <v>0</v>
      </c>
      <c r="R153" s="26">
        <f t="shared" si="2"/>
        <v>0</v>
      </c>
      <c r="S153" s="26">
        <f t="shared" si="3"/>
        <v>0</v>
      </c>
      <c r="T153" s="26">
        <f t="shared" si="4"/>
        <v>0</v>
      </c>
      <c r="U153" s="28">
        <f t="shared" si="5"/>
        <v>0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23" t="s">
        <v>23</v>
      </c>
      <c r="B154" s="24">
        <f t="shared" si="6"/>
        <v>46171</v>
      </c>
      <c r="C154" s="25">
        <v>6.2</v>
      </c>
      <c r="D154" s="26" t="s">
        <v>26</v>
      </c>
      <c r="E154" s="22" t="s">
        <v>31</v>
      </c>
      <c r="F154" s="22" t="s">
        <v>32</v>
      </c>
      <c r="G154" s="19"/>
      <c r="I154" s="20"/>
      <c r="K154" s="20"/>
      <c r="M154" s="20"/>
      <c r="O154" s="20"/>
      <c r="Q154" s="27">
        <f t="shared" si="1"/>
        <v>0</v>
      </c>
      <c r="R154" s="26">
        <f t="shared" si="2"/>
        <v>0</v>
      </c>
      <c r="S154" s="26">
        <f t="shared" si="3"/>
        <v>0</v>
      </c>
      <c r="T154" s="26">
        <f t="shared" si="4"/>
        <v>0</v>
      </c>
      <c r="U154" s="28">
        <f t="shared" si="5"/>
        <v>0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23" t="s">
        <v>24</v>
      </c>
      <c r="B155" s="24">
        <f t="shared" si="6"/>
        <v>46172</v>
      </c>
      <c r="C155" s="25">
        <v>6.2</v>
      </c>
      <c r="D155" s="26" t="s">
        <v>26</v>
      </c>
      <c r="E155" s="22" t="s">
        <v>31</v>
      </c>
      <c r="F155" s="22" t="s">
        <v>32</v>
      </c>
      <c r="G155" s="19"/>
      <c r="I155" s="20"/>
      <c r="K155" s="20"/>
      <c r="M155" s="20"/>
      <c r="O155" s="20"/>
      <c r="Q155" s="27">
        <f t="shared" si="1"/>
        <v>0</v>
      </c>
      <c r="R155" s="26">
        <f t="shared" si="2"/>
        <v>0</v>
      </c>
      <c r="S155" s="26">
        <f t="shared" si="3"/>
        <v>0</v>
      </c>
      <c r="T155" s="26">
        <f t="shared" si="4"/>
        <v>0</v>
      </c>
      <c r="U155" s="28">
        <f t="shared" si="5"/>
        <v>0</v>
      </c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29" t="s">
        <v>25</v>
      </c>
      <c r="B156" s="30">
        <f t="shared" si="6"/>
        <v>46173</v>
      </c>
      <c r="C156" s="31">
        <v>6.2</v>
      </c>
      <c r="D156" s="32" t="s">
        <v>26</v>
      </c>
      <c r="E156" s="33" t="s">
        <v>31</v>
      </c>
      <c r="F156" s="33" t="s">
        <v>32</v>
      </c>
      <c r="G156" s="34"/>
      <c r="H156" s="6"/>
      <c r="I156" s="35"/>
      <c r="J156" s="6"/>
      <c r="K156" s="35"/>
      <c r="L156" s="6"/>
      <c r="M156" s="35"/>
      <c r="N156" s="6"/>
      <c r="O156" s="35"/>
      <c r="P156" s="6"/>
      <c r="Q156" s="36">
        <f t="shared" si="1"/>
        <v>0</v>
      </c>
      <c r="R156" s="32">
        <f t="shared" si="2"/>
        <v>0</v>
      </c>
      <c r="S156" s="32">
        <f t="shared" si="3"/>
        <v>0</v>
      </c>
      <c r="T156" s="32">
        <f t="shared" si="4"/>
        <v>0</v>
      </c>
      <c r="U156" s="37">
        <f t="shared" si="5"/>
        <v>0</v>
      </c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14" t="s">
        <v>18</v>
      </c>
      <c r="B157" s="15">
        <f t="shared" si="6"/>
        <v>46174</v>
      </c>
      <c r="C157" s="16">
        <v>6.3</v>
      </c>
      <c r="D157" s="17" t="s">
        <v>27</v>
      </c>
      <c r="E157" s="18" t="s">
        <v>29</v>
      </c>
      <c r="F157" s="18" t="s">
        <v>30</v>
      </c>
      <c r="G157" s="19"/>
      <c r="I157" s="20"/>
      <c r="K157" s="20"/>
      <c r="M157" s="20"/>
      <c r="O157" s="20"/>
      <c r="Q157" s="21">
        <f t="shared" si="1"/>
        <v>0</v>
      </c>
      <c r="R157" s="17">
        <f t="shared" si="2"/>
        <v>0</v>
      </c>
      <c r="S157" s="17">
        <f t="shared" si="3"/>
        <v>0</v>
      </c>
      <c r="T157" s="17">
        <f t="shared" si="4"/>
        <v>0</v>
      </c>
      <c r="U157" s="38">
        <f t="shared" si="5"/>
        <v>0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23" t="s">
        <v>20</v>
      </c>
      <c r="B158" s="24">
        <f t="shared" si="6"/>
        <v>46175</v>
      </c>
      <c r="C158" s="25">
        <v>6.3</v>
      </c>
      <c r="D158" s="26" t="s">
        <v>27</v>
      </c>
      <c r="E158" s="22" t="s">
        <v>29</v>
      </c>
      <c r="F158" s="22" t="s">
        <v>30</v>
      </c>
      <c r="G158" s="19"/>
      <c r="I158" s="20"/>
      <c r="K158" s="20"/>
      <c r="M158" s="20"/>
      <c r="O158" s="20"/>
      <c r="Q158" s="27">
        <f t="shared" si="1"/>
        <v>0</v>
      </c>
      <c r="R158" s="26">
        <f t="shared" si="2"/>
        <v>0</v>
      </c>
      <c r="S158" s="26">
        <f t="shared" si="3"/>
        <v>0</v>
      </c>
      <c r="T158" s="26">
        <f t="shared" si="4"/>
        <v>0</v>
      </c>
      <c r="U158" s="28">
        <f t="shared" si="5"/>
        <v>0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23" t="s">
        <v>21</v>
      </c>
      <c r="B159" s="24">
        <f t="shared" si="6"/>
        <v>46176</v>
      </c>
      <c r="C159" s="25">
        <v>6.3</v>
      </c>
      <c r="D159" s="26" t="s">
        <v>27</v>
      </c>
      <c r="E159" s="22" t="s">
        <v>29</v>
      </c>
      <c r="F159" s="22" t="s">
        <v>30</v>
      </c>
      <c r="G159" s="19"/>
      <c r="I159" s="20"/>
      <c r="K159" s="20"/>
      <c r="M159" s="20"/>
      <c r="O159" s="20"/>
      <c r="Q159" s="27">
        <f t="shared" si="1"/>
        <v>0</v>
      </c>
      <c r="R159" s="26">
        <f t="shared" si="2"/>
        <v>0</v>
      </c>
      <c r="S159" s="26">
        <f t="shared" si="3"/>
        <v>0</v>
      </c>
      <c r="T159" s="26">
        <f t="shared" si="4"/>
        <v>0</v>
      </c>
      <c r="U159" s="28">
        <f t="shared" si="5"/>
        <v>0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23" t="s">
        <v>22</v>
      </c>
      <c r="B160" s="24">
        <f t="shared" si="6"/>
        <v>46177</v>
      </c>
      <c r="C160" s="25">
        <v>6.3</v>
      </c>
      <c r="D160" s="26" t="s">
        <v>27</v>
      </c>
      <c r="E160" s="22" t="s">
        <v>29</v>
      </c>
      <c r="F160" s="22" t="s">
        <v>30</v>
      </c>
      <c r="G160" s="19"/>
      <c r="I160" s="20"/>
      <c r="K160" s="20"/>
      <c r="M160" s="20"/>
      <c r="O160" s="20"/>
      <c r="Q160" s="27">
        <f t="shared" si="1"/>
        <v>0</v>
      </c>
      <c r="R160" s="26">
        <f t="shared" si="2"/>
        <v>0</v>
      </c>
      <c r="S160" s="26">
        <f t="shared" si="3"/>
        <v>0</v>
      </c>
      <c r="T160" s="26">
        <f t="shared" si="4"/>
        <v>0</v>
      </c>
      <c r="U160" s="28">
        <f t="shared" si="5"/>
        <v>0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23" t="s">
        <v>23</v>
      </c>
      <c r="B161" s="24">
        <f t="shared" si="6"/>
        <v>46178</v>
      </c>
      <c r="C161" s="25">
        <v>6.3</v>
      </c>
      <c r="D161" s="26" t="s">
        <v>27</v>
      </c>
      <c r="E161" s="22" t="s">
        <v>31</v>
      </c>
      <c r="F161" s="22" t="s">
        <v>32</v>
      </c>
      <c r="G161" s="19"/>
      <c r="I161" s="20"/>
      <c r="K161" s="20"/>
      <c r="M161" s="20"/>
      <c r="O161" s="20"/>
      <c r="Q161" s="27">
        <f t="shared" si="1"/>
        <v>0</v>
      </c>
      <c r="R161" s="26">
        <f t="shared" si="2"/>
        <v>0</v>
      </c>
      <c r="S161" s="26">
        <f t="shared" si="3"/>
        <v>0</v>
      </c>
      <c r="T161" s="26">
        <f t="shared" si="4"/>
        <v>0</v>
      </c>
      <c r="U161" s="28">
        <f t="shared" si="5"/>
        <v>0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23" t="s">
        <v>24</v>
      </c>
      <c r="B162" s="24">
        <f t="shared" si="6"/>
        <v>46179</v>
      </c>
      <c r="C162" s="25">
        <v>6.3</v>
      </c>
      <c r="D162" s="26" t="s">
        <v>27</v>
      </c>
      <c r="E162" s="22" t="s">
        <v>31</v>
      </c>
      <c r="F162" s="22" t="s">
        <v>32</v>
      </c>
      <c r="G162" s="19"/>
      <c r="I162" s="20"/>
      <c r="K162" s="20"/>
      <c r="M162" s="20"/>
      <c r="O162" s="20"/>
      <c r="Q162" s="27">
        <f t="shared" si="1"/>
        <v>0</v>
      </c>
      <c r="R162" s="26">
        <f t="shared" si="2"/>
        <v>0</v>
      </c>
      <c r="S162" s="26">
        <f t="shared" si="3"/>
        <v>0</v>
      </c>
      <c r="T162" s="26">
        <f t="shared" si="4"/>
        <v>0</v>
      </c>
      <c r="U162" s="28">
        <f t="shared" si="5"/>
        <v>0</v>
      </c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29" t="s">
        <v>25</v>
      </c>
      <c r="B163" s="30">
        <f t="shared" si="6"/>
        <v>46180</v>
      </c>
      <c r="C163" s="31">
        <v>6.3</v>
      </c>
      <c r="D163" s="32" t="s">
        <v>27</v>
      </c>
      <c r="E163" s="33" t="s">
        <v>31</v>
      </c>
      <c r="F163" s="33" t="s">
        <v>32</v>
      </c>
      <c r="G163" s="34"/>
      <c r="H163" s="6"/>
      <c r="I163" s="35"/>
      <c r="J163" s="6"/>
      <c r="K163" s="35"/>
      <c r="L163" s="6"/>
      <c r="M163" s="35"/>
      <c r="N163" s="6"/>
      <c r="O163" s="35"/>
      <c r="P163" s="6"/>
      <c r="Q163" s="36">
        <f t="shared" si="1"/>
        <v>0</v>
      </c>
      <c r="R163" s="32">
        <f t="shared" si="2"/>
        <v>0</v>
      </c>
      <c r="S163" s="32">
        <f t="shared" si="3"/>
        <v>0</v>
      </c>
      <c r="T163" s="32">
        <f t="shared" si="4"/>
        <v>0</v>
      </c>
      <c r="U163" s="37">
        <f t="shared" si="5"/>
        <v>0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14" t="s">
        <v>18</v>
      </c>
      <c r="B164" s="15">
        <f t="shared" si="6"/>
        <v>46181</v>
      </c>
      <c r="C164" s="16">
        <v>6.4</v>
      </c>
      <c r="D164" s="17" t="s">
        <v>28</v>
      </c>
      <c r="E164" s="18" t="s">
        <v>29</v>
      </c>
      <c r="F164" s="18" t="s">
        <v>30</v>
      </c>
      <c r="G164" s="19"/>
      <c r="I164" s="20"/>
      <c r="K164" s="20"/>
      <c r="M164" s="20"/>
      <c r="O164" s="20"/>
      <c r="Q164" s="21">
        <f t="shared" si="1"/>
        <v>0</v>
      </c>
      <c r="R164" s="17">
        <f t="shared" si="2"/>
        <v>0</v>
      </c>
      <c r="S164" s="17">
        <f t="shared" si="3"/>
        <v>0</v>
      </c>
      <c r="T164" s="17">
        <f t="shared" si="4"/>
        <v>0</v>
      </c>
      <c r="U164" s="38">
        <f t="shared" si="5"/>
        <v>0</v>
      </c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23" t="s">
        <v>20</v>
      </c>
      <c r="B165" s="24">
        <f t="shared" si="6"/>
        <v>46182</v>
      </c>
      <c r="C165" s="25">
        <v>6.4</v>
      </c>
      <c r="D165" s="26" t="s">
        <v>28</v>
      </c>
      <c r="E165" s="22" t="s">
        <v>29</v>
      </c>
      <c r="F165" s="22" t="s">
        <v>30</v>
      </c>
      <c r="G165" s="19"/>
      <c r="I165" s="20"/>
      <c r="K165" s="20"/>
      <c r="M165" s="20"/>
      <c r="O165" s="20"/>
      <c r="Q165" s="27">
        <f t="shared" si="1"/>
        <v>0</v>
      </c>
      <c r="R165" s="26">
        <f t="shared" si="2"/>
        <v>0</v>
      </c>
      <c r="S165" s="26">
        <f t="shared" si="3"/>
        <v>0</v>
      </c>
      <c r="T165" s="26">
        <f t="shared" si="4"/>
        <v>0</v>
      </c>
      <c r="U165" s="28">
        <f t="shared" si="5"/>
        <v>0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23" t="s">
        <v>21</v>
      </c>
      <c r="B166" s="24">
        <f t="shared" si="6"/>
        <v>46183</v>
      </c>
      <c r="C166" s="25">
        <v>6.4</v>
      </c>
      <c r="D166" s="26" t="s">
        <v>28</v>
      </c>
      <c r="E166" s="22" t="s">
        <v>29</v>
      </c>
      <c r="F166" s="22" t="s">
        <v>30</v>
      </c>
      <c r="G166" s="19"/>
      <c r="I166" s="20"/>
      <c r="K166" s="20"/>
      <c r="M166" s="20"/>
      <c r="O166" s="20"/>
      <c r="Q166" s="27">
        <f t="shared" si="1"/>
        <v>0</v>
      </c>
      <c r="R166" s="26">
        <f t="shared" si="2"/>
        <v>0</v>
      </c>
      <c r="S166" s="26">
        <f t="shared" si="3"/>
        <v>0</v>
      </c>
      <c r="T166" s="26">
        <f t="shared" si="4"/>
        <v>0</v>
      </c>
      <c r="U166" s="28">
        <f t="shared" si="5"/>
        <v>0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23" t="s">
        <v>22</v>
      </c>
      <c r="B167" s="24">
        <f t="shared" si="6"/>
        <v>46184</v>
      </c>
      <c r="C167" s="25">
        <v>6.4</v>
      </c>
      <c r="D167" s="26" t="s">
        <v>28</v>
      </c>
      <c r="E167" s="22" t="s">
        <v>29</v>
      </c>
      <c r="F167" s="22" t="s">
        <v>30</v>
      </c>
      <c r="G167" s="19"/>
      <c r="I167" s="20"/>
      <c r="K167" s="20"/>
      <c r="M167" s="20"/>
      <c r="O167" s="20"/>
      <c r="Q167" s="27">
        <f t="shared" si="1"/>
        <v>0</v>
      </c>
      <c r="R167" s="26">
        <f t="shared" si="2"/>
        <v>0</v>
      </c>
      <c r="S167" s="26">
        <f t="shared" si="3"/>
        <v>0</v>
      </c>
      <c r="T167" s="26">
        <f t="shared" si="4"/>
        <v>0</v>
      </c>
      <c r="U167" s="28">
        <f t="shared" si="5"/>
        <v>0</v>
      </c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23" t="s">
        <v>23</v>
      </c>
      <c r="B168" s="24">
        <f t="shared" si="6"/>
        <v>46185</v>
      </c>
      <c r="C168" s="25">
        <v>6.4</v>
      </c>
      <c r="D168" s="26" t="s">
        <v>28</v>
      </c>
      <c r="E168" s="22" t="s">
        <v>29</v>
      </c>
      <c r="F168" s="22" t="s">
        <v>30</v>
      </c>
      <c r="G168" s="19"/>
      <c r="I168" s="20"/>
      <c r="K168" s="20"/>
      <c r="M168" s="20"/>
      <c r="O168" s="20"/>
      <c r="Q168" s="27">
        <f t="shared" si="1"/>
        <v>0</v>
      </c>
      <c r="R168" s="26">
        <f t="shared" si="2"/>
        <v>0</v>
      </c>
      <c r="S168" s="26">
        <f t="shared" si="3"/>
        <v>0</v>
      </c>
      <c r="T168" s="26">
        <f t="shared" si="4"/>
        <v>0</v>
      </c>
      <c r="U168" s="28">
        <f t="shared" si="5"/>
        <v>0</v>
      </c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23" t="s">
        <v>24</v>
      </c>
      <c r="B169" s="24">
        <f t="shared" si="6"/>
        <v>46186</v>
      </c>
      <c r="C169" s="25">
        <v>6.4</v>
      </c>
      <c r="D169" s="26" t="s">
        <v>28</v>
      </c>
      <c r="E169" s="22" t="s">
        <v>29</v>
      </c>
      <c r="F169" s="22" t="s">
        <v>30</v>
      </c>
      <c r="G169" s="19"/>
      <c r="I169" s="20"/>
      <c r="K169" s="20"/>
      <c r="M169" s="20"/>
      <c r="O169" s="20"/>
      <c r="Q169" s="27">
        <f t="shared" si="1"/>
        <v>0</v>
      </c>
      <c r="R169" s="26">
        <f t="shared" si="2"/>
        <v>0</v>
      </c>
      <c r="S169" s="26">
        <f t="shared" si="3"/>
        <v>0</v>
      </c>
      <c r="T169" s="26">
        <f t="shared" si="4"/>
        <v>0</v>
      </c>
      <c r="U169" s="28">
        <f t="shared" si="5"/>
        <v>0</v>
      </c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29" t="s">
        <v>25</v>
      </c>
      <c r="B170" s="30">
        <f t="shared" si="6"/>
        <v>46187</v>
      </c>
      <c r="C170" s="31">
        <v>6.4</v>
      </c>
      <c r="D170" s="32" t="s">
        <v>28</v>
      </c>
      <c r="E170" s="33" t="s">
        <v>29</v>
      </c>
      <c r="F170" s="33" t="s">
        <v>30</v>
      </c>
      <c r="G170" s="34"/>
      <c r="H170" s="6"/>
      <c r="I170" s="35"/>
      <c r="J170" s="6"/>
      <c r="K170" s="35"/>
      <c r="L170" s="6"/>
      <c r="M170" s="35"/>
      <c r="N170" s="6"/>
      <c r="O170" s="35"/>
      <c r="P170" s="6"/>
      <c r="Q170" s="36">
        <f t="shared" si="1"/>
        <v>0</v>
      </c>
      <c r="R170" s="32">
        <f t="shared" si="2"/>
        <v>0</v>
      </c>
      <c r="S170" s="32">
        <f t="shared" si="3"/>
        <v>0</v>
      </c>
      <c r="T170" s="32">
        <f t="shared" si="4"/>
        <v>0</v>
      </c>
      <c r="U170" s="37">
        <f t="shared" si="5"/>
        <v>0</v>
      </c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14" t="s">
        <v>18</v>
      </c>
      <c r="B171" s="15">
        <f t="shared" si="6"/>
        <v>46188</v>
      </c>
      <c r="C171" s="16">
        <v>7.1</v>
      </c>
      <c r="D171" s="17" t="s">
        <v>19</v>
      </c>
      <c r="E171" s="18" t="s">
        <v>31</v>
      </c>
      <c r="F171" s="18" t="s">
        <v>32</v>
      </c>
      <c r="G171" s="19"/>
      <c r="I171" s="20"/>
      <c r="K171" s="20"/>
      <c r="M171" s="20"/>
      <c r="O171" s="20"/>
      <c r="Q171" s="21">
        <f t="shared" si="1"/>
        <v>0</v>
      </c>
      <c r="R171" s="17">
        <f t="shared" si="2"/>
        <v>0</v>
      </c>
      <c r="S171" s="17">
        <f t="shared" si="3"/>
        <v>0</v>
      </c>
      <c r="T171" s="17">
        <f t="shared" si="4"/>
        <v>0</v>
      </c>
      <c r="U171" s="38">
        <f t="shared" si="5"/>
        <v>0</v>
      </c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23" t="s">
        <v>20</v>
      </c>
      <c r="B172" s="24">
        <f t="shared" si="6"/>
        <v>46189</v>
      </c>
      <c r="C172" s="25">
        <v>7.1</v>
      </c>
      <c r="D172" s="26" t="s">
        <v>19</v>
      </c>
      <c r="E172" s="22" t="s">
        <v>31</v>
      </c>
      <c r="F172" s="22" t="s">
        <v>32</v>
      </c>
      <c r="G172" s="19"/>
      <c r="I172" s="20"/>
      <c r="K172" s="20"/>
      <c r="M172" s="20"/>
      <c r="O172" s="20"/>
      <c r="Q172" s="27">
        <f t="shared" si="1"/>
        <v>0</v>
      </c>
      <c r="R172" s="26">
        <f t="shared" si="2"/>
        <v>0</v>
      </c>
      <c r="S172" s="26">
        <f t="shared" si="3"/>
        <v>0</v>
      </c>
      <c r="T172" s="26">
        <f t="shared" si="4"/>
        <v>0</v>
      </c>
      <c r="U172" s="28">
        <f t="shared" si="5"/>
        <v>0</v>
      </c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23" t="s">
        <v>21</v>
      </c>
      <c r="B173" s="24">
        <f t="shared" si="6"/>
        <v>46190</v>
      </c>
      <c r="C173" s="25">
        <v>7.1</v>
      </c>
      <c r="D173" s="26" t="s">
        <v>19</v>
      </c>
      <c r="E173" s="22" t="s">
        <v>33</v>
      </c>
      <c r="F173" s="22" t="s">
        <v>30</v>
      </c>
      <c r="G173" s="19"/>
      <c r="I173" s="20"/>
      <c r="K173" s="20"/>
      <c r="M173" s="20"/>
      <c r="O173" s="20"/>
      <c r="Q173" s="27">
        <f t="shared" si="1"/>
        <v>0</v>
      </c>
      <c r="R173" s="26">
        <f t="shared" si="2"/>
        <v>0</v>
      </c>
      <c r="S173" s="26">
        <f t="shared" si="3"/>
        <v>0</v>
      </c>
      <c r="T173" s="26">
        <f t="shared" si="4"/>
        <v>0</v>
      </c>
      <c r="U173" s="28">
        <f t="shared" si="5"/>
        <v>0</v>
      </c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23" t="s">
        <v>22</v>
      </c>
      <c r="B174" s="24">
        <f t="shared" si="6"/>
        <v>46191</v>
      </c>
      <c r="C174" s="25">
        <v>7.1</v>
      </c>
      <c r="D174" s="26" t="s">
        <v>19</v>
      </c>
      <c r="E174" s="22" t="s">
        <v>31</v>
      </c>
      <c r="F174" s="22" t="s">
        <v>32</v>
      </c>
      <c r="G174" s="19"/>
      <c r="I174" s="20"/>
      <c r="K174" s="20"/>
      <c r="M174" s="20"/>
      <c r="O174" s="20"/>
      <c r="Q174" s="27">
        <f t="shared" si="1"/>
        <v>0</v>
      </c>
      <c r="R174" s="26">
        <f t="shared" si="2"/>
        <v>0</v>
      </c>
      <c r="S174" s="26">
        <f t="shared" si="3"/>
        <v>0</v>
      </c>
      <c r="T174" s="26">
        <f t="shared" si="4"/>
        <v>0</v>
      </c>
      <c r="U174" s="28">
        <f t="shared" si="5"/>
        <v>0</v>
      </c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23" t="s">
        <v>23</v>
      </c>
      <c r="B175" s="24">
        <f t="shared" si="6"/>
        <v>46192</v>
      </c>
      <c r="C175" s="25">
        <v>7.1</v>
      </c>
      <c r="D175" s="26" t="s">
        <v>19</v>
      </c>
      <c r="E175" s="22" t="s">
        <v>31</v>
      </c>
      <c r="F175" s="22" t="s">
        <v>32</v>
      </c>
      <c r="G175" s="19"/>
      <c r="I175" s="20"/>
      <c r="K175" s="20"/>
      <c r="M175" s="20"/>
      <c r="O175" s="20"/>
      <c r="Q175" s="27">
        <f t="shared" si="1"/>
        <v>0</v>
      </c>
      <c r="R175" s="26">
        <f t="shared" si="2"/>
        <v>0</v>
      </c>
      <c r="S175" s="26">
        <f t="shared" si="3"/>
        <v>0</v>
      </c>
      <c r="T175" s="26">
        <f t="shared" si="4"/>
        <v>0</v>
      </c>
      <c r="U175" s="28">
        <f t="shared" si="5"/>
        <v>0</v>
      </c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23" t="s">
        <v>24</v>
      </c>
      <c r="B176" s="24">
        <f t="shared" si="6"/>
        <v>46193</v>
      </c>
      <c r="C176" s="25">
        <v>7.1</v>
      </c>
      <c r="D176" s="26" t="s">
        <v>19</v>
      </c>
      <c r="E176" s="22" t="s">
        <v>31</v>
      </c>
      <c r="F176" s="22" t="s">
        <v>32</v>
      </c>
      <c r="G176" s="19"/>
      <c r="I176" s="20"/>
      <c r="K176" s="20"/>
      <c r="M176" s="20"/>
      <c r="O176" s="20"/>
      <c r="Q176" s="27">
        <f t="shared" si="1"/>
        <v>0</v>
      </c>
      <c r="R176" s="26">
        <f t="shared" si="2"/>
        <v>0</v>
      </c>
      <c r="S176" s="26">
        <f t="shared" si="3"/>
        <v>0</v>
      </c>
      <c r="T176" s="26">
        <f t="shared" si="4"/>
        <v>0</v>
      </c>
      <c r="U176" s="28">
        <f t="shared" si="5"/>
        <v>0</v>
      </c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29" t="s">
        <v>25</v>
      </c>
      <c r="B177" s="30">
        <f t="shared" si="6"/>
        <v>46194</v>
      </c>
      <c r="C177" s="31">
        <v>7.1</v>
      </c>
      <c r="D177" s="32" t="s">
        <v>19</v>
      </c>
      <c r="E177" s="33" t="s">
        <v>31</v>
      </c>
      <c r="F177" s="33" t="s">
        <v>32</v>
      </c>
      <c r="G177" s="34"/>
      <c r="H177" s="6"/>
      <c r="I177" s="35"/>
      <c r="J177" s="6"/>
      <c r="K177" s="35"/>
      <c r="L177" s="6"/>
      <c r="M177" s="35"/>
      <c r="N177" s="6"/>
      <c r="O177" s="35"/>
      <c r="P177" s="6"/>
      <c r="Q177" s="36">
        <f t="shared" si="1"/>
        <v>0</v>
      </c>
      <c r="R177" s="32">
        <f t="shared" si="2"/>
        <v>0</v>
      </c>
      <c r="S177" s="32">
        <f t="shared" si="3"/>
        <v>0</v>
      </c>
      <c r="T177" s="32">
        <f t="shared" si="4"/>
        <v>0</v>
      </c>
      <c r="U177" s="37">
        <f t="shared" si="5"/>
        <v>0</v>
      </c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14" t="s">
        <v>18</v>
      </c>
      <c r="B178" s="15">
        <f t="shared" si="6"/>
        <v>46195</v>
      </c>
      <c r="C178" s="16">
        <v>7.2</v>
      </c>
      <c r="D178" s="17" t="s">
        <v>26</v>
      </c>
      <c r="E178" s="18" t="s">
        <v>29</v>
      </c>
      <c r="F178" s="18" t="s">
        <v>30</v>
      </c>
      <c r="G178" s="19"/>
      <c r="I178" s="20"/>
      <c r="K178" s="20"/>
      <c r="M178" s="20"/>
      <c r="O178" s="20"/>
      <c r="Q178" s="21">
        <f t="shared" si="1"/>
        <v>0</v>
      </c>
      <c r="R178" s="17">
        <f t="shared" si="2"/>
        <v>0</v>
      </c>
      <c r="S178" s="17">
        <f t="shared" si="3"/>
        <v>0</v>
      </c>
      <c r="T178" s="17">
        <f t="shared" si="4"/>
        <v>0</v>
      </c>
      <c r="U178" s="38">
        <f t="shared" si="5"/>
        <v>0</v>
      </c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23" t="s">
        <v>20</v>
      </c>
      <c r="B179" s="24">
        <f t="shared" si="6"/>
        <v>46196</v>
      </c>
      <c r="C179" s="25">
        <v>7.2</v>
      </c>
      <c r="D179" s="26" t="s">
        <v>26</v>
      </c>
      <c r="E179" s="22" t="s">
        <v>29</v>
      </c>
      <c r="F179" s="22" t="s">
        <v>30</v>
      </c>
      <c r="G179" s="19"/>
      <c r="I179" s="20"/>
      <c r="K179" s="20"/>
      <c r="M179" s="20"/>
      <c r="O179" s="20"/>
      <c r="Q179" s="27">
        <f t="shared" si="1"/>
        <v>0</v>
      </c>
      <c r="R179" s="26">
        <f t="shared" si="2"/>
        <v>0</v>
      </c>
      <c r="S179" s="26">
        <f t="shared" si="3"/>
        <v>0</v>
      </c>
      <c r="T179" s="26">
        <f t="shared" si="4"/>
        <v>0</v>
      </c>
      <c r="U179" s="28">
        <f t="shared" si="5"/>
        <v>0</v>
      </c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23" t="s">
        <v>21</v>
      </c>
      <c r="B180" s="24">
        <f t="shared" si="6"/>
        <v>46197</v>
      </c>
      <c r="C180" s="25">
        <v>7.2</v>
      </c>
      <c r="D180" s="26" t="s">
        <v>26</v>
      </c>
      <c r="E180" s="22" t="s">
        <v>29</v>
      </c>
      <c r="F180" s="22" t="s">
        <v>30</v>
      </c>
      <c r="G180" s="19"/>
      <c r="I180" s="20"/>
      <c r="K180" s="20"/>
      <c r="M180" s="20"/>
      <c r="O180" s="20"/>
      <c r="Q180" s="27">
        <f t="shared" si="1"/>
        <v>0</v>
      </c>
      <c r="R180" s="26">
        <f t="shared" si="2"/>
        <v>0</v>
      </c>
      <c r="S180" s="26">
        <f t="shared" si="3"/>
        <v>0</v>
      </c>
      <c r="T180" s="26">
        <f t="shared" si="4"/>
        <v>0</v>
      </c>
      <c r="U180" s="28">
        <f t="shared" si="5"/>
        <v>0</v>
      </c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23" t="s">
        <v>22</v>
      </c>
      <c r="B181" s="24">
        <f t="shared" si="6"/>
        <v>46198</v>
      </c>
      <c r="C181" s="25">
        <v>7.2</v>
      </c>
      <c r="D181" s="26" t="s">
        <v>26</v>
      </c>
      <c r="E181" s="22" t="s">
        <v>29</v>
      </c>
      <c r="F181" s="22" t="s">
        <v>30</v>
      </c>
      <c r="G181" s="19"/>
      <c r="I181" s="20"/>
      <c r="K181" s="20"/>
      <c r="M181" s="20"/>
      <c r="O181" s="20"/>
      <c r="Q181" s="27">
        <f t="shared" si="1"/>
        <v>0</v>
      </c>
      <c r="R181" s="26">
        <f t="shared" si="2"/>
        <v>0</v>
      </c>
      <c r="S181" s="26">
        <f t="shared" si="3"/>
        <v>0</v>
      </c>
      <c r="T181" s="26">
        <f t="shared" si="4"/>
        <v>0</v>
      </c>
      <c r="U181" s="28">
        <f t="shared" si="5"/>
        <v>0</v>
      </c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23" t="s">
        <v>23</v>
      </c>
      <c r="B182" s="24">
        <f t="shared" si="6"/>
        <v>46199</v>
      </c>
      <c r="C182" s="25">
        <v>7.2</v>
      </c>
      <c r="D182" s="26" t="s">
        <v>26</v>
      </c>
      <c r="E182" s="22" t="s">
        <v>29</v>
      </c>
      <c r="F182" s="22" t="s">
        <v>30</v>
      </c>
      <c r="G182" s="19"/>
      <c r="I182" s="20"/>
      <c r="K182" s="20"/>
      <c r="M182" s="20"/>
      <c r="O182" s="20"/>
      <c r="Q182" s="27">
        <f t="shared" si="1"/>
        <v>0</v>
      </c>
      <c r="R182" s="26">
        <f t="shared" si="2"/>
        <v>0</v>
      </c>
      <c r="S182" s="26">
        <f t="shared" si="3"/>
        <v>0</v>
      </c>
      <c r="T182" s="26">
        <f t="shared" si="4"/>
        <v>0</v>
      </c>
      <c r="U182" s="28">
        <f t="shared" si="5"/>
        <v>0</v>
      </c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23" t="s">
        <v>24</v>
      </c>
      <c r="B183" s="24">
        <f t="shared" si="6"/>
        <v>46200</v>
      </c>
      <c r="C183" s="25">
        <v>7.2</v>
      </c>
      <c r="D183" s="26" t="s">
        <v>26</v>
      </c>
      <c r="E183" s="22" t="s">
        <v>29</v>
      </c>
      <c r="F183" s="22" t="s">
        <v>30</v>
      </c>
      <c r="G183" s="19"/>
      <c r="I183" s="20"/>
      <c r="K183" s="20"/>
      <c r="M183" s="20"/>
      <c r="O183" s="20"/>
      <c r="Q183" s="27">
        <f t="shared" si="1"/>
        <v>0</v>
      </c>
      <c r="R183" s="26">
        <f t="shared" si="2"/>
        <v>0</v>
      </c>
      <c r="S183" s="26">
        <f t="shared" si="3"/>
        <v>0</v>
      </c>
      <c r="T183" s="26">
        <f t="shared" si="4"/>
        <v>0</v>
      </c>
      <c r="U183" s="28">
        <f t="shared" si="5"/>
        <v>0</v>
      </c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29" t="s">
        <v>25</v>
      </c>
      <c r="B184" s="30">
        <f t="shared" si="6"/>
        <v>46201</v>
      </c>
      <c r="C184" s="31">
        <v>7.2</v>
      </c>
      <c r="D184" s="32" t="s">
        <v>26</v>
      </c>
      <c r="E184" s="33" t="s">
        <v>29</v>
      </c>
      <c r="F184" s="33" t="s">
        <v>30</v>
      </c>
      <c r="G184" s="34"/>
      <c r="H184" s="6"/>
      <c r="I184" s="35"/>
      <c r="J184" s="6"/>
      <c r="K184" s="35"/>
      <c r="L184" s="6"/>
      <c r="M184" s="35"/>
      <c r="N184" s="6"/>
      <c r="O184" s="35"/>
      <c r="P184" s="6"/>
      <c r="Q184" s="36">
        <f t="shared" si="1"/>
        <v>0</v>
      </c>
      <c r="R184" s="32">
        <f t="shared" si="2"/>
        <v>0</v>
      </c>
      <c r="S184" s="32">
        <f t="shared" si="3"/>
        <v>0</v>
      </c>
      <c r="T184" s="32">
        <f t="shared" si="4"/>
        <v>0</v>
      </c>
      <c r="U184" s="37">
        <f t="shared" si="5"/>
        <v>0</v>
      </c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14" t="s">
        <v>18</v>
      </c>
      <c r="B185" s="15">
        <f t="shared" si="6"/>
        <v>46202</v>
      </c>
      <c r="C185" s="16">
        <v>7.3</v>
      </c>
      <c r="D185" s="17" t="s">
        <v>27</v>
      </c>
      <c r="E185" s="18" t="s">
        <v>29</v>
      </c>
      <c r="F185" s="18" t="s">
        <v>30</v>
      </c>
      <c r="G185" s="19"/>
      <c r="I185" s="20"/>
      <c r="K185" s="20"/>
      <c r="M185" s="20"/>
      <c r="O185" s="20"/>
      <c r="Q185" s="21">
        <f t="shared" si="1"/>
        <v>0</v>
      </c>
      <c r="R185" s="17">
        <f t="shared" si="2"/>
        <v>0</v>
      </c>
      <c r="S185" s="17">
        <f t="shared" si="3"/>
        <v>0</v>
      </c>
      <c r="T185" s="17">
        <f t="shared" si="4"/>
        <v>0</v>
      </c>
      <c r="U185" s="38">
        <f t="shared" si="5"/>
        <v>0</v>
      </c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23" t="s">
        <v>20</v>
      </c>
      <c r="B186" s="24">
        <f t="shared" si="6"/>
        <v>46203</v>
      </c>
      <c r="C186" s="25">
        <v>7.3</v>
      </c>
      <c r="D186" s="26" t="s">
        <v>27</v>
      </c>
      <c r="E186" s="22" t="s">
        <v>29</v>
      </c>
      <c r="F186" s="22" t="s">
        <v>30</v>
      </c>
      <c r="G186" s="19"/>
      <c r="I186" s="20"/>
      <c r="K186" s="20"/>
      <c r="M186" s="20"/>
      <c r="O186" s="20"/>
      <c r="Q186" s="27">
        <f t="shared" si="1"/>
        <v>0</v>
      </c>
      <c r="R186" s="26">
        <f t="shared" si="2"/>
        <v>0</v>
      </c>
      <c r="S186" s="26">
        <f t="shared" si="3"/>
        <v>0</v>
      </c>
      <c r="T186" s="26">
        <f t="shared" si="4"/>
        <v>0</v>
      </c>
      <c r="U186" s="28">
        <f t="shared" si="5"/>
        <v>0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23" t="s">
        <v>21</v>
      </c>
      <c r="B187" s="24">
        <f t="shared" si="6"/>
        <v>46204</v>
      </c>
      <c r="C187" s="25">
        <v>7.3</v>
      </c>
      <c r="D187" s="26" t="s">
        <v>27</v>
      </c>
      <c r="E187" s="22" t="s">
        <v>29</v>
      </c>
      <c r="F187" s="22" t="s">
        <v>30</v>
      </c>
      <c r="G187" s="19"/>
      <c r="I187" s="20"/>
      <c r="K187" s="20"/>
      <c r="M187" s="20"/>
      <c r="O187" s="20"/>
      <c r="Q187" s="27">
        <f t="shared" si="1"/>
        <v>0</v>
      </c>
      <c r="R187" s="26">
        <f t="shared" si="2"/>
        <v>0</v>
      </c>
      <c r="S187" s="26">
        <f t="shared" si="3"/>
        <v>0</v>
      </c>
      <c r="T187" s="26">
        <f t="shared" si="4"/>
        <v>0</v>
      </c>
      <c r="U187" s="28">
        <f t="shared" si="5"/>
        <v>0</v>
      </c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23" t="s">
        <v>22</v>
      </c>
      <c r="B188" s="24">
        <f t="shared" si="6"/>
        <v>46205</v>
      </c>
      <c r="C188" s="25">
        <v>7.3</v>
      </c>
      <c r="D188" s="26" t="s">
        <v>27</v>
      </c>
      <c r="E188" s="22" t="s">
        <v>31</v>
      </c>
      <c r="F188" s="22" t="s">
        <v>32</v>
      </c>
      <c r="G188" s="19"/>
      <c r="I188" s="20"/>
      <c r="K188" s="20"/>
      <c r="M188" s="20"/>
      <c r="O188" s="20"/>
      <c r="Q188" s="27">
        <f t="shared" si="1"/>
        <v>0</v>
      </c>
      <c r="R188" s="26">
        <f t="shared" si="2"/>
        <v>0</v>
      </c>
      <c r="S188" s="26">
        <f t="shared" si="3"/>
        <v>0</v>
      </c>
      <c r="T188" s="26">
        <f t="shared" si="4"/>
        <v>0</v>
      </c>
      <c r="U188" s="28">
        <f t="shared" si="5"/>
        <v>0</v>
      </c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23" t="s">
        <v>23</v>
      </c>
      <c r="B189" s="24">
        <f t="shared" si="6"/>
        <v>46206</v>
      </c>
      <c r="C189" s="25">
        <v>7.3</v>
      </c>
      <c r="D189" s="26" t="s">
        <v>27</v>
      </c>
      <c r="E189" s="22" t="s">
        <v>33</v>
      </c>
      <c r="F189" s="22" t="s">
        <v>30</v>
      </c>
      <c r="G189" s="19"/>
      <c r="I189" s="20"/>
      <c r="K189" s="20"/>
      <c r="M189" s="20"/>
      <c r="O189" s="20"/>
      <c r="Q189" s="27">
        <f t="shared" si="1"/>
        <v>0</v>
      </c>
      <c r="R189" s="26">
        <f t="shared" si="2"/>
        <v>0</v>
      </c>
      <c r="S189" s="26">
        <f t="shared" si="3"/>
        <v>0</v>
      </c>
      <c r="T189" s="26">
        <f t="shared" si="4"/>
        <v>0</v>
      </c>
      <c r="U189" s="28">
        <f t="shared" si="5"/>
        <v>0</v>
      </c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23" t="s">
        <v>24</v>
      </c>
      <c r="B190" s="24">
        <f t="shared" si="6"/>
        <v>46207</v>
      </c>
      <c r="C190" s="25">
        <v>7.3</v>
      </c>
      <c r="D190" s="26" t="s">
        <v>27</v>
      </c>
      <c r="E190" s="22" t="s">
        <v>31</v>
      </c>
      <c r="F190" s="22" t="s">
        <v>32</v>
      </c>
      <c r="G190" s="19"/>
      <c r="I190" s="20"/>
      <c r="K190" s="20"/>
      <c r="M190" s="20"/>
      <c r="O190" s="20"/>
      <c r="Q190" s="27">
        <f t="shared" si="1"/>
        <v>0</v>
      </c>
      <c r="R190" s="26">
        <f t="shared" si="2"/>
        <v>0</v>
      </c>
      <c r="S190" s="26">
        <f t="shared" si="3"/>
        <v>0</v>
      </c>
      <c r="T190" s="26">
        <f t="shared" si="4"/>
        <v>0</v>
      </c>
      <c r="U190" s="28">
        <f t="shared" si="5"/>
        <v>0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29" t="s">
        <v>25</v>
      </c>
      <c r="B191" s="30">
        <f t="shared" si="6"/>
        <v>46208</v>
      </c>
      <c r="C191" s="31">
        <v>7.3</v>
      </c>
      <c r="D191" s="32" t="s">
        <v>27</v>
      </c>
      <c r="E191" s="33" t="s">
        <v>31</v>
      </c>
      <c r="F191" s="33" t="s">
        <v>32</v>
      </c>
      <c r="G191" s="34"/>
      <c r="H191" s="6"/>
      <c r="I191" s="35"/>
      <c r="J191" s="6"/>
      <c r="K191" s="35"/>
      <c r="L191" s="6"/>
      <c r="M191" s="35"/>
      <c r="N191" s="6"/>
      <c r="O191" s="35"/>
      <c r="P191" s="6"/>
      <c r="Q191" s="36">
        <f t="shared" si="1"/>
        <v>0</v>
      </c>
      <c r="R191" s="32">
        <f t="shared" si="2"/>
        <v>0</v>
      </c>
      <c r="S191" s="32">
        <f t="shared" si="3"/>
        <v>0</v>
      </c>
      <c r="T191" s="32">
        <f t="shared" si="4"/>
        <v>0</v>
      </c>
      <c r="U191" s="37">
        <f t="shared" si="5"/>
        <v>0</v>
      </c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14" t="s">
        <v>18</v>
      </c>
      <c r="B192" s="15">
        <f t="shared" si="6"/>
        <v>46209</v>
      </c>
      <c r="C192" s="16">
        <v>7.4</v>
      </c>
      <c r="D192" s="17" t="s">
        <v>28</v>
      </c>
      <c r="E192" s="18" t="s">
        <v>33</v>
      </c>
      <c r="F192" s="18" t="s">
        <v>30</v>
      </c>
      <c r="G192" s="19"/>
      <c r="I192" s="20"/>
      <c r="K192" s="20"/>
      <c r="M192" s="20"/>
      <c r="O192" s="20"/>
      <c r="Q192" s="21">
        <f t="shared" si="1"/>
        <v>0</v>
      </c>
      <c r="R192" s="17">
        <f t="shared" si="2"/>
        <v>0</v>
      </c>
      <c r="S192" s="17">
        <f t="shared" si="3"/>
        <v>0</v>
      </c>
      <c r="T192" s="17">
        <f t="shared" si="4"/>
        <v>0</v>
      </c>
      <c r="U192" s="38">
        <f t="shared" si="5"/>
        <v>0</v>
      </c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23" t="s">
        <v>20</v>
      </c>
      <c r="B193" s="24">
        <f t="shared" si="6"/>
        <v>46210</v>
      </c>
      <c r="C193" s="25">
        <v>7.4</v>
      </c>
      <c r="D193" s="26" t="s">
        <v>28</v>
      </c>
      <c r="E193" s="22" t="s">
        <v>31</v>
      </c>
      <c r="F193" s="22" t="s">
        <v>32</v>
      </c>
      <c r="G193" s="19"/>
      <c r="I193" s="20"/>
      <c r="K193" s="20"/>
      <c r="M193" s="20"/>
      <c r="O193" s="20"/>
      <c r="Q193" s="27">
        <f t="shared" si="1"/>
        <v>0</v>
      </c>
      <c r="R193" s="26">
        <f t="shared" si="2"/>
        <v>0</v>
      </c>
      <c r="S193" s="26">
        <f t="shared" si="3"/>
        <v>0</v>
      </c>
      <c r="T193" s="26">
        <f t="shared" si="4"/>
        <v>0</v>
      </c>
      <c r="U193" s="28">
        <f t="shared" si="5"/>
        <v>0</v>
      </c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23" t="s">
        <v>21</v>
      </c>
      <c r="B194" s="24">
        <f t="shared" si="6"/>
        <v>46211</v>
      </c>
      <c r="C194" s="25">
        <v>7.4</v>
      </c>
      <c r="D194" s="26" t="s">
        <v>28</v>
      </c>
      <c r="E194" s="22" t="s">
        <v>31</v>
      </c>
      <c r="F194" s="22" t="s">
        <v>32</v>
      </c>
      <c r="G194" s="19"/>
      <c r="I194" s="20"/>
      <c r="K194" s="20"/>
      <c r="M194" s="20"/>
      <c r="O194" s="20"/>
      <c r="Q194" s="27">
        <f t="shared" si="1"/>
        <v>0</v>
      </c>
      <c r="R194" s="26">
        <f t="shared" si="2"/>
        <v>0</v>
      </c>
      <c r="S194" s="26">
        <f t="shared" si="3"/>
        <v>0</v>
      </c>
      <c r="T194" s="26">
        <f t="shared" si="4"/>
        <v>0</v>
      </c>
      <c r="U194" s="28">
        <f t="shared" si="5"/>
        <v>0</v>
      </c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23" t="s">
        <v>22</v>
      </c>
      <c r="B195" s="24">
        <f t="shared" si="6"/>
        <v>46212</v>
      </c>
      <c r="C195" s="25">
        <v>7.4</v>
      </c>
      <c r="D195" s="26" t="s">
        <v>28</v>
      </c>
      <c r="E195" s="22" t="s">
        <v>31</v>
      </c>
      <c r="F195" s="22" t="s">
        <v>32</v>
      </c>
      <c r="G195" s="19"/>
      <c r="I195" s="20"/>
      <c r="K195" s="20"/>
      <c r="M195" s="20"/>
      <c r="O195" s="20"/>
      <c r="Q195" s="27">
        <f t="shared" si="1"/>
        <v>0</v>
      </c>
      <c r="R195" s="26">
        <f t="shared" si="2"/>
        <v>0</v>
      </c>
      <c r="S195" s="26">
        <f t="shared" si="3"/>
        <v>0</v>
      </c>
      <c r="T195" s="26">
        <f t="shared" si="4"/>
        <v>0</v>
      </c>
      <c r="U195" s="28">
        <f t="shared" si="5"/>
        <v>0</v>
      </c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23" t="s">
        <v>23</v>
      </c>
      <c r="B196" s="24">
        <f t="shared" si="6"/>
        <v>46213</v>
      </c>
      <c r="C196" s="25">
        <v>7.4</v>
      </c>
      <c r="D196" s="26" t="s">
        <v>28</v>
      </c>
      <c r="E196" s="22" t="s">
        <v>31</v>
      </c>
      <c r="F196" s="22" t="s">
        <v>32</v>
      </c>
      <c r="G196" s="19"/>
      <c r="I196" s="20"/>
      <c r="K196" s="20"/>
      <c r="M196" s="20"/>
      <c r="O196" s="20"/>
      <c r="Q196" s="27">
        <f t="shared" si="1"/>
        <v>0</v>
      </c>
      <c r="R196" s="26">
        <f t="shared" si="2"/>
        <v>0</v>
      </c>
      <c r="S196" s="26">
        <f t="shared" si="3"/>
        <v>0</v>
      </c>
      <c r="T196" s="26">
        <f t="shared" si="4"/>
        <v>0</v>
      </c>
      <c r="U196" s="28">
        <f t="shared" si="5"/>
        <v>0</v>
      </c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23" t="s">
        <v>24</v>
      </c>
      <c r="B197" s="24">
        <f t="shared" si="6"/>
        <v>46214</v>
      </c>
      <c r="C197" s="25">
        <v>7.4</v>
      </c>
      <c r="D197" s="26" t="s">
        <v>28</v>
      </c>
      <c r="E197" s="22" t="s">
        <v>31</v>
      </c>
      <c r="F197" s="22" t="s">
        <v>32</v>
      </c>
      <c r="G197" s="19"/>
      <c r="I197" s="20"/>
      <c r="K197" s="20"/>
      <c r="M197" s="20"/>
      <c r="O197" s="20"/>
      <c r="Q197" s="27">
        <f t="shared" si="1"/>
        <v>0</v>
      </c>
      <c r="R197" s="26">
        <f t="shared" si="2"/>
        <v>0</v>
      </c>
      <c r="S197" s="26">
        <f t="shared" si="3"/>
        <v>0</v>
      </c>
      <c r="T197" s="26">
        <f t="shared" si="4"/>
        <v>0</v>
      </c>
      <c r="U197" s="28">
        <f t="shared" si="5"/>
        <v>0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29" t="s">
        <v>25</v>
      </c>
      <c r="B198" s="30">
        <f t="shared" si="6"/>
        <v>46215</v>
      </c>
      <c r="C198" s="31">
        <v>7.4</v>
      </c>
      <c r="D198" s="32" t="s">
        <v>28</v>
      </c>
      <c r="E198" s="33" t="s">
        <v>31</v>
      </c>
      <c r="F198" s="33" t="s">
        <v>32</v>
      </c>
      <c r="G198" s="34"/>
      <c r="H198" s="6"/>
      <c r="I198" s="35"/>
      <c r="J198" s="6"/>
      <c r="K198" s="35"/>
      <c r="L198" s="6"/>
      <c r="M198" s="35"/>
      <c r="N198" s="6"/>
      <c r="O198" s="35"/>
      <c r="P198" s="6"/>
      <c r="Q198" s="36">
        <f t="shared" si="1"/>
        <v>0</v>
      </c>
      <c r="R198" s="32">
        <f t="shared" si="2"/>
        <v>0</v>
      </c>
      <c r="S198" s="32">
        <f t="shared" si="3"/>
        <v>0</v>
      </c>
      <c r="T198" s="32">
        <f t="shared" si="4"/>
        <v>0</v>
      </c>
      <c r="U198" s="37">
        <f t="shared" si="5"/>
        <v>0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14" t="s">
        <v>18</v>
      </c>
      <c r="B199" s="15">
        <f t="shared" si="6"/>
        <v>46216</v>
      </c>
      <c r="C199" s="16">
        <v>8.1</v>
      </c>
      <c r="D199" s="17" t="s">
        <v>19</v>
      </c>
      <c r="E199" s="18" t="s">
        <v>29</v>
      </c>
      <c r="F199" s="18" t="s">
        <v>30</v>
      </c>
      <c r="G199" s="19"/>
      <c r="I199" s="20"/>
      <c r="K199" s="20"/>
      <c r="M199" s="20"/>
      <c r="O199" s="20"/>
      <c r="Q199" s="21">
        <f t="shared" si="1"/>
        <v>0</v>
      </c>
      <c r="R199" s="17">
        <f t="shared" si="2"/>
        <v>0</v>
      </c>
      <c r="S199" s="17">
        <f t="shared" si="3"/>
        <v>0</v>
      </c>
      <c r="T199" s="17">
        <f t="shared" si="4"/>
        <v>0</v>
      </c>
      <c r="U199" s="38">
        <f t="shared" si="5"/>
        <v>0</v>
      </c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23" t="s">
        <v>20</v>
      </c>
      <c r="B200" s="24">
        <f t="shared" si="6"/>
        <v>46217</v>
      </c>
      <c r="C200" s="25">
        <v>8.1</v>
      </c>
      <c r="D200" s="26" t="s">
        <v>19</v>
      </c>
      <c r="E200" s="22" t="s">
        <v>29</v>
      </c>
      <c r="F200" s="22" t="s">
        <v>30</v>
      </c>
      <c r="G200" s="19"/>
      <c r="I200" s="20"/>
      <c r="K200" s="20"/>
      <c r="M200" s="20"/>
      <c r="O200" s="20"/>
      <c r="Q200" s="27">
        <f t="shared" si="1"/>
        <v>0</v>
      </c>
      <c r="R200" s="26">
        <f t="shared" si="2"/>
        <v>0</v>
      </c>
      <c r="S200" s="26">
        <f t="shared" si="3"/>
        <v>0</v>
      </c>
      <c r="T200" s="26">
        <f t="shared" si="4"/>
        <v>0</v>
      </c>
      <c r="U200" s="28">
        <f t="shared" si="5"/>
        <v>0</v>
      </c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23" t="s">
        <v>21</v>
      </c>
      <c r="B201" s="24">
        <f t="shared" si="6"/>
        <v>46218</v>
      </c>
      <c r="C201" s="25">
        <v>8.1</v>
      </c>
      <c r="D201" s="26" t="s">
        <v>19</v>
      </c>
      <c r="E201" s="22" t="s">
        <v>29</v>
      </c>
      <c r="F201" s="22" t="s">
        <v>30</v>
      </c>
      <c r="G201" s="19"/>
      <c r="I201" s="20"/>
      <c r="K201" s="20"/>
      <c r="M201" s="20"/>
      <c r="O201" s="20"/>
      <c r="Q201" s="27">
        <f t="shared" si="1"/>
        <v>0</v>
      </c>
      <c r="R201" s="26">
        <f t="shared" si="2"/>
        <v>0</v>
      </c>
      <c r="S201" s="26">
        <f t="shared" si="3"/>
        <v>0</v>
      </c>
      <c r="T201" s="26">
        <f t="shared" si="4"/>
        <v>0</v>
      </c>
      <c r="U201" s="28">
        <f t="shared" si="5"/>
        <v>0</v>
      </c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23" t="s">
        <v>22</v>
      </c>
      <c r="B202" s="24">
        <f t="shared" si="6"/>
        <v>46219</v>
      </c>
      <c r="C202" s="25">
        <v>8.1</v>
      </c>
      <c r="D202" s="26" t="s">
        <v>19</v>
      </c>
      <c r="E202" s="22" t="s">
        <v>29</v>
      </c>
      <c r="F202" s="22" t="s">
        <v>30</v>
      </c>
      <c r="G202" s="19"/>
      <c r="I202" s="20"/>
      <c r="K202" s="20"/>
      <c r="M202" s="20"/>
      <c r="O202" s="20"/>
      <c r="Q202" s="27">
        <f t="shared" si="1"/>
        <v>0</v>
      </c>
      <c r="R202" s="26">
        <f t="shared" si="2"/>
        <v>0</v>
      </c>
      <c r="S202" s="26">
        <f t="shared" si="3"/>
        <v>0</v>
      </c>
      <c r="T202" s="26">
        <f t="shared" si="4"/>
        <v>0</v>
      </c>
      <c r="U202" s="28">
        <f t="shared" si="5"/>
        <v>0</v>
      </c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23" t="s">
        <v>23</v>
      </c>
      <c r="B203" s="24">
        <f t="shared" si="6"/>
        <v>46220</v>
      </c>
      <c r="C203" s="25">
        <v>8.1</v>
      </c>
      <c r="D203" s="26" t="s">
        <v>19</v>
      </c>
      <c r="E203" s="22" t="s">
        <v>29</v>
      </c>
      <c r="F203" s="22" t="s">
        <v>30</v>
      </c>
      <c r="G203" s="19"/>
      <c r="I203" s="20"/>
      <c r="K203" s="20"/>
      <c r="M203" s="20"/>
      <c r="O203" s="20"/>
      <c r="Q203" s="27">
        <f t="shared" si="1"/>
        <v>0</v>
      </c>
      <c r="R203" s="26">
        <f t="shared" si="2"/>
        <v>0</v>
      </c>
      <c r="S203" s="26">
        <f t="shared" si="3"/>
        <v>0</v>
      </c>
      <c r="T203" s="26">
        <f t="shared" si="4"/>
        <v>0</v>
      </c>
      <c r="U203" s="28">
        <f t="shared" si="5"/>
        <v>0</v>
      </c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23" t="s">
        <v>24</v>
      </c>
      <c r="B204" s="24">
        <f t="shared" si="6"/>
        <v>46221</v>
      </c>
      <c r="C204" s="25">
        <v>8.1</v>
      </c>
      <c r="D204" s="26" t="s">
        <v>19</v>
      </c>
      <c r="E204" s="22" t="s">
        <v>29</v>
      </c>
      <c r="F204" s="22" t="s">
        <v>30</v>
      </c>
      <c r="G204" s="19"/>
      <c r="I204" s="20"/>
      <c r="K204" s="20"/>
      <c r="M204" s="20"/>
      <c r="O204" s="20"/>
      <c r="Q204" s="27">
        <f t="shared" si="1"/>
        <v>0</v>
      </c>
      <c r="R204" s="26">
        <f t="shared" si="2"/>
        <v>0</v>
      </c>
      <c r="S204" s="26">
        <f t="shared" si="3"/>
        <v>0</v>
      </c>
      <c r="T204" s="26">
        <f t="shared" si="4"/>
        <v>0</v>
      </c>
      <c r="U204" s="28">
        <f t="shared" si="5"/>
        <v>0</v>
      </c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29" t="s">
        <v>25</v>
      </c>
      <c r="B205" s="30">
        <f t="shared" si="6"/>
        <v>46222</v>
      </c>
      <c r="C205" s="31">
        <v>8.1</v>
      </c>
      <c r="D205" s="32" t="s">
        <v>19</v>
      </c>
      <c r="E205" s="33" t="s">
        <v>29</v>
      </c>
      <c r="F205" s="33" t="s">
        <v>30</v>
      </c>
      <c r="G205" s="34"/>
      <c r="H205" s="6"/>
      <c r="I205" s="35"/>
      <c r="J205" s="6"/>
      <c r="K205" s="35"/>
      <c r="L205" s="6"/>
      <c r="M205" s="35"/>
      <c r="N205" s="6"/>
      <c r="O205" s="35"/>
      <c r="P205" s="6"/>
      <c r="Q205" s="36">
        <f t="shared" si="1"/>
        <v>0</v>
      </c>
      <c r="R205" s="32">
        <f t="shared" si="2"/>
        <v>0</v>
      </c>
      <c r="S205" s="32">
        <f t="shared" si="3"/>
        <v>0</v>
      </c>
      <c r="T205" s="32">
        <f t="shared" si="4"/>
        <v>0</v>
      </c>
      <c r="U205" s="37">
        <f t="shared" si="5"/>
        <v>0</v>
      </c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14" t="s">
        <v>18</v>
      </c>
      <c r="B206" s="15">
        <f t="shared" si="6"/>
        <v>46223</v>
      </c>
      <c r="C206" s="16">
        <v>8.2</v>
      </c>
      <c r="D206" s="17" t="s">
        <v>26</v>
      </c>
      <c r="E206" s="18" t="s">
        <v>31</v>
      </c>
      <c r="F206" s="18" t="s">
        <v>32</v>
      </c>
      <c r="G206" s="19"/>
      <c r="I206" s="20"/>
      <c r="K206" s="20"/>
      <c r="M206" s="20"/>
      <c r="O206" s="20"/>
      <c r="Q206" s="21">
        <f t="shared" si="1"/>
        <v>0</v>
      </c>
      <c r="R206" s="17">
        <f t="shared" si="2"/>
        <v>0</v>
      </c>
      <c r="S206" s="17">
        <f t="shared" si="3"/>
        <v>0</v>
      </c>
      <c r="T206" s="17">
        <f t="shared" si="4"/>
        <v>0</v>
      </c>
      <c r="U206" s="38">
        <f t="shared" si="5"/>
        <v>0</v>
      </c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23" t="s">
        <v>20</v>
      </c>
      <c r="B207" s="24">
        <f t="shared" si="6"/>
        <v>46224</v>
      </c>
      <c r="C207" s="25">
        <v>8.2</v>
      </c>
      <c r="D207" s="26" t="s">
        <v>26</v>
      </c>
      <c r="E207" s="22" t="s">
        <v>31</v>
      </c>
      <c r="F207" s="22" t="s">
        <v>32</v>
      </c>
      <c r="G207" s="19"/>
      <c r="I207" s="20"/>
      <c r="K207" s="20"/>
      <c r="M207" s="20"/>
      <c r="O207" s="20"/>
      <c r="Q207" s="27">
        <f t="shared" si="1"/>
        <v>0</v>
      </c>
      <c r="R207" s="26">
        <f t="shared" si="2"/>
        <v>0</v>
      </c>
      <c r="S207" s="26">
        <f t="shared" si="3"/>
        <v>0</v>
      </c>
      <c r="T207" s="26">
        <f t="shared" si="4"/>
        <v>0</v>
      </c>
      <c r="U207" s="28">
        <f t="shared" si="5"/>
        <v>0</v>
      </c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23" t="s">
        <v>21</v>
      </c>
      <c r="B208" s="24">
        <f t="shared" si="6"/>
        <v>46225</v>
      </c>
      <c r="C208" s="25">
        <v>8.2</v>
      </c>
      <c r="D208" s="26" t="s">
        <v>26</v>
      </c>
      <c r="E208" s="22" t="s">
        <v>31</v>
      </c>
      <c r="F208" s="22" t="s">
        <v>32</v>
      </c>
      <c r="G208" s="19"/>
      <c r="I208" s="20"/>
      <c r="K208" s="20"/>
      <c r="M208" s="20"/>
      <c r="O208" s="20"/>
      <c r="Q208" s="27">
        <f t="shared" si="1"/>
        <v>0</v>
      </c>
      <c r="R208" s="26">
        <f t="shared" si="2"/>
        <v>0</v>
      </c>
      <c r="S208" s="26">
        <f t="shared" si="3"/>
        <v>0</v>
      </c>
      <c r="T208" s="26">
        <f t="shared" si="4"/>
        <v>0</v>
      </c>
      <c r="U208" s="28">
        <f t="shared" si="5"/>
        <v>0</v>
      </c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23" t="s">
        <v>22</v>
      </c>
      <c r="B209" s="24">
        <f t="shared" si="6"/>
        <v>46226</v>
      </c>
      <c r="C209" s="25">
        <v>8.2</v>
      </c>
      <c r="D209" s="26" t="s">
        <v>26</v>
      </c>
      <c r="E209" s="22" t="s">
        <v>33</v>
      </c>
      <c r="F209" s="22" t="s">
        <v>30</v>
      </c>
      <c r="G209" s="19"/>
      <c r="I209" s="20"/>
      <c r="K209" s="20"/>
      <c r="M209" s="20"/>
      <c r="O209" s="20"/>
      <c r="Q209" s="27">
        <f t="shared" si="1"/>
        <v>0</v>
      </c>
      <c r="R209" s="26">
        <f t="shared" si="2"/>
        <v>0</v>
      </c>
      <c r="S209" s="26">
        <f t="shared" si="3"/>
        <v>0</v>
      </c>
      <c r="T209" s="26">
        <f t="shared" si="4"/>
        <v>0</v>
      </c>
      <c r="U209" s="28">
        <f t="shared" si="5"/>
        <v>0</v>
      </c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23" t="s">
        <v>23</v>
      </c>
      <c r="B210" s="24">
        <f t="shared" si="6"/>
        <v>46227</v>
      </c>
      <c r="C210" s="25">
        <v>8.2</v>
      </c>
      <c r="D210" s="26" t="s">
        <v>26</v>
      </c>
      <c r="E210" s="22" t="s">
        <v>31</v>
      </c>
      <c r="F210" s="22" t="s">
        <v>32</v>
      </c>
      <c r="G210" s="19"/>
      <c r="I210" s="20"/>
      <c r="K210" s="20"/>
      <c r="M210" s="20"/>
      <c r="O210" s="20"/>
      <c r="Q210" s="27">
        <f t="shared" si="1"/>
        <v>0</v>
      </c>
      <c r="R210" s="26">
        <f t="shared" si="2"/>
        <v>0</v>
      </c>
      <c r="S210" s="26">
        <f t="shared" si="3"/>
        <v>0</v>
      </c>
      <c r="T210" s="26">
        <f t="shared" si="4"/>
        <v>0</v>
      </c>
      <c r="U210" s="28">
        <f t="shared" si="5"/>
        <v>0</v>
      </c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23" t="s">
        <v>24</v>
      </c>
      <c r="B211" s="24">
        <f t="shared" si="6"/>
        <v>46228</v>
      </c>
      <c r="C211" s="25">
        <v>8.2</v>
      </c>
      <c r="D211" s="26" t="s">
        <v>26</v>
      </c>
      <c r="E211" s="22" t="s">
        <v>31</v>
      </c>
      <c r="F211" s="22" t="s">
        <v>32</v>
      </c>
      <c r="G211" s="19"/>
      <c r="I211" s="20"/>
      <c r="K211" s="20"/>
      <c r="M211" s="20"/>
      <c r="O211" s="20"/>
      <c r="Q211" s="27">
        <f t="shared" si="1"/>
        <v>0</v>
      </c>
      <c r="R211" s="26">
        <f t="shared" si="2"/>
        <v>0</v>
      </c>
      <c r="S211" s="26">
        <f t="shared" si="3"/>
        <v>0</v>
      </c>
      <c r="T211" s="26">
        <f t="shared" si="4"/>
        <v>0</v>
      </c>
      <c r="U211" s="28">
        <f t="shared" si="5"/>
        <v>0</v>
      </c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29" t="s">
        <v>25</v>
      </c>
      <c r="B212" s="30">
        <f t="shared" si="6"/>
        <v>46229</v>
      </c>
      <c r="C212" s="31">
        <v>8.2</v>
      </c>
      <c r="D212" s="32" t="s">
        <v>26</v>
      </c>
      <c r="E212" s="33" t="s">
        <v>31</v>
      </c>
      <c r="F212" s="33" t="s">
        <v>32</v>
      </c>
      <c r="G212" s="34"/>
      <c r="H212" s="6"/>
      <c r="I212" s="35"/>
      <c r="J212" s="6"/>
      <c r="K212" s="35"/>
      <c r="L212" s="6"/>
      <c r="M212" s="35"/>
      <c r="N212" s="6"/>
      <c r="O212" s="35"/>
      <c r="P212" s="6"/>
      <c r="Q212" s="36">
        <f t="shared" si="1"/>
        <v>0</v>
      </c>
      <c r="R212" s="32">
        <f t="shared" si="2"/>
        <v>0</v>
      </c>
      <c r="S212" s="32">
        <f t="shared" si="3"/>
        <v>0</v>
      </c>
      <c r="T212" s="32">
        <f t="shared" si="4"/>
        <v>0</v>
      </c>
      <c r="U212" s="37">
        <f t="shared" si="5"/>
        <v>0</v>
      </c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14" t="s">
        <v>18</v>
      </c>
      <c r="B213" s="15">
        <f t="shared" si="6"/>
        <v>46230</v>
      </c>
      <c r="C213" s="16">
        <v>8.3</v>
      </c>
      <c r="D213" s="17" t="s">
        <v>27</v>
      </c>
      <c r="E213" s="18" t="s">
        <v>31</v>
      </c>
      <c r="F213" s="18" t="s">
        <v>32</v>
      </c>
      <c r="G213" s="19"/>
      <c r="I213" s="20"/>
      <c r="K213" s="20"/>
      <c r="M213" s="20"/>
      <c r="O213" s="20"/>
      <c r="Q213" s="21">
        <f t="shared" si="1"/>
        <v>0</v>
      </c>
      <c r="R213" s="17">
        <f t="shared" si="2"/>
        <v>0</v>
      </c>
      <c r="S213" s="17">
        <f t="shared" si="3"/>
        <v>0</v>
      </c>
      <c r="T213" s="17">
        <f t="shared" si="4"/>
        <v>0</v>
      </c>
      <c r="U213" s="38">
        <f t="shared" si="5"/>
        <v>0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23" t="s">
        <v>20</v>
      </c>
      <c r="B214" s="24">
        <f t="shared" si="6"/>
        <v>46231</v>
      </c>
      <c r="C214" s="25">
        <v>8.3</v>
      </c>
      <c r="D214" s="26" t="s">
        <v>27</v>
      </c>
      <c r="E214" s="22" t="s">
        <v>29</v>
      </c>
      <c r="F214" s="22" t="s">
        <v>30</v>
      </c>
      <c r="G214" s="19"/>
      <c r="I214" s="20"/>
      <c r="K214" s="20"/>
      <c r="M214" s="20"/>
      <c r="O214" s="20"/>
      <c r="Q214" s="27">
        <f t="shared" si="1"/>
        <v>0</v>
      </c>
      <c r="R214" s="26">
        <f t="shared" si="2"/>
        <v>0</v>
      </c>
      <c r="S214" s="26">
        <f t="shared" si="3"/>
        <v>0</v>
      </c>
      <c r="T214" s="26">
        <f t="shared" si="4"/>
        <v>0</v>
      </c>
      <c r="U214" s="28">
        <f t="shared" si="5"/>
        <v>0</v>
      </c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23" t="s">
        <v>21</v>
      </c>
      <c r="B215" s="24">
        <f t="shared" si="6"/>
        <v>46232</v>
      </c>
      <c r="C215" s="25">
        <v>8.3</v>
      </c>
      <c r="D215" s="26" t="s">
        <v>27</v>
      </c>
      <c r="E215" s="22" t="s">
        <v>29</v>
      </c>
      <c r="F215" s="22" t="s">
        <v>30</v>
      </c>
      <c r="G215" s="19"/>
      <c r="I215" s="20"/>
      <c r="K215" s="20"/>
      <c r="M215" s="20"/>
      <c r="O215" s="20"/>
      <c r="Q215" s="27">
        <f t="shared" si="1"/>
        <v>0</v>
      </c>
      <c r="R215" s="26">
        <f t="shared" si="2"/>
        <v>0</v>
      </c>
      <c r="S215" s="26">
        <f t="shared" si="3"/>
        <v>0</v>
      </c>
      <c r="T215" s="26">
        <f t="shared" si="4"/>
        <v>0</v>
      </c>
      <c r="U215" s="28">
        <f t="shared" si="5"/>
        <v>0</v>
      </c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23" t="s">
        <v>22</v>
      </c>
      <c r="B216" s="24">
        <f t="shared" si="6"/>
        <v>46233</v>
      </c>
      <c r="C216" s="25">
        <v>8.3</v>
      </c>
      <c r="D216" s="26" t="s">
        <v>27</v>
      </c>
      <c r="E216" s="22" t="s">
        <v>29</v>
      </c>
      <c r="F216" s="22" t="s">
        <v>30</v>
      </c>
      <c r="G216" s="19"/>
      <c r="I216" s="20"/>
      <c r="K216" s="20"/>
      <c r="M216" s="20"/>
      <c r="O216" s="20"/>
      <c r="Q216" s="27">
        <f t="shared" si="1"/>
        <v>0</v>
      </c>
      <c r="R216" s="26">
        <f t="shared" si="2"/>
        <v>0</v>
      </c>
      <c r="S216" s="26">
        <f t="shared" si="3"/>
        <v>0</v>
      </c>
      <c r="T216" s="26">
        <f t="shared" si="4"/>
        <v>0</v>
      </c>
      <c r="U216" s="28">
        <f t="shared" si="5"/>
        <v>0</v>
      </c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23" t="s">
        <v>23</v>
      </c>
      <c r="B217" s="24">
        <f t="shared" si="6"/>
        <v>46234</v>
      </c>
      <c r="C217" s="25">
        <v>8.3</v>
      </c>
      <c r="D217" s="26" t="s">
        <v>27</v>
      </c>
      <c r="E217" s="22" t="s">
        <v>29</v>
      </c>
      <c r="F217" s="22" t="s">
        <v>30</v>
      </c>
      <c r="G217" s="19"/>
      <c r="I217" s="20"/>
      <c r="K217" s="20"/>
      <c r="M217" s="20"/>
      <c r="O217" s="20"/>
      <c r="Q217" s="27">
        <f t="shared" si="1"/>
        <v>0</v>
      </c>
      <c r="R217" s="26">
        <f t="shared" si="2"/>
        <v>0</v>
      </c>
      <c r="S217" s="26">
        <f t="shared" si="3"/>
        <v>0</v>
      </c>
      <c r="T217" s="26">
        <f t="shared" si="4"/>
        <v>0</v>
      </c>
      <c r="U217" s="28">
        <f t="shared" si="5"/>
        <v>0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23" t="s">
        <v>24</v>
      </c>
      <c r="B218" s="24">
        <f t="shared" si="6"/>
        <v>46235</v>
      </c>
      <c r="C218" s="25">
        <v>8.3</v>
      </c>
      <c r="D218" s="26" t="s">
        <v>27</v>
      </c>
      <c r="E218" s="22" t="s">
        <v>29</v>
      </c>
      <c r="F218" s="22" t="s">
        <v>30</v>
      </c>
      <c r="G218" s="19"/>
      <c r="I218" s="20"/>
      <c r="K218" s="20"/>
      <c r="M218" s="20"/>
      <c r="O218" s="20"/>
      <c r="Q218" s="27">
        <f t="shared" si="1"/>
        <v>0</v>
      </c>
      <c r="R218" s="26">
        <f t="shared" si="2"/>
        <v>0</v>
      </c>
      <c r="S218" s="26">
        <f t="shared" si="3"/>
        <v>0</v>
      </c>
      <c r="T218" s="26">
        <f t="shared" si="4"/>
        <v>0</v>
      </c>
      <c r="U218" s="28">
        <f t="shared" si="5"/>
        <v>0</v>
      </c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29" t="s">
        <v>25</v>
      </c>
      <c r="B219" s="30">
        <f t="shared" si="6"/>
        <v>46236</v>
      </c>
      <c r="C219" s="31">
        <v>8.3</v>
      </c>
      <c r="D219" s="32" t="s">
        <v>27</v>
      </c>
      <c r="E219" s="33" t="s">
        <v>29</v>
      </c>
      <c r="F219" s="33" t="s">
        <v>30</v>
      </c>
      <c r="G219" s="34"/>
      <c r="H219" s="6"/>
      <c r="I219" s="35"/>
      <c r="J219" s="6"/>
      <c r="K219" s="35"/>
      <c r="L219" s="6"/>
      <c r="M219" s="35"/>
      <c r="N219" s="6"/>
      <c r="O219" s="35"/>
      <c r="P219" s="6"/>
      <c r="Q219" s="36">
        <f t="shared" si="1"/>
        <v>0</v>
      </c>
      <c r="R219" s="32">
        <f t="shared" si="2"/>
        <v>0</v>
      </c>
      <c r="S219" s="32">
        <f t="shared" si="3"/>
        <v>0</v>
      </c>
      <c r="T219" s="32">
        <f t="shared" si="4"/>
        <v>0</v>
      </c>
      <c r="U219" s="37">
        <f t="shared" si="5"/>
        <v>0</v>
      </c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14" t="s">
        <v>18</v>
      </c>
      <c r="B220" s="15">
        <f t="shared" si="6"/>
        <v>46237</v>
      </c>
      <c r="C220" s="16">
        <v>8.4</v>
      </c>
      <c r="D220" s="17" t="s">
        <v>28</v>
      </c>
      <c r="E220" s="18" t="s">
        <v>31</v>
      </c>
      <c r="F220" s="18" t="s">
        <v>32</v>
      </c>
      <c r="G220" s="19"/>
      <c r="I220" s="20"/>
      <c r="K220" s="20"/>
      <c r="M220" s="20"/>
      <c r="O220" s="20"/>
      <c r="Q220" s="21">
        <f t="shared" si="1"/>
        <v>0</v>
      </c>
      <c r="R220" s="17">
        <f t="shared" si="2"/>
        <v>0</v>
      </c>
      <c r="S220" s="17">
        <f t="shared" si="3"/>
        <v>0</v>
      </c>
      <c r="T220" s="17">
        <f t="shared" si="4"/>
        <v>0</v>
      </c>
      <c r="U220" s="38">
        <f t="shared" si="5"/>
        <v>0</v>
      </c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23" t="s">
        <v>20</v>
      </c>
      <c r="B221" s="24">
        <f t="shared" si="6"/>
        <v>46238</v>
      </c>
      <c r="C221" s="25">
        <v>8.4</v>
      </c>
      <c r="D221" s="26" t="s">
        <v>28</v>
      </c>
      <c r="E221" s="22" t="s">
        <v>31</v>
      </c>
      <c r="F221" s="22" t="s">
        <v>32</v>
      </c>
      <c r="G221" s="19"/>
      <c r="I221" s="20"/>
      <c r="K221" s="20"/>
      <c r="M221" s="20"/>
      <c r="O221" s="20"/>
      <c r="Q221" s="27">
        <f t="shared" si="1"/>
        <v>0</v>
      </c>
      <c r="R221" s="26">
        <f t="shared" si="2"/>
        <v>0</v>
      </c>
      <c r="S221" s="26">
        <f t="shared" si="3"/>
        <v>0</v>
      </c>
      <c r="T221" s="26">
        <f t="shared" si="4"/>
        <v>0</v>
      </c>
      <c r="U221" s="28">
        <f t="shared" si="5"/>
        <v>0</v>
      </c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23" t="s">
        <v>21</v>
      </c>
      <c r="B222" s="24">
        <f t="shared" si="6"/>
        <v>46239</v>
      </c>
      <c r="C222" s="25">
        <v>8.4</v>
      </c>
      <c r="D222" s="26" t="s">
        <v>28</v>
      </c>
      <c r="E222" s="22" t="s">
        <v>31</v>
      </c>
      <c r="F222" s="22" t="s">
        <v>32</v>
      </c>
      <c r="G222" s="19"/>
      <c r="I222" s="20"/>
      <c r="K222" s="20"/>
      <c r="M222" s="20"/>
      <c r="O222" s="20"/>
      <c r="Q222" s="27">
        <f t="shared" si="1"/>
        <v>0</v>
      </c>
      <c r="R222" s="26">
        <f t="shared" si="2"/>
        <v>0</v>
      </c>
      <c r="S222" s="26">
        <f t="shared" si="3"/>
        <v>0</v>
      </c>
      <c r="T222" s="26">
        <f t="shared" si="4"/>
        <v>0</v>
      </c>
      <c r="U222" s="28">
        <f t="shared" si="5"/>
        <v>0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23" t="s">
        <v>22</v>
      </c>
      <c r="B223" s="24">
        <f t="shared" si="6"/>
        <v>46240</v>
      </c>
      <c r="C223" s="25">
        <v>8.4</v>
      </c>
      <c r="D223" s="26" t="s">
        <v>28</v>
      </c>
      <c r="E223" s="22" t="s">
        <v>33</v>
      </c>
      <c r="F223" s="22" t="s">
        <v>30</v>
      </c>
      <c r="G223" s="19"/>
      <c r="I223" s="20"/>
      <c r="K223" s="20"/>
      <c r="M223" s="20"/>
      <c r="O223" s="20"/>
      <c r="Q223" s="27">
        <f t="shared" si="1"/>
        <v>0</v>
      </c>
      <c r="R223" s="26">
        <f t="shared" si="2"/>
        <v>0</v>
      </c>
      <c r="S223" s="26">
        <f t="shared" si="3"/>
        <v>0</v>
      </c>
      <c r="T223" s="26">
        <f t="shared" si="4"/>
        <v>0</v>
      </c>
      <c r="U223" s="28">
        <f t="shared" si="5"/>
        <v>0</v>
      </c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23" t="s">
        <v>23</v>
      </c>
      <c r="B224" s="24">
        <f t="shared" si="6"/>
        <v>46241</v>
      </c>
      <c r="C224" s="25">
        <v>8.4</v>
      </c>
      <c r="D224" s="26" t="s">
        <v>28</v>
      </c>
      <c r="E224" s="22" t="s">
        <v>31</v>
      </c>
      <c r="F224" s="22" t="s">
        <v>32</v>
      </c>
      <c r="G224" s="19"/>
      <c r="I224" s="20"/>
      <c r="K224" s="20"/>
      <c r="M224" s="20"/>
      <c r="O224" s="20"/>
      <c r="Q224" s="27">
        <f t="shared" si="1"/>
        <v>0</v>
      </c>
      <c r="R224" s="26">
        <f t="shared" si="2"/>
        <v>0</v>
      </c>
      <c r="S224" s="26">
        <f t="shared" si="3"/>
        <v>0</v>
      </c>
      <c r="T224" s="26">
        <f t="shared" si="4"/>
        <v>0</v>
      </c>
      <c r="U224" s="28">
        <f t="shared" si="5"/>
        <v>0</v>
      </c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23" t="s">
        <v>24</v>
      </c>
      <c r="B225" s="24">
        <f t="shared" si="6"/>
        <v>46242</v>
      </c>
      <c r="C225" s="25">
        <v>8.4</v>
      </c>
      <c r="D225" s="26" t="s">
        <v>28</v>
      </c>
      <c r="E225" s="22" t="s">
        <v>31</v>
      </c>
      <c r="F225" s="22" t="s">
        <v>32</v>
      </c>
      <c r="G225" s="19"/>
      <c r="I225" s="20"/>
      <c r="K225" s="20"/>
      <c r="M225" s="20"/>
      <c r="O225" s="20"/>
      <c r="Q225" s="27">
        <f t="shared" si="1"/>
        <v>0</v>
      </c>
      <c r="R225" s="26">
        <f t="shared" si="2"/>
        <v>0</v>
      </c>
      <c r="S225" s="26">
        <f t="shared" si="3"/>
        <v>0</v>
      </c>
      <c r="T225" s="26">
        <f t="shared" si="4"/>
        <v>0</v>
      </c>
      <c r="U225" s="28">
        <f t="shared" si="5"/>
        <v>0</v>
      </c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29" t="s">
        <v>25</v>
      </c>
      <c r="B226" s="30">
        <f t="shared" si="6"/>
        <v>46243</v>
      </c>
      <c r="C226" s="31">
        <v>8.4</v>
      </c>
      <c r="D226" s="32" t="s">
        <v>28</v>
      </c>
      <c r="E226" s="33" t="s">
        <v>31</v>
      </c>
      <c r="F226" s="33" t="s">
        <v>32</v>
      </c>
      <c r="G226" s="34"/>
      <c r="H226" s="6"/>
      <c r="I226" s="35"/>
      <c r="J226" s="6"/>
      <c r="K226" s="35"/>
      <c r="L226" s="6"/>
      <c r="M226" s="35"/>
      <c r="N226" s="6"/>
      <c r="O226" s="35"/>
      <c r="P226" s="6"/>
      <c r="Q226" s="36">
        <f t="shared" si="1"/>
        <v>0</v>
      </c>
      <c r="R226" s="32">
        <f t="shared" si="2"/>
        <v>0</v>
      </c>
      <c r="S226" s="32">
        <f t="shared" si="3"/>
        <v>0</v>
      </c>
      <c r="T226" s="32">
        <f t="shared" si="4"/>
        <v>0</v>
      </c>
      <c r="U226" s="37">
        <f t="shared" si="5"/>
        <v>0</v>
      </c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14" t="s">
        <v>18</v>
      </c>
      <c r="B227" s="15">
        <f t="shared" si="6"/>
        <v>46244</v>
      </c>
      <c r="C227" s="16">
        <v>9.1</v>
      </c>
      <c r="D227" s="17" t="s">
        <v>19</v>
      </c>
      <c r="E227" s="18" t="s">
        <v>29</v>
      </c>
      <c r="F227" s="18" t="s">
        <v>30</v>
      </c>
      <c r="G227" s="19"/>
      <c r="I227" s="20"/>
      <c r="K227" s="20"/>
      <c r="M227" s="20"/>
      <c r="O227" s="20"/>
      <c r="Q227" s="21">
        <f t="shared" si="1"/>
        <v>0</v>
      </c>
      <c r="R227" s="17">
        <f t="shared" si="2"/>
        <v>0</v>
      </c>
      <c r="S227" s="17">
        <f t="shared" si="3"/>
        <v>0</v>
      </c>
      <c r="T227" s="17">
        <f t="shared" si="4"/>
        <v>0</v>
      </c>
      <c r="U227" s="38">
        <f t="shared" si="5"/>
        <v>0</v>
      </c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23" t="s">
        <v>20</v>
      </c>
      <c r="B228" s="24">
        <f t="shared" si="6"/>
        <v>46245</v>
      </c>
      <c r="C228" s="25">
        <v>9.1</v>
      </c>
      <c r="D228" s="26" t="s">
        <v>19</v>
      </c>
      <c r="E228" s="22" t="s">
        <v>29</v>
      </c>
      <c r="F228" s="22" t="s">
        <v>30</v>
      </c>
      <c r="G228" s="19"/>
      <c r="I228" s="20"/>
      <c r="K228" s="20"/>
      <c r="M228" s="20"/>
      <c r="O228" s="20"/>
      <c r="Q228" s="27">
        <f t="shared" si="1"/>
        <v>0</v>
      </c>
      <c r="R228" s="26">
        <f t="shared" si="2"/>
        <v>0</v>
      </c>
      <c r="S228" s="26">
        <f t="shared" si="3"/>
        <v>0</v>
      </c>
      <c r="T228" s="26">
        <f t="shared" si="4"/>
        <v>0</v>
      </c>
      <c r="U228" s="28">
        <f t="shared" si="5"/>
        <v>0</v>
      </c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23" t="s">
        <v>21</v>
      </c>
      <c r="B229" s="24">
        <f t="shared" si="6"/>
        <v>46246</v>
      </c>
      <c r="C229" s="25">
        <v>9.1</v>
      </c>
      <c r="D229" s="26" t="s">
        <v>19</v>
      </c>
      <c r="E229" s="22" t="s">
        <v>29</v>
      </c>
      <c r="F229" s="22" t="s">
        <v>30</v>
      </c>
      <c r="G229" s="19"/>
      <c r="I229" s="20"/>
      <c r="K229" s="20"/>
      <c r="M229" s="20"/>
      <c r="O229" s="20"/>
      <c r="Q229" s="27">
        <f t="shared" si="1"/>
        <v>0</v>
      </c>
      <c r="R229" s="26">
        <f t="shared" si="2"/>
        <v>0</v>
      </c>
      <c r="S229" s="26">
        <f t="shared" si="3"/>
        <v>0</v>
      </c>
      <c r="T229" s="26">
        <f t="shared" si="4"/>
        <v>0</v>
      </c>
      <c r="U229" s="28">
        <f t="shared" si="5"/>
        <v>0</v>
      </c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23" t="s">
        <v>22</v>
      </c>
      <c r="B230" s="24">
        <f t="shared" si="6"/>
        <v>46247</v>
      </c>
      <c r="C230" s="25">
        <v>9.1</v>
      </c>
      <c r="D230" s="26" t="s">
        <v>19</v>
      </c>
      <c r="E230" s="22" t="s">
        <v>29</v>
      </c>
      <c r="F230" s="22" t="s">
        <v>30</v>
      </c>
      <c r="G230" s="19"/>
      <c r="I230" s="20"/>
      <c r="K230" s="20"/>
      <c r="M230" s="20"/>
      <c r="O230" s="20"/>
      <c r="Q230" s="27">
        <f t="shared" si="1"/>
        <v>0</v>
      </c>
      <c r="R230" s="26">
        <f t="shared" si="2"/>
        <v>0</v>
      </c>
      <c r="S230" s="26">
        <f t="shared" si="3"/>
        <v>0</v>
      </c>
      <c r="T230" s="26">
        <f t="shared" si="4"/>
        <v>0</v>
      </c>
      <c r="U230" s="28">
        <f t="shared" si="5"/>
        <v>0</v>
      </c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23" t="s">
        <v>23</v>
      </c>
      <c r="B231" s="24">
        <f t="shared" si="6"/>
        <v>46248</v>
      </c>
      <c r="C231" s="25">
        <v>9.1</v>
      </c>
      <c r="D231" s="26" t="s">
        <v>19</v>
      </c>
      <c r="E231" s="22" t="s">
        <v>29</v>
      </c>
      <c r="F231" s="22" t="s">
        <v>30</v>
      </c>
      <c r="G231" s="19"/>
      <c r="I231" s="20"/>
      <c r="K231" s="20"/>
      <c r="M231" s="20"/>
      <c r="O231" s="20"/>
      <c r="Q231" s="27">
        <f t="shared" si="1"/>
        <v>0</v>
      </c>
      <c r="R231" s="26">
        <f t="shared" si="2"/>
        <v>0</v>
      </c>
      <c r="S231" s="26">
        <f t="shared" si="3"/>
        <v>0</v>
      </c>
      <c r="T231" s="26">
        <f t="shared" si="4"/>
        <v>0</v>
      </c>
      <c r="U231" s="28">
        <f t="shared" si="5"/>
        <v>0</v>
      </c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23" t="s">
        <v>24</v>
      </c>
      <c r="B232" s="24">
        <f t="shared" si="6"/>
        <v>46249</v>
      </c>
      <c r="C232" s="25">
        <v>9.1</v>
      </c>
      <c r="D232" s="26" t="s">
        <v>19</v>
      </c>
      <c r="E232" s="22" t="s">
        <v>29</v>
      </c>
      <c r="F232" s="22" t="s">
        <v>30</v>
      </c>
      <c r="G232" s="19"/>
      <c r="I232" s="20"/>
      <c r="K232" s="20"/>
      <c r="M232" s="20"/>
      <c r="O232" s="20"/>
      <c r="Q232" s="27">
        <f t="shared" si="1"/>
        <v>0</v>
      </c>
      <c r="R232" s="26">
        <f t="shared" si="2"/>
        <v>0</v>
      </c>
      <c r="S232" s="26">
        <f t="shared" si="3"/>
        <v>0</v>
      </c>
      <c r="T232" s="26">
        <f t="shared" si="4"/>
        <v>0</v>
      </c>
      <c r="U232" s="28">
        <f t="shared" si="5"/>
        <v>0</v>
      </c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29" t="s">
        <v>25</v>
      </c>
      <c r="B233" s="30">
        <f t="shared" si="6"/>
        <v>46250</v>
      </c>
      <c r="C233" s="31">
        <v>9.1</v>
      </c>
      <c r="D233" s="32" t="s">
        <v>19</v>
      </c>
      <c r="E233" s="33" t="s">
        <v>29</v>
      </c>
      <c r="F233" s="33" t="s">
        <v>30</v>
      </c>
      <c r="G233" s="34"/>
      <c r="H233" s="6"/>
      <c r="I233" s="35"/>
      <c r="J233" s="6"/>
      <c r="K233" s="35"/>
      <c r="L233" s="6"/>
      <c r="M233" s="35"/>
      <c r="N233" s="6"/>
      <c r="O233" s="35"/>
      <c r="P233" s="6"/>
      <c r="Q233" s="36">
        <f t="shared" si="1"/>
        <v>0</v>
      </c>
      <c r="R233" s="32">
        <f t="shared" si="2"/>
        <v>0</v>
      </c>
      <c r="S233" s="32">
        <f t="shared" si="3"/>
        <v>0</v>
      </c>
      <c r="T233" s="32">
        <f t="shared" si="4"/>
        <v>0</v>
      </c>
      <c r="U233" s="37">
        <f t="shared" si="5"/>
        <v>0</v>
      </c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14" t="s">
        <v>18</v>
      </c>
      <c r="B234" s="15">
        <f t="shared" si="6"/>
        <v>46251</v>
      </c>
      <c r="C234" s="16">
        <v>9.2</v>
      </c>
      <c r="D234" s="17" t="s">
        <v>26</v>
      </c>
      <c r="E234" s="18" t="s">
        <v>29</v>
      </c>
      <c r="F234" s="18" t="s">
        <v>30</v>
      </c>
      <c r="G234" s="19"/>
      <c r="I234" s="20"/>
      <c r="K234" s="20"/>
      <c r="M234" s="20"/>
      <c r="O234" s="20"/>
      <c r="Q234" s="21">
        <f t="shared" si="1"/>
        <v>0</v>
      </c>
      <c r="R234" s="17">
        <f t="shared" si="2"/>
        <v>0</v>
      </c>
      <c r="S234" s="17">
        <f t="shared" si="3"/>
        <v>0</v>
      </c>
      <c r="T234" s="17">
        <f t="shared" si="4"/>
        <v>0</v>
      </c>
      <c r="U234" s="38">
        <f t="shared" si="5"/>
        <v>0</v>
      </c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23" t="s">
        <v>20</v>
      </c>
      <c r="B235" s="24">
        <f t="shared" si="6"/>
        <v>46252</v>
      </c>
      <c r="C235" s="25">
        <v>9.2</v>
      </c>
      <c r="D235" s="26" t="s">
        <v>26</v>
      </c>
      <c r="E235" s="22" t="s">
        <v>31</v>
      </c>
      <c r="F235" s="22" t="s">
        <v>32</v>
      </c>
      <c r="G235" s="19"/>
      <c r="I235" s="20"/>
      <c r="K235" s="20"/>
      <c r="M235" s="20"/>
      <c r="O235" s="20"/>
      <c r="Q235" s="27">
        <f t="shared" si="1"/>
        <v>0</v>
      </c>
      <c r="R235" s="26">
        <f t="shared" si="2"/>
        <v>0</v>
      </c>
      <c r="S235" s="26">
        <f t="shared" si="3"/>
        <v>0</v>
      </c>
      <c r="T235" s="26">
        <f t="shared" si="4"/>
        <v>0</v>
      </c>
      <c r="U235" s="28">
        <f t="shared" si="5"/>
        <v>0</v>
      </c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23" t="s">
        <v>21</v>
      </c>
      <c r="B236" s="24">
        <f t="shared" si="6"/>
        <v>46253</v>
      </c>
      <c r="C236" s="25">
        <v>9.2</v>
      </c>
      <c r="D236" s="26" t="s">
        <v>26</v>
      </c>
      <c r="E236" s="22" t="s">
        <v>31</v>
      </c>
      <c r="F236" s="22" t="s">
        <v>32</v>
      </c>
      <c r="G236" s="19"/>
      <c r="I236" s="20"/>
      <c r="K236" s="20"/>
      <c r="M236" s="20"/>
      <c r="O236" s="20"/>
      <c r="Q236" s="27">
        <f t="shared" si="1"/>
        <v>0</v>
      </c>
      <c r="R236" s="26">
        <f t="shared" si="2"/>
        <v>0</v>
      </c>
      <c r="S236" s="26">
        <f t="shared" si="3"/>
        <v>0</v>
      </c>
      <c r="T236" s="26">
        <f t="shared" si="4"/>
        <v>0</v>
      </c>
      <c r="U236" s="28">
        <f t="shared" si="5"/>
        <v>0</v>
      </c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23" t="s">
        <v>22</v>
      </c>
      <c r="B237" s="24">
        <f t="shared" si="6"/>
        <v>46254</v>
      </c>
      <c r="C237" s="25">
        <v>9.2</v>
      </c>
      <c r="D237" s="26" t="s">
        <v>26</v>
      </c>
      <c r="E237" s="22" t="s">
        <v>31</v>
      </c>
      <c r="F237" s="22" t="s">
        <v>32</v>
      </c>
      <c r="G237" s="19"/>
      <c r="I237" s="20"/>
      <c r="K237" s="20"/>
      <c r="M237" s="20"/>
      <c r="O237" s="20"/>
      <c r="Q237" s="27">
        <f t="shared" si="1"/>
        <v>0</v>
      </c>
      <c r="R237" s="26">
        <f t="shared" si="2"/>
        <v>0</v>
      </c>
      <c r="S237" s="26">
        <f t="shared" si="3"/>
        <v>0</v>
      </c>
      <c r="T237" s="26">
        <f t="shared" si="4"/>
        <v>0</v>
      </c>
      <c r="U237" s="28">
        <f t="shared" si="5"/>
        <v>0</v>
      </c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23" t="s">
        <v>23</v>
      </c>
      <c r="B238" s="24">
        <f t="shared" si="6"/>
        <v>46255</v>
      </c>
      <c r="C238" s="25">
        <v>9.2</v>
      </c>
      <c r="D238" s="26" t="s">
        <v>26</v>
      </c>
      <c r="E238" s="22" t="s">
        <v>31</v>
      </c>
      <c r="F238" s="22" t="s">
        <v>32</v>
      </c>
      <c r="G238" s="19"/>
      <c r="I238" s="20"/>
      <c r="K238" s="20"/>
      <c r="M238" s="20"/>
      <c r="O238" s="20"/>
      <c r="Q238" s="27">
        <f t="shared" si="1"/>
        <v>0</v>
      </c>
      <c r="R238" s="26">
        <f t="shared" si="2"/>
        <v>0</v>
      </c>
      <c r="S238" s="26">
        <f t="shared" si="3"/>
        <v>0</v>
      </c>
      <c r="T238" s="26">
        <f t="shared" si="4"/>
        <v>0</v>
      </c>
      <c r="U238" s="28">
        <f t="shared" si="5"/>
        <v>0</v>
      </c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23" t="s">
        <v>24</v>
      </c>
      <c r="B239" s="24">
        <f t="shared" si="6"/>
        <v>46256</v>
      </c>
      <c r="C239" s="25">
        <v>9.2</v>
      </c>
      <c r="D239" s="26" t="s">
        <v>26</v>
      </c>
      <c r="E239" s="22" t="s">
        <v>31</v>
      </c>
      <c r="F239" s="22" t="s">
        <v>32</v>
      </c>
      <c r="G239" s="19"/>
      <c r="I239" s="20"/>
      <c r="K239" s="20"/>
      <c r="M239" s="20"/>
      <c r="O239" s="20"/>
      <c r="Q239" s="27">
        <f t="shared" si="1"/>
        <v>0</v>
      </c>
      <c r="R239" s="26">
        <f t="shared" si="2"/>
        <v>0</v>
      </c>
      <c r="S239" s="26">
        <f t="shared" si="3"/>
        <v>0</v>
      </c>
      <c r="T239" s="26">
        <f t="shared" si="4"/>
        <v>0</v>
      </c>
      <c r="U239" s="28">
        <f t="shared" si="5"/>
        <v>0</v>
      </c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29" t="s">
        <v>25</v>
      </c>
      <c r="B240" s="30">
        <f t="shared" si="6"/>
        <v>46257</v>
      </c>
      <c r="C240" s="31">
        <v>9.2</v>
      </c>
      <c r="D240" s="32" t="s">
        <v>26</v>
      </c>
      <c r="E240" s="33" t="s">
        <v>31</v>
      </c>
      <c r="F240" s="33" t="s">
        <v>32</v>
      </c>
      <c r="G240" s="34"/>
      <c r="H240" s="6"/>
      <c r="I240" s="35"/>
      <c r="J240" s="6"/>
      <c r="K240" s="35"/>
      <c r="L240" s="6"/>
      <c r="M240" s="35"/>
      <c r="N240" s="6"/>
      <c r="O240" s="35"/>
      <c r="P240" s="6"/>
      <c r="Q240" s="36">
        <f t="shared" si="1"/>
        <v>0</v>
      </c>
      <c r="R240" s="32">
        <f t="shared" si="2"/>
        <v>0</v>
      </c>
      <c r="S240" s="32">
        <f t="shared" si="3"/>
        <v>0</v>
      </c>
      <c r="T240" s="32">
        <f t="shared" si="4"/>
        <v>0</v>
      </c>
      <c r="U240" s="37">
        <f t="shared" si="5"/>
        <v>0</v>
      </c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14" t="s">
        <v>18</v>
      </c>
      <c r="B241" s="15">
        <f t="shared" si="6"/>
        <v>46258</v>
      </c>
      <c r="C241" s="16">
        <v>9.3</v>
      </c>
      <c r="D241" s="17" t="s">
        <v>27</v>
      </c>
      <c r="E241" s="18" t="s">
        <v>29</v>
      </c>
      <c r="F241" s="18" t="s">
        <v>30</v>
      </c>
      <c r="G241" s="19"/>
      <c r="I241" s="20"/>
      <c r="K241" s="20"/>
      <c r="M241" s="20"/>
      <c r="O241" s="20"/>
      <c r="Q241" s="21">
        <f t="shared" si="1"/>
        <v>0</v>
      </c>
      <c r="R241" s="17">
        <f t="shared" si="2"/>
        <v>0</v>
      </c>
      <c r="S241" s="17">
        <f t="shared" si="3"/>
        <v>0</v>
      </c>
      <c r="T241" s="17">
        <f t="shared" si="4"/>
        <v>0</v>
      </c>
      <c r="U241" s="38">
        <f t="shared" si="5"/>
        <v>0</v>
      </c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23" t="s">
        <v>20</v>
      </c>
      <c r="B242" s="24">
        <f t="shared" si="6"/>
        <v>46259</v>
      </c>
      <c r="C242" s="25">
        <v>9.3</v>
      </c>
      <c r="D242" s="26" t="s">
        <v>27</v>
      </c>
      <c r="E242" s="22" t="s">
        <v>29</v>
      </c>
      <c r="F242" s="22" t="s">
        <v>30</v>
      </c>
      <c r="G242" s="19"/>
      <c r="I242" s="20"/>
      <c r="K242" s="20"/>
      <c r="M242" s="20"/>
      <c r="O242" s="20"/>
      <c r="Q242" s="27">
        <f t="shared" si="1"/>
        <v>0</v>
      </c>
      <c r="R242" s="26">
        <f t="shared" si="2"/>
        <v>0</v>
      </c>
      <c r="S242" s="26">
        <f t="shared" si="3"/>
        <v>0</v>
      </c>
      <c r="T242" s="26">
        <f t="shared" si="4"/>
        <v>0</v>
      </c>
      <c r="U242" s="28">
        <f t="shared" si="5"/>
        <v>0</v>
      </c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23" t="s">
        <v>21</v>
      </c>
      <c r="B243" s="24">
        <f t="shared" si="6"/>
        <v>46260</v>
      </c>
      <c r="C243" s="25">
        <v>9.3</v>
      </c>
      <c r="D243" s="26" t="s">
        <v>27</v>
      </c>
      <c r="E243" s="22" t="s">
        <v>29</v>
      </c>
      <c r="F243" s="22" t="s">
        <v>30</v>
      </c>
      <c r="G243" s="19"/>
      <c r="I243" s="20"/>
      <c r="K243" s="20"/>
      <c r="M243" s="20"/>
      <c r="O243" s="20"/>
      <c r="Q243" s="27">
        <f t="shared" si="1"/>
        <v>0</v>
      </c>
      <c r="R243" s="26">
        <f t="shared" si="2"/>
        <v>0</v>
      </c>
      <c r="S243" s="26">
        <f t="shared" si="3"/>
        <v>0</v>
      </c>
      <c r="T243" s="26">
        <f t="shared" si="4"/>
        <v>0</v>
      </c>
      <c r="U243" s="28">
        <f t="shared" si="5"/>
        <v>0</v>
      </c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23" t="s">
        <v>22</v>
      </c>
      <c r="B244" s="24">
        <f t="shared" si="6"/>
        <v>46261</v>
      </c>
      <c r="C244" s="25">
        <v>9.3</v>
      </c>
      <c r="D244" s="26" t="s">
        <v>27</v>
      </c>
      <c r="E244" s="22" t="s">
        <v>29</v>
      </c>
      <c r="F244" s="22" t="s">
        <v>30</v>
      </c>
      <c r="G244" s="19"/>
      <c r="I244" s="20"/>
      <c r="K244" s="20"/>
      <c r="M244" s="20"/>
      <c r="O244" s="20"/>
      <c r="Q244" s="27">
        <f t="shared" si="1"/>
        <v>0</v>
      </c>
      <c r="R244" s="26">
        <f t="shared" si="2"/>
        <v>0</v>
      </c>
      <c r="S244" s="26">
        <f t="shared" si="3"/>
        <v>0</v>
      </c>
      <c r="T244" s="26">
        <f t="shared" si="4"/>
        <v>0</v>
      </c>
      <c r="U244" s="28">
        <f t="shared" si="5"/>
        <v>0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23" t="s">
        <v>23</v>
      </c>
      <c r="B245" s="24">
        <f t="shared" si="6"/>
        <v>46262</v>
      </c>
      <c r="C245" s="25">
        <v>9.3</v>
      </c>
      <c r="D245" s="26" t="s">
        <v>27</v>
      </c>
      <c r="E245" s="22" t="s">
        <v>29</v>
      </c>
      <c r="F245" s="22" t="s">
        <v>30</v>
      </c>
      <c r="G245" s="19"/>
      <c r="I245" s="20"/>
      <c r="K245" s="20"/>
      <c r="M245" s="20"/>
      <c r="O245" s="20"/>
      <c r="Q245" s="27">
        <f t="shared" si="1"/>
        <v>0</v>
      </c>
      <c r="R245" s="26">
        <f t="shared" si="2"/>
        <v>0</v>
      </c>
      <c r="S245" s="26">
        <f t="shared" si="3"/>
        <v>0</v>
      </c>
      <c r="T245" s="26">
        <f t="shared" si="4"/>
        <v>0</v>
      </c>
      <c r="U245" s="28">
        <f t="shared" si="5"/>
        <v>0</v>
      </c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23" t="s">
        <v>24</v>
      </c>
      <c r="B246" s="24">
        <f t="shared" si="6"/>
        <v>46263</v>
      </c>
      <c r="C246" s="25">
        <v>9.3</v>
      </c>
      <c r="D246" s="26" t="s">
        <v>27</v>
      </c>
      <c r="E246" s="22" t="s">
        <v>29</v>
      </c>
      <c r="F246" s="22" t="s">
        <v>30</v>
      </c>
      <c r="G246" s="19"/>
      <c r="I246" s="20"/>
      <c r="K246" s="20"/>
      <c r="M246" s="20"/>
      <c r="O246" s="20"/>
      <c r="Q246" s="27">
        <f t="shared" si="1"/>
        <v>0</v>
      </c>
      <c r="R246" s="26">
        <f t="shared" si="2"/>
        <v>0</v>
      </c>
      <c r="S246" s="26">
        <f t="shared" si="3"/>
        <v>0</v>
      </c>
      <c r="T246" s="26">
        <f t="shared" si="4"/>
        <v>0</v>
      </c>
      <c r="U246" s="28">
        <f t="shared" si="5"/>
        <v>0</v>
      </c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29" t="s">
        <v>25</v>
      </c>
      <c r="B247" s="30">
        <f t="shared" si="6"/>
        <v>46264</v>
      </c>
      <c r="C247" s="31">
        <v>9.3</v>
      </c>
      <c r="D247" s="32" t="s">
        <v>27</v>
      </c>
      <c r="E247" s="33" t="s">
        <v>29</v>
      </c>
      <c r="F247" s="33" t="s">
        <v>30</v>
      </c>
      <c r="G247" s="34"/>
      <c r="H247" s="6"/>
      <c r="I247" s="35"/>
      <c r="J247" s="6"/>
      <c r="K247" s="35"/>
      <c r="L247" s="6"/>
      <c r="M247" s="35"/>
      <c r="N247" s="6"/>
      <c r="O247" s="35"/>
      <c r="P247" s="6"/>
      <c r="Q247" s="36">
        <f t="shared" si="1"/>
        <v>0</v>
      </c>
      <c r="R247" s="32">
        <f t="shared" si="2"/>
        <v>0</v>
      </c>
      <c r="S247" s="32">
        <f t="shared" si="3"/>
        <v>0</v>
      </c>
      <c r="T247" s="32">
        <f t="shared" si="4"/>
        <v>0</v>
      </c>
      <c r="U247" s="37">
        <f t="shared" si="5"/>
        <v>0</v>
      </c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14" t="s">
        <v>18</v>
      </c>
      <c r="B248" s="15">
        <f t="shared" si="6"/>
        <v>46265</v>
      </c>
      <c r="C248" s="16">
        <v>9.4</v>
      </c>
      <c r="D248" s="17" t="s">
        <v>28</v>
      </c>
      <c r="E248" s="18" t="s">
        <v>31</v>
      </c>
      <c r="F248" s="18" t="s">
        <v>32</v>
      </c>
      <c r="G248" s="19"/>
      <c r="I248" s="20"/>
      <c r="K248" s="20"/>
      <c r="M248" s="20"/>
      <c r="O248" s="20"/>
      <c r="Q248" s="21">
        <f t="shared" si="1"/>
        <v>0</v>
      </c>
      <c r="R248" s="17">
        <f t="shared" si="2"/>
        <v>0</v>
      </c>
      <c r="S248" s="17">
        <f t="shared" si="3"/>
        <v>0</v>
      </c>
      <c r="T248" s="17">
        <f t="shared" si="4"/>
        <v>0</v>
      </c>
      <c r="U248" s="38">
        <f t="shared" si="5"/>
        <v>0</v>
      </c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23" t="s">
        <v>20</v>
      </c>
      <c r="B249" s="24">
        <f t="shared" si="6"/>
        <v>46266</v>
      </c>
      <c r="C249" s="25">
        <v>9.4</v>
      </c>
      <c r="D249" s="26" t="s">
        <v>28</v>
      </c>
      <c r="E249" s="22" t="s">
        <v>31</v>
      </c>
      <c r="F249" s="22" t="s">
        <v>32</v>
      </c>
      <c r="G249" s="19"/>
      <c r="I249" s="20"/>
      <c r="K249" s="20"/>
      <c r="M249" s="20"/>
      <c r="O249" s="20"/>
      <c r="Q249" s="27">
        <f t="shared" si="1"/>
        <v>0</v>
      </c>
      <c r="R249" s="26">
        <f t="shared" si="2"/>
        <v>0</v>
      </c>
      <c r="S249" s="26">
        <f t="shared" si="3"/>
        <v>0</v>
      </c>
      <c r="T249" s="26">
        <f t="shared" si="4"/>
        <v>0</v>
      </c>
      <c r="U249" s="28">
        <f t="shared" si="5"/>
        <v>0</v>
      </c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23" t="s">
        <v>21</v>
      </c>
      <c r="B250" s="24">
        <f t="shared" si="6"/>
        <v>46267</v>
      </c>
      <c r="C250" s="25">
        <v>9.4</v>
      </c>
      <c r="D250" s="26" t="s">
        <v>28</v>
      </c>
      <c r="E250" s="22" t="s">
        <v>31</v>
      </c>
      <c r="F250" s="22" t="s">
        <v>32</v>
      </c>
      <c r="G250" s="19"/>
      <c r="I250" s="20"/>
      <c r="K250" s="20"/>
      <c r="M250" s="20"/>
      <c r="O250" s="20"/>
      <c r="Q250" s="27">
        <f t="shared" si="1"/>
        <v>0</v>
      </c>
      <c r="R250" s="26">
        <f t="shared" si="2"/>
        <v>0</v>
      </c>
      <c r="S250" s="26">
        <f t="shared" si="3"/>
        <v>0</v>
      </c>
      <c r="T250" s="26">
        <f t="shared" si="4"/>
        <v>0</v>
      </c>
      <c r="U250" s="28">
        <f t="shared" si="5"/>
        <v>0</v>
      </c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23" t="s">
        <v>22</v>
      </c>
      <c r="B251" s="24">
        <f t="shared" si="6"/>
        <v>46268</v>
      </c>
      <c r="C251" s="25">
        <v>9.4</v>
      </c>
      <c r="D251" s="26" t="s">
        <v>28</v>
      </c>
      <c r="E251" s="22" t="s">
        <v>31</v>
      </c>
      <c r="F251" s="22" t="s">
        <v>32</v>
      </c>
      <c r="G251" s="19"/>
      <c r="I251" s="20"/>
      <c r="K251" s="20"/>
      <c r="M251" s="20"/>
      <c r="O251" s="20"/>
      <c r="Q251" s="27">
        <f t="shared" si="1"/>
        <v>0</v>
      </c>
      <c r="R251" s="26">
        <f t="shared" si="2"/>
        <v>0</v>
      </c>
      <c r="S251" s="26">
        <f t="shared" si="3"/>
        <v>0</v>
      </c>
      <c r="T251" s="26">
        <f t="shared" si="4"/>
        <v>0</v>
      </c>
      <c r="U251" s="28">
        <f t="shared" si="5"/>
        <v>0</v>
      </c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23" t="s">
        <v>23</v>
      </c>
      <c r="B252" s="24">
        <f t="shared" si="6"/>
        <v>46269</v>
      </c>
      <c r="C252" s="25">
        <v>9.4</v>
      </c>
      <c r="D252" s="26" t="s">
        <v>28</v>
      </c>
      <c r="E252" s="22" t="s">
        <v>31</v>
      </c>
      <c r="F252" s="22" t="s">
        <v>32</v>
      </c>
      <c r="G252" s="19"/>
      <c r="I252" s="20"/>
      <c r="K252" s="20"/>
      <c r="M252" s="20"/>
      <c r="O252" s="20"/>
      <c r="Q252" s="27">
        <f t="shared" si="1"/>
        <v>0</v>
      </c>
      <c r="R252" s="26">
        <f t="shared" si="2"/>
        <v>0</v>
      </c>
      <c r="S252" s="26">
        <f t="shared" si="3"/>
        <v>0</v>
      </c>
      <c r="T252" s="26">
        <f t="shared" si="4"/>
        <v>0</v>
      </c>
      <c r="U252" s="28">
        <f t="shared" si="5"/>
        <v>0</v>
      </c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23" t="s">
        <v>24</v>
      </c>
      <c r="B253" s="24">
        <f t="shared" si="6"/>
        <v>46270</v>
      </c>
      <c r="C253" s="25">
        <v>9.4</v>
      </c>
      <c r="D253" s="26" t="s">
        <v>28</v>
      </c>
      <c r="E253" s="22" t="s">
        <v>31</v>
      </c>
      <c r="F253" s="22" t="s">
        <v>32</v>
      </c>
      <c r="G253" s="19"/>
      <c r="I253" s="20"/>
      <c r="K253" s="20"/>
      <c r="M253" s="20"/>
      <c r="O253" s="20"/>
      <c r="Q253" s="27">
        <f t="shared" si="1"/>
        <v>0</v>
      </c>
      <c r="R253" s="26">
        <f t="shared" si="2"/>
        <v>0</v>
      </c>
      <c r="S253" s="26">
        <f t="shared" si="3"/>
        <v>0</v>
      </c>
      <c r="T253" s="26">
        <f t="shared" si="4"/>
        <v>0</v>
      </c>
      <c r="U253" s="28">
        <f t="shared" si="5"/>
        <v>0</v>
      </c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29" t="s">
        <v>25</v>
      </c>
      <c r="B254" s="30">
        <f t="shared" si="6"/>
        <v>46271</v>
      </c>
      <c r="C254" s="31">
        <v>9.4</v>
      </c>
      <c r="D254" s="32" t="s">
        <v>28</v>
      </c>
      <c r="E254" s="33" t="s">
        <v>31</v>
      </c>
      <c r="F254" s="33" t="s">
        <v>32</v>
      </c>
      <c r="G254" s="34"/>
      <c r="H254" s="6"/>
      <c r="I254" s="35"/>
      <c r="J254" s="6"/>
      <c r="K254" s="35"/>
      <c r="L254" s="6"/>
      <c r="M254" s="35"/>
      <c r="N254" s="6"/>
      <c r="O254" s="35"/>
      <c r="P254" s="6"/>
      <c r="Q254" s="36">
        <f t="shared" si="1"/>
        <v>0</v>
      </c>
      <c r="R254" s="32">
        <f t="shared" si="2"/>
        <v>0</v>
      </c>
      <c r="S254" s="32">
        <f t="shared" si="3"/>
        <v>0</v>
      </c>
      <c r="T254" s="32">
        <f t="shared" si="4"/>
        <v>0</v>
      </c>
      <c r="U254" s="37">
        <f t="shared" si="5"/>
        <v>0</v>
      </c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14" t="s">
        <v>18</v>
      </c>
      <c r="B255" s="15">
        <f t="shared" si="6"/>
        <v>46272</v>
      </c>
      <c r="C255" s="16">
        <v>10.1</v>
      </c>
      <c r="D255" s="17" t="s">
        <v>19</v>
      </c>
      <c r="E255" s="18" t="s">
        <v>29</v>
      </c>
      <c r="F255" s="18" t="s">
        <v>30</v>
      </c>
      <c r="G255" s="19"/>
      <c r="I255" s="20"/>
      <c r="K255" s="20"/>
      <c r="M255" s="20"/>
      <c r="O255" s="20"/>
      <c r="Q255" s="21">
        <f t="shared" si="1"/>
        <v>0</v>
      </c>
      <c r="R255" s="17">
        <f t="shared" si="2"/>
        <v>0</v>
      </c>
      <c r="S255" s="17">
        <f t="shared" si="3"/>
        <v>0</v>
      </c>
      <c r="T255" s="17">
        <f t="shared" si="4"/>
        <v>0</v>
      </c>
      <c r="U255" s="38">
        <f t="shared" si="5"/>
        <v>0</v>
      </c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23" t="s">
        <v>20</v>
      </c>
      <c r="B256" s="24">
        <f t="shared" si="6"/>
        <v>46273</v>
      </c>
      <c r="C256" s="25">
        <v>10.1</v>
      </c>
      <c r="D256" s="26" t="s">
        <v>19</v>
      </c>
      <c r="E256" s="22" t="s">
        <v>29</v>
      </c>
      <c r="F256" s="22" t="s">
        <v>30</v>
      </c>
      <c r="G256" s="19"/>
      <c r="I256" s="20"/>
      <c r="K256" s="20"/>
      <c r="M256" s="20"/>
      <c r="O256" s="20"/>
      <c r="Q256" s="27">
        <f t="shared" si="1"/>
        <v>0</v>
      </c>
      <c r="R256" s="26">
        <f t="shared" si="2"/>
        <v>0</v>
      </c>
      <c r="S256" s="26">
        <f t="shared" si="3"/>
        <v>0</v>
      </c>
      <c r="T256" s="26">
        <f t="shared" si="4"/>
        <v>0</v>
      </c>
      <c r="U256" s="28">
        <f t="shared" si="5"/>
        <v>0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23" t="s">
        <v>21</v>
      </c>
      <c r="B257" s="24">
        <f t="shared" si="6"/>
        <v>46274</v>
      </c>
      <c r="C257" s="25">
        <v>10.1</v>
      </c>
      <c r="D257" s="26" t="s">
        <v>19</v>
      </c>
      <c r="E257" s="22" t="s">
        <v>29</v>
      </c>
      <c r="F257" s="22" t="s">
        <v>30</v>
      </c>
      <c r="G257" s="19"/>
      <c r="I257" s="20"/>
      <c r="K257" s="20"/>
      <c r="M257" s="20"/>
      <c r="O257" s="20"/>
      <c r="Q257" s="27">
        <f t="shared" si="1"/>
        <v>0</v>
      </c>
      <c r="R257" s="26">
        <f t="shared" si="2"/>
        <v>0</v>
      </c>
      <c r="S257" s="26">
        <f t="shared" si="3"/>
        <v>0</v>
      </c>
      <c r="T257" s="26">
        <f t="shared" si="4"/>
        <v>0</v>
      </c>
      <c r="U257" s="28">
        <f t="shared" si="5"/>
        <v>0</v>
      </c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23" t="s">
        <v>22</v>
      </c>
      <c r="B258" s="24">
        <f t="shared" si="6"/>
        <v>46275</v>
      </c>
      <c r="C258" s="25">
        <v>10.1</v>
      </c>
      <c r="D258" s="26" t="s">
        <v>19</v>
      </c>
      <c r="E258" s="22" t="s">
        <v>29</v>
      </c>
      <c r="F258" s="22" t="s">
        <v>30</v>
      </c>
      <c r="G258" s="19"/>
      <c r="I258" s="20"/>
      <c r="K258" s="20"/>
      <c r="M258" s="20"/>
      <c r="O258" s="20"/>
      <c r="Q258" s="27">
        <f t="shared" si="1"/>
        <v>0</v>
      </c>
      <c r="R258" s="26">
        <f t="shared" si="2"/>
        <v>0</v>
      </c>
      <c r="S258" s="26">
        <f t="shared" si="3"/>
        <v>0</v>
      </c>
      <c r="T258" s="26">
        <f t="shared" si="4"/>
        <v>0</v>
      </c>
      <c r="U258" s="28">
        <f t="shared" si="5"/>
        <v>0</v>
      </c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23" t="s">
        <v>23</v>
      </c>
      <c r="B259" s="24">
        <f t="shared" si="6"/>
        <v>46276</v>
      </c>
      <c r="C259" s="25">
        <v>10.1</v>
      </c>
      <c r="D259" s="26" t="s">
        <v>19</v>
      </c>
      <c r="E259" s="22" t="s">
        <v>29</v>
      </c>
      <c r="F259" s="22" t="s">
        <v>30</v>
      </c>
      <c r="G259" s="19"/>
      <c r="I259" s="20"/>
      <c r="K259" s="20"/>
      <c r="M259" s="20"/>
      <c r="O259" s="20"/>
      <c r="Q259" s="27">
        <f t="shared" si="1"/>
        <v>0</v>
      </c>
      <c r="R259" s="26">
        <f t="shared" si="2"/>
        <v>0</v>
      </c>
      <c r="S259" s="26">
        <f t="shared" si="3"/>
        <v>0</v>
      </c>
      <c r="T259" s="26">
        <f t="shared" si="4"/>
        <v>0</v>
      </c>
      <c r="U259" s="28">
        <f t="shared" si="5"/>
        <v>0</v>
      </c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23" t="s">
        <v>24</v>
      </c>
      <c r="B260" s="24">
        <f t="shared" si="6"/>
        <v>46277</v>
      </c>
      <c r="C260" s="25">
        <v>10.1</v>
      </c>
      <c r="D260" s="26" t="s">
        <v>19</v>
      </c>
      <c r="E260" s="22" t="s">
        <v>29</v>
      </c>
      <c r="F260" s="22" t="s">
        <v>30</v>
      </c>
      <c r="G260" s="19"/>
      <c r="I260" s="20"/>
      <c r="K260" s="20"/>
      <c r="M260" s="20"/>
      <c r="O260" s="20"/>
      <c r="Q260" s="27">
        <f t="shared" si="1"/>
        <v>0</v>
      </c>
      <c r="R260" s="26">
        <f t="shared" si="2"/>
        <v>0</v>
      </c>
      <c r="S260" s="26">
        <f t="shared" si="3"/>
        <v>0</v>
      </c>
      <c r="T260" s="26">
        <f t="shared" si="4"/>
        <v>0</v>
      </c>
      <c r="U260" s="28">
        <f t="shared" si="5"/>
        <v>0</v>
      </c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29" t="s">
        <v>25</v>
      </c>
      <c r="B261" s="30">
        <f t="shared" si="6"/>
        <v>46278</v>
      </c>
      <c r="C261" s="31">
        <v>10.1</v>
      </c>
      <c r="D261" s="32" t="s">
        <v>19</v>
      </c>
      <c r="E261" s="33" t="s">
        <v>29</v>
      </c>
      <c r="F261" s="33" t="s">
        <v>30</v>
      </c>
      <c r="G261" s="34"/>
      <c r="H261" s="6"/>
      <c r="I261" s="35"/>
      <c r="J261" s="6"/>
      <c r="K261" s="35"/>
      <c r="L261" s="6"/>
      <c r="M261" s="35"/>
      <c r="N261" s="6"/>
      <c r="O261" s="35"/>
      <c r="P261" s="6"/>
      <c r="Q261" s="36">
        <f t="shared" si="1"/>
        <v>0</v>
      </c>
      <c r="R261" s="32">
        <f t="shared" si="2"/>
        <v>0</v>
      </c>
      <c r="S261" s="32">
        <f t="shared" si="3"/>
        <v>0</v>
      </c>
      <c r="T261" s="32">
        <f t="shared" si="4"/>
        <v>0</v>
      </c>
      <c r="U261" s="37">
        <f t="shared" si="5"/>
        <v>0</v>
      </c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14" t="s">
        <v>18</v>
      </c>
      <c r="B262" s="15">
        <f t="shared" si="6"/>
        <v>46279</v>
      </c>
      <c r="C262" s="16">
        <v>10.2</v>
      </c>
      <c r="D262" s="17" t="s">
        <v>26</v>
      </c>
      <c r="E262" s="18" t="s">
        <v>29</v>
      </c>
      <c r="F262" s="18" t="s">
        <v>30</v>
      </c>
      <c r="G262" s="19"/>
      <c r="I262" s="20"/>
      <c r="K262" s="20"/>
      <c r="M262" s="20"/>
      <c r="O262" s="20"/>
      <c r="Q262" s="21">
        <f t="shared" si="1"/>
        <v>0</v>
      </c>
      <c r="R262" s="17">
        <f t="shared" si="2"/>
        <v>0</v>
      </c>
      <c r="S262" s="17">
        <f t="shared" si="3"/>
        <v>0</v>
      </c>
      <c r="T262" s="17">
        <f t="shared" si="4"/>
        <v>0</v>
      </c>
      <c r="U262" s="38">
        <f t="shared" si="5"/>
        <v>0</v>
      </c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23" t="s">
        <v>20</v>
      </c>
      <c r="B263" s="24">
        <f t="shared" si="6"/>
        <v>46280</v>
      </c>
      <c r="C263" s="25">
        <v>10.2</v>
      </c>
      <c r="D263" s="26" t="s">
        <v>26</v>
      </c>
      <c r="E263" s="22" t="s">
        <v>31</v>
      </c>
      <c r="F263" s="22" t="s">
        <v>32</v>
      </c>
      <c r="G263" s="19"/>
      <c r="I263" s="20"/>
      <c r="K263" s="20"/>
      <c r="M263" s="20"/>
      <c r="O263" s="20"/>
      <c r="Q263" s="27">
        <f t="shared" si="1"/>
        <v>0</v>
      </c>
      <c r="R263" s="26">
        <f t="shared" si="2"/>
        <v>0</v>
      </c>
      <c r="S263" s="26">
        <f t="shared" si="3"/>
        <v>0</v>
      </c>
      <c r="T263" s="26">
        <f t="shared" si="4"/>
        <v>0</v>
      </c>
      <c r="U263" s="28">
        <f t="shared" si="5"/>
        <v>0</v>
      </c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23" t="s">
        <v>21</v>
      </c>
      <c r="B264" s="24">
        <f t="shared" si="6"/>
        <v>46281</v>
      </c>
      <c r="C264" s="25">
        <v>10.2</v>
      </c>
      <c r="D264" s="26" t="s">
        <v>26</v>
      </c>
      <c r="E264" s="22" t="s">
        <v>31</v>
      </c>
      <c r="F264" s="22" t="s">
        <v>32</v>
      </c>
      <c r="G264" s="19"/>
      <c r="I264" s="20"/>
      <c r="K264" s="20"/>
      <c r="M264" s="20"/>
      <c r="O264" s="20"/>
      <c r="Q264" s="27">
        <f t="shared" si="1"/>
        <v>0</v>
      </c>
      <c r="R264" s="26">
        <f t="shared" si="2"/>
        <v>0</v>
      </c>
      <c r="S264" s="26">
        <f t="shared" si="3"/>
        <v>0</v>
      </c>
      <c r="T264" s="26">
        <f t="shared" si="4"/>
        <v>0</v>
      </c>
      <c r="U264" s="28">
        <f t="shared" si="5"/>
        <v>0</v>
      </c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23" t="s">
        <v>22</v>
      </c>
      <c r="B265" s="24">
        <f t="shared" si="6"/>
        <v>46282</v>
      </c>
      <c r="C265" s="25">
        <v>10.2</v>
      </c>
      <c r="D265" s="26" t="s">
        <v>26</v>
      </c>
      <c r="E265" s="22" t="s">
        <v>31</v>
      </c>
      <c r="F265" s="22" t="s">
        <v>32</v>
      </c>
      <c r="G265" s="19"/>
      <c r="I265" s="20"/>
      <c r="K265" s="20"/>
      <c r="M265" s="20"/>
      <c r="O265" s="20"/>
      <c r="Q265" s="27">
        <f t="shared" si="1"/>
        <v>0</v>
      </c>
      <c r="R265" s="26">
        <f t="shared" si="2"/>
        <v>0</v>
      </c>
      <c r="S265" s="26">
        <f t="shared" si="3"/>
        <v>0</v>
      </c>
      <c r="T265" s="26">
        <f t="shared" si="4"/>
        <v>0</v>
      </c>
      <c r="U265" s="28">
        <f t="shared" si="5"/>
        <v>0</v>
      </c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23" t="s">
        <v>23</v>
      </c>
      <c r="B266" s="24">
        <f t="shared" si="6"/>
        <v>46283</v>
      </c>
      <c r="C266" s="25">
        <v>10.2</v>
      </c>
      <c r="D266" s="26" t="s">
        <v>26</v>
      </c>
      <c r="E266" s="22" t="s">
        <v>31</v>
      </c>
      <c r="F266" s="22" t="s">
        <v>32</v>
      </c>
      <c r="G266" s="19"/>
      <c r="I266" s="20"/>
      <c r="K266" s="20"/>
      <c r="M266" s="20"/>
      <c r="O266" s="20"/>
      <c r="Q266" s="27">
        <f t="shared" si="1"/>
        <v>0</v>
      </c>
      <c r="R266" s="26">
        <f t="shared" si="2"/>
        <v>0</v>
      </c>
      <c r="S266" s="26">
        <f t="shared" si="3"/>
        <v>0</v>
      </c>
      <c r="T266" s="26">
        <f t="shared" si="4"/>
        <v>0</v>
      </c>
      <c r="U266" s="28">
        <f t="shared" si="5"/>
        <v>0</v>
      </c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23" t="s">
        <v>24</v>
      </c>
      <c r="B267" s="24">
        <f t="shared" si="6"/>
        <v>46284</v>
      </c>
      <c r="C267" s="25">
        <v>10.2</v>
      </c>
      <c r="D267" s="26" t="s">
        <v>26</v>
      </c>
      <c r="E267" s="22" t="s">
        <v>31</v>
      </c>
      <c r="F267" s="22" t="s">
        <v>32</v>
      </c>
      <c r="G267" s="19"/>
      <c r="I267" s="20"/>
      <c r="K267" s="20"/>
      <c r="M267" s="20"/>
      <c r="O267" s="20"/>
      <c r="Q267" s="27">
        <f t="shared" si="1"/>
        <v>0</v>
      </c>
      <c r="R267" s="26">
        <f t="shared" si="2"/>
        <v>0</v>
      </c>
      <c r="S267" s="26">
        <f t="shared" si="3"/>
        <v>0</v>
      </c>
      <c r="T267" s="26">
        <f t="shared" si="4"/>
        <v>0</v>
      </c>
      <c r="U267" s="28">
        <f t="shared" si="5"/>
        <v>0</v>
      </c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29" t="s">
        <v>25</v>
      </c>
      <c r="B268" s="30">
        <f t="shared" si="6"/>
        <v>46285</v>
      </c>
      <c r="C268" s="31">
        <v>10.2</v>
      </c>
      <c r="D268" s="32" t="s">
        <v>26</v>
      </c>
      <c r="E268" s="33" t="s">
        <v>31</v>
      </c>
      <c r="F268" s="33" t="s">
        <v>32</v>
      </c>
      <c r="G268" s="34"/>
      <c r="H268" s="6"/>
      <c r="I268" s="35"/>
      <c r="J268" s="6"/>
      <c r="K268" s="35"/>
      <c r="L268" s="6"/>
      <c r="M268" s="35"/>
      <c r="N268" s="6"/>
      <c r="O268" s="35"/>
      <c r="P268" s="6"/>
      <c r="Q268" s="36">
        <f t="shared" si="1"/>
        <v>0</v>
      </c>
      <c r="R268" s="32">
        <f t="shared" si="2"/>
        <v>0</v>
      </c>
      <c r="S268" s="32">
        <f t="shared" si="3"/>
        <v>0</v>
      </c>
      <c r="T268" s="32">
        <f t="shared" si="4"/>
        <v>0</v>
      </c>
      <c r="U268" s="37">
        <f t="shared" si="5"/>
        <v>0</v>
      </c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14" t="s">
        <v>18</v>
      </c>
      <c r="B269" s="15">
        <f t="shared" si="6"/>
        <v>46286</v>
      </c>
      <c r="C269" s="16">
        <v>10.3</v>
      </c>
      <c r="D269" s="17" t="s">
        <v>27</v>
      </c>
      <c r="E269" s="18" t="s">
        <v>33</v>
      </c>
      <c r="F269" s="18" t="s">
        <v>30</v>
      </c>
      <c r="G269" s="19"/>
      <c r="I269" s="20"/>
      <c r="K269" s="20"/>
      <c r="M269" s="20"/>
      <c r="O269" s="20"/>
      <c r="Q269" s="21">
        <f t="shared" si="1"/>
        <v>0</v>
      </c>
      <c r="R269" s="17">
        <f t="shared" si="2"/>
        <v>0</v>
      </c>
      <c r="S269" s="17">
        <f t="shared" si="3"/>
        <v>0</v>
      </c>
      <c r="T269" s="17">
        <f t="shared" si="4"/>
        <v>0</v>
      </c>
      <c r="U269" s="38">
        <f t="shared" si="5"/>
        <v>0</v>
      </c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23" t="s">
        <v>20</v>
      </c>
      <c r="B270" s="24">
        <f t="shared" si="6"/>
        <v>46287</v>
      </c>
      <c r="C270" s="25">
        <v>10.3</v>
      </c>
      <c r="D270" s="26" t="s">
        <v>27</v>
      </c>
      <c r="E270" s="22" t="s">
        <v>31</v>
      </c>
      <c r="F270" s="22" t="s">
        <v>32</v>
      </c>
      <c r="G270" s="19"/>
      <c r="I270" s="20"/>
      <c r="K270" s="20"/>
      <c r="M270" s="20"/>
      <c r="O270" s="20"/>
      <c r="Q270" s="27">
        <f t="shared" si="1"/>
        <v>0</v>
      </c>
      <c r="R270" s="26">
        <f t="shared" si="2"/>
        <v>0</v>
      </c>
      <c r="S270" s="26">
        <f t="shared" si="3"/>
        <v>0</v>
      </c>
      <c r="T270" s="26">
        <f t="shared" si="4"/>
        <v>0</v>
      </c>
      <c r="U270" s="28">
        <f t="shared" si="5"/>
        <v>0</v>
      </c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23" t="s">
        <v>21</v>
      </c>
      <c r="B271" s="24">
        <f t="shared" si="6"/>
        <v>46288</v>
      </c>
      <c r="C271" s="25">
        <v>10.3</v>
      </c>
      <c r="D271" s="26" t="s">
        <v>27</v>
      </c>
      <c r="E271" s="22" t="s">
        <v>31</v>
      </c>
      <c r="F271" s="22" t="s">
        <v>32</v>
      </c>
      <c r="G271" s="19"/>
      <c r="I271" s="20"/>
      <c r="K271" s="20"/>
      <c r="M271" s="20"/>
      <c r="O271" s="20"/>
      <c r="Q271" s="27">
        <f t="shared" si="1"/>
        <v>0</v>
      </c>
      <c r="R271" s="26">
        <f t="shared" si="2"/>
        <v>0</v>
      </c>
      <c r="S271" s="26">
        <f t="shared" si="3"/>
        <v>0</v>
      </c>
      <c r="T271" s="26">
        <f t="shared" si="4"/>
        <v>0</v>
      </c>
      <c r="U271" s="28">
        <f t="shared" si="5"/>
        <v>0</v>
      </c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23" t="s">
        <v>22</v>
      </c>
      <c r="B272" s="24">
        <f t="shared" si="6"/>
        <v>46289</v>
      </c>
      <c r="C272" s="25">
        <v>10.3</v>
      </c>
      <c r="D272" s="26" t="s">
        <v>27</v>
      </c>
      <c r="E272" s="22" t="s">
        <v>31</v>
      </c>
      <c r="F272" s="22" t="s">
        <v>32</v>
      </c>
      <c r="G272" s="19"/>
      <c r="I272" s="20"/>
      <c r="K272" s="20"/>
      <c r="M272" s="20"/>
      <c r="O272" s="20"/>
      <c r="Q272" s="27">
        <f t="shared" si="1"/>
        <v>0</v>
      </c>
      <c r="R272" s="26">
        <f t="shared" si="2"/>
        <v>0</v>
      </c>
      <c r="S272" s="26">
        <f t="shared" si="3"/>
        <v>0</v>
      </c>
      <c r="T272" s="26">
        <f t="shared" si="4"/>
        <v>0</v>
      </c>
      <c r="U272" s="28">
        <f t="shared" si="5"/>
        <v>0</v>
      </c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23" t="s">
        <v>23</v>
      </c>
      <c r="B273" s="24">
        <f t="shared" si="6"/>
        <v>46290</v>
      </c>
      <c r="C273" s="25">
        <v>10.3</v>
      </c>
      <c r="D273" s="26" t="s">
        <v>27</v>
      </c>
      <c r="E273" s="22" t="s">
        <v>29</v>
      </c>
      <c r="F273" s="22" t="s">
        <v>30</v>
      </c>
      <c r="G273" s="19"/>
      <c r="I273" s="20"/>
      <c r="K273" s="20"/>
      <c r="M273" s="20"/>
      <c r="O273" s="20"/>
      <c r="Q273" s="27">
        <f t="shared" si="1"/>
        <v>0</v>
      </c>
      <c r="R273" s="26">
        <f t="shared" si="2"/>
        <v>0</v>
      </c>
      <c r="S273" s="26">
        <f t="shared" si="3"/>
        <v>0</v>
      </c>
      <c r="T273" s="26">
        <f t="shared" si="4"/>
        <v>0</v>
      </c>
      <c r="U273" s="28">
        <f t="shared" si="5"/>
        <v>0</v>
      </c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23" t="s">
        <v>24</v>
      </c>
      <c r="B274" s="24">
        <f t="shared" si="6"/>
        <v>46291</v>
      </c>
      <c r="C274" s="25">
        <v>10.3</v>
      </c>
      <c r="D274" s="26" t="s">
        <v>27</v>
      </c>
      <c r="E274" s="22" t="s">
        <v>29</v>
      </c>
      <c r="F274" s="22" t="s">
        <v>30</v>
      </c>
      <c r="G274" s="19"/>
      <c r="I274" s="20"/>
      <c r="K274" s="20"/>
      <c r="M274" s="20"/>
      <c r="O274" s="20"/>
      <c r="Q274" s="27">
        <f t="shared" si="1"/>
        <v>0</v>
      </c>
      <c r="R274" s="26">
        <f t="shared" si="2"/>
        <v>0</v>
      </c>
      <c r="S274" s="26">
        <f t="shared" si="3"/>
        <v>0</v>
      </c>
      <c r="T274" s="26">
        <f t="shared" si="4"/>
        <v>0</v>
      </c>
      <c r="U274" s="28">
        <f t="shared" si="5"/>
        <v>0</v>
      </c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29" t="s">
        <v>25</v>
      </c>
      <c r="B275" s="30">
        <f t="shared" si="6"/>
        <v>46292</v>
      </c>
      <c r="C275" s="31">
        <v>10.3</v>
      </c>
      <c r="D275" s="32" t="s">
        <v>27</v>
      </c>
      <c r="E275" s="33" t="s">
        <v>29</v>
      </c>
      <c r="F275" s="33" t="s">
        <v>30</v>
      </c>
      <c r="G275" s="34"/>
      <c r="H275" s="6"/>
      <c r="I275" s="35"/>
      <c r="J275" s="6"/>
      <c r="K275" s="35"/>
      <c r="L275" s="6"/>
      <c r="M275" s="35"/>
      <c r="N275" s="6"/>
      <c r="O275" s="35"/>
      <c r="P275" s="6"/>
      <c r="Q275" s="36">
        <f t="shared" si="1"/>
        <v>0</v>
      </c>
      <c r="R275" s="32">
        <f t="shared" si="2"/>
        <v>0</v>
      </c>
      <c r="S275" s="32">
        <f t="shared" si="3"/>
        <v>0</v>
      </c>
      <c r="T275" s="32">
        <f t="shared" si="4"/>
        <v>0</v>
      </c>
      <c r="U275" s="37">
        <f t="shared" si="5"/>
        <v>0</v>
      </c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14" t="s">
        <v>18</v>
      </c>
      <c r="B276" s="15">
        <f t="shared" si="6"/>
        <v>46293</v>
      </c>
      <c r="C276" s="16">
        <v>10.4</v>
      </c>
      <c r="D276" s="17" t="s">
        <v>28</v>
      </c>
      <c r="E276" s="18"/>
      <c r="F276" s="18"/>
      <c r="G276" s="19"/>
      <c r="I276" s="20"/>
      <c r="K276" s="20"/>
      <c r="M276" s="20"/>
      <c r="O276" s="20"/>
      <c r="Q276" s="21">
        <f t="shared" si="1"/>
        <v>0</v>
      </c>
      <c r="R276" s="17">
        <f t="shared" si="2"/>
        <v>0</v>
      </c>
      <c r="S276" s="17">
        <f t="shared" si="3"/>
        <v>0</v>
      </c>
      <c r="T276" s="17">
        <f t="shared" si="4"/>
        <v>0</v>
      </c>
      <c r="U276" s="38">
        <f t="shared" si="5"/>
        <v>0</v>
      </c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23" t="s">
        <v>20</v>
      </c>
      <c r="B277" s="24">
        <f t="shared" si="6"/>
        <v>46294</v>
      </c>
      <c r="C277" s="25">
        <v>10.4</v>
      </c>
      <c r="D277" s="26" t="s">
        <v>28</v>
      </c>
      <c r="E277" s="22"/>
      <c r="F277" s="22"/>
      <c r="G277" s="19"/>
      <c r="I277" s="20"/>
      <c r="K277" s="20"/>
      <c r="M277" s="20"/>
      <c r="O277" s="20"/>
      <c r="Q277" s="27">
        <f t="shared" si="1"/>
        <v>0</v>
      </c>
      <c r="R277" s="26">
        <f t="shared" si="2"/>
        <v>0</v>
      </c>
      <c r="S277" s="26">
        <f t="shared" si="3"/>
        <v>0</v>
      </c>
      <c r="T277" s="26">
        <f t="shared" si="4"/>
        <v>0</v>
      </c>
      <c r="U277" s="28">
        <f t="shared" si="5"/>
        <v>0</v>
      </c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23" t="s">
        <v>21</v>
      </c>
      <c r="B278" s="24">
        <f t="shared" si="6"/>
        <v>46295</v>
      </c>
      <c r="C278" s="25">
        <v>10.4</v>
      </c>
      <c r="D278" s="26" t="s">
        <v>28</v>
      </c>
      <c r="E278" s="22"/>
      <c r="F278" s="22"/>
      <c r="G278" s="19"/>
      <c r="I278" s="20"/>
      <c r="K278" s="20"/>
      <c r="M278" s="20"/>
      <c r="O278" s="20"/>
      <c r="Q278" s="27">
        <f t="shared" si="1"/>
        <v>0</v>
      </c>
      <c r="R278" s="26">
        <f t="shared" si="2"/>
        <v>0</v>
      </c>
      <c r="S278" s="26">
        <f t="shared" si="3"/>
        <v>0</v>
      </c>
      <c r="T278" s="26">
        <f t="shared" si="4"/>
        <v>0</v>
      </c>
      <c r="U278" s="28">
        <f t="shared" si="5"/>
        <v>0</v>
      </c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23" t="s">
        <v>22</v>
      </c>
      <c r="B279" s="24">
        <f t="shared" si="6"/>
        <v>46296</v>
      </c>
      <c r="C279" s="25">
        <v>10.4</v>
      </c>
      <c r="D279" s="26" t="s">
        <v>28</v>
      </c>
      <c r="E279" s="22"/>
      <c r="F279" s="22"/>
      <c r="G279" s="19"/>
      <c r="I279" s="20"/>
      <c r="K279" s="20"/>
      <c r="M279" s="20"/>
      <c r="O279" s="20"/>
      <c r="Q279" s="27">
        <f t="shared" si="1"/>
        <v>0</v>
      </c>
      <c r="R279" s="26">
        <f t="shared" si="2"/>
        <v>0</v>
      </c>
      <c r="S279" s="26">
        <f t="shared" si="3"/>
        <v>0</v>
      </c>
      <c r="T279" s="26">
        <f t="shared" si="4"/>
        <v>0</v>
      </c>
      <c r="U279" s="28">
        <f t="shared" si="5"/>
        <v>0</v>
      </c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23" t="s">
        <v>23</v>
      </c>
      <c r="B280" s="24">
        <f t="shared" si="6"/>
        <v>46297</v>
      </c>
      <c r="C280" s="25">
        <v>10.4</v>
      </c>
      <c r="D280" s="26" t="s">
        <v>28</v>
      </c>
      <c r="E280" s="22"/>
      <c r="F280" s="22"/>
      <c r="G280" s="19"/>
      <c r="I280" s="20"/>
      <c r="K280" s="20"/>
      <c r="M280" s="20"/>
      <c r="O280" s="20"/>
      <c r="Q280" s="27">
        <f t="shared" si="1"/>
        <v>0</v>
      </c>
      <c r="R280" s="26">
        <f t="shared" si="2"/>
        <v>0</v>
      </c>
      <c r="S280" s="26">
        <f t="shared" si="3"/>
        <v>0</v>
      </c>
      <c r="T280" s="26">
        <f t="shared" si="4"/>
        <v>0</v>
      </c>
      <c r="U280" s="28">
        <f t="shared" si="5"/>
        <v>0</v>
      </c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23" t="s">
        <v>24</v>
      </c>
      <c r="B281" s="24">
        <f t="shared" si="6"/>
        <v>46298</v>
      </c>
      <c r="C281" s="25">
        <v>10.4</v>
      </c>
      <c r="D281" s="26" t="s">
        <v>28</v>
      </c>
      <c r="E281" s="22"/>
      <c r="F281" s="22"/>
      <c r="G281" s="19"/>
      <c r="I281" s="20"/>
      <c r="K281" s="20"/>
      <c r="M281" s="20"/>
      <c r="O281" s="20"/>
      <c r="Q281" s="27">
        <f t="shared" si="1"/>
        <v>0</v>
      </c>
      <c r="R281" s="26">
        <f t="shared" si="2"/>
        <v>0</v>
      </c>
      <c r="S281" s="26">
        <f t="shared" si="3"/>
        <v>0</v>
      </c>
      <c r="T281" s="26">
        <f t="shared" si="4"/>
        <v>0</v>
      </c>
      <c r="U281" s="28">
        <f t="shared" si="5"/>
        <v>0</v>
      </c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29" t="s">
        <v>25</v>
      </c>
      <c r="B282" s="30">
        <f t="shared" si="6"/>
        <v>46299</v>
      </c>
      <c r="C282" s="31">
        <v>10.4</v>
      </c>
      <c r="D282" s="32" t="s">
        <v>28</v>
      </c>
      <c r="E282" s="33"/>
      <c r="F282" s="33"/>
      <c r="G282" s="34"/>
      <c r="H282" s="6"/>
      <c r="I282" s="35"/>
      <c r="J282" s="6"/>
      <c r="K282" s="35"/>
      <c r="L282" s="6"/>
      <c r="M282" s="35"/>
      <c r="N282" s="6"/>
      <c r="O282" s="35"/>
      <c r="P282" s="6"/>
      <c r="Q282" s="36">
        <f t="shared" si="1"/>
        <v>0</v>
      </c>
      <c r="R282" s="32">
        <f t="shared" si="2"/>
        <v>0</v>
      </c>
      <c r="S282" s="32">
        <f t="shared" si="3"/>
        <v>0</v>
      </c>
      <c r="T282" s="32">
        <f t="shared" si="4"/>
        <v>0</v>
      </c>
      <c r="U282" s="37">
        <f t="shared" si="5"/>
        <v>0</v>
      </c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14" t="s">
        <v>18</v>
      </c>
      <c r="B283" s="15">
        <f t="shared" si="6"/>
        <v>46300</v>
      </c>
      <c r="C283" s="16">
        <v>11.1</v>
      </c>
      <c r="D283" s="17" t="s">
        <v>19</v>
      </c>
      <c r="E283" s="18"/>
      <c r="F283" s="18"/>
      <c r="G283" s="19"/>
      <c r="I283" s="20"/>
      <c r="K283" s="20"/>
      <c r="M283" s="20"/>
      <c r="O283" s="20"/>
      <c r="Q283" s="21">
        <f t="shared" si="1"/>
        <v>0</v>
      </c>
      <c r="R283" s="17">
        <f t="shared" si="2"/>
        <v>0</v>
      </c>
      <c r="S283" s="17">
        <f t="shared" si="3"/>
        <v>0</v>
      </c>
      <c r="T283" s="17">
        <f t="shared" si="4"/>
        <v>0</v>
      </c>
      <c r="U283" s="38">
        <f t="shared" si="5"/>
        <v>0</v>
      </c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23" t="s">
        <v>20</v>
      </c>
      <c r="B284" s="24">
        <f t="shared" si="6"/>
        <v>46301</v>
      </c>
      <c r="C284" s="25">
        <v>11.1</v>
      </c>
      <c r="D284" s="26" t="s">
        <v>19</v>
      </c>
      <c r="E284" s="22"/>
      <c r="F284" s="22"/>
      <c r="G284" s="19"/>
      <c r="I284" s="20"/>
      <c r="K284" s="20"/>
      <c r="M284" s="20"/>
      <c r="O284" s="20"/>
      <c r="Q284" s="27">
        <f t="shared" si="1"/>
        <v>0</v>
      </c>
      <c r="R284" s="26">
        <f t="shared" si="2"/>
        <v>0</v>
      </c>
      <c r="S284" s="26">
        <f t="shared" si="3"/>
        <v>0</v>
      </c>
      <c r="T284" s="26">
        <f t="shared" si="4"/>
        <v>0</v>
      </c>
      <c r="U284" s="28">
        <f t="shared" si="5"/>
        <v>0</v>
      </c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23" t="s">
        <v>21</v>
      </c>
      <c r="B285" s="24">
        <f t="shared" si="6"/>
        <v>46302</v>
      </c>
      <c r="C285" s="25">
        <v>11.1</v>
      </c>
      <c r="D285" s="26" t="s">
        <v>19</v>
      </c>
      <c r="E285" s="22"/>
      <c r="F285" s="22"/>
      <c r="G285" s="19"/>
      <c r="I285" s="20"/>
      <c r="K285" s="20"/>
      <c r="M285" s="20"/>
      <c r="O285" s="20"/>
      <c r="Q285" s="27">
        <f t="shared" si="1"/>
        <v>0</v>
      </c>
      <c r="R285" s="26">
        <f t="shared" si="2"/>
        <v>0</v>
      </c>
      <c r="S285" s="26">
        <f t="shared" si="3"/>
        <v>0</v>
      </c>
      <c r="T285" s="26">
        <f t="shared" si="4"/>
        <v>0</v>
      </c>
      <c r="U285" s="28">
        <f t="shared" si="5"/>
        <v>0</v>
      </c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23" t="s">
        <v>22</v>
      </c>
      <c r="B286" s="24">
        <f t="shared" si="6"/>
        <v>46303</v>
      </c>
      <c r="C286" s="25">
        <v>11.1</v>
      </c>
      <c r="D286" s="26" t="s">
        <v>19</v>
      </c>
      <c r="E286" s="22"/>
      <c r="F286" s="22"/>
      <c r="G286" s="19"/>
      <c r="I286" s="20"/>
      <c r="K286" s="20"/>
      <c r="M286" s="20"/>
      <c r="O286" s="20"/>
      <c r="Q286" s="27">
        <f t="shared" si="1"/>
        <v>0</v>
      </c>
      <c r="R286" s="26">
        <f t="shared" si="2"/>
        <v>0</v>
      </c>
      <c r="S286" s="26">
        <f t="shared" si="3"/>
        <v>0</v>
      </c>
      <c r="T286" s="26">
        <f t="shared" si="4"/>
        <v>0</v>
      </c>
      <c r="U286" s="28">
        <f t="shared" si="5"/>
        <v>0</v>
      </c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23" t="s">
        <v>23</v>
      </c>
      <c r="B287" s="24">
        <f t="shared" si="6"/>
        <v>46304</v>
      </c>
      <c r="C287" s="25">
        <v>11.1</v>
      </c>
      <c r="D287" s="26" t="s">
        <v>19</v>
      </c>
      <c r="E287" s="22"/>
      <c r="F287" s="22"/>
      <c r="G287" s="19"/>
      <c r="I287" s="20"/>
      <c r="K287" s="20"/>
      <c r="M287" s="20"/>
      <c r="O287" s="20"/>
      <c r="Q287" s="27">
        <f t="shared" si="1"/>
        <v>0</v>
      </c>
      <c r="R287" s="26">
        <f t="shared" si="2"/>
        <v>0</v>
      </c>
      <c r="S287" s="26">
        <f t="shared" si="3"/>
        <v>0</v>
      </c>
      <c r="T287" s="26">
        <f t="shared" si="4"/>
        <v>0</v>
      </c>
      <c r="U287" s="28">
        <f t="shared" si="5"/>
        <v>0</v>
      </c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23" t="s">
        <v>24</v>
      </c>
      <c r="B288" s="24">
        <f t="shared" si="6"/>
        <v>46305</v>
      </c>
      <c r="C288" s="25">
        <v>11.1</v>
      </c>
      <c r="D288" s="26" t="s">
        <v>19</v>
      </c>
      <c r="E288" s="22"/>
      <c r="F288" s="22"/>
      <c r="G288" s="19"/>
      <c r="I288" s="20"/>
      <c r="K288" s="20"/>
      <c r="M288" s="20"/>
      <c r="O288" s="20"/>
      <c r="Q288" s="27">
        <f t="shared" si="1"/>
        <v>0</v>
      </c>
      <c r="R288" s="26">
        <f t="shared" si="2"/>
        <v>0</v>
      </c>
      <c r="S288" s="26">
        <f t="shared" si="3"/>
        <v>0</v>
      </c>
      <c r="T288" s="26">
        <f t="shared" si="4"/>
        <v>0</v>
      </c>
      <c r="U288" s="28">
        <f t="shared" si="5"/>
        <v>0</v>
      </c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29" t="s">
        <v>25</v>
      </c>
      <c r="B289" s="30">
        <f t="shared" si="6"/>
        <v>46306</v>
      </c>
      <c r="C289" s="31">
        <v>11.1</v>
      </c>
      <c r="D289" s="32" t="s">
        <v>19</v>
      </c>
      <c r="E289" s="33"/>
      <c r="F289" s="33"/>
      <c r="G289" s="34"/>
      <c r="H289" s="6"/>
      <c r="I289" s="35"/>
      <c r="J289" s="6"/>
      <c r="K289" s="35"/>
      <c r="L289" s="6"/>
      <c r="M289" s="35"/>
      <c r="N289" s="6"/>
      <c r="O289" s="35"/>
      <c r="P289" s="6"/>
      <c r="Q289" s="36">
        <f t="shared" si="1"/>
        <v>0</v>
      </c>
      <c r="R289" s="32">
        <f t="shared" si="2"/>
        <v>0</v>
      </c>
      <c r="S289" s="32">
        <f t="shared" si="3"/>
        <v>0</v>
      </c>
      <c r="T289" s="32">
        <f t="shared" si="4"/>
        <v>0</v>
      </c>
      <c r="U289" s="37">
        <f t="shared" si="5"/>
        <v>0</v>
      </c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14" t="s">
        <v>18</v>
      </c>
      <c r="B290" s="15">
        <f t="shared" si="6"/>
        <v>46307</v>
      </c>
      <c r="C290" s="16">
        <v>11.2</v>
      </c>
      <c r="D290" s="17" t="s">
        <v>26</v>
      </c>
      <c r="E290" s="18"/>
      <c r="F290" s="18"/>
      <c r="G290" s="19"/>
      <c r="I290" s="20"/>
      <c r="K290" s="20"/>
      <c r="M290" s="20"/>
      <c r="O290" s="20"/>
      <c r="Q290" s="21">
        <f t="shared" si="1"/>
        <v>0</v>
      </c>
      <c r="R290" s="17">
        <f t="shared" si="2"/>
        <v>0</v>
      </c>
      <c r="S290" s="17">
        <f t="shared" si="3"/>
        <v>0</v>
      </c>
      <c r="T290" s="17">
        <f t="shared" si="4"/>
        <v>0</v>
      </c>
      <c r="U290" s="38">
        <f t="shared" si="5"/>
        <v>0</v>
      </c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23" t="s">
        <v>20</v>
      </c>
      <c r="B291" s="24">
        <f t="shared" si="6"/>
        <v>46308</v>
      </c>
      <c r="C291" s="25">
        <v>11.2</v>
      </c>
      <c r="D291" s="26" t="s">
        <v>26</v>
      </c>
      <c r="E291" s="22"/>
      <c r="F291" s="22"/>
      <c r="G291" s="19"/>
      <c r="I291" s="20"/>
      <c r="K291" s="20"/>
      <c r="M291" s="20"/>
      <c r="O291" s="20"/>
      <c r="Q291" s="27">
        <f t="shared" si="1"/>
        <v>0</v>
      </c>
      <c r="R291" s="26">
        <f t="shared" si="2"/>
        <v>0</v>
      </c>
      <c r="S291" s="26">
        <f t="shared" si="3"/>
        <v>0</v>
      </c>
      <c r="T291" s="26">
        <f t="shared" si="4"/>
        <v>0</v>
      </c>
      <c r="U291" s="28">
        <f t="shared" si="5"/>
        <v>0</v>
      </c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23" t="s">
        <v>21</v>
      </c>
      <c r="B292" s="24">
        <f t="shared" si="6"/>
        <v>46309</v>
      </c>
      <c r="C292" s="25">
        <v>11.2</v>
      </c>
      <c r="D292" s="26" t="s">
        <v>26</v>
      </c>
      <c r="E292" s="22"/>
      <c r="F292" s="22"/>
      <c r="G292" s="19"/>
      <c r="I292" s="20"/>
      <c r="K292" s="20"/>
      <c r="M292" s="20"/>
      <c r="O292" s="20"/>
      <c r="Q292" s="27">
        <f t="shared" si="1"/>
        <v>0</v>
      </c>
      <c r="R292" s="26">
        <f t="shared" si="2"/>
        <v>0</v>
      </c>
      <c r="S292" s="26">
        <f t="shared" si="3"/>
        <v>0</v>
      </c>
      <c r="T292" s="26">
        <f t="shared" si="4"/>
        <v>0</v>
      </c>
      <c r="U292" s="28">
        <f t="shared" si="5"/>
        <v>0</v>
      </c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23" t="s">
        <v>22</v>
      </c>
      <c r="B293" s="24">
        <f t="shared" si="6"/>
        <v>46310</v>
      </c>
      <c r="C293" s="25">
        <v>11.2</v>
      </c>
      <c r="D293" s="26" t="s">
        <v>26</v>
      </c>
      <c r="E293" s="22"/>
      <c r="F293" s="22"/>
      <c r="G293" s="19"/>
      <c r="I293" s="20"/>
      <c r="K293" s="20"/>
      <c r="M293" s="20"/>
      <c r="O293" s="20"/>
      <c r="Q293" s="27">
        <f t="shared" si="1"/>
        <v>0</v>
      </c>
      <c r="R293" s="26">
        <f t="shared" si="2"/>
        <v>0</v>
      </c>
      <c r="S293" s="26">
        <f t="shared" si="3"/>
        <v>0</v>
      </c>
      <c r="T293" s="26">
        <f t="shared" si="4"/>
        <v>0</v>
      </c>
      <c r="U293" s="28">
        <f t="shared" si="5"/>
        <v>0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23" t="s">
        <v>23</v>
      </c>
      <c r="B294" s="24">
        <f t="shared" si="6"/>
        <v>46311</v>
      </c>
      <c r="C294" s="25">
        <v>11.2</v>
      </c>
      <c r="D294" s="26" t="s">
        <v>26</v>
      </c>
      <c r="E294" s="22"/>
      <c r="F294" s="22"/>
      <c r="G294" s="19"/>
      <c r="I294" s="20"/>
      <c r="K294" s="20"/>
      <c r="M294" s="20"/>
      <c r="O294" s="20"/>
      <c r="Q294" s="27">
        <f t="shared" si="1"/>
        <v>0</v>
      </c>
      <c r="R294" s="26">
        <f t="shared" si="2"/>
        <v>0</v>
      </c>
      <c r="S294" s="26">
        <f t="shared" si="3"/>
        <v>0</v>
      </c>
      <c r="T294" s="26">
        <f t="shared" si="4"/>
        <v>0</v>
      </c>
      <c r="U294" s="28">
        <f t="shared" si="5"/>
        <v>0</v>
      </c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23" t="s">
        <v>24</v>
      </c>
      <c r="B295" s="24">
        <f t="shared" si="6"/>
        <v>46312</v>
      </c>
      <c r="C295" s="25">
        <v>11.2</v>
      </c>
      <c r="D295" s="26" t="s">
        <v>26</v>
      </c>
      <c r="E295" s="22"/>
      <c r="F295" s="22"/>
      <c r="G295" s="19"/>
      <c r="I295" s="20"/>
      <c r="K295" s="20"/>
      <c r="M295" s="20"/>
      <c r="O295" s="20"/>
      <c r="Q295" s="27">
        <f t="shared" si="1"/>
        <v>0</v>
      </c>
      <c r="R295" s="26">
        <f t="shared" si="2"/>
        <v>0</v>
      </c>
      <c r="S295" s="26">
        <f t="shared" si="3"/>
        <v>0</v>
      </c>
      <c r="T295" s="26">
        <f t="shared" si="4"/>
        <v>0</v>
      </c>
      <c r="U295" s="28">
        <f t="shared" si="5"/>
        <v>0</v>
      </c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29" t="s">
        <v>25</v>
      </c>
      <c r="B296" s="30">
        <f t="shared" si="6"/>
        <v>46313</v>
      </c>
      <c r="C296" s="31">
        <v>11.2</v>
      </c>
      <c r="D296" s="32" t="s">
        <v>26</v>
      </c>
      <c r="E296" s="33"/>
      <c r="F296" s="33"/>
      <c r="G296" s="34"/>
      <c r="H296" s="6"/>
      <c r="I296" s="35"/>
      <c r="J296" s="6"/>
      <c r="K296" s="35"/>
      <c r="L296" s="6"/>
      <c r="M296" s="35"/>
      <c r="N296" s="6"/>
      <c r="O296" s="35"/>
      <c r="P296" s="6"/>
      <c r="Q296" s="36">
        <f t="shared" si="1"/>
        <v>0</v>
      </c>
      <c r="R296" s="32">
        <f t="shared" si="2"/>
        <v>0</v>
      </c>
      <c r="S296" s="32">
        <f t="shared" si="3"/>
        <v>0</v>
      </c>
      <c r="T296" s="32">
        <f t="shared" si="4"/>
        <v>0</v>
      </c>
      <c r="U296" s="37">
        <f t="shared" si="5"/>
        <v>0</v>
      </c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14" t="s">
        <v>18</v>
      </c>
      <c r="B297" s="15">
        <f t="shared" si="6"/>
        <v>46314</v>
      </c>
      <c r="C297" s="16">
        <v>11.3</v>
      </c>
      <c r="D297" s="17" t="s">
        <v>27</v>
      </c>
      <c r="E297" s="18"/>
      <c r="F297" s="18"/>
      <c r="G297" s="19"/>
      <c r="I297" s="20"/>
      <c r="K297" s="20"/>
      <c r="M297" s="20"/>
      <c r="O297" s="20"/>
      <c r="Q297" s="21">
        <f t="shared" si="1"/>
        <v>0</v>
      </c>
      <c r="R297" s="17">
        <f t="shared" si="2"/>
        <v>0</v>
      </c>
      <c r="S297" s="17">
        <f t="shared" si="3"/>
        <v>0</v>
      </c>
      <c r="T297" s="17">
        <f t="shared" si="4"/>
        <v>0</v>
      </c>
      <c r="U297" s="38">
        <f t="shared" si="5"/>
        <v>0</v>
      </c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23" t="s">
        <v>20</v>
      </c>
      <c r="B298" s="24">
        <f t="shared" si="6"/>
        <v>46315</v>
      </c>
      <c r="C298" s="25">
        <v>11.3</v>
      </c>
      <c r="D298" s="26" t="s">
        <v>27</v>
      </c>
      <c r="E298" s="22"/>
      <c r="F298" s="22"/>
      <c r="G298" s="19"/>
      <c r="I298" s="20"/>
      <c r="K298" s="20"/>
      <c r="M298" s="20"/>
      <c r="O298" s="20"/>
      <c r="Q298" s="27">
        <f t="shared" si="1"/>
        <v>0</v>
      </c>
      <c r="R298" s="26">
        <f t="shared" si="2"/>
        <v>0</v>
      </c>
      <c r="S298" s="26">
        <f t="shared" si="3"/>
        <v>0</v>
      </c>
      <c r="T298" s="26">
        <f t="shared" si="4"/>
        <v>0</v>
      </c>
      <c r="U298" s="28">
        <f t="shared" si="5"/>
        <v>0</v>
      </c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23" t="s">
        <v>21</v>
      </c>
      <c r="B299" s="24">
        <f t="shared" si="6"/>
        <v>46316</v>
      </c>
      <c r="C299" s="25">
        <v>11.3</v>
      </c>
      <c r="D299" s="26" t="s">
        <v>27</v>
      </c>
      <c r="E299" s="22"/>
      <c r="F299" s="22"/>
      <c r="G299" s="19"/>
      <c r="I299" s="20"/>
      <c r="K299" s="20"/>
      <c r="M299" s="20"/>
      <c r="O299" s="20"/>
      <c r="Q299" s="27">
        <f t="shared" si="1"/>
        <v>0</v>
      </c>
      <c r="R299" s="26">
        <f t="shared" si="2"/>
        <v>0</v>
      </c>
      <c r="S299" s="26">
        <f t="shared" si="3"/>
        <v>0</v>
      </c>
      <c r="T299" s="26">
        <f t="shared" si="4"/>
        <v>0</v>
      </c>
      <c r="U299" s="28">
        <f t="shared" si="5"/>
        <v>0</v>
      </c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23" t="s">
        <v>22</v>
      </c>
      <c r="B300" s="24">
        <f t="shared" si="6"/>
        <v>46317</v>
      </c>
      <c r="C300" s="25">
        <v>11.3</v>
      </c>
      <c r="D300" s="26" t="s">
        <v>27</v>
      </c>
      <c r="E300" s="22"/>
      <c r="F300" s="22"/>
      <c r="G300" s="19"/>
      <c r="I300" s="20"/>
      <c r="K300" s="20"/>
      <c r="M300" s="20"/>
      <c r="O300" s="20"/>
      <c r="Q300" s="27">
        <f t="shared" si="1"/>
        <v>0</v>
      </c>
      <c r="R300" s="26">
        <f t="shared" si="2"/>
        <v>0</v>
      </c>
      <c r="S300" s="26">
        <f t="shared" si="3"/>
        <v>0</v>
      </c>
      <c r="T300" s="26">
        <f t="shared" si="4"/>
        <v>0</v>
      </c>
      <c r="U300" s="28">
        <f t="shared" si="5"/>
        <v>0</v>
      </c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23" t="s">
        <v>23</v>
      </c>
      <c r="B301" s="24">
        <f t="shared" si="6"/>
        <v>46318</v>
      </c>
      <c r="C301" s="25">
        <v>11.3</v>
      </c>
      <c r="D301" s="26" t="s">
        <v>27</v>
      </c>
      <c r="E301" s="22"/>
      <c r="F301" s="22"/>
      <c r="G301" s="19"/>
      <c r="I301" s="20"/>
      <c r="K301" s="20"/>
      <c r="M301" s="20"/>
      <c r="O301" s="20"/>
      <c r="Q301" s="27">
        <f t="shared" si="1"/>
        <v>0</v>
      </c>
      <c r="R301" s="26">
        <f t="shared" si="2"/>
        <v>0</v>
      </c>
      <c r="S301" s="26">
        <f t="shared" si="3"/>
        <v>0</v>
      </c>
      <c r="T301" s="26">
        <f t="shared" si="4"/>
        <v>0</v>
      </c>
      <c r="U301" s="28">
        <f t="shared" si="5"/>
        <v>0</v>
      </c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23" t="s">
        <v>24</v>
      </c>
      <c r="B302" s="24">
        <f t="shared" si="6"/>
        <v>46319</v>
      </c>
      <c r="C302" s="25">
        <v>11.3</v>
      </c>
      <c r="D302" s="26" t="s">
        <v>27</v>
      </c>
      <c r="E302" s="22"/>
      <c r="F302" s="22"/>
      <c r="G302" s="19"/>
      <c r="I302" s="20"/>
      <c r="K302" s="20"/>
      <c r="M302" s="20"/>
      <c r="O302" s="20"/>
      <c r="Q302" s="27">
        <f t="shared" si="1"/>
        <v>0</v>
      </c>
      <c r="R302" s="26">
        <f t="shared" si="2"/>
        <v>0</v>
      </c>
      <c r="S302" s="26">
        <f t="shared" si="3"/>
        <v>0</v>
      </c>
      <c r="T302" s="26">
        <f t="shared" si="4"/>
        <v>0</v>
      </c>
      <c r="U302" s="28">
        <f t="shared" si="5"/>
        <v>0</v>
      </c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29" t="s">
        <v>25</v>
      </c>
      <c r="B303" s="30">
        <f t="shared" si="6"/>
        <v>46320</v>
      </c>
      <c r="C303" s="31">
        <v>11.3</v>
      </c>
      <c r="D303" s="32" t="s">
        <v>27</v>
      </c>
      <c r="E303" s="33"/>
      <c r="F303" s="33"/>
      <c r="G303" s="34"/>
      <c r="H303" s="6"/>
      <c r="I303" s="35"/>
      <c r="J303" s="6"/>
      <c r="K303" s="35"/>
      <c r="L303" s="6"/>
      <c r="M303" s="35"/>
      <c r="N303" s="6"/>
      <c r="O303" s="35"/>
      <c r="P303" s="6"/>
      <c r="Q303" s="36">
        <f t="shared" si="1"/>
        <v>0</v>
      </c>
      <c r="R303" s="32">
        <f t="shared" si="2"/>
        <v>0</v>
      </c>
      <c r="S303" s="32">
        <f t="shared" si="3"/>
        <v>0</v>
      </c>
      <c r="T303" s="32">
        <f t="shared" si="4"/>
        <v>0</v>
      </c>
      <c r="U303" s="37">
        <f t="shared" si="5"/>
        <v>0</v>
      </c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14" t="s">
        <v>18</v>
      </c>
      <c r="B304" s="15">
        <f t="shared" si="6"/>
        <v>46321</v>
      </c>
      <c r="C304" s="16">
        <v>11.4</v>
      </c>
      <c r="D304" s="17" t="s">
        <v>28</v>
      </c>
      <c r="E304" s="18"/>
      <c r="F304" s="18"/>
      <c r="G304" s="19"/>
      <c r="I304" s="20"/>
      <c r="K304" s="20"/>
      <c r="M304" s="20"/>
      <c r="O304" s="20"/>
      <c r="Q304" s="21">
        <f t="shared" si="1"/>
        <v>0</v>
      </c>
      <c r="R304" s="17">
        <f t="shared" si="2"/>
        <v>0</v>
      </c>
      <c r="S304" s="17">
        <f t="shared" si="3"/>
        <v>0</v>
      </c>
      <c r="T304" s="17">
        <f t="shared" si="4"/>
        <v>0</v>
      </c>
      <c r="U304" s="38">
        <f t="shared" si="5"/>
        <v>0</v>
      </c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23" t="s">
        <v>20</v>
      </c>
      <c r="B305" s="24">
        <f t="shared" si="6"/>
        <v>46322</v>
      </c>
      <c r="C305" s="25">
        <v>11.4</v>
      </c>
      <c r="D305" s="26" t="s">
        <v>28</v>
      </c>
      <c r="E305" s="22"/>
      <c r="F305" s="22"/>
      <c r="G305" s="19"/>
      <c r="I305" s="20"/>
      <c r="K305" s="20"/>
      <c r="M305" s="20"/>
      <c r="O305" s="20"/>
      <c r="Q305" s="27">
        <f t="shared" si="1"/>
        <v>0</v>
      </c>
      <c r="R305" s="26">
        <f t="shared" si="2"/>
        <v>0</v>
      </c>
      <c r="S305" s="26">
        <f t="shared" si="3"/>
        <v>0</v>
      </c>
      <c r="T305" s="26">
        <f t="shared" si="4"/>
        <v>0</v>
      </c>
      <c r="U305" s="28">
        <f t="shared" si="5"/>
        <v>0</v>
      </c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23" t="s">
        <v>21</v>
      </c>
      <c r="B306" s="24">
        <f t="shared" si="6"/>
        <v>46323</v>
      </c>
      <c r="C306" s="25">
        <v>11.4</v>
      </c>
      <c r="D306" s="26" t="s">
        <v>28</v>
      </c>
      <c r="E306" s="22"/>
      <c r="F306" s="22"/>
      <c r="G306" s="19"/>
      <c r="I306" s="20"/>
      <c r="K306" s="20"/>
      <c r="M306" s="20"/>
      <c r="O306" s="20"/>
      <c r="Q306" s="27">
        <f t="shared" si="1"/>
        <v>0</v>
      </c>
      <c r="R306" s="26">
        <f t="shared" si="2"/>
        <v>0</v>
      </c>
      <c r="S306" s="26">
        <f t="shared" si="3"/>
        <v>0</v>
      </c>
      <c r="T306" s="26">
        <f t="shared" si="4"/>
        <v>0</v>
      </c>
      <c r="U306" s="28">
        <f t="shared" si="5"/>
        <v>0</v>
      </c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23" t="s">
        <v>22</v>
      </c>
      <c r="B307" s="24">
        <f t="shared" si="6"/>
        <v>46324</v>
      </c>
      <c r="C307" s="25">
        <v>11.4</v>
      </c>
      <c r="D307" s="26" t="s">
        <v>28</v>
      </c>
      <c r="E307" s="22"/>
      <c r="F307" s="22"/>
      <c r="G307" s="19"/>
      <c r="I307" s="20"/>
      <c r="K307" s="20"/>
      <c r="M307" s="20"/>
      <c r="O307" s="20"/>
      <c r="Q307" s="27">
        <f t="shared" si="1"/>
        <v>0</v>
      </c>
      <c r="R307" s="26">
        <f t="shared" si="2"/>
        <v>0</v>
      </c>
      <c r="S307" s="26">
        <f t="shared" si="3"/>
        <v>0</v>
      </c>
      <c r="T307" s="26">
        <f t="shared" si="4"/>
        <v>0</v>
      </c>
      <c r="U307" s="28">
        <f t="shared" si="5"/>
        <v>0</v>
      </c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23" t="s">
        <v>23</v>
      </c>
      <c r="B308" s="24">
        <f t="shared" si="6"/>
        <v>46325</v>
      </c>
      <c r="C308" s="25">
        <v>11.4</v>
      </c>
      <c r="D308" s="26" t="s">
        <v>28</v>
      </c>
      <c r="E308" s="22"/>
      <c r="F308" s="22"/>
      <c r="G308" s="19"/>
      <c r="I308" s="20"/>
      <c r="K308" s="20"/>
      <c r="M308" s="20"/>
      <c r="O308" s="20"/>
      <c r="Q308" s="27">
        <f t="shared" si="1"/>
        <v>0</v>
      </c>
      <c r="R308" s="26">
        <f t="shared" si="2"/>
        <v>0</v>
      </c>
      <c r="S308" s="26">
        <f t="shared" si="3"/>
        <v>0</v>
      </c>
      <c r="T308" s="26">
        <f t="shared" si="4"/>
        <v>0</v>
      </c>
      <c r="U308" s="28">
        <f t="shared" si="5"/>
        <v>0</v>
      </c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23" t="s">
        <v>24</v>
      </c>
      <c r="B309" s="24">
        <f t="shared" si="6"/>
        <v>46326</v>
      </c>
      <c r="C309" s="25">
        <v>11.4</v>
      </c>
      <c r="D309" s="26" t="s">
        <v>28</v>
      </c>
      <c r="E309" s="22"/>
      <c r="F309" s="22"/>
      <c r="G309" s="19"/>
      <c r="I309" s="20"/>
      <c r="K309" s="20"/>
      <c r="M309" s="20"/>
      <c r="O309" s="20"/>
      <c r="Q309" s="27">
        <f t="shared" si="1"/>
        <v>0</v>
      </c>
      <c r="R309" s="26">
        <f t="shared" si="2"/>
        <v>0</v>
      </c>
      <c r="S309" s="26">
        <f t="shared" si="3"/>
        <v>0</v>
      </c>
      <c r="T309" s="26">
        <f t="shared" si="4"/>
        <v>0</v>
      </c>
      <c r="U309" s="28">
        <f t="shared" si="5"/>
        <v>0</v>
      </c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29" t="s">
        <v>25</v>
      </c>
      <c r="B310" s="30">
        <f t="shared" si="6"/>
        <v>46327</v>
      </c>
      <c r="C310" s="31">
        <v>11.4</v>
      </c>
      <c r="D310" s="32" t="s">
        <v>28</v>
      </c>
      <c r="E310" s="33"/>
      <c r="F310" s="33"/>
      <c r="G310" s="34"/>
      <c r="H310" s="6"/>
      <c r="I310" s="35"/>
      <c r="J310" s="6"/>
      <c r="K310" s="35"/>
      <c r="L310" s="6"/>
      <c r="M310" s="35"/>
      <c r="N310" s="6"/>
      <c r="O310" s="35"/>
      <c r="P310" s="6"/>
      <c r="Q310" s="36">
        <f t="shared" si="1"/>
        <v>0</v>
      </c>
      <c r="R310" s="32">
        <f t="shared" si="2"/>
        <v>0</v>
      </c>
      <c r="S310" s="32">
        <f t="shared" si="3"/>
        <v>0</v>
      </c>
      <c r="T310" s="32">
        <f t="shared" si="4"/>
        <v>0</v>
      </c>
      <c r="U310" s="37">
        <f t="shared" si="5"/>
        <v>0</v>
      </c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14" t="s">
        <v>18</v>
      </c>
      <c r="B311" s="15">
        <f t="shared" si="6"/>
        <v>46328</v>
      </c>
      <c r="C311" s="16">
        <v>12.1</v>
      </c>
      <c r="D311" s="17" t="s">
        <v>19</v>
      </c>
      <c r="E311" s="18"/>
      <c r="F311" s="18"/>
      <c r="G311" s="19"/>
      <c r="I311" s="20"/>
      <c r="K311" s="20"/>
      <c r="M311" s="20"/>
      <c r="O311" s="20"/>
      <c r="Q311" s="21">
        <f t="shared" si="1"/>
        <v>0</v>
      </c>
      <c r="R311" s="17">
        <f t="shared" si="2"/>
        <v>0</v>
      </c>
      <c r="S311" s="17">
        <f t="shared" si="3"/>
        <v>0</v>
      </c>
      <c r="T311" s="17">
        <f t="shared" si="4"/>
        <v>0</v>
      </c>
      <c r="U311" s="38">
        <f t="shared" si="5"/>
        <v>0</v>
      </c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23" t="s">
        <v>20</v>
      </c>
      <c r="B312" s="24">
        <f t="shared" si="6"/>
        <v>46329</v>
      </c>
      <c r="C312" s="25">
        <v>12.1</v>
      </c>
      <c r="D312" s="26" t="s">
        <v>19</v>
      </c>
      <c r="E312" s="22"/>
      <c r="F312" s="22"/>
      <c r="G312" s="19"/>
      <c r="I312" s="20"/>
      <c r="K312" s="20"/>
      <c r="M312" s="20"/>
      <c r="O312" s="20"/>
      <c r="Q312" s="27">
        <f t="shared" si="1"/>
        <v>0</v>
      </c>
      <c r="R312" s="26">
        <f t="shared" si="2"/>
        <v>0</v>
      </c>
      <c r="S312" s="26">
        <f t="shared" si="3"/>
        <v>0</v>
      </c>
      <c r="T312" s="26">
        <f t="shared" si="4"/>
        <v>0</v>
      </c>
      <c r="U312" s="28">
        <f t="shared" si="5"/>
        <v>0</v>
      </c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23" t="s">
        <v>21</v>
      </c>
      <c r="B313" s="24">
        <f t="shared" si="6"/>
        <v>46330</v>
      </c>
      <c r="C313" s="25">
        <v>12.1</v>
      </c>
      <c r="D313" s="26" t="s">
        <v>19</v>
      </c>
      <c r="E313" s="22"/>
      <c r="F313" s="22"/>
      <c r="G313" s="19"/>
      <c r="I313" s="20"/>
      <c r="K313" s="20"/>
      <c r="M313" s="20"/>
      <c r="O313" s="20"/>
      <c r="Q313" s="43">
        <f t="shared" si="1"/>
        <v>0</v>
      </c>
      <c r="R313" s="44">
        <f t="shared" si="2"/>
        <v>0</v>
      </c>
      <c r="S313" s="26">
        <f t="shared" si="3"/>
        <v>0</v>
      </c>
      <c r="T313" s="26">
        <f t="shared" si="4"/>
        <v>0</v>
      </c>
      <c r="U313" s="28">
        <f t="shared" si="5"/>
        <v>0</v>
      </c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23" t="s">
        <v>22</v>
      </c>
      <c r="B314" s="24">
        <f t="shared" si="6"/>
        <v>46331</v>
      </c>
      <c r="C314" s="25">
        <v>12.1</v>
      </c>
      <c r="D314" s="26" t="s">
        <v>19</v>
      </c>
      <c r="E314" s="22"/>
      <c r="F314" s="22"/>
      <c r="G314" s="19"/>
      <c r="I314" s="20"/>
      <c r="K314" s="20"/>
      <c r="M314" s="20"/>
      <c r="O314" s="20"/>
      <c r="Q314" s="43">
        <f t="shared" si="1"/>
        <v>0</v>
      </c>
      <c r="R314" s="44">
        <f t="shared" si="2"/>
        <v>0</v>
      </c>
      <c r="S314" s="26">
        <f t="shared" si="3"/>
        <v>0</v>
      </c>
      <c r="T314" s="26">
        <f t="shared" si="4"/>
        <v>0</v>
      </c>
      <c r="U314" s="28">
        <f t="shared" si="5"/>
        <v>0</v>
      </c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23" t="s">
        <v>23</v>
      </c>
      <c r="B315" s="24">
        <f t="shared" si="6"/>
        <v>46332</v>
      </c>
      <c r="C315" s="25">
        <v>12.1</v>
      </c>
      <c r="D315" s="26" t="s">
        <v>19</v>
      </c>
      <c r="E315" s="22"/>
      <c r="F315" s="22"/>
      <c r="G315" s="19"/>
      <c r="I315" s="20"/>
      <c r="K315" s="20"/>
      <c r="M315" s="20"/>
      <c r="O315" s="20"/>
      <c r="Q315" s="43">
        <f t="shared" si="1"/>
        <v>0</v>
      </c>
      <c r="R315" s="44">
        <f t="shared" si="2"/>
        <v>0</v>
      </c>
      <c r="S315" s="26">
        <f t="shared" si="3"/>
        <v>0</v>
      </c>
      <c r="T315" s="26">
        <f t="shared" si="4"/>
        <v>0</v>
      </c>
      <c r="U315" s="28">
        <f t="shared" si="5"/>
        <v>0</v>
      </c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23" t="s">
        <v>24</v>
      </c>
      <c r="B316" s="24">
        <f t="shared" si="6"/>
        <v>46333</v>
      </c>
      <c r="C316" s="25">
        <v>12.1</v>
      </c>
      <c r="D316" s="26" t="s">
        <v>19</v>
      </c>
      <c r="E316" s="22"/>
      <c r="F316" s="22"/>
      <c r="G316" s="19"/>
      <c r="I316" s="20"/>
      <c r="K316" s="20"/>
      <c r="M316" s="20"/>
      <c r="O316" s="20"/>
      <c r="Q316" s="43">
        <f t="shared" si="1"/>
        <v>0</v>
      </c>
      <c r="R316" s="44">
        <f t="shared" si="2"/>
        <v>0</v>
      </c>
      <c r="S316" s="26">
        <f t="shared" si="3"/>
        <v>0</v>
      </c>
      <c r="T316" s="26">
        <f t="shared" si="4"/>
        <v>0</v>
      </c>
      <c r="U316" s="28">
        <f t="shared" si="5"/>
        <v>0</v>
      </c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29" t="s">
        <v>25</v>
      </c>
      <c r="B317" s="30">
        <f t="shared" si="6"/>
        <v>46334</v>
      </c>
      <c r="C317" s="31">
        <v>12.1</v>
      </c>
      <c r="D317" s="32" t="s">
        <v>19</v>
      </c>
      <c r="E317" s="33"/>
      <c r="F317" s="33"/>
      <c r="G317" s="34"/>
      <c r="H317" s="6"/>
      <c r="I317" s="35"/>
      <c r="J317" s="6"/>
      <c r="K317" s="35"/>
      <c r="L317" s="6"/>
      <c r="M317" s="35"/>
      <c r="N317" s="6"/>
      <c r="O317" s="35"/>
      <c r="P317" s="6"/>
      <c r="Q317" s="45">
        <f t="shared" si="1"/>
        <v>0</v>
      </c>
      <c r="R317" s="46">
        <f t="shared" si="2"/>
        <v>0</v>
      </c>
      <c r="S317" s="32">
        <f t="shared" si="3"/>
        <v>0</v>
      </c>
      <c r="T317" s="32">
        <f t="shared" si="4"/>
        <v>0</v>
      </c>
      <c r="U317" s="37">
        <f t="shared" si="5"/>
        <v>0</v>
      </c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14" t="s">
        <v>18</v>
      </c>
      <c r="B318" s="15">
        <f t="shared" si="6"/>
        <v>46335</v>
      </c>
      <c r="C318" s="16">
        <v>12.2</v>
      </c>
      <c r="D318" s="17" t="s">
        <v>26</v>
      </c>
      <c r="E318" s="18"/>
      <c r="F318" s="18"/>
      <c r="G318" s="19"/>
      <c r="I318" s="20"/>
      <c r="K318" s="20"/>
      <c r="M318" s="20"/>
      <c r="O318" s="20"/>
      <c r="Q318" s="47">
        <f t="shared" si="1"/>
        <v>0</v>
      </c>
      <c r="R318" s="48">
        <f t="shared" si="2"/>
        <v>0</v>
      </c>
      <c r="S318" s="17">
        <f t="shared" si="3"/>
        <v>0</v>
      </c>
      <c r="T318" s="17">
        <f t="shared" si="4"/>
        <v>0</v>
      </c>
      <c r="U318" s="38">
        <f t="shared" si="5"/>
        <v>0</v>
      </c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23" t="s">
        <v>20</v>
      </c>
      <c r="B319" s="24">
        <f t="shared" si="6"/>
        <v>46336</v>
      </c>
      <c r="C319" s="25">
        <v>12.2</v>
      </c>
      <c r="D319" s="26" t="s">
        <v>26</v>
      </c>
      <c r="E319" s="22"/>
      <c r="F319" s="22"/>
      <c r="G319" s="19"/>
      <c r="I319" s="20"/>
      <c r="K319" s="20"/>
      <c r="M319" s="20"/>
      <c r="O319" s="20"/>
      <c r="Q319" s="43">
        <f t="shared" si="1"/>
        <v>0</v>
      </c>
      <c r="R319" s="44">
        <f t="shared" si="2"/>
        <v>0</v>
      </c>
      <c r="S319" s="26">
        <f t="shared" si="3"/>
        <v>0</v>
      </c>
      <c r="T319" s="26">
        <f t="shared" si="4"/>
        <v>0</v>
      </c>
      <c r="U319" s="28">
        <f t="shared" si="5"/>
        <v>0</v>
      </c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23" t="s">
        <v>21</v>
      </c>
      <c r="B320" s="24">
        <f t="shared" si="6"/>
        <v>46337</v>
      </c>
      <c r="C320" s="25">
        <v>12.2</v>
      </c>
      <c r="D320" s="26" t="s">
        <v>26</v>
      </c>
      <c r="E320" s="22"/>
      <c r="F320" s="22"/>
      <c r="G320" s="19"/>
      <c r="I320" s="20"/>
      <c r="K320" s="20"/>
      <c r="M320" s="20"/>
      <c r="O320" s="20"/>
      <c r="Q320" s="43">
        <f t="shared" si="1"/>
        <v>0</v>
      </c>
      <c r="R320" s="44">
        <f t="shared" si="2"/>
        <v>0</v>
      </c>
      <c r="S320" s="26">
        <f t="shared" si="3"/>
        <v>0</v>
      </c>
      <c r="T320" s="26">
        <f t="shared" si="4"/>
        <v>0</v>
      </c>
      <c r="U320" s="28">
        <f t="shared" si="5"/>
        <v>0</v>
      </c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23" t="s">
        <v>22</v>
      </c>
      <c r="B321" s="24">
        <f t="shared" si="6"/>
        <v>46338</v>
      </c>
      <c r="C321" s="25">
        <v>12.2</v>
      </c>
      <c r="D321" s="26" t="s">
        <v>26</v>
      </c>
      <c r="E321" s="22"/>
      <c r="F321" s="22"/>
      <c r="G321" s="19"/>
      <c r="I321" s="20"/>
      <c r="K321" s="20"/>
      <c r="M321" s="20"/>
      <c r="O321" s="20"/>
      <c r="Q321" s="43">
        <f t="shared" si="1"/>
        <v>0</v>
      </c>
      <c r="R321" s="44">
        <f t="shared" si="2"/>
        <v>0</v>
      </c>
      <c r="S321" s="26">
        <f t="shared" si="3"/>
        <v>0</v>
      </c>
      <c r="T321" s="26">
        <f t="shared" si="4"/>
        <v>0</v>
      </c>
      <c r="U321" s="28">
        <f t="shared" si="5"/>
        <v>0</v>
      </c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23" t="s">
        <v>23</v>
      </c>
      <c r="B322" s="24">
        <f t="shared" si="6"/>
        <v>46339</v>
      </c>
      <c r="C322" s="25">
        <v>12.2</v>
      </c>
      <c r="D322" s="26" t="s">
        <v>26</v>
      </c>
      <c r="E322" s="22"/>
      <c r="F322" s="22"/>
      <c r="G322" s="19"/>
      <c r="I322" s="20"/>
      <c r="K322" s="20"/>
      <c r="M322" s="20"/>
      <c r="O322" s="20"/>
      <c r="Q322" s="43">
        <f t="shared" si="1"/>
        <v>0</v>
      </c>
      <c r="R322" s="44">
        <f t="shared" si="2"/>
        <v>0</v>
      </c>
      <c r="S322" s="26">
        <f t="shared" si="3"/>
        <v>0</v>
      </c>
      <c r="T322" s="26">
        <f t="shared" si="4"/>
        <v>0</v>
      </c>
      <c r="U322" s="28">
        <f t="shared" si="5"/>
        <v>0</v>
      </c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23" t="s">
        <v>24</v>
      </c>
      <c r="B323" s="24">
        <f t="shared" si="6"/>
        <v>46340</v>
      </c>
      <c r="C323" s="25">
        <v>12.2</v>
      </c>
      <c r="D323" s="26" t="s">
        <v>26</v>
      </c>
      <c r="E323" s="22"/>
      <c r="F323" s="22"/>
      <c r="G323" s="19"/>
      <c r="I323" s="20"/>
      <c r="K323" s="20"/>
      <c r="M323" s="20"/>
      <c r="O323" s="20"/>
      <c r="Q323" s="43">
        <f t="shared" si="1"/>
        <v>0</v>
      </c>
      <c r="R323" s="44">
        <f t="shared" si="2"/>
        <v>0</v>
      </c>
      <c r="S323" s="26">
        <f t="shared" si="3"/>
        <v>0</v>
      </c>
      <c r="T323" s="26">
        <f t="shared" si="4"/>
        <v>0</v>
      </c>
      <c r="U323" s="28">
        <f t="shared" si="5"/>
        <v>0</v>
      </c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29" t="s">
        <v>25</v>
      </c>
      <c r="B324" s="30">
        <f t="shared" si="6"/>
        <v>46341</v>
      </c>
      <c r="C324" s="31">
        <v>12.2</v>
      </c>
      <c r="D324" s="32" t="s">
        <v>26</v>
      </c>
      <c r="E324" s="33"/>
      <c r="F324" s="33"/>
      <c r="G324" s="34"/>
      <c r="H324" s="6"/>
      <c r="I324" s="35"/>
      <c r="J324" s="6"/>
      <c r="K324" s="35"/>
      <c r="L324" s="6"/>
      <c r="M324" s="35"/>
      <c r="N324" s="6"/>
      <c r="O324" s="35"/>
      <c r="P324" s="6"/>
      <c r="Q324" s="45">
        <f t="shared" si="1"/>
        <v>0</v>
      </c>
      <c r="R324" s="46">
        <f t="shared" si="2"/>
        <v>0</v>
      </c>
      <c r="S324" s="32">
        <f t="shared" si="3"/>
        <v>0</v>
      </c>
      <c r="T324" s="32">
        <f t="shared" si="4"/>
        <v>0</v>
      </c>
      <c r="U324" s="37">
        <f t="shared" si="5"/>
        <v>0</v>
      </c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14" t="s">
        <v>18</v>
      </c>
      <c r="B325" s="15">
        <f t="shared" si="6"/>
        <v>46342</v>
      </c>
      <c r="C325" s="16">
        <v>12.3</v>
      </c>
      <c r="D325" s="17" t="s">
        <v>27</v>
      </c>
      <c r="E325" s="18"/>
      <c r="F325" s="18"/>
      <c r="G325" s="19"/>
      <c r="I325" s="20"/>
      <c r="K325" s="20"/>
      <c r="M325" s="20"/>
      <c r="O325" s="20"/>
      <c r="Q325" s="47">
        <f t="shared" si="1"/>
        <v>0</v>
      </c>
      <c r="R325" s="48">
        <f t="shared" si="2"/>
        <v>0</v>
      </c>
      <c r="S325" s="17">
        <f t="shared" si="3"/>
        <v>0</v>
      </c>
      <c r="T325" s="17">
        <f t="shared" si="4"/>
        <v>0</v>
      </c>
      <c r="U325" s="38">
        <f t="shared" si="5"/>
        <v>0</v>
      </c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23" t="s">
        <v>20</v>
      </c>
      <c r="B326" s="24">
        <f t="shared" si="6"/>
        <v>46343</v>
      </c>
      <c r="C326" s="25">
        <v>12.3</v>
      </c>
      <c r="D326" s="26" t="s">
        <v>27</v>
      </c>
      <c r="E326" s="22"/>
      <c r="F326" s="22"/>
      <c r="G326" s="19"/>
      <c r="I326" s="20"/>
      <c r="K326" s="20"/>
      <c r="M326" s="20"/>
      <c r="O326" s="20"/>
      <c r="Q326" s="43">
        <f t="shared" si="1"/>
        <v>0</v>
      </c>
      <c r="R326" s="44">
        <f t="shared" si="2"/>
        <v>0</v>
      </c>
      <c r="S326" s="26">
        <f t="shared" si="3"/>
        <v>0</v>
      </c>
      <c r="T326" s="26">
        <f t="shared" si="4"/>
        <v>0</v>
      </c>
      <c r="U326" s="28">
        <f t="shared" si="5"/>
        <v>0</v>
      </c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23" t="s">
        <v>21</v>
      </c>
      <c r="B327" s="24">
        <f t="shared" si="6"/>
        <v>46344</v>
      </c>
      <c r="C327" s="25">
        <v>12.3</v>
      </c>
      <c r="D327" s="26" t="s">
        <v>27</v>
      </c>
      <c r="E327" s="22"/>
      <c r="F327" s="22"/>
      <c r="G327" s="19"/>
      <c r="I327" s="20"/>
      <c r="K327" s="20"/>
      <c r="M327" s="20"/>
      <c r="O327" s="20"/>
      <c r="Q327" s="43">
        <f t="shared" si="1"/>
        <v>0</v>
      </c>
      <c r="R327" s="44">
        <f t="shared" si="2"/>
        <v>0</v>
      </c>
      <c r="S327" s="26">
        <f t="shared" si="3"/>
        <v>0</v>
      </c>
      <c r="T327" s="26">
        <f t="shared" si="4"/>
        <v>0</v>
      </c>
      <c r="U327" s="28">
        <f t="shared" si="5"/>
        <v>0</v>
      </c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23" t="s">
        <v>22</v>
      </c>
      <c r="B328" s="24">
        <f t="shared" si="6"/>
        <v>46345</v>
      </c>
      <c r="C328" s="25">
        <v>12.3</v>
      </c>
      <c r="D328" s="26" t="s">
        <v>27</v>
      </c>
      <c r="E328" s="22"/>
      <c r="F328" s="22"/>
      <c r="G328" s="19"/>
      <c r="I328" s="20"/>
      <c r="K328" s="20"/>
      <c r="M328" s="20"/>
      <c r="O328" s="20"/>
      <c r="Q328" s="27">
        <f t="shared" si="1"/>
        <v>0</v>
      </c>
      <c r="R328" s="26">
        <f t="shared" si="2"/>
        <v>0</v>
      </c>
      <c r="S328" s="26">
        <f t="shared" si="3"/>
        <v>0</v>
      </c>
      <c r="T328" s="26">
        <f t="shared" si="4"/>
        <v>0</v>
      </c>
      <c r="U328" s="28">
        <f t="shared" si="5"/>
        <v>0</v>
      </c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23" t="s">
        <v>23</v>
      </c>
      <c r="B329" s="24">
        <f t="shared" si="6"/>
        <v>46346</v>
      </c>
      <c r="C329" s="25">
        <v>12.3</v>
      </c>
      <c r="D329" s="26" t="s">
        <v>27</v>
      </c>
      <c r="E329" s="22"/>
      <c r="F329" s="22"/>
      <c r="G329" s="19"/>
      <c r="I329" s="20"/>
      <c r="K329" s="20"/>
      <c r="M329" s="20"/>
      <c r="O329" s="20"/>
      <c r="Q329" s="27">
        <f t="shared" si="1"/>
        <v>0</v>
      </c>
      <c r="R329" s="26">
        <f t="shared" si="2"/>
        <v>0</v>
      </c>
      <c r="S329" s="26">
        <f t="shared" si="3"/>
        <v>0</v>
      </c>
      <c r="T329" s="26">
        <f t="shared" si="4"/>
        <v>0</v>
      </c>
      <c r="U329" s="28">
        <f t="shared" si="5"/>
        <v>0</v>
      </c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23" t="s">
        <v>24</v>
      </c>
      <c r="B330" s="24">
        <f t="shared" si="6"/>
        <v>46347</v>
      </c>
      <c r="C330" s="25">
        <v>12.3</v>
      </c>
      <c r="D330" s="26" t="s">
        <v>27</v>
      </c>
      <c r="E330" s="22"/>
      <c r="F330" s="22"/>
      <c r="G330" s="19"/>
      <c r="I330" s="20"/>
      <c r="K330" s="20"/>
      <c r="M330" s="20"/>
      <c r="O330" s="20"/>
      <c r="Q330" s="27">
        <f t="shared" si="1"/>
        <v>0</v>
      </c>
      <c r="R330" s="26">
        <f t="shared" si="2"/>
        <v>0</v>
      </c>
      <c r="S330" s="26">
        <f t="shared" si="3"/>
        <v>0</v>
      </c>
      <c r="T330" s="26">
        <f t="shared" si="4"/>
        <v>0</v>
      </c>
      <c r="U330" s="28">
        <f t="shared" si="5"/>
        <v>0</v>
      </c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29" t="s">
        <v>25</v>
      </c>
      <c r="B331" s="30">
        <f t="shared" si="6"/>
        <v>46348</v>
      </c>
      <c r="C331" s="31">
        <v>12.3</v>
      </c>
      <c r="D331" s="32" t="s">
        <v>27</v>
      </c>
      <c r="E331" s="33"/>
      <c r="F331" s="33"/>
      <c r="G331" s="34"/>
      <c r="H331" s="6"/>
      <c r="I331" s="35"/>
      <c r="J331" s="6"/>
      <c r="K331" s="35"/>
      <c r="L331" s="6"/>
      <c r="M331" s="35"/>
      <c r="N331" s="6"/>
      <c r="O331" s="35"/>
      <c r="P331" s="6"/>
      <c r="Q331" s="36">
        <f t="shared" si="1"/>
        <v>0</v>
      </c>
      <c r="R331" s="32">
        <f t="shared" si="2"/>
        <v>0</v>
      </c>
      <c r="S331" s="32">
        <f t="shared" si="3"/>
        <v>0</v>
      </c>
      <c r="T331" s="32">
        <f t="shared" si="4"/>
        <v>0</v>
      </c>
      <c r="U331" s="37">
        <f t="shared" si="5"/>
        <v>0</v>
      </c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14" t="s">
        <v>18</v>
      </c>
      <c r="B332" s="15">
        <f t="shared" si="6"/>
        <v>46349</v>
      </c>
      <c r="C332" s="16">
        <v>12.4</v>
      </c>
      <c r="D332" s="17" t="s">
        <v>28</v>
      </c>
      <c r="E332" s="18"/>
      <c r="F332" s="18"/>
      <c r="G332" s="19"/>
      <c r="I332" s="20"/>
      <c r="K332" s="20"/>
      <c r="M332" s="20"/>
      <c r="O332" s="20"/>
      <c r="Q332" s="21">
        <f t="shared" si="1"/>
        <v>0</v>
      </c>
      <c r="R332" s="17">
        <f t="shared" si="2"/>
        <v>0</v>
      </c>
      <c r="S332" s="17">
        <f t="shared" si="3"/>
        <v>0</v>
      </c>
      <c r="T332" s="17">
        <f t="shared" si="4"/>
        <v>0</v>
      </c>
      <c r="U332" s="38">
        <f t="shared" si="5"/>
        <v>0</v>
      </c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23" t="s">
        <v>20</v>
      </c>
      <c r="B333" s="24">
        <f t="shared" si="6"/>
        <v>46350</v>
      </c>
      <c r="C333" s="25">
        <v>12.4</v>
      </c>
      <c r="D333" s="26" t="s">
        <v>28</v>
      </c>
      <c r="E333" s="22"/>
      <c r="F333" s="22"/>
      <c r="G333" s="19"/>
      <c r="I333" s="20"/>
      <c r="K333" s="20"/>
      <c r="M333" s="20"/>
      <c r="O333" s="20"/>
      <c r="Q333" s="27">
        <f t="shared" si="1"/>
        <v>0</v>
      </c>
      <c r="R333" s="26">
        <f t="shared" si="2"/>
        <v>0</v>
      </c>
      <c r="S333" s="26">
        <f t="shared" si="3"/>
        <v>0</v>
      </c>
      <c r="T333" s="26">
        <f t="shared" si="4"/>
        <v>0</v>
      </c>
      <c r="U333" s="28">
        <f t="shared" si="5"/>
        <v>0</v>
      </c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23" t="s">
        <v>21</v>
      </c>
      <c r="B334" s="24">
        <f t="shared" si="6"/>
        <v>46351</v>
      </c>
      <c r="C334" s="25">
        <v>12.4</v>
      </c>
      <c r="D334" s="26" t="s">
        <v>28</v>
      </c>
      <c r="E334" s="22"/>
      <c r="F334" s="22"/>
      <c r="G334" s="19"/>
      <c r="I334" s="20"/>
      <c r="K334" s="20"/>
      <c r="M334" s="20"/>
      <c r="O334" s="20"/>
      <c r="Q334" s="27">
        <f t="shared" si="1"/>
        <v>0</v>
      </c>
      <c r="R334" s="26">
        <f t="shared" si="2"/>
        <v>0</v>
      </c>
      <c r="S334" s="26">
        <f t="shared" si="3"/>
        <v>0</v>
      </c>
      <c r="T334" s="26">
        <f t="shared" si="4"/>
        <v>0</v>
      </c>
      <c r="U334" s="28">
        <f t="shared" si="5"/>
        <v>0</v>
      </c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23" t="s">
        <v>22</v>
      </c>
      <c r="B335" s="24">
        <f t="shared" si="6"/>
        <v>46352</v>
      </c>
      <c r="C335" s="25">
        <v>12.4</v>
      </c>
      <c r="D335" s="26" t="s">
        <v>28</v>
      </c>
      <c r="E335" s="22"/>
      <c r="F335" s="22"/>
      <c r="G335" s="19"/>
      <c r="I335" s="20"/>
      <c r="K335" s="20"/>
      <c r="M335" s="20"/>
      <c r="O335" s="20"/>
      <c r="Q335" s="27">
        <f t="shared" si="1"/>
        <v>0</v>
      </c>
      <c r="R335" s="26">
        <f t="shared" si="2"/>
        <v>0</v>
      </c>
      <c r="S335" s="26">
        <f t="shared" si="3"/>
        <v>0</v>
      </c>
      <c r="T335" s="26">
        <f t="shared" si="4"/>
        <v>0</v>
      </c>
      <c r="U335" s="28">
        <f t="shared" si="5"/>
        <v>0</v>
      </c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23" t="s">
        <v>23</v>
      </c>
      <c r="B336" s="24">
        <f t="shared" si="6"/>
        <v>46353</v>
      </c>
      <c r="C336" s="25">
        <v>12.4</v>
      </c>
      <c r="D336" s="26" t="s">
        <v>28</v>
      </c>
      <c r="E336" s="22"/>
      <c r="F336" s="22"/>
      <c r="G336" s="19"/>
      <c r="I336" s="20"/>
      <c r="K336" s="20"/>
      <c r="M336" s="20"/>
      <c r="O336" s="20"/>
      <c r="Q336" s="27">
        <f t="shared" si="1"/>
        <v>0</v>
      </c>
      <c r="R336" s="26">
        <f t="shared" si="2"/>
        <v>0</v>
      </c>
      <c r="S336" s="26">
        <f t="shared" si="3"/>
        <v>0</v>
      </c>
      <c r="T336" s="26">
        <f t="shared" si="4"/>
        <v>0</v>
      </c>
      <c r="U336" s="28">
        <f t="shared" si="5"/>
        <v>0</v>
      </c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23" t="s">
        <v>24</v>
      </c>
      <c r="B337" s="24">
        <f t="shared" si="6"/>
        <v>46354</v>
      </c>
      <c r="C337" s="25">
        <v>12.4</v>
      </c>
      <c r="D337" s="26" t="s">
        <v>28</v>
      </c>
      <c r="E337" s="22"/>
      <c r="F337" s="22"/>
      <c r="G337" s="19"/>
      <c r="I337" s="20"/>
      <c r="K337" s="20"/>
      <c r="M337" s="20"/>
      <c r="O337" s="20"/>
      <c r="Q337" s="27">
        <f t="shared" si="1"/>
        <v>0</v>
      </c>
      <c r="R337" s="26">
        <f t="shared" si="2"/>
        <v>0</v>
      </c>
      <c r="S337" s="26">
        <f t="shared" si="3"/>
        <v>0</v>
      </c>
      <c r="T337" s="26">
        <f t="shared" si="4"/>
        <v>0</v>
      </c>
      <c r="U337" s="28">
        <f t="shared" si="5"/>
        <v>0</v>
      </c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29" t="s">
        <v>25</v>
      </c>
      <c r="B338" s="30">
        <f t="shared" si="6"/>
        <v>46355</v>
      </c>
      <c r="C338" s="31">
        <v>12.4</v>
      </c>
      <c r="D338" s="32" t="s">
        <v>28</v>
      </c>
      <c r="E338" s="33"/>
      <c r="F338" s="33"/>
      <c r="G338" s="34"/>
      <c r="H338" s="6"/>
      <c r="I338" s="35"/>
      <c r="J338" s="6"/>
      <c r="K338" s="35"/>
      <c r="L338" s="6"/>
      <c r="M338" s="35"/>
      <c r="N338" s="6"/>
      <c r="O338" s="35"/>
      <c r="P338" s="6"/>
      <c r="Q338" s="36">
        <f t="shared" si="1"/>
        <v>0</v>
      </c>
      <c r="R338" s="32">
        <f t="shared" si="2"/>
        <v>0</v>
      </c>
      <c r="S338" s="32">
        <f t="shared" si="3"/>
        <v>0</v>
      </c>
      <c r="T338" s="32">
        <f t="shared" si="4"/>
        <v>0</v>
      </c>
      <c r="U338" s="37">
        <f t="shared" si="5"/>
        <v>0</v>
      </c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14" t="s">
        <v>18</v>
      </c>
      <c r="B339" s="15">
        <f t="shared" si="6"/>
        <v>46356</v>
      </c>
      <c r="C339" s="16">
        <v>13.1</v>
      </c>
      <c r="D339" s="17" t="s">
        <v>26</v>
      </c>
      <c r="E339" s="18"/>
      <c r="F339" s="18"/>
      <c r="G339" s="19"/>
      <c r="I339" s="20"/>
      <c r="K339" s="20"/>
      <c r="M339" s="20"/>
      <c r="O339" s="20"/>
      <c r="Q339" s="21">
        <f t="shared" si="1"/>
        <v>0</v>
      </c>
      <c r="R339" s="17">
        <f t="shared" si="2"/>
        <v>0</v>
      </c>
      <c r="S339" s="17">
        <f t="shared" si="3"/>
        <v>0</v>
      </c>
      <c r="T339" s="17">
        <f t="shared" si="4"/>
        <v>0</v>
      </c>
      <c r="U339" s="38">
        <f t="shared" si="5"/>
        <v>0</v>
      </c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23" t="s">
        <v>20</v>
      </c>
      <c r="B340" s="24">
        <f t="shared" si="6"/>
        <v>46357</v>
      </c>
      <c r="C340" s="25">
        <v>13.1</v>
      </c>
      <c r="D340" s="26" t="s">
        <v>26</v>
      </c>
      <c r="E340" s="22"/>
      <c r="F340" s="22"/>
      <c r="G340" s="19"/>
      <c r="I340" s="20"/>
      <c r="K340" s="20"/>
      <c r="M340" s="20"/>
      <c r="O340" s="20"/>
      <c r="Q340" s="27">
        <f t="shared" si="1"/>
        <v>0</v>
      </c>
      <c r="R340" s="26">
        <f t="shared" si="2"/>
        <v>0</v>
      </c>
      <c r="S340" s="26">
        <f t="shared" si="3"/>
        <v>0</v>
      </c>
      <c r="T340" s="26">
        <f t="shared" si="4"/>
        <v>0</v>
      </c>
      <c r="U340" s="28">
        <f t="shared" si="5"/>
        <v>0</v>
      </c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23" t="s">
        <v>21</v>
      </c>
      <c r="B341" s="24">
        <f t="shared" si="6"/>
        <v>46358</v>
      </c>
      <c r="C341" s="25">
        <v>13.1</v>
      </c>
      <c r="D341" s="26" t="s">
        <v>26</v>
      </c>
      <c r="E341" s="22"/>
      <c r="F341" s="22"/>
      <c r="G341" s="19"/>
      <c r="I341" s="20"/>
      <c r="K341" s="20"/>
      <c r="M341" s="20"/>
      <c r="O341" s="20"/>
      <c r="Q341" s="27">
        <f t="shared" si="1"/>
        <v>0</v>
      </c>
      <c r="R341" s="26">
        <f t="shared" si="2"/>
        <v>0</v>
      </c>
      <c r="S341" s="26">
        <f t="shared" si="3"/>
        <v>0</v>
      </c>
      <c r="T341" s="26">
        <f t="shared" si="4"/>
        <v>0</v>
      </c>
      <c r="U341" s="28">
        <f t="shared" si="5"/>
        <v>0</v>
      </c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23" t="s">
        <v>22</v>
      </c>
      <c r="B342" s="24">
        <f t="shared" si="6"/>
        <v>46359</v>
      </c>
      <c r="C342" s="25">
        <v>13.1</v>
      </c>
      <c r="D342" s="26" t="s">
        <v>26</v>
      </c>
      <c r="E342" s="22"/>
      <c r="F342" s="22"/>
      <c r="G342" s="19"/>
      <c r="I342" s="20"/>
      <c r="K342" s="20"/>
      <c r="M342" s="20"/>
      <c r="O342" s="20"/>
      <c r="Q342" s="27">
        <f t="shared" si="1"/>
        <v>0</v>
      </c>
      <c r="R342" s="26">
        <f t="shared" si="2"/>
        <v>0</v>
      </c>
      <c r="S342" s="26">
        <f t="shared" si="3"/>
        <v>0</v>
      </c>
      <c r="T342" s="26">
        <f t="shared" si="4"/>
        <v>0</v>
      </c>
      <c r="U342" s="28">
        <f t="shared" si="5"/>
        <v>0</v>
      </c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23" t="s">
        <v>23</v>
      </c>
      <c r="B343" s="24">
        <f t="shared" si="6"/>
        <v>46360</v>
      </c>
      <c r="C343" s="25">
        <v>13.1</v>
      </c>
      <c r="D343" s="26" t="s">
        <v>26</v>
      </c>
      <c r="E343" s="22"/>
      <c r="F343" s="22"/>
      <c r="G343" s="19"/>
      <c r="I343" s="20"/>
      <c r="K343" s="20"/>
      <c r="M343" s="20"/>
      <c r="O343" s="20"/>
      <c r="Q343" s="27">
        <f t="shared" si="1"/>
        <v>0</v>
      </c>
      <c r="R343" s="26">
        <f t="shared" si="2"/>
        <v>0</v>
      </c>
      <c r="S343" s="26">
        <f t="shared" si="3"/>
        <v>0</v>
      </c>
      <c r="T343" s="26">
        <f t="shared" si="4"/>
        <v>0</v>
      </c>
      <c r="U343" s="28">
        <f t="shared" si="5"/>
        <v>0</v>
      </c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23" t="s">
        <v>24</v>
      </c>
      <c r="B344" s="24">
        <f t="shared" si="6"/>
        <v>46361</v>
      </c>
      <c r="C344" s="25">
        <v>13.1</v>
      </c>
      <c r="D344" s="26" t="s">
        <v>26</v>
      </c>
      <c r="E344" s="22"/>
      <c r="F344" s="22"/>
      <c r="G344" s="19"/>
      <c r="I344" s="20"/>
      <c r="K344" s="20"/>
      <c r="M344" s="20"/>
      <c r="O344" s="20"/>
      <c r="Q344" s="27">
        <f t="shared" si="1"/>
        <v>0</v>
      </c>
      <c r="R344" s="26">
        <f t="shared" si="2"/>
        <v>0</v>
      </c>
      <c r="S344" s="26">
        <f t="shared" si="3"/>
        <v>0</v>
      </c>
      <c r="T344" s="26">
        <f t="shared" si="4"/>
        <v>0</v>
      </c>
      <c r="U344" s="28">
        <f t="shared" si="5"/>
        <v>0</v>
      </c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29" t="s">
        <v>25</v>
      </c>
      <c r="B345" s="30">
        <f t="shared" si="6"/>
        <v>46362</v>
      </c>
      <c r="C345" s="31">
        <v>13.1</v>
      </c>
      <c r="D345" s="32" t="s">
        <v>26</v>
      </c>
      <c r="E345" s="33"/>
      <c r="F345" s="33"/>
      <c r="G345" s="34"/>
      <c r="H345" s="6"/>
      <c r="I345" s="35"/>
      <c r="J345" s="6"/>
      <c r="K345" s="35"/>
      <c r="L345" s="6"/>
      <c r="M345" s="35"/>
      <c r="N345" s="6"/>
      <c r="O345" s="35"/>
      <c r="P345" s="6"/>
      <c r="Q345" s="36">
        <f t="shared" si="1"/>
        <v>0</v>
      </c>
      <c r="R345" s="32">
        <f t="shared" si="2"/>
        <v>0</v>
      </c>
      <c r="S345" s="32">
        <f t="shared" si="3"/>
        <v>0</v>
      </c>
      <c r="T345" s="32">
        <f t="shared" si="4"/>
        <v>0</v>
      </c>
      <c r="U345" s="37">
        <f t="shared" si="5"/>
        <v>0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14" t="s">
        <v>18</v>
      </c>
      <c r="B346" s="15">
        <f t="shared" si="6"/>
        <v>46363</v>
      </c>
      <c r="C346" s="16">
        <v>13.2</v>
      </c>
      <c r="D346" s="17" t="s">
        <v>27</v>
      </c>
      <c r="E346" s="18"/>
      <c r="F346" s="18"/>
      <c r="G346" s="19"/>
      <c r="I346" s="20"/>
      <c r="K346" s="20"/>
      <c r="M346" s="20"/>
      <c r="O346" s="20"/>
      <c r="Q346" s="21">
        <f t="shared" si="1"/>
        <v>0</v>
      </c>
      <c r="R346" s="17">
        <f t="shared" si="2"/>
        <v>0</v>
      </c>
      <c r="S346" s="17">
        <f t="shared" si="3"/>
        <v>0</v>
      </c>
      <c r="T346" s="17">
        <f t="shared" si="4"/>
        <v>0</v>
      </c>
      <c r="U346" s="38">
        <f t="shared" si="5"/>
        <v>0</v>
      </c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23" t="s">
        <v>20</v>
      </c>
      <c r="B347" s="24">
        <f t="shared" si="6"/>
        <v>46364</v>
      </c>
      <c r="C347" s="25">
        <v>13.2</v>
      </c>
      <c r="D347" s="26" t="s">
        <v>27</v>
      </c>
      <c r="E347" s="22"/>
      <c r="F347" s="22"/>
      <c r="G347" s="19"/>
      <c r="I347" s="20"/>
      <c r="K347" s="20"/>
      <c r="M347" s="20"/>
      <c r="O347" s="20"/>
      <c r="Q347" s="27">
        <f t="shared" si="1"/>
        <v>0</v>
      </c>
      <c r="R347" s="26">
        <f t="shared" si="2"/>
        <v>0</v>
      </c>
      <c r="S347" s="26">
        <f t="shared" si="3"/>
        <v>0</v>
      </c>
      <c r="T347" s="26">
        <f t="shared" si="4"/>
        <v>0</v>
      </c>
      <c r="U347" s="28">
        <f t="shared" si="5"/>
        <v>0</v>
      </c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23" t="s">
        <v>21</v>
      </c>
      <c r="B348" s="24">
        <f t="shared" si="6"/>
        <v>46365</v>
      </c>
      <c r="C348" s="25">
        <v>13.2</v>
      </c>
      <c r="D348" s="26" t="s">
        <v>27</v>
      </c>
      <c r="E348" s="22"/>
      <c r="F348" s="22"/>
      <c r="G348" s="19"/>
      <c r="I348" s="20"/>
      <c r="K348" s="20"/>
      <c r="M348" s="20"/>
      <c r="O348" s="20"/>
      <c r="Q348" s="27">
        <f t="shared" si="1"/>
        <v>0</v>
      </c>
      <c r="R348" s="26">
        <f t="shared" si="2"/>
        <v>0</v>
      </c>
      <c r="S348" s="26">
        <f t="shared" si="3"/>
        <v>0</v>
      </c>
      <c r="T348" s="26">
        <f t="shared" si="4"/>
        <v>0</v>
      </c>
      <c r="U348" s="28">
        <f t="shared" si="5"/>
        <v>0</v>
      </c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23" t="s">
        <v>22</v>
      </c>
      <c r="B349" s="24">
        <f t="shared" si="6"/>
        <v>46366</v>
      </c>
      <c r="C349" s="25">
        <v>13.2</v>
      </c>
      <c r="D349" s="26" t="s">
        <v>27</v>
      </c>
      <c r="E349" s="22"/>
      <c r="F349" s="22"/>
      <c r="G349" s="19"/>
      <c r="I349" s="20"/>
      <c r="K349" s="20"/>
      <c r="M349" s="20"/>
      <c r="O349" s="20"/>
      <c r="Q349" s="27">
        <f t="shared" si="1"/>
        <v>0</v>
      </c>
      <c r="R349" s="26">
        <f t="shared" si="2"/>
        <v>0</v>
      </c>
      <c r="S349" s="26">
        <f t="shared" si="3"/>
        <v>0</v>
      </c>
      <c r="T349" s="26">
        <f t="shared" si="4"/>
        <v>0</v>
      </c>
      <c r="U349" s="28">
        <f t="shared" si="5"/>
        <v>0</v>
      </c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23" t="s">
        <v>23</v>
      </c>
      <c r="B350" s="24">
        <f t="shared" si="6"/>
        <v>46367</v>
      </c>
      <c r="C350" s="25">
        <v>13.2</v>
      </c>
      <c r="D350" s="26" t="s">
        <v>27</v>
      </c>
      <c r="E350" s="22"/>
      <c r="F350" s="22"/>
      <c r="G350" s="19"/>
      <c r="I350" s="20"/>
      <c r="K350" s="20"/>
      <c r="M350" s="20"/>
      <c r="O350" s="20"/>
      <c r="Q350" s="27">
        <f t="shared" si="1"/>
        <v>0</v>
      </c>
      <c r="R350" s="26">
        <f t="shared" si="2"/>
        <v>0</v>
      </c>
      <c r="S350" s="26">
        <f t="shared" si="3"/>
        <v>0</v>
      </c>
      <c r="T350" s="26">
        <f t="shared" si="4"/>
        <v>0</v>
      </c>
      <c r="U350" s="28">
        <f t="shared" si="5"/>
        <v>0</v>
      </c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23" t="s">
        <v>24</v>
      </c>
      <c r="B351" s="24">
        <f t="shared" si="6"/>
        <v>46368</v>
      </c>
      <c r="C351" s="25">
        <v>13.2</v>
      </c>
      <c r="D351" s="26" t="s">
        <v>27</v>
      </c>
      <c r="E351" s="22"/>
      <c r="F351" s="22"/>
      <c r="G351" s="19"/>
      <c r="I351" s="20"/>
      <c r="K351" s="20"/>
      <c r="M351" s="20"/>
      <c r="O351" s="20"/>
      <c r="Q351" s="27">
        <f t="shared" si="1"/>
        <v>0</v>
      </c>
      <c r="R351" s="26">
        <f t="shared" si="2"/>
        <v>0</v>
      </c>
      <c r="S351" s="26">
        <f t="shared" si="3"/>
        <v>0</v>
      </c>
      <c r="T351" s="26">
        <f t="shared" si="4"/>
        <v>0</v>
      </c>
      <c r="U351" s="28">
        <f t="shared" si="5"/>
        <v>0</v>
      </c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29" t="s">
        <v>25</v>
      </c>
      <c r="B352" s="30">
        <f t="shared" si="6"/>
        <v>46369</v>
      </c>
      <c r="C352" s="31">
        <v>13.2</v>
      </c>
      <c r="D352" s="32" t="s">
        <v>27</v>
      </c>
      <c r="E352" s="33"/>
      <c r="F352" s="33"/>
      <c r="G352" s="34"/>
      <c r="H352" s="6"/>
      <c r="I352" s="35"/>
      <c r="J352" s="6"/>
      <c r="K352" s="35"/>
      <c r="L352" s="6"/>
      <c r="M352" s="35"/>
      <c r="N352" s="6"/>
      <c r="O352" s="35"/>
      <c r="P352" s="6"/>
      <c r="Q352" s="36">
        <f t="shared" si="1"/>
        <v>0</v>
      </c>
      <c r="R352" s="32">
        <f t="shared" si="2"/>
        <v>0</v>
      </c>
      <c r="S352" s="32">
        <f t="shared" si="3"/>
        <v>0</v>
      </c>
      <c r="T352" s="32">
        <f t="shared" si="4"/>
        <v>0</v>
      </c>
      <c r="U352" s="37">
        <f t="shared" si="5"/>
        <v>0</v>
      </c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14" t="s">
        <v>18</v>
      </c>
      <c r="B353" s="15">
        <f t="shared" si="6"/>
        <v>46370</v>
      </c>
      <c r="C353" s="16">
        <v>13.3</v>
      </c>
      <c r="D353" s="17" t="s">
        <v>28</v>
      </c>
      <c r="E353" s="18"/>
      <c r="F353" s="18"/>
      <c r="G353" s="19"/>
      <c r="I353" s="20"/>
      <c r="K353" s="20"/>
      <c r="M353" s="20"/>
      <c r="O353" s="20"/>
      <c r="Q353" s="21">
        <f t="shared" si="1"/>
        <v>0</v>
      </c>
      <c r="R353" s="17">
        <f t="shared" si="2"/>
        <v>0</v>
      </c>
      <c r="S353" s="17">
        <f t="shared" si="3"/>
        <v>0</v>
      </c>
      <c r="T353" s="17">
        <f t="shared" si="4"/>
        <v>0</v>
      </c>
      <c r="U353" s="38">
        <f t="shared" si="5"/>
        <v>0</v>
      </c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23" t="s">
        <v>20</v>
      </c>
      <c r="B354" s="24">
        <f t="shared" si="6"/>
        <v>46371</v>
      </c>
      <c r="C354" s="25">
        <v>13.3</v>
      </c>
      <c r="D354" s="26" t="s">
        <v>28</v>
      </c>
      <c r="E354" s="22"/>
      <c r="F354" s="22"/>
      <c r="G354" s="19"/>
      <c r="I354" s="20"/>
      <c r="K354" s="20"/>
      <c r="M354" s="20"/>
      <c r="O354" s="20"/>
      <c r="Q354" s="27">
        <f t="shared" si="1"/>
        <v>0</v>
      </c>
      <c r="R354" s="26">
        <f t="shared" si="2"/>
        <v>0</v>
      </c>
      <c r="S354" s="26">
        <f t="shared" si="3"/>
        <v>0</v>
      </c>
      <c r="T354" s="26">
        <f t="shared" si="4"/>
        <v>0</v>
      </c>
      <c r="U354" s="28">
        <f t="shared" si="5"/>
        <v>0</v>
      </c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23" t="s">
        <v>21</v>
      </c>
      <c r="B355" s="24">
        <f t="shared" si="6"/>
        <v>46372</v>
      </c>
      <c r="C355" s="25">
        <v>13.3</v>
      </c>
      <c r="D355" s="26" t="s">
        <v>28</v>
      </c>
      <c r="E355" s="22"/>
      <c r="F355" s="22"/>
      <c r="G355" s="19"/>
      <c r="I355" s="20"/>
      <c r="K355" s="20"/>
      <c r="M355" s="20"/>
      <c r="O355" s="20"/>
      <c r="Q355" s="27">
        <f t="shared" si="1"/>
        <v>0</v>
      </c>
      <c r="R355" s="26">
        <f t="shared" si="2"/>
        <v>0</v>
      </c>
      <c r="S355" s="26">
        <f t="shared" si="3"/>
        <v>0</v>
      </c>
      <c r="T355" s="26">
        <f t="shared" si="4"/>
        <v>0</v>
      </c>
      <c r="U355" s="28">
        <f t="shared" si="5"/>
        <v>0</v>
      </c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23" t="s">
        <v>22</v>
      </c>
      <c r="B356" s="24">
        <f t="shared" si="6"/>
        <v>46373</v>
      </c>
      <c r="C356" s="25">
        <v>13.3</v>
      </c>
      <c r="D356" s="26" t="s">
        <v>28</v>
      </c>
      <c r="E356" s="22"/>
      <c r="F356" s="22"/>
      <c r="G356" s="19"/>
      <c r="I356" s="20"/>
      <c r="K356" s="20"/>
      <c r="M356" s="20"/>
      <c r="O356" s="20"/>
      <c r="Q356" s="27">
        <f t="shared" si="1"/>
        <v>0</v>
      </c>
      <c r="R356" s="26">
        <f t="shared" si="2"/>
        <v>0</v>
      </c>
      <c r="S356" s="26">
        <f t="shared" si="3"/>
        <v>0</v>
      </c>
      <c r="T356" s="26">
        <f t="shared" si="4"/>
        <v>0</v>
      </c>
      <c r="U356" s="28">
        <f t="shared" si="5"/>
        <v>0</v>
      </c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23" t="s">
        <v>23</v>
      </c>
      <c r="B357" s="24">
        <f t="shared" si="6"/>
        <v>46374</v>
      </c>
      <c r="C357" s="25">
        <v>13.3</v>
      </c>
      <c r="D357" s="26" t="s">
        <v>28</v>
      </c>
      <c r="E357" s="22"/>
      <c r="F357" s="22"/>
      <c r="G357" s="19"/>
      <c r="I357" s="20"/>
      <c r="K357" s="20"/>
      <c r="M357" s="20"/>
      <c r="O357" s="20"/>
      <c r="Q357" s="27">
        <f t="shared" si="1"/>
        <v>0</v>
      </c>
      <c r="R357" s="26">
        <f t="shared" si="2"/>
        <v>0</v>
      </c>
      <c r="S357" s="26">
        <f t="shared" si="3"/>
        <v>0</v>
      </c>
      <c r="T357" s="26">
        <f t="shared" si="4"/>
        <v>0</v>
      </c>
      <c r="U357" s="28">
        <f t="shared" si="5"/>
        <v>0</v>
      </c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23" t="s">
        <v>24</v>
      </c>
      <c r="B358" s="24">
        <f t="shared" si="6"/>
        <v>46375</v>
      </c>
      <c r="C358" s="25">
        <v>13.3</v>
      </c>
      <c r="D358" s="26" t="s">
        <v>28</v>
      </c>
      <c r="E358" s="22"/>
      <c r="F358" s="22"/>
      <c r="G358" s="19"/>
      <c r="I358" s="20"/>
      <c r="K358" s="20"/>
      <c r="M358" s="20"/>
      <c r="O358" s="20"/>
      <c r="Q358" s="27">
        <f t="shared" si="1"/>
        <v>0</v>
      </c>
      <c r="R358" s="26">
        <f t="shared" si="2"/>
        <v>0</v>
      </c>
      <c r="S358" s="26">
        <f t="shared" si="3"/>
        <v>0</v>
      </c>
      <c r="T358" s="26">
        <f t="shared" si="4"/>
        <v>0</v>
      </c>
      <c r="U358" s="28">
        <f t="shared" si="5"/>
        <v>0</v>
      </c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29" t="s">
        <v>25</v>
      </c>
      <c r="B359" s="30">
        <f t="shared" si="6"/>
        <v>46376</v>
      </c>
      <c r="C359" s="31">
        <v>13.3</v>
      </c>
      <c r="D359" s="32" t="s">
        <v>28</v>
      </c>
      <c r="E359" s="33"/>
      <c r="F359" s="33"/>
      <c r="G359" s="34"/>
      <c r="H359" s="6"/>
      <c r="I359" s="35"/>
      <c r="J359" s="6"/>
      <c r="K359" s="35"/>
      <c r="L359" s="6"/>
      <c r="M359" s="35"/>
      <c r="N359" s="6"/>
      <c r="O359" s="35"/>
      <c r="P359" s="6"/>
      <c r="Q359" s="36">
        <f t="shared" si="1"/>
        <v>0</v>
      </c>
      <c r="R359" s="32">
        <f t="shared" si="2"/>
        <v>0</v>
      </c>
      <c r="S359" s="32">
        <f t="shared" si="3"/>
        <v>0</v>
      </c>
      <c r="T359" s="32">
        <f t="shared" si="4"/>
        <v>0</v>
      </c>
      <c r="U359" s="37">
        <f t="shared" si="5"/>
        <v>0</v>
      </c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49"/>
      <c r="B360" s="50"/>
      <c r="C360" s="20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2" t="s">
        <v>34</v>
      </c>
      <c r="W360" s="52">
        <v>1.0</v>
      </c>
      <c r="X360" s="52">
        <v>2.0</v>
      </c>
      <c r="Y360" s="52">
        <v>3.0</v>
      </c>
      <c r="Z360" s="52">
        <v>4.0</v>
      </c>
      <c r="AA360" s="52">
        <v>5.0</v>
      </c>
      <c r="AB360" s="52">
        <v>6.0</v>
      </c>
      <c r="AC360" s="52">
        <v>7.0</v>
      </c>
      <c r="AD360" s="52">
        <v>8.0</v>
      </c>
      <c r="AE360" s="52">
        <v>9.0</v>
      </c>
      <c r="AF360" s="52">
        <v>10.0</v>
      </c>
      <c r="AG360" s="52">
        <v>11.0</v>
      </c>
      <c r="AH360" s="52">
        <v>12.0</v>
      </c>
      <c r="AI360" s="52">
        <v>13.0</v>
      </c>
      <c r="AJ360" s="52" t="s">
        <v>35</v>
      </c>
      <c r="AK360" s="53"/>
    </row>
    <row r="361" ht="15.75" customHeight="1">
      <c r="A361" s="49"/>
      <c r="B361" s="50"/>
      <c r="C361" s="20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4">
        <f>SUM(Q3:Q359)</f>
        <v>0</v>
      </c>
      <c r="R361" s="51"/>
      <c r="S361" s="51"/>
      <c r="T361" s="55">
        <f>SUM(T3:T359)</f>
        <v>0</v>
      </c>
      <c r="U361" s="51"/>
      <c r="V361" s="52" t="s">
        <v>36</v>
      </c>
      <c r="W361" s="53">
        <f t="shared" ref="W361:AI361" si="7">SUMIF($C$3:$C$359, W360, $T$3:$T$359)</f>
        <v>0</v>
      </c>
      <c r="X361" s="53">
        <f t="shared" si="7"/>
        <v>0</v>
      </c>
      <c r="Y361" s="53">
        <f t="shared" si="7"/>
        <v>0</v>
      </c>
      <c r="Z361" s="53">
        <f t="shared" si="7"/>
        <v>0</v>
      </c>
      <c r="AA361" s="53">
        <f t="shared" si="7"/>
        <v>0</v>
      </c>
      <c r="AB361" s="53">
        <f t="shared" si="7"/>
        <v>0</v>
      </c>
      <c r="AC361" s="53">
        <f t="shared" si="7"/>
        <v>0</v>
      </c>
      <c r="AD361" s="53">
        <f t="shared" si="7"/>
        <v>0</v>
      </c>
      <c r="AE361" s="53">
        <f t="shared" si="7"/>
        <v>0</v>
      </c>
      <c r="AF361" s="53">
        <f t="shared" si="7"/>
        <v>0</v>
      </c>
      <c r="AG361" s="53">
        <f t="shared" si="7"/>
        <v>0</v>
      </c>
      <c r="AH361" s="53">
        <f t="shared" si="7"/>
        <v>0</v>
      </c>
      <c r="AI361" s="53">
        <f t="shared" si="7"/>
        <v>0</v>
      </c>
      <c r="AJ361" s="52">
        <f>SUM(W361:AI361)</f>
        <v>0</v>
      </c>
      <c r="AK361" s="53"/>
    </row>
    <row r="362" ht="15.75" customHeight="1">
      <c r="A362" s="49"/>
      <c r="B362" s="50"/>
      <c r="C362" s="20"/>
      <c r="D362" s="51"/>
      <c r="E362" s="56"/>
      <c r="F362" s="56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2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2"/>
      <c r="AK362" s="53"/>
    </row>
    <row r="363" ht="15.75" customHeight="1">
      <c r="A363" s="49"/>
      <c r="B363" s="50"/>
      <c r="C363" s="20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2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2"/>
      <c r="AK363" s="53"/>
    </row>
    <row r="364" ht="15.75" customHeight="1">
      <c r="A364" s="49"/>
      <c r="B364" s="50"/>
      <c r="C364" s="20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2" t="s">
        <v>37</v>
      </c>
      <c r="W364" s="57">
        <f t="shared" ref="W364:AI364" si="8">SUMIF($C$3:$C$359, W360, $Q$3:$Q$359)</f>
        <v>0</v>
      </c>
      <c r="X364" s="57">
        <f t="shared" si="8"/>
        <v>0</v>
      </c>
      <c r="Y364" s="57">
        <f t="shared" si="8"/>
        <v>0</v>
      </c>
      <c r="Z364" s="57">
        <f t="shared" si="8"/>
        <v>0</v>
      </c>
      <c r="AA364" s="57">
        <f t="shared" si="8"/>
        <v>0</v>
      </c>
      <c r="AB364" s="57">
        <f t="shared" si="8"/>
        <v>0</v>
      </c>
      <c r="AC364" s="57">
        <f t="shared" si="8"/>
        <v>0</v>
      </c>
      <c r="AD364" s="57">
        <f t="shared" si="8"/>
        <v>0</v>
      </c>
      <c r="AE364" s="57">
        <f t="shared" si="8"/>
        <v>0</v>
      </c>
      <c r="AF364" s="57">
        <f t="shared" si="8"/>
        <v>0</v>
      </c>
      <c r="AG364" s="57">
        <f t="shared" si="8"/>
        <v>0</v>
      </c>
      <c r="AH364" s="57">
        <f t="shared" si="8"/>
        <v>0</v>
      </c>
      <c r="AI364" s="57">
        <f t="shared" si="8"/>
        <v>0</v>
      </c>
      <c r="AJ364" s="58">
        <f>SUM(W364:AI364)</f>
        <v>0</v>
      </c>
      <c r="AK364" s="53"/>
    </row>
    <row r="365" ht="15.75" customHeight="1">
      <c r="A365" s="49"/>
      <c r="B365" s="50"/>
      <c r="C365" s="20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2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8"/>
      <c r="AK365" s="53"/>
    </row>
    <row r="366" ht="15.75" customHeight="1">
      <c r="A366" s="59"/>
      <c r="B366" s="51"/>
      <c r="C366" s="20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2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8"/>
      <c r="AK366" s="53"/>
    </row>
    <row r="367" ht="15.75" customHeight="1">
      <c r="A367" s="59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2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8"/>
      <c r="AK367" s="53"/>
    </row>
    <row r="368" ht="15.75" customHeight="1">
      <c r="A368" s="59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2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8"/>
      <c r="AK368" s="53"/>
    </row>
    <row r="369" ht="15.75" customHeight="1">
      <c r="A369" s="59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60" t="s">
        <v>38</v>
      </c>
      <c r="W369" s="61">
        <v>0.26</v>
      </c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8"/>
      <c r="AK369" s="53"/>
    </row>
    <row r="370" ht="15.75" customHeight="1">
      <c r="A370" s="59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2"/>
      <c r="W370" s="57">
        <f t="shared" ref="W370:AI370" si="9">SUM(W364:W366)*$W$369</f>
        <v>0</v>
      </c>
      <c r="X370" s="57">
        <f t="shared" si="9"/>
        <v>0</v>
      </c>
      <c r="Y370" s="57">
        <f t="shared" si="9"/>
        <v>0</v>
      </c>
      <c r="Z370" s="57">
        <f t="shared" si="9"/>
        <v>0</v>
      </c>
      <c r="AA370" s="57">
        <f t="shared" si="9"/>
        <v>0</v>
      </c>
      <c r="AB370" s="57">
        <f t="shared" si="9"/>
        <v>0</v>
      </c>
      <c r="AC370" s="57">
        <f t="shared" si="9"/>
        <v>0</v>
      </c>
      <c r="AD370" s="57">
        <f t="shared" si="9"/>
        <v>0</v>
      </c>
      <c r="AE370" s="57">
        <f t="shared" si="9"/>
        <v>0</v>
      </c>
      <c r="AF370" s="57">
        <f t="shared" si="9"/>
        <v>0</v>
      </c>
      <c r="AG370" s="57">
        <f t="shared" si="9"/>
        <v>0</v>
      </c>
      <c r="AH370" s="57">
        <f t="shared" si="9"/>
        <v>0</v>
      </c>
      <c r="AI370" s="57">
        <f t="shared" si="9"/>
        <v>0</v>
      </c>
      <c r="AJ370" s="58">
        <f>SUM(W370:AI370)</f>
        <v>0</v>
      </c>
      <c r="AK370" s="62" t="str">
        <f>AJ370/AJ364</f>
        <v>#DIV/0!</v>
      </c>
    </row>
    <row r="371" ht="15.75" customHeight="1">
      <c r="A371" s="59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2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8"/>
      <c r="AK371" s="53"/>
    </row>
    <row r="372" ht="15.75" customHeight="1">
      <c r="A372" s="59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60" t="s">
        <v>39</v>
      </c>
      <c r="W372" s="61">
        <v>0.0</v>
      </c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8"/>
      <c r="AK372" s="53"/>
    </row>
    <row r="373" ht="15.75" customHeight="1">
      <c r="A373" s="59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2"/>
      <c r="W373" s="57">
        <f t="shared" ref="W373:AI373" si="10">$AO$372*SUM(W364:W366)</f>
        <v>0</v>
      </c>
      <c r="X373" s="57">
        <f t="shared" si="10"/>
        <v>0</v>
      </c>
      <c r="Y373" s="57">
        <f t="shared" si="10"/>
        <v>0</v>
      </c>
      <c r="Z373" s="57">
        <f t="shared" si="10"/>
        <v>0</v>
      </c>
      <c r="AA373" s="57">
        <f t="shared" si="10"/>
        <v>0</v>
      </c>
      <c r="AB373" s="57">
        <f t="shared" si="10"/>
        <v>0</v>
      </c>
      <c r="AC373" s="57">
        <f t="shared" si="10"/>
        <v>0</v>
      </c>
      <c r="AD373" s="57">
        <f t="shared" si="10"/>
        <v>0</v>
      </c>
      <c r="AE373" s="57">
        <f t="shared" si="10"/>
        <v>0</v>
      </c>
      <c r="AF373" s="57">
        <f t="shared" si="10"/>
        <v>0</v>
      </c>
      <c r="AG373" s="57">
        <f t="shared" si="10"/>
        <v>0</v>
      </c>
      <c r="AH373" s="57">
        <f t="shared" si="10"/>
        <v>0</v>
      </c>
      <c r="AI373" s="57">
        <f t="shared" si="10"/>
        <v>0</v>
      </c>
      <c r="AJ373" s="58">
        <f>SUM(W373:AI373)</f>
        <v>0</v>
      </c>
      <c r="AK373" s="53"/>
    </row>
    <row r="374" ht="15.75" customHeight="1">
      <c r="A374" s="59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2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8"/>
      <c r="AK374" s="53"/>
    </row>
    <row r="375" ht="15.75" customHeight="1">
      <c r="A375" s="59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2" t="s">
        <v>40</v>
      </c>
      <c r="W375" s="57">
        <f>SUM(W376:W378)</f>
        <v>42000</v>
      </c>
      <c r="X375" s="63" t="s">
        <v>41</v>
      </c>
      <c r="Y375" s="64">
        <f>SUM(W376:W378)/SUM(Z376:Z378)-1</f>
        <v>0.05</v>
      </c>
      <c r="Z375" s="65" t="s">
        <v>42</v>
      </c>
      <c r="AA375" s="53"/>
      <c r="AB375" s="53"/>
      <c r="AC375" s="53"/>
      <c r="AD375" s="53"/>
      <c r="AE375" s="53"/>
      <c r="AF375" s="53"/>
      <c r="AG375" s="53"/>
      <c r="AH375" s="53"/>
      <c r="AI375" s="53"/>
      <c r="AJ375" s="58"/>
      <c r="AK375" s="53"/>
    </row>
    <row r="376" ht="15.75" customHeight="1">
      <c r="A376" s="59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2" t="s">
        <v>43</v>
      </c>
      <c r="W376" s="57">
        <v>42000.0</v>
      </c>
      <c r="X376" s="53"/>
      <c r="Y376" s="53"/>
      <c r="Z376" s="57">
        <v>40000.0</v>
      </c>
      <c r="AA376" s="53"/>
      <c r="AB376" s="53"/>
      <c r="AC376" s="53"/>
      <c r="AD376" s="53"/>
      <c r="AE376" s="53"/>
      <c r="AF376" s="53"/>
      <c r="AG376" s="53"/>
      <c r="AH376" s="53"/>
      <c r="AI376" s="53"/>
      <c r="AJ376" s="58"/>
      <c r="AK376" s="53"/>
    </row>
    <row r="377" ht="15.75" customHeight="1">
      <c r="A377" s="59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2" t="s">
        <v>44</v>
      </c>
      <c r="W377" s="57">
        <v>0.0</v>
      </c>
      <c r="X377" s="53"/>
      <c r="Y377" s="53"/>
      <c r="Z377" s="57">
        <v>0.0</v>
      </c>
      <c r="AA377" s="53"/>
      <c r="AB377" s="53"/>
      <c r="AC377" s="53"/>
      <c r="AD377" s="53"/>
      <c r="AE377" s="53"/>
      <c r="AF377" s="53"/>
      <c r="AG377" s="53"/>
      <c r="AH377" s="53"/>
      <c r="AI377" s="53"/>
      <c r="AJ377" s="58"/>
      <c r="AK377" s="53"/>
    </row>
    <row r="378" ht="15.75" customHeight="1">
      <c r="A378" s="59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2" t="s">
        <v>45</v>
      </c>
      <c r="W378" s="57">
        <v>0.0</v>
      </c>
      <c r="X378" s="53"/>
      <c r="Y378" s="53"/>
      <c r="Z378" s="57">
        <v>0.0</v>
      </c>
      <c r="AA378" s="53"/>
      <c r="AB378" s="53"/>
      <c r="AC378" s="53"/>
      <c r="AD378" s="53"/>
      <c r="AE378" s="53"/>
      <c r="AF378" s="53"/>
      <c r="AG378" s="53"/>
      <c r="AH378" s="53"/>
      <c r="AI378" s="53"/>
      <c r="AJ378" s="58"/>
      <c r="AK378" s="53"/>
    </row>
    <row r="379" ht="15.75" customHeight="1">
      <c r="A379" s="59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2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8"/>
      <c r="AK379" s="53"/>
    </row>
    <row r="380" ht="15.75" customHeight="1">
      <c r="A380" s="59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66" t="s">
        <v>46</v>
      </c>
      <c r="W380" s="67">
        <v>0.025</v>
      </c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8"/>
      <c r="AK380" s="53"/>
    </row>
    <row r="381" ht="15.75" customHeight="1">
      <c r="A381" s="59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66"/>
      <c r="W381" s="57">
        <f t="shared" ref="W381:AI381" si="11">$W$380 * W364</f>
        <v>0</v>
      </c>
      <c r="X381" s="57">
        <f t="shared" si="11"/>
        <v>0</v>
      </c>
      <c r="Y381" s="57">
        <f t="shared" si="11"/>
        <v>0</v>
      </c>
      <c r="Z381" s="57">
        <f t="shared" si="11"/>
        <v>0</v>
      </c>
      <c r="AA381" s="57">
        <f t="shared" si="11"/>
        <v>0</v>
      </c>
      <c r="AB381" s="57">
        <f t="shared" si="11"/>
        <v>0</v>
      </c>
      <c r="AC381" s="57">
        <f t="shared" si="11"/>
        <v>0</v>
      </c>
      <c r="AD381" s="57">
        <f t="shared" si="11"/>
        <v>0</v>
      </c>
      <c r="AE381" s="57">
        <f t="shared" si="11"/>
        <v>0</v>
      </c>
      <c r="AF381" s="57">
        <f t="shared" si="11"/>
        <v>0</v>
      </c>
      <c r="AG381" s="57">
        <f t="shared" si="11"/>
        <v>0</v>
      </c>
      <c r="AH381" s="57">
        <f t="shared" si="11"/>
        <v>0</v>
      </c>
      <c r="AI381" s="57">
        <f t="shared" si="11"/>
        <v>0</v>
      </c>
      <c r="AJ381" s="58">
        <f>SUM(W381:AI381)</f>
        <v>0</v>
      </c>
      <c r="AK381" s="53"/>
    </row>
    <row r="382" ht="15.75" customHeight="1">
      <c r="A382" s="59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2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2"/>
      <c r="AK382" s="53"/>
    </row>
    <row r="383" ht="15.75" customHeight="1">
      <c r="A383" s="59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66" t="s">
        <v>47</v>
      </c>
      <c r="W383" s="67">
        <v>0.015</v>
      </c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8"/>
      <c r="AK383" s="53"/>
    </row>
    <row r="384" ht="15.75" customHeight="1">
      <c r="A384" s="59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2"/>
      <c r="W384" s="57">
        <f t="shared" ref="W384:AI384" si="12">$W$383 * W364</f>
        <v>0</v>
      </c>
      <c r="X384" s="57">
        <f t="shared" si="12"/>
        <v>0</v>
      </c>
      <c r="Y384" s="57">
        <f t="shared" si="12"/>
        <v>0</v>
      </c>
      <c r="Z384" s="57">
        <f t="shared" si="12"/>
        <v>0</v>
      </c>
      <c r="AA384" s="57">
        <f t="shared" si="12"/>
        <v>0</v>
      </c>
      <c r="AB384" s="57">
        <f t="shared" si="12"/>
        <v>0</v>
      </c>
      <c r="AC384" s="57">
        <f t="shared" si="12"/>
        <v>0</v>
      </c>
      <c r="AD384" s="57">
        <f t="shared" si="12"/>
        <v>0</v>
      </c>
      <c r="AE384" s="57">
        <f t="shared" si="12"/>
        <v>0</v>
      </c>
      <c r="AF384" s="57">
        <f t="shared" si="12"/>
        <v>0</v>
      </c>
      <c r="AG384" s="57">
        <f t="shared" si="12"/>
        <v>0</v>
      </c>
      <c r="AH384" s="57">
        <f t="shared" si="12"/>
        <v>0</v>
      </c>
      <c r="AI384" s="57">
        <f t="shared" si="12"/>
        <v>0</v>
      </c>
      <c r="AJ384" s="58">
        <f>SUM(W384:AI384)</f>
        <v>0</v>
      </c>
      <c r="AK384" s="53"/>
    </row>
    <row r="385" ht="15.75" customHeight="1">
      <c r="A385" s="59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2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2"/>
      <c r="AK385" s="53"/>
    </row>
    <row r="386" ht="15.75" customHeight="1">
      <c r="A386" s="59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2" t="s">
        <v>48</v>
      </c>
      <c r="W386" s="57">
        <v>0.0</v>
      </c>
      <c r="X386" s="57">
        <v>0.0</v>
      </c>
      <c r="Y386" s="57">
        <v>0.0</v>
      </c>
      <c r="Z386" s="57">
        <v>500.0</v>
      </c>
      <c r="AA386" s="57">
        <v>20.0</v>
      </c>
      <c r="AB386" s="57">
        <v>20.0</v>
      </c>
      <c r="AC386" s="57">
        <v>20.0</v>
      </c>
      <c r="AD386" s="57">
        <v>20.0</v>
      </c>
      <c r="AE386" s="57">
        <v>20.0</v>
      </c>
      <c r="AF386" s="57">
        <v>20.0</v>
      </c>
      <c r="AG386" s="57">
        <v>0.0</v>
      </c>
      <c r="AH386" s="57">
        <v>0.0</v>
      </c>
      <c r="AI386" s="57">
        <v>0.0</v>
      </c>
      <c r="AJ386" s="58">
        <f>SUM(W386:AI386)</f>
        <v>620</v>
      </c>
      <c r="AK386" s="53"/>
    </row>
    <row r="387" ht="15.75" customHeight="1">
      <c r="A387" s="59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8"/>
      <c r="AK387" s="53"/>
    </row>
    <row r="388" ht="15.75" customHeight="1">
      <c r="A388" s="59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68" t="s">
        <v>49</v>
      </c>
      <c r="W388" s="69"/>
      <c r="X388" s="69"/>
      <c r="Y388" s="70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8"/>
      <c r="AK388" s="53"/>
    </row>
    <row r="389" ht="15.75" customHeight="1">
      <c r="A389" s="59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71" t="s">
        <v>50</v>
      </c>
      <c r="W389" s="53"/>
      <c r="X389" s="53"/>
      <c r="Y389" s="72">
        <v>1000.0</v>
      </c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8"/>
      <c r="AK389" s="53"/>
    </row>
    <row r="390" ht="15.75" customHeight="1">
      <c r="A390" s="59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73" t="s">
        <v>51</v>
      </c>
      <c r="W390" s="53"/>
      <c r="X390" s="53"/>
      <c r="Y390" s="72">
        <v>5000.0</v>
      </c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8"/>
      <c r="AK390" s="53"/>
    </row>
    <row r="391" ht="15.75" customHeight="1">
      <c r="A391" s="59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74" t="s">
        <v>52</v>
      </c>
      <c r="W391" s="53"/>
      <c r="X391" s="53"/>
      <c r="Y391" s="75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8"/>
      <c r="AK391" s="53"/>
    </row>
    <row r="392" ht="15.75" customHeight="1">
      <c r="A392" s="59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71"/>
      <c r="W392" s="53"/>
      <c r="X392" s="53"/>
      <c r="Y392" s="76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8"/>
      <c r="AK392" s="53"/>
    </row>
    <row r="393" ht="15.75" customHeight="1">
      <c r="A393" s="59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68" t="s">
        <v>53</v>
      </c>
      <c r="W393" s="53"/>
      <c r="X393" s="53"/>
      <c r="Y393" s="76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8"/>
      <c r="AK393" s="53"/>
    </row>
    <row r="394" ht="15.75" customHeight="1">
      <c r="A394" s="59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71" t="s">
        <v>54</v>
      </c>
      <c r="W394" s="53"/>
      <c r="X394" s="53"/>
      <c r="Y394" s="72"/>
      <c r="Z394" s="53"/>
      <c r="AA394" s="53" t="s">
        <v>55</v>
      </c>
      <c r="AB394" s="67">
        <v>0.05</v>
      </c>
      <c r="AC394" s="53"/>
      <c r="AD394" s="53"/>
      <c r="AE394" s="53"/>
      <c r="AF394" s="53"/>
      <c r="AG394" s="53"/>
      <c r="AH394" s="53"/>
      <c r="AI394" s="53"/>
      <c r="AJ394" s="58"/>
      <c r="AK394" s="53"/>
    </row>
    <row r="395" ht="15.75" customHeight="1">
      <c r="A395" s="59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73" t="s">
        <v>56</v>
      </c>
      <c r="W395" s="53"/>
      <c r="X395" s="53"/>
      <c r="Y395" s="72"/>
      <c r="Z395" s="53"/>
      <c r="AA395" s="53" t="s">
        <v>57</v>
      </c>
      <c r="AB395" s="67">
        <v>0.072</v>
      </c>
      <c r="AC395" s="53"/>
      <c r="AD395" s="53"/>
      <c r="AE395" s="53"/>
      <c r="AF395" s="53"/>
      <c r="AG395" s="53"/>
      <c r="AH395" s="53"/>
      <c r="AI395" s="53"/>
      <c r="AJ395" s="52"/>
      <c r="AK395" s="53"/>
    </row>
    <row r="396" ht="15.75" customHeight="1">
      <c r="A396" s="59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74" t="s">
        <v>58</v>
      </c>
      <c r="W396" s="53"/>
      <c r="X396" s="53"/>
      <c r="Y396" s="75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2"/>
      <c r="AK396" s="53"/>
    </row>
    <row r="397" ht="15.75" customHeight="1">
      <c r="A397" s="59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71"/>
      <c r="W397" s="53"/>
      <c r="X397" s="53"/>
      <c r="Y397" s="76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2"/>
      <c r="AK397" s="53"/>
    </row>
    <row r="398" ht="15.75" customHeight="1">
      <c r="A398" s="59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68" t="s">
        <v>59</v>
      </c>
      <c r="W398" s="53"/>
      <c r="X398" s="53"/>
      <c r="Y398" s="76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2"/>
      <c r="AK398" s="53"/>
    </row>
    <row r="399" ht="15.75" customHeight="1">
      <c r="A399" s="59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71" t="s">
        <v>60</v>
      </c>
      <c r="W399" s="53"/>
      <c r="X399" s="53"/>
      <c r="Y399" s="72">
        <v>12000.0</v>
      </c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2"/>
      <c r="AK399" s="53"/>
    </row>
    <row r="400" ht="15.75" customHeight="1">
      <c r="A400" s="59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73" t="s">
        <v>61</v>
      </c>
      <c r="W400" s="53"/>
      <c r="X400" s="53"/>
      <c r="Y400" s="72">
        <v>0.0</v>
      </c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2"/>
      <c r="AK400" s="53"/>
    </row>
    <row r="401" ht="15.75" customHeight="1">
      <c r="A401" s="59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74" t="s">
        <v>62</v>
      </c>
      <c r="W401" s="53"/>
      <c r="X401" s="53"/>
      <c r="Y401" s="75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2"/>
      <c r="AK401" s="53"/>
    </row>
    <row r="402" ht="15.75" customHeight="1">
      <c r="A402" s="59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71"/>
      <c r="W402" s="53"/>
      <c r="X402" s="53"/>
      <c r="Y402" s="76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2"/>
      <c r="AK402" s="53"/>
    </row>
    <row r="403" ht="15.75" customHeight="1">
      <c r="A403" s="59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68" t="s">
        <v>63</v>
      </c>
      <c r="W403" s="53"/>
      <c r="X403" s="53"/>
      <c r="Y403" s="77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2"/>
      <c r="AK403" s="53"/>
    </row>
    <row r="404" ht="15.75" customHeight="1">
      <c r="A404" s="59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71" t="s">
        <v>64</v>
      </c>
      <c r="W404" s="53"/>
      <c r="X404" s="53"/>
      <c r="Y404" s="72">
        <f>60*7</f>
        <v>420</v>
      </c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2"/>
      <c r="AK404" s="53"/>
    </row>
    <row r="405" ht="15.75" customHeight="1">
      <c r="A405" s="59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71" t="s">
        <v>65</v>
      </c>
      <c r="W405" s="53"/>
      <c r="X405" s="53"/>
      <c r="Y405" s="72">
        <v>0.0</v>
      </c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2"/>
      <c r="AK405" s="53"/>
    </row>
    <row r="406" ht="15.75" customHeight="1">
      <c r="A406" s="59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73" t="s">
        <v>66</v>
      </c>
      <c r="W406" s="53"/>
      <c r="X406" s="53"/>
      <c r="Y406" s="72">
        <v>0.0</v>
      </c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2"/>
      <c r="AK406" s="53"/>
    </row>
    <row r="407" ht="15.75" customHeight="1">
      <c r="A407" s="59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74" t="s">
        <v>67</v>
      </c>
      <c r="W407" s="53"/>
      <c r="X407" s="53"/>
      <c r="Y407" s="75">
        <v>0.0</v>
      </c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2"/>
      <c r="AK407" s="53"/>
    </row>
    <row r="408" ht="15.75" customHeight="1">
      <c r="A408" s="59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71"/>
      <c r="W408" s="53"/>
      <c r="X408" s="53"/>
      <c r="Y408" s="76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2"/>
      <c r="AK408" s="53"/>
    </row>
    <row r="409" ht="15.75" customHeight="1">
      <c r="A409" s="59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68" t="s">
        <v>68</v>
      </c>
      <c r="W409" s="53"/>
      <c r="X409" s="53"/>
      <c r="Y409" s="72">
        <v>0.0</v>
      </c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2"/>
      <c r="AK409" s="53"/>
    </row>
    <row r="410" ht="15.75" customHeight="1">
      <c r="A410" s="59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71" t="s">
        <v>69</v>
      </c>
      <c r="W410" s="53"/>
      <c r="X410" s="53"/>
      <c r="Y410" s="72">
        <v>2600.0</v>
      </c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2"/>
      <c r="AK410" s="53"/>
    </row>
    <row r="411" ht="15.75" customHeight="1">
      <c r="A411" s="59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73" t="s">
        <v>70</v>
      </c>
      <c r="W411" s="53"/>
      <c r="X411" s="53"/>
      <c r="Y411" s="72">
        <v>7500.0</v>
      </c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2"/>
      <c r="AK411" s="53"/>
    </row>
    <row r="412" ht="15.75" customHeight="1">
      <c r="A412" s="59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74" t="s">
        <v>71</v>
      </c>
      <c r="W412" s="53"/>
      <c r="X412" s="53"/>
      <c r="Y412" s="72">
        <v>0.0</v>
      </c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2"/>
      <c r="AK412" s="53"/>
    </row>
    <row r="413" ht="15.75" customHeight="1">
      <c r="A413" s="59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71"/>
      <c r="W413" s="53"/>
      <c r="X413" s="53"/>
      <c r="Y413" s="75">
        <v>0.0</v>
      </c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2"/>
      <c r="AK413" s="53"/>
    </row>
    <row r="414" ht="15.75" customHeight="1">
      <c r="A414" s="59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68" t="s">
        <v>72</v>
      </c>
      <c r="W414" s="53"/>
      <c r="X414" s="53"/>
      <c r="Y414" s="76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2"/>
      <c r="AK414" s="53"/>
    </row>
    <row r="415" ht="15.75" customHeight="1">
      <c r="A415" s="59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71" t="s">
        <v>73</v>
      </c>
      <c r="W415" s="53"/>
      <c r="X415" s="53"/>
      <c r="Y415" s="72">
        <v>0.0</v>
      </c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2"/>
      <c r="AK415" s="53"/>
    </row>
    <row r="416" ht="15.75" customHeight="1">
      <c r="A416" s="59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73" t="s">
        <v>74</v>
      </c>
      <c r="W416" s="53"/>
      <c r="X416" s="53"/>
      <c r="Y416" s="72">
        <v>500.0</v>
      </c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2"/>
      <c r="AK416" s="53"/>
    </row>
    <row r="417" ht="15.75" customHeight="1">
      <c r="A417" s="59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74" t="s">
        <v>75</v>
      </c>
      <c r="W417" s="53"/>
      <c r="X417" s="53"/>
      <c r="Y417" s="75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2"/>
      <c r="AK417" s="53"/>
    </row>
    <row r="418" ht="15.75" customHeight="1">
      <c r="A418" s="59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71"/>
      <c r="W418" s="53"/>
      <c r="X418" s="53"/>
      <c r="Y418" s="77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2"/>
      <c r="AK418" s="53"/>
    </row>
    <row r="419" ht="15.75" customHeight="1">
      <c r="A419" s="59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68" t="s">
        <v>76</v>
      </c>
      <c r="W419" s="53"/>
      <c r="X419" s="53"/>
      <c r="Y419" s="72">
        <v>0.0</v>
      </c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2"/>
      <c r="AK419" s="53"/>
    </row>
    <row r="420" ht="15.75" customHeight="1">
      <c r="A420" s="59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71" t="s">
        <v>77</v>
      </c>
      <c r="W420" s="53"/>
      <c r="X420" s="53"/>
      <c r="Y420" s="72">
        <v>350.0</v>
      </c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2"/>
      <c r="AK420" s="53"/>
    </row>
    <row r="421" ht="15.75" customHeight="1">
      <c r="A421" s="59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71" t="s">
        <v>78</v>
      </c>
      <c r="W421" s="53"/>
      <c r="X421" s="53"/>
      <c r="Y421" s="72">
        <v>350.0</v>
      </c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2"/>
      <c r="AK421" s="53"/>
    </row>
    <row r="422" ht="15.75" customHeight="1">
      <c r="A422" s="59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73" t="s">
        <v>79</v>
      </c>
      <c r="W422" s="53"/>
      <c r="X422" s="53"/>
      <c r="Y422" s="72">
        <v>0.0</v>
      </c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2"/>
      <c r="AK422" s="53"/>
    </row>
    <row r="423" ht="15.75" customHeight="1">
      <c r="A423" s="59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74" t="s">
        <v>80</v>
      </c>
      <c r="W423" s="53"/>
      <c r="X423" s="53"/>
      <c r="Y423" s="72">
        <v>0.0</v>
      </c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2"/>
      <c r="AK423" s="53"/>
    </row>
    <row r="424" ht="15.75" customHeight="1">
      <c r="A424" s="59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71"/>
      <c r="W424" s="53"/>
      <c r="X424" s="53"/>
      <c r="Y424" s="72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2"/>
      <c r="AK424" s="53"/>
    </row>
    <row r="425" ht="15.75" customHeight="1">
      <c r="A425" s="59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78" t="s">
        <v>81</v>
      </c>
      <c r="W425" s="53"/>
      <c r="X425" s="53"/>
      <c r="Y425" s="75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2"/>
      <c r="AK425" s="53"/>
    </row>
    <row r="426" ht="15.75" customHeight="1">
      <c r="A426" s="59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79"/>
      <c r="W426" s="53"/>
      <c r="X426" s="53"/>
      <c r="Y426" s="76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2"/>
      <c r="AK426" s="53"/>
    </row>
    <row r="427" ht="15.75" customHeight="1">
      <c r="A427" s="59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80"/>
      <c r="W427" s="53"/>
      <c r="X427" s="53"/>
      <c r="Y427" s="75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2"/>
      <c r="AK427" s="53"/>
    </row>
    <row r="428" ht="15.75" customHeight="1">
      <c r="A428" s="59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81"/>
      <c r="W428" s="53"/>
      <c r="X428" s="53"/>
      <c r="Y428" s="77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2"/>
      <c r="AK428" s="53"/>
    </row>
    <row r="429" ht="15.75" customHeight="1">
      <c r="A429" s="59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82"/>
      <c r="W429" s="83"/>
      <c r="X429" s="83"/>
      <c r="Y429" s="84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2"/>
      <c r="AK429" s="53"/>
    </row>
    <row r="430" ht="15.75" customHeight="1">
      <c r="A430" s="59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59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59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59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59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59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59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59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59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59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59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59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59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59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59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59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59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59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59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59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59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59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59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59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59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59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59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59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59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59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59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59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59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59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59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59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59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59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59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59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59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59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59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59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59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59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59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59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59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59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59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59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59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59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59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59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59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59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59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59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59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59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59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59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59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59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59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59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59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59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59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59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59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59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59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59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59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59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59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59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59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59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59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59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59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59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59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59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59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59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59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59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59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59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59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59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59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59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59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59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59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59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59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59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59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59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59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59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59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59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59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59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59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59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59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59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59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59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59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59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59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59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59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59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59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59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59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59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59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59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59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59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59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59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59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59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59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59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59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59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59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59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59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59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59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59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59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59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59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59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59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59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59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59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59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59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59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59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59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59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59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59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59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59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59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59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59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59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59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59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59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59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59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59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59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59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59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59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59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59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59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59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59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59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59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59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59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59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59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59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59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59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59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59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59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59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</sheetData>
  <mergeCells count="1788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</mergeCells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  <col customWidth="1" min="22" max="24" width="11.11"/>
    <col customWidth="1" min="25" max="25" width="11.44"/>
    <col customWidth="1" min="26" max="37" width="11.11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130.5" customHeight="1">
      <c r="A2" s="8" t="s">
        <v>3</v>
      </c>
      <c r="B2" s="9" t="s">
        <v>4</v>
      </c>
      <c r="C2" s="9" t="s">
        <v>5</v>
      </c>
      <c r="D2" s="9" t="s">
        <v>6</v>
      </c>
      <c r="E2" s="10" t="s">
        <v>7</v>
      </c>
      <c r="F2" s="10" t="s">
        <v>8</v>
      </c>
      <c r="G2" s="11" t="s">
        <v>9</v>
      </c>
      <c r="H2" s="12">
        <f>24.98*1.039</f>
        <v>25.95422</v>
      </c>
      <c r="I2" s="11" t="s">
        <v>10</v>
      </c>
      <c r="J2" s="12">
        <f>24.98*1.039</f>
        <v>25.95422</v>
      </c>
      <c r="K2" s="11" t="s">
        <v>11</v>
      </c>
      <c r="L2" s="12">
        <f>24.98*1.039</f>
        <v>25.95422</v>
      </c>
      <c r="M2" s="11" t="s">
        <v>12</v>
      </c>
      <c r="N2" s="12">
        <f>24.98*1.039</f>
        <v>25.95422</v>
      </c>
      <c r="O2" s="11"/>
      <c r="P2" s="12"/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15.75" customHeight="1">
      <c r="A3" s="14" t="s">
        <v>18</v>
      </c>
      <c r="B3" s="15">
        <v>46020.0</v>
      </c>
      <c r="C3" s="17">
        <v>1.0</v>
      </c>
      <c r="D3" s="17" t="s">
        <v>19</v>
      </c>
      <c r="E3" s="18"/>
      <c r="F3" s="18"/>
      <c r="G3" s="19"/>
      <c r="I3" s="20"/>
      <c r="K3" s="20"/>
      <c r="M3" s="20"/>
      <c r="O3" s="20"/>
      <c r="Q3" s="21">
        <f t="shared" ref="Q3:Q359" si="1">(G3*H$2)+(I3*J$2)+(K3*L$2)+(M3*N$2)+(O3*P$2)</f>
        <v>0</v>
      </c>
      <c r="R3" s="17">
        <f t="shared" ref="R3:R359" si="2">SUM(G3:N3)</f>
        <v>0</v>
      </c>
      <c r="S3" s="17">
        <f t="shared" ref="S3:S359" si="3">SUM(O3:P3)</f>
        <v>0</v>
      </c>
      <c r="T3" s="17">
        <f t="shared" ref="T3:T359" si="4">SUM(G3:P3)</f>
        <v>0</v>
      </c>
      <c r="U3" s="22">
        <f t="shared" ref="U3:U359" si="5">IFERROR(Q3/T3,0)</f>
        <v>0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15.75" customHeight="1">
      <c r="A4" s="23" t="s">
        <v>20</v>
      </c>
      <c r="B4" s="24">
        <f t="shared" ref="B4:B359" si="6">B3+1</f>
        <v>46021</v>
      </c>
      <c r="C4" s="26">
        <v>1.0</v>
      </c>
      <c r="D4" s="26" t="s">
        <v>19</v>
      </c>
      <c r="E4" s="22"/>
      <c r="F4" s="22"/>
      <c r="G4" s="19"/>
      <c r="I4" s="20"/>
      <c r="K4" s="20"/>
      <c r="M4" s="20"/>
      <c r="O4" s="20"/>
      <c r="Q4" s="27">
        <f t="shared" si="1"/>
        <v>0</v>
      </c>
      <c r="R4" s="26">
        <f t="shared" si="2"/>
        <v>0</v>
      </c>
      <c r="S4" s="26">
        <f t="shared" si="3"/>
        <v>0</v>
      </c>
      <c r="T4" s="26">
        <f t="shared" si="4"/>
        <v>0</v>
      </c>
      <c r="U4" s="28">
        <f t="shared" si="5"/>
        <v>0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15.75" customHeight="1">
      <c r="A5" s="23" t="s">
        <v>21</v>
      </c>
      <c r="B5" s="24">
        <f t="shared" si="6"/>
        <v>46022</v>
      </c>
      <c r="C5" s="26">
        <v>1.0</v>
      </c>
      <c r="D5" s="26" t="s">
        <v>19</v>
      </c>
      <c r="E5" s="22"/>
      <c r="F5" s="22"/>
      <c r="G5" s="19"/>
      <c r="I5" s="20"/>
      <c r="K5" s="20"/>
      <c r="M5" s="20"/>
      <c r="O5" s="20"/>
      <c r="Q5" s="27">
        <f t="shared" si="1"/>
        <v>0</v>
      </c>
      <c r="R5" s="26">
        <f t="shared" si="2"/>
        <v>0</v>
      </c>
      <c r="S5" s="26">
        <f t="shared" si="3"/>
        <v>0</v>
      </c>
      <c r="T5" s="26">
        <f t="shared" si="4"/>
        <v>0</v>
      </c>
      <c r="U5" s="28">
        <f t="shared" si="5"/>
        <v>0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15.75" customHeight="1">
      <c r="A6" s="23" t="s">
        <v>22</v>
      </c>
      <c r="B6" s="24">
        <f t="shared" si="6"/>
        <v>46023</v>
      </c>
      <c r="C6" s="26">
        <v>1.0</v>
      </c>
      <c r="D6" s="26" t="s">
        <v>19</v>
      </c>
      <c r="E6" s="22"/>
      <c r="F6" s="22"/>
      <c r="G6" s="19"/>
      <c r="I6" s="20"/>
      <c r="K6" s="20"/>
      <c r="M6" s="20"/>
      <c r="O6" s="20"/>
      <c r="Q6" s="27">
        <f t="shared" si="1"/>
        <v>0</v>
      </c>
      <c r="R6" s="26">
        <f t="shared" si="2"/>
        <v>0</v>
      </c>
      <c r="S6" s="26">
        <f t="shared" si="3"/>
        <v>0</v>
      </c>
      <c r="T6" s="26">
        <f t="shared" si="4"/>
        <v>0</v>
      </c>
      <c r="U6" s="28">
        <f t="shared" si="5"/>
        <v>0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5.75" customHeight="1">
      <c r="A7" s="23" t="s">
        <v>23</v>
      </c>
      <c r="B7" s="24">
        <f t="shared" si="6"/>
        <v>46024</v>
      </c>
      <c r="C7" s="26">
        <v>1.0</v>
      </c>
      <c r="D7" s="26" t="s">
        <v>19</v>
      </c>
      <c r="E7" s="22"/>
      <c r="F7" s="22"/>
      <c r="G7" s="19"/>
      <c r="I7" s="20"/>
      <c r="K7" s="20"/>
      <c r="M7" s="20"/>
      <c r="O7" s="20"/>
      <c r="Q7" s="27">
        <f t="shared" si="1"/>
        <v>0</v>
      </c>
      <c r="R7" s="26">
        <f t="shared" si="2"/>
        <v>0</v>
      </c>
      <c r="S7" s="26">
        <f t="shared" si="3"/>
        <v>0</v>
      </c>
      <c r="T7" s="26">
        <f t="shared" si="4"/>
        <v>0</v>
      </c>
      <c r="U7" s="28">
        <f t="shared" si="5"/>
        <v>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15.75" customHeight="1">
      <c r="A8" s="23" t="s">
        <v>24</v>
      </c>
      <c r="B8" s="24">
        <f t="shared" si="6"/>
        <v>46025</v>
      </c>
      <c r="C8" s="26">
        <v>1.0</v>
      </c>
      <c r="D8" s="26" t="s">
        <v>19</v>
      </c>
      <c r="E8" s="22"/>
      <c r="F8" s="22"/>
      <c r="G8" s="19"/>
      <c r="I8" s="20"/>
      <c r="K8" s="20"/>
      <c r="M8" s="20"/>
      <c r="O8" s="20"/>
      <c r="Q8" s="27">
        <f t="shared" si="1"/>
        <v>0</v>
      </c>
      <c r="R8" s="26">
        <f t="shared" si="2"/>
        <v>0</v>
      </c>
      <c r="S8" s="26">
        <f t="shared" si="3"/>
        <v>0</v>
      </c>
      <c r="T8" s="26">
        <f t="shared" si="4"/>
        <v>0</v>
      </c>
      <c r="U8" s="28">
        <f t="shared" si="5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15.75" customHeight="1">
      <c r="A9" s="29" t="s">
        <v>25</v>
      </c>
      <c r="B9" s="30">
        <f t="shared" si="6"/>
        <v>46026</v>
      </c>
      <c r="C9" s="32">
        <v>1.0</v>
      </c>
      <c r="D9" s="32" t="s">
        <v>19</v>
      </c>
      <c r="E9" s="33"/>
      <c r="F9" s="33"/>
      <c r="G9" s="34"/>
      <c r="H9" s="6"/>
      <c r="I9" s="35"/>
      <c r="J9" s="6"/>
      <c r="K9" s="35"/>
      <c r="L9" s="6"/>
      <c r="M9" s="35"/>
      <c r="N9" s="6"/>
      <c r="O9" s="35"/>
      <c r="P9" s="6"/>
      <c r="Q9" s="36">
        <f t="shared" si="1"/>
        <v>0</v>
      </c>
      <c r="R9" s="32">
        <f t="shared" si="2"/>
        <v>0</v>
      </c>
      <c r="S9" s="32">
        <f t="shared" si="3"/>
        <v>0</v>
      </c>
      <c r="T9" s="32">
        <f t="shared" si="4"/>
        <v>0</v>
      </c>
      <c r="U9" s="37">
        <f t="shared" si="5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15.75" customHeight="1">
      <c r="A10" s="14" t="s">
        <v>18</v>
      </c>
      <c r="B10" s="15">
        <f t="shared" si="6"/>
        <v>46027</v>
      </c>
      <c r="C10" s="17">
        <v>1.0</v>
      </c>
      <c r="D10" s="17" t="s">
        <v>26</v>
      </c>
      <c r="E10" s="18"/>
      <c r="F10" s="18"/>
      <c r="G10" s="19"/>
      <c r="I10" s="20"/>
      <c r="K10" s="20"/>
      <c r="M10" s="20"/>
      <c r="O10" s="20"/>
      <c r="Q10" s="21">
        <f t="shared" si="1"/>
        <v>0</v>
      </c>
      <c r="R10" s="17">
        <f t="shared" si="2"/>
        <v>0</v>
      </c>
      <c r="S10" s="17">
        <f t="shared" si="3"/>
        <v>0</v>
      </c>
      <c r="T10" s="17">
        <f t="shared" si="4"/>
        <v>0</v>
      </c>
      <c r="U10" s="38">
        <f t="shared" si="5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15.75" customHeight="1">
      <c r="A11" s="23" t="s">
        <v>20</v>
      </c>
      <c r="B11" s="24">
        <f t="shared" si="6"/>
        <v>46028</v>
      </c>
      <c r="C11" s="26">
        <v>1.0</v>
      </c>
      <c r="D11" s="26" t="s">
        <v>26</v>
      </c>
      <c r="E11" s="22"/>
      <c r="F11" s="22"/>
      <c r="G11" s="19"/>
      <c r="I11" s="20"/>
      <c r="K11" s="20"/>
      <c r="M11" s="20"/>
      <c r="O11" s="20"/>
      <c r="Q11" s="27">
        <f t="shared" si="1"/>
        <v>0</v>
      </c>
      <c r="R11" s="26">
        <f t="shared" si="2"/>
        <v>0</v>
      </c>
      <c r="S11" s="26">
        <f t="shared" si="3"/>
        <v>0</v>
      </c>
      <c r="T11" s="26">
        <f t="shared" si="4"/>
        <v>0</v>
      </c>
      <c r="U11" s="28">
        <f t="shared" si="5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15.75" customHeight="1">
      <c r="A12" s="23" t="s">
        <v>21</v>
      </c>
      <c r="B12" s="24">
        <f t="shared" si="6"/>
        <v>46029</v>
      </c>
      <c r="C12" s="26">
        <v>1.0</v>
      </c>
      <c r="D12" s="26" t="s">
        <v>26</v>
      </c>
      <c r="E12" s="22"/>
      <c r="F12" s="22"/>
      <c r="G12" s="19"/>
      <c r="I12" s="20"/>
      <c r="K12" s="20"/>
      <c r="M12" s="20"/>
      <c r="O12" s="20"/>
      <c r="Q12" s="27">
        <f t="shared" si="1"/>
        <v>0</v>
      </c>
      <c r="R12" s="26">
        <f t="shared" si="2"/>
        <v>0</v>
      </c>
      <c r="S12" s="26">
        <f t="shared" si="3"/>
        <v>0</v>
      </c>
      <c r="T12" s="26">
        <f t="shared" si="4"/>
        <v>0</v>
      </c>
      <c r="U12" s="28">
        <f t="shared" si="5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15.75" customHeight="1">
      <c r="A13" s="23" t="s">
        <v>22</v>
      </c>
      <c r="B13" s="24">
        <f t="shared" si="6"/>
        <v>46030</v>
      </c>
      <c r="C13" s="26">
        <v>1.0</v>
      </c>
      <c r="D13" s="26" t="s">
        <v>26</v>
      </c>
      <c r="E13" s="22"/>
      <c r="F13" s="22"/>
      <c r="G13" s="19"/>
      <c r="I13" s="20"/>
      <c r="K13" s="20"/>
      <c r="M13" s="20"/>
      <c r="O13" s="20"/>
      <c r="Q13" s="27">
        <f t="shared" si="1"/>
        <v>0</v>
      </c>
      <c r="R13" s="26">
        <f t="shared" si="2"/>
        <v>0</v>
      </c>
      <c r="S13" s="26">
        <f t="shared" si="3"/>
        <v>0</v>
      </c>
      <c r="T13" s="26">
        <f t="shared" si="4"/>
        <v>0</v>
      </c>
      <c r="U13" s="28">
        <f t="shared" si="5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15.75" customHeight="1">
      <c r="A14" s="23" t="s">
        <v>23</v>
      </c>
      <c r="B14" s="24">
        <f t="shared" si="6"/>
        <v>46031</v>
      </c>
      <c r="C14" s="26">
        <v>1.0</v>
      </c>
      <c r="D14" s="26" t="s">
        <v>26</v>
      </c>
      <c r="E14" s="22"/>
      <c r="F14" s="22"/>
      <c r="G14" s="19"/>
      <c r="I14" s="20"/>
      <c r="K14" s="20"/>
      <c r="M14" s="20"/>
      <c r="O14" s="20"/>
      <c r="Q14" s="27">
        <f t="shared" si="1"/>
        <v>0</v>
      </c>
      <c r="R14" s="26">
        <f t="shared" si="2"/>
        <v>0</v>
      </c>
      <c r="S14" s="26">
        <f t="shared" si="3"/>
        <v>0</v>
      </c>
      <c r="T14" s="26">
        <f t="shared" si="4"/>
        <v>0</v>
      </c>
      <c r="U14" s="28">
        <f t="shared" si="5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15.75" customHeight="1">
      <c r="A15" s="23" t="s">
        <v>24</v>
      </c>
      <c r="B15" s="24">
        <f t="shared" si="6"/>
        <v>46032</v>
      </c>
      <c r="C15" s="26">
        <v>1.0</v>
      </c>
      <c r="D15" s="26" t="s">
        <v>26</v>
      </c>
      <c r="E15" s="22"/>
      <c r="F15" s="22"/>
      <c r="G15" s="19"/>
      <c r="I15" s="20"/>
      <c r="K15" s="20"/>
      <c r="M15" s="20"/>
      <c r="O15" s="20"/>
      <c r="Q15" s="27">
        <f t="shared" si="1"/>
        <v>0</v>
      </c>
      <c r="R15" s="26">
        <f t="shared" si="2"/>
        <v>0</v>
      </c>
      <c r="S15" s="26">
        <f t="shared" si="3"/>
        <v>0</v>
      </c>
      <c r="T15" s="26">
        <f t="shared" si="4"/>
        <v>0</v>
      </c>
      <c r="U15" s="28">
        <f t="shared" si="5"/>
        <v>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15.75" customHeight="1">
      <c r="A16" s="29" t="s">
        <v>25</v>
      </c>
      <c r="B16" s="30">
        <f t="shared" si="6"/>
        <v>46033</v>
      </c>
      <c r="C16" s="32">
        <v>1.0</v>
      </c>
      <c r="D16" s="32" t="s">
        <v>26</v>
      </c>
      <c r="E16" s="33"/>
      <c r="F16" s="33"/>
      <c r="G16" s="34"/>
      <c r="H16" s="6"/>
      <c r="I16" s="35"/>
      <c r="J16" s="6"/>
      <c r="K16" s="35"/>
      <c r="L16" s="6"/>
      <c r="M16" s="35"/>
      <c r="N16" s="6"/>
      <c r="O16" s="35"/>
      <c r="P16" s="6"/>
      <c r="Q16" s="36">
        <f t="shared" si="1"/>
        <v>0</v>
      </c>
      <c r="R16" s="32">
        <f t="shared" si="2"/>
        <v>0</v>
      </c>
      <c r="S16" s="32">
        <f t="shared" si="3"/>
        <v>0</v>
      </c>
      <c r="T16" s="32">
        <f t="shared" si="4"/>
        <v>0</v>
      </c>
      <c r="U16" s="37">
        <f t="shared" si="5"/>
        <v>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15.75" customHeight="1">
      <c r="A17" s="14" t="s">
        <v>18</v>
      </c>
      <c r="B17" s="15">
        <f t="shared" si="6"/>
        <v>46034</v>
      </c>
      <c r="C17" s="17">
        <v>1.0</v>
      </c>
      <c r="D17" s="17" t="s">
        <v>27</v>
      </c>
      <c r="E17" s="18"/>
      <c r="F17" s="18"/>
      <c r="G17" s="19"/>
      <c r="I17" s="20"/>
      <c r="K17" s="20"/>
      <c r="M17" s="20"/>
      <c r="O17" s="20"/>
      <c r="Q17" s="21">
        <f t="shared" si="1"/>
        <v>0</v>
      </c>
      <c r="R17" s="17">
        <f t="shared" si="2"/>
        <v>0</v>
      </c>
      <c r="S17" s="17">
        <f t="shared" si="3"/>
        <v>0</v>
      </c>
      <c r="T17" s="17">
        <f t="shared" si="4"/>
        <v>0</v>
      </c>
      <c r="U17" s="38">
        <f t="shared" si="5"/>
        <v>0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15.75" customHeight="1">
      <c r="A18" s="23" t="s">
        <v>20</v>
      </c>
      <c r="B18" s="24">
        <f t="shared" si="6"/>
        <v>46035</v>
      </c>
      <c r="C18" s="26">
        <v>1.0</v>
      </c>
      <c r="D18" s="26" t="s">
        <v>27</v>
      </c>
      <c r="E18" s="22"/>
      <c r="F18" s="22"/>
      <c r="G18" s="19"/>
      <c r="I18" s="20"/>
      <c r="K18" s="20"/>
      <c r="M18" s="20"/>
      <c r="O18" s="20"/>
      <c r="Q18" s="27">
        <f t="shared" si="1"/>
        <v>0</v>
      </c>
      <c r="R18" s="26">
        <f t="shared" si="2"/>
        <v>0</v>
      </c>
      <c r="S18" s="26">
        <f t="shared" si="3"/>
        <v>0</v>
      </c>
      <c r="T18" s="26">
        <f t="shared" si="4"/>
        <v>0</v>
      </c>
      <c r="U18" s="28">
        <f t="shared" si="5"/>
        <v>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15.75" customHeight="1">
      <c r="A19" s="23" t="s">
        <v>21</v>
      </c>
      <c r="B19" s="24">
        <f t="shared" si="6"/>
        <v>46036</v>
      </c>
      <c r="C19" s="26">
        <v>1.0</v>
      </c>
      <c r="D19" s="26" t="s">
        <v>27</v>
      </c>
      <c r="E19" s="22"/>
      <c r="F19" s="22"/>
      <c r="G19" s="19"/>
      <c r="I19" s="20"/>
      <c r="K19" s="20"/>
      <c r="M19" s="20"/>
      <c r="O19" s="20"/>
      <c r="Q19" s="27">
        <f t="shared" si="1"/>
        <v>0</v>
      </c>
      <c r="R19" s="26">
        <f t="shared" si="2"/>
        <v>0</v>
      </c>
      <c r="S19" s="26">
        <f t="shared" si="3"/>
        <v>0</v>
      </c>
      <c r="T19" s="26">
        <f t="shared" si="4"/>
        <v>0</v>
      </c>
      <c r="U19" s="28">
        <f t="shared" si="5"/>
        <v>0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15.75" customHeight="1">
      <c r="A20" s="23" t="s">
        <v>22</v>
      </c>
      <c r="B20" s="24">
        <f t="shared" si="6"/>
        <v>46037</v>
      </c>
      <c r="C20" s="26">
        <v>1.0</v>
      </c>
      <c r="D20" s="26" t="s">
        <v>27</v>
      </c>
      <c r="E20" s="22"/>
      <c r="F20" s="22"/>
      <c r="G20" s="19"/>
      <c r="I20" s="20"/>
      <c r="K20" s="20"/>
      <c r="M20" s="20"/>
      <c r="O20" s="20"/>
      <c r="Q20" s="27">
        <f t="shared" si="1"/>
        <v>0</v>
      </c>
      <c r="R20" s="26">
        <f t="shared" si="2"/>
        <v>0</v>
      </c>
      <c r="S20" s="26">
        <f t="shared" si="3"/>
        <v>0</v>
      </c>
      <c r="T20" s="26">
        <f t="shared" si="4"/>
        <v>0</v>
      </c>
      <c r="U20" s="28">
        <f t="shared" si="5"/>
        <v>0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23" t="s">
        <v>23</v>
      </c>
      <c r="B21" s="24">
        <f t="shared" si="6"/>
        <v>46038</v>
      </c>
      <c r="C21" s="26">
        <v>1.0</v>
      </c>
      <c r="D21" s="26" t="s">
        <v>27</v>
      </c>
      <c r="E21" s="22"/>
      <c r="F21" s="22"/>
      <c r="G21" s="19"/>
      <c r="I21" s="20"/>
      <c r="K21" s="20"/>
      <c r="M21" s="20"/>
      <c r="O21" s="20"/>
      <c r="Q21" s="27">
        <f t="shared" si="1"/>
        <v>0</v>
      </c>
      <c r="R21" s="26">
        <f t="shared" si="2"/>
        <v>0</v>
      </c>
      <c r="S21" s="26">
        <f t="shared" si="3"/>
        <v>0</v>
      </c>
      <c r="T21" s="26">
        <f t="shared" si="4"/>
        <v>0</v>
      </c>
      <c r="U21" s="28">
        <f t="shared" si="5"/>
        <v>0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23" t="s">
        <v>24</v>
      </c>
      <c r="B22" s="24">
        <f t="shared" si="6"/>
        <v>46039</v>
      </c>
      <c r="C22" s="26">
        <v>1.0</v>
      </c>
      <c r="D22" s="26" t="s">
        <v>27</v>
      </c>
      <c r="E22" s="22"/>
      <c r="F22" s="22"/>
      <c r="G22" s="19"/>
      <c r="I22" s="20"/>
      <c r="K22" s="20"/>
      <c r="M22" s="20"/>
      <c r="O22" s="20"/>
      <c r="Q22" s="27">
        <f t="shared" si="1"/>
        <v>0</v>
      </c>
      <c r="R22" s="26">
        <f t="shared" si="2"/>
        <v>0</v>
      </c>
      <c r="S22" s="26">
        <f t="shared" si="3"/>
        <v>0</v>
      </c>
      <c r="T22" s="26">
        <f t="shared" si="4"/>
        <v>0</v>
      </c>
      <c r="U22" s="28">
        <f t="shared" si="5"/>
        <v>0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29" t="s">
        <v>25</v>
      </c>
      <c r="B23" s="30">
        <f t="shared" si="6"/>
        <v>46040</v>
      </c>
      <c r="C23" s="32">
        <v>1.0</v>
      </c>
      <c r="D23" s="32" t="s">
        <v>27</v>
      </c>
      <c r="E23" s="33"/>
      <c r="F23" s="33"/>
      <c r="G23" s="34"/>
      <c r="H23" s="6"/>
      <c r="I23" s="35"/>
      <c r="J23" s="6"/>
      <c r="K23" s="35"/>
      <c r="L23" s="6"/>
      <c r="M23" s="35"/>
      <c r="N23" s="6"/>
      <c r="O23" s="35"/>
      <c r="P23" s="6"/>
      <c r="Q23" s="36">
        <f t="shared" si="1"/>
        <v>0</v>
      </c>
      <c r="R23" s="32">
        <f t="shared" si="2"/>
        <v>0</v>
      </c>
      <c r="S23" s="32">
        <f t="shared" si="3"/>
        <v>0</v>
      </c>
      <c r="T23" s="32">
        <f t="shared" si="4"/>
        <v>0</v>
      </c>
      <c r="U23" s="37">
        <f t="shared" si="5"/>
        <v>0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14" t="s">
        <v>18</v>
      </c>
      <c r="B24" s="15">
        <f t="shared" si="6"/>
        <v>46041</v>
      </c>
      <c r="C24" s="17">
        <v>1.0</v>
      </c>
      <c r="D24" s="17" t="s">
        <v>28</v>
      </c>
      <c r="E24" s="18"/>
      <c r="F24" s="18"/>
      <c r="G24" s="19"/>
      <c r="I24" s="20"/>
      <c r="K24" s="20"/>
      <c r="M24" s="20"/>
      <c r="O24" s="20"/>
      <c r="Q24" s="21">
        <f t="shared" si="1"/>
        <v>0</v>
      </c>
      <c r="R24" s="17">
        <f t="shared" si="2"/>
        <v>0</v>
      </c>
      <c r="S24" s="17">
        <f t="shared" si="3"/>
        <v>0</v>
      </c>
      <c r="T24" s="17">
        <f t="shared" si="4"/>
        <v>0</v>
      </c>
      <c r="U24" s="38">
        <f t="shared" si="5"/>
        <v>0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23" t="s">
        <v>20</v>
      </c>
      <c r="B25" s="24">
        <f t="shared" si="6"/>
        <v>46042</v>
      </c>
      <c r="C25" s="26">
        <v>1.0</v>
      </c>
      <c r="D25" s="26" t="s">
        <v>28</v>
      </c>
      <c r="E25" s="22"/>
      <c r="F25" s="22"/>
      <c r="G25" s="19"/>
      <c r="I25" s="20"/>
      <c r="K25" s="20"/>
      <c r="M25" s="20"/>
      <c r="O25" s="20"/>
      <c r="Q25" s="27">
        <f t="shared" si="1"/>
        <v>0</v>
      </c>
      <c r="R25" s="26">
        <f t="shared" si="2"/>
        <v>0</v>
      </c>
      <c r="S25" s="26">
        <f t="shared" si="3"/>
        <v>0</v>
      </c>
      <c r="T25" s="26">
        <f t="shared" si="4"/>
        <v>0</v>
      </c>
      <c r="U25" s="28">
        <f t="shared" si="5"/>
        <v>0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23" t="s">
        <v>21</v>
      </c>
      <c r="B26" s="24">
        <f t="shared" si="6"/>
        <v>46043</v>
      </c>
      <c r="C26" s="26">
        <v>1.0</v>
      </c>
      <c r="D26" s="26" t="s">
        <v>28</v>
      </c>
      <c r="E26" s="22"/>
      <c r="F26" s="22"/>
      <c r="G26" s="19"/>
      <c r="I26" s="20"/>
      <c r="K26" s="20"/>
      <c r="M26" s="20"/>
      <c r="O26" s="20"/>
      <c r="Q26" s="27">
        <f t="shared" si="1"/>
        <v>0</v>
      </c>
      <c r="R26" s="26">
        <f t="shared" si="2"/>
        <v>0</v>
      </c>
      <c r="S26" s="26">
        <f t="shared" si="3"/>
        <v>0</v>
      </c>
      <c r="T26" s="26">
        <f t="shared" si="4"/>
        <v>0</v>
      </c>
      <c r="U26" s="28">
        <f t="shared" si="5"/>
        <v>0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23" t="s">
        <v>22</v>
      </c>
      <c r="B27" s="24">
        <f t="shared" si="6"/>
        <v>46044</v>
      </c>
      <c r="C27" s="26">
        <v>1.0</v>
      </c>
      <c r="D27" s="26" t="s">
        <v>28</v>
      </c>
      <c r="E27" s="22"/>
      <c r="F27" s="22"/>
      <c r="G27" s="19"/>
      <c r="I27" s="20"/>
      <c r="K27" s="20"/>
      <c r="M27" s="20"/>
      <c r="O27" s="20"/>
      <c r="Q27" s="27">
        <f t="shared" si="1"/>
        <v>0</v>
      </c>
      <c r="R27" s="26">
        <f t="shared" si="2"/>
        <v>0</v>
      </c>
      <c r="S27" s="26">
        <f t="shared" si="3"/>
        <v>0</v>
      </c>
      <c r="T27" s="26">
        <f t="shared" si="4"/>
        <v>0</v>
      </c>
      <c r="U27" s="28">
        <f t="shared" si="5"/>
        <v>0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23" t="s">
        <v>23</v>
      </c>
      <c r="B28" s="24">
        <f t="shared" si="6"/>
        <v>46045</v>
      </c>
      <c r="C28" s="26">
        <v>1.0</v>
      </c>
      <c r="D28" s="26" t="s">
        <v>28</v>
      </c>
      <c r="E28" s="22"/>
      <c r="F28" s="22"/>
      <c r="G28" s="19"/>
      <c r="I28" s="20"/>
      <c r="K28" s="20"/>
      <c r="M28" s="20"/>
      <c r="O28" s="20"/>
      <c r="Q28" s="27">
        <f t="shared" si="1"/>
        <v>0</v>
      </c>
      <c r="R28" s="26">
        <f t="shared" si="2"/>
        <v>0</v>
      </c>
      <c r="S28" s="26">
        <f t="shared" si="3"/>
        <v>0</v>
      </c>
      <c r="T28" s="26">
        <f t="shared" si="4"/>
        <v>0</v>
      </c>
      <c r="U28" s="28">
        <f t="shared" si="5"/>
        <v>0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23" t="s">
        <v>24</v>
      </c>
      <c r="B29" s="24">
        <f t="shared" si="6"/>
        <v>46046</v>
      </c>
      <c r="C29" s="26">
        <v>1.0</v>
      </c>
      <c r="D29" s="26" t="s">
        <v>28</v>
      </c>
      <c r="E29" s="22"/>
      <c r="F29" s="22"/>
      <c r="G29" s="19"/>
      <c r="I29" s="20"/>
      <c r="K29" s="20"/>
      <c r="M29" s="20"/>
      <c r="O29" s="20"/>
      <c r="Q29" s="27">
        <f t="shared" si="1"/>
        <v>0</v>
      </c>
      <c r="R29" s="26">
        <f t="shared" si="2"/>
        <v>0</v>
      </c>
      <c r="S29" s="26">
        <f t="shared" si="3"/>
        <v>0</v>
      </c>
      <c r="T29" s="26">
        <f t="shared" si="4"/>
        <v>0</v>
      </c>
      <c r="U29" s="28">
        <f t="shared" si="5"/>
        <v>0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29" t="s">
        <v>25</v>
      </c>
      <c r="B30" s="30">
        <f t="shared" si="6"/>
        <v>46047</v>
      </c>
      <c r="C30" s="32">
        <v>1.0</v>
      </c>
      <c r="D30" s="32" t="s">
        <v>28</v>
      </c>
      <c r="E30" s="33"/>
      <c r="F30" s="33"/>
      <c r="G30" s="34"/>
      <c r="H30" s="6"/>
      <c r="I30" s="35"/>
      <c r="J30" s="6"/>
      <c r="K30" s="35"/>
      <c r="L30" s="6"/>
      <c r="M30" s="35"/>
      <c r="N30" s="6"/>
      <c r="O30" s="35"/>
      <c r="P30" s="6"/>
      <c r="Q30" s="36">
        <f t="shared" si="1"/>
        <v>0</v>
      </c>
      <c r="R30" s="32">
        <f t="shared" si="2"/>
        <v>0</v>
      </c>
      <c r="S30" s="32">
        <f t="shared" si="3"/>
        <v>0</v>
      </c>
      <c r="T30" s="32">
        <f t="shared" si="4"/>
        <v>0</v>
      </c>
      <c r="U30" s="37">
        <f t="shared" si="5"/>
        <v>0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14" t="s">
        <v>18</v>
      </c>
      <c r="B31" s="15">
        <f t="shared" si="6"/>
        <v>46048</v>
      </c>
      <c r="C31" s="17">
        <v>2.0</v>
      </c>
      <c r="D31" s="17" t="s">
        <v>19</v>
      </c>
      <c r="E31" s="18"/>
      <c r="F31" s="18"/>
      <c r="G31" s="19"/>
      <c r="I31" s="20"/>
      <c r="K31" s="20"/>
      <c r="M31" s="20"/>
      <c r="O31" s="20"/>
      <c r="Q31" s="21">
        <f t="shared" si="1"/>
        <v>0</v>
      </c>
      <c r="R31" s="17">
        <f t="shared" si="2"/>
        <v>0</v>
      </c>
      <c r="S31" s="17">
        <f t="shared" si="3"/>
        <v>0</v>
      </c>
      <c r="T31" s="17">
        <f t="shared" si="4"/>
        <v>0</v>
      </c>
      <c r="U31" s="38">
        <f t="shared" si="5"/>
        <v>0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23" t="s">
        <v>20</v>
      </c>
      <c r="B32" s="24">
        <f t="shared" si="6"/>
        <v>46049</v>
      </c>
      <c r="C32" s="26">
        <v>2.0</v>
      </c>
      <c r="D32" s="26" t="s">
        <v>19</v>
      </c>
      <c r="E32" s="22"/>
      <c r="F32" s="22"/>
      <c r="G32" s="19"/>
      <c r="I32" s="20"/>
      <c r="K32" s="20"/>
      <c r="M32" s="20"/>
      <c r="O32" s="20"/>
      <c r="Q32" s="27">
        <f t="shared" si="1"/>
        <v>0</v>
      </c>
      <c r="R32" s="26">
        <f t="shared" si="2"/>
        <v>0</v>
      </c>
      <c r="S32" s="26">
        <f t="shared" si="3"/>
        <v>0</v>
      </c>
      <c r="T32" s="26">
        <f t="shared" si="4"/>
        <v>0</v>
      </c>
      <c r="U32" s="28">
        <f t="shared" si="5"/>
        <v>0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23" t="s">
        <v>21</v>
      </c>
      <c r="B33" s="24">
        <f t="shared" si="6"/>
        <v>46050</v>
      </c>
      <c r="C33" s="26">
        <v>2.0</v>
      </c>
      <c r="D33" s="26" t="s">
        <v>19</v>
      </c>
      <c r="E33" s="22"/>
      <c r="F33" s="22"/>
      <c r="G33" s="19"/>
      <c r="I33" s="20"/>
      <c r="K33" s="20"/>
      <c r="M33" s="20"/>
      <c r="O33" s="20"/>
      <c r="Q33" s="27">
        <f t="shared" si="1"/>
        <v>0</v>
      </c>
      <c r="R33" s="26">
        <f t="shared" si="2"/>
        <v>0</v>
      </c>
      <c r="S33" s="26">
        <f t="shared" si="3"/>
        <v>0</v>
      </c>
      <c r="T33" s="26">
        <f t="shared" si="4"/>
        <v>0</v>
      </c>
      <c r="U33" s="28">
        <f t="shared" si="5"/>
        <v>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23" t="s">
        <v>22</v>
      </c>
      <c r="B34" s="24">
        <f t="shared" si="6"/>
        <v>46051</v>
      </c>
      <c r="C34" s="26">
        <v>2.0</v>
      </c>
      <c r="D34" s="26" t="s">
        <v>19</v>
      </c>
      <c r="E34" s="22"/>
      <c r="F34" s="22"/>
      <c r="G34" s="19"/>
      <c r="I34" s="20"/>
      <c r="K34" s="20"/>
      <c r="M34" s="20"/>
      <c r="O34" s="20"/>
      <c r="Q34" s="27">
        <f t="shared" si="1"/>
        <v>0</v>
      </c>
      <c r="R34" s="26">
        <f t="shared" si="2"/>
        <v>0</v>
      </c>
      <c r="S34" s="26">
        <f t="shared" si="3"/>
        <v>0</v>
      </c>
      <c r="T34" s="26">
        <f t="shared" si="4"/>
        <v>0</v>
      </c>
      <c r="U34" s="28">
        <f t="shared" si="5"/>
        <v>0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23" t="s">
        <v>23</v>
      </c>
      <c r="B35" s="24">
        <f t="shared" si="6"/>
        <v>46052</v>
      </c>
      <c r="C35" s="26">
        <v>2.0</v>
      </c>
      <c r="D35" s="26" t="s">
        <v>19</v>
      </c>
      <c r="E35" s="22"/>
      <c r="F35" s="22"/>
      <c r="G35" s="19"/>
      <c r="I35" s="20"/>
      <c r="K35" s="20"/>
      <c r="M35" s="20"/>
      <c r="O35" s="20"/>
      <c r="Q35" s="27">
        <f t="shared" si="1"/>
        <v>0</v>
      </c>
      <c r="R35" s="26">
        <f t="shared" si="2"/>
        <v>0</v>
      </c>
      <c r="S35" s="26">
        <f t="shared" si="3"/>
        <v>0</v>
      </c>
      <c r="T35" s="26">
        <f t="shared" si="4"/>
        <v>0</v>
      </c>
      <c r="U35" s="28">
        <f t="shared" si="5"/>
        <v>0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23" t="s">
        <v>24</v>
      </c>
      <c r="B36" s="24">
        <f t="shared" si="6"/>
        <v>46053</v>
      </c>
      <c r="C36" s="26">
        <v>2.0</v>
      </c>
      <c r="D36" s="26" t="s">
        <v>19</v>
      </c>
      <c r="E36" s="22"/>
      <c r="F36" s="22"/>
      <c r="G36" s="19"/>
      <c r="I36" s="20"/>
      <c r="K36" s="20"/>
      <c r="M36" s="20"/>
      <c r="O36" s="20"/>
      <c r="Q36" s="27">
        <f t="shared" si="1"/>
        <v>0</v>
      </c>
      <c r="R36" s="26">
        <f t="shared" si="2"/>
        <v>0</v>
      </c>
      <c r="S36" s="26">
        <f t="shared" si="3"/>
        <v>0</v>
      </c>
      <c r="T36" s="26">
        <f t="shared" si="4"/>
        <v>0</v>
      </c>
      <c r="U36" s="28">
        <f t="shared" si="5"/>
        <v>0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29" t="s">
        <v>25</v>
      </c>
      <c r="B37" s="30">
        <f t="shared" si="6"/>
        <v>46054</v>
      </c>
      <c r="C37" s="32">
        <v>2.0</v>
      </c>
      <c r="D37" s="32" t="s">
        <v>19</v>
      </c>
      <c r="E37" s="33"/>
      <c r="F37" s="33"/>
      <c r="G37" s="34"/>
      <c r="H37" s="6"/>
      <c r="I37" s="35"/>
      <c r="J37" s="6"/>
      <c r="K37" s="35"/>
      <c r="L37" s="6"/>
      <c r="M37" s="35"/>
      <c r="N37" s="6"/>
      <c r="O37" s="35"/>
      <c r="P37" s="6"/>
      <c r="Q37" s="36">
        <f t="shared" si="1"/>
        <v>0</v>
      </c>
      <c r="R37" s="32">
        <f t="shared" si="2"/>
        <v>0</v>
      </c>
      <c r="S37" s="32">
        <f t="shared" si="3"/>
        <v>0</v>
      </c>
      <c r="T37" s="32">
        <f t="shared" si="4"/>
        <v>0</v>
      </c>
      <c r="U37" s="37">
        <f t="shared" si="5"/>
        <v>0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14" t="s">
        <v>18</v>
      </c>
      <c r="B38" s="15">
        <f t="shared" si="6"/>
        <v>46055</v>
      </c>
      <c r="C38" s="17">
        <v>2.0</v>
      </c>
      <c r="D38" s="17" t="s">
        <v>26</v>
      </c>
      <c r="E38" s="18"/>
      <c r="F38" s="18"/>
      <c r="G38" s="19"/>
      <c r="I38" s="20"/>
      <c r="K38" s="20"/>
      <c r="M38" s="20"/>
      <c r="O38" s="20"/>
      <c r="Q38" s="21">
        <f t="shared" si="1"/>
        <v>0</v>
      </c>
      <c r="R38" s="17">
        <f t="shared" si="2"/>
        <v>0</v>
      </c>
      <c r="S38" s="17">
        <f t="shared" si="3"/>
        <v>0</v>
      </c>
      <c r="T38" s="17">
        <f t="shared" si="4"/>
        <v>0</v>
      </c>
      <c r="U38" s="38">
        <f t="shared" si="5"/>
        <v>0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23" t="s">
        <v>20</v>
      </c>
      <c r="B39" s="24">
        <f t="shared" si="6"/>
        <v>46056</v>
      </c>
      <c r="C39" s="26">
        <v>2.0</v>
      </c>
      <c r="D39" s="26" t="s">
        <v>26</v>
      </c>
      <c r="E39" s="22"/>
      <c r="F39" s="22"/>
      <c r="G39" s="19"/>
      <c r="I39" s="20"/>
      <c r="K39" s="20"/>
      <c r="M39" s="20"/>
      <c r="O39" s="20"/>
      <c r="Q39" s="27">
        <f t="shared" si="1"/>
        <v>0</v>
      </c>
      <c r="R39" s="26">
        <f t="shared" si="2"/>
        <v>0</v>
      </c>
      <c r="S39" s="26">
        <f t="shared" si="3"/>
        <v>0</v>
      </c>
      <c r="T39" s="26">
        <f t="shared" si="4"/>
        <v>0</v>
      </c>
      <c r="U39" s="28">
        <f t="shared" si="5"/>
        <v>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23" t="s">
        <v>21</v>
      </c>
      <c r="B40" s="24">
        <f t="shared" si="6"/>
        <v>46057</v>
      </c>
      <c r="C40" s="26">
        <v>2.0</v>
      </c>
      <c r="D40" s="26" t="s">
        <v>26</v>
      </c>
      <c r="E40" s="22"/>
      <c r="F40" s="22"/>
      <c r="G40" s="19"/>
      <c r="I40" s="20"/>
      <c r="K40" s="20"/>
      <c r="M40" s="20"/>
      <c r="O40" s="20"/>
      <c r="Q40" s="27">
        <f t="shared" si="1"/>
        <v>0</v>
      </c>
      <c r="R40" s="26">
        <f t="shared" si="2"/>
        <v>0</v>
      </c>
      <c r="S40" s="26">
        <f t="shared" si="3"/>
        <v>0</v>
      </c>
      <c r="T40" s="26">
        <f t="shared" si="4"/>
        <v>0</v>
      </c>
      <c r="U40" s="28">
        <f t="shared" si="5"/>
        <v>0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23" t="s">
        <v>22</v>
      </c>
      <c r="B41" s="24">
        <f t="shared" si="6"/>
        <v>46058</v>
      </c>
      <c r="C41" s="26">
        <v>2.0</v>
      </c>
      <c r="D41" s="26" t="s">
        <v>26</v>
      </c>
      <c r="E41" s="22"/>
      <c r="F41" s="22"/>
      <c r="G41" s="19"/>
      <c r="I41" s="20"/>
      <c r="K41" s="20"/>
      <c r="M41" s="20"/>
      <c r="O41" s="20"/>
      <c r="Q41" s="27">
        <f t="shared" si="1"/>
        <v>0</v>
      </c>
      <c r="R41" s="26">
        <f t="shared" si="2"/>
        <v>0</v>
      </c>
      <c r="S41" s="26">
        <f t="shared" si="3"/>
        <v>0</v>
      </c>
      <c r="T41" s="26">
        <f t="shared" si="4"/>
        <v>0</v>
      </c>
      <c r="U41" s="28">
        <f t="shared" si="5"/>
        <v>0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23" t="s">
        <v>23</v>
      </c>
      <c r="B42" s="24">
        <f t="shared" si="6"/>
        <v>46059</v>
      </c>
      <c r="C42" s="26">
        <v>2.0</v>
      </c>
      <c r="D42" s="26" t="s">
        <v>26</v>
      </c>
      <c r="E42" s="22"/>
      <c r="F42" s="22"/>
      <c r="G42" s="19"/>
      <c r="I42" s="20"/>
      <c r="K42" s="20"/>
      <c r="M42" s="20"/>
      <c r="O42" s="20"/>
      <c r="Q42" s="27">
        <f t="shared" si="1"/>
        <v>0</v>
      </c>
      <c r="R42" s="26">
        <f t="shared" si="2"/>
        <v>0</v>
      </c>
      <c r="S42" s="26">
        <f t="shared" si="3"/>
        <v>0</v>
      </c>
      <c r="T42" s="26">
        <f t="shared" si="4"/>
        <v>0</v>
      </c>
      <c r="U42" s="28">
        <f t="shared" si="5"/>
        <v>0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23" t="s">
        <v>24</v>
      </c>
      <c r="B43" s="24">
        <f t="shared" si="6"/>
        <v>46060</v>
      </c>
      <c r="C43" s="26">
        <v>2.0</v>
      </c>
      <c r="D43" s="26" t="s">
        <v>26</v>
      </c>
      <c r="E43" s="22"/>
      <c r="F43" s="22"/>
      <c r="G43" s="19"/>
      <c r="I43" s="20"/>
      <c r="K43" s="20"/>
      <c r="M43" s="20"/>
      <c r="O43" s="20"/>
      <c r="Q43" s="27">
        <f t="shared" si="1"/>
        <v>0</v>
      </c>
      <c r="R43" s="26">
        <f t="shared" si="2"/>
        <v>0</v>
      </c>
      <c r="S43" s="26">
        <f t="shared" si="3"/>
        <v>0</v>
      </c>
      <c r="T43" s="26">
        <f t="shared" si="4"/>
        <v>0</v>
      </c>
      <c r="U43" s="28">
        <f t="shared" si="5"/>
        <v>0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29" t="s">
        <v>25</v>
      </c>
      <c r="B44" s="30">
        <f t="shared" si="6"/>
        <v>46061</v>
      </c>
      <c r="C44" s="32">
        <v>2.0</v>
      </c>
      <c r="D44" s="32" t="s">
        <v>26</v>
      </c>
      <c r="E44" s="33"/>
      <c r="F44" s="33"/>
      <c r="G44" s="34"/>
      <c r="H44" s="6"/>
      <c r="I44" s="35"/>
      <c r="J44" s="6"/>
      <c r="K44" s="35"/>
      <c r="L44" s="6"/>
      <c r="M44" s="35"/>
      <c r="N44" s="6"/>
      <c r="O44" s="35"/>
      <c r="P44" s="6"/>
      <c r="Q44" s="36">
        <f t="shared" si="1"/>
        <v>0</v>
      </c>
      <c r="R44" s="32">
        <f t="shared" si="2"/>
        <v>0</v>
      </c>
      <c r="S44" s="32">
        <f t="shared" si="3"/>
        <v>0</v>
      </c>
      <c r="T44" s="32">
        <f t="shared" si="4"/>
        <v>0</v>
      </c>
      <c r="U44" s="37">
        <f t="shared" si="5"/>
        <v>0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14" t="s">
        <v>18</v>
      </c>
      <c r="B45" s="15">
        <f t="shared" si="6"/>
        <v>46062</v>
      </c>
      <c r="C45" s="17">
        <v>2.0</v>
      </c>
      <c r="D45" s="17" t="s">
        <v>27</v>
      </c>
      <c r="E45" s="18"/>
      <c r="F45" s="18"/>
      <c r="G45" s="19"/>
      <c r="I45" s="20"/>
      <c r="K45" s="20"/>
      <c r="M45" s="20"/>
      <c r="O45" s="20"/>
      <c r="Q45" s="21">
        <f t="shared" si="1"/>
        <v>0</v>
      </c>
      <c r="R45" s="17">
        <f t="shared" si="2"/>
        <v>0</v>
      </c>
      <c r="S45" s="17">
        <f t="shared" si="3"/>
        <v>0</v>
      </c>
      <c r="T45" s="17">
        <f t="shared" si="4"/>
        <v>0</v>
      </c>
      <c r="U45" s="38">
        <f t="shared" si="5"/>
        <v>0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23" t="s">
        <v>20</v>
      </c>
      <c r="B46" s="24">
        <f t="shared" si="6"/>
        <v>46063</v>
      </c>
      <c r="C46" s="26">
        <v>2.0</v>
      </c>
      <c r="D46" s="26" t="s">
        <v>27</v>
      </c>
      <c r="E46" s="22"/>
      <c r="F46" s="22"/>
      <c r="G46" s="19"/>
      <c r="I46" s="20"/>
      <c r="K46" s="20"/>
      <c r="M46" s="20"/>
      <c r="O46" s="20"/>
      <c r="Q46" s="27">
        <f t="shared" si="1"/>
        <v>0</v>
      </c>
      <c r="R46" s="26">
        <f t="shared" si="2"/>
        <v>0</v>
      </c>
      <c r="S46" s="26">
        <f t="shared" si="3"/>
        <v>0</v>
      </c>
      <c r="T46" s="26">
        <f t="shared" si="4"/>
        <v>0</v>
      </c>
      <c r="U46" s="28">
        <f t="shared" si="5"/>
        <v>0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23" t="s">
        <v>21</v>
      </c>
      <c r="B47" s="24">
        <f t="shared" si="6"/>
        <v>46064</v>
      </c>
      <c r="C47" s="26">
        <v>2.0</v>
      </c>
      <c r="D47" s="26" t="s">
        <v>27</v>
      </c>
      <c r="E47" s="22"/>
      <c r="F47" s="22"/>
      <c r="G47" s="19"/>
      <c r="I47" s="20"/>
      <c r="K47" s="20"/>
      <c r="M47" s="20"/>
      <c r="O47" s="20"/>
      <c r="Q47" s="27">
        <f t="shared" si="1"/>
        <v>0</v>
      </c>
      <c r="R47" s="26">
        <f t="shared" si="2"/>
        <v>0</v>
      </c>
      <c r="S47" s="26">
        <f t="shared" si="3"/>
        <v>0</v>
      </c>
      <c r="T47" s="26">
        <f t="shared" si="4"/>
        <v>0</v>
      </c>
      <c r="U47" s="28">
        <f t="shared" si="5"/>
        <v>0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23" t="s">
        <v>22</v>
      </c>
      <c r="B48" s="24">
        <f t="shared" si="6"/>
        <v>46065</v>
      </c>
      <c r="C48" s="26">
        <v>2.0</v>
      </c>
      <c r="D48" s="26" t="s">
        <v>27</v>
      </c>
      <c r="E48" s="22"/>
      <c r="F48" s="22"/>
      <c r="G48" s="19"/>
      <c r="I48" s="20"/>
      <c r="K48" s="20"/>
      <c r="M48" s="20"/>
      <c r="O48" s="20"/>
      <c r="Q48" s="27">
        <f t="shared" si="1"/>
        <v>0</v>
      </c>
      <c r="R48" s="26">
        <f t="shared" si="2"/>
        <v>0</v>
      </c>
      <c r="S48" s="26">
        <f t="shared" si="3"/>
        <v>0</v>
      </c>
      <c r="T48" s="26">
        <f t="shared" si="4"/>
        <v>0</v>
      </c>
      <c r="U48" s="28">
        <f t="shared" si="5"/>
        <v>0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23" t="s">
        <v>23</v>
      </c>
      <c r="B49" s="24">
        <f t="shared" si="6"/>
        <v>46066</v>
      </c>
      <c r="C49" s="26">
        <v>2.0</v>
      </c>
      <c r="D49" s="26" t="s">
        <v>27</v>
      </c>
      <c r="E49" s="22"/>
      <c r="F49" s="22"/>
      <c r="G49" s="19"/>
      <c r="I49" s="20"/>
      <c r="K49" s="20"/>
      <c r="M49" s="20"/>
      <c r="O49" s="20"/>
      <c r="Q49" s="27">
        <f t="shared" si="1"/>
        <v>0</v>
      </c>
      <c r="R49" s="26">
        <f t="shared" si="2"/>
        <v>0</v>
      </c>
      <c r="S49" s="26">
        <f t="shared" si="3"/>
        <v>0</v>
      </c>
      <c r="T49" s="26">
        <f t="shared" si="4"/>
        <v>0</v>
      </c>
      <c r="U49" s="28">
        <f t="shared" si="5"/>
        <v>0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23" t="s">
        <v>24</v>
      </c>
      <c r="B50" s="24">
        <f t="shared" si="6"/>
        <v>46067</v>
      </c>
      <c r="C50" s="26">
        <v>2.0</v>
      </c>
      <c r="D50" s="26" t="s">
        <v>27</v>
      </c>
      <c r="E50" s="22"/>
      <c r="F50" s="22"/>
      <c r="G50" s="19"/>
      <c r="I50" s="20"/>
      <c r="K50" s="20"/>
      <c r="M50" s="20"/>
      <c r="O50" s="20"/>
      <c r="Q50" s="27">
        <f t="shared" si="1"/>
        <v>0</v>
      </c>
      <c r="R50" s="26">
        <f t="shared" si="2"/>
        <v>0</v>
      </c>
      <c r="S50" s="26">
        <f t="shared" si="3"/>
        <v>0</v>
      </c>
      <c r="T50" s="26">
        <f t="shared" si="4"/>
        <v>0</v>
      </c>
      <c r="U50" s="28">
        <f t="shared" si="5"/>
        <v>0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29" t="s">
        <v>25</v>
      </c>
      <c r="B51" s="30">
        <f t="shared" si="6"/>
        <v>46068</v>
      </c>
      <c r="C51" s="32">
        <v>2.0</v>
      </c>
      <c r="D51" s="32" t="s">
        <v>27</v>
      </c>
      <c r="E51" s="33"/>
      <c r="F51" s="33"/>
      <c r="G51" s="34"/>
      <c r="H51" s="6"/>
      <c r="I51" s="35"/>
      <c r="J51" s="6"/>
      <c r="K51" s="35"/>
      <c r="L51" s="6"/>
      <c r="M51" s="35"/>
      <c r="N51" s="6"/>
      <c r="O51" s="35"/>
      <c r="P51" s="6"/>
      <c r="Q51" s="36">
        <f t="shared" si="1"/>
        <v>0</v>
      </c>
      <c r="R51" s="32">
        <f t="shared" si="2"/>
        <v>0</v>
      </c>
      <c r="S51" s="32">
        <f t="shared" si="3"/>
        <v>0</v>
      </c>
      <c r="T51" s="32">
        <f t="shared" si="4"/>
        <v>0</v>
      </c>
      <c r="U51" s="37">
        <f t="shared" si="5"/>
        <v>0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14" t="s">
        <v>18</v>
      </c>
      <c r="B52" s="15">
        <f t="shared" si="6"/>
        <v>46069</v>
      </c>
      <c r="C52" s="17">
        <v>2.0</v>
      </c>
      <c r="D52" s="17" t="s">
        <v>28</v>
      </c>
      <c r="E52" s="18"/>
      <c r="F52" s="18"/>
      <c r="G52" s="19"/>
      <c r="I52" s="20"/>
      <c r="K52" s="20"/>
      <c r="M52" s="20"/>
      <c r="O52" s="20"/>
      <c r="Q52" s="21">
        <f t="shared" si="1"/>
        <v>0</v>
      </c>
      <c r="R52" s="17">
        <f t="shared" si="2"/>
        <v>0</v>
      </c>
      <c r="S52" s="17">
        <f t="shared" si="3"/>
        <v>0</v>
      </c>
      <c r="T52" s="17">
        <f t="shared" si="4"/>
        <v>0</v>
      </c>
      <c r="U52" s="38">
        <f t="shared" si="5"/>
        <v>0</v>
      </c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23" t="s">
        <v>20</v>
      </c>
      <c r="B53" s="24">
        <f t="shared" si="6"/>
        <v>46070</v>
      </c>
      <c r="C53" s="26">
        <v>2.0</v>
      </c>
      <c r="D53" s="26" t="s">
        <v>28</v>
      </c>
      <c r="E53" s="22"/>
      <c r="F53" s="22"/>
      <c r="G53" s="19"/>
      <c r="I53" s="20"/>
      <c r="K53" s="20"/>
      <c r="M53" s="20"/>
      <c r="O53" s="20"/>
      <c r="Q53" s="27">
        <f t="shared" si="1"/>
        <v>0</v>
      </c>
      <c r="R53" s="26">
        <f t="shared" si="2"/>
        <v>0</v>
      </c>
      <c r="S53" s="26">
        <f t="shared" si="3"/>
        <v>0</v>
      </c>
      <c r="T53" s="26">
        <f t="shared" si="4"/>
        <v>0</v>
      </c>
      <c r="U53" s="28">
        <f t="shared" si="5"/>
        <v>0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23" t="s">
        <v>21</v>
      </c>
      <c r="B54" s="24">
        <f t="shared" si="6"/>
        <v>46071</v>
      </c>
      <c r="C54" s="26">
        <v>2.0</v>
      </c>
      <c r="D54" s="26" t="s">
        <v>28</v>
      </c>
      <c r="E54" s="22"/>
      <c r="F54" s="22"/>
      <c r="G54" s="19"/>
      <c r="I54" s="20"/>
      <c r="K54" s="20"/>
      <c r="M54" s="20"/>
      <c r="O54" s="20"/>
      <c r="Q54" s="27">
        <f t="shared" si="1"/>
        <v>0</v>
      </c>
      <c r="R54" s="26">
        <f t="shared" si="2"/>
        <v>0</v>
      </c>
      <c r="S54" s="26">
        <f t="shared" si="3"/>
        <v>0</v>
      </c>
      <c r="T54" s="26">
        <f t="shared" si="4"/>
        <v>0</v>
      </c>
      <c r="U54" s="28">
        <f t="shared" si="5"/>
        <v>0</v>
      </c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23" t="s">
        <v>22</v>
      </c>
      <c r="B55" s="24">
        <f t="shared" si="6"/>
        <v>46072</v>
      </c>
      <c r="C55" s="26">
        <v>2.0</v>
      </c>
      <c r="D55" s="26" t="s">
        <v>28</v>
      </c>
      <c r="E55" s="22"/>
      <c r="F55" s="22"/>
      <c r="G55" s="19"/>
      <c r="I55" s="20"/>
      <c r="K55" s="20"/>
      <c r="M55" s="20"/>
      <c r="O55" s="20"/>
      <c r="Q55" s="27">
        <f t="shared" si="1"/>
        <v>0</v>
      </c>
      <c r="R55" s="26">
        <f t="shared" si="2"/>
        <v>0</v>
      </c>
      <c r="S55" s="26">
        <f t="shared" si="3"/>
        <v>0</v>
      </c>
      <c r="T55" s="26">
        <f t="shared" si="4"/>
        <v>0</v>
      </c>
      <c r="U55" s="28">
        <f t="shared" si="5"/>
        <v>0</v>
      </c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23" t="s">
        <v>23</v>
      </c>
      <c r="B56" s="24">
        <f t="shared" si="6"/>
        <v>46073</v>
      </c>
      <c r="C56" s="26">
        <v>2.0</v>
      </c>
      <c r="D56" s="26" t="s">
        <v>28</v>
      </c>
      <c r="E56" s="22"/>
      <c r="F56" s="22"/>
      <c r="G56" s="19"/>
      <c r="I56" s="20"/>
      <c r="K56" s="20"/>
      <c r="M56" s="20"/>
      <c r="O56" s="20"/>
      <c r="Q56" s="27">
        <f t="shared" si="1"/>
        <v>0</v>
      </c>
      <c r="R56" s="26">
        <f t="shared" si="2"/>
        <v>0</v>
      </c>
      <c r="S56" s="26">
        <f t="shared" si="3"/>
        <v>0</v>
      </c>
      <c r="T56" s="26">
        <f t="shared" si="4"/>
        <v>0</v>
      </c>
      <c r="U56" s="28">
        <f t="shared" si="5"/>
        <v>0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23" t="s">
        <v>24</v>
      </c>
      <c r="B57" s="24">
        <f t="shared" si="6"/>
        <v>46074</v>
      </c>
      <c r="C57" s="26">
        <v>2.0</v>
      </c>
      <c r="D57" s="26" t="s">
        <v>28</v>
      </c>
      <c r="E57" s="22"/>
      <c r="F57" s="22"/>
      <c r="G57" s="19"/>
      <c r="I57" s="20"/>
      <c r="K57" s="20"/>
      <c r="M57" s="20"/>
      <c r="O57" s="20"/>
      <c r="Q57" s="27">
        <f t="shared" si="1"/>
        <v>0</v>
      </c>
      <c r="R57" s="26">
        <f t="shared" si="2"/>
        <v>0</v>
      </c>
      <c r="S57" s="26">
        <f t="shared" si="3"/>
        <v>0</v>
      </c>
      <c r="T57" s="26">
        <f t="shared" si="4"/>
        <v>0</v>
      </c>
      <c r="U57" s="28">
        <f t="shared" si="5"/>
        <v>0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29" t="s">
        <v>25</v>
      </c>
      <c r="B58" s="30">
        <f t="shared" si="6"/>
        <v>46075</v>
      </c>
      <c r="C58" s="32">
        <v>2.0</v>
      </c>
      <c r="D58" s="32" t="s">
        <v>28</v>
      </c>
      <c r="E58" s="33"/>
      <c r="F58" s="33"/>
      <c r="G58" s="34"/>
      <c r="H58" s="6"/>
      <c r="I58" s="35"/>
      <c r="J58" s="6"/>
      <c r="K58" s="35"/>
      <c r="L58" s="6"/>
      <c r="M58" s="35"/>
      <c r="N58" s="6"/>
      <c r="O58" s="35"/>
      <c r="P58" s="6"/>
      <c r="Q58" s="36">
        <f t="shared" si="1"/>
        <v>0</v>
      </c>
      <c r="R58" s="32">
        <f t="shared" si="2"/>
        <v>0</v>
      </c>
      <c r="S58" s="32">
        <f t="shared" si="3"/>
        <v>0</v>
      </c>
      <c r="T58" s="32">
        <f t="shared" si="4"/>
        <v>0</v>
      </c>
      <c r="U58" s="37">
        <f t="shared" si="5"/>
        <v>0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14" t="s">
        <v>18</v>
      </c>
      <c r="B59" s="15">
        <f t="shared" si="6"/>
        <v>46076</v>
      </c>
      <c r="C59" s="17">
        <v>3.0</v>
      </c>
      <c r="D59" s="17" t="s">
        <v>19</v>
      </c>
      <c r="E59" s="18"/>
      <c r="F59" s="18"/>
      <c r="G59" s="19"/>
      <c r="I59" s="20"/>
      <c r="K59" s="20"/>
      <c r="M59" s="20"/>
      <c r="O59" s="20"/>
      <c r="Q59" s="21">
        <f t="shared" si="1"/>
        <v>0</v>
      </c>
      <c r="R59" s="17">
        <f t="shared" si="2"/>
        <v>0</v>
      </c>
      <c r="S59" s="17">
        <f t="shared" si="3"/>
        <v>0</v>
      </c>
      <c r="T59" s="17">
        <f t="shared" si="4"/>
        <v>0</v>
      </c>
      <c r="U59" s="38">
        <f t="shared" si="5"/>
        <v>0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23" t="s">
        <v>20</v>
      </c>
      <c r="B60" s="24">
        <f t="shared" si="6"/>
        <v>46077</v>
      </c>
      <c r="C60" s="26">
        <v>3.0</v>
      </c>
      <c r="D60" s="26" t="s">
        <v>19</v>
      </c>
      <c r="E60" s="22"/>
      <c r="F60" s="22"/>
      <c r="G60" s="19"/>
      <c r="I60" s="20"/>
      <c r="K60" s="20"/>
      <c r="M60" s="20"/>
      <c r="O60" s="20"/>
      <c r="Q60" s="27">
        <f t="shared" si="1"/>
        <v>0</v>
      </c>
      <c r="R60" s="26">
        <f t="shared" si="2"/>
        <v>0</v>
      </c>
      <c r="S60" s="26">
        <f t="shared" si="3"/>
        <v>0</v>
      </c>
      <c r="T60" s="26">
        <f t="shared" si="4"/>
        <v>0</v>
      </c>
      <c r="U60" s="28">
        <f t="shared" si="5"/>
        <v>0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23" t="s">
        <v>21</v>
      </c>
      <c r="B61" s="24">
        <f t="shared" si="6"/>
        <v>46078</v>
      </c>
      <c r="C61" s="26">
        <v>3.0</v>
      </c>
      <c r="D61" s="26" t="s">
        <v>19</v>
      </c>
      <c r="E61" s="22"/>
      <c r="F61" s="22"/>
      <c r="G61" s="19"/>
      <c r="I61" s="20"/>
      <c r="K61" s="20"/>
      <c r="M61" s="20"/>
      <c r="O61" s="20"/>
      <c r="Q61" s="27">
        <f t="shared" si="1"/>
        <v>0</v>
      </c>
      <c r="R61" s="26">
        <f t="shared" si="2"/>
        <v>0</v>
      </c>
      <c r="S61" s="26">
        <f t="shared" si="3"/>
        <v>0</v>
      </c>
      <c r="T61" s="26">
        <f t="shared" si="4"/>
        <v>0</v>
      </c>
      <c r="U61" s="28">
        <f t="shared" si="5"/>
        <v>0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23" t="s">
        <v>22</v>
      </c>
      <c r="B62" s="24">
        <f t="shared" si="6"/>
        <v>46079</v>
      </c>
      <c r="C62" s="26">
        <v>3.0</v>
      </c>
      <c r="D62" s="26" t="s">
        <v>19</v>
      </c>
      <c r="E62" s="22"/>
      <c r="F62" s="22"/>
      <c r="G62" s="19"/>
      <c r="I62" s="20"/>
      <c r="K62" s="20"/>
      <c r="M62" s="20"/>
      <c r="O62" s="20"/>
      <c r="Q62" s="27">
        <f t="shared" si="1"/>
        <v>0</v>
      </c>
      <c r="R62" s="26">
        <f t="shared" si="2"/>
        <v>0</v>
      </c>
      <c r="S62" s="26">
        <f t="shared" si="3"/>
        <v>0</v>
      </c>
      <c r="T62" s="26">
        <f t="shared" si="4"/>
        <v>0</v>
      </c>
      <c r="U62" s="28">
        <f t="shared" si="5"/>
        <v>0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23" t="s">
        <v>23</v>
      </c>
      <c r="B63" s="24">
        <f t="shared" si="6"/>
        <v>46080</v>
      </c>
      <c r="C63" s="26">
        <v>3.0</v>
      </c>
      <c r="D63" s="26" t="s">
        <v>19</v>
      </c>
      <c r="E63" s="22"/>
      <c r="F63" s="22"/>
      <c r="G63" s="19"/>
      <c r="I63" s="20"/>
      <c r="K63" s="20"/>
      <c r="M63" s="20"/>
      <c r="O63" s="20"/>
      <c r="Q63" s="27">
        <f t="shared" si="1"/>
        <v>0</v>
      </c>
      <c r="R63" s="26">
        <f t="shared" si="2"/>
        <v>0</v>
      </c>
      <c r="S63" s="26">
        <f t="shared" si="3"/>
        <v>0</v>
      </c>
      <c r="T63" s="26">
        <f t="shared" si="4"/>
        <v>0</v>
      </c>
      <c r="U63" s="28">
        <f t="shared" si="5"/>
        <v>0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23" t="s">
        <v>24</v>
      </c>
      <c r="B64" s="24">
        <f t="shared" si="6"/>
        <v>46081</v>
      </c>
      <c r="C64" s="26">
        <v>3.0</v>
      </c>
      <c r="D64" s="26" t="s">
        <v>19</v>
      </c>
      <c r="E64" s="22"/>
      <c r="F64" s="22"/>
      <c r="G64" s="19"/>
      <c r="I64" s="20"/>
      <c r="K64" s="20"/>
      <c r="M64" s="20"/>
      <c r="O64" s="20"/>
      <c r="Q64" s="27">
        <f t="shared" si="1"/>
        <v>0</v>
      </c>
      <c r="R64" s="26">
        <f t="shared" si="2"/>
        <v>0</v>
      </c>
      <c r="S64" s="26">
        <f t="shared" si="3"/>
        <v>0</v>
      </c>
      <c r="T64" s="26">
        <f t="shared" si="4"/>
        <v>0</v>
      </c>
      <c r="U64" s="28">
        <f t="shared" si="5"/>
        <v>0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29" t="s">
        <v>25</v>
      </c>
      <c r="B65" s="30">
        <f t="shared" si="6"/>
        <v>46082</v>
      </c>
      <c r="C65" s="32">
        <v>3.0</v>
      </c>
      <c r="D65" s="32" t="s">
        <v>19</v>
      </c>
      <c r="E65" s="33"/>
      <c r="F65" s="33"/>
      <c r="G65" s="34"/>
      <c r="H65" s="6"/>
      <c r="I65" s="35"/>
      <c r="J65" s="6"/>
      <c r="K65" s="35"/>
      <c r="L65" s="6"/>
      <c r="M65" s="35"/>
      <c r="N65" s="6"/>
      <c r="O65" s="35"/>
      <c r="P65" s="6"/>
      <c r="Q65" s="36">
        <f t="shared" si="1"/>
        <v>0</v>
      </c>
      <c r="R65" s="32">
        <f t="shared" si="2"/>
        <v>0</v>
      </c>
      <c r="S65" s="32">
        <f t="shared" si="3"/>
        <v>0</v>
      </c>
      <c r="T65" s="32">
        <f t="shared" si="4"/>
        <v>0</v>
      </c>
      <c r="U65" s="37">
        <f t="shared" si="5"/>
        <v>0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14" t="s">
        <v>18</v>
      </c>
      <c r="B66" s="15">
        <f t="shared" si="6"/>
        <v>46083</v>
      </c>
      <c r="C66" s="17">
        <v>3.0</v>
      </c>
      <c r="D66" s="17" t="s">
        <v>26</v>
      </c>
      <c r="E66" s="18"/>
      <c r="F66" s="18"/>
      <c r="G66" s="19"/>
      <c r="I66" s="20"/>
      <c r="K66" s="20"/>
      <c r="M66" s="20"/>
      <c r="O66" s="20"/>
      <c r="Q66" s="21">
        <f t="shared" si="1"/>
        <v>0</v>
      </c>
      <c r="R66" s="17">
        <f t="shared" si="2"/>
        <v>0</v>
      </c>
      <c r="S66" s="17">
        <f t="shared" si="3"/>
        <v>0</v>
      </c>
      <c r="T66" s="17">
        <f t="shared" si="4"/>
        <v>0</v>
      </c>
      <c r="U66" s="38">
        <f t="shared" si="5"/>
        <v>0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23" t="s">
        <v>20</v>
      </c>
      <c r="B67" s="24">
        <f t="shared" si="6"/>
        <v>46084</v>
      </c>
      <c r="C67" s="26">
        <v>3.0</v>
      </c>
      <c r="D67" s="26" t="s">
        <v>26</v>
      </c>
      <c r="E67" s="22"/>
      <c r="F67" s="22"/>
      <c r="G67" s="19"/>
      <c r="I67" s="20"/>
      <c r="K67" s="20"/>
      <c r="M67" s="20"/>
      <c r="O67" s="20"/>
      <c r="Q67" s="27">
        <f t="shared" si="1"/>
        <v>0</v>
      </c>
      <c r="R67" s="26">
        <f t="shared" si="2"/>
        <v>0</v>
      </c>
      <c r="S67" s="26">
        <f t="shared" si="3"/>
        <v>0</v>
      </c>
      <c r="T67" s="26">
        <f t="shared" si="4"/>
        <v>0</v>
      </c>
      <c r="U67" s="28">
        <f t="shared" si="5"/>
        <v>0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23" t="s">
        <v>21</v>
      </c>
      <c r="B68" s="24">
        <f t="shared" si="6"/>
        <v>46085</v>
      </c>
      <c r="C68" s="26">
        <v>3.0</v>
      </c>
      <c r="D68" s="26" t="s">
        <v>26</v>
      </c>
      <c r="E68" s="22"/>
      <c r="F68" s="22"/>
      <c r="G68" s="19"/>
      <c r="I68" s="20"/>
      <c r="K68" s="20"/>
      <c r="M68" s="20"/>
      <c r="O68" s="20"/>
      <c r="Q68" s="27">
        <f t="shared" si="1"/>
        <v>0</v>
      </c>
      <c r="R68" s="26">
        <f t="shared" si="2"/>
        <v>0</v>
      </c>
      <c r="S68" s="26">
        <f t="shared" si="3"/>
        <v>0</v>
      </c>
      <c r="T68" s="26">
        <f t="shared" si="4"/>
        <v>0</v>
      </c>
      <c r="U68" s="28">
        <f t="shared" si="5"/>
        <v>0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23" t="s">
        <v>22</v>
      </c>
      <c r="B69" s="24">
        <f t="shared" si="6"/>
        <v>46086</v>
      </c>
      <c r="C69" s="26">
        <v>3.0</v>
      </c>
      <c r="D69" s="26" t="s">
        <v>26</v>
      </c>
      <c r="E69" s="22"/>
      <c r="F69" s="22"/>
      <c r="G69" s="19"/>
      <c r="I69" s="20"/>
      <c r="K69" s="20"/>
      <c r="M69" s="20"/>
      <c r="O69" s="20"/>
      <c r="Q69" s="27">
        <f t="shared" si="1"/>
        <v>0</v>
      </c>
      <c r="R69" s="26">
        <f t="shared" si="2"/>
        <v>0</v>
      </c>
      <c r="S69" s="26">
        <f t="shared" si="3"/>
        <v>0</v>
      </c>
      <c r="T69" s="26">
        <f t="shared" si="4"/>
        <v>0</v>
      </c>
      <c r="U69" s="28">
        <f t="shared" si="5"/>
        <v>0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23" t="s">
        <v>23</v>
      </c>
      <c r="B70" s="24">
        <f t="shared" si="6"/>
        <v>46087</v>
      </c>
      <c r="C70" s="26">
        <v>3.0</v>
      </c>
      <c r="D70" s="26" t="s">
        <v>26</v>
      </c>
      <c r="E70" s="22"/>
      <c r="F70" s="22"/>
      <c r="G70" s="19"/>
      <c r="I70" s="20"/>
      <c r="K70" s="20"/>
      <c r="M70" s="20"/>
      <c r="O70" s="20"/>
      <c r="Q70" s="27">
        <f t="shared" si="1"/>
        <v>0</v>
      </c>
      <c r="R70" s="26">
        <f t="shared" si="2"/>
        <v>0</v>
      </c>
      <c r="S70" s="26">
        <f t="shared" si="3"/>
        <v>0</v>
      </c>
      <c r="T70" s="26">
        <f t="shared" si="4"/>
        <v>0</v>
      </c>
      <c r="U70" s="28">
        <f t="shared" si="5"/>
        <v>0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23" t="s">
        <v>24</v>
      </c>
      <c r="B71" s="24">
        <f t="shared" si="6"/>
        <v>46088</v>
      </c>
      <c r="C71" s="26">
        <v>3.0</v>
      </c>
      <c r="D71" s="26" t="s">
        <v>26</v>
      </c>
      <c r="E71" s="22"/>
      <c r="F71" s="22"/>
      <c r="G71" s="19"/>
      <c r="I71" s="20"/>
      <c r="K71" s="20"/>
      <c r="M71" s="20"/>
      <c r="O71" s="20"/>
      <c r="Q71" s="27">
        <f t="shared" si="1"/>
        <v>0</v>
      </c>
      <c r="R71" s="26">
        <f t="shared" si="2"/>
        <v>0</v>
      </c>
      <c r="S71" s="26">
        <f t="shared" si="3"/>
        <v>0</v>
      </c>
      <c r="T71" s="26">
        <f t="shared" si="4"/>
        <v>0</v>
      </c>
      <c r="U71" s="28">
        <f t="shared" si="5"/>
        <v>0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29" t="s">
        <v>25</v>
      </c>
      <c r="B72" s="30">
        <f t="shared" si="6"/>
        <v>46089</v>
      </c>
      <c r="C72" s="32">
        <v>3.0</v>
      </c>
      <c r="D72" s="32" t="s">
        <v>26</v>
      </c>
      <c r="E72" s="33"/>
      <c r="F72" s="33"/>
      <c r="G72" s="34"/>
      <c r="H72" s="6"/>
      <c r="I72" s="35"/>
      <c r="J72" s="6"/>
      <c r="K72" s="35"/>
      <c r="L72" s="6"/>
      <c r="M72" s="35"/>
      <c r="N72" s="6"/>
      <c r="O72" s="35"/>
      <c r="P72" s="6"/>
      <c r="Q72" s="36">
        <f t="shared" si="1"/>
        <v>0</v>
      </c>
      <c r="R72" s="32">
        <f t="shared" si="2"/>
        <v>0</v>
      </c>
      <c r="S72" s="32">
        <f t="shared" si="3"/>
        <v>0</v>
      </c>
      <c r="T72" s="32">
        <f t="shared" si="4"/>
        <v>0</v>
      </c>
      <c r="U72" s="37">
        <f t="shared" si="5"/>
        <v>0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14" t="s">
        <v>18</v>
      </c>
      <c r="B73" s="15">
        <f t="shared" si="6"/>
        <v>46090</v>
      </c>
      <c r="C73" s="17">
        <v>3.0</v>
      </c>
      <c r="D73" s="17" t="s">
        <v>27</v>
      </c>
      <c r="E73" s="18"/>
      <c r="F73" s="18"/>
      <c r="G73" s="19"/>
      <c r="I73" s="20"/>
      <c r="K73" s="20"/>
      <c r="M73" s="20"/>
      <c r="O73" s="20"/>
      <c r="Q73" s="21">
        <f t="shared" si="1"/>
        <v>0</v>
      </c>
      <c r="R73" s="17">
        <f t="shared" si="2"/>
        <v>0</v>
      </c>
      <c r="S73" s="17">
        <f t="shared" si="3"/>
        <v>0</v>
      </c>
      <c r="T73" s="17">
        <f t="shared" si="4"/>
        <v>0</v>
      </c>
      <c r="U73" s="38">
        <f t="shared" si="5"/>
        <v>0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23" t="s">
        <v>20</v>
      </c>
      <c r="B74" s="24">
        <f t="shared" si="6"/>
        <v>46091</v>
      </c>
      <c r="C74" s="26">
        <v>3.0</v>
      </c>
      <c r="D74" s="26" t="s">
        <v>27</v>
      </c>
      <c r="E74" s="22"/>
      <c r="F74" s="22"/>
      <c r="G74" s="19"/>
      <c r="I74" s="20"/>
      <c r="K74" s="20"/>
      <c r="M74" s="20"/>
      <c r="O74" s="20"/>
      <c r="Q74" s="27">
        <f t="shared" si="1"/>
        <v>0</v>
      </c>
      <c r="R74" s="26">
        <f t="shared" si="2"/>
        <v>0</v>
      </c>
      <c r="S74" s="26">
        <f t="shared" si="3"/>
        <v>0</v>
      </c>
      <c r="T74" s="26">
        <f t="shared" si="4"/>
        <v>0</v>
      </c>
      <c r="U74" s="28">
        <f t="shared" si="5"/>
        <v>0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23" t="s">
        <v>21</v>
      </c>
      <c r="B75" s="24">
        <f t="shared" si="6"/>
        <v>46092</v>
      </c>
      <c r="C75" s="26">
        <v>3.0</v>
      </c>
      <c r="D75" s="26" t="s">
        <v>27</v>
      </c>
      <c r="E75" s="22"/>
      <c r="F75" s="22"/>
      <c r="G75" s="19"/>
      <c r="I75" s="20"/>
      <c r="K75" s="20"/>
      <c r="M75" s="20"/>
      <c r="O75" s="20"/>
      <c r="Q75" s="27">
        <f t="shared" si="1"/>
        <v>0</v>
      </c>
      <c r="R75" s="26">
        <f t="shared" si="2"/>
        <v>0</v>
      </c>
      <c r="S75" s="26">
        <f t="shared" si="3"/>
        <v>0</v>
      </c>
      <c r="T75" s="26">
        <f t="shared" si="4"/>
        <v>0</v>
      </c>
      <c r="U75" s="28">
        <f t="shared" si="5"/>
        <v>0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23" t="s">
        <v>22</v>
      </c>
      <c r="B76" s="24">
        <f t="shared" si="6"/>
        <v>46093</v>
      </c>
      <c r="C76" s="26">
        <v>3.0</v>
      </c>
      <c r="D76" s="26" t="s">
        <v>27</v>
      </c>
      <c r="E76" s="22"/>
      <c r="F76" s="22"/>
      <c r="G76" s="19"/>
      <c r="I76" s="20"/>
      <c r="K76" s="20"/>
      <c r="M76" s="20"/>
      <c r="O76" s="20"/>
      <c r="Q76" s="27">
        <f t="shared" si="1"/>
        <v>0</v>
      </c>
      <c r="R76" s="26">
        <f t="shared" si="2"/>
        <v>0</v>
      </c>
      <c r="S76" s="26">
        <f t="shared" si="3"/>
        <v>0</v>
      </c>
      <c r="T76" s="26">
        <f t="shared" si="4"/>
        <v>0</v>
      </c>
      <c r="U76" s="28">
        <f t="shared" si="5"/>
        <v>0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23" t="s">
        <v>23</v>
      </c>
      <c r="B77" s="24">
        <f t="shared" si="6"/>
        <v>46094</v>
      </c>
      <c r="C77" s="26">
        <v>3.0</v>
      </c>
      <c r="D77" s="26" t="s">
        <v>27</v>
      </c>
      <c r="E77" s="22"/>
      <c r="F77" s="22"/>
      <c r="G77" s="19"/>
      <c r="I77" s="20"/>
      <c r="K77" s="20"/>
      <c r="M77" s="20"/>
      <c r="O77" s="20"/>
      <c r="Q77" s="27">
        <f t="shared" si="1"/>
        <v>0</v>
      </c>
      <c r="R77" s="26">
        <f t="shared" si="2"/>
        <v>0</v>
      </c>
      <c r="S77" s="26">
        <f t="shared" si="3"/>
        <v>0</v>
      </c>
      <c r="T77" s="26">
        <f t="shared" si="4"/>
        <v>0</v>
      </c>
      <c r="U77" s="28">
        <f t="shared" si="5"/>
        <v>0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23" t="s">
        <v>24</v>
      </c>
      <c r="B78" s="24">
        <f t="shared" si="6"/>
        <v>46095</v>
      </c>
      <c r="C78" s="26">
        <v>3.0</v>
      </c>
      <c r="D78" s="26" t="s">
        <v>27</v>
      </c>
      <c r="E78" s="22"/>
      <c r="F78" s="22"/>
      <c r="G78" s="19"/>
      <c r="I78" s="20"/>
      <c r="K78" s="20"/>
      <c r="M78" s="20"/>
      <c r="O78" s="20"/>
      <c r="Q78" s="27">
        <f t="shared" si="1"/>
        <v>0</v>
      </c>
      <c r="R78" s="26">
        <f t="shared" si="2"/>
        <v>0</v>
      </c>
      <c r="S78" s="26">
        <f t="shared" si="3"/>
        <v>0</v>
      </c>
      <c r="T78" s="26">
        <f t="shared" si="4"/>
        <v>0</v>
      </c>
      <c r="U78" s="28">
        <f t="shared" si="5"/>
        <v>0</v>
      </c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29" t="s">
        <v>25</v>
      </c>
      <c r="B79" s="30">
        <f t="shared" si="6"/>
        <v>46096</v>
      </c>
      <c r="C79" s="32">
        <v>3.0</v>
      </c>
      <c r="D79" s="32" t="s">
        <v>27</v>
      </c>
      <c r="E79" s="33"/>
      <c r="F79" s="33"/>
      <c r="G79" s="34"/>
      <c r="H79" s="6"/>
      <c r="I79" s="35"/>
      <c r="J79" s="6"/>
      <c r="K79" s="35"/>
      <c r="L79" s="6"/>
      <c r="M79" s="35"/>
      <c r="N79" s="6"/>
      <c r="O79" s="35"/>
      <c r="P79" s="6"/>
      <c r="Q79" s="36">
        <f t="shared" si="1"/>
        <v>0</v>
      </c>
      <c r="R79" s="32">
        <f t="shared" si="2"/>
        <v>0</v>
      </c>
      <c r="S79" s="32">
        <f t="shared" si="3"/>
        <v>0</v>
      </c>
      <c r="T79" s="32">
        <f t="shared" si="4"/>
        <v>0</v>
      </c>
      <c r="U79" s="37">
        <f t="shared" si="5"/>
        <v>0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14" t="s">
        <v>18</v>
      </c>
      <c r="B80" s="15">
        <f t="shared" si="6"/>
        <v>46097</v>
      </c>
      <c r="C80" s="17">
        <v>3.0</v>
      </c>
      <c r="D80" s="17" t="s">
        <v>28</v>
      </c>
      <c r="E80" s="18"/>
      <c r="F80" s="18"/>
      <c r="G80" s="19"/>
      <c r="I80" s="20"/>
      <c r="K80" s="20"/>
      <c r="M80" s="20"/>
      <c r="O80" s="20"/>
      <c r="Q80" s="21">
        <f t="shared" si="1"/>
        <v>0</v>
      </c>
      <c r="R80" s="17">
        <f t="shared" si="2"/>
        <v>0</v>
      </c>
      <c r="S80" s="17">
        <f t="shared" si="3"/>
        <v>0</v>
      </c>
      <c r="T80" s="17">
        <f t="shared" si="4"/>
        <v>0</v>
      </c>
      <c r="U80" s="38">
        <f t="shared" si="5"/>
        <v>0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23" t="s">
        <v>20</v>
      </c>
      <c r="B81" s="24">
        <f t="shared" si="6"/>
        <v>46098</v>
      </c>
      <c r="C81" s="26">
        <v>3.0</v>
      </c>
      <c r="D81" s="26" t="s">
        <v>28</v>
      </c>
      <c r="E81" s="22"/>
      <c r="F81" s="22"/>
      <c r="G81" s="19"/>
      <c r="I81" s="20"/>
      <c r="K81" s="20"/>
      <c r="M81" s="20"/>
      <c r="O81" s="20"/>
      <c r="Q81" s="27">
        <f t="shared" si="1"/>
        <v>0</v>
      </c>
      <c r="R81" s="26">
        <f t="shared" si="2"/>
        <v>0</v>
      </c>
      <c r="S81" s="26">
        <f t="shared" si="3"/>
        <v>0</v>
      </c>
      <c r="T81" s="26">
        <f t="shared" si="4"/>
        <v>0</v>
      </c>
      <c r="U81" s="28">
        <f t="shared" si="5"/>
        <v>0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23" t="s">
        <v>21</v>
      </c>
      <c r="B82" s="24">
        <f t="shared" si="6"/>
        <v>46099</v>
      </c>
      <c r="C82" s="26">
        <v>3.0</v>
      </c>
      <c r="D82" s="26" t="s">
        <v>28</v>
      </c>
      <c r="E82" s="22"/>
      <c r="F82" s="22"/>
      <c r="G82" s="19"/>
      <c r="I82" s="20"/>
      <c r="K82" s="20"/>
      <c r="M82" s="20"/>
      <c r="O82" s="20"/>
      <c r="Q82" s="27">
        <f t="shared" si="1"/>
        <v>0</v>
      </c>
      <c r="R82" s="26">
        <f t="shared" si="2"/>
        <v>0</v>
      </c>
      <c r="S82" s="26">
        <f t="shared" si="3"/>
        <v>0</v>
      </c>
      <c r="T82" s="26">
        <f t="shared" si="4"/>
        <v>0</v>
      </c>
      <c r="U82" s="28">
        <f t="shared" si="5"/>
        <v>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23" t="s">
        <v>22</v>
      </c>
      <c r="B83" s="24">
        <f t="shared" si="6"/>
        <v>46100</v>
      </c>
      <c r="C83" s="26">
        <v>3.0</v>
      </c>
      <c r="D83" s="26" t="s">
        <v>28</v>
      </c>
      <c r="E83" s="22"/>
      <c r="F83" s="22"/>
      <c r="G83" s="19"/>
      <c r="I83" s="20"/>
      <c r="K83" s="20"/>
      <c r="M83" s="20"/>
      <c r="O83" s="20"/>
      <c r="Q83" s="27">
        <f t="shared" si="1"/>
        <v>0</v>
      </c>
      <c r="R83" s="26">
        <f t="shared" si="2"/>
        <v>0</v>
      </c>
      <c r="S83" s="26">
        <f t="shared" si="3"/>
        <v>0</v>
      </c>
      <c r="T83" s="26">
        <f t="shared" si="4"/>
        <v>0</v>
      </c>
      <c r="U83" s="28">
        <f t="shared" si="5"/>
        <v>0</v>
      </c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23" t="s">
        <v>23</v>
      </c>
      <c r="B84" s="24">
        <f t="shared" si="6"/>
        <v>46101</v>
      </c>
      <c r="C84" s="26">
        <v>3.0</v>
      </c>
      <c r="D84" s="26" t="s">
        <v>28</v>
      </c>
      <c r="E84" s="22"/>
      <c r="F84" s="22"/>
      <c r="G84" s="19"/>
      <c r="I84" s="20"/>
      <c r="K84" s="20"/>
      <c r="M84" s="20"/>
      <c r="O84" s="20"/>
      <c r="Q84" s="27">
        <f t="shared" si="1"/>
        <v>0</v>
      </c>
      <c r="R84" s="26">
        <f t="shared" si="2"/>
        <v>0</v>
      </c>
      <c r="S84" s="26">
        <f t="shared" si="3"/>
        <v>0</v>
      </c>
      <c r="T84" s="26">
        <f t="shared" si="4"/>
        <v>0</v>
      </c>
      <c r="U84" s="28">
        <f t="shared" si="5"/>
        <v>0</v>
      </c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23" t="s">
        <v>24</v>
      </c>
      <c r="B85" s="24">
        <f t="shared" si="6"/>
        <v>46102</v>
      </c>
      <c r="C85" s="26">
        <v>3.0</v>
      </c>
      <c r="D85" s="26" t="s">
        <v>28</v>
      </c>
      <c r="E85" s="22"/>
      <c r="F85" s="22"/>
      <c r="G85" s="39"/>
      <c r="I85" s="40"/>
      <c r="K85" s="40"/>
      <c r="M85" s="40"/>
      <c r="O85" s="40"/>
      <c r="Q85" s="27">
        <f t="shared" si="1"/>
        <v>0</v>
      </c>
      <c r="R85" s="26">
        <f t="shared" si="2"/>
        <v>0</v>
      </c>
      <c r="S85" s="26">
        <f t="shared" si="3"/>
        <v>0</v>
      </c>
      <c r="T85" s="26">
        <f t="shared" si="4"/>
        <v>0</v>
      </c>
      <c r="U85" s="28">
        <f t="shared" si="5"/>
        <v>0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29" t="s">
        <v>25</v>
      </c>
      <c r="B86" s="30">
        <f t="shared" si="6"/>
        <v>46103</v>
      </c>
      <c r="C86" s="32">
        <v>3.0</v>
      </c>
      <c r="D86" s="32" t="s">
        <v>28</v>
      </c>
      <c r="E86" s="33"/>
      <c r="F86" s="33"/>
      <c r="G86" s="41"/>
      <c r="H86" s="6"/>
      <c r="I86" s="42"/>
      <c r="J86" s="6"/>
      <c r="K86" s="42"/>
      <c r="L86" s="6"/>
      <c r="M86" s="42"/>
      <c r="N86" s="6"/>
      <c r="O86" s="42"/>
      <c r="P86" s="6"/>
      <c r="Q86" s="36">
        <f t="shared" si="1"/>
        <v>0</v>
      </c>
      <c r="R86" s="32">
        <f t="shared" si="2"/>
        <v>0</v>
      </c>
      <c r="S86" s="32">
        <f t="shared" si="3"/>
        <v>0</v>
      </c>
      <c r="T86" s="32">
        <f t="shared" si="4"/>
        <v>0</v>
      </c>
      <c r="U86" s="37">
        <f t="shared" si="5"/>
        <v>0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14" t="s">
        <v>18</v>
      </c>
      <c r="B87" s="15">
        <f t="shared" si="6"/>
        <v>46104</v>
      </c>
      <c r="C87" s="17">
        <v>4.0</v>
      </c>
      <c r="D87" s="17" t="s">
        <v>19</v>
      </c>
      <c r="E87" s="18"/>
      <c r="F87" s="18"/>
      <c r="G87" s="19"/>
      <c r="I87" s="20"/>
      <c r="K87" s="20"/>
      <c r="M87" s="20"/>
      <c r="O87" s="20"/>
      <c r="Q87" s="21">
        <f t="shared" si="1"/>
        <v>0</v>
      </c>
      <c r="R87" s="17">
        <f t="shared" si="2"/>
        <v>0</v>
      </c>
      <c r="S87" s="17">
        <f t="shared" si="3"/>
        <v>0</v>
      </c>
      <c r="T87" s="17">
        <f t="shared" si="4"/>
        <v>0</v>
      </c>
      <c r="U87" s="38">
        <f t="shared" si="5"/>
        <v>0</v>
      </c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23" t="s">
        <v>20</v>
      </c>
      <c r="B88" s="24">
        <f t="shared" si="6"/>
        <v>46105</v>
      </c>
      <c r="C88" s="26">
        <v>4.0</v>
      </c>
      <c r="D88" s="26" t="s">
        <v>19</v>
      </c>
      <c r="E88" s="22"/>
      <c r="F88" s="22"/>
      <c r="G88" s="19"/>
      <c r="I88" s="20"/>
      <c r="K88" s="20"/>
      <c r="M88" s="20"/>
      <c r="O88" s="20"/>
      <c r="Q88" s="27">
        <f t="shared" si="1"/>
        <v>0</v>
      </c>
      <c r="R88" s="26">
        <f t="shared" si="2"/>
        <v>0</v>
      </c>
      <c r="S88" s="26">
        <f t="shared" si="3"/>
        <v>0</v>
      </c>
      <c r="T88" s="26">
        <f t="shared" si="4"/>
        <v>0</v>
      </c>
      <c r="U88" s="28">
        <f t="shared" si="5"/>
        <v>0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23" t="s">
        <v>21</v>
      </c>
      <c r="B89" s="24">
        <f t="shared" si="6"/>
        <v>46106</v>
      </c>
      <c r="C89" s="26">
        <v>4.0</v>
      </c>
      <c r="D89" s="26" t="s">
        <v>19</v>
      </c>
      <c r="E89" s="22"/>
      <c r="F89" s="22"/>
      <c r="G89" s="19"/>
      <c r="I89" s="20"/>
      <c r="K89" s="20"/>
      <c r="M89" s="20"/>
      <c r="O89" s="20"/>
      <c r="Q89" s="27">
        <f t="shared" si="1"/>
        <v>0</v>
      </c>
      <c r="R89" s="26">
        <f t="shared" si="2"/>
        <v>0</v>
      </c>
      <c r="S89" s="26">
        <f t="shared" si="3"/>
        <v>0</v>
      </c>
      <c r="T89" s="26">
        <f t="shared" si="4"/>
        <v>0</v>
      </c>
      <c r="U89" s="28">
        <f t="shared" si="5"/>
        <v>0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23" t="s">
        <v>22</v>
      </c>
      <c r="B90" s="24">
        <f t="shared" si="6"/>
        <v>46107</v>
      </c>
      <c r="C90" s="26">
        <v>4.0</v>
      </c>
      <c r="D90" s="26" t="s">
        <v>19</v>
      </c>
      <c r="E90" s="22"/>
      <c r="F90" s="22"/>
      <c r="G90" s="19"/>
      <c r="I90" s="20"/>
      <c r="K90" s="20"/>
      <c r="M90" s="20"/>
      <c r="O90" s="20"/>
      <c r="Q90" s="27">
        <f t="shared" si="1"/>
        <v>0</v>
      </c>
      <c r="R90" s="26">
        <f t="shared" si="2"/>
        <v>0</v>
      </c>
      <c r="S90" s="26">
        <f t="shared" si="3"/>
        <v>0</v>
      </c>
      <c r="T90" s="26">
        <f t="shared" si="4"/>
        <v>0</v>
      </c>
      <c r="U90" s="28">
        <f t="shared" si="5"/>
        <v>0</v>
      </c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6.5" customHeight="1">
      <c r="A91" s="23" t="s">
        <v>23</v>
      </c>
      <c r="B91" s="24">
        <f t="shared" si="6"/>
        <v>46108</v>
      </c>
      <c r="C91" s="26">
        <v>4.0</v>
      </c>
      <c r="D91" s="26" t="s">
        <v>19</v>
      </c>
      <c r="E91" s="22"/>
      <c r="F91" s="22"/>
      <c r="G91" s="19"/>
      <c r="I91" s="20"/>
      <c r="K91" s="20"/>
      <c r="M91" s="20"/>
      <c r="O91" s="20"/>
      <c r="Q91" s="27">
        <f t="shared" si="1"/>
        <v>0</v>
      </c>
      <c r="R91" s="26">
        <f t="shared" si="2"/>
        <v>0</v>
      </c>
      <c r="S91" s="26">
        <f t="shared" si="3"/>
        <v>0</v>
      </c>
      <c r="T91" s="26">
        <f t="shared" si="4"/>
        <v>0</v>
      </c>
      <c r="U91" s="28">
        <f t="shared" si="5"/>
        <v>0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23" t="s">
        <v>24</v>
      </c>
      <c r="B92" s="24">
        <f t="shared" si="6"/>
        <v>46109</v>
      </c>
      <c r="C92" s="26">
        <v>4.0</v>
      </c>
      <c r="D92" s="26" t="s">
        <v>19</v>
      </c>
      <c r="E92" s="22"/>
      <c r="F92" s="22"/>
      <c r="G92" s="19"/>
      <c r="I92" s="20"/>
      <c r="K92" s="20"/>
      <c r="M92" s="20"/>
      <c r="O92" s="20"/>
      <c r="Q92" s="27">
        <f t="shared" si="1"/>
        <v>0</v>
      </c>
      <c r="R92" s="26">
        <f t="shared" si="2"/>
        <v>0</v>
      </c>
      <c r="S92" s="26">
        <f t="shared" si="3"/>
        <v>0</v>
      </c>
      <c r="T92" s="26">
        <f t="shared" si="4"/>
        <v>0</v>
      </c>
      <c r="U92" s="28">
        <f t="shared" si="5"/>
        <v>0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29" t="s">
        <v>25</v>
      </c>
      <c r="B93" s="30">
        <f t="shared" si="6"/>
        <v>46110</v>
      </c>
      <c r="C93" s="32">
        <v>4.0</v>
      </c>
      <c r="D93" s="32" t="s">
        <v>19</v>
      </c>
      <c r="E93" s="33"/>
      <c r="F93" s="33"/>
      <c r="G93" s="34"/>
      <c r="H93" s="6"/>
      <c r="I93" s="35"/>
      <c r="J93" s="6"/>
      <c r="K93" s="35"/>
      <c r="L93" s="6"/>
      <c r="M93" s="35"/>
      <c r="N93" s="6"/>
      <c r="O93" s="35"/>
      <c r="P93" s="6"/>
      <c r="Q93" s="36">
        <f t="shared" si="1"/>
        <v>0</v>
      </c>
      <c r="R93" s="32">
        <f t="shared" si="2"/>
        <v>0</v>
      </c>
      <c r="S93" s="32">
        <f t="shared" si="3"/>
        <v>0</v>
      </c>
      <c r="T93" s="32">
        <f t="shared" si="4"/>
        <v>0</v>
      </c>
      <c r="U93" s="37">
        <f t="shared" si="5"/>
        <v>0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14" t="s">
        <v>18</v>
      </c>
      <c r="B94" s="15">
        <f t="shared" si="6"/>
        <v>46111</v>
      </c>
      <c r="C94" s="17">
        <v>4.0</v>
      </c>
      <c r="D94" s="17" t="s">
        <v>26</v>
      </c>
      <c r="E94" s="18" t="s">
        <v>29</v>
      </c>
      <c r="F94" s="18" t="s">
        <v>30</v>
      </c>
      <c r="G94" s="19"/>
      <c r="I94" s="20"/>
      <c r="K94" s="20"/>
      <c r="M94" s="20"/>
      <c r="O94" s="20"/>
      <c r="Q94" s="21">
        <f t="shared" si="1"/>
        <v>0</v>
      </c>
      <c r="R94" s="17">
        <f t="shared" si="2"/>
        <v>0</v>
      </c>
      <c r="S94" s="17">
        <f t="shared" si="3"/>
        <v>0</v>
      </c>
      <c r="T94" s="17">
        <f t="shared" si="4"/>
        <v>0</v>
      </c>
      <c r="U94" s="38">
        <f t="shared" si="5"/>
        <v>0</v>
      </c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23" t="s">
        <v>20</v>
      </c>
      <c r="B95" s="24">
        <f t="shared" si="6"/>
        <v>46112</v>
      </c>
      <c r="C95" s="26">
        <v>4.0</v>
      </c>
      <c r="D95" s="26" t="s">
        <v>26</v>
      </c>
      <c r="E95" s="22" t="s">
        <v>29</v>
      </c>
      <c r="F95" s="22" t="s">
        <v>30</v>
      </c>
      <c r="G95" s="19"/>
      <c r="I95" s="20"/>
      <c r="K95" s="20"/>
      <c r="M95" s="20"/>
      <c r="O95" s="20"/>
      <c r="Q95" s="27">
        <f t="shared" si="1"/>
        <v>0</v>
      </c>
      <c r="R95" s="26">
        <f t="shared" si="2"/>
        <v>0</v>
      </c>
      <c r="S95" s="26">
        <f t="shared" si="3"/>
        <v>0</v>
      </c>
      <c r="T95" s="26">
        <f t="shared" si="4"/>
        <v>0</v>
      </c>
      <c r="U95" s="28">
        <f t="shared" si="5"/>
        <v>0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23" t="s">
        <v>21</v>
      </c>
      <c r="B96" s="24">
        <f t="shared" si="6"/>
        <v>46113</v>
      </c>
      <c r="C96" s="26">
        <v>4.0</v>
      </c>
      <c r="D96" s="26" t="s">
        <v>26</v>
      </c>
      <c r="E96" s="22" t="s">
        <v>29</v>
      </c>
      <c r="F96" s="22" t="s">
        <v>30</v>
      </c>
      <c r="G96" s="19"/>
      <c r="I96" s="20"/>
      <c r="K96" s="20"/>
      <c r="M96" s="20"/>
      <c r="O96" s="20"/>
      <c r="Q96" s="27">
        <f t="shared" si="1"/>
        <v>0</v>
      </c>
      <c r="R96" s="26">
        <f t="shared" si="2"/>
        <v>0</v>
      </c>
      <c r="S96" s="26">
        <f t="shared" si="3"/>
        <v>0</v>
      </c>
      <c r="T96" s="26">
        <f t="shared" si="4"/>
        <v>0</v>
      </c>
      <c r="U96" s="28">
        <f t="shared" si="5"/>
        <v>0</v>
      </c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23" t="s">
        <v>22</v>
      </c>
      <c r="B97" s="24">
        <f t="shared" si="6"/>
        <v>46114</v>
      </c>
      <c r="C97" s="26">
        <v>4.0</v>
      </c>
      <c r="D97" s="26" t="s">
        <v>26</v>
      </c>
      <c r="E97" s="22" t="s">
        <v>29</v>
      </c>
      <c r="F97" s="22" t="s">
        <v>30</v>
      </c>
      <c r="G97" s="19"/>
      <c r="I97" s="20"/>
      <c r="K97" s="20"/>
      <c r="M97" s="20"/>
      <c r="O97" s="20"/>
      <c r="Q97" s="27">
        <f t="shared" si="1"/>
        <v>0</v>
      </c>
      <c r="R97" s="26">
        <f t="shared" si="2"/>
        <v>0</v>
      </c>
      <c r="S97" s="26">
        <f t="shared" si="3"/>
        <v>0</v>
      </c>
      <c r="T97" s="26">
        <f t="shared" si="4"/>
        <v>0</v>
      </c>
      <c r="U97" s="28">
        <f t="shared" si="5"/>
        <v>0</v>
      </c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23" t="s">
        <v>23</v>
      </c>
      <c r="B98" s="24">
        <f t="shared" si="6"/>
        <v>46115</v>
      </c>
      <c r="C98" s="26">
        <v>4.0</v>
      </c>
      <c r="D98" s="26" t="s">
        <v>26</v>
      </c>
      <c r="E98" s="22" t="s">
        <v>31</v>
      </c>
      <c r="F98" s="22" t="s">
        <v>32</v>
      </c>
      <c r="G98" s="19"/>
      <c r="I98" s="20"/>
      <c r="K98" s="20"/>
      <c r="M98" s="20"/>
      <c r="O98" s="20"/>
      <c r="Q98" s="27">
        <f t="shared" si="1"/>
        <v>0</v>
      </c>
      <c r="R98" s="26">
        <f t="shared" si="2"/>
        <v>0</v>
      </c>
      <c r="S98" s="26">
        <f t="shared" si="3"/>
        <v>0</v>
      </c>
      <c r="T98" s="26">
        <f t="shared" si="4"/>
        <v>0</v>
      </c>
      <c r="U98" s="28">
        <f t="shared" si="5"/>
        <v>0</v>
      </c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23" t="s">
        <v>24</v>
      </c>
      <c r="B99" s="24">
        <f t="shared" si="6"/>
        <v>46116</v>
      </c>
      <c r="C99" s="26">
        <v>4.0</v>
      </c>
      <c r="D99" s="26" t="s">
        <v>26</v>
      </c>
      <c r="E99" s="22" t="s">
        <v>31</v>
      </c>
      <c r="F99" s="22" t="s">
        <v>32</v>
      </c>
      <c r="G99" s="19"/>
      <c r="I99" s="20"/>
      <c r="K99" s="20"/>
      <c r="M99" s="20"/>
      <c r="O99" s="20"/>
      <c r="Q99" s="27">
        <f t="shared" si="1"/>
        <v>0</v>
      </c>
      <c r="R99" s="26">
        <f t="shared" si="2"/>
        <v>0</v>
      </c>
      <c r="S99" s="26">
        <f t="shared" si="3"/>
        <v>0</v>
      </c>
      <c r="T99" s="26">
        <f t="shared" si="4"/>
        <v>0</v>
      </c>
      <c r="U99" s="28">
        <f t="shared" si="5"/>
        <v>0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29" t="s">
        <v>25</v>
      </c>
      <c r="B100" s="30">
        <f t="shared" si="6"/>
        <v>46117</v>
      </c>
      <c r="C100" s="32">
        <v>4.0</v>
      </c>
      <c r="D100" s="32" t="s">
        <v>26</v>
      </c>
      <c r="E100" s="33" t="s">
        <v>31</v>
      </c>
      <c r="F100" s="33" t="s">
        <v>32</v>
      </c>
      <c r="G100" s="34"/>
      <c r="H100" s="6"/>
      <c r="I100" s="35"/>
      <c r="J100" s="6"/>
      <c r="K100" s="35"/>
      <c r="L100" s="6"/>
      <c r="M100" s="35"/>
      <c r="N100" s="6"/>
      <c r="O100" s="35"/>
      <c r="P100" s="6"/>
      <c r="Q100" s="36">
        <f t="shared" si="1"/>
        <v>0</v>
      </c>
      <c r="R100" s="32">
        <f t="shared" si="2"/>
        <v>0</v>
      </c>
      <c r="S100" s="32">
        <f t="shared" si="3"/>
        <v>0</v>
      </c>
      <c r="T100" s="32">
        <f t="shared" si="4"/>
        <v>0</v>
      </c>
      <c r="U100" s="37">
        <f t="shared" si="5"/>
        <v>0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14" t="s">
        <v>18</v>
      </c>
      <c r="B101" s="15">
        <f t="shared" si="6"/>
        <v>46118</v>
      </c>
      <c r="C101" s="17">
        <v>4.0</v>
      </c>
      <c r="D101" s="17" t="s">
        <v>27</v>
      </c>
      <c r="E101" s="18" t="s">
        <v>31</v>
      </c>
      <c r="F101" s="18" t="s">
        <v>32</v>
      </c>
      <c r="G101" s="19"/>
      <c r="I101" s="20"/>
      <c r="K101" s="20"/>
      <c r="M101" s="20"/>
      <c r="O101" s="20"/>
      <c r="Q101" s="21">
        <f t="shared" si="1"/>
        <v>0</v>
      </c>
      <c r="R101" s="17">
        <f t="shared" si="2"/>
        <v>0</v>
      </c>
      <c r="S101" s="17">
        <f t="shared" si="3"/>
        <v>0</v>
      </c>
      <c r="T101" s="17">
        <f t="shared" si="4"/>
        <v>0</v>
      </c>
      <c r="U101" s="38">
        <f t="shared" si="5"/>
        <v>0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23" t="s">
        <v>20</v>
      </c>
      <c r="B102" s="24">
        <f t="shared" si="6"/>
        <v>46119</v>
      </c>
      <c r="C102" s="26">
        <v>4.0</v>
      </c>
      <c r="D102" s="26" t="s">
        <v>27</v>
      </c>
      <c r="E102" s="22" t="s">
        <v>31</v>
      </c>
      <c r="F102" s="22" t="s">
        <v>32</v>
      </c>
      <c r="G102" s="19"/>
      <c r="I102" s="20"/>
      <c r="K102" s="20"/>
      <c r="M102" s="20"/>
      <c r="O102" s="20"/>
      <c r="Q102" s="27">
        <f t="shared" si="1"/>
        <v>0</v>
      </c>
      <c r="R102" s="26">
        <f t="shared" si="2"/>
        <v>0</v>
      </c>
      <c r="S102" s="26">
        <f t="shared" si="3"/>
        <v>0</v>
      </c>
      <c r="T102" s="26">
        <f t="shared" si="4"/>
        <v>0</v>
      </c>
      <c r="U102" s="28">
        <f t="shared" si="5"/>
        <v>0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23" t="s">
        <v>21</v>
      </c>
      <c r="B103" s="24">
        <f t="shared" si="6"/>
        <v>46120</v>
      </c>
      <c r="C103" s="26">
        <v>4.0</v>
      </c>
      <c r="D103" s="26" t="s">
        <v>27</v>
      </c>
      <c r="E103" s="22" t="s">
        <v>31</v>
      </c>
      <c r="F103" s="22" t="s">
        <v>32</v>
      </c>
      <c r="G103" s="19"/>
      <c r="I103" s="20"/>
      <c r="K103" s="20"/>
      <c r="M103" s="20"/>
      <c r="O103" s="20"/>
      <c r="Q103" s="27">
        <f t="shared" si="1"/>
        <v>0</v>
      </c>
      <c r="R103" s="26">
        <f t="shared" si="2"/>
        <v>0</v>
      </c>
      <c r="S103" s="26">
        <f t="shared" si="3"/>
        <v>0</v>
      </c>
      <c r="T103" s="26">
        <f t="shared" si="4"/>
        <v>0</v>
      </c>
      <c r="U103" s="28">
        <f t="shared" si="5"/>
        <v>0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23" t="s">
        <v>22</v>
      </c>
      <c r="B104" s="24">
        <f t="shared" si="6"/>
        <v>46121</v>
      </c>
      <c r="C104" s="26">
        <v>4.0</v>
      </c>
      <c r="D104" s="26" t="s">
        <v>27</v>
      </c>
      <c r="E104" s="22" t="s">
        <v>29</v>
      </c>
      <c r="F104" s="22" t="s">
        <v>30</v>
      </c>
      <c r="G104" s="19"/>
      <c r="I104" s="20"/>
      <c r="K104" s="20"/>
      <c r="M104" s="20"/>
      <c r="O104" s="20"/>
      <c r="Q104" s="27">
        <f t="shared" si="1"/>
        <v>0</v>
      </c>
      <c r="R104" s="26">
        <f t="shared" si="2"/>
        <v>0</v>
      </c>
      <c r="S104" s="26">
        <f t="shared" si="3"/>
        <v>0</v>
      </c>
      <c r="T104" s="26">
        <f t="shared" si="4"/>
        <v>0</v>
      </c>
      <c r="U104" s="28">
        <f t="shared" si="5"/>
        <v>0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23" t="s">
        <v>23</v>
      </c>
      <c r="B105" s="24">
        <f t="shared" si="6"/>
        <v>46122</v>
      </c>
      <c r="C105" s="26">
        <v>4.0</v>
      </c>
      <c r="D105" s="26" t="s">
        <v>27</v>
      </c>
      <c r="E105" s="22" t="s">
        <v>29</v>
      </c>
      <c r="F105" s="22" t="s">
        <v>30</v>
      </c>
      <c r="G105" s="19"/>
      <c r="I105" s="20"/>
      <c r="K105" s="20"/>
      <c r="M105" s="20"/>
      <c r="O105" s="20"/>
      <c r="Q105" s="27">
        <f t="shared" si="1"/>
        <v>0</v>
      </c>
      <c r="R105" s="26">
        <f t="shared" si="2"/>
        <v>0</v>
      </c>
      <c r="S105" s="26">
        <f t="shared" si="3"/>
        <v>0</v>
      </c>
      <c r="T105" s="26">
        <f t="shared" si="4"/>
        <v>0</v>
      </c>
      <c r="U105" s="28">
        <f t="shared" si="5"/>
        <v>0</v>
      </c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23" t="s">
        <v>24</v>
      </c>
      <c r="B106" s="24">
        <f t="shared" si="6"/>
        <v>46123</v>
      </c>
      <c r="C106" s="26">
        <v>4.0</v>
      </c>
      <c r="D106" s="26" t="s">
        <v>27</v>
      </c>
      <c r="E106" s="22" t="s">
        <v>29</v>
      </c>
      <c r="F106" s="22" t="s">
        <v>30</v>
      </c>
      <c r="G106" s="19"/>
      <c r="I106" s="20"/>
      <c r="K106" s="20"/>
      <c r="M106" s="20"/>
      <c r="O106" s="20"/>
      <c r="Q106" s="27">
        <f t="shared" si="1"/>
        <v>0</v>
      </c>
      <c r="R106" s="26">
        <f t="shared" si="2"/>
        <v>0</v>
      </c>
      <c r="S106" s="26">
        <f t="shared" si="3"/>
        <v>0</v>
      </c>
      <c r="T106" s="26">
        <f t="shared" si="4"/>
        <v>0</v>
      </c>
      <c r="U106" s="28">
        <f t="shared" si="5"/>
        <v>0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29" t="s">
        <v>25</v>
      </c>
      <c r="B107" s="30">
        <f t="shared" si="6"/>
        <v>46124</v>
      </c>
      <c r="C107" s="32">
        <v>4.0</v>
      </c>
      <c r="D107" s="32" t="s">
        <v>27</v>
      </c>
      <c r="E107" s="33" t="s">
        <v>29</v>
      </c>
      <c r="F107" s="33" t="s">
        <v>30</v>
      </c>
      <c r="G107" s="34"/>
      <c r="H107" s="6"/>
      <c r="I107" s="35"/>
      <c r="J107" s="6"/>
      <c r="K107" s="35"/>
      <c r="L107" s="6"/>
      <c r="M107" s="35"/>
      <c r="N107" s="6"/>
      <c r="O107" s="35"/>
      <c r="P107" s="6"/>
      <c r="Q107" s="36">
        <f t="shared" si="1"/>
        <v>0</v>
      </c>
      <c r="R107" s="32">
        <f t="shared" si="2"/>
        <v>0</v>
      </c>
      <c r="S107" s="32">
        <f t="shared" si="3"/>
        <v>0</v>
      </c>
      <c r="T107" s="32">
        <f t="shared" si="4"/>
        <v>0</v>
      </c>
      <c r="U107" s="37">
        <f t="shared" si="5"/>
        <v>0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14" t="s">
        <v>18</v>
      </c>
      <c r="B108" s="15">
        <f t="shared" si="6"/>
        <v>46125</v>
      </c>
      <c r="C108" s="17">
        <v>4.0</v>
      </c>
      <c r="D108" s="17" t="s">
        <v>28</v>
      </c>
      <c r="E108" s="18" t="s">
        <v>29</v>
      </c>
      <c r="F108" s="18" t="s">
        <v>30</v>
      </c>
      <c r="G108" s="19"/>
      <c r="I108" s="20"/>
      <c r="K108" s="20"/>
      <c r="M108" s="20"/>
      <c r="O108" s="20"/>
      <c r="Q108" s="21">
        <f t="shared" si="1"/>
        <v>0</v>
      </c>
      <c r="R108" s="17">
        <f t="shared" si="2"/>
        <v>0</v>
      </c>
      <c r="S108" s="17">
        <f t="shared" si="3"/>
        <v>0</v>
      </c>
      <c r="T108" s="17">
        <f t="shared" si="4"/>
        <v>0</v>
      </c>
      <c r="U108" s="38">
        <f t="shared" si="5"/>
        <v>0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23" t="s">
        <v>20</v>
      </c>
      <c r="B109" s="24">
        <f t="shared" si="6"/>
        <v>46126</v>
      </c>
      <c r="C109" s="26">
        <v>4.0</v>
      </c>
      <c r="D109" s="26" t="s">
        <v>28</v>
      </c>
      <c r="E109" s="22" t="s">
        <v>29</v>
      </c>
      <c r="F109" s="22" t="s">
        <v>30</v>
      </c>
      <c r="G109" s="19"/>
      <c r="I109" s="20"/>
      <c r="K109" s="20"/>
      <c r="M109" s="20"/>
      <c r="O109" s="20"/>
      <c r="Q109" s="27">
        <f t="shared" si="1"/>
        <v>0</v>
      </c>
      <c r="R109" s="26">
        <f t="shared" si="2"/>
        <v>0</v>
      </c>
      <c r="S109" s="26">
        <f t="shared" si="3"/>
        <v>0</v>
      </c>
      <c r="T109" s="26">
        <f t="shared" si="4"/>
        <v>0</v>
      </c>
      <c r="U109" s="28">
        <f t="shared" si="5"/>
        <v>0</v>
      </c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23" t="s">
        <v>21</v>
      </c>
      <c r="B110" s="24">
        <f t="shared" si="6"/>
        <v>46127</v>
      </c>
      <c r="C110" s="26">
        <v>4.0</v>
      </c>
      <c r="D110" s="26" t="s">
        <v>28</v>
      </c>
      <c r="E110" s="22" t="s">
        <v>29</v>
      </c>
      <c r="F110" s="22" t="s">
        <v>30</v>
      </c>
      <c r="G110" s="19"/>
      <c r="I110" s="20"/>
      <c r="K110" s="20"/>
      <c r="M110" s="20"/>
      <c r="O110" s="20"/>
      <c r="Q110" s="27">
        <f t="shared" si="1"/>
        <v>0</v>
      </c>
      <c r="R110" s="26">
        <f t="shared" si="2"/>
        <v>0</v>
      </c>
      <c r="S110" s="26">
        <f t="shared" si="3"/>
        <v>0</v>
      </c>
      <c r="T110" s="26">
        <f t="shared" si="4"/>
        <v>0</v>
      </c>
      <c r="U110" s="28">
        <f t="shared" si="5"/>
        <v>0</v>
      </c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23" t="s">
        <v>22</v>
      </c>
      <c r="B111" s="24">
        <f t="shared" si="6"/>
        <v>46128</v>
      </c>
      <c r="C111" s="26">
        <v>4.0</v>
      </c>
      <c r="D111" s="26" t="s">
        <v>28</v>
      </c>
      <c r="E111" s="22" t="s">
        <v>29</v>
      </c>
      <c r="F111" s="22" t="s">
        <v>30</v>
      </c>
      <c r="G111" s="19"/>
      <c r="I111" s="20"/>
      <c r="K111" s="20"/>
      <c r="M111" s="20"/>
      <c r="O111" s="20"/>
      <c r="Q111" s="27">
        <f t="shared" si="1"/>
        <v>0</v>
      </c>
      <c r="R111" s="26">
        <f t="shared" si="2"/>
        <v>0</v>
      </c>
      <c r="S111" s="26">
        <f t="shared" si="3"/>
        <v>0</v>
      </c>
      <c r="T111" s="26">
        <f t="shared" si="4"/>
        <v>0</v>
      </c>
      <c r="U111" s="28">
        <f t="shared" si="5"/>
        <v>0</v>
      </c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23" t="s">
        <v>23</v>
      </c>
      <c r="B112" s="24">
        <f t="shared" si="6"/>
        <v>46129</v>
      </c>
      <c r="C112" s="26">
        <v>4.0</v>
      </c>
      <c r="D112" s="26" t="s">
        <v>28</v>
      </c>
      <c r="E112" s="22" t="s">
        <v>29</v>
      </c>
      <c r="F112" s="22" t="s">
        <v>30</v>
      </c>
      <c r="G112" s="19"/>
      <c r="I112" s="20"/>
      <c r="K112" s="20"/>
      <c r="M112" s="20"/>
      <c r="O112" s="20"/>
      <c r="Q112" s="27">
        <f t="shared" si="1"/>
        <v>0</v>
      </c>
      <c r="R112" s="26">
        <f t="shared" si="2"/>
        <v>0</v>
      </c>
      <c r="S112" s="26">
        <f t="shared" si="3"/>
        <v>0</v>
      </c>
      <c r="T112" s="26">
        <f t="shared" si="4"/>
        <v>0</v>
      </c>
      <c r="U112" s="28">
        <f t="shared" si="5"/>
        <v>0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23" t="s">
        <v>24</v>
      </c>
      <c r="B113" s="24">
        <f t="shared" si="6"/>
        <v>46130</v>
      </c>
      <c r="C113" s="26">
        <v>4.0</v>
      </c>
      <c r="D113" s="26" t="s">
        <v>28</v>
      </c>
      <c r="E113" s="22" t="s">
        <v>29</v>
      </c>
      <c r="F113" s="22" t="s">
        <v>30</v>
      </c>
      <c r="G113" s="19"/>
      <c r="I113" s="20"/>
      <c r="K113" s="20"/>
      <c r="M113" s="20"/>
      <c r="O113" s="20"/>
      <c r="Q113" s="27">
        <f t="shared" si="1"/>
        <v>0</v>
      </c>
      <c r="R113" s="26">
        <f t="shared" si="2"/>
        <v>0</v>
      </c>
      <c r="S113" s="26">
        <f t="shared" si="3"/>
        <v>0</v>
      </c>
      <c r="T113" s="26">
        <f t="shared" si="4"/>
        <v>0</v>
      </c>
      <c r="U113" s="28">
        <f t="shared" si="5"/>
        <v>0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29" t="s">
        <v>25</v>
      </c>
      <c r="B114" s="30">
        <f t="shared" si="6"/>
        <v>46131</v>
      </c>
      <c r="C114" s="32">
        <v>4.0</v>
      </c>
      <c r="D114" s="32" t="s">
        <v>28</v>
      </c>
      <c r="E114" s="33" t="s">
        <v>29</v>
      </c>
      <c r="F114" s="33" t="s">
        <v>30</v>
      </c>
      <c r="G114" s="34"/>
      <c r="H114" s="6"/>
      <c r="I114" s="35"/>
      <c r="J114" s="6"/>
      <c r="K114" s="35"/>
      <c r="L114" s="6"/>
      <c r="M114" s="35"/>
      <c r="N114" s="6"/>
      <c r="O114" s="35"/>
      <c r="P114" s="6"/>
      <c r="Q114" s="36">
        <f t="shared" si="1"/>
        <v>0</v>
      </c>
      <c r="R114" s="32">
        <f t="shared" si="2"/>
        <v>0</v>
      </c>
      <c r="S114" s="32">
        <f t="shared" si="3"/>
        <v>0</v>
      </c>
      <c r="T114" s="32">
        <f t="shared" si="4"/>
        <v>0</v>
      </c>
      <c r="U114" s="37">
        <f t="shared" si="5"/>
        <v>0</v>
      </c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14" t="s">
        <v>18</v>
      </c>
      <c r="B115" s="15">
        <f t="shared" si="6"/>
        <v>46132</v>
      </c>
      <c r="C115" s="17">
        <v>5.0</v>
      </c>
      <c r="D115" s="17" t="s">
        <v>19</v>
      </c>
      <c r="E115" s="18" t="s">
        <v>29</v>
      </c>
      <c r="F115" s="18" t="s">
        <v>30</v>
      </c>
      <c r="G115" s="19"/>
      <c r="I115" s="20"/>
      <c r="K115" s="20"/>
      <c r="M115" s="20"/>
      <c r="O115" s="20"/>
      <c r="Q115" s="21">
        <f t="shared" si="1"/>
        <v>0</v>
      </c>
      <c r="R115" s="17">
        <f t="shared" si="2"/>
        <v>0</v>
      </c>
      <c r="S115" s="17">
        <f t="shared" si="3"/>
        <v>0</v>
      </c>
      <c r="T115" s="17">
        <f t="shared" si="4"/>
        <v>0</v>
      </c>
      <c r="U115" s="38">
        <f t="shared" si="5"/>
        <v>0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23" t="s">
        <v>20</v>
      </c>
      <c r="B116" s="24">
        <f t="shared" si="6"/>
        <v>46133</v>
      </c>
      <c r="C116" s="26">
        <v>5.0</v>
      </c>
      <c r="D116" s="26" t="s">
        <v>19</v>
      </c>
      <c r="E116" s="22" t="s">
        <v>31</v>
      </c>
      <c r="F116" s="22" t="s">
        <v>32</v>
      </c>
      <c r="G116" s="19"/>
      <c r="I116" s="20"/>
      <c r="K116" s="20"/>
      <c r="M116" s="20"/>
      <c r="O116" s="20"/>
      <c r="Q116" s="27">
        <f t="shared" si="1"/>
        <v>0</v>
      </c>
      <c r="R116" s="26">
        <f t="shared" si="2"/>
        <v>0</v>
      </c>
      <c r="S116" s="26">
        <f t="shared" si="3"/>
        <v>0</v>
      </c>
      <c r="T116" s="26">
        <f t="shared" si="4"/>
        <v>0</v>
      </c>
      <c r="U116" s="28">
        <f t="shared" si="5"/>
        <v>0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23" t="s">
        <v>21</v>
      </c>
      <c r="B117" s="24">
        <f t="shared" si="6"/>
        <v>46134</v>
      </c>
      <c r="C117" s="26">
        <v>5.0</v>
      </c>
      <c r="D117" s="26" t="s">
        <v>19</v>
      </c>
      <c r="E117" s="22" t="s">
        <v>31</v>
      </c>
      <c r="F117" s="22" t="s">
        <v>32</v>
      </c>
      <c r="G117" s="19"/>
      <c r="I117" s="20"/>
      <c r="K117" s="20"/>
      <c r="M117" s="20"/>
      <c r="O117" s="20"/>
      <c r="Q117" s="27">
        <f t="shared" si="1"/>
        <v>0</v>
      </c>
      <c r="R117" s="26">
        <f t="shared" si="2"/>
        <v>0</v>
      </c>
      <c r="S117" s="26">
        <f t="shared" si="3"/>
        <v>0</v>
      </c>
      <c r="T117" s="26">
        <f t="shared" si="4"/>
        <v>0</v>
      </c>
      <c r="U117" s="28">
        <f t="shared" si="5"/>
        <v>0</v>
      </c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23" t="s">
        <v>22</v>
      </c>
      <c r="B118" s="24">
        <f t="shared" si="6"/>
        <v>46135</v>
      </c>
      <c r="C118" s="26">
        <v>5.0</v>
      </c>
      <c r="D118" s="26" t="s">
        <v>19</v>
      </c>
      <c r="E118" s="22" t="s">
        <v>31</v>
      </c>
      <c r="F118" s="22" t="s">
        <v>32</v>
      </c>
      <c r="G118" s="19"/>
      <c r="I118" s="20"/>
      <c r="K118" s="20"/>
      <c r="M118" s="20"/>
      <c r="O118" s="20"/>
      <c r="Q118" s="27">
        <f t="shared" si="1"/>
        <v>0</v>
      </c>
      <c r="R118" s="26">
        <f t="shared" si="2"/>
        <v>0</v>
      </c>
      <c r="S118" s="26">
        <f t="shared" si="3"/>
        <v>0</v>
      </c>
      <c r="T118" s="26">
        <f t="shared" si="4"/>
        <v>0</v>
      </c>
      <c r="U118" s="28">
        <f t="shared" si="5"/>
        <v>0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23" t="s">
        <v>23</v>
      </c>
      <c r="B119" s="24">
        <f t="shared" si="6"/>
        <v>46136</v>
      </c>
      <c r="C119" s="26">
        <v>5.0</v>
      </c>
      <c r="D119" s="26" t="s">
        <v>19</v>
      </c>
      <c r="E119" s="22" t="s">
        <v>31</v>
      </c>
      <c r="F119" s="22" t="s">
        <v>32</v>
      </c>
      <c r="G119" s="19"/>
      <c r="I119" s="20"/>
      <c r="K119" s="20"/>
      <c r="M119" s="20"/>
      <c r="O119" s="20"/>
      <c r="Q119" s="27">
        <f t="shared" si="1"/>
        <v>0</v>
      </c>
      <c r="R119" s="26">
        <f t="shared" si="2"/>
        <v>0</v>
      </c>
      <c r="S119" s="26">
        <f t="shared" si="3"/>
        <v>0</v>
      </c>
      <c r="T119" s="26">
        <f t="shared" si="4"/>
        <v>0</v>
      </c>
      <c r="U119" s="28">
        <f t="shared" si="5"/>
        <v>0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23" t="s">
        <v>24</v>
      </c>
      <c r="B120" s="24">
        <f t="shared" si="6"/>
        <v>46137</v>
      </c>
      <c r="C120" s="26">
        <v>5.0</v>
      </c>
      <c r="D120" s="26" t="s">
        <v>19</v>
      </c>
      <c r="E120" s="22" t="s">
        <v>31</v>
      </c>
      <c r="F120" s="22" t="s">
        <v>32</v>
      </c>
      <c r="G120" s="19"/>
      <c r="I120" s="20"/>
      <c r="K120" s="20"/>
      <c r="M120" s="20"/>
      <c r="O120" s="20"/>
      <c r="Q120" s="27">
        <f t="shared" si="1"/>
        <v>0</v>
      </c>
      <c r="R120" s="26">
        <f t="shared" si="2"/>
        <v>0</v>
      </c>
      <c r="S120" s="26">
        <f t="shared" si="3"/>
        <v>0</v>
      </c>
      <c r="T120" s="26">
        <f t="shared" si="4"/>
        <v>0</v>
      </c>
      <c r="U120" s="28">
        <f t="shared" si="5"/>
        <v>0</v>
      </c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29" t="s">
        <v>25</v>
      </c>
      <c r="B121" s="30">
        <f t="shared" si="6"/>
        <v>46138</v>
      </c>
      <c r="C121" s="32">
        <v>5.0</v>
      </c>
      <c r="D121" s="32" t="s">
        <v>19</v>
      </c>
      <c r="E121" s="33" t="s">
        <v>31</v>
      </c>
      <c r="F121" s="33" t="s">
        <v>32</v>
      </c>
      <c r="G121" s="34"/>
      <c r="H121" s="6"/>
      <c r="I121" s="35"/>
      <c r="J121" s="6"/>
      <c r="K121" s="35"/>
      <c r="L121" s="6"/>
      <c r="M121" s="35"/>
      <c r="N121" s="6"/>
      <c r="O121" s="35"/>
      <c r="P121" s="6"/>
      <c r="Q121" s="36">
        <f t="shared" si="1"/>
        <v>0</v>
      </c>
      <c r="R121" s="32">
        <f t="shared" si="2"/>
        <v>0</v>
      </c>
      <c r="S121" s="32">
        <f t="shared" si="3"/>
        <v>0</v>
      </c>
      <c r="T121" s="32">
        <f t="shared" si="4"/>
        <v>0</v>
      </c>
      <c r="U121" s="37">
        <f t="shared" si="5"/>
        <v>0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14" t="s">
        <v>18</v>
      </c>
      <c r="B122" s="15">
        <f t="shared" si="6"/>
        <v>46139</v>
      </c>
      <c r="C122" s="17">
        <v>5.0</v>
      </c>
      <c r="D122" s="17" t="s">
        <v>26</v>
      </c>
      <c r="E122" s="18" t="s">
        <v>31</v>
      </c>
      <c r="F122" s="18" t="s">
        <v>32</v>
      </c>
      <c r="G122" s="19"/>
      <c r="I122" s="20"/>
      <c r="K122" s="20"/>
      <c r="M122" s="20"/>
      <c r="O122" s="20"/>
      <c r="Q122" s="21">
        <f t="shared" si="1"/>
        <v>0</v>
      </c>
      <c r="R122" s="17">
        <f t="shared" si="2"/>
        <v>0</v>
      </c>
      <c r="S122" s="17">
        <f t="shared" si="3"/>
        <v>0</v>
      </c>
      <c r="T122" s="17">
        <f t="shared" si="4"/>
        <v>0</v>
      </c>
      <c r="U122" s="38">
        <f t="shared" si="5"/>
        <v>0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23" t="s">
        <v>20</v>
      </c>
      <c r="B123" s="24">
        <f t="shared" si="6"/>
        <v>46140</v>
      </c>
      <c r="C123" s="26">
        <v>5.0</v>
      </c>
      <c r="D123" s="26" t="s">
        <v>26</v>
      </c>
      <c r="E123" s="22" t="s">
        <v>31</v>
      </c>
      <c r="F123" s="22" t="s">
        <v>32</v>
      </c>
      <c r="G123" s="19"/>
      <c r="I123" s="20"/>
      <c r="K123" s="20"/>
      <c r="M123" s="20"/>
      <c r="O123" s="20"/>
      <c r="Q123" s="27">
        <f t="shared" si="1"/>
        <v>0</v>
      </c>
      <c r="R123" s="26">
        <f t="shared" si="2"/>
        <v>0</v>
      </c>
      <c r="S123" s="26">
        <f t="shared" si="3"/>
        <v>0</v>
      </c>
      <c r="T123" s="26">
        <f t="shared" si="4"/>
        <v>0</v>
      </c>
      <c r="U123" s="28">
        <f t="shared" si="5"/>
        <v>0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23" t="s">
        <v>21</v>
      </c>
      <c r="B124" s="24">
        <f t="shared" si="6"/>
        <v>46141</v>
      </c>
      <c r="C124" s="26">
        <v>5.0</v>
      </c>
      <c r="D124" s="26" t="s">
        <v>26</v>
      </c>
      <c r="E124" s="22" t="s">
        <v>31</v>
      </c>
      <c r="F124" s="22" t="s">
        <v>32</v>
      </c>
      <c r="G124" s="19"/>
      <c r="I124" s="20"/>
      <c r="K124" s="20"/>
      <c r="M124" s="20"/>
      <c r="O124" s="20"/>
      <c r="Q124" s="27">
        <f t="shared" si="1"/>
        <v>0</v>
      </c>
      <c r="R124" s="26">
        <f t="shared" si="2"/>
        <v>0</v>
      </c>
      <c r="S124" s="26">
        <f t="shared" si="3"/>
        <v>0</v>
      </c>
      <c r="T124" s="26">
        <f t="shared" si="4"/>
        <v>0</v>
      </c>
      <c r="U124" s="28">
        <f t="shared" si="5"/>
        <v>0</v>
      </c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23" t="s">
        <v>22</v>
      </c>
      <c r="B125" s="24">
        <f t="shared" si="6"/>
        <v>46142</v>
      </c>
      <c r="C125" s="26">
        <v>5.0</v>
      </c>
      <c r="D125" s="26" t="s">
        <v>26</v>
      </c>
      <c r="E125" s="22" t="s">
        <v>29</v>
      </c>
      <c r="F125" s="22" t="s">
        <v>30</v>
      </c>
      <c r="G125" s="19"/>
      <c r="I125" s="20"/>
      <c r="K125" s="20"/>
      <c r="M125" s="20"/>
      <c r="O125" s="20"/>
      <c r="Q125" s="27">
        <f t="shared" si="1"/>
        <v>0</v>
      </c>
      <c r="R125" s="26">
        <f t="shared" si="2"/>
        <v>0</v>
      </c>
      <c r="S125" s="26">
        <f t="shared" si="3"/>
        <v>0</v>
      </c>
      <c r="T125" s="26">
        <f t="shared" si="4"/>
        <v>0</v>
      </c>
      <c r="U125" s="28">
        <f t="shared" si="5"/>
        <v>0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23" t="s">
        <v>23</v>
      </c>
      <c r="B126" s="24">
        <f t="shared" si="6"/>
        <v>46143</v>
      </c>
      <c r="C126" s="26">
        <v>5.0</v>
      </c>
      <c r="D126" s="26" t="s">
        <v>26</v>
      </c>
      <c r="E126" s="22" t="s">
        <v>29</v>
      </c>
      <c r="F126" s="22" t="s">
        <v>30</v>
      </c>
      <c r="G126" s="19"/>
      <c r="I126" s="20"/>
      <c r="K126" s="20"/>
      <c r="M126" s="20"/>
      <c r="O126" s="20"/>
      <c r="Q126" s="27">
        <f t="shared" si="1"/>
        <v>0</v>
      </c>
      <c r="R126" s="26">
        <f t="shared" si="2"/>
        <v>0</v>
      </c>
      <c r="S126" s="26">
        <f t="shared" si="3"/>
        <v>0</v>
      </c>
      <c r="T126" s="26">
        <f t="shared" si="4"/>
        <v>0</v>
      </c>
      <c r="U126" s="28">
        <f t="shared" si="5"/>
        <v>0</v>
      </c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23" t="s">
        <v>24</v>
      </c>
      <c r="B127" s="24">
        <f t="shared" si="6"/>
        <v>46144</v>
      </c>
      <c r="C127" s="26">
        <v>5.0</v>
      </c>
      <c r="D127" s="26" t="s">
        <v>26</v>
      </c>
      <c r="E127" s="22" t="s">
        <v>29</v>
      </c>
      <c r="F127" s="22" t="s">
        <v>30</v>
      </c>
      <c r="G127" s="19"/>
      <c r="I127" s="20"/>
      <c r="K127" s="20"/>
      <c r="M127" s="20"/>
      <c r="O127" s="20"/>
      <c r="Q127" s="27">
        <f t="shared" si="1"/>
        <v>0</v>
      </c>
      <c r="R127" s="26">
        <f t="shared" si="2"/>
        <v>0</v>
      </c>
      <c r="S127" s="26">
        <f t="shared" si="3"/>
        <v>0</v>
      </c>
      <c r="T127" s="26">
        <f t="shared" si="4"/>
        <v>0</v>
      </c>
      <c r="U127" s="28">
        <f t="shared" si="5"/>
        <v>0</v>
      </c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29" t="s">
        <v>25</v>
      </c>
      <c r="B128" s="30">
        <f t="shared" si="6"/>
        <v>46145</v>
      </c>
      <c r="C128" s="32">
        <v>5.0</v>
      </c>
      <c r="D128" s="32" t="s">
        <v>26</v>
      </c>
      <c r="E128" s="33" t="s">
        <v>29</v>
      </c>
      <c r="F128" s="33" t="s">
        <v>30</v>
      </c>
      <c r="G128" s="34"/>
      <c r="H128" s="6"/>
      <c r="I128" s="35"/>
      <c r="J128" s="6"/>
      <c r="K128" s="35"/>
      <c r="L128" s="6"/>
      <c r="M128" s="35"/>
      <c r="N128" s="6"/>
      <c r="O128" s="35"/>
      <c r="P128" s="6"/>
      <c r="Q128" s="36">
        <f t="shared" si="1"/>
        <v>0</v>
      </c>
      <c r="R128" s="32">
        <f t="shared" si="2"/>
        <v>0</v>
      </c>
      <c r="S128" s="32">
        <f t="shared" si="3"/>
        <v>0</v>
      </c>
      <c r="T128" s="32">
        <f t="shared" si="4"/>
        <v>0</v>
      </c>
      <c r="U128" s="37">
        <f t="shared" si="5"/>
        <v>0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14" t="s">
        <v>18</v>
      </c>
      <c r="B129" s="15">
        <f t="shared" si="6"/>
        <v>46146</v>
      </c>
      <c r="C129" s="17">
        <v>5.0</v>
      </c>
      <c r="D129" s="17" t="s">
        <v>27</v>
      </c>
      <c r="E129" s="18" t="s">
        <v>29</v>
      </c>
      <c r="F129" s="18" t="s">
        <v>30</v>
      </c>
      <c r="G129" s="19"/>
      <c r="I129" s="20"/>
      <c r="K129" s="20"/>
      <c r="M129" s="20"/>
      <c r="O129" s="20"/>
      <c r="Q129" s="21">
        <f t="shared" si="1"/>
        <v>0</v>
      </c>
      <c r="R129" s="17">
        <f t="shared" si="2"/>
        <v>0</v>
      </c>
      <c r="S129" s="17">
        <f t="shared" si="3"/>
        <v>0</v>
      </c>
      <c r="T129" s="17">
        <f t="shared" si="4"/>
        <v>0</v>
      </c>
      <c r="U129" s="38">
        <f t="shared" si="5"/>
        <v>0</v>
      </c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23" t="s">
        <v>20</v>
      </c>
      <c r="B130" s="24">
        <f t="shared" si="6"/>
        <v>46147</v>
      </c>
      <c r="C130" s="26">
        <v>5.0</v>
      </c>
      <c r="D130" s="26" t="s">
        <v>27</v>
      </c>
      <c r="E130" s="22" t="s">
        <v>29</v>
      </c>
      <c r="F130" s="22" t="s">
        <v>30</v>
      </c>
      <c r="G130" s="19"/>
      <c r="I130" s="20"/>
      <c r="K130" s="20"/>
      <c r="M130" s="20"/>
      <c r="O130" s="20"/>
      <c r="Q130" s="27">
        <f t="shared" si="1"/>
        <v>0</v>
      </c>
      <c r="R130" s="26">
        <f t="shared" si="2"/>
        <v>0</v>
      </c>
      <c r="S130" s="26">
        <f t="shared" si="3"/>
        <v>0</v>
      </c>
      <c r="T130" s="26">
        <f t="shared" si="4"/>
        <v>0</v>
      </c>
      <c r="U130" s="28">
        <f t="shared" si="5"/>
        <v>0</v>
      </c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23" t="s">
        <v>21</v>
      </c>
      <c r="B131" s="24">
        <f t="shared" si="6"/>
        <v>46148</v>
      </c>
      <c r="C131" s="26">
        <v>5.0</v>
      </c>
      <c r="D131" s="26" t="s">
        <v>27</v>
      </c>
      <c r="E131" s="22" t="s">
        <v>29</v>
      </c>
      <c r="F131" s="22" t="s">
        <v>30</v>
      </c>
      <c r="G131" s="19"/>
      <c r="I131" s="20"/>
      <c r="K131" s="20"/>
      <c r="M131" s="20"/>
      <c r="O131" s="20"/>
      <c r="Q131" s="27">
        <f t="shared" si="1"/>
        <v>0</v>
      </c>
      <c r="R131" s="26">
        <f t="shared" si="2"/>
        <v>0</v>
      </c>
      <c r="S131" s="26">
        <f t="shared" si="3"/>
        <v>0</v>
      </c>
      <c r="T131" s="26">
        <f t="shared" si="4"/>
        <v>0</v>
      </c>
      <c r="U131" s="28">
        <f t="shared" si="5"/>
        <v>0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23" t="s">
        <v>22</v>
      </c>
      <c r="B132" s="24">
        <f t="shared" si="6"/>
        <v>46149</v>
      </c>
      <c r="C132" s="26">
        <v>5.0</v>
      </c>
      <c r="D132" s="26" t="s">
        <v>27</v>
      </c>
      <c r="E132" s="22" t="s">
        <v>29</v>
      </c>
      <c r="F132" s="22" t="s">
        <v>30</v>
      </c>
      <c r="G132" s="19"/>
      <c r="I132" s="20"/>
      <c r="K132" s="20"/>
      <c r="M132" s="20"/>
      <c r="O132" s="20"/>
      <c r="Q132" s="27">
        <f t="shared" si="1"/>
        <v>0</v>
      </c>
      <c r="R132" s="26">
        <f t="shared" si="2"/>
        <v>0</v>
      </c>
      <c r="S132" s="26">
        <f t="shared" si="3"/>
        <v>0</v>
      </c>
      <c r="T132" s="26">
        <f t="shared" si="4"/>
        <v>0</v>
      </c>
      <c r="U132" s="28">
        <f t="shared" si="5"/>
        <v>0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23" t="s">
        <v>23</v>
      </c>
      <c r="B133" s="24">
        <f t="shared" si="6"/>
        <v>46150</v>
      </c>
      <c r="C133" s="26">
        <v>5.0</v>
      </c>
      <c r="D133" s="26" t="s">
        <v>27</v>
      </c>
      <c r="E133" s="22" t="s">
        <v>31</v>
      </c>
      <c r="F133" s="22" t="s">
        <v>32</v>
      </c>
      <c r="G133" s="19"/>
      <c r="I133" s="20"/>
      <c r="K133" s="20"/>
      <c r="M133" s="20"/>
      <c r="O133" s="20"/>
      <c r="Q133" s="27">
        <f t="shared" si="1"/>
        <v>0</v>
      </c>
      <c r="R133" s="26">
        <f t="shared" si="2"/>
        <v>0</v>
      </c>
      <c r="S133" s="26">
        <f t="shared" si="3"/>
        <v>0</v>
      </c>
      <c r="T133" s="26">
        <f t="shared" si="4"/>
        <v>0</v>
      </c>
      <c r="U133" s="28">
        <f t="shared" si="5"/>
        <v>0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23" t="s">
        <v>24</v>
      </c>
      <c r="B134" s="24">
        <f t="shared" si="6"/>
        <v>46151</v>
      </c>
      <c r="C134" s="26">
        <v>5.0</v>
      </c>
      <c r="D134" s="26" t="s">
        <v>27</v>
      </c>
      <c r="E134" s="22" t="s">
        <v>31</v>
      </c>
      <c r="F134" s="22" t="s">
        <v>32</v>
      </c>
      <c r="G134" s="19"/>
      <c r="I134" s="20"/>
      <c r="K134" s="20"/>
      <c r="M134" s="20"/>
      <c r="O134" s="20"/>
      <c r="Q134" s="27">
        <f t="shared" si="1"/>
        <v>0</v>
      </c>
      <c r="R134" s="26">
        <f t="shared" si="2"/>
        <v>0</v>
      </c>
      <c r="S134" s="26">
        <f t="shared" si="3"/>
        <v>0</v>
      </c>
      <c r="T134" s="26">
        <f t="shared" si="4"/>
        <v>0</v>
      </c>
      <c r="U134" s="28">
        <f t="shared" si="5"/>
        <v>0</v>
      </c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29" t="s">
        <v>25</v>
      </c>
      <c r="B135" s="30">
        <f t="shared" si="6"/>
        <v>46152</v>
      </c>
      <c r="C135" s="32">
        <v>5.0</v>
      </c>
      <c r="D135" s="32" t="s">
        <v>27</v>
      </c>
      <c r="E135" s="33" t="s">
        <v>31</v>
      </c>
      <c r="F135" s="33" t="s">
        <v>32</v>
      </c>
      <c r="G135" s="34"/>
      <c r="H135" s="6"/>
      <c r="I135" s="35"/>
      <c r="J135" s="6"/>
      <c r="K135" s="35"/>
      <c r="L135" s="6"/>
      <c r="M135" s="35"/>
      <c r="N135" s="6"/>
      <c r="O135" s="35"/>
      <c r="P135" s="6"/>
      <c r="Q135" s="36">
        <f t="shared" si="1"/>
        <v>0</v>
      </c>
      <c r="R135" s="32">
        <f t="shared" si="2"/>
        <v>0</v>
      </c>
      <c r="S135" s="32">
        <f t="shared" si="3"/>
        <v>0</v>
      </c>
      <c r="T135" s="32">
        <f t="shared" si="4"/>
        <v>0</v>
      </c>
      <c r="U135" s="37">
        <f t="shared" si="5"/>
        <v>0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14" t="s">
        <v>18</v>
      </c>
      <c r="B136" s="15">
        <f t="shared" si="6"/>
        <v>46153</v>
      </c>
      <c r="C136" s="17">
        <v>5.0</v>
      </c>
      <c r="D136" s="17" t="s">
        <v>28</v>
      </c>
      <c r="E136" s="18" t="s">
        <v>31</v>
      </c>
      <c r="F136" s="18" t="s">
        <v>32</v>
      </c>
      <c r="G136" s="19"/>
      <c r="I136" s="20"/>
      <c r="K136" s="20"/>
      <c r="M136" s="20"/>
      <c r="O136" s="20"/>
      <c r="Q136" s="21">
        <f t="shared" si="1"/>
        <v>0</v>
      </c>
      <c r="R136" s="17">
        <f t="shared" si="2"/>
        <v>0</v>
      </c>
      <c r="S136" s="17">
        <f t="shared" si="3"/>
        <v>0</v>
      </c>
      <c r="T136" s="17">
        <f t="shared" si="4"/>
        <v>0</v>
      </c>
      <c r="U136" s="38">
        <f t="shared" si="5"/>
        <v>0</v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23" t="s">
        <v>20</v>
      </c>
      <c r="B137" s="24">
        <f t="shared" si="6"/>
        <v>46154</v>
      </c>
      <c r="C137" s="26">
        <v>5.0</v>
      </c>
      <c r="D137" s="26" t="s">
        <v>28</v>
      </c>
      <c r="E137" s="22" t="s">
        <v>31</v>
      </c>
      <c r="F137" s="22" t="s">
        <v>32</v>
      </c>
      <c r="G137" s="19"/>
      <c r="I137" s="20"/>
      <c r="K137" s="20"/>
      <c r="M137" s="20"/>
      <c r="O137" s="20"/>
      <c r="Q137" s="27">
        <f t="shared" si="1"/>
        <v>0</v>
      </c>
      <c r="R137" s="26">
        <f t="shared" si="2"/>
        <v>0</v>
      </c>
      <c r="S137" s="26">
        <f t="shared" si="3"/>
        <v>0</v>
      </c>
      <c r="T137" s="26">
        <f t="shared" si="4"/>
        <v>0</v>
      </c>
      <c r="U137" s="28">
        <f t="shared" si="5"/>
        <v>0</v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23" t="s">
        <v>21</v>
      </c>
      <c r="B138" s="24">
        <f t="shared" si="6"/>
        <v>46155</v>
      </c>
      <c r="C138" s="26">
        <v>5.0</v>
      </c>
      <c r="D138" s="26" t="s">
        <v>28</v>
      </c>
      <c r="E138" s="22" t="s">
        <v>31</v>
      </c>
      <c r="F138" s="22" t="s">
        <v>32</v>
      </c>
      <c r="G138" s="19"/>
      <c r="I138" s="20"/>
      <c r="K138" s="20"/>
      <c r="M138" s="20"/>
      <c r="O138" s="20"/>
      <c r="Q138" s="27">
        <f t="shared" si="1"/>
        <v>0</v>
      </c>
      <c r="R138" s="26">
        <f t="shared" si="2"/>
        <v>0</v>
      </c>
      <c r="S138" s="26">
        <f t="shared" si="3"/>
        <v>0</v>
      </c>
      <c r="T138" s="26">
        <f t="shared" si="4"/>
        <v>0</v>
      </c>
      <c r="U138" s="28">
        <f t="shared" si="5"/>
        <v>0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23" t="s">
        <v>22</v>
      </c>
      <c r="B139" s="24">
        <f t="shared" si="6"/>
        <v>46156</v>
      </c>
      <c r="C139" s="26">
        <v>5.0</v>
      </c>
      <c r="D139" s="26" t="s">
        <v>28</v>
      </c>
      <c r="E139" s="22" t="s">
        <v>29</v>
      </c>
      <c r="F139" s="22" t="s">
        <v>30</v>
      </c>
      <c r="G139" s="19"/>
      <c r="I139" s="20"/>
      <c r="K139" s="20"/>
      <c r="M139" s="20"/>
      <c r="O139" s="20"/>
      <c r="Q139" s="27">
        <f t="shared" si="1"/>
        <v>0</v>
      </c>
      <c r="R139" s="26">
        <f t="shared" si="2"/>
        <v>0</v>
      </c>
      <c r="S139" s="26">
        <f t="shared" si="3"/>
        <v>0</v>
      </c>
      <c r="T139" s="26">
        <f t="shared" si="4"/>
        <v>0</v>
      </c>
      <c r="U139" s="28">
        <f t="shared" si="5"/>
        <v>0</v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23" t="s">
        <v>23</v>
      </c>
      <c r="B140" s="24">
        <f t="shared" si="6"/>
        <v>46157</v>
      </c>
      <c r="C140" s="26">
        <v>5.0</v>
      </c>
      <c r="D140" s="26" t="s">
        <v>28</v>
      </c>
      <c r="E140" s="22" t="s">
        <v>29</v>
      </c>
      <c r="F140" s="22" t="s">
        <v>30</v>
      </c>
      <c r="G140" s="19"/>
      <c r="I140" s="20"/>
      <c r="K140" s="20"/>
      <c r="M140" s="20"/>
      <c r="O140" s="20"/>
      <c r="Q140" s="27">
        <f t="shared" si="1"/>
        <v>0</v>
      </c>
      <c r="R140" s="26">
        <f t="shared" si="2"/>
        <v>0</v>
      </c>
      <c r="S140" s="26">
        <f t="shared" si="3"/>
        <v>0</v>
      </c>
      <c r="T140" s="26">
        <f t="shared" si="4"/>
        <v>0</v>
      </c>
      <c r="U140" s="28">
        <f t="shared" si="5"/>
        <v>0</v>
      </c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23" t="s">
        <v>24</v>
      </c>
      <c r="B141" s="24">
        <f t="shared" si="6"/>
        <v>46158</v>
      </c>
      <c r="C141" s="26">
        <v>5.0</v>
      </c>
      <c r="D141" s="26" t="s">
        <v>28</v>
      </c>
      <c r="E141" s="22" t="s">
        <v>29</v>
      </c>
      <c r="F141" s="22" t="s">
        <v>30</v>
      </c>
      <c r="G141" s="19"/>
      <c r="I141" s="20"/>
      <c r="K141" s="20"/>
      <c r="M141" s="20"/>
      <c r="O141" s="20"/>
      <c r="Q141" s="27">
        <f t="shared" si="1"/>
        <v>0</v>
      </c>
      <c r="R141" s="26">
        <f t="shared" si="2"/>
        <v>0</v>
      </c>
      <c r="S141" s="26">
        <f t="shared" si="3"/>
        <v>0</v>
      </c>
      <c r="T141" s="26">
        <f t="shared" si="4"/>
        <v>0</v>
      </c>
      <c r="U141" s="28">
        <f t="shared" si="5"/>
        <v>0</v>
      </c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29" t="s">
        <v>25</v>
      </c>
      <c r="B142" s="30">
        <f t="shared" si="6"/>
        <v>46159</v>
      </c>
      <c r="C142" s="32">
        <v>5.0</v>
      </c>
      <c r="D142" s="32" t="s">
        <v>28</v>
      </c>
      <c r="E142" s="33" t="s">
        <v>29</v>
      </c>
      <c r="F142" s="33" t="s">
        <v>30</v>
      </c>
      <c r="G142" s="34"/>
      <c r="H142" s="6"/>
      <c r="I142" s="35"/>
      <c r="J142" s="6"/>
      <c r="K142" s="35"/>
      <c r="L142" s="6"/>
      <c r="M142" s="35"/>
      <c r="N142" s="6"/>
      <c r="O142" s="35"/>
      <c r="P142" s="6"/>
      <c r="Q142" s="36">
        <f t="shared" si="1"/>
        <v>0</v>
      </c>
      <c r="R142" s="32">
        <f t="shared" si="2"/>
        <v>0</v>
      </c>
      <c r="S142" s="32">
        <f t="shared" si="3"/>
        <v>0</v>
      </c>
      <c r="T142" s="32">
        <f t="shared" si="4"/>
        <v>0</v>
      </c>
      <c r="U142" s="37">
        <f t="shared" si="5"/>
        <v>0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14" t="s">
        <v>18</v>
      </c>
      <c r="B143" s="15">
        <f t="shared" si="6"/>
        <v>46160</v>
      </c>
      <c r="C143" s="17">
        <v>6.0</v>
      </c>
      <c r="D143" s="17" t="s">
        <v>19</v>
      </c>
      <c r="E143" s="18" t="s">
        <v>29</v>
      </c>
      <c r="F143" s="18" t="s">
        <v>30</v>
      </c>
      <c r="G143" s="19"/>
      <c r="I143" s="20"/>
      <c r="K143" s="20"/>
      <c r="M143" s="20"/>
      <c r="O143" s="20"/>
      <c r="Q143" s="21">
        <f t="shared" si="1"/>
        <v>0</v>
      </c>
      <c r="R143" s="17">
        <f t="shared" si="2"/>
        <v>0</v>
      </c>
      <c r="S143" s="17">
        <f t="shared" si="3"/>
        <v>0</v>
      </c>
      <c r="T143" s="17">
        <f t="shared" si="4"/>
        <v>0</v>
      </c>
      <c r="U143" s="38">
        <f t="shared" si="5"/>
        <v>0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23" t="s">
        <v>20</v>
      </c>
      <c r="B144" s="24">
        <f t="shared" si="6"/>
        <v>46161</v>
      </c>
      <c r="C144" s="26">
        <v>6.0</v>
      </c>
      <c r="D144" s="26" t="s">
        <v>19</v>
      </c>
      <c r="E144" s="22" t="s">
        <v>29</v>
      </c>
      <c r="F144" s="22" t="s">
        <v>30</v>
      </c>
      <c r="G144" s="19"/>
      <c r="I144" s="20"/>
      <c r="K144" s="20"/>
      <c r="M144" s="20"/>
      <c r="O144" s="20"/>
      <c r="Q144" s="27">
        <f t="shared" si="1"/>
        <v>0</v>
      </c>
      <c r="R144" s="26">
        <f t="shared" si="2"/>
        <v>0</v>
      </c>
      <c r="S144" s="26">
        <f t="shared" si="3"/>
        <v>0</v>
      </c>
      <c r="T144" s="26">
        <f t="shared" si="4"/>
        <v>0</v>
      </c>
      <c r="U144" s="28">
        <f t="shared" si="5"/>
        <v>0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23" t="s">
        <v>21</v>
      </c>
      <c r="B145" s="24">
        <f t="shared" si="6"/>
        <v>46162</v>
      </c>
      <c r="C145" s="26">
        <v>6.0</v>
      </c>
      <c r="D145" s="26" t="s">
        <v>19</v>
      </c>
      <c r="E145" s="22" t="s">
        <v>29</v>
      </c>
      <c r="F145" s="22" t="s">
        <v>30</v>
      </c>
      <c r="G145" s="19"/>
      <c r="I145" s="20"/>
      <c r="K145" s="20"/>
      <c r="M145" s="20"/>
      <c r="O145" s="20"/>
      <c r="Q145" s="27">
        <f t="shared" si="1"/>
        <v>0</v>
      </c>
      <c r="R145" s="26">
        <f t="shared" si="2"/>
        <v>0</v>
      </c>
      <c r="S145" s="26">
        <f t="shared" si="3"/>
        <v>0</v>
      </c>
      <c r="T145" s="26">
        <f t="shared" si="4"/>
        <v>0</v>
      </c>
      <c r="U145" s="28">
        <f t="shared" si="5"/>
        <v>0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23" t="s">
        <v>22</v>
      </c>
      <c r="B146" s="24">
        <f t="shared" si="6"/>
        <v>46163</v>
      </c>
      <c r="C146" s="26">
        <v>6.0</v>
      </c>
      <c r="D146" s="26" t="s">
        <v>19</v>
      </c>
      <c r="E146" s="22" t="s">
        <v>29</v>
      </c>
      <c r="F146" s="22" t="s">
        <v>30</v>
      </c>
      <c r="G146" s="19"/>
      <c r="I146" s="20"/>
      <c r="K146" s="20"/>
      <c r="M146" s="20"/>
      <c r="O146" s="20"/>
      <c r="Q146" s="27">
        <f t="shared" si="1"/>
        <v>0</v>
      </c>
      <c r="R146" s="26">
        <f t="shared" si="2"/>
        <v>0</v>
      </c>
      <c r="S146" s="26">
        <f t="shared" si="3"/>
        <v>0</v>
      </c>
      <c r="T146" s="26">
        <f t="shared" si="4"/>
        <v>0</v>
      </c>
      <c r="U146" s="28">
        <f t="shared" si="5"/>
        <v>0</v>
      </c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23" t="s">
        <v>23</v>
      </c>
      <c r="B147" s="24">
        <f t="shared" si="6"/>
        <v>46164</v>
      </c>
      <c r="C147" s="26">
        <v>6.0</v>
      </c>
      <c r="D147" s="26" t="s">
        <v>19</v>
      </c>
      <c r="E147" s="22" t="s">
        <v>29</v>
      </c>
      <c r="F147" s="22" t="s">
        <v>30</v>
      </c>
      <c r="G147" s="19"/>
      <c r="I147" s="20"/>
      <c r="K147" s="20"/>
      <c r="M147" s="20"/>
      <c r="O147" s="20"/>
      <c r="Q147" s="27">
        <f t="shared" si="1"/>
        <v>0</v>
      </c>
      <c r="R147" s="26">
        <f t="shared" si="2"/>
        <v>0</v>
      </c>
      <c r="S147" s="26">
        <f t="shared" si="3"/>
        <v>0</v>
      </c>
      <c r="T147" s="26">
        <f t="shared" si="4"/>
        <v>0</v>
      </c>
      <c r="U147" s="28">
        <f t="shared" si="5"/>
        <v>0</v>
      </c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23" t="s">
        <v>24</v>
      </c>
      <c r="B148" s="24">
        <f t="shared" si="6"/>
        <v>46165</v>
      </c>
      <c r="C148" s="26">
        <v>6.0</v>
      </c>
      <c r="D148" s="26" t="s">
        <v>19</v>
      </c>
      <c r="E148" s="22" t="s">
        <v>29</v>
      </c>
      <c r="F148" s="22" t="s">
        <v>30</v>
      </c>
      <c r="G148" s="19"/>
      <c r="I148" s="20"/>
      <c r="K148" s="20"/>
      <c r="M148" s="20"/>
      <c r="O148" s="20"/>
      <c r="Q148" s="27">
        <f t="shared" si="1"/>
        <v>0</v>
      </c>
      <c r="R148" s="26">
        <f t="shared" si="2"/>
        <v>0</v>
      </c>
      <c r="S148" s="26">
        <f t="shared" si="3"/>
        <v>0</v>
      </c>
      <c r="T148" s="26">
        <f t="shared" si="4"/>
        <v>0</v>
      </c>
      <c r="U148" s="28">
        <f t="shared" si="5"/>
        <v>0</v>
      </c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29" t="s">
        <v>25</v>
      </c>
      <c r="B149" s="30">
        <f t="shared" si="6"/>
        <v>46166</v>
      </c>
      <c r="C149" s="32">
        <v>6.0</v>
      </c>
      <c r="D149" s="32" t="s">
        <v>19</v>
      </c>
      <c r="E149" s="33" t="s">
        <v>29</v>
      </c>
      <c r="F149" s="33" t="s">
        <v>30</v>
      </c>
      <c r="G149" s="34"/>
      <c r="H149" s="6"/>
      <c r="I149" s="35"/>
      <c r="J149" s="6"/>
      <c r="K149" s="35"/>
      <c r="L149" s="6"/>
      <c r="M149" s="35"/>
      <c r="N149" s="6"/>
      <c r="O149" s="35"/>
      <c r="P149" s="6"/>
      <c r="Q149" s="36">
        <f t="shared" si="1"/>
        <v>0</v>
      </c>
      <c r="R149" s="32">
        <f t="shared" si="2"/>
        <v>0</v>
      </c>
      <c r="S149" s="32">
        <f t="shared" si="3"/>
        <v>0</v>
      </c>
      <c r="T149" s="32">
        <f t="shared" si="4"/>
        <v>0</v>
      </c>
      <c r="U149" s="37">
        <f t="shared" si="5"/>
        <v>0</v>
      </c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14" t="s">
        <v>18</v>
      </c>
      <c r="B150" s="15">
        <f t="shared" si="6"/>
        <v>46167</v>
      </c>
      <c r="C150" s="17">
        <v>6.0</v>
      </c>
      <c r="D150" s="17" t="s">
        <v>26</v>
      </c>
      <c r="E150" s="18" t="s">
        <v>31</v>
      </c>
      <c r="F150" s="18" t="s">
        <v>32</v>
      </c>
      <c r="G150" s="19"/>
      <c r="I150" s="20"/>
      <c r="K150" s="20"/>
      <c r="M150" s="20"/>
      <c r="O150" s="20"/>
      <c r="Q150" s="21">
        <f t="shared" si="1"/>
        <v>0</v>
      </c>
      <c r="R150" s="17">
        <f t="shared" si="2"/>
        <v>0</v>
      </c>
      <c r="S150" s="17">
        <f t="shared" si="3"/>
        <v>0</v>
      </c>
      <c r="T150" s="17">
        <f t="shared" si="4"/>
        <v>0</v>
      </c>
      <c r="U150" s="38">
        <f t="shared" si="5"/>
        <v>0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23" t="s">
        <v>20</v>
      </c>
      <c r="B151" s="24">
        <f t="shared" si="6"/>
        <v>46168</v>
      </c>
      <c r="C151" s="26">
        <v>6.0</v>
      </c>
      <c r="D151" s="26" t="s">
        <v>26</v>
      </c>
      <c r="E151" s="22" t="s">
        <v>31</v>
      </c>
      <c r="F151" s="22" t="s">
        <v>32</v>
      </c>
      <c r="G151" s="19"/>
      <c r="I151" s="20"/>
      <c r="K151" s="20"/>
      <c r="M151" s="20"/>
      <c r="O151" s="20"/>
      <c r="Q151" s="27">
        <f t="shared" si="1"/>
        <v>0</v>
      </c>
      <c r="R151" s="26">
        <f t="shared" si="2"/>
        <v>0</v>
      </c>
      <c r="S151" s="26">
        <f t="shared" si="3"/>
        <v>0</v>
      </c>
      <c r="T151" s="26">
        <f t="shared" si="4"/>
        <v>0</v>
      </c>
      <c r="U151" s="28">
        <f t="shared" si="5"/>
        <v>0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23" t="s">
        <v>21</v>
      </c>
      <c r="B152" s="24">
        <f t="shared" si="6"/>
        <v>46169</v>
      </c>
      <c r="C152" s="26">
        <v>6.0</v>
      </c>
      <c r="D152" s="26" t="s">
        <v>26</v>
      </c>
      <c r="E152" s="22" t="s">
        <v>31</v>
      </c>
      <c r="F152" s="22" t="s">
        <v>32</v>
      </c>
      <c r="G152" s="19"/>
      <c r="I152" s="20"/>
      <c r="K152" s="20"/>
      <c r="M152" s="20"/>
      <c r="O152" s="20"/>
      <c r="Q152" s="27">
        <f t="shared" si="1"/>
        <v>0</v>
      </c>
      <c r="R152" s="26">
        <f t="shared" si="2"/>
        <v>0</v>
      </c>
      <c r="S152" s="26">
        <f t="shared" si="3"/>
        <v>0</v>
      </c>
      <c r="T152" s="26">
        <f t="shared" si="4"/>
        <v>0</v>
      </c>
      <c r="U152" s="28">
        <f t="shared" si="5"/>
        <v>0</v>
      </c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23" t="s">
        <v>22</v>
      </c>
      <c r="B153" s="24">
        <f t="shared" si="6"/>
        <v>46170</v>
      </c>
      <c r="C153" s="26">
        <v>6.0</v>
      </c>
      <c r="D153" s="26" t="s">
        <v>26</v>
      </c>
      <c r="E153" s="22" t="s">
        <v>31</v>
      </c>
      <c r="F153" s="22" t="s">
        <v>32</v>
      </c>
      <c r="G153" s="19"/>
      <c r="I153" s="20"/>
      <c r="K153" s="20"/>
      <c r="M153" s="20"/>
      <c r="O153" s="20"/>
      <c r="Q153" s="27">
        <f t="shared" si="1"/>
        <v>0</v>
      </c>
      <c r="R153" s="26">
        <f t="shared" si="2"/>
        <v>0</v>
      </c>
      <c r="S153" s="26">
        <f t="shared" si="3"/>
        <v>0</v>
      </c>
      <c r="T153" s="26">
        <f t="shared" si="4"/>
        <v>0</v>
      </c>
      <c r="U153" s="28">
        <f t="shared" si="5"/>
        <v>0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23" t="s">
        <v>23</v>
      </c>
      <c r="B154" s="24">
        <f t="shared" si="6"/>
        <v>46171</v>
      </c>
      <c r="C154" s="26">
        <v>6.0</v>
      </c>
      <c r="D154" s="26" t="s">
        <v>26</v>
      </c>
      <c r="E154" s="22" t="s">
        <v>31</v>
      </c>
      <c r="F154" s="22" t="s">
        <v>32</v>
      </c>
      <c r="G154" s="19"/>
      <c r="I154" s="20"/>
      <c r="K154" s="20"/>
      <c r="M154" s="20"/>
      <c r="O154" s="20"/>
      <c r="Q154" s="27">
        <f t="shared" si="1"/>
        <v>0</v>
      </c>
      <c r="R154" s="26">
        <f t="shared" si="2"/>
        <v>0</v>
      </c>
      <c r="S154" s="26">
        <f t="shared" si="3"/>
        <v>0</v>
      </c>
      <c r="T154" s="26">
        <f t="shared" si="4"/>
        <v>0</v>
      </c>
      <c r="U154" s="28">
        <f t="shared" si="5"/>
        <v>0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23" t="s">
        <v>24</v>
      </c>
      <c r="B155" s="24">
        <f t="shared" si="6"/>
        <v>46172</v>
      </c>
      <c r="C155" s="26">
        <v>6.0</v>
      </c>
      <c r="D155" s="26" t="s">
        <v>26</v>
      </c>
      <c r="E155" s="22" t="s">
        <v>31</v>
      </c>
      <c r="F155" s="22" t="s">
        <v>32</v>
      </c>
      <c r="G155" s="19"/>
      <c r="I155" s="20"/>
      <c r="K155" s="20"/>
      <c r="M155" s="20"/>
      <c r="O155" s="20"/>
      <c r="Q155" s="27">
        <f t="shared" si="1"/>
        <v>0</v>
      </c>
      <c r="R155" s="26">
        <f t="shared" si="2"/>
        <v>0</v>
      </c>
      <c r="S155" s="26">
        <f t="shared" si="3"/>
        <v>0</v>
      </c>
      <c r="T155" s="26">
        <f t="shared" si="4"/>
        <v>0</v>
      </c>
      <c r="U155" s="28">
        <f t="shared" si="5"/>
        <v>0</v>
      </c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29" t="s">
        <v>25</v>
      </c>
      <c r="B156" s="30">
        <f t="shared" si="6"/>
        <v>46173</v>
      </c>
      <c r="C156" s="32">
        <v>6.0</v>
      </c>
      <c r="D156" s="32" t="s">
        <v>26</v>
      </c>
      <c r="E156" s="33" t="s">
        <v>31</v>
      </c>
      <c r="F156" s="33" t="s">
        <v>32</v>
      </c>
      <c r="G156" s="34"/>
      <c r="H156" s="6"/>
      <c r="I156" s="35"/>
      <c r="J156" s="6"/>
      <c r="K156" s="35"/>
      <c r="L156" s="6"/>
      <c r="M156" s="35"/>
      <c r="N156" s="6"/>
      <c r="O156" s="35"/>
      <c r="P156" s="6"/>
      <c r="Q156" s="36">
        <f t="shared" si="1"/>
        <v>0</v>
      </c>
      <c r="R156" s="32">
        <f t="shared" si="2"/>
        <v>0</v>
      </c>
      <c r="S156" s="32">
        <f t="shared" si="3"/>
        <v>0</v>
      </c>
      <c r="T156" s="32">
        <f t="shared" si="4"/>
        <v>0</v>
      </c>
      <c r="U156" s="37">
        <f t="shared" si="5"/>
        <v>0</v>
      </c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14" t="s">
        <v>18</v>
      </c>
      <c r="B157" s="15">
        <f t="shared" si="6"/>
        <v>46174</v>
      </c>
      <c r="C157" s="17">
        <v>6.0</v>
      </c>
      <c r="D157" s="17" t="s">
        <v>27</v>
      </c>
      <c r="E157" s="18" t="s">
        <v>29</v>
      </c>
      <c r="F157" s="18" t="s">
        <v>30</v>
      </c>
      <c r="G157" s="19"/>
      <c r="I157" s="20"/>
      <c r="K157" s="20"/>
      <c r="M157" s="20"/>
      <c r="O157" s="20"/>
      <c r="Q157" s="21">
        <f t="shared" si="1"/>
        <v>0</v>
      </c>
      <c r="R157" s="17">
        <f t="shared" si="2"/>
        <v>0</v>
      </c>
      <c r="S157" s="17">
        <f t="shared" si="3"/>
        <v>0</v>
      </c>
      <c r="T157" s="17">
        <f t="shared" si="4"/>
        <v>0</v>
      </c>
      <c r="U157" s="38">
        <f t="shared" si="5"/>
        <v>0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23" t="s">
        <v>20</v>
      </c>
      <c r="B158" s="24">
        <f t="shared" si="6"/>
        <v>46175</v>
      </c>
      <c r="C158" s="26">
        <v>6.0</v>
      </c>
      <c r="D158" s="26" t="s">
        <v>27</v>
      </c>
      <c r="E158" s="22" t="s">
        <v>29</v>
      </c>
      <c r="F158" s="22" t="s">
        <v>30</v>
      </c>
      <c r="G158" s="19"/>
      <c r="I158" s="20"/>
      <c r="K158" s="20"/>
      <c r="M158" s="20"/>
      <c r="O158" s="20"/>
      <c r="Q158" s="27">
        <f t="shared" si="1"/>
        <v>0</v>
      </c>
      <c r="R158" s="26">
        <f t="shared" si="2"/>
        <v>0</v>
      </c>
      <c r="S158" s="26">
        <f t="shared" si="3"/>
        <v>0</v>
      </c>
      <c r="T158" s="26">
        <f t="shared" si="4"/>
        <v>0</v>
      </c>
      <c r="U158" s="28">
        <f t="shared" si="5"/>
        <v>0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23" t="s">
        <v>21</v>
      </c>
      <c r="B159" s="24">
        <f t="shared" si="6"/>
        <v>46176</v>
      </c>
      <c r="C159" s="26">
        <v>6.0</v>
      </c>
      <c r="D159" s="26" t="s">
        <v>27</v>
      </c>
      <c r="E159" s="22" t="s">
        <v>29</v>
      </c>
      <c r="F159" s="22" t="s">
        <v>30</v>
      </c>
      <c r="G159" s="19"/>
      <c r="I159" s="20"/>
      <c r="K159" s="20"/>
      <c r="M159" s="20"/>
      <c r="O159" s="20"/>
      <c r="Q159" s="27">
        <f t="shared" si="1"/>
        <v>0</v>
      </c>
      <c r="R159" s="26">
        <f t="shared" si="2"/>
        <v>0</v>
      </c>
      <c r="S159" s="26">
        <f t="shared" si="3"/>
        <v>0</v>
      </c>
      <c r="T159" s="26">
        <f t="shared" si="4"/>
        <v>0</v>
      </c>
      <c r="U159" s="28">
        <f t="shared" si="5"/>
        <v>0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23" t="s">
        <v>22</v>
      </c>
      <c r="B160" s="24">
        <f t="shared" si="6"/>
        <v>46177</v>
      </c>
      <c r="C160" s="26">
        <v>6.0</v>
      </c>
      <c r="D160" s="26" t="s">
        <v>27</v>
      </c>
      <c r="E160" s="22" t="s">
        <v>29</v>
      </c>
      <c r="F160" s="22" t="s">
        <v>30</v>
      </c>
      <c r="G160" s="19"/>
      <c r="I160" s="20"/>
      <c r="K160" s="20"/>
      <c r="M160" s="20"/>
      <c r="O160" s="20"/>
      <c r="Q160" s="27">
        <f t="shared" si="1"/>
        <v>0</v>
      </c>
      <c r="R160" s="26">
        <f t="shared" si="2"/>
        <v>0</v>
      </c>
      <c r="S160" s="26">
        <f t="shared" si="3"/>
        <v>0</v>
      </c>
      <c r="T160" s="26">
        <f t="shared" si="4"/>
        <v>0</v>
      </c>
      <c r="U160" s="28">
        <f t="shared" si="5"/>
        <v>0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23" t="s">
        <v>23</v>
      </c>
      <c r="B161" s="24">
        <f t="shared" si="6"/>
        <v>46178</v>
      </c>
      <c r="C161" s="26">
        <v>6.0</v>
      </c>
      <c r="D161" s="26" t="s">
        <v>27</v>
      </c>
      <c r="E161" s="22" t="s">
        <v>31</v>
      </c>
      <c r="F161" s="22" t="s">
        <v>32</v>
      </c>
      <c r="G161" s="19"/>
      <c r="I161" s="20"/>
      <c r="K161" s="20"/>
      <c r="M161" s="20"/>
      <c r="O161" s="20"/>
      <c r="Q161" s="27">
        <f t="shared" si="1"/>
        <v>0</v>
      </c>
      <c r="R161" s="26">
        <f t="shared" si="2"/>
        <v>0</v>
      </c>
      <c r="S161" s="26">
        <f t="shared" si="3"/>
        <v>0</v>
      </c>
      <c r="T161" s="26">
        <f t="shared" si="4"/>
        <v>0</v>
      </c>
      <c r="U161" s="28">
        <f t="shared" si="5"/>
        <v>0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23" t="s">
        <v>24</v>
      </c>
      <c r="B162" s="24">
        <f t="shared" si="6"/>
        <v>46179</v>
      </c>
      <c r="C162" s="26">
        <v>6.0</v>
      </c>
      <c r="D162" s="26" t="s">
        <v>27</v>
      </c>
      <c r="E162" s="22" t="s">
        <v>31</v>
      </c>
      <c r="F162" s="22" t="s">
        <v>32</v>
      </c>
      <c r="G162" s="19"/>
      <c r="I162" s="20"/>
      <c r="K162" s="20"/>
      <c r="M162" s="20"/>
      <c r="O162" s="20"/>
      <c r="Q162" s="27">
        <f t="shared" si="1"/>
        <v>0</v>
      </c>
      <c r="R162" s="26">
        <f t="shared" si="2"/>
        <v>0</v>
      </c>
      <c r="S162" s="26">
        <f t="shared" si="3"/>
        <v>0</v>
      </c>
      <c r="T162" s="26">
        <f t="shared" si="4"/>
        <v>0</v>
      </c>
      <c r="U162" s="28">
        <f t="shared" si="5"/>
        <v>0</v>
      </c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29" t="s">
        <v>25</v>
      </c>
      <c r="B163" s="30">
        <f t="shared" si="6"/>
        <v>46180</v>
      </c>
      <c r="C163" s="32">
        <v>6.0</v>
      </c>
      <c r="D163" s="32" t="s">
        <v>27</v>
      </c>
      <c r="E163" s="33" t="s">
        <v>31</v>
      </c>
      <c r="F163" s="33" t="s">
        <v>32</v>
      </c>
      <c r="G163" s="34"/>
      <c r="H163" s="6"/>
      <c r="I163" s="35"/>
      <c r="J163" s="6"/>
      <c r="K163" s="35"/>
      <c r="L163" s="6"/>
      <c r="M163" s="35"/>
      <c r="N163" s="6"/>
      <c r="O163" s="35"/>
      <c r="P163" s="6"/>
      <c r="Q163" s="36">
        <f t="shared" si="1"/>
        <v>0</v>
      </c>
      <c r="R163" s="32">
        <f t="shared" si="2"/>
        <v>0</v>
      </c>
      <c r="S163" s="32">
        <f t="shared" si="3"/>
        <v>0</v>
      </c>
      <c r="T163" s="32">
        <f t="shared" si="4"/>
        <v>0</v>
      </c>
      <c r="U163" s="37">
        <f t="shared" si="5"/>
        <v>0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14" t="s">
        <v>18</v>
      </c>
      <c r="B164" s="15">
        <f t="shared" si="6"/>
        <v>46181</v>
      </c>
      <c r="C164" s="17">
        <v>6.0</v>
      </c>
      <c r="D164" s="17" t="s">
        <v>28</v>
      </c>
      <c r="E164" s="18" t="s">
        <v>29</v>
      </c>
      <c r="F164" s="18" t="s">
        <v>30</v>
      </c>
      <c r="G164" s="19"/>
      <c r="I164" s="20"/>
      <c r="K164" s="20"/>
      <c r="M164" s="20"/>
      <c r="O164" s="20"/>
      <c r="Q164" s="21">
        <f t="shared" si="1"/>
        <v>0</v>
      </c>
      <c r="R164" s="17">
        <f t="shared" si="2"/>
        <v>0</v>
      </c>
      <c r="S164" s="17">
        <f t="shared" si="3"/>
        <v>0</v>
      </c>
      <c r="T164" s="17">
        <f t="shared" si="4"/>
        <v>0</v>
      </c>
      <c r="U164" s="38">
        <f t="shared" si="5"/>
        <v>0</v>
      </c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23" t="s">
        <v>20</v>
      </c>
      <c r="B165" s="24">
        <f t="shared" si="6"/>
        <v>46182</v>
      </c>
      <c r="C165" s="26">
        <v>6.0</v>
      </c>
      <c r="D165" s="26" t="s">
        <v>28</v>
      </c>
      <c r="E165" s="22" t="s">
        <v>29</v>
      </c>
      <c r="F165" s="22" t="s">
        <v>30</v>
      </c>
      <c r="G165" s="19"/>
      <c r="I165" s="20"/>
      <c r="K165" s="20"/>
      <c r="M165" s="20"/>
      <c r="O165" s="20"/>
      <c r="Q165" s="27">
        <f t="shared" si="1"/>
        <v>0</v>
      </c>
      <c r="R165" s="26">
        <f t="shared" si="2"/>
        <v>0</v>
      </c>
      <c r="S165" s="26">
        <f t="shared" si="3"/>
        <v>0</v>
      </c>
      <c r="T165" s="26">
        <f t="shared" si="4"/>
        <v>0</v>
      </c>
      <c r="U165" s="28">
        <f t="shared" si="5"/>
        <v>0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23" t="s">
        <v>21</v>
      </c>
      <c r="B166" s="24">
        <f t="shared" si="6"/>
        <v>46183</v>
      </c>
      <c r="C166" s="26">
        <v>6.0</v>
      </c>
      <c r="D166" s="26" t="s">
        <v>28</v>
      </c>
      <c r="E166" s="22" t="s">
        <v>29</v>
      </c>
      <c r="F166" s="22" t="s">
        <v>30</v>
      </c>
      <c r="G166" s="19"/>
      <c r="I166" s="20"/>
      <c r="K166" s="20"/>
      <c r="M166" s="20"/>
      <c r="O166" s="20"/>
      <c r="Q166" s="27">
        <f t="shared" si="1"/>
        <v>0</v>
      </c>
      <c r="R166" s="26">
        <f t="shared" si="2"/>
        <v>0</v>
      </c>
      <c r="S166" s="26">
        <f t="shared" si="3"/>
        <v>0</v>
      </c>
      <c r="T166" s="26">
        <f t="shared" si="4"/>
        <v>0</v>
      </c>
      <c r="U166" s="28">
        <f t="shared" si="5"/>
        <v>0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23" t="s">
        <v>22</v>
      </c>
      <c r="B167" s="24">
        <f t="shared" si="6"/>
        <v>46184</v>
      </c>
      <c r="C167" s="26">
        <v>6.0</v>
      </c>
      <c r="D167" s="26" t="s">
        <v>28</v>
      </c>
      <c r="E167" s="22" t="s">
        <v>29</v>
      </c>
      <c r="F167" s="22" t="s">
        <v>30</v>
      </c>
      <c r="G167" s="19"/>
      <c r="I167" s="20"/>
      <c r="K167" s="20"/>
      <c r="M167" s="20"/>
      <c r="O167" s="20"/>
      <c r="Q167" s="27">
        <f t="shared" si="1"/>
        <v>0</v>
      </c>
      <c r="R167" s="26">
        <f t="shared" si="2"/>
        <v>0</v>
      </c>
      <c r="S167" s="26">
        <f t="shared" si="3"/>
        <v>0</v>
      </c>
      <c r="T167" s="26">
        <f t="shared" si="4"/>
        <v>0</v>
      </c>
      <c r="U167" s="28">
        <f t="shared" si="5"/>
        <v>0</v>
      </c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23" t="s">
        <v>23</v>
      </c>
      <c r="B168" s="24">
        <f t="shared" si="6"/>
        <v>46185</v>
      </c>
      <c r="C168" s="26">
        <v>6.0</v>
      </c>
      <c r="D168" s="26" t="s">
        <v>28</v>
      </c>
      <c r="E168" s="22" t="s">
        <v>29</v>
      </c>
      <c r="F168" s="22" t="s">
        <v>30</v>
      </c>
      <c r="G168" s="19"/>
      <c r="I168" s="20"/>
      <c r="K168" s="20"/>
      <c r="M168" s="20"/>
      <c r="O168" s="20"/>
      <c r="Q168" s="27">
        <f t="shared" si="1"/>
        <v>0</v>
      </c>
      <c r="R168" s="26">
        <f t="shared" si="2"/>
        <v>0</v>
      </c>
      <c r="S168" s="26">
        <f t="shared" si="3"/>
        <v>0</v>
      </c>
      <c r="T168" s="26">
        <f t="shared" si="4"/>
        <v>0</v>
      </c>
      <c r="U168" s="28">
        <f t="shared" si="5"/>
        <v>0</v>
      </c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23" t="s">
        <v>24</v>
      </c>
      <c r="B169" s="24">
        <f t="shared" si="6"/>
        <v>46186</v>
      </c>
      <c r="C169" s="26">
        <v>6.0</v>
      </c>
      <c r="D169" s="26" t="s">
        <v>28</v>
      </c>
      <c r="E169" s="22" t="s">
        <v>29</v>
      </c>
      <c r="F169" s="22" t="s">
        <v>30</v>
      </c>
      <c r="G169" s="19"/>
      <c r="I169" s="20"/>
      <c r="K169" s="20"/>
      <c r="M169" s="20"/>
      <c r="O169" s="20"/>
      <c r="Q169" s="27">
        <f t="shared" si="1"/>
        <v>0</v>
      </c>
      <c r="R169" s="26">
        <f t="shared" si="2"/>
        <v>0</v>
      </c>
      <c r="S169" s="26">
        <f t="shared" si="3"/>
        <v>0</v>
      </c>
      <c r="T169" s="26">
        <f t="shared" si="4"/>
        <v>0</v>
      </c>
      <c r="U169" s="28">
        <f t="shared" si="5"/>
        <v>0</v>
      </c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29" t="s">
        <v>25</v>
      </c>
      <c r="B170" s="30">
        <f t="shared" si="6"/>
        <v>46187</v>
      </c>
      <c r="C170" s="32">
        <v>6.0</v>
      </c>
      <c r="D170" s="32" t="s">
        <v>28</v>
      </c>
      <c r="E170" s="33" t="s">
        <v>29</v>
      </c>
      <c r="F170" s="33" t="s">
        <v>30</v>
      </c>
      <c r="G170" s="34"/>
      <c r="H170" s="6"/>
      <c r="I170" s="35"/>
      <c r="J170" s="6"/>
      <c r="K170" s="35"/>
      <c r="L170" s="6"/>
      <c r="M170" s="35"/>
      <c r="N170" s="6"/>
      <c r="O170" s="35"/>
      <c r="P170" s="6"/>
      <c r="Q170" s="36">
        <f t="shared" si="1"/>
        <v>0</v>
      </c>
      <c r="R170" s="32">
        <f t="shared" si="2"/>
        <v>0</v>
      </c>
      <c r="S170" s="32">
        <f t="shared" si="3"/>
        <v>0</v>
      </c>
      <c r="T170" s="32">
        <f t="shared" si="4"/>
        <v>0</v>
      </c>
      <c r="U170" s="37">
        <f t="shared" si="5"/>
        <v>0</v>
      </c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14" t="s">
        <v>18</v>
      </c>
      <c r="B171" s="15">
        <f t="shared" si="6"/>
        <v>46188</v>
      </c>
      <c r="C171" s="17">
        <v>7.0</v>
      </c>
      <c r="D171" s="17" t="s">
        <v>19</v>
      </c>
      <c r="E171" s="18" t="s">
        <v>31</v>
      </c>
      <c r="F171" s="18" t="s">
        <v>32</v>
      </c>
      <c r="G171" s="19"/>
      <c r="I171" s="20"/>
      <c r="K171" s="20"/>
      <c r="M171" s="20"/>
      <c r="O171" s="20"/>
      <c r="Q171" s="21">
        <f t="shared" si="1"/>
        <v>0</v>
      </c>
      <c r="R171" s="17">
        <f t="shared" si="2"/>
        <v>0</v>
      </c>
      <c r="S171" s="17">
        <f t="shared" si="3"/>
        <v>0</v>
      </c>
      <c r="T171" s="17">
        <f t="shared" si="4"/>
        <v>0</v>
      </c>
      <c r="U171" s="38">
        <f t="shared" si="5"/>
        <v>0</v>
      </c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23" t="s">
        <v>20</v>
      </c>
      <c r="B172" s="24">
        <f t="shared" si="6"/>
        <v>46189</v>
      </c>
      <c r="C172" s="26">
        <v>7.0</v>
      </c>
      <c r="D172" s="26" t="s">
        <v>19</v>
      </c>
      <c r="E172" s="22" t="s">
        <v>31</v>
      </c>
      <c r="F172" s="22" t="s">
        <v>32</v>
      </c>
      <c r="G172" s="19"/>
      <c r="I172" s="20"/>
      <c r="K172" s="20"/>
      <c r="M172" s="20"/>
      <c r="O172" s="20"/>
      <c r="Q172" s="27">
        <f t="shared" si="1"/>
        <v>0</v>
      </c>
      <c r="R172" s="26">
        <f t="shared" si="2"/>
        <v>0</v>
      </c>
      <c r="S172" s="26">
        <f t="shared" si="3"/>
        <v>0</v>
      </c>
      <c r="T172" s="26">
        <f t="shared" si="4"/>
        <v>0</v>
      </c>
      <c r="U172" s="28">
        <f t="shared" si="5"/>
        <v>0</v>
      </c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23" t="s">
        <v>21</v>
      </c>
      <c r="B173" s="24">
        <f t="shared" si="6"/>
        <v>46190</v>
      </c>
      <c r="C173" s="26">
        <v>7.0</v>
      </c>
      <c r="D173" s="26" t="s">
        <v>19</v>
      </c>
      <c r="E173" s="22" t="s">
        <v>33</v>
      </c>
      <c r="F173" s="22" t="s">
        <v>30</v>
      </c>
      <c r="G173" s="19"/>
      <c r="I173" s="20"/>
      <c r="K173" s="20"/>
      <c r="M173" s="20"/>
      <c r="O173" s="20"/>
      <c r="Q173" s="27">
        <f t="shared" si="1"/>
        <v>0</v>
      </c>
      <c r="R173" s="26">
        <f t="shared" si="2"/>
        <v>0</v>
      </c>
      <c r="S173" s="26">
        <f t="shared" si="3"/>
        <v>0</v>
      </c>
      <c r="T173" s="26">
        <f t="shared" si="4"/>
        <v>0</v>
      </c>
      <c r="U173" s="28">
        <f t="shared" si="5"/>
        <v>0</v>
      </c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23" t="s">
        <v>22</v>
      </c>
      <c r="B174" s="24">
        <f t="shared" si="6"/>
        <v>46191</v>
      </c>
      <c r="C174" s="26">
        <v>7.0</v>
      </c>
      <c r="D174" s="26" t="s">
        <v>19</v>
      </c>
      <c r="E174" s="22" t="s">
        <v>31</v>
      </c>
      <c r="F174" s="22" t="s">
        <v>32</v>
      </c>
      <c r="G174" s="19"/>
      <c r="I174" s="20"/>
      <c r="K174" s="20"/>
      <c r="M174" s="20"/>
      <c r="O174" s="20"/>
      <c r="Q174" s="27">
        <f t="shared" si="1"/>
        <v>0</v>
      </c>
      <c r="R174" s="26">
        <f t="shared" si="2"/>
        <v>0</v>
      </c>
      <c r="S174" s="26">
        <f t="shared" si="3"/>
        <v>0</v>
      </c>
      <c r="T174" s="26">
        <f t="shared" si="4"/>
        <v>0</v>
      </c>
      <c r="U174" s="28">
        <f t="shared" si="5"/>
        <v>0</v>
      </c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23" t="s">
        <v>23</v>
      </c>
      <c r="B175" s="24">
        <f t="shared" si="6"/>
        <v>46192</v>
      </c>
      <c r="C175" s="26">
        <v>7.0</v>
      </c>
      <c r="D175" s="26" t="s">
        <v>19</v>
      </c>
      <c r="E175" s="22" t="s">
        <v>31</v>
      </c>
      <c r="F175" s="22" t="s">
        <v>32</v>
      </c>
      <c r="G175" s="19"/>
      <c r="I175" s="20"/>
      <c r="K175" s="20"/>
      <c r="M175" s="20"/>
      <c r="O175" s="20"/>
      <c r="Q175" s="27">
        <f t="shared" si="1"/>
        <v>0</v>
      </c>
      <c r="R175" s="26">
        <f t="shared" si="2"/>
        <v>0</v>
      </c>
      <c r="S175" s="26">
        <f t="shared" si="3"/>
        <v>0</v>
      </c>
      <c r="T175" s="26">
        <f t="shared" si="4"/>
        <v>0</v>
      </c>
      <c r="U175" s="28">
        <f t="shared" si="5"/>
        <v>0</v>
      </c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23" t="s">
        <v>24</v>
      </c>
      <c r="B176" s="24">
        <f t="shared" si="6"/>
        <v>46193</v>
      </c>
      <c r="C176" s="26">
        <v>7.0</v>
      </c>
      <c r="D176" s="26" t="s">
        <v>19</v>
      </c>
      <c r="E176" s="22" t="s">
        <v>31</v>
      </c>
      <c r="F176" s="22" t="s">
        <v>32</v>
      </c>
      <c r="G176" s="19"/>
      <c r="I176" s="20"/>
      <c r="K176" s="20"/>
      <c r="M176" s="20"/>
      <c r="O176" s="20"/>
      <c r="Q176" s="27">
        <f t="shared" si="1"/>
        <v>0</v>
      </c>
      <c r="R176" s="26">
        <f t="shared" si="2"/>
        <v>0</v>
      </c>
      <c r="S176" s="26">
        <f t="shared" si="3"/>
        <v>0</v>
      </c>
      <c r="T176" s="26">
        <f t="shared" si="4"/>
        <v>0</v>
      </c>
      <c r="U176" s="28">
        <f t="shared" si="5"/>
        <v>0</v>
      </c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29" t="s">
        <v>25</v>
      </c>
      <c r="B177" s="30">
        <f t="shared" si="6"/>
        <v>46194</v>
      </c>
      <c r="C177" s="32">
        <v>7.0</v>
      </c>
      <c r="D177" s="32" t="s">
        <v>19</v>
      </c>
      <c r="E177" s="33" t="s">
        <v>31</v>
      </c>
      <c r="F177" s="33" t="s">
        <v>32</v>
      </c>
      <c r="G177" s="34"/>
      <c r="H177" s="6"/>
      <c r="I177" s="35"/>
      <c r="J177" s="6"/>
      <c r="K177" s="35"/>
      <c r="L177" s="6"/>
      <c r="M177" s="35"/>
      <c r="N177" s="6"/>
      <c r="O177" s="35"/>
      <c r="P177" s="6"/>
      <c r="Q177" s="36">
        <f t="shared" si="1"/>
        <v>0</v>
      </c>
      <c r="R177" s="32">
        <f t="shared" si="2"/>
        <v>0</v>
      </c>
      <c r="S177" s="32">
        <f t="shared" si="3"/>
        <v>0</v>
      </c>
      <c r="T177" s="32">
        <f t="shared" si="4"/>
        <v>0</v>
      </c>
      <c r="U177" s="37">
        <f t="shared" si="5"/>
        <v>0</v>
      </c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14" t="s">
        <v>18</v>
      </c>
      <c r="B178" s="15">
        <f t="shared" si="6"/>
        <v>46195</v>
      </c>
      <c r="C178" s="17">
        <v>7.0</v>
      </c>
      <c r="D178" s="17" t="s">
        <v>26</v>
      </c>
      <c r="E178" s="18" t="s">
        <v>29</v>
      </c>
      <c r="F178" s="18" t="s">
        <v>30</v>
      </c>
      <c r="G178" s="19"/>
      <c r="I178" s="20"/>
      <c r="K178" s="20"/>
      <c r="M178" s="20"/>
      <c r="O178" s="20"/>
      <c r="Q178" s="21">
        <f t="shared" si="1"/>
        <v>0</v>
      </c>
      <c r="R178" s="17">
        <f t="shared" si="2"/>
        <v>0</v>
      </c>
      <c r="S178" s="17">
        <f t="shared" si="3"/>
        <v>0</v>
      </c>
      <c r="T178" s="17">
        <f t="shared" si="4"/>
        <v>0</v>
      </c>
      <c r="U178" s="38">
        <f t="shared" si="5"/>
        <v>0</v>
      </c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23" t="s">
        <v>20</v>
      </c>
      <c r="B179" s="24">
        <f t="shared" si="6"/>
        <v>46196</v>
      </c>
      <c r="C179" s="26">
        <v>7.0</v>
      </c>
      <c r="D179" s="26" t="s">
        <v>26</v>
      </c>
      <c r="E179" s="22" t="s">
        <v>29</v>
      </c>
      <c r="F179" s="22" t="s">
        <v>30</v>
      </c>
      <c r="G179" s="19"/>
      <c r="I179" s="20"/>
      <c r="K179" s="20"/>
      <c r="M179" s="20"/>
      <c r="O179" s="20"/>
      <c r="Q179" s="27">
        <f t="shared" si="1"/>
        <v>0</v>
      </c>
      <c r="R179" s="26">
        <f t="shared" si="2"/>
        <v>0</v>
      </c>
      <c r="S179" s="26">
        <f t="shared" si="3"/>
        <v>0</v>
      </c>
      <c r="T179" s="26">
        <f t="shared" si="4"/>
        <v>0</v>
      </c>
      <c r="U179" s="28">
        <f t="shared" si="5"/>
        <v>0</v>
      </c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23" t="s">
        <v>21</v>
      </c>
      <c r="B180" s="24">
        <f t="shared" si="6"/>
        <v>46197</v>
      </c>
      <c r="C180" s="26">
        <v>7.0</v>
      </c>
      <c r="D180" s="26" t="s">
        <v>26</v>
      </c>
      <c r="E180" s="22" t="s">
        <v>29</v>
      </c>
      <c r="F180" s="22" t="s">
        <v>30</v>
      </c>
      <c r="G180" s="19"/>
      <c r="I180" s="20"/>
      <c r="K180" s="20"/>
      <c r="M180" s="20"/>
      <c r="O180" s="20"/>
      <c r="Q180" s="27">
        <f t="shared" si="1"/>
        <v>0</v>
      </c>
      <c r="R180" s="26">
        <f t="shared" si="2"/>
        <v>0</v>
      </c>
      <c r="S180" s="26">
        <f t="shared" si="3"/>
        <v>0</v>
      </c>
      <c r="T180" s="26">
        <f t="shared" si="4"/>
        <v>0</v>
      </c>
      <c r="U180" s="28">
        <f t="shared" si="5"/>
        <v>0</v>
      </c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23" t="s">
        <v>22</v>
      </c>
      <c r="B181" s="24">
        <f t="shared" si="6"/>
        <v>46198</v>
      </c>
      <c r="C181" s="26">
        <v>7.0</v>
      </c>
      <c r="D181" s="26" t="s">
        <v>26</v>
      </c>
      <c r="E181" s="22" t="s">
        <v>29</v>
      </c>
      <c r="F181" s="22" t="s">
        <v>30</v>
      </c>
      <c r="G181" s="19"/>
      <c r="I181" s="20"/>
      <c r="K181" s="20"/>
      <c r="M181" s="20"/>
      <c r="O181" s="20"/>
      <c r="Q181" s="27">
        <f t="shared" si="1"/>
        <v>0</v>
      </c>
      <c r="R181" s="26">
        <f t="shared" si="2"/>
        <v>0</v>
      </c>
      <c r="S181" s="26">
        <f t="shared" si="3"/>
        <v>0</v>
      </c>
      <c r="T181" s="26">
        <f t="shared" si="4"/>
        <v>0</v>
      </c>
      <c r="U181" s="28">
        <f t="shared" si="5"/>
        <v>0</v>
      </c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23" t="s">
        <v>23</v>
      </c>
      <c r="B182" s="24">
        <f t="shared" si="6"/>
        <v>46199</v>
      </c>
      <c r="C182" s="26">
        <v>7.0</v>
      </c>
      <c r="D182" s="26" t="s">
        <v>26</v>
      </c>
      <c r="E182" s="22" t="s">
        <v>29</v>
      </c>
      <c r="F182" s="22" t="s">
        <v>30</v>
      </c>
      <c r="G182" s="19"/>
      <c r="I182" s="20"/>
      <c r="K182" s="20"/>
      <c r="M182" s="20"/>
      <c r="O182" s="20"/>
      <c r="Q182" s="27">
        <f t="shared" si="1"/>
        <v>0</v>
      </c>
      <c r="R182" s="26">
        <f t="shared" si="2"/>
        <v>0</v>
      </c>
      <c r="S182" s="26">
        <f t="shared" si="3"/>
        <v>0</v>
      </c>
      <c r="T182" s="26">
        <f t="shared" si="4"/>
        <v>0</v>
      </c>
      <c r="U182" s="28">
        <f t="shared" si="5"/>
        <v>0</v>
      </c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23" t="s">
        <v>24</v>
      </c>
      <c r="B183" s="24">
        <f t="shared" si="6"/>
        <v>46200</v>
      </c>
      <c r="C183" s="26">
        <v>7.0</v>
      </c>
      <c r="D183" s="26" t="s">
        <v>26</v>
      </c>
      <c r="E183" s="22" t="s">
        <v>29</v>
      </c>
      <c r="F183" s="22" t="s">
        <v>30</v>
      </c>
      <c r="G183" s="19"/>
      <c r="I183" s="20"/>
      <c r="K183" s="20"/>
      <c r="M183" s="20"/>
      <c r="O183" s="20"/>
      <c r="Q183" s="27">
        <f t="shared" si="1"/>
        <v>0</v>
      </c>
      <c r="R183" s="26">
        <f t="shared" si="2"/>
        <v>0</v>
      </c>
      <c r="S183" s="26">
        <f t="shared" si="3"/>
        <v>0</v>
      </c>
      <c r="T183" s="26">
        <f t="shared" si="4"/>
        <v>0</v>
      </c>
      <c r="U183" s="28">
        <f t="shared" si="5"/>
        <v>0</v>
      </c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29" t="s">
        <v>25</v>
      </c>
      <c r="B184" s="30">
        <f t="shared" si="6"/>
        <v>46201</v>
      </c>
      <c r="C184" s="32">
        <v>7.0</v>
      </c>
      <c r="D184" s="32" t="s">
        <v>26</v>
      </c>
      <c r="E184" s="33" t="s">
        <v>29</v>
      </c>
      <c r="F184" s="33" t="s">
        <v>30</v>
      </c>
      <c r="G184" s="34"/>
      <c r="H184" s="6"/>
      <c r="I184" s="35"/>
      <c r="J184" s="6"/>
      <c r="K184" s="35"/>
      <c r="L184" s="6"/>
      <c r="M184" s="35"/>
      <c r="N184" s="6"/>
      <c r="O184" s="35"/>
      <c r="P184" s="6"/>
      <c r="Q184" s="36">
        <f t="shared" si="1"/>
        <v>0</v>
      </c>
      <c r="R184" s="32">
        <f t="shared" si="2"/>
        <v>0</v>
      </c>
      <c r="S184" s="32">
        <f t="shared" si="3"/>
        <v>0</v>
      </c>
      <c r="T184" s="32">
        <f t="shared" si="4"/>
        <v>0</v>
      </c>
      <c r="U184" s="37">
        <f t="shared" si="5"/>
        <v>0</v>
      </c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14" t="s">
        <v>18</v>
      </c>
      <c r="B185" s="15">
        <f t="shared" si="6"/>
        <v>46202</v>
      </c>
      <c r="C185" s="17">
        <v>7.0</v>
      </c>
      <c r="D185" s="17" t="s">
        <v>27</v>
      </c>
      <c r="E185" s="18" t="s">
        <v>29</v>
      </c>
      <c r="F185" s="18" t="s">
        <v>30</v>
      </c>
      <c r="G185" s="19"/>
      <c r="I185" s="20"/>
      <c r="K185" s="20"/>
      <c r="M185" s="20"/>
      <c r="O185" s="20"/>
      <c r="Q185" s="21">
        <f t="shared" si="1"/>
        <v>0</v>
      </c>
      <c r="R185" s="17">
        <f t="shared" si="2"/>
        <v>0</v>
      </c>
      <c r="S185" s="17">
        <f t="shared" si="3"/>
        <v>0</v>
      </c>
      <c r="T185" s="17">
        <f t="shared" si="4"/>
        <v>0</v>
      </c>
      <c r="U185" s="38">
        <f t="shared" si="5"/>
        <v>0</v>
      </c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23" t="s">
        <v>20</v>
      </c>
      <c r="B186" s="24">
        <f t="shared" si="6"/>
        <v>46203</v>
      </c>
      <c r="C186" s="26">
        <v>7.0</v>
      </c>
      <c r="D186" s="26" t="s">
        <v>27</v>
      </c>
      <c r="E186" s="22" t="s">
        <v>29</v>
      </c>
      <c r="F186" s="22" t="s">
        <v>30</v>
      </c>
      <c r="G186" s="19"/>
      <c r="I186" s="20"/>
      <c r="K186" s="20"/>
      <c r="M186" s="20"/>
      <c r="O186" s="20"/>
      <c r="Q186" s="27">
        <f t="shared" si="1"/>
        <v>0</v>
      </c>
      <c r="R186" s="26">
        <f t="shared" si="2"/>
        <v>0</v>
      </c>
      <c r="S186" s="26">
        <f t="shared" si="3"/>
        <v>0</v>
      </c>
      <c r="T186" s="26">
        <f t="shared" si="4"/>
        <v>0</v>
      </c>
      <c r="U186" s="28">
        <f t="shared" si="5"/>
        <v>0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23" t="s">
        <v>21</v>
      </c>
      <c r="B187" s="24">
        <f t="shared" si="6"/>
        <v>46204</v>
      </c>
      <c r="C187" s="26">
        <v>7.0</v>
      </c>
      <c r="D187" s="26" t="s">
        <v>27</v>
      </c>
      <c r="E187" s="22" t="s">
        <v>29</v>
      </c>
      <c r="F187" s="22" t="s">
        <v>30</v>
      </c>
      <c r="G187" s="19"/>
      <c r="I187" s="20"/>
      <c r="K187" s="20"/>
      <c r="M187" s="20"/>
      <c r="O187" s="20"/>
      <c r="Q187" s="27">
        <f t="shared" si="1"/>
        <v>0</v>
      </c>
      <c r="R187" s="26">
        <f t="shared" si="2"/>
        <v>0</v>
      </c>
      <c r="S187" s="26">
        <f t="shared" si="3"/>
        <v>0</v>
      </c>
      <c r="T187" s="26">
        <f t="shared" si="4"/>
        <v>0</v>
      </c>
      <c r="U187" s="28">
        <f t="shared" si="5"/>
        <v>0</v>
      </c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23" t="s">
        <v>22</v>
      </c>
      <c r="B188" s="24">
        <f t="shared" si="6"/>
        <v>46205</v>
      </c>
      <c r="C188" s="26">
        <v>7.0</v>
      </c>
      <c r="D188" s="26" t="s">
        <v>27</v>
      </c>
      <c r="E188" s="22" t="s">
        <v>31</v>
      </c>
      <c r="F188" s="22" t="s">
        <v>32</v>
      </c>
      <c r="G188" s="19"/>
      <c r="I188" s="20"/>
      <c r="K188" s="20"/>
      <c r="M188" s="20"/>
      <c r="O188" s="20"/>
      <c r="Q188" s="27">
        <f t="shared" si="1"/>
        <v>0</v>
      </c>
      <c r="R188" s="26">
        <f t="shared" si="2"/>
        <v>0</v>
      </c>
      <c r="S188" s="26">
        <f t="shared" si="3"/>
        <v>0</v>
      </c>
      <c r="T188" s="26">
        <f t="shared" si="4"/>
        <v>0</v>
      </c>
      <c r="U188" s="28">
        <f t="shared" si="5"/>
        <v>0</v>
      </c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23" t="s">
        <v>23</v>
      </c>
      <c r="B189" s="24">
        <f t="shared" si="6"/>
        <v>46206</v>
      </c>
      <c r="C189" s="26">
        <v>7.0</v>
      </c>
      <c r="D189" s="26" t="s">
        <v>27</v>
      </c>
      <c r="E189" s="22" t="s">
        <v>33</v>
      </c>
      <c r="F189" s="22" t="s">
        <v>30</v>
      </c>
      <c r="G189" s="19"/>
      <c r="I189" s="20"/>
      <c r="K189" s="20"/>
      <c r="M189" s="20"/>
      <c r="O189" s="20"/>
      <c r="Q189" s="27">
        <f t="shared" si="1"/>
        <v>0</v>
      </c>
      <c r="R189" s="26">
        <f t="shared" si="2"/>
        <v>0</v>
      </c>
      <c r="S189" s="26">
        <f t="shared" si="3"/>
        <v>0</v>
      </c>
      <c r="T189" s="26">
        <f t="shared" si="4"/>
        <v>0</v>
      </c>
      <c r="U189" s="28">
        <f t="shared" si="5"/>
        <v>0</v>
      </c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23" t="s">
        <v>24</v>
      </c>
      <c r="B190" s="24">
        <f t="shared" si="6"/>
        <v>46207</v>
      </c>
      <c r="C190" s="26">
        <v>7.0</v>
      </c>
      <c r="D190" s="26" t="s">
        <v>27</v>
      </c>
      <c r="E190" s="22" t="s">
        <v>31</v>
      </c>
      <c r="F190" s="22" t="s">
        <v>32</v>
      </c>
      <c r="G190" s="19"/>
      <c r="I190" s="20"/>
      <c r="K190" s="20"/>
      <c r="M190" s="20"/>
      <c r="O190" s="20"/>
      <c r="Q190" s="27">
        <f t="shared" si="1"/>
        <v>0</v>
      </c>
      <c r="R190" s="26">
        <f t="shared" si="2"/>
        <v>0</v>
      </c>
      <c r="S190" s="26">
        <f t="shared" si="3"/>
        <v>0</v>
      </c>
      <c r="T190" s="26">
        <f t="shared" si="4"/>
        <v>0</v>
      </c>
      <c r="U190" s="28">
        <f t="shared" si="5"/>
        <v>0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29" t="s">
        <v>25</v>
      </c>
      <c r="B191" s="30">
        <f t="shared" si="6"/>
        <v>46208</v>
      </c>
      <c r="C191" s="32">
        <v>7.0</v>
      </c>
      <c r="D191" s="32" t="s">
        <v>27</v>
      </c>
      <c r="E191" s="33" t="s">
        <v>31</v>
      </c>
      <c r="F191" s="33" t="s">
        <v>32</v>
      </c>
      <c r="G191" s="34"/>
      <c r="H191" s="6"/>
      <c r="I191" s="35"/>
      <c r="J191" s="6"/>
      <c r="K191" s="35"/>
      <c r="L191" s="6"/>
      <c r="M191" s="35"/>
      <c r="N191" s="6"/>
      <c r="O191" s="35"/>
      <c r="P191" s="6"/>
      <c r="Q191" s="36">
        <f t="shared" si="1"/>
        <v>0</v>
      </c>
      <c r="R191" s="32">
        <f t="shared" si="2"/>
        <v>0</v>
      </c>
      <c r="S191" s="32">
        <f t="shared" si="3"/>
        <v>0</v>
      </c>
      <c r="T191" s="32">
        <f t="shared" si="4"/>
        <v>0</v>
      </c>
      <c r="U191" s="37">
        <f t="shared" si="5"/>
        <v>0</v>
      </c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14" t="s">
        <v>18</v>
      </c>
      <c r="B192" s="15">
        <f t="shared" si="6"/>
        <v>46209</v>
      </c>
      <c r="C192" s="17">
        <v>7.0</v>
      </c>
      <c r="D192" s="17" t="s">
        <v>28</v>
      </c>
      <c r="E192" s="18" t="s">
        <v>33</v>
      </c>
      <c r="F192" s="18" t="s">
        <v>30</v>
      </c>
      <c r="G192" s="19"/>
      <c r="I192" s="20"/>
      <c r="K192" s="20"/>
      <c r="M192" s="20"/>
      <c r="O192" s="20"/>
      <c r="Q192" s="21">
        <f t="shared" si="1"/>
        <v>0</v>
      </c>
      <c r="R192" s="17">
        <f t="shared" si="2"/>
        <v>0</v>
      </c>
      <c r="S192" s="17">
        <f t="shared" si="3"/>
        <v>0</v>
      </c>
      <c r="T192" s="17">
        <f t="shared" si="4"/>
        <v>0</v>
      </c>
      <c r="U192" s="38">
        <f t="shared" si="5"/>
        <v>0</v>
      </c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23" t="s">
        <v>20</v>
      </c>
      <c r="B193" s="24">
        <f t="shared" si="6"/>
        <v>46210</v>
      </c>
      <c r="C193" s="26">
        <v>7.0</v>
      </c>
      <c r="D193" s="26" t="s">
        <v>28</v>
      </c>
      <c r="E193" s="22" t="s">
        <v>31</v>
      </c>
      <c r="F193" s="22" t="s">
        <v>32</v>
      </c>
      <c r="G193" s="19"/>
      <c r="I193" s="20"/>
      <c r="K193" s="20"/>
      <c r="M193" s="20"/>
      <c r="O193" s="20"/>
      <c r="Q193" s="27">
        <f t="shared" si="1"/>
        <v>0</v>
      </c>
      <c r="R193" s="26">
        <f t="shared" si="2"/>
        <v>0</v>
      </c>
      <c r="S193" s="26">
        <f t="shared" si="3"/>
        <v>0</v>
      </c>
      <c r="T193" s="26">
        <f t="shared" si="4"/>
        <v>0</v>
      </c>
      <c r="U193" s="28">
        <f t="shared" si="5"/>
        <v>0</v>
      </c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23" t="s">
        <v>21</v>
      </c>
      <c r="B194" s="24">
        <f t="shared" si="6"/>
        <v>46211</v>
      </c>
      <c r="C194" s="26">
        <v>7.0</v>
      </c>
      <c r="D194" s="26" t="s">
        <v>28</v>
      </c>
      <c r="E194" s="22" t="s">
        <v>31</v>
      </c>
      <c r="F194" s="22" t="s">
        <v>32</v>
      </c>
      <c r="G194" s="19"/>
      <c r="I194" s="20"/>
      <c r="K194" s="20"/>
      <c r="M194" s="20"/>
      <c r="O194" s="20"/>
      <c r="Q194" s="27">
        <f t="shared" si="1"/>
        <v>0</v>
      </c>
      <c r="R194" s="26">
        <f t="shared" si="2"/>
        <v>0</v>
      </c>
      <c r="S194" s="26">
        <f t="shared" si="3"/>
        <v>0</v>
      </c>
      <c r="T194" s="26">
        <f t="shared" si="4"/>
        <v>0</v>
      </c>
      <c r="U194" s="28">
        <f t="shared" si="5"/>
        <v>0</v>
      </c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23" t="s">
        <v>22</v>
      </c>
      <c r="B195" s="24">
        <f t="shared" si="6"/>
        <v>46212</v>
      </c>
      <c r="C195" s="26">
        <v>7.0</v>
      </c>
      <c r="D195" s="26" t="s">
        <v>28</v>
      </c>
      <c r="E195" s="22" t="s">
        <v>31</v>
      </c>
      <c r="F195" s="22" t="s">
        <v>32</v>
      </c>
      <c r="G195" s="19"/>
      <c r="I195" s="20"/>
      <c r="K195" s="20"/>
      <c r="M195" s="20"/>
      <c r="O195" s="20"/>
      <c r="Q195" s="27">
        <f t="shared" si="1"/>
        <v>0</v>
      </c>
      <c r="R195" s="26">
        <f t="shared" si="2"/>
        <v>0</v>
      </c>
      <c r="S195" s="26">
        <f t="shared" si="3"/>
        <v>0</v>
      </c>
      <c r="T195" s="26">
        <f t="shared" si="4"/>
        <v>0</v>
      </c>
      <c r="U195" s="28">
        <f t="shared" si="5"/>
        <v>0</v>
      </c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23" t="s">
        <v>23</v>
      </c>
      <c r="B196" s="24">
        <f t="shared" si="6"/>
        <v>46213</v>
      </c>
      <c r="C196" s="26">
        <v>7.0</v>
      </c>
      <c r="D196" s="26" t="s">
        <v>28</v>
      </c>
      <c r="E196" s="22" t="s">
        <v>31</v>
      </c>
      <c r="F196" s="22" t="s">
        <v>32</v>
      </c>
      <c r="G196" s="19"/>
      <c r="I196" s="20"/>
      <c r="K196" s="20"/>
      <c r="M196" s="20"/>
      <c r="O196" s="20"/>
      <c r="Q196" s="27">
        <f t="shared" si="1"/>
        <v>0</v>
      </c>
      <c r="R196" s="26">
        <f t="shared" si="2"/>
        <v>0</v>
      </c>
      <c r="S196" s="26">
        <f t="shared" si="3"/>
        <v>0</v>
      </c>
      <c r="T196" s="26">
        <f t="shared" si="4"/>
        <v>0</v>
      </c>
      <c r="U196" s="28">
        <f t="shared" si="5"/>
        <v>0</v>
      </c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23" t="s">
        <v>24</v>
      </c>
      <c r="B197" s="24">
        <f t="shared" si="6"/>
        <v>46214</v>
      </c>
      <c r="C197" s="26">
        <v>7.0</v>
      </c>
      <c r="D197" s="26" t="s">
        <v>28</v>
      </c>
      <c r="E197" s="22" t="s">
        <v>31</v>
      </c>
      <c r="F197" s="22" t="s">
        <v>32</v>
      </c>
      <c r="G197" s="19"/>
      <c r="I197" s="20"/>
      <c r="K197" s="20"/>
      <c r="M197" s="20"/>
      <c r="O197" s="20"/>
      <c r="Q197" s="27">
        <f t="shared" si="1"/>
        <v>0</v>
      </c>
      <c r="R197" s="26">
        <f t="shared" si="2"/>
        <v>0</v>
      </c>
      <c r="S197" s="26">
        <f t="shared" si="3"/>
        <v>0</v>
      </c>
      <c r="T197" s="26">
        <f t="shared" si="4"/>
        <v>0</v>
      </c>
      <c r="U197" s="28">
        <f t="shared" si="5"/>
        <v>0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29" t="s">
        <v>25</v>
      </c>
      <c r="B198" s="30">
        <f t="shared" si="6"/>
        <v>46215</v>
      </c>
      <c r="C198" s="32">
        <v>7.0</v>
      </c>
      <c r="D198" s="32" t="s">
        <v>28</v>
      </c>
      <c r="E198" s="33" t="s">
        <v>31</v>
      </c>
      <c r="F198" s="33" t="s">
        <v>32</v>
      </c>
      <c r="G198" s="34"/>
      <c r="H198" s="6"/>
      <c r="I198" s="35"/>
      <c r="J198" s="6"/>
      <c r="K198" s="35"/>
      <c r="L198" s="6"/>
      <c r="M198" s="35"/>
      <c r="N198" s="6"/>
      <c r="O198" s="35"/>
      <c r="P198" s="6"/>
      <c r="Q198" s="36">
        <f t="shared" si="1"/>
        <v>0</v>
      </c>
      <c r="R198" s="32">
        <f t="shared" si="2"/>
        <v>0</v>
      </c>
      <c r="S198" s="32">
        <f t="shared" si="3"/>
        <v>0</v>
      </c>
      <c r="T198" s="32">
        <f t="shared" si="4"/>
        <v>0</v>
      </c>
      <c r="U198" s="37">
        <f t="shared" si="5"/>
        <v>0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14" t="s">
        <v>18</v>
      </c>
      <c r="B199" s="15">
        <f t="shared" si="6"/>
        <v>46216</v>
      </c>
      <c r="C199" s="17">
        <v>8.0</v>
      </c>
      <c r="D199" s="17" t="s">
        <v>19</v>
      </c>
      <c r="E199" s="18" t="s">
        <v>29</v>
      </c>
      <c r="F199" s="18" t="s">
        <v>30</v>
      </c>
      <c r="G199" s="19"/>
      <c r="I199" s="20"/>
      <c r="K199" s="20"/>
      <c r="M199" s="20"/>
      <c r="O199" s="20"/>
      <c r="Q199" s="21">
        <f t="shared" si="1"/>
        <v>0</v>
      </c>
      <c r="R199" s="17">
        <f t="shared" si="2"/>
        <v>0</v>
      </c>
      <c r="S199" s="17">
        <f t="shared" si="3"/>
        <v>0</v>
      </c>
      <c r="T199" s="17">
        <f t="shared" si="4"/>
        <v>0</v>
      </c>
      <c r="U199" s="38">
        <f t="shared" si="5"/>
        <v>0</v>
      </c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23" t="s">
        <v>20</v>
      </c>
      <c r="B200" s="24">
        <f t="shared" si="6"/>
        <v>46217</v>
      </c>
      <c r="C200" s="26">
        <v>8.0</v>
      </c>
      <c r="D200" s="26" t="s">
        <v>19</v>
      </c>
      <c r="E200" s="22" t="s">
        <v>29</v>
      </c>
      <c r="F200" s="22" t="s">
        <v>30</v>
      </c>
      <c r="G200" s="19"/>
      <c r="I200" s="20"/>
      <c r="K200" s="20"/>
      <c r="M200" s="20"/>
      <c r="O200" s="20"/>
      <c r="Q200" s="27">
        <f t="shared" si="1"/>
        <v>0</v>
      </c>
      <c r="R200" s="26">
        <f t="shared" si="2"/>
        <v>0</v>
      </c>
      <c r="S200" s="26">
        <f t="shared" si="3"/>
        <v>0</v>
      </c>
      <c r="T200" s="26">
        <f t="shared" si="4"/>
        <v>0</v>
      </c>
      <c r="U200" s="28">
        <f t="shared" si="5"/>
        <v>0</v>
      </c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23" t="s">
        <v>21</v>
      </c>
      <c r="B201" s="24">
        <f t="shared" si="6"/>
        <v>46218</v>
      </c>
      <c r="C201" s="26">
        <v>8.0</v>
      </c>
      <c r="D201" s="26" t="s">
        <v>19</v>
      </c>
      <c r="E201" s="22" t="s">
        <v>29</v>
      </c>
      <c r="F201" s="22" t="s">
        <v>30</v>
      </c>
      <c r="G201" s="19"/>
      <c r="I201" s="20"/>
      <c r="K201" s="20"/>
      <c r="M201" s="20"/>
      <c r="O201" s="20"/>
      <c r="Q201" s="27">
        <f t="shared" si="1"/>
        <v>0</v>
      </c>
      <c r="R201" s="26">
        <f t="shared" si="2"/>
        <v>0</v>
      </c>
      <c r="S201" s="26">
        <f t="shared" si="3"/>
        <v>0</v>
      </c>
      <c r="T201" s="26">
        <f t="shared" si="4"/>
        <v>0</v>
      </c>
      <c r="U201" s="28">
        <f t="shared" si="5"/>
        <v>0</v>
      </c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23" t="s">
        <v>22</v>
      </c>
      <c r="B202" s="24">
        <f t="shared" si="6"/>
        <v>46219</v>
      </c>
      <c r="C202" s="26">
        <v>8.0</v>
      </c>
      <c r="D202" s="26" t="s">
        <v>19</v>
      </c>
      <c r="E202" s="22" t="s">
        <v>29</v>
      </c>
      <c r="F202" s="22" t="s">
        <v>30</v>
      </c>
      <c r="G202" s="19"/>
      <c r="I202" s="20"/>
      <c r="K202" s="20"/>
      <c r="M202" s="20"/>
      <c r="O202" s="20"/>
      <c r="Q202" s="27">
        <f t="shared" si="1"/>
        <v>0</v>
      </c>
      <c r="R202" s="26">
        <f t="shared" si="2"/>
        <v>0</v>
      </c>
      <c r="S202" s="26">
        <f t="shared" si="3"/>
        <v>0</v>
      </c>
      <c r="T202" s="26">
        <f t="shared" si="4"/>
        <v>0</v>
      </c>
      <c r="U202" s="28">
        <f t="shared" si="5"/>
        <v>0</v>
      </c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23" t="s">
        <v>23</v>
      </c>
      <c r="B203" s="24">
        <f t="shared" si="6"/>
        <v>46220</v>
      </c>
      <c r="C203" s="26">
        <v>8.0</v>
      </c>
      <c r="D203" s="26" t="s">
        <v>19</v>
      </c>
      <c r="E203" s="22" t="s">
        <v>29</v>
      </c>
      <c r="F203" s="22" t="s">
        <v>30</v>
      </c>
      <c r="G203" s="19"/>
      <c r="I203" s="20"/>
      <c r="K203" s="20"/>
      <c r="M203" s="20"/>
      <c r="O203" s="20"/>
      <c r="Q203" s="27">
        <f t="shared" si="1"/>
        <v>0</v>
      </c>
      <c r="R203" s="26">
        <f t="shared" si="2"/>
        <v>0</v>
      </c>
      <c r="S203" s="26">
        <f t="shared" si="3"/>
        <v>0</v>
      </c>
      <c r="T203" s="26">
        <f t="shared" si="4"/>
        <v>0</v>
      </c>
      <c r="U203" s="28">
        <f t="shared" si="5"/>
        <v>0</v>
      </c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23" t="s">
        <v>24</v>
      </c>
      <c r="B204" s="24">
        <f t="shared" si="6"/>
        <v>46221</v>
      </c>
      <c r="C204" s="26">
        <v>8.0</v>
      </c>
      <c r="D204" s="26" t="s">
        <v>19</v>
      </c>
      <c r="E204" s="22" t="s">
        <v>29</v>
      </c>
      <c r="F204" s="22" t="s">
        <v>30</v>
      </c>
      <c r="G204" s="19"/>
      <c r="I204" s="20"/>
      <c r="K204" s="20"/>
      <c r="M204" s="20"/>
      <c r="O204" s="20"/>
      <c r="Q204" s="27">
        <f t="shared" si="1"/>
        <v>0</v>
      </c>
      <c r="R204" s="26">
        <f t="shared" si="2"/>
        <v>0</v>
      </c>
      <c r="S204" s="26">
        <f t="shared" si="3"/>
        <v>0</v>
      </c>
      <c r="T204" s="26">
        <f t="shared" si="4"/>
        <v>0</v>
      </c>
      <c r="U204" s="28">
        <f t="shared" si="5"/>
        <v>0</v>
      </c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29" t="s">
        <v>25</v>
      </c>
      <c r="B205" s="30">
        <f t="shared" si="6"/>
        <v>46222</v>
      </c>
      <c r="C205" s="32">
        <v>8.0</v>
      </c>
      <c r="D205" s="32" t="s">
        <v>19</v>
      </c>
      <c r="E205" s="33" t="s">
        <v>29</v>
      </c>
      <c r="F205" s="33" t="s">
        <v>30</v>
      </c>
      <c r="G205" s="34"/>
      <c r="H205" s="6"/>
      <c r="I205" s="35"/>
      <c r="J205" s="6"/>
      <c r="K205" s="35"/>
      <c r="L205" s="6"/>
      <c r="M205" s="35"/>
      <c r="N205" s="6"/>
      <c r="O205" s="35"/>
      <c r="P205" s="6"/>
      <c r="Q205" s="36">
        <f t="shared" si="1"/>
        <v>0</v>
      </c>
      <c r="R205" s="32">
        <f t="shared" si="2"/>
        <v>0</v>
      </c>
      <c r="S205" s="32">
        <f t="shared" si="3"/>
        <v>0</v>
      </c>
      <c r="T205" s="32">
        <f t="shared" si="4"/>
        <v>0</v>
      </c>
      <c r="U205" s="37">
        <f t="shared" si="5"/>
        <v>0</v>
      </c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14" t="s">
        <v>18</v>
      </c>
      <c r="B206" s="15">
        <f t="shared" si="6"/>
        <v>46223</v>
      </c>
      <c r="C206" s="17">
        <v>8.0</v>
      </c>
      <c r="D206" s="17" t="s">
        <v>26</v>
      </c>
      <c r="E206" s="18" t="s">
        <v>31</v>
      </c>
      <c r="F206" s="18" t="s">
        <v>32</v>
      </c>
      <c r="G206" s="19"/>
      <c r="I206" s="20"/>
      <c r="K206" s="20"/>
      <c r="M206" s="20"/>
      <c r="O206" s="20"/>
      <c r="Q206" s="21">
        <f t="shared" si="1"/>
        <v>0</v>
      </c>
      <c r="R206" s="17">
        <f t="shared" si="2"/>
        <v>0</v>
      </c>
      <c r="S206" s="17">
        <f t="shared" si="3"/>
        <v>0</v>
      </c>
      <c r="T206" s="17">
        <f t="shared" si="4"/>
        <v>0</v>
      </c>
      <c r="U206" s="38">
        <f t="shared" si="5"/>
        <v>0</v>
      </c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23" t="s">
        <v>20</v>
      </c>
      <c r="B207" s="24">
        <f t="shared" si="6"/>
        <v>46224</v>
      </c>
      <c r="C207" s="26">
        <v>8.0</v>
      </c>
      <c r="D207" s="26" t="s">
        <v>26</v>
      </c>
      <c r="E207" s="22" t="s">
        <v>31</v>
      </c>
      <c r="F207" s="22" t="s">
        <v>32</v>
      </c>
      <c r="G207" s="19"/>
      <c r="I207" s="20"/>
      <c r="K207" s="20"/>
      <c r="M207" s="20"/>
      <c r="O207" s="20"/>
      <c r="Q207" s="27">
        <f t="shared" si="1"/>
        <v>0</v>
      </c>
      <c r="R207" s="26">
        <f t="shared" si="2"/>
        <v>0</v>
      </c>
      <c r="S207" s="26">
        <f t="shared" si="3"/>
        <v>0</v>
      </c>
      <c r="T207" s="26">
        <f t="shared" si="4"/>
        <v>0</v>
      </c>
      <c r="U207" s="28">
        <f t="shared" si="5"/>
        <v>0</v>
      </c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23" t="s">
        <v>21</v>
      </c>
      <c r="B208" s="24">
        <f t="shared" si="6"/>
        <v>46225</v>
      </c>
      <c r="C208" s="26">
        <v>8.0</v>
      </c>
      <c r="D208" s="26" t="s">
        <v>26</v>
      </c>
      <c r="E208" s="22" t="s">
        <v>31</v>
      </c>
      <c r="F208" s="22" t="s">
        <v>32</v>
      </c>
      <c r="G208" s="19"/>
      <c r="I208" s="20"/>
      <c r="K208" s="20"/>
      <c r="M208" s="20"/>
      <c r="O208" s="20"/>
      <c r="Q208" s="27">
        <f t="shared" si="1"/>
        <v>0</v>
      </c>
      <c r="R208" s="26">
        <f t="shared" si="2"/>
        <v>0</v>
      </c>
      <c r="S208" s="26">
        <f t="shared" si="3"/>
        <v>0</v>
      </c>
      <c r="T208" s="26">
        <f t="shared" si="4"/>
        <v>0</v>
      </c>
      <c r="U208" s="28">
        <f t="shared" si="5"/>
        <v>0</v>
      </c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23" t="s">
        <v>22</v>
      </c>
      <c r="B209" s="24">
        <f t="shared" si="6"/>
        <v>46226</v>
      </c>
      <c r="C209" s="26">
        <v>8.0</v>
      </c>
      <c r="D209" s="26" t="s">
        <v>26</v>
      </c>
      <c r="E209" s="22" t="s">
        <v>33</v>
      </c>
      <c r="F209" s="22" t="s">
        <v>30</v>
      </c>
      <c r="G209" s="19"/>
      <c r="I209" s="20"/>
      <c r="K209" s="20"/>
      <c r="M209" s="20"/>
      <c r="O209" s="20"/>
      <c r="Q209" s="27">
        <f t="shared" si="1"/>
        <v>0</v>
      </c>
      <c r="R209" s="26">
        <f t="shared" si="2"/>
        <v>0</v>
      </c>
      <c r="S209" s="26">
        <f t="shared" si="3"/>
        <v>0</v>
      </c>
      <c r="T209" s="26">
        <f t="shared" si="4"/>
        <v>0</v>
      </c>
      <c r="U209" s="28">
        <f t="shared" si="5"/>
        <v>0</v>
      </c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23" t="s">
        <v>23</v>
      </c>
      <c r="B210" s="24">
        <f t="shared" si="6"/>
        <v>46227</v>
      </c>
      <c r="C210" s="26">
        <v>8.0</v>
      </c>
      <c r="D210" s="26" t="s">
        <v>26</v>
      </c>
      <c r="E210" s="22" t="s">
        <v>31</v>
      </c>
      <c r="F210" s="22" t="s">
        <v>32</v>
      </c>
      <c r="G210" s="19"/>
      <c r="I210" s="20"/>
      <c r="K210" s="20"/>
      <c r="M210" s="20"/>
      <c r="O210" s="20"/>
      <c r="Q210" s="27">
        <f t="shared" si="1"/>
        <v>0</v>
      </c>
      <c r="R210" s="26">
        <f t="shared" si="2"/>
        <v>0</v>
      </c>
      <c r="S210" s="26">
        <f t="shared" si="3"/>
        <v>0</v>
      </c>
      <c r="T210" s="26">
        <f t="shared" si="4"/>
        <v>0</v>
      </c>
      <c r="U210" s="28">
        <f t="shared" si="5"/>
        <v>0</v>
      </c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23" t="s">
        <v>24</v>
      </c>
      <c r="B211" s="24">
        <f t="shared" si="6"/>
        <v>46228</v>
      </c>
      <c r="C211" s="26">
        <v>8.0</v>
      </c>
      <c r="D211" s="26" t="s">
        <v>26</v>
      </c>
      <c r="E211" s="22" t="s">
        <v>31</v>
      </c>
      <c r="F211" s="22" t="s">
        <v>32</v>
      </c>
      <c r="G211" s="19"/>
      <c r="I211" s="20"/>
      <c r="K211" s="20"/>
      <c r="M211" s="20"/>
      <c r="O211" s="20"/>
      <c r="Q211" s="27">
        <f t="shared" si="1"/>
        <v>0</v>
      </c>
      <c r="R211" s="26">
        <f t="shared" si="2"/>
        <v>0</v>
      </c>
      <c r="S211" s="26">
        <f t="shared" si="3"/>
        <v>0</v>
      </c>
      <c r="T211" s="26">
        <f t="shared" si="4"/>
        <v>0</v>
      </c>
      <c r="U211" s="28">
        <f t="shared" si="5"/>
        <v>0</v>
      </c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29" t="s">
        <v>25</v>
      </c>
      <c r="B212" s="30">
        <f t="shared" si="6"/>
        <v>46229</v>
      </c>
      <c r="C212" s="32">
        <v>8.0</v>
      </c>
      <c r="D212" s="32" t="s">
        <v>26</v>
      </c>
      <c r="E212" s="33" t="s">
        <v>31</v>
      </c>
      <c r="F212" s="33" t="s">
        <v>32</v>
      </c>
      <c r="G212" s="34"/>
      <c r="H212" s="6"/>
      <c r="I212" s="35"/>
      <c r="J212" s="6"/>
      <c r="K212" s="35"/>
      <c r="L212" s="6"/>
      <c r="M212" s="35"/>
      <c r="N212" s="6"/>
      <c r="O212" s="35"/>
      <c r="P212" s="6"/>
      <c r="Q212" s="36">
        <f t="shared" si="1"/>
        <v>0</v>
      </c>
      <c r="R212" s="32">
        <f t="shared" si="2"/>
        <v>0</v>
      </c>
      <c r="S212" s="32">
        <f t="shared" si="3"/>
        <v>0</v>
      </c>
      <c r="T212" s="32">
        <f t="shared" si="4"/>
        <v>0</v>
      </c>
      <c r="U212" s="37">
        <f t="shared" si="5"/>
        <v>0</v>
      </c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14" t="s">
        <v>18</v>
      </c>
      <c r="B213" s="15">
        <f t="shared" si="6"/>
        <v>46230</v>
      </c>
      <c r="C213" s="17">
        <v>8.0</v>
      </c>
      <c r="D213" s="17" t="s">
        <v>27</v>
      </c>
      <c r="E213" s="18" t="s">
        <v>31</v>
      </c>
      <c r="F213" s="18" t="s">
        <v>32</v>
      </c>
      <c r="G213" s="19"/>
      <c r="I213" s="20"/>
      <c r="K213" s="20"/>
      <c r="M213" s="20"/>
      <c r="O213" s="20"/>
      <c r="Q213" s="21">
        <f t="shared" si="1"/>
        <v>0</v>
      </c>
      <c r="R213" s="17">
        <f t="shared" si="2"/>
        <v>0</v>
      </c>
      <c r="S213" s="17">
        <f t="shared" si="3"/>
        <v>0</v>
      </c>
      <c r="T213" s="17">
        <f t="shared" si="4"/>
        <v>0</v>
      </c>
      <c r="U213" s="38">
        <f t="shared" si="5"/>
        <v>0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23" t="s">
        <v>20</v>
      </c>
      <c r="B214" s="24">
        <f t="shared" si="6"/>
        <v>46231</v>
      </c>
      <c r="C214" s="26">
        <v>8.0</v>
      </c>
      <c r="D214" s="26" t="s">
        <v>27</v>
      </c>
      <c r="E214" s="22" t="s">
        <v>29</v>
      </c>
      <c r="F214" s="22" t="s">
        <v>30</v>
      </c>
      <c r="G214" s="19"/>
      <c r="I214" s="20"/>
      <c r="K214" s="20"/>
      <c r="M214" s="20"/>
      <c r="O214" s="20"/>
      <c r="Q214" s="27">
        <f t="shared" si="1"/>
        <v>0</v>
      </c>
      <c r="R214" s="26">
        <f t="shared" si="2"/>
        <v>0</v>
      </c>
      <c r="S214" s="26">
        <f t="shared" si="3"/>
        <v>0</v>
      </c>
      <c r="T214" s="26">
        <f t="shared" si="4"/>
        <v>0</v>
      </c>
      <c r="U214" s="28">
        <f t="shared" si="5"/>
        <v>0</v>
      </c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23" t="s">
        <v>21</v>
      </c>
      <c r="B215" s="24">
        <f t="shared" si="6"/>
        <v>46232</v>
      </c>
      <c r="C215" s="26">
        <v>8.0</v>
      </c>
      <c r="D215" s="26" t="s">
        <v>27</v>
      </c>
      <c r="E215" s="22" t="s">
        <v>29</v>
      </c>
      <c r="F215" s="22" t="s">
        <v>30</v>
      </c>
      <c r="G215" s="19"/>
      <c r="I215" s="20"/>
      <c r="K215" s="20"/>
      <c r="M215" s="20"/>
      <c r="O215" s="20"/>
      <c r="Q215" s="27">
        <f t="shared" si="1"/>
        <v>0</v>
      </c>
      <c r="R215" s="26">
        <f t="shared" si="2"/>
        <v>0</v>
      </c>
      <c r="S215" s="26">
        <f t="shared" si="3"/>
        <v>0</v>
      </c>
      <c r="T215" s="26">
        <f t="shared" si="4"/>
        <v>0</v>
      </c>
      <c r="U215" s="28">
        <f t="shared" si="5"/>
        <v>0</v>
      </c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23" t="s">
        <v>22</v>
      </c>
      <c r="B216" s="24">
        <f t="shared" si="6"/>
        <v>46233</v>
      </c>
      <c r="C216" s="26">
        <v>8.0</v>
      </c>
      <c r="D216" s="26" t="s">
        <v>27</v>
      </c>
      <c r="E216" s="22" t="s">
        <v>29</v>
      </c>
      <c r="F216" s="22" t="s">
        <v>30</v>
      </c>
      <c r="G216" s="19"/>
      <c r="I216" s="20"/>
      <c r="K216" s="20"/>
      <c r="M216" s="20"/>
      <c r="O216" s="20"/>
      <c r="Q216" s="27">
        <f t="shared" si="1"/>
        <v>0</v>
      </c>
      <c r="R216" s="26">
        <f t="shared" si="2"/>
        <v>0</v>
      </c>
      <c r="S216" s="26">
        <f t="shared" si="3"/>
        <v>0</v>
      </c>
      <c r="T216" s="26">
        <f t="shared" si="4"/>
        <v>0</v>
      </c>
      <c r="U216" s="28">
        <f t="shared" si="5"/>
        <v>0</v>
      </c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23" t="s">
        <v>23</v>
      </c>
      <c r="B217" s="24">
        <f t="shared" si="6"/>
        <v>46234</v>
      </c>
      <c r="C217" s="26">
        <v>8.0</v>
      </c>
      <c r="D217" s="26" t="s">
        <v>27</v>
      </c>
      <c r="E217" s="22" t="s">
        <v>29</v>
      </c>
      <c r="F217" s="22" t="s">
        <v>30</v>
      </c>
      <c r="G217" s="19"/>
      <c r="I217" s="20"/>
      <c r="K217" s="20"/>
      <c r="M217" s="20"/>
      <c r="O217" s="20"/>
      <c r="Q217" s="27">
        <f t="shared" si="1"/>
        <v>0</v>
      </c>
      <c r="R217" s="26">
        <f t="shared" si="2"/>
        <v>0</v>
      </c>
      <c r="S217" s="26">
        <f t="shared" si="3"/>
        <v>0</v>
      </c>
      <c r="T217" s="26">
        <f t="shared" si="4"/>
        <v>0</v>
      </c>
      <c r="U217" s="28">
        <f t="shared" si="5"/>
        <v>0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23" t="s">
        <v>24</v>
      </c>
      <c r="B218" s="24">
        <f t="shared" si="6"/>
        <v>46235</v>
      </c>
      <c r="C218" s="26">
        <v>8.0</v>
      </c>
      <c r="D218" s="26" t="s">
        <v>27</v>
      </c>
      <c r="E218" s="22" t="s">
        <v>29</v>
      </c>
      <c r="F218" s="22" t="s">
        <v>30</v>
      </c>
      <c r="G218" s="19"/>
      <c r="I218" s="20"/>
      <c r="K218" s="20"/>
      <c r="M218" s="20"/>
      <c r="O218" s="20"/>
      <c r="Q218" s="27">
        <f t="shared" si="1"/>
        <v>0</v>
      </c>
      <c r="R218" s="26">
        <f t="shared" si="2"/>
        <v>0</v>
      </c>
      <c r="S218" s="26">
        <f t="shared" si="3"/>
        <v>0</v>
      </c>
      <c r="T218" s="26">
        <f t="shared" si="4"/>
        <v>0</v>
      </c>
      <c r="U218" s="28">
        <f t="shared" si="5"/>
        <v>0</v>
      </c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29" t="s">
        <v>25</v>
      </c>
      <c r="B219" s="30">
        <f t="shared" si="6"/>
        <v>46236</v>
      </c>
      <c r="C219" s="32">
        <v>8.0</v>
      </c>
      <c r="D219" s="32" t="s">
        <v>27</v>
      </c>
      <c r="E219" s="33" t="s">
        <v>29</v>
      </c>
      <c r="F219" s="33" t="s">
        <v>30</v>
      </c>
      <c r="G219" s="34"/>
      <c r="H219" s="6"/>
      <c r="I219" s="35"/>
      <c r="J219" s="6"/>
      <c r="K219" s="35"/>
      <c r="L219" s="6"/>
      <c r="M219" s="35"/>
      <c r="N219" s="6"/>
      <c r="O219" s="35"/>
      <c r="P219" s="6"/>
      <c r="Q219" s="36">
        <f t="shared" si="1"/>
        <v>0</v>
      </c>
      <c r="R219" s="32">
        <f t="shared" si="2"/>
        <v>0</v>
      </c>
      <c r="S219" s="32">
        <f t="shared" si="3"/>
        <v>0</v>
      </c>
      <c r="T219" s="32">
        <f t="shared" si="4"/>
        <v>0</v>
      </c>
      <c r="U219" s="37">
        <f t="shared" si="5"/>
        <v>0</v>
      </c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14" t="s">
        <v>18</v>
      </c>
      <c r="B220" s="15">
        <f t="shared" si="6"/>
        <v>46237</v>
      </c>
      <c r="C220" s="17">
        <v>8.0</v>
      </c>
      <c r="D220" s="17" t="s">
        <v>28</v>
      </c>
      <c r="E220" s="18" t="s">
        <v>31</v>
      </c>
      <c r="F220" s="18" t="s">
        <v>32</v>
      </c>
      <c r="G220" s="19"/>
      <c r="I220" s="20"/>
      <c r="K220" s="20"/>
      <c r="M220" s="20"/>
      <c r="O220" s="20"/>
      <c r="Q220" s="21">
        <f t="shared" si="1"/>
        <v>0</v>
      </c>
      <c r="R220" s="17">
        <f t="shared" si="2"/>
        <v>0</v>
      </c>
      <c r="S220" s="17">
        <f t="shared" si="3"/>
        <v>0</v>
      </c>
      <c r="T220" s="17">
        <f t="shared" si="4"/>
        <v>0</v>
      </c>
      <c r="U220" s="38">
        <f t="shared" si="5"/>
        <v>0</v>
      </c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23" t="s">
        <v>20</v>
      </c>
      <c r="B221" s="24">
        <f t="shared" si="6"/>
        <v>46238</v>
      </c>
      <c r="C221" s="26">
        <v>8.0</v>
      </c>
      <c r="D221" s="26" t="s">
        <v>28</v>
      </c>
      <c r="E221" s="22" t="s">
        <v>31</v>
      </c>
      <c r="F221" s="22" t="s">
        <v>32</v>
      </c>
      <c r="G221" s="19"/>
      <c r="I221" s="20"/>
      <c r="K221" s="20"/>
      <c r="M221" s="20"/>
      <c r="O221" s="20"/>
      <c r="Q221" s="27">
        <f t="shared" si="1"/>
        <v>0</v>
      </c>
      <c r="R221" s="26">
        <f t="shared" si="2"/>
        <v>0</v>
      </c>
      <c r="S221" s="26">
        <f t="shared" si="3"/>
        <v>0</v>
      </c>
      <c r="T221" s="26">
        <f t="shared" si="4"/>
        <v>0</v>
      </c>
      <c r="U221" s="28">
        <f t="shared" si="5"/>
        <v>0</v>
      </c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23" t="s">
        <v>21</v>
      </c>
      <c r="B222" s="24">
        <f t="shared" si="6"/>
        <v>46239</v>
      </c>
      <c r="C222" s="26">
        <v>8.0</v>
      </c>
      <c r="D222" s="26" t="s">
        <v>28</v>
      </c>
      <c r="E222" s="22" t="s">
        <v>31</v>
      </c>
      <c r="F222" s="22" t="s">
        <v>32</v>
      </c>
      <c r="G222" s="19"/>
      <c r="I222" s="20"/>
      <c r="K222" s="20"/>
      <c r="M222" s="20"/>
      <c r="O222" s="20"/>
      <c r="Q222" s="27">
        <f t="shared" si="1"/>
        <v>0</v>
      </c>
      <c r="R222" s="26">
        <f t="shared" si="2"/>
        <v>0</v>
      </c>
      <c r="S222" s="26">
        <f t="shared" si="3"/>
        <v>0</v>
      </c>
      <c r="T222" s="26">
        <f t="shared" si="4"/>
        <v>0</v>
      </c>
      <c r="U222" s="28">
        <f t="shared" si="5"/>
        <v>0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23" t="s">
        <v>22</v>
      </c>
      <c r="B223" s="24">
        <f t="shared" si="6"/>
        <v>46240</v>
      </c>
      <c r="C223" s="26">
        <v>8.0</v>
      </c>
      <c r="D223" s="26" t="s">
        <v>28</v>
      </c>
      <c r="E223" s="22" t="s">
        <v>33</v>
      </c>
      <c r="F223" s="22" t="s">
        <v>30</v>
      </c>
      <c r="G223" s="19"/>
      <c r="I223" s="20"/>
      <c r="K223" s="20"/>
      <c r="M223" s="20"/>
      <c r="O223" s="20"/>
      <c r="Q223" s="27">
        <f t="shared" si="1"/>
        <v>0</v>
      </c>
      <c r="R223" s="26">
        <f t="shared" si="2"/>
        <v>0</v>
      </c>
      <c r="S223" s="26">
        <f t="shared" si="3"/>
        <v>0</v>
      </c>
      <c r="T223" s="26">
        <f t="shared" si="4"/>
        <v>0</v>
      </c>
      <c r="U223" s="28">
        <f t="shared" si="5"/>
        <v>0</v>
      </c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23" t="s">
        <v>23</v>
      </c>
      <c r="B224" s="24">
        <f t="shared" si="6"/>
        <v>46241</v>
      </c>
      <c r="C224" s="26">
        <v>8.0</v>
      </c>
      <c r="D224" s="26" t="s">
        <v>28</v>
      </c>
      <c r="E224" s="22" t="s">
        <v>31</v>
      </c>
      <c r="F224" s="22" t="s">
        <v>32</v>
      </c>
      <c r="G224" s="19"/>
      <c r="I224" s="20"/>
      <c r="K224" s="20"/>
      <c r="M224" s="20"/>
      <c r="O224" s="20"/>
      <c r="Q224" s="27">
        <f t="shared" si="1"/>
        <v>0</v>
      </c>
      <c r="R224" s="26">
        <f t="shared" si="2"/>
        <v>0</v>
      </c>
      <c r="S224" s="26">
        <f t="shared" si="3"/>
        <v>0</v>
      </c>
      <c r="T224" s="26">
        <f t="shared" si="4"/>
        <v>0</v>
      </c>
      <c r="U224" s="28">
        <f t="shared" si="5"/>
        <v>0</v>
      </c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23" t="s">
        <v>24</v>
      </c>
      <c r="B225" s="24">
        <f t="shared" si="6"/>
        <v>46242</v>
      </c>
      <c r="C225" s="26">
        <v>8.0</v>
      </c>
      <c r="D225" s="26" t="s">
        <v>28</v>
      </c>
      <c r="E225" s="22" t="s">
        <v>31</v>
      </c>
      <c r="F225" s="22" t="s">
        <v>32</v>
      </c>
      <c r="G225" s="19"/>
      <c r="I225" s="20"/>
      <c r="K225" s="20"/>
      <c r="M225" s="20"/>
      <c r="O225" s="20"/>
      <c r="Q225" s="27">
        <f t="shared" si="1"/>
        <v>0</v>
      </c>
      <c r="R225" s="26">
        <f t="shared" si="2"/>
        <v>0</v>
      </c>
      <c r="S225" s="26">
        <f t="shared" si="3"/>
        <v>0</v>
      </c>
      <c r="T225" s="26">
        <f t="shared" si="4"/>
        <v>0</v>
      </c>
      <c r="U225" s="28">
        <f t="shared" si="5"/>
        <v>0</v>
      </c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29" t="s">
        <v>25</v>
      </c>
      <c r="B226" s="30">
        <f t="shared" si="6"/>
        <v>46243</v>
      </c>
      <c r="C226" s="32">
        <v>8.0</v>
      </c>
      <c r="D226" s="32" t="s">
        <v>28</v>
      </c>
      <c r="E226" s="33" t="s">
        <v>31</v>
      </c>
      <c r="F226" s="33" t="s">
        <v>32</v>
      </c>
      <c r="G226" s="34"/>
      <c r="H226" s="6"/>
      <c r="I226" s="35"/>
      <c r="J226" s="6"/>
      <c r="K226" s="35"/>
      <c r="L226" s="6"/>
      <c r="M226" s="35"/>
      <c r="N226" s="6"/>
      <c r="O226" s="35"/>
      <c r="P226" s="6"/>
      <c r="Q226" s="36">
        <f t="shared" si="1"/>
        <v>0</v>
      </c>
      <c r="R226" s="32">
        <f t="shared" si="2"/>
        <v>0</v>
      </c>
      <c r="S226" s="32">
        <f t="shared" si="3"/>
        <v>0</v>
      </c>
      <c r="T226" s="32">
        <f t="shared" si="4"/>
        <v>0</v>
      </c>
      <c r="U226" s="37">
        <f t="shared" si="5"/>
        <v>0</v>
      </c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14" t="s">
        <v>18</v>
      </c>
      <c r="B227" s="15">
        <f t="shared" si="6"/>
        <v>46244</v>
      </c>
      <c r="C227" s="17">
        <v>9.0</v>
      </c>
      <c r="D227" s="17" t="s">
        <v>19</v>
      </c>
      <c r="E227" s="18" t="s">
        <v>29</v>
      </c>
      <c r="F227" s="18" t="s">
        <v>30</v>
      </c>
      <c r="G227" s="19"/>
      <c r="I227" s="20"/>
      <c r="K227" s="20"/>
      <c r="M227" s="20"/>
      <c r="O227" s="20"/>
      <c r="Q227" s="21">
        <f t="shared" si="1"/>
        <v>0</v>
      </c>
      <c r="R227" s="17">
        <f t="shared" si="2"/>
        <v>0</v>
      </c>
      <c r="S227" s="17">
        <f t="shared" si="3"/>
        <v>0</v>
      </c>
      <c r="T227" s="17">
        <f t="shared" si="4"/>
        <v>0</v>
      </c>
      <c r="U227" s="38">
        <f t="shared" si="5"/>
        <v>0</v>
      </c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23" t="s">
        <v>20</v>
      </c>
      <c r="B228" s="24">
        <f t="shared" si="6"/>
        <v>46245</v>
      </c>
      <c r="C228" s="26">
        <v>9.0</v>
      </c>
      <c r="D228" s="26" t="s">
        <v>19</v>
      </c>
      <c r="E228" s="22" t="s">
        <v>29</v>
      </c>
      <c r="F228" s="22" t="s">
        <v>30</v>
      </c>
      <c r="G228" s="19"/>
      <c r="I228" s="20"/>
      <c r="K228" s="20"/>
      <c r="M228" s="20"/>
      <c r="O228" s="20"/>
      <c r="Q228" s="27">
        <f t="shared" si="1"/>
        <v>0</v>
      </c>
      <c r="R228" s="26">
        <f t="shared" si="2"/>
        <v>0</v>
      </c>
      <c r="S228" s="26">
        <f t="shared" si="3"/>
        <v>0</v>
      </c>
      <c r="T228" s="26">
        <f t="shared" si="4"/>
        <v>0</v>
      </c>
      <c r="U228" s="28">
        <f t="shared" si="5"/>
        <v>0</v>
      </c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23" t="s">
        <v>21</v>
      </c>
      <c r="B229" s="24">
        <f t="shared" si="6"/>
        <v>46246</v>
      </c>
      <c r="C229" s="26">
        <v>9.0</v>
      </c>
      <c r="D229" s="26" t="s">
        <v>19</v>
      </c>
      <c r="E229" s="22" t="s">
        <v>29</v>
      </c>
      <c r="F229" s="22" t="s">
        <v>30</v>
      </c>
      <c r="G229" s="19"/>
      <c r="I229" s="20"/>
      <c r="K229" s="20"/>
      <c r="M229" s="20"/>
      <c r="O229" s="20"/>
      <c r="Q229" s="27">
        <f t="shared" si="1"/>
        <v>0</v>
      </c>
      <c r="R229" s="26">
        <f t="shared" si="2"/>
        <v>0</v>
      </c>
      <c r="S229" s="26">
        <f t="shared" si="3"/>
        <v>0</v>
      </c>
      <c r="T229" s="26">
        <f t="shared" si="4"/>
        <v>0</v>
      </c>
      <c r="U229" s="28">
        <f t="shared" si="5"/>
        <v>0</v>
      </c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23" t="s">
        <v>22</v>
      </c>
      <c r="B230" s="24">
        <f t="shared" si="6"/>
        <v>46247</v>
      </c>
      <c r="C230" s="26">
        <v>9.0</v>
      </c>
      <c r="D230" s="26" t="s">
        <v>19</v>
      </c>
      <c r="E230" s="22" t="s">
        <v>29</v>
      </c>
      <c r="F230" s="22" t="s">
        <v>30</v>
      </c>
      <c r="G230" s="19"/>
      <c r="I230" s="20"/>
      <c r="K230" s="20"/>
      <c r="M230" s="20"/>
      <c r="O230" s="20"/>
      <c r="Q230" s="27">
        <f t="shared" si="1"/>
        <v>0</v>
      </c>
      <c r="R230" s="26">
        <f t="shared" si="2"/>
        <v>0</v>
      </c>
      <c r="S230" s="26">
        <f t="shared" si="3"/>
        <v>0</v>
      </c>
      <c r="T230" s="26">
        <f t="shared" si="4"/>
        <v>0</v>
      </c>
      <c r="U230" s="28">
        <f t="shared" si="5"/>
        <v>0</v>
      </c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23" t="s">
        <v>23</v>
      </c>
      <c r="B231" s="24">
        <f t="shared" si="6"/>
        <v>46248</v>
      </c>
      <c r="C231" s="26">
        <v>9.0</v>
      </c>
      <c r="D231" s="26" t="s">
        <v>19</v>
      </c>
      <c r="E231" s="22" t="s">
        <v>29</v>
      </c>
      <c r="F231" s="22" t="s">
        <v>30</v>
      </c>
      <c r="G231" s="19"/>
      <c r="I231" s="20"/>
      <c r="K231" s="20"/>
      <c r="M231" s="20"/>
      <c r="O231" s="20"/>
      <c r="Q231" s="27">
        <f t="shared" si="1"/>
        <v>0</v>
      </c>
      <c r="R231" s="26">
        <f t="shared" si="2"/>
        <v>0</v>
      </c>
      <c r="S231" s="26">
        <f t="shared" si="3"/>
        <v>0</v>
      </c>
      <c r="T231" s="26">
        <f t="shared" si="4"/>
        <v>0</v>
      </c>
      <c r="U231" s="28">
        <f t="shared" si="5"/>
        <v>0</v>
      </c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23" t="s">
        <v>24</v>
      </c>
      <c r="B232" s="24">
        <f t="shared" si="6"/>
        <v>46249</v>
      </c>
      <c r="C232" s="26">
        <v>9.0</v>
      </c>
      <c r="D232" s="26" t="s">
        <v>19</v>
      </c>
      <c r="E232" s="22" t="s">
        <v>29</v>
      </c>
      <c r="F232" s="22" t="s">
        <v>30</v>
      </c>
      <c r="G232" s="19"/>
      <c r="I232" s="20"/>
      <c r="K232" s="20"/>
      <c r="M232" s="20"/>
      <c r="O232" s="20"/>
      <c r="Q232" s="27">
        <f t="shared" si="1"/>
        <v>0</v>
      </c>
      <c r="R232" s="26">
        <f t="shared" si="2"/>
        <v>0</v>
      </c>
      <c r="S232" s="26">
        <f t="shared" si="3"/>
        <v>0</v>
      </c>
      <c r="T232" s="26">
        <f t="shared" si="4"/>
        <v>0</v>
      </c>
      <c r="U232" s="28">
        <f t="shared" si="5"/>
        <v>0</v>
      </c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29" t="s">
        <v>25</v>
      </c>
      <c r="B233" s="30">
        <f t="shared" si="6"/>
        <v>46250</v>
      </c>
      <c r="C233" s="32">
        <v>9.0</v>
      </c>
      <c r="D233" s="32" t="s">
        <v>19</v>
      </c>
      <c r="E233" s="33" t="s">
        <v>29</v>
      </c>
      <c r="F233" s="33" t="s">
        <v>30</v>
      </c>
      <c r="G233" s="34"/>
      <c r="H233" s="6"/>
      <c r="I233" s="35"/>
      <c r="J233" s="6"/>
      <c r="K233" s="35"/>
      <c r="L233" s="6"/>
      <c r="M233" s="35"/>
      <c r="N233" s="6"/>
      <c r="O233" s="35"/>
      <c r="P233" s="6"/>
      <c r="Q233" s="36">
        <f t="shared" si="1"/>
        <v>0</v>
      </c>
      <c r="R233" s="32">
        <f t="shared" si="2"/>
        <v>0</v>
      </c>
      <c r="S233" s="32">
        <f t="shared" si="3"/>
        <v>0</v>
      </c>
      <c r="T233" s="32">
        <f t="shared" si="4"/>
        <v>0</v>
      </c>
      <c r="U233" s="37">
        <f t="shared" si="5"/>
        <v>0</v>
      </c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14" t="s">
        <v>18</v>
      </c>
      <c r="B234" s="15">
        <f t="shared" si="6"/>
        <v>46251</v>
      </c>
      <c r="C234" s="17">
        <v>9.0</v>
      </c>
      <c r="D234" s="17" t="s">
        <v>26</v>
      </c>
      <c r="E234" s="18" t="s">
        <v>29</v>
      </c>
      <c r="F234" s="18" t="s">
        <v>30</v>
      </c>
      <c r="G234" s="19"/>
      <c r="I234" s="20"/>
      <c r="K234" s="20"/>
      <c r="M234" s="20"/>
      <c r="O234" s="20"/>
      <c r="Q234" s="21">
        <f t="shared" si="1"/>
        <v>0</v>
      </c>
      <c r="R234" s="17">
        <f t="shared" si="2"/>
        <v>0</v>
      </c>
      <c r="S234" s="17">
        <f t="shared" si="3"/>
        <v>0</v>
      </c>
      <c r="T234" s="17">
        <f t="shared" si="4"/>
        <v>0</v>
      </c>
      <c r="U234" s="38">
        <f t="shared" si="5"/>
        <v>0</v>
      </c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23" t="s">
        <v>20</v>
      </c>
      <c r="B235" s="24">
        <f t="shared" si="6"/>
        <v>46252</v>
      </c>
      <c r="C235" s="26">
        <v>9.0</v>
      </c>
      <c r="D235" s="26" t="s">
        <v>26</v>
      </c>
      <c r="E235" s="22" t="s">
        <v>31</v>
      </c>
      <c r="F235" s="22" t="s">
        <v>32</v>
      </c>
      <c r="G235" s="19"/>
      <c r="I235" s="20"/>
      <c r="K235" s="20"/>
      <c r="M235" s="20"/>
      <c r="O235" s="20"/>
      <c r="Q235" s="27">
        <f t="shared" si="1"/>
        <v>0</v>
      </c>
      <c r="R235" s="26">
        <f t="shared" si="2"/>
        <v>0</v>
      </c>
      <c r="S235" s="26">
        <f t="shared" si="3"/>
        <v>0</v>
      </c>
      <c r="T235" s="26">
        <f t="shared" si="4"/>
        <v>0</v>
      </c>
      <c r="U235" s="28">
        <f t="shared" si="5"/>
        <v>0</v>
      </c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23" t="s">
        <v>21</v>
      </c>
      <c r="B236" s="24">
        <f t="shared" si="6"/>
        <v>46253</v>
      </c>
      <c r="C236" s="26">
        <v>9.0</v>
      </c>
      <c r="D236" s="26" t="s">
        <v>26</v>
      </c>
      <c r="E236" s="22" t="s">
        <v>31</v>
      </c>
      <c r="F236" s="22" t="s">
        <v>32</v>
      </c>
      <c r="G236" s="19"/>
      <c r="I236" s="20"/>
      <c r="K236" s="20"/>
      <c r="M236" s="20"/>
      <c r="O236" s="20"/>
      <c r="Q236" s="27">
        <f t="shared" si="1"/>
        <v>0</v>
      </c>
      <c r="R236" s="26">
        <f t="shared" si="2"/>
        <v>0</v>
      </c>
      <c r="S236" s="26">
        <f t="shared" si="3"/>
        <v>0</v>
      </c>
      <c r="T236" s="26">
        <f t="shared" si="4"/>
        <v>0</v>
      </c>
      <c r="U236" s="28">
        <f t="shared" si="5"/>
        <v>0</v>
      </c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23" t="s">
        <v>22</v>
      </c>
      <c r="B237" s="24">
        <f t="shared" si="6"/>
        <v>46254</v>
      </c>
      <c r="C237" s="26">
        <v>9.0</v>
      </c>
      <c r="D237" s="26" t="s">
        <v>26</v>
      </c>
      <c r="E237" s="22" t="s">
        <v>31</v>
      </c>
      <c r="F237" s="22" t="s">
        <v>32</v>
      </c>
      <c r="G237" s="19"/>
      <c r="I237" s="20"/>
      <c r="K237" s="20"/>
      <c r="M237" s="20"/>
      <c r="O237" s="20"/>
      <c r="Q237" s="27">
        <f t="shared" si="1"/>
        <v>0</v>
      </c>
      <c r="R237" s="26">
        <f t="shared" si="2"/>
        <v>0</v>
      </c>
      <c r="S237" s="26">
        <f t="shared" si="3"/>
        <v>0</v>
      </c>
      <c r="T237" s="26">
        <f t="shared" si="4"/>
        <v>0</v>
      </c>
      <c r="U237" s="28">
        <f t="shared" si="5"/>
        <v>0</v>
      </c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23" t="s">
        <v>23</v>
      </c>
      <c r="B238" s="24">
        <f t="shared" si="6"/>
        <v>46255</v>
      </c>
      <c r="C238" s="26">
        <v>9.0</v>
      </c>
      <c r="D238" s="26" t="s">
        <v>26</v>
      </c>
      <c r="E238" s="22" t="s">
        <v>31</v>
      </c>
      <c r="F238" s="22" t="s">
        <v>32</v>
      </c>
      <c r="G238" s="19"/>
      <c r="I238" s="20"/>
      <c r="K238" s="20"/>
      <c r="M238" s="20"/>
      <c r="O238" s="20"/>
      <c r="Q238" s="27">
        <f t="shared" si="1"/>
        <v>0</v>
      </c>
      <c r="R238" s="26">
        <f t="shared" si="2"/>
        <v>0</v>
      </c>
      <c r="S238" s="26">
        <f t="shared" si="3"/>
        <v>0</v>
      </c>
      <c r="T238" s="26">
        <f t="shared" si="4"/>
        <v>0</v>
      </c>
      <c r="U238" s="28">
        <f t="shared" si="5"/>
        <v>0</v>
      </c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23" t="s">
        <v>24</v>
      </c>
      <c r="B239" s="24">
        <f t="shared" si="6"/>
        <v>46256</v>
      </c>
      <c r="C239" s="26">
        <v>9.0</v>
      </c>
      <c r="D239" s="26" t="s">
        <v>26</v>
      </c>
      <c r="E239" s="22" t="s">
        <v>31</v>
      </c>
      <c r="F239" s="22" t="s">
        <v>32</v>
      </c>
      <c r="G239" s="19"/>
      <c r="I239" s="20"/>
      <c r="K239" s="20"/>
      <c r="M239" s="20"/>
      <c r="O239" s="20"/>
      <c r="Q239" s="27">
        <f t="shared" si="1"/>
        <v>0</v>
      </c>
      <c r="R239" s="26">
        <f t="shared" si="2"/>
        <v>0</v>
      </c>
      <c r="S239" s="26">
        <f t="shared" si="3"/>
        <v>0</v>
      </c>
      <c r="T239" s="26">
        <f t="shared" si="4"/>
        <v>0</v>
      </c>
      <c r="U239" s="28">
        <f t="shared" si="5"/>
        <v>0</v>
      </c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29" t="s">
        <v>25</v>
      </c>
      <c r="B240" s="30">
        <f t="shared" si="6"/>
        <v>46257</v>
      </c>
      <c r="C240" s="32">
        <v>9.0</v>
      </c>
      <c r="D240" s="32" t="s">
        <v>26</v>
      </c>
      <c r="E240" s="33" t="s">
        <v>31</v>
      </c>
      <c r="F240" s="33" t="s">
        <v>32</v>
      </c>
      <c r="G240" s="34"/>
      <c r="H240" s="6"/>
      <c r="I240" s="35"/>
      <c r="J240" s="6"/>
      <c r="K240" s="35"/>
      <c r="L240" s="6"/>
      <c r="M240" s="35"/>
      <c r="N240" s="6"/>
      <c r="O240" s="35"/>
      <c r="P240" s="6"/>
      <c r="Q240" s="36">
        <f t="shared" si="1"/>
        <v>0</v>
      </c>
      <c r="R240" s="32">
        <f t="shared" si="2"/>
        <v>0</v>
      </c>
      <c r="S240" s="32">
        <f t="shared" si="3"/>
        <v>0</v>
      </c>
      <c r="T240" s="32">
        <f t="shared" si="4"/>
        <v>0</v>
      </c>
      <c r="U240" s="37">
        <f t="shared" si="5"/>
        <v>0</v>
      </c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14" t="s">
        <v>18</v>
      </c>
      <c r="B241" s="15">
        <f t="shared" si="6"/>
        <v>46258</v>
      </c>
      <c r="C241" s="17">
        <v>9.0</v>
      </c>
      <c r="D241" s="17" t="s">
        <v>27</v>
      </c>
      <c r="E241" s="18" t="s">
        <v>29</v>
      </c>
      <c r="F241" s="18" t="s">
        <v>30</v>
      </c>
      <c r="G241" s="19"/>
      <c r="I241" s="20"/>
      <c r="K241" s="20"/>
      <c r="M241" s="20"/>
      <c r="O241" s="20"/>
      <c r="Q241" s="21">
        <f t="shared" si="1"/>
        <v>0</v>
      </c>
      <c r="R241" s="17">
        <f t="shared" si="2"/>
        <v>0</v>
      </c>
      <c r="S241" s="17">
        <f t="shared" si="3"/>
        <v>0</v>
      </c>
      <c r="T241" s="17">
        <f t="shared" si="4"/>
        <v>0</v>
      </c>
      <c r="U241" s="38">
        <f t="shared" si="5"/>
        <v>0</v>
      </c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23" t="s">
        <v>20</v>
      </c>
      <c r="B242" s="24">
        <f t="shared" si="6"/>
        <v>46259</v>
      </c>
      <c r="C242" s="26">
        <v>9.0</v>
      </c>
      <c r="D242" s="26" t="s">
        <v>27</v>
      </c>
      <c r="E242" s="22" t="s">
        <v>29</v>
      </c>
      <c r="F242" s="22" t="s">
        <v>30</v>
      </c>
      <c r="G242" s="19"/>
      <c r="I242" s="20"/>
      <c r="K242" s="20"/>
      <c r="M242" s="20"/>
      <c r="O242" s="20"/>
      <c r="Q242" s="27">
        <f t="shared" si="1"/>
        <v>0</v>
      </c>
      <c r="R242" s="26">
        <f t="shared" si="2"/>
        <v>0</v>
      </c>
      <c r="S242" s="26">
        <f t="shared" si="3"/>
        <v>0</v>
      </c>
      <c r="T242" s="26">
        <f t="shared" si="4"/>
        <v>0</v>
      </c>
      <c r="U242" s="28">
        <f t="shared" si="5"/>
        <v>0</v>
      </c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23" t="s">
        <v>21</v>
      </c>
      <c r="B243" s="24">
        <f t="shared" si="6"/>
        <v>46260</v>
      </c>
      <c r="C243" s="26">
        <v>9.0</v>
      </c>
      <c r="D243" s="26" t="s">
        <v>27</v>
      </c>
      <c r="E243" s="22" t="s">
        <v>29</v>
      </c>
      <c r="F243" s="22" t="s">
        <v>30</v>
      </c>
      <c r="G243" s="19"/>
      <c r="I243" s="20"/>
      <c r="K243" s="20"/>
      <c r="M243" s="20"/>
      <c r="O243" s="20"/>
      <c r="Q243" s="27">
        <f t="shared" si="1"/>
        <v>0</v>
      </c>
      <c r="R243" s="26">
        <f t="shared" si="2"/>
        <v>0</v>
      </c>
      <c r="S243" s="26">
        <f t="shared" si="3"/>
        <v>0</v>
      </c>
      <c r="T243" s="26">
        <f t="shared" si="4"/>
        <v>0</v>
      </c>
      <c r="U243" s="28">
        <f t="shared" si="5"/>
        <v>0</v>
      </c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23" t="s">
        <v>22</v>
      </c>
      <c r="B244" s="24">
        <f t="shared" si="6"/>
        <v>46261</v>
      </c>
      <c r="C244" s="26">
        <v>9.0</v>
      </c>
      <c r="D244" s="26" t="s">
        <v>27</v>
      </c>
      <c r="E244" s="22" t="s">
        <v>29</v>
      </c>
      <c r="F244" s="22" t="s">
        <v>30</v>
      </c>
      <c r="G244" s="19"/>
      <c r="I244" s="20"/>
      <c r="K244" s="20"/>
      <c r="M244" s="20"/>
      <c r="O244" s="20"/>
      <c r="Q244" s="27">
        <f t="shared" si="1"/>
        <v>0</v>
      </c>
      <c r="R244" s="26">
        <f t="shared" si="2"/>
        <v>0</v>
      </c>
      <c r="S244" s="26">
        <f t="shared" si="3"/>
        <v>0</v>
      </c>
      <c r="T244" s="26">
        <f t="shared" si="4"/>
        <v>0</v>
      </c>
      <c r="U244" s="28">
        <f t="shared" si="5"/>
        <v>0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23" t="s">
        <v>23</v>
      </c>
      <c r="B245" s="24">
        <f t="shared" si="6"/>
        <v>46262</v>
      </c>
      <c r="C245" s="26">
        <v>9.0</v>
      </c>
      <c r="D245" s="26" t="s">
        <v>27</v>
      </c>
      <c r="E245" s="22" t="s">
        <v>29</v>
      </c>
      <c r="F245" s="22" t="s">
        <v>30</v>
      </c>
      <c r="G245" s="19"/>
      <c r="I245" s="20"/>
      <c r="K245" s="20"/>
      <c r="M245" s="20"/>
      <c r="O245" s="20"/>
      <c r="Q245" s="27">
        <f t="shared" si="1"/>
        <v>0</v>
      </c>
      <c r="R245" s="26">
        <f t="shared" si="2"/>
        <v>0</v>
      </c>
      <c r="S245" s="26">
        <f t="shared" si="3"/>
        <v>0</v>
      </c>
      <c r="T245" s="26">
        <f t="shared" si="4"/>
        <v>0</v>
      </c>
      <c r="U245" s="28">
        <f t="shared" si="5"/>
        <v>0</v>
      </c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23" t="s">
        <v>24</v>
      </c>
      <c r="B246" s="24">
        <f t="shared" si="6"/>
        <v>46263</v>
      </c>
      <c r="C246" s="26">
        <v>9.0</v>
      </c>
      <c r="D246" s="26" t="s">
        <v>27</v>
      </c>
      <c r="E246" s="22" t="s">
        <v>29</v>
      </c>
      <c r="F246" s="22" t="s">
        <v>30</v>
      </c>
      <c r="G246" s="19"/>
      <c r="I246" s="20"/>
      <c r="K246" s="20"/>
      <c r="M246" s="20"/>
      <c r="O246" s="20"/>
      <c r="Q246" s="27">
        <f t="shared" si="1"/>
        <v>0</v>
      </c>
      <c r="R246" s="26">
        <f t="shared" si="2"/>
        <v>0</v>
      </c>
      <c r="S246" s="26">
        <f t="shared" si="3"/>
        <v>0</v>
      </c>
      <c r="T246" s="26">
        <f t="shared" si="4"/>
        <v>0</v>
      </c>
      <c r="U246" s="28">
        <f t="shared" si="5"/>
        <v>0</v>
      </c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29" t="s">
        <v>25</v>
      </c>
      <c r="B247" s="30">
        <f t="shared" si="6"/>
        <v>46264</v>
      </c>
      <c r="C247" s="32">
        <v>9.0</v>
      </c>
      <c r="D247" s="32" t="s">
        <v>27</v>
      </c>
      <c r="E247" s="33" t="s">
        <v>29</v>
      </c>
      <c r="F247" s="33" t="s">
        <v>30</v>
      </c>
      <c r="G247" s="34"/>
      <c r="H247" s="6"/>
      <c r="I247" s="35"/>
      <c r="J247" s="6"/>
      <c r="K247" s="35"/>
      <c r="L247" s="6"/>
      <c r="M247" s="35"/>
      <c r="N247" s="6"/>
      <c r="O247" s="35"/>
      <c r="P247" s="6"/>
      <c r="Q247" s="36">
        <f t="shared" si="1"/>
        <v>0</v>
      </c>
      <c r="R247" s="32">
        <f t="shared" si="2"/>
        <v>0</v>
      </c>
      <c r="S247" s="32">
        <f t="shared" si="3"/>
        <v>0</v>
      </c>
      <c r="T247" s="32">
        <f t="shared" si="4"/>
        <v>0</v>
      </c>
      <c r="U247" s="37">
        <f t="shared" si="5"/>
        <v>0</v>
      </c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14" t="s">
        <v>18</v>
      </c>
      <c r="B248" s="15">
        <f t="shared" si="6"/>
        <v>46265</v>
      </c>
      <c r="C248" s="17">
        <v>9.0</v>
      </c>
      <c r="D248" s="17" t="s">
        <v>28</v>
      </c>
      <c r="E248" s="18" t="s">
        <v>31</v>
      </c>
      <c r="F248" s="18" t="s">
        <v>32</v>
      </c>
      <c r="G248" s="19"/>
      <c r="I248" s="20"/>
      <c r="K248" s="20"/>
      <c r="M248" s="20"/>
      <c r="O248" s="20"/>
      <c r="Q248" s="21">
        <f t="shared" si="1"/>
        <v>0</v>
      </c>
      <c r="R248" s="17">
        <f t="shared" si="2"/>
        <v>0</v>
      </c>
      <c r="S248" s="17">
        <f t="shared" si="3"/>
        <v>0</v>
      </c>
      <c r="T248" s="17">
        <f t="shared" si="4"/>
        <v>0</v>
      </c>
      <c r="U248" s="38">
        <f t="shared" si="5"/>
        <v>0</v>
      </c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23" t="s">
        <v>20</v>
      </c>
      <c r="B249" s="24">
        <f t="shared" si="6"/>
        <v>46266</v>
      </c>
      <c r="C249" s="26">
        <v>9.0</v>
      </c>
      <c r="D249" s="26" t="s">
        <v>28</v>
      </c>
      <c r="E249" s="22" t="s">
        <v>31</v>
      </c>
      <c r="F249" s="22" t="s">
        <v>32</v>
      </c>
      <c r="G249" s="19"/>
      <c r="I249" s="20"/>
      <c r="K249" s="20"/>
      <c r="M249" s="20"/>
      <c r="O249" s="20"/>
      <c r="Q249" s="27">
        <f t="shared" si="1"/>
        <v>0</v>
      </c>
      <c r="R249" s="26">
        <f t="shared" si="2"/>
        <v>0</v>
      </c>
      <c r="S249" s="26">
        <f t="shared" si="3"/>
        <v>0</v>
      </c>
      <c r="T249" s="26">
        <f t="shared" si="4"/>
        <v>0</v>
      </c>
      <c r="U249" s="28">
        <f t="shared" si="5"/>
        <v>0</v>
      </c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23" t="s">
        <v>21</v>
      </c>
      <c r="B250" s="24">
        <f t="shared" si="6"/>
        <v>46267</v>
      </c>
      <c r="C250" s="26">
        <v>9.0</v>
      </c>
      <c r="D250" s="26" t="s">
        <v>28</v>
      </c>
      <c r="E250" s="22" t="s">
        <v>31</v>
      </c>
      <c r="F250" s="22" t="s">
        <v>32</v>
      </c>
      <c r="G250" s="19"/>
      <c r="I250" s="20"/>
      <c r="K250" s="20"/>
      <c r="M250" s="20"/>
      <c r="O250" s="20"/>
      <c r="Q250" s="27">
        <f t="shared" si="1"/>
        <v>0</v>
      </c>
      <c r="R250" s="26">
        <f t="shared" si="2"/>
        <v>0</v>
      </c>
      <c r="S250" s="26">
        <f t="shared" si="3"/>
        <v>0</v>
      </c>
      <c r="T250" s="26">
        <f t="shared" si="4"/>
        <v>0</v>
      </c>
      <c r="U250" s="28">
        <f t="shared" si="5"/>
        <v>0</v>
      </c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23" t="s">
        <v>22</v>
      </c>
      <c r="B251" s="24">
        <f t="shared" si="6"/>
        <v>46268</v>
      </c>
      <c r="C251" s="26">
        <v>9.0</v>
      </c>
      <c r="D251" s="26" t="s">
        <v>28</v>
      </c>
      <c r="E251" s="22" t="s">
        <v>31</v>
      </c>
      <c r="F251" s="22" t="s">
        <v>32</v>
      </c>
      <c r="G251" s="19"/>
      <c r="I251" s="20"/>
      <c r="K251" s="20"/>
      <c r="M251" s="20"/>
      <c r="O251" s="20"/>
      <c r="Q251" s="27">
        <f t="shared" si="1"/>
        <v>0</v>
      </c>
      <c r="R251" s="26">
        <f t="shared" si="2"/>
        <v>0</v>
      </c>
      <c r="S251" s="26">
        <f t="shared" si="3"/>
        <v>0</v>
      </c>
      <c r="T251" s="26">
        <f t="shared" si="4"/>
        <v>0</v>
      </c>
      <c r="U251" s="28">
        <f t="shared" si="5"/>
        <v>0</v>
      </c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23" t="s">
        <v>23</v>
      </c>
      <c r="B252" s="24">
        <f t="shared" si="6"/>
        <v>46269</v>
      </c>
      <c r="C252" s="26">
        <v>9.0</v>
      </c>
      <c r="D252" s="26" t="s">
        <v>28</v>
      </c>
      <c r="E252" s="22" t="s">
        <v>31</v>
      </c>
      <c r="F252" s="22" t="s">
        <v>32</v>
      </c>
      <c r="G252" s="19"/>
      <c r="I252" s="20"/>
      <c r="K252" s="20"/>
      <c r="M252" s="20"/>
      <c r="O252" s="20"/>
      <c r="Q252" s="27">
        <f t="shared" si="1"/>
        <v>0</v>
      </c>
      <c r="R252" s="26">
        <f t="shared" si="2"/>
        <v>0</v>
      </c>
      <c r="S252" s="26">
        <f t="shared" si="3"/>
        <v>0</v>
      </c>
      <c r="T252" s="26">
        <f t="shared" si="4"/>
        <v>0</v>
      </c>
      <c r="U252" s="28">
        <f t="shared" si="5"/>
        <v>0</v>
      </c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23" t="s">
        <v>24</v>
      </c>
      <c r="B253" s="24">
        <f t="shared" si="6"/>
        <v>46270</v>
      </c>
      <c r="C253" s="26">
        <v>9.0</v>
      </c>
      <c r="D253" s="26" t="s">
        <v>28</v>
      </c>
      <c r="E253" s="22" t="s">
        <v>31</v>
      </c>
      <c r="F253" s="22" t="s">
        <v>32</v>
      </c>
      <c r="G253" s="19"/>
      <c r="I253" s="20"/>
      <c r="K253" s="20"/>
      <c r="M253" s="20"/>
      <c r="O253" s="20"/>
      <c r="Q253" s="27">
        <f t="shared" si="1"/>
        <v>0</v>
      </c>
      <c r="R253" s="26">
        <f t="shared" si="2"/>
        <v>0</v>
      </c>
      <c r="S253" s="26">
        <f t="shared" si="3"/>
        <v>0</v>
      </c>
      <c r="T253" s="26">
        <f t="shared" si="4"/>
        <v>0</v>
      </c>
      <c r="U253" s="28">
        <f t="shared" si="5"/>
        <v>0</v>
      </c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29" t="s">
        <v>25</v>
      </c>
      <c r="B254" s="30">
        <f t="shared" si="6"/>
        <v>46271</v>
      </c>
      <c r="C254" s="32">
        <v>9.0</v>
      </c>
      <c r="D254" s="32" t="s">
        <v>28</v>
      </c>
      <c r="E254" s="33" t="s">
        <v>31</v>
      </c>
      <c r="F254" s="33" t="s">
        <v>32</v>
      </c>
      <c r="G254" s="34"/>
      <c r="H254" s="6"/>
      <c r="I254" s="35"/>
      <c r="J254" s="6"/>
      <c r="K254" s="35"/>
      <c r="L254" s="6"/>
      <c r="M254" s="35"/>
      <c r="N254" s="6"/>
      <c r="O254" s="35"/>
      <c r="P254" s="6"/>
      <c r="Q254" s="36">
        <f t="shared" si="1"/>
        <v>0</v>
      </c>
      <c r="R254" s="32">
        <f t="shared" si="2"/>
        <v>0</v>
      </c>
      <c r="S254" s="32">
        <f t="shared" si="3"/>
        <v>0</v>
      </c>
      <c r="T254" s="32">
        <f t="shared" si="4"/>
        <v>0</v>
      </c>
      <c r="U254" s="37">
        <f t="shared" si="5"/>
        <v>0</v>
      </c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14" t="s">
        <v>18</v>
      </c>
      <c r="B255" s="15">
        <f t="shared" si="6"/>
        <v>46272</v>
      </c>
      <c r="C255" s="17">
        <v>10.0</v>
      </c>
      <c r="D255" s="17" t="s">
        <v>19</v>
      </c>
      <c r="E255" s="18" t="s">
        <v>29</v>
      </c>
      <c r="F255" s="18" t="s">
        <v>30</v>
      </c>
      <c r="G255" s="19"/>
      <c r="I255" s="20"/>
      <c r="K255" s="20"/>
      <c r="M255" s="20"/>
      <c r="O255" s="20"/>
      <c r="Q255" s="21">
        <f t="shared" si="1"/>
        <v>0</v>
      </c>
      <c r="R255" s="17">
        <f t="shared" si="2"/>
        <v>0</v>
      </c>
      <c r="S255" s="17">
        <f t="shared" si="3"/>
        <v>0</v>
      </c>
      <c r="T255" s="17">
        <f t="shared" si="4"/>
        <v>0</v>
      </c>
      <c r="U255" s="38">
        <f t="shared" si="5"/>
        <v>0</v>
      </c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23" t="s">
        <v>20</v>
      </c>
      <c r="B256" s="24">
        <f t="shared" si="6"/>
        <v>46273</v>
      </c>
      <c r="C256" s="26">
        <v>10.0</v>
      </c>
      <c r="D256" s="26" t="s">
        <v>19</v>
      </c>
      <c r="E256" s="22" t="s">
        <v>29</v>
      </c>
      <c r="F256" s="22" t="s">
        <v>30</v>
      </c>
      <c r="G256" s="19"/>
      <c r="I256" s="20"/>
      <c r="K256" s="20"/>
      <c r="M256" s="20"/>
      <c r="O256" s="20"/>
      <c r="Q256" s="27">
        <f t="shared" si="1"/>
        <v>0</v>
      </c>
      <c r="R256" s="26">
        <f t="shared" si="2"/>
        <v>0</v>
      </c>
      <c r="S256" s="26">
        <f t="shared" si="3"/>
        <v>0</v>
      </c>
      <c r="T256" s="26">
        <f t="shared" si="4"/>
        <v>0</v>
      </c>
      <c r="U256" s="28">
        <f t="shared" si="5"/>
        <v>0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23" t="s">
        <v>21</v>
      </c>
      <c r="B257" s="24">
        <f t="shared" si="6"/>
        <v>46274</v>
      </c>
      <c r="C257" s="26">
        <v>10.0</v>
      </c>
      <c r="D257" s="26" t="s">
        <v>19</v>
      </c>
      <c r="E257" s="22" t="s">
        <v>29</v>
      </c>
      <c r="F257" s="22" t="s">
        <v>30</v>
      </c>
      <c r="G257" s="19"/>
      <c r="I257" s="20"/>
      <c r="K257" s="20"/>
      <c r="M257" s="20"/>
      <c r="O257" s="20"/>
      <c r="Q257" s="27">
        <f t="shared" si="1"/>
        <v>0</v>
      </c>
      <c r="R257" s="26">
        <f t="shared" si="2"/>
        <v>0</v>
      </c>
      <c r="S257" s="26">
        <f t="shared" si="3"/>
        <v>0</v>
      </c>
      <c r="T257" s="26">
        <f t="shared" si="4"/>
        <v>0</v>
      </c>
      <c r="U257" s="28">
        <f t="shared" si="5"/>
        <v>0</v>
      </c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23" t="s">
        <v>22</v>
      </c>
      <c r="B258" s="24">
        <f t="shared" si="6"/>
        <v>46275</v>
      </c>
      <c r="C258" s="26">
        <v>10.0</v>
      </c>
      <c r="D258" s="26" t="s">
        <v>19</v>
      </c>
      <c r="E258" s="22" t="s">
        <v>29</v>
      </c>
      <c r="F258" s="22" t="s">
        <v>30</v>
      </c>
      <c r="G258" s="19"/>
      <c r="I258" s="20"/>
      <c r="K258" s="20"/>
      <c r="M258" s="20"/>
      <c r="O258" s="20"/>
      <c r="Q258" s="27">
        <f t="shared" si="1"/>
        <v>0</v>
      </c>
      <c r="R258" s="26">
        <f t="shared" si="2"/>
        <v>0</v>
      </c>
      <c r="S258" s="26">
        <f t="shared" si="3"/>
        <v>0</v>
      </c>
      <c r="T258" s="26">
        <f t="shared" si="4"/>
        <v>0</v>
      </c>
      <c r="U258" s="28">
        <f t="shared" si="5"/>
        <v>0</v>
      </c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23" t="s">
        <v>23</v>
      </c>
      <c r="B259" s="24">
        <f t="shared" si="6"/>
        <v>46276</v>
      </c>
      <c r="C259" s="26">
        <v>10.0</v>
      </c>
      <c r="D259" s="26" t="s">
        <v>19</v>
      </c>
      <c r="E259" s="22" t="s">
        <v>29</v>
      </c>
      <c r="F259" s="22" t="s">
        <v>30</v>
      </c>
      <c r="G259" s="19"/>
      <c r="I259" s="20"/>
      <c r="K259" s="20"/>
      <c r="M259" s="20"/>
      <c r="O259" s="20"/>
      <c r="Q259" s="27">
        <f t="shared" si="1"/>
        <v>0</v>
      </c>
      <c r="R259" s="26">
        <f t="shared" si="2"/>
        <v>0</v>
      </c>
      <c r="S259" s="26">
        <f t="shared" si="3"/>
        <v>0</v>
      </c>
      <c r="T259" s="26">
        <f t="shared" si="4"/>
        <v>0</v>
      </c>
      <c r="U259" s="28">
        <f t="shared" si="5"/>
        <v>0</v>
      </c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23" t="s">
        <v>24</v>
      </c>
      <c r="B260" s="24">
        <f t="shared" si="6"/>
        <v>46277</v>
      </c>
      <c r="C260" s="26">
        <v>10.0</v>
      </c>
      <c r="D260" s="26" t="s">
        <v>19</v>
      </c>
      <c r="E260" s="22" t="s">
        <v>29</v>
      </c>
      <c r="F260" s="22" t="s">
        <v>30</v>
      </c>
      <c r="G260" s="19"/>
      <c r="I260" s="20"/>
      <c r="K260" s="20"/>
      <c r="M260" s="20"/>
      <c r="O260" s="20"/>
      <c r="Q260" s="27">
        <f t="shared" si="1"/>
        <v>0</v>
      </c>
      <c r="R260" s="26">
        <f t="shared" si="2"/>
        <v>0</v>
      </c>
      <c r="S260" s="26">
        <f t="shared" si="3"/>
        <v>0</v>
      </c>
      <c r="T260" s="26">
        <f t="shared" si="4"/>
        <v>0</v>
      </c>
      <c r="U260" s="28">
        <f t="shared" si="5"/>
        <v>0</v>
      </c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29" t="s">
        <v>25</v>
      </c>
      <c r="B261" s="30">
        <f t="shared" si="6"/>
        <v>46278</v>
      </c>
      <c r="C261" s="32">
        <v>10.0</v>
      </c>
      <c r="D261" s="32" t="s">
        <v>19</v>
      </c>
      <c r="E261" s="33" t="s">
        <v>29</v>
      </c>
      <c r="F261" s="33" t="s">
        <v>30</v>
      </c>
      <c r="G261" s="34"/>
      <c r="H261" s="6"/>
      <c r="I261" s="35"/>
      <c r="J261" s="6"/>
      <c r="K261" s="35"/>
      <c r="L261" s="6"/>
      <c r="M261" s="35"/>
      <c r="N261" s="6"/>
      <c r="O261" s="35"/>
      <c r="P261" s="6"/>
      <c r="Q261" s="36">
        <f t="shared" si="1"/>
        <v>0</v>
      </c>
      <c r="R261" s="32">
        <f t="shared" si="2"/>
        <v>0</v>
      </c>
      <c r="S261" s="32">
        <f t="shared" si="3"/>
        <v>0</v>
      </c>
      <c r="T261" s="32">
        <f t="shared" si="4"/>
        <v>0</v>
      </c>
      <c r="U261" s="37">
        <f t="shared" si="5"/>
        <v>0</v>
      </c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14" t="s">
        <v>18</v>
      </c>
      <c r="B262" s="15">
        <f t="shared" si="6"/>
        <v>46279</v>
      </c>
      <c r="C262" s="17">
        <v>10.0</v>
      </c>
      <c r="D262" s="17" t="s">
        <v>26</v>
      </c>
      <c r="E262" s="18" t="s">
        <v>29</v>
      </c>
      <c r="F262" s="18" t="s">
        <v>30</v>
      </c>
      <c r="G262" s="19"/>
      <c r="I262" s="20"/>
      <c r="K262" s="20"/>
      <c r="M262" s="20"/>
      <c r="O262" s="20"/>
      <c r="Q262" s="21">
        <f t="shared" si="1"/>
        <v>0</v>
      </c>
      <c r="R262" s="17">
        <f t="shared" si="2"/>
        <v>0</v>
      </c>
      <c r="S262" s="17">
        <f t="shared" si="3"/>
        <v>0</v>
      </c>
      <c r="T262" s="17">
        <f t="shared" si="4"/>
        <v>0</v>
      </c>
      <c r="U262" s="38">
        <f t="shared" si="5"/>
        <v>0</v>
      </c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23" t="s">
        <v>20</v>
      </c>
      <c r="B263" s="24">
        <f t="shared" si="6"/>
        <v>46280</v>
      </c>
      <c r="C263" s="26">
        <v>10.0</v>
      </c>
      <c r="D263" s="26" t="s">
        <v>26</v>
      </c>
      <c r="E263" s="22" t="s">
        <v>31</v>
      </c>
      <c r="F263" s="22" t="s">
        <v>32</v>
      </c>
      <c r="G263" s="19"/>
      <c r="I263" s="20"/>
      <c r="K263" s="20"/>
      <c r="M263" s="20"/>
      <c r="O263" s="20"/>
      <c r="Q263" s="27">
        <f t="shared" si="1"/>
        <v>0</v>
      </c>
      <c r="R263" s="26">
        <f t="shared" si="2"/>
        <v>0</v>
      </c>
      <c r="S263" s="26">
        <f t="shared" si="3"/>
        <v>0</v>
      </c>
      <c r="T263" s="26">
        <f t="shared" si="4"/>
        <v>0</v>
      </c>
      <c r="U263" s="28">
        <f t="shared" si="5"/>
        <v>0</v>
      </c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23" t="s">
        <v>21</v>
      </c>
      <c r="B264" s="24">
        <f t="shared" si="6"/>
        <v>46281</v>
      </c>
      <c r="C264" s="26">
        <v>10.0</v>
      </c>
      <c r="D264" s="26" t="s">
        <v>26</v>
      </c>
      <c r="E264" s="22" t="s">
        <v>31</v>
      </c>
      <c r="F264" s="22" t="s">
        <v>32</v>
      </c>
      <c r="G264" s="19"/>
      <c r="I264" s="20"/>
      <c r="K264" s="20"/>
      <c r="M264" s="20"/>
      <c r="O264" s="20"/>
      <c r="Q264" s="27">
        <f t="shared" si="1"/>
        <v>0</v>
      </c>
      <c r="R264" s="26">
        <f t="shared" si="2"/>
        <v>0</v>
      </c>
      <c r="S264" s="26">
        <f t="shared" si="3"/>
        <v>0</v>
      </c>
      <c r="T264" s="26">
        <f t="shared" si="4"/>
        <v>0</v>
      </c>
      <c r="U264" s="28">
        <f t="shared" si="5"/>
        <v>0</v>
      </c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23" t="s">
        <v>22</v>
      </c>
      <c r="B265" s="24">
        <f t="shared" si="6"/>
        <v>46282</v>
      </c>
      <c r="C265" s="26">
        <v>10.0</v>
      </c>
      <c r="D265" s="26" t="s">
        <v>26</v>
      </c>
      <c r="E265" s="22" t="s">
        <v>31</v>
      </c>
      <c r="F265" s="22" t="s">
        <v>32</v>
      </c>
      <c r="G265" s="19"/>
      <c r="I265" s="20"/>
      <c r="K265" s="20"/>
      <c r="M265" s="20"/>
      <c r="O265" s="20"/>
      <c r="Q265" s="27">
        <f t="shared" si="1"/>
        <v>0</v>
      </c>
      <c r="R265" s="26">
        <f t="shared" si="2"/>
        <v>0</v>
      </c>
      <c r="S265" s="26">
        <f t="shared" si="3"/>
        <v>0</v>
      </c>
      <c r="T265" s="26">
        <f t="shared" si="4"/>
        <v>0</v>
      </c>
      <c r="U265" s="28">
        <f t="shared" si="5"/>
        <v>0</v>
      </c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23" t="s">
        <v>23</v>
      </c>
      <c r="B266" s="24">
        <f t="shared" si="6"/>
        <v>46283</v>
      </c>
      <c r="C266" s="26">
        <v>10.0</v>
      </c>
      <c r="D266" s="26" t="s">
        <v>26</v>
      </c>
      <c r="E266" s="22" t="s">
        <v>31</v>
      </c>
      <c r="F266" s="22" t="s">
        <v>32</v>
      </c>
      <c r="G266" s="19"/>
      <c r="I266" s="20"/>
      <c r="K266" s="20"/>
      <c r="M266" s="20"/>
      <c r="O266" s="20"/>
      <c r="Q266" s="27">
        <f t="shared" si="1"/>
        <v>0</v>
      </c>
      <c r="R266" s="26">
        <f t="shared" si="2"/>
        <v>0</v>
      </c>
      <c r="S266" s="26">
        <f t="shared" si="3"/>
        <v>0</v>
      </c>
      <c r="T266" s="26">
        <f t="shared" si="4"/>
        <v>0</v>
      </c>
      <c r="U266" s="28">
        <f t="shared" si="5"/>
        <v>0</v>
      </c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23" t="s">
        <v>24</v>
      </c>
      <c r="B267" s="24">
        <f t="shared" si="6"/>
        <v>46284</v>
      </c>
      <c r="C267" s="26">
        <v>10.0</v>
      </c>
      <c r="D267" s="26" t="s">
        <v>26</v>
      </c>
      <c r="E267" s="22" t="s">
        <v>31</v>
      </c>
      <c r="F267" s="22" t="s">
        <v>32</v>
      </c>
      <c r="G267" s="19"/>
      <c r="I267" s="20"/>
      <c r="K267" s="20"/>
      <c r="M267" s="20"/>
      <c r="O267" s="20"/>
      <c r="Q267" s="27">
        <f t="shared" si="1"/>
        <v>0</v>
      </c>
      <c r="R267" s="26">
        <f t="shared" si="2"/>
        <v>0</v>
      </c>
      <c r="S267" s="26">
        <f t="shared" si="3"/>
        <v>0</v>
      </c>
      <c r="T267" s="26">
        <f t="shared" si="4"/>
        <v>0</v>
      </c>
      <c r="U267" s="28">
        <f t="shared" si="5"/>
        <v>0</v>
      </c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29" t="s">
        <v>25</v>
      </c>
      <c r="B268" s="30">
        <f t="shared" si="6"/>
        <v>46285</v>
      </c>
      <c r="C268" s="32">
        <v>10.0</v>
      </c>
      <c r="D268" s="32" t="s">
        <v>26</v>
      </c>
      <c r="E268" s="33" t="s">
        <v>31</v>
      </c>
      <c r="F268" s="33" t="s">
        <v>32</v>
      </c>
      <c r="G268" s="34"/>
      <c r="H268" s="6"/>
      <c r="I268" s="35"/>
      <c r="J268" s="6"/>
      <c r="K268" s="35"/>
      <c r="L268" s="6"/>
      <c r="M268" s="35"/>
      <c r="N268" s="6"/>
      <c r="O268" s="35"/>
      <c r="P268" s="6"/>
      <c r="Q268" s="36">
        <f t="shared" si="1"/>
        <v>0</v>
      </c>
      <c r="R268" s="32">
        <f t="shared" si="2"/>
        <v>0</v>
      </c>
      <c r="S268" s="32">
        <f t="shared" si="3"/>
        <v>0</v>
      </c>
      <c r="T268" s="32">
        <f t="shared" si="4"/>
        <v>0</v>
      </c>
      <c r="U268" s="37">
        <f t="shared" si="5"/>
        <v>0</v>
      </c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14" t="s">
        <v>18</v>
      </c>
      <c r="B269" s="15">
        <f t="shared" si="6"/>
        <v>46286</v>
      </c>
      <c r="C269" s="17">
        <v>10.0</v>
      </c>
      <c r="D269" s="17" t="s">
        <v>27</v>
      </c>
      <c r="E269" s="18" t="s">
        <v>33</v>
      </c>
      <c r="F269" s="18" t="s">
        <v>30</v>
      </c>
      <c r="G269" s="19"/>
      <c r="I269" s="20"/>
      <c r="K269" s="20"/>
      <c r="M269" s="20"/>
      <c r="O269" s="20"/>
      <c r="Q269" s="21">
        <f t="shared" si="1"/>
        <v>0</v>
      </c>
      <c r="R269" s="17">
        <f t="shared" si="2"/>
        <v>0</v>
      </c>
      <c r="S269" s="17">
        <f t="shared" si="3"/>
        <v>0</v>
      </c>
      <c r="T269" s="17">
        <f t="shared" si="4"/>
        <v>0</v>
      </c>
      <c r="U269" s="38">
        <f t="shared" si="5"/>
        <v>0</v>
      </c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23" t="s">
        <v>20</v>
      </c>
      <c r="B270" s="24">
        <f t="shared" si="6"/>
        <v>46287</v>
      </c>
      <c r="C270" s="26">
        <v>10.0</v>
      </c>
      <c r="D270" s="26" t="s">
        <v>27</v>
      </c>
      <c r="E270" s="22" t="s">
        <v>31</v>
      </c>
      <c r="F270" s="22" t="s">
        <v>32</v>
      </c>
      <c r="G270" s="19"/>
      <c r="I270" s="20"/>
      <c r="K270" s="20"/>
      <c r="M270" s="20"/>
      <c r="O270" s="20"/>
      <c r="Q270" s="27">
        <f t="shared" si="1"/>
        <v>0</v>
      </c>
      <c r="R270" s="26">
        <f t="shared" si="2"/>
        <v>0</v>
      </c>
      <c r="S270" s="26">
        <f t="shared" si="3"/>
        <v>0</v>
      </c>
      <c r="T270" s="26">
        <f t="shared" si="4"/>
        <v>0</v>
      </c>
      <c r="U270" s="28">
        <f t="shared" si="5"/>
        <v>0</v>
      </c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23" t="s">
        <v>21</v>
      </c>
      <c r="B271" s="24">
        <f t="shared" si="6"/>
        <v>46288</v>
      </c>
      <c r="C271" s="26">
        <v>10.0</v>
      </c>
      <c r="D271" s="26" t="s">
        <v>27</v>
      </c>
      <c r="E271" s="22" t="s">
        <v>31</v>
      </c>
      <c r="F271" s="22" t="s">
        <v>32</v>
      </c>
      <c r="G271" s="19"/>
      <c r="I271" s="20"/>
      <c r="K271" s="20"/>
      <c r="M271" s="20"/>
      <c r="O271" s="20"/>
      <c r="Q271" s="27">
        <f t="shared" si="1"/>
        <v>0</v>
      </c>
      <c r="R271" s="26">
        <f t="shared" si="2"/>
        <v>0</v>
      </c>
      <c r="S271" s="26">
        <f t="shared" si="3"/>
        <v>0</v>
      </c>
      <c r="T271" s="26">
        <f t="shared" si="4"/>
        <v>0</v>
      </c>
      <c r="U271" s="28">
        <f t="shared" si="5"/>
        <v>0</v>
      </c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23" t="s">
        <v>22</v>
      </c>
      <c r="B272" s="24">
        <f t="shared" si="6"/>
        <v>46289</v>
      </c>
      <c r="C272" s="26">
        <v>10.0</v>
      </c>
      <c r="D272" s="26" t="s">
        <v>27</v>
      </c>
      <c r="E272" s="22" t="s">
        <v>31</v>
      </c>
      <c r="F272" s="22" t="s">
        <v>32</v>
      </c>
      <c r="G272" s="19"/>
      <c r="I272" s="20"/>
      <c r="K272" s="20"/>
      <c r="M272" s="20"/>
      <c r="O272" s="20"/>
      <c r="Q272" s="27">
        <f t="shared" si="1"/>
        <v>0</v>
      </c>
      <c r="R272" s="26">
        <f t="shared" si="2"/>
        <v>0</v>
      </c>
      <c r="S272" s="26">
        <f t="shared" si="3"/>
        <v>0</v>
      </c>
      <c r="T272" s="26">
        <f t="shared" si="4"/>
        <v>0</v>
      </c>
      <c r="U272" s="28">
        <f t="shared" si="5"/>
        <v>0</v>
      </c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23" t="s">
        <v>23</v>
      </c>
      <c r="B273" s="24">
        <f t="shared" si="6"/>
        <v>46290</v>
      </c>
      <c r="C273" s="26">
        <v>10.0</v>
      </c>
      <c r="D273" s="26" t="s">
        <v>27</v>
      </c>
      <c r="E273" s="22" t="s">
        <v>29</v>
      </c>
      <c r="F273" s="22" t="s">
        <v>30</v>
      </c>
      <c r="G273" s="19"/>
      <c r="I273" s="20"/>
      <c r="K273" s="20"/>
      <c r="M273" s="20"/>
      <c r="O273" s="20"/>
      <c r="Q273" s="27">
        <f t="shared" si="1"/>
        <v>0</v>
      </c>
      <c r="R273" s="26">
        <f t="shared" si="2"/>
        <v>0</v>
      </c>
      <c r="S273" s="26">
        <f t="shared" si="3"/>
        <v>0</v>
      </c>
      <c r="T273" s="26">
        <f t="shared" si="4"/>
        <v>0</v>
      </c>
      <c r="U273" s="28">
        <f t="shared" si="5"/>
        <v>0</v>
      </c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23" t="s">
        <v>24</v>
      </c>
      <c r="B274" s="24">
        <f t="shared" si="6"/>
        <v>46291</v>
      </c>
      <c r="C274" s="26">
        <v>10.0</v>
      </c>
      <c r="D274" s="26" t="s">
        <v>27</v>
      </c>
      <c r="E274" s="22" t="s">
        <v>29</v>
      </c>
      <c r="F274" s="22" t="s">
        <v>30</v>
      </c>
      <c r="G274" s="19"/>
      <c r="I274" s="20"/>
      <c r="K274" s="20"/>
      <c r="M274" s="20"/>
      <c r="O274" s="20"/>
      <c r="Q274" s="27">
        <f t="shared" si="1"/>
        <v>0</v>
      </c>
      <c r="R274" s="26">
        <f t="shared" si="2"/>
        <v>0</v>
      </c>
      <c r="S274" s="26">
        <f t="shared" si="3"/>
        <v>0</v>
      </c>
      <c r="T274" s="26">
        <f t="shared" si="4"/>
        <v>0</v>
      </c>
      <c r="U274" s="28">
        <f t="shared" si="5"/>
        <v>0</v>
      </c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29" t="s">
        <v>25</v>
      </c>
      <c r="B275" s="30">
        <f t="shared" si="6"/>
        <v>46292</v>
      </c>
      <c r="C275" s="32">
        <v>10.0</v>
      </c>
      <c r="D275" s="32" t="s">
        <v>27</v>
      </c>
      <c r="E275" s="33" t="s">
        <v>29</v>
      </c>
      <c r="F275" s="33" t="s">
        <v>30</v>
      </c>
      <c r="G275" s="34"/>
      <c r="H275" s="6"/>
      <c r="I275" s="35"/>
      <c r="J275" s="6"/>
      <c r="K275" s="35"/>
      <c r="L275" s="6"/>
      <c r="M275" s="35"/>
      <c r="N275" s="6"/>
      <c r="O275" s="35"/>
      <c r="P275" s="6"/>
      <c r="Q275" s="36">
        <f t="shared" si="1"/>
        <v>0</v>
      </c>
      <c r="R275" s="32">
        <f t="shared" si="2"/>
        <v>0</v>
      </c>
      <c r="S275" s="32">
        <f t="shared" si="3"/>
        <v>0</v>
      </c>
      <c r="T275" s="32">
        <f t="shared" si="4"/>
        <v>0</v>
      </c>
      <c r="U275" s="37">
        <f t="shared" si="5"/>
        <v>0</v>
      </c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14" t="s">
        <v>18</v>
      </c>
      <c r="B276" s="15">
        <f t="shared" si="6"/>
        <v>46293</v>
      </c>
      <c r="C276" s="17">
        <v>10.0</v>
      </c>
      <c r="D276" s="17" t="s">
        <v>28</v>
      </c>
      <c r="E276" s="18"/>
      <c r="F276" s="18"/>
      <c r="G276" s="19"/>
      <c r="I276" s="20"/>
      <c r="K276" s="20"/>
      <c r="M276" s="20"/>
      <c r="O276" s="20"/>
      <c r="Q276" s="21">
        <f t="shared" si="1"/>
        <v>0</v>
      </c>
      <c r="R276" s="17">
        <f t="shared" si="2"/>
        <v>0</v>
      </c>
      <c r="S276" s="17">
        <f t="shared" si="3"/>
        <v>0</v>
      </c>
      <c r="T276" s="17">
        <f t="shared" si="4"/>
        <v>0</v>
      </c>
      <c r="U276" s="38">
        <f t="shared" si="5"/>
        <v>0</v>
      </c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23" t="s">
        <v>20</v>
      </c>
      <c r="B277" s="24">
        <f t="shared" si="6"/>
        <v>46294</v>
      </c>
      <c r="C277" s="26">
        <v>10.0</v>
      </c>
      <c r="D277" s="26" t="s">
        <v>28</v>
      </c>
      <c r="E277" s="22"/>
      <c r="F277" s="22"/>
      <c r="G277" s="19"/>
      <c r="I277" s="20"/>
      <c r="K277" s="20"/>
      <c r="M277" s="20"/>
      <c r="O277" s="20"/>
      <c r="Q277" s="27">
        <f t="shared" si="1"/>
        <v>0</v>
      </c>
      <c r="R277" s="26">
        <f t="shared" si="2"/>
        <v>0</v>
      </c>
      <c r="S277" s="26">
        <f t="shared" si="3"/>
        <v>0</v>
      </c>
      <c r="T277" s="26">
        <f t="shared" si="4"/>
        <v>0</v>
      </c>
      <c r="U277" s="28">
        <f t="shared" si="5"/>
        <v>0</v>
      </c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23" t="s">
        <v>21</v>
      </c>
      <c r="B278" s="24">
        <f t="shared" si="6"/>
        <v>46295</v>
      </c>
      <c r="C278" s="26">
        <v>10.0</v>
      </c>
      <c r="D278" s="26" t="s">
        <v>28</v>
      </c>
      <c r="E278" s="22"/>
      <c r="F278" s="22"/>
      <c r="G278" s="19"/>
      <c r="I278" s="20"/>
      <c r="K278" s="20"/>
      <c r="M278" s="20"/>
      <c r="O278" s="20"/>
      <c r="Q278" s="27">
        <f t="shared" si="1"/>
        <v>0</v>
      </c>
      <c r="R278" s="26">
        <f t="shared" si="2"/>
        <v>0</v>
      </c>
      <c r="S278" s="26">
        <f t="shared" si="3"/>
        <v>0</v>
      </c>
      <c r="T278" s="26">
        <f t="shared" si="4"/>
        <v>0</v>
      </c>
      <c r="U278" s="28">
        <f t="shared" si="5"/>
        <v>0</v>
      </c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23" t="s">
        <v>22</v>
      </c>
      <c r="B279" s="24">
        <f t="shared" si="6"/>
        <v>46296</v>
      </c>
      <c r="C279" s="26">
        <v>10.0</v>
      </c>
      <c r="D279" s="26" t="s">
        <v>28</v>
      </c>
      <c r="E279" s="22"/>
      <c r="F279" s="22"/>
      <c r="G279" s="19"/>
      <c r="I279" s="20"/>
      <c r="K279" s="20"/>
      <c r="M279" s="20"/>
      <c r="O279" s="20"/>
      <c r="Q279" s="27">
        <f t="shared" si="1"/>
        <v>0</v>
      </c>
      <c r="R279" s="26">
        <f t="shared" si="2"/>
        <v>0</v>
      </c>
      <c r="S279" s="26">
        <f t="shared" si="3"/>
        <v>0</v>
      </c>
      <c r="T279" s="26">
        <f t="shared" si="4"/>
        <v>0</v>
      </c>
      <c r="U279" s="28">
        <f t="shared" si="5"/>
        <v>0</v>
      </c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23" t="s">
        <v>23</v>
      </c>
      <c r="B280" s="24">
        <f t="shared" si="6"/>
        <v>46297</v>
      </c>
      <c r="C280" s="26">
        <v>10.0</v>
      </c>
      <c r="D280" s="26" t="s">
        <v>28</v>
      </c>
      <c r="E280" s="22"/>
      <c r="F280" s="22"/>
      <c r="G280" s="19"/>
      <c r="I280" s="20"/>
      <c r="K280" s="20"/>
      <c r="M280" s="20"/>
      <c r="O280" s="20"/>
      <c r="Q280" s="27">
        <f t="shared" si="1"/>
        <v>0</v>
      </c>
      <c r="R280" s="26">
        <f t="shared" si="2"/>
        <v>0</v>
      </c>
      <c r="S280" s="26">
        <f t="shared" si="3"/>
        <v>0</v>
      </c>
      <c r="T280" s="26">
        <f t="shared" si="4"/>
        <v>0</v>
      </c>
      <c r="U280" s="28">
        <f t="shared" si="5"/>
        <v>0</v>
      </c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23" t="s">
        <v>24</v>
      </c>
      <c r="B281" s="24">
        <f t="shared" si="6"/>
        <v>46298</v>
      </c>
      <c r="C281" s="26">
        <v>10.0</v>
      </c>
      <c r="D281" s="26" t="s">
        <v>28</v>
      </c>
      <c r="E281" s="22"/>
      <c r="F281" s="22"/>
      <c r="G281" s="19"/>
      <c r="I281" s="20"/>
      <c r="K281" s="20"/>
      <c r="M281" s="20"/>
      <c r="O281" s="20"/>
      <c r="Q281" s="27">
        <f t="shared" si="1"/>
        <v>0</v>
      </c>
      <c r="R281" s="26">
        <f t="shared" si="2"/>
        <v>0</v>
      </c>
      <c r="S281" s="26">
        <f t="shared" si="3"/>
        <v>0</v>
      </c>
      <c r="T281" s="26">
        <f t="shared" si="4"/>
        <v>0</v>
      </c>
      <c r="U281" s="28">
        <f t="shared" si="5"/>
        <v>0</v>
      </c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29" t="s">
        <v>25</v>
      </c>
      <c r="B282" s="30">
        <f t="shared" si="6"/>
        <v>46299</v>
      </c>
      <c r="C282" s="32">
        <v>10.0</v>
      </c>
      <c r="D282" s="32" t="s">
        <v>28</v>
      </c>
      <c r="E282" s="33"/>
      <c r="F282" s="33"/>
      <c r="G282" s="34"/>
      <c r="H282" s="6"/>
      <c r="I282" s="35"/>
      <c r="J282" s="6"/>
      <c r="K282" s="35"/>
      <c r="L282" s="6"/>
      <c r="M282" s="35"/>
      <c r="N282" s="6"/>
      <c r="O282" s="35"/>
      <c r="P282" s="6"/>
      <c r="Q282" s="36">
        <f t="shared" si="1"/>
        <v>0</v>
      </c>
      <c r="R282" s="32">
        <f t="shared" si="2"/>
        <v>0</v>
      </c>
      <c r="S282" s="32">
        <f t="shared" si="3"/>
        <v>0</v>
      </c>
      <c r="T282" s="32">
        <f t="shared" si="4"/>
        <v>0</v>
      </c>
      <c r="U282" s="37">
        <f t="shared" si="5"/>
        <v>0</v>
      </c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14" t="s">
        <v>18</v>
      </c>
      <c r="B283" s="15">
        <f t="shared" si="6"/>
        <v>46300</v>
      </c>
      <c r="C283" s="17">
        <v>11.0</v>
      </c>
      <c r="D283" s="17" t="s">
        <v>19</v>
      </c>
      <c r="E283" s="18"/>
      <c r="F283" s="18"/>
      <c r="G283" s="19"/>
      <c r="I283" s="20"/>
      <c r="K283" s="20"/>
      <c r="M283" s="20"/>
      <c r="O283" s="20"/>
      <c r="Q283" s="21">
        <f t="shared" si="1"/>
        <v>0</v>
      </c>
      <c r="R283" s="17">
        <f t="shared" si="2"/>
        <v>0</v>
      </c>
      <c r="S283" s="17">
        <f t="shared" si="3"/>
        <v>0</v>
      </c>
      <c r="T283" s="17">
        <f t="shared" si="4"/>
        <v>0</v>
      </c>
      <c r="U283" s="38">
        <f t="shared" si="5"/>
        <v>0</v>
      </c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23" t="s">
        <v>20</v>
      </c>
      <c r="B284" s="24">
        <f t="shared" si="6"/>
        <v>46301</v>
      </c>
      <c r="C284" s="26">
        <v>11.0</v>
      </c>
      <c r="D284" s="26" t="s">
        <v>19</v>
      </c>
      <c r="E284" s="22"/>
      <c r="F284" s="22"/>
      <c r="G284" s="19"/>
      <c r="I284" s="20"/>
      <c r="K284" s="20"/>
      <c r="M284" s="20"/>
      <c r="O284" s="20"/>
      <c r="Q284" s="27">
        <f t="shared" si="1"/>
        <v>0</v>
      </c>
      <c r="R284" s="26">
        <f t="shared" si="2"/>
        <v>0</v>
      </c>
      <c r="S284" s="26">
        <f t="shared" si="3"/>
        <v>0</v>
      </c>
      <c r="T284" s="26">
        <f t="shared" si="4"/>
        <v>0</v>
      </c>
      <c r="U284" s="28">
        <f t="shared" si="5"/>
        <v>0</v>
      </c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23" t="s">
        <v>21</v>
      </c>
      <c r="B285" s="24">
        <f t="shared" si="6"/>
        <v>46302</v>
      </c>
      <c r="C285" s="26">
        <v>11.0</v>
      </c>
      <c r="D285" s="26" t="s">
        <v>19</v>
      </c>
      <c r="E285" s="22"/>
      <c r="F285" s="22"/>
      <c r="G285" s="19"/>
      <c r="I285" s="20"/>
      <c r="K285" s="20"/>
      <c r="M285" s="20"/>
      <c r="O285" s="20"/>
      <c r="Q285" s="27">
        <f t="shared" si="1"/>
        <v>0</v>
      </c>
      <c r="R285" s="26">
        <f t="shared" si="2"/>
        <v>0</v>
      </c>
      <c r="S285" s="26">
        <f t="shared" si="3"/>
        <v>0</v>
      </c>
      <c r="T285" s="26">
        <f t="shared" si="4"/>
        <v>0</v>
      </c>
      <c r="U285" s="28">
        <f t="shared" si="5"/>
        <v>0</v>
      </c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23" t="s">
        <v>22</v>
      </c>
      <c r="B286" s="24">
        <f t="shared" si="6"/>
        <v>46303</v>
      </c>
      <c r="C286" s="26">
        <v>11.0</v>
      </c>
      <c r="D286" s="26" t="s">
        <v>19</v>
      </c>
      <c r="E286" s="22"/>
      <c r="F286" s="22"/>
      <c r="G286" s="19"/>
      <c r="I286" s="20"/>
      <c r="K286" s="20"/>
      <c r="M286" s="20"/>
      <c r="O286" s="20"/>
      <c r="Q286" s="27">
        <f t="shared" si="1"/>
        <v>0</v>
      </c>
      <c r="R286" s="26">
        <f t="shared" si="2"/>
        <v>0</v>
      </c>
      <c r="S286" s="26">
        <f t="shared" si="3"/>
        <v>0</v>
      </c>
      <c r="T286" s="26">
        <f t="shared" si="4"/>
        <v>0</v>
      </c>
      <c r="U286" s="28">
        <f t="shared" si="5"/>
        <v>0</v>
      </c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23" t="s">
        <v>23</v>
      </c>
      <c r="B287" s="24">
        <f t="shared" si="6"/>
        <v>46304</v>
      </c>
      <c r="C287" s="26">
        <v>11.0</v>
      </c>
      <c r="D287" s="26" t="s">
        <v>19</v>
      </c>
      <c r="E287" s="22"/>
      <c r="F287" s="22"/>
      <c r="G287" s="19"/>
      <c r="I287" s="20"/>
      <c r="K287" s="20"/>
      <c r="M287" s="20"/>
      <c r="O287" s="20"/>
      <c r="Q287" s="27">
        <f t="shared" si="1"/>
        <v>0</v>
      </c>
      <c r="R287" s="26">
        <f t="shared" si="2"/>
        <v>0</v>
      </c>
      <c r="S287" s="26">
        <f t="shared" si="3"/>
        <v>0</v>
      </c>
      <c r="T287" s="26">
        <f t="shared" si="4"/>
        <v>0</v>
      </c>
      <c r="U287" s="28">
        <f t="shared" si="5"/>
        <v>0</v>
      </c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23" t="s">
        <v>24</v>
      </c>
      <c r="B288" s="24">
        <f t="shared" si="6"/>
        <v>46305</v>
      </c>
      <c r="C288" s="26">
        <v>11.0</v>
      </c>
      <c r="D288" s="26" t="s">
        <v>19</v>
      </c>
      <c r="E288" s="22"/>
      <c r="F288" s="22"/>
      <c r="G288" s="19"/>
      <c r="I288" s="20"/>
      <c r="K288" s="20"/>
      <c r="M288" s="20"/>
      <c r="O288" s="20"/>
      <c r="Q288" s="27">
        <f t="shared" si="1"/>
        <v>0</v>
      </c>
      <c r="R288" s="26">
        <f t="shared" si="2"/>
        <v>0</v>
      </c>
      <c r="S288" s="26">
        <f t="shared" si="3"/>
        <v>0</v>
      </c>
      <c r="T288" s="26">
        <f t="shared" si="4"/>
        <v>0</v>
      </c>
      <c r="U288" s="28">
        <f t="shared" si="5"/>
        <v>0</v>
      </c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29" t="s">
        <v>25</v>
      </c>
      <c r="B289" s="30">
        <f t="shared" si="6"/>
        <v>46306</v>
      </c>
      <c r="C289" s="32">
        <v>11.0</v>
      </c>
      <c r="D289" s="32" t="s">
        <v>19</v>
      </c>
      <c r="E289" s="33"/>
      <c r="F289" s="33"/>
      <c r="G289" s="34"/>
      <c r="H289" s="6"/>
      <c r="I289" s="35"/>
      <c r="J289" s="6"/>
      <c r="K289" s="35"/>
      <c r="L289" s="6"/>
      <c r="M289" s="35"/>
      <c r="N289" s="6"/>
      <c r="O289" s="35"/>
      <c r="P289" s="6"/>
      <c r="Q289" s="36">
        <f t="shared" si="1"/>
        <v>0</v>
      </c>
      <c r="R289" s="32">
        <f t="shared" si="2"/>
        <v>0</v>
      </c>
      <c r="S289" s="32">
        <f t="shared" si="3"/>
        <v>0</v>
      </c>
      <c r="T289" s="32">
        <f t="shared" si="4"/>
        <v>0</v>
      </c>
      <c r="U289" s="37">
        <f t="shared" si="5"/>
        <v>0</v>
      </c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14" t="s">
        <v>18</v>
      </c>
      <c r="B290" s="15">
        <f t="shared" si="6"/>
        <v>46307</v>
      </c>
      <c r="C290" s="17">
        <v>11.0</v>
      </c>
      <c r="D290" s="17" t="s">
        <v>26</v>
      </c>
      <c r="E290" s="18"/>
      <c r="F290" s="18"/>
      <c r="G290" s="19"/>
      <c r="I290" s="20"/>
      <c r="K290" s="20"/>
      <c r="M290" s="20"/>
      <c r="O290" s="20"/>
      <c r="Q290" s="21">
        <f t="shared" si="1"/>
        <v>0</v>
      </c>
      <c r="R290" s="17">
        <f t="shared" si="2"/>
        <v>0</v>
      </c>
      <c r="S290" s="17">
        <f t="shared" si="3"/>
        <v>0</v>
      </c>
      <c r="T290" s="17">
        <f t="shared" si="4"/>
        <v>0</v>
      </c>
      <c r="U290" s="38">
        <f t="shared" si="5"/>
        <v>0</v>
      </c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23" t="s">
        <v>20</v>
      </c>
      <c r="B291" s="24">
        <f t="shared" si="6"/>
        <v>46308</v>
      </c>
      <c r="C291" s="26">
        <v>11.0</v>
      </c>
      <c r="D291" s="26" t="s">
        <v>26</v>
      </c>
      <c r="E291" s="22"/>
      <c r="F291" s="22"/>
      <c r="G291" s="19"/>
      <c r="I291" s="20"/>
      <c r="K291" s="20"/>
      <c r="M291" s="20"/>
      <c r="O291" s="20"/>
      <c r="Q291" s="27">
        <f t="shared" si="1"/>
        <v>0</v>
      </c>
      <c r="R291" s="26">
        <f t="shared" si="2"/>
        <v>0</v>
      </c>
      <c r="S291" s="26">
        <f t="shared" si="3"/>
        <v>0</v>
      </c>
      <c r="T291" s="26">
        <f t="shared" si="4"/>
        <v>0</v>
      </c>
      <c r="U291" s="28">
        <f t="shared" si="5"/>
        <v>0</v>
      </c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23" t="s">
        <v>21</v>
      </c>
      <c r="B292" s="24">
        <f t="shared" si="6"/>
        <v>46309</v>
      </c>
      <c r="C292" s="26">
        <v>11.0</v>
      </c>
      <c r="D292" s="26" t="s">
        <v>26</v>
      </c>
      <c r="E292" s="22"/>
      <c r="F292" s="22"/>
      <c r="G292" s="19"/>
      <c r="I292" s="20"/>
      <c r="K292" s="20"/>
      <c r="M292" s="20"/>
      <c r="O292" s="20"/>
      <c r="Q292" s="27">
        <f t="shared" si="1"/>
        <v>0</v>
      </c>
      <c r="R292" s="26">
        <f t="shared" si="2"/>
        <v>0</v>
      </c>
      <c r="S292" s="26">
        <f t="shared" si="3"/>
        <v>0</v>
      </c>
      <c r="T292" s="26">
        <f t="shared" si="4"/>
        <v>0</v>
      </c>
      <c r="U292" s="28">
        <f t="shared" si="5"/>
        <v>0</v>
      </c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23" t="s">
        <v>22</v>
      </c>
      <c r="B293" s="24">
        <f t="shared" si="6"/>
        <v>46310</v>
      </c>
      <c r="C293" s="26">
        <v>11.0</v>
      </c>
      <c r="D293" s="26" t="s">
        <v>26</v>
      </c>
      <c r="E293" s="22"/>
      <c r="F293" s="22"/>
      <c r="G293" s="19"/>
      <c r="I293" s="20"/>
      <c r="K293" s="20"/>
      <c r="M293" s="20"/>
      <c r="O293" s="20"/>
      <c r="Q293" s="27">
        <f t="shared" si="1"/>
        <v>0</v>
      </c>
      <c r="R293" s="26">
        <f t="shared" si="2"/>
        <v>0</v>
      </c>
      <c r="S293" s="26">
        <f t="shared" si="3"/>
        <v>0</v>
      </c>
      <c r="T293" s="26">
        <f t="shared" si="4"/>
        <v>0</v>
      </c>
      <c r="U293" s="28">
        <f t="shared" si="5"/>
        <v>0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23" t="s">
        <v>23</v>
      </c>
      <c r="B294" s="24">
        <f t="shared" si="6"/>
        <v>46311</v>
      </c>
      <c r="C294" s="26">
        <v>11.0</v>
      </c>
      <c r="D294" s="26" t="s">
        <v>26</v>
      </c>
      <c r="E294" s="22"/>
      <c r="F294" s="22"/>
      <c r="G294" s="19"/>
      <c r="I294" s="20"/>
      <c r="K294" s="20"/>
      <c r="M294" s="20"/>
      <c r="O294" s="20"/>
      <c r="Q294" s="27">
        <f t="shared" si="1"/>
        <v>0</v>
      </c>
      <c r="R294" s="26">
        <f t="shared" si="2"/>
        <v>0</v>
      </c>
      <c r="S294" s="26">
        <f t="shared" si="3"/>
        <v>0</v>
      </c>
      <c r="T294" s="26">
        <f t="shared" si="4"/>
        <v>0</v>
      </c>
      <c r="U294" s="28">
        <f t="shared" si="5"/>
        <v>0</v>
      </c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23" t="s">
        <v>24</v>
      </c>
      <c r="B295" s="24">
        <f t="shared" si="6"/>
        <v>46312</v>
      </c>
      <c r="C295" s="26">
        <v>11.0</v>
      </c>
      <c r="D295" s="26" t="s">
        <v>26</v>
      </c>
      <c r="E295" s="22"/>
      <c r="F295" s="22"/>
      <c r="G295" s="19"/>
      <c r="I295" s="20"/>
      <c r="K295" s="20"/>
      <c r="M295" s="20"/>
      <c r="O295" s="20"/>
      <c r="Q295" s="27">
        <f t="shared" si="1"/>
        <v>0</v>
      </c>
      <c r="R295" s="26">
        <f t="shared" si="2"/>
        <v>0</v>
      </c>
      <c r="S295" s="26">
        <f t="shared" si="3"/>
        <v>0</v>
      </c>
      <c r="T295" s="26">
        <f t="shared" si="4"/>
        <v>0</v>
      </c>
      <c r="U295" s="28">
        <f t="shared" si="5"/>
        <v>0</v>
      </c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29" t="s">
        <v>25</v>
      </c>
      <c r="B296" s="30">
        <f t="shared" si="6"/>
        <v>46313</v>
      </c>
      <c r="C296" s="32">
        <v>11.0</v>
      </c>
      <c r="D296" s="32" t="s">
        <v>26</v>
      </c>
      <c r="E296" s="33"/>
      <c r="F296" s="33"/>
      <c r="G296" s="34"/>
      <c r="H296" s="6"/>
      <c r="I296" s="35"/>
      <c r="J296" s="6"/>
      <c r="K296" s="35"/>
      <c r="L296" s="6"/>
      <c r="M296" s="35"/>
      <c r="N296" s="6"/>
      <c r="O296" s="35"/>
      <c r="P296" s="6"/>
      <c r="Q296" s="36">
        <f t="shared" si="1"/>
        <v>0</v>
      </c>
      <c r="R296" s="32">
        <f t="shared" si="2"/>
        <v>0</v>
      </c>
      <c r="S296" s="32">
        <f t="shared" si="3"/>
        <v>0</v>
      </c>
      <c r="T296" s="32">
        <f t="shared" si="4"/>
        <v>0</v>
      </c>
      <c r="U296" s="37">
        <f t="shared" si="5"/>
        <v>0</v>
      </c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14" t="s">
        <v>18</v>
      </c>
      <c r="B297" s="15">
        <f t="shared" si="6"/>
        <v>46314</v>
      </c>
      <c r="C297" s="17">
        <v>11.0</v>
      </c>
      <c r="D297" s="17" t="s">
        <v>27</v>
      </c>
      <c r="E297" s="18"/>
      <c r="F297" s="18"/>
      <c r="G297" s="19"/>
      <c r="I297" s="20"/>
      <c r="K297" s="20"/>
      <c r="M297" s="20"/>
      <c r="O297" s="20"/>
      <c r="Q297" s="21">
        <f t="shared" si="1"/>
        <v>0</v>
      </c>
      <c r="R297" s="17">
        <f t="shared" si="2"/>
        <v>0</v>
      </c>
      <c r="S297" s="17">
        <f t="shared" si="3"/>
        <v>0</v>
      </c>
      <c r="T297" s="17">
        <f t="shared" si="4"/>
        <v>0</v>
      </c>
      <c r="U297" s="38">
        <f t="shared" si="5"/>
        <v>0</v>
      </c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23" t="s">
        <v>20</v>
      </c>
      <c r="B298" s="24">
        <f t="shared" si="6"/>
        <v>46315</v>
      </c>
      <c r="C298" s="26">
        <v>11.0</v>
      </c>
      <c r="D298" s="26" t="s">
        <v>27</v>
      </c>
      <c r="E298" s="22"/>
      <c r="F298" s="22"/>
      <c r="G298" s="19"/>
      <c r="I298" s="20"/>
      <c r="K298" s="20"/>
      <c r="M298" s="20"/>
      <c r="O298" s="20"/>
      <c r="Q298" s="27">
        <f t="shared" si="1"/>
        <v>0</v>
      </c>
      <c r="R298" s="26">
        <f t="shared" si="2"/>
        <v>0</v>
      </c>
      <c r="S298" s="26">
        <f t="shared" si="3"/>
        <v>0</v>
      </c>
      <c r="T298" s="26">
        <f t="shared" si="4"/>
        <v>0</v>
      </c>
      <c r="U298" s="28">
        <f t="shared" si="5"/>
        <v>0</v>
      </c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23" t="s">
        <v>21</v>
      </c>
      <c r="B299" s="24">
        <f t="shared" si="6"/>
        <v>46316</v>
      </c>
      <c r="C299" s="26">
        <v>11.0</v>
      </c>
      <c r="D299" s="26" t="s">
        <v>27</v>
      </c>
      <c r="E299" s="22"/>
      <c r="F299" s="22"/>
      <c r="G299" s="19"/>
      <c r="I299" s="20"/>
      <c r="K299" s="20"/>
      <c r="M299" s="20"/>
      <c r="O299" s="20"/>
      <c r="Q299" s="27">
        <f t="shared" si="1"/>
        <v>0</v>
      </c>
      <c r="R299" s="26">
        <f t="shared" si="2"/>
        <v>0</v>
      </c>
      <c r="S299" s="26">
        <f t="shared" si="3"/>
        <v>0</v>
      </c>
      <c r="T299" s="26">
        <f t="shared" si="4"/>
        <v>0</v>
      </c>
      <c r="U299" s="28">
        <f t="shared" si="5"/>
        <v>0</v>
      </c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23" t="s">
        <v>22</v>
      </c>
      <c r="B300" s="24">
        <f t="shared" si="6"/>
        <v>46317</v>
      </c>
      <c r="C300" s="26">
        <v>11.0</v>
      </c>
      <c r="D300" s="26" t="s">
        <v>27</v>
      </c>
      <c r="E300" s="22"/>
      <c r="F300" s="22"/>
      <c r="G300" s="19"/>
      <c r="I300" s="20"/>
      <c r="K300" s="20"/>
      <c r="M300" s="20"/>
      <c r="O300" s="20"/>
      <c r="Q300" s="27">
        <f t="shared" si="1"/>
        <v>0</v>
      </c>
      <c r="R300" s="26">
        <f t="shared" si="2"/>
        <v>0</v>
      </c>
      <c r="S300" s="26">
        <f t="shared" si="3"/>
        <v>0</v>
      </c>
      <c r="T300" s="26">
        <f t="shared" si="4"/>
        <v>0</v>
      </c>
      <c r="U300" s="28">
        <f t="shared" si="5"/>
        <v>0</v>
      </c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23" t="s">
        <v>23</v>
      </c>
      <c r="B301" s="24">
        <f t="shared" si="6"/>
        <v>46318</v>
      </c>
      <c r="C301" s="26">
        <v>11.0</v>
      </c>
      <c r="D301" s="26" t="s">
        <v>27</v>
      </c>
      <c r="E301" s="22"/>
      <c r="F301" s="22"/>
      <c r="G301" s="19"/>
      <c r="I301" s="20"/>
      <c r="K301" s="20"/>
      <c r="M301" s="20"/>
      <c r="O301" s="20"/>
      <c r="Q301" s="27">
        <f t="shared" si="1"/>
        <v>0</v>
      </c>
      <c r="R301" s="26">
        <f t="shared" si="2"/>
        <v>0</v>
      </c>
      <c r="S301" s="26">
        <f t="shared" si="3"/>
        <v>0</v>
      </c>
      <c r="T301" s="26">
        <f t="shared" si="4"/>
        <v>0</v>
      </c>
      <c r="U301" s="28">
        <f t="shared" si="5"/>
        <v>0</v>
      </c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23" t="s">
        <v>24</v>
      </c>
      <c r="B302" s="24">
        <f t="shared" si="6"/>
        <v>46319</v>
      </c>
      <c r="C302" s="26">
        <v>11.0</v>
      </c>
      <c r="D302" s="26" t="s">
        <v>27</v>
      </c>
      <c r="E302" s="22"/>
      <c r="F302" s="22"/>
      <c r="G302" s="19"/>
      <c r="I302" s="20"/>
      <c r="K302" s="20"/>
      <c r="M302" s="20"/>
      <c r="O302" s="20"/>
      <c r="Q302" s="27">
        <f t="shared" si="1"/>
        <v>0</v>
      </c>
      <c r="R302" s="26">
        <f t="shared" si="2"/>
        <v>0</v>
      </c>
      <c r="S302" s="26">
        <f t="shared" si="3"/>
        <v>0</v>
      </c>
      <c r="T302" s="26">
        <f t="shared" si="4"/>
        <v>0</v>
      </c>
      <c r="U302" s="28">
        <f t="shared" si="5"/>
        <v>0</v>
      </c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29" t="s">
        <v>25</v>
      </c>
      <c r="B303" s="30">
        <f t="shared" si="6"/>
        <v>46320</v>
      </c>
      <c r="C303" s="32">
        <v>11.0</v>
      </c>
      <c r="D303" s="32" t="s">
        <v>27</v>
      </c>
      <c r="E303" s="33"/>
      <c r="F303" s="33"/>
      <c r="G303" s="34"/>
      <c r="H303" s="6"/>
      <c r="I303" s="35"/>
      <c r="J303" s="6"/>
      <c r="K303" s="35"/>
      <c r="L303" s="6"/>
      <c r="M303" s="35"/>
      <c r="N303" s="6"/>
      <c r="O303" s="35"/>
      <c r="P303" s="6"/>
      <c r="Q303" s="36">
        <f t="shared" si="1"/>
        <v>0</v>
      </c>
      <c r="R303" s="32">
        <f t="shared" si="2"/>
        <v>0</v>
      </c>
      <c r="S303" s="32">
        <f t="shared" si="3"/>
        <v>0</v>
      </c>
      <c r="T303" s="32">
        <f t="shared" si="4"/>
        <v>0</v>
      </c>
      <c r="U303" s="37">
        <f t="shared" si="5"/>
        <v>0</v>
      </c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14" t="s">
        <v>18</v>
      </c>
      <c r="B304" s="15">
        <f t="shared" si="6"/>
        <v>46321</v>
      </c>
      <c r="C304" s="17">
        <v>11.0</v>
      </c>
      <c r="D304" s="17" t="s">
        <v>28</v>
      </c>
      <c r="E304" s="18"/>
      <c r="F304" s="18"/>
      <c r="G304" s="19"/>
      <c r="I304" s="20"/>
      <c r="K304" s="20"/>
      <c r="M304" s="20"/>
      <c r="O304" s="20"/>
      <c r="Q304" s="21">
        <f t="shared" si="1"/>
        <v>0</v>
      </c>
      <c r="R304" s="17">
        <f t="shared" si="2"/>
        <v>0</v>
      </c>
      <c r="S304" s="17">
        <f t="shared" si="3"/>
        <v>0</v>
      </c>
      <c r="T304" s="17">
        <f t="shared" si="4"/>
        <v>0</v>
      </c>
      <c r="U304" s="38">
        <f t="shared" si="5"/>
        <v>0</v>
      </c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23" t="s">
        <v>20</v>
      </c>
      <c r="B305" s="24">
        <f t="shared" si="6"/>
        <v>46322</v>
      </c>
      <c r="C305" s="26">
        <v>11.0</v>
      </c>
      <c r="D305" s="26" t="s">
        <v>28</v>
      </c>
      <c r="E305" s="22"/>
      <c r="F305" s="22"/>
      <c r="G305" s="19"/>
      <c r="I305" s="20"/>
      <c r="K305" s="20"/>
      <c r="M305" s="20"/>
      <c r="O305" s="20"/>
      <c r="Q305" s="27">
        <f t="shared" si="1"/>
        <v>0</v>
      </c>
      <c r="R305" s="26">
        <f t="shared" si="2"/>
        <v>0</v>
      </c>
      <c r="S305" s="26">
        <f t="shared" si="3"/>
        <v>0</v>
      </c>
      <c r="T305" s="26">
        <f t="shared" si="4"/>
        <v>0</v>
      </c>
      <c r="U305" s="28">
        <f t="shared" si="5"/>
        <v>0</v>
      </c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23" t="s">
        <v>21</v>
      </c>
      <c r="B306" s="24">
        <f t="shared" si="6"/>
        <v>46323</v>
      </c>
      <c r="C306" s="26">
        <v>11.0</v>
      </c>
      <c r="D306" s="26" t="s">
        <v>28</v>
      </c>
      <c r="E306" s="22"/>
      <c r="F306" s="22"/>
      <c r="G306" s="19"/>
      <c r="I306" s="20"/>
      <c r="K306" s="20"/>
      <c r="M306" s="20"/>
      <c r="O306" s="20"/>
      <c r="Q306" s="27">
        <f t="shared" si="1"/>
        <v>0</v>
      </c>
      <c r="R306" s="26">
        <f t="shared" si="2"/>
        <v>0</v>
      </c>
      <c r="S306" s="26">
        <f t="shared" si="3"/>
        <v>0</v>
      </c>
      <c r="T306" s="26">
        <f t="shared" si="4"/>
        <v>0</v>
      </c>
      <c r="U306" s="28">
        <f t="shared" si="5"/>
        <v>0</v>
      </c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23" t="s">
        <v>22</v>
      </c>
      <c r="B307" s="24">
        <f t="shared" si="6"/>
        <v>46324</v>
      </c>
      <c r="C307" s="26">
        <v>11.0</v>
      </c>
      <c r="D307" s="26" t="s">
        <v>28</v>
      </c>
      <c r="E307" s="22"/>
      <c r="F307" s="22"/>
      <c r="G307" s="19"/>
      <c r="I307" s="20"/>
      <c r="K307" s="20"/>
      <c r="M307" s="20"/>
      <c r="O307" s="20"/>
      <c r="Q307" s="27">
        <f t="shared" si="1"/>
        <v>0</v>
      </c>
      <c r="R307" s="26">
        <f t="shared" si="2"/>
        <v>0</v>
      </c>
      <c r="S307" s="26">
        <f t="shared" si="3"/>
        <v>0</v>
      </c>
      <c r="T307" s="26">
        <f t="shared" si="4"/>
        <v>0</v>
      </c>
      <c r="U307" s="28">
        <f t="shared" si="5"/>
        <v>0</v>
      </c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23" t="s">
        <v>23</v>
      </c>
      <c r="B308" s="24">
        <f t="shared" si="6"/>
        <v>46325</v>
      </c>
      <c r="C308" s="26">
        <v>11.0</v>
      </c>
      <c r="D308" s="26" t="s">
        <v>28</v>
      </c>
      <c r="E308" s="22"/>
      <c r="F308" s="22"/>
      <c r="G308" s="19"/>
      <c r="I308" s="20"/>
      <c r="K308" s="20"/>
      <c r="M308" s="20"/>
      <c r="O308" s="20"/>
      <c r="Q308" s="27">
        <f t="shared" si="1"/>
        <v>0</v>
      </c>
      <c r="R308" s="26">
        <f t="shared" si="2"/>
        <v>0</v>
      </c>
      <c r="S308" s="26">
        <f t="shared" si="3"/>
        <v>0</v>
      </c>
      <c r="T308" s="26">
        <f t="shared" si="4"/>
        <v>0</v>
      </c>
      <c r="U308" s="28">
        <f t="shared" si="5"/>
        <v>0</v>
      </c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23" t="s">
        <v>24</v>
      </c>
      <c r="B309" s="24">
        <f t="shared" si="6"/>
        <v>46326</v>
      </c>
      <c r="C309" s="26">
        <v>11.0</v>
      </c>
      <c r="D309" s="26" t="s">
        <v>28</v>
      </c>
      <c r="E309" s="22"/>
      <c r="F309" s="22"/>
      <c r="G309" s="19"/>
      <c r="I309" s="20"/>
      <c r="K309" s="20"/>
      <c r="M309" s="20"/>
      <c r="O309" s="20"/>
      <c r="Q309" s="27">
        <f t="shared" si="1"/>
        <v>0</v>
      </c>
      <c r="R309" s="26">
        <f t="shared" si="2"/>
        <v>0</v>
      </c>
      <c r="S309" s="26">
        <f t="shared" si="3"/>
        <v>0</v>
      </c>
      <c r="T309" s="26">
        <f t="shared" si="4"/>
        <v>0</v>
      </c>
      <c r="U309" s="28">
        <f t="shared" si="5"/>
        <v>0</v>
      </c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29" t="s">
        <v>25</v>
      </c>
      <c r="B310" s="30">
        <f t="shared" si="6"/>
        <v>46327</v>
      </c>
      <c r="C310" s="32">
        <v>11.0</v>
      </c>
      <c r="D310" s="32" t="s">
        <v>28</v>
      </c>
      <c r="E310" s="33"/>
      <c r="F310" s="33"/>
      <c r="G310" s="34"/>
      <c r="H310" s="6"/>
      <c r="I310" s="35"/>
      <c r="J310" s="6"/>
      <c r="K310" s="35"/>
      <c r="L310" s="6"/>
      <c r="M310" s="35"/>
      <c r="N310" s="6"/>
      <c r="O310" s="35"/>
      <c r="P310" s="6"/>
      <c r="Q310" s="36">
        <f t="shared" si="1"/>
        <v>0</v>
      </c>
      <c r="R310" s="32">
        <f t="shared" si="2"/>
        <v>0</v>
      </c>
      <c r="S310" s="32">
        <f t="shared" si="3"/>
        <v>0</v>
      </c>
      <c r="T310" s="32">
        <f t="shared" si="4"/>
        <v>0</v>
      </c>
      <c r="U310" s="37">
        <f t="shared" si="5"/>
        <v>0</v>
      </c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14" t="s">
        <v>18</v>
      </c>
      <c r="B311" s="15">
        <f t="shared" si="6"/>
        <v>46328</v>
      </c>
      <c r="C311" s="17">
        <v>12.0</v>
      </c>
      <c r="D311" s="17" t="s">
        <v>19</v>
      </c>
      <c r="E311" s="18"/>
      <c r="F311" s="18"/>
      <c r="G311" s="19"/>
      <c r="I311" s="20"/>
      <c r="K311" s="20"/>
      <c r="M311" s="20"/>
      <c r="O311" s="20"/>
      <c r="Q311" s="21">
        <f t="shared" si="1"/>
        <v>0</v>
      </c>
      <c r="R311" s="17">
        <f t="shared" si="2"/>
        <v>0</v>
      </c>
      <c r="S311" s="17">
        <f t="shared" si="3"/>
        <v>0</v>
      </c>
      <c r="T311" s="17">
        <f t="shared" si="4"/>
        <v>0</v>
      </c>
      <c r="U311" s="38">
        <f t="shared" si="5"/>
        <v>0</v>
      </c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23" t="s">
        <v>20</v>
      </c>
      <c r="B312" s="24">
        <f t="shared" si="6"/>
        <v>46329</v>
      </c>
      <c r="C312" s="26">
        <v>12.0</v>
      </c>
      <c r="D312" s="26" t="s">
        <v>19</v>
      </c>
      <c r="E312" s="22"/>
      <c r="F312" s="22"/>
      <c r="G312" s="19"/>
      <c r="I312" s="20"/>
      <c r="K312" s="20"/>
      <c r="M312" s="20"/>
      <c r="O312" s="20"/>
      <c r="Q312" s="27">
        <f t="shared" si="1"/>
        <v>0</v>
      </c>
      <c r="R312" s="26">
        <f t="shared" si="2"/>
        <v>0</v>
      </c>
      <c r="S312" s="26">
        <f t="shared" si="3"/>
        <v>0</v>
      </c>
      <c r="T312" s="26">
        <f t="shared" si="4"/>
        <v>0</v>
      </c>
      <c r="U312" s="28">
        <f t="shared" si="5"/>
        <v>0</v>
      </c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23" t="s">
        <v>21</v>
      </c>
      <c r="B313" s="24">
        <f t="shared" si="6"/>
        <v>46330</v>
      </c>
      <c r="C313" s="26">
        <v>12.0</v>
      </c>
      <c r="D313" s="26" t="s">
        <v>19</v>
      </c>
      <c r="E313" s="22"/>
      <c r="F313" s="22"/>
      <c r="G313" s="19"/>
      <c r="I313" s="20"/>
      <c r="K313" s="20"/>
      <c r="M313" s="20"/>
      <c r="O313" s="20"/>
      <c r="Q313" s="43">
        <f t="shared" si="1"/>
        <v>0</v>
      </c>
      <c r="R313" s="44">
        <f t="shared" si="2"/>
        <v>0</v>
      </c>
      <c r="S313" s="26">
        <f t="shared" si="3"/>
        <v>0</v>
      </c>
      <c r="T313" s="26">
        <f t="shared" si="4"/>
        <v>0</v>
      </c>
      <c r="U313" s="28">
        <f t="shared" si="5"/>
        <v>0</v>
      </c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23" t="s">
        <v>22</v>
      </c>
      <c r="B314" s="24">
        <f t="shared" si="6"/>
        <v>46331</v>
      </c>
      <c r="C314" s="26">
        <v>12.0</v>
      </c>
      <c r="D314" s="26" t="s">
        <v>19</v>
      </c>
      <c r="E314" s="22"/>
      <c r="F314" s="22"/>
      <c r="G314" s="19"/>
      <c r="I314" s="20"/>
      <c r="K314" s="20"/>
      <c r="M314" s="20"/>
      <c r="O314" s="20"/>
      <c r="Q314" s="43">
        <f t="shared" si="1"/>
        <v>0</v>
      </c>
      <c r="R314" s="44">
        <f t="shared" si="2"/>
        <v>0</v>
      </c>
      <c r="S314" s="26">
        <f t="shared" si="3"/>
        <v>0</v>
      </c>
      <c r="T314" s="26">
        <f t="shared" si="4"/>
        <v>0</v>
      </c>
      <c r="U314" s="28">
        <f t="shared" si="5"/>
        <v>0</v>
      </c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23" t="s">
        <v>23</v>
      </c>
      <c r="B315" s="24">
        <f t="shared" si="6"/>
        <v>46332</v>
      </c>
      <c r="C315" s="26">
        <v>12.0</v>
      </c>
      <c r="D315" s="26" t="s">
        <v>19</v>
      </c>
      <c r="E315" s="22"/>
      <c r="F315" s="22"/>
      <c r="G315" s="19"/>
      <c r="I315" s="20"/>
      <c r="K315" s="20"/>
      <c r="M315" s="20"/>
      <c r="O315" s="20"/>
      <c r="Q315" s="43">
        <f t="shared" si="1"/>
        <v>0</v>
      </c>
      <c r="R315" s="44">
        <f t="shared" si="2"/>
        <v>0</v>
      </c>
      <c r="S315" s="26">
        <f t="shared" si="3"/>
        <v>0</v>
      </c>
      <c r="T315" s="26">
        <f t="shared" si="4"/>
        <v>0</v>
      </c>
      <c r="U315" s="28">
        <f t="shared" si="5"/>
        <v>0</v>
      </c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23" t="s">
        <v>24</v>
      </c>
      <c r="B316" s="24">
        <f t="shared" si="6"/>
        <v>46333</v>
      </c>
      <c r="C316" s="26">
        <v>12.0</v>
      </c>
      <c r="D316" s="26" t="s">
        <v>19</v>
      </c>
      <c r="E316" s="22"/>
      <c r="F316" s="22"/>
      <c r="G316" s="19"/>
      <c r="I316" s="20"/>
      <c r="K316" s="20"/>
      <c r="M316" s="20"/>
      <c r="O316" s="20"/>
      <c r="Q316" s="43">
        <f t="shared" si="1"/>
        <v>0</v>
      </c>
      <c r="R316" s="44">
        <f t="shared" si="2"/>
        <v>0</v>
      </c>
      <c r="S316" s="26">
        <f t="shared" si="3"/>
        <v>0</v>
      </c>
      <c r="T316" s="26">
        <f t="shared" si="4"/>
        <v>0</v>
      </c>
      <c r="U316" s="28">
        <f t="shared" si="5"/>
        <v>0</v>
      </c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29" t="s">
        <v>25</v>
      </c>
      <c r="B317" s="30">
        <f t="shared" si="6"/>
        <v>46334</v>
      </c>
      <c r="C317" s="32">
        <v>12.0</v>
      </c>
      <c r="D317" s="32" t="s">
        <v>19</v>
      </c>
      <c r="E317" s="33"/>
      <c r="F317" s="33"/>
      <c r="G317" s="34"/>
      <c r="H317" s="6"/>
      <c r="I317" s="35"/>
      <c r="J317" s="6"/>
      <c r="K317" s="35"/>
      <c r="L317" s="6"/>
      <c r="M317" s="35"/>
      <c r="N317" s="6"/>
      <c r="O317" s="35"/>
      <c r="P317" s="6"/>
      <c r="Q317" s="45">
        <f t="shared" si="1"/>
        <v>0</v>
      </c>
      <c r="R317" s="46">
        <f t="shared" si="2"/>
        <v>0</v>
      </c>
      <c r="S317" s="32">
        <f t="shared" si="3"/>
        <v>0</v>
      </c>
      <c r="T317" s="32">
        <f t="shared" si="4"/>
        <v>0</v>
      </c>
      <c r="U317" s="37">
        <f t="shared" si="5"/>
        <v>0</v>
      </c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14" t="s">
        <v>18</v>
      </c>
      <c r="B318" s="15">
        <f t="shared" si="6"/>
        <v>46335</v>
      </c>
      <c r="C318" s="17">
        <v>12.0</v>
      </c>
      <c r="D318" s="17" t="s">
        <v>26</v>
      </c>
      <c r="E318" s="18"/>
      <c r="F318" s="18"/>
      <c r="G318" s="19"/>
      <c r="I318" s="20"/>
      <c r="K318" s="20"/>
      <c r="M318" s="20"/>
      <c r="O318" s="20"/>
      <c r="Q318" s="47">
        <f t="shared" si="1"/>
        <v>0</v>
      </c>
      <c r="R318" s="48">
        <f t="shared" si="2"/>
        <v>0</v>
      </c>
      <c r="S318" s="17">
        <f t="shared" si="3"/>
        <v>0</v>
      </c>
      <c r="T318" s="17">
        <f t="shared" si="4"/>
        <v>0</v>
      </c>
      <c r="U318" s="38">
        <f t="shared" si="5"/>
        <v>0</v>
      </c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23" t="s">
        <v>20</v>
      </c>
      <c r="B319" s="24">
        <f t="shared" si="6"/>
        <v>46336</v>
      </c>
      <c r="C319" s="26">
        <v>12.0</v>
      </c>
      <c r="D319" s="26" t="s">
        <v>26</v>
      </c>
      <c r="E319" s="22"/>
      <c r="F319" s="22"/>
      <c r="G319" s="19"/>
      <c r="I319" s="20"/>
      <c r="K319" s="20"/>
      <c r="M319" s="20"/>
      <c r="O319" s="20"/>
      <c r="Q319" s="43">
        <f t="shared" si="1"/>
        <v>0</v>
      </c>
      <c r="R319" s="44">
        <f t="shared" si="2"/>
        <v>0</v>
      </c>
      <c r="S319" s="26">
        <f t="shared" si="3"/>
        <v>0</v>
      </c>
      <c r="T319" s="26">
        <f t="shared" si="4"/>
        <v>0</v>
      </c>
      <c r="U319" s="28">
        <f t="shared" si="5"/>
        <v>0</v>
      </c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23" t="s">
        <v>21</v>
      </c>
      <c r="B320" s="24">
        <f t="shared" si="6"/>
        <v>46337</v>
      </c>
      <c r="C320" s="26">
        <v>12.0</v>
      </c>
      <c r="D320" s="26" t="s">
        <v>26</v>
      </c>
      <c r="E320" s="22"/>
      <c r="F320" s="22"/>
      <c r="G320" s="19"/>
      <c r="I320" s="20"/>
      <c r="K320" s="20"/>
      <c r="M320" s="20"/>
      <c r="O320" s="20"/>
      <c r="Q320" s="43">
        <f t="shared" si="1"/>
        <v>0</v>
      </c>
      <c r="R320" s="44">
        <f t="shared" si="2"/>
        <v>0</v>
      </c>
      <c r="S320" s="26">
        <f t="shared" si="3"/>
        <v>0</v>
      </c>
      <c r="T320" s="26">
        <f t="shared" si="4"/>
        <v>0</v>
      </c>
      <c r="U320" s="28">
        <f t="shared" si="5"/>
        <v>0</v>
      </c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23" t="s">
        <v>22</v>
      </c>
      <c r="B321" s="24">
        <f t="shared" si="6"/>
        <v>46338</v>
      </c>
      <c r="C321" s="26">
        <v>12.0</v>
      </c>
      <c r="D321" s="26" t="s">
        <v>26</v>
      </c>
      <c r="E321" s="22"/>
      <c r="F321" s="22"/>
      <c r="G321" s="19"/>
      <c r="I321" s="20"/>
      <c r="K321" s="20"/>
      <c r="M321" s="20"/>
      <c r="O321" s="20"/>
      <c r="Q321" s="43">
        <f t="shared" si="1"/>
        <v>0</v>
      </c>
      <c r="R321" s="44">
        <f t="shared" si="2"/>
        <v>0</v>
      </c>
      <c r="S321" s="26">
        <f t="shared" si="3"/>
        <v>0</v>
      </c>
      <c r="T321" s="26">
        <f t="shared" si="4"/>
        <v>0</v>
      </c>
      <c r="U321" s="28">
        <f t="shared" si="5"/>
        <v>0</v>
      </c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23" t="s">
        <v>23</v>
      </c>
      <c r="B322" s="24">
        <f t="shared" si="6"/>
        <v>46339</v>
      </c>
      <c r="C322" s="26">
        <v>12.0</v>
      </c>
      <c r="D322" s="26" t="s">
        <v>26</v>
      </c>
      <c r="E322" s="22"/>
      <c r="F322" s="22"/>
      <c r="G322" s="19"/>
      <c r="I322" s="20"/>
      <c r="K322" s="20"/>
      <c r="M322" s="20"/>
      <c r="O322" s="20"/>
      <c r="Q322" s="43">
        <f t="shared" si="1"/>
        <v>0</v>
      </c>
      <c r="R322" s="44">
        <f t="shared" si="2"/>
        <v>0</v>
      </c>
      <c r="S322" s="26">
        <f t="shared" si="3"/>
        <v>0</v>
      </c>
      <c r="T322" s="26">
        <f t="shared" si="4"/>
        <v>0</v>
      </c>
      <c r="U322" s="28">
        <f t="shared" si="5"/>
        <v>0</v>
      </c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23" t="s">
        <v>24</v>
      </c>
      <c r="B323" s="24">
        <f t="shared" si="6"/>
        <v>46340</v>
      </c>
      <c r="C323" s="26">
        <v>12.0</v>
      </c>
      <c r="D323" s="26" t="s">
        <v>26</v>
      </c>
      <c r="E323" s="22"/>
      <c r="F323" s="22"/>
      <c r="G323" s="19"/>
      <c r="I323" s="20"/>
      <c r="K323" s="20"/>
      <c r="M323" s="20"/>
      <c r="O323" s="20"/>
      <c r="Q323" s="43">
        <f t="shared" si="1"/>
        <v>0</v>
      </c>
      <c r="R323" s="44">
        <f t="shared" si="2"/>
        <v>0</v>
      </c>
      <c r="S323" s="26">
        <f t="shared" si="3"/>
        <v>0</v>
      </c>
      <c r="T323" s="26">
        <f t="shared" si="4"/>
        <v>0</v>
      </c>
      <c r="U323" s="28">
        <f t="shared" si="5"/>
        <v>0</v>
      </c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29" t="s">
        <v>25</v>
      </c>
      <c r="B324" s="30">
        <f t="shared" si="6"/>
        <v>46341</v>
      </c>
      <c r="C324" s="32">
        <v>12.0</v>
      </c>
      <c r="D324" s="32" t="s">
        <v>26</v>
      </c>
      <c r="E324" s="33"/>
      <c r="F324" s="33"/>
      <c r="G324" s="34"/>
      <c r="H324" s="6"/>
      <c r="I324" s="35"/>
      <c r="J324" s="6"/>
      <c r="K324" s="35"/>
      <c r="L324" s="6"/>
      <c r="M324" s="35"/>
      <c r="N324" s="6"/>
      <c r="O324" s="35"/>
      <c r="P324" s="6"/>
      <c r="Q324" s="45">
        <f t="shared" si="1"/>
        <v>0</v>
      </c>
      <c r="R324" s="46">
        <f t="shared" si="2"/>
        <v>0</v>
      </c>
      <c r="S324" s="32">
        <f t="shared" si="3"/>
        <v>0</v>
      </c>
      <c r="T324" s="32">
        <f t="shared" si="4"/>
        <v>0</v>
      </c>
      <c r="U324" s="37">
        <f t="shared" si="5"/>
        <v>0</v>
      </c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14" t="s">
        <v>18</v>
      </c>
      <c r="B325" s="15">
        <f t="shared" si="6"/>
        <v>46342</v>
      </c>
      <c r="C325" s="17">
        <v>12.0</v>
      </c>
      <c r="D325" s="17" t="s">
        <v>27</v>
      </c>
      <c r="E325" s="18"/>
      <c r="F325" s="18"/>
      <c r="G325" s="19"/>
      <c r="I325" s="20"/>
      <c r="K325" s="20"/>
      <c r="M325" s="20"/>
      <c r="O325" s="20"/>
      <c r="Q325" s="47">
        <f t="shared" si="1"/>
        <v>0</v>
      </c>
      <c r="R325" s="48">
        <f t="shared" si="2"/>
        <v>0</v>
      </c>
      <c r="S325" s="17">
        <f t="shared" si="3"/>
        <v>0</v>
      </c>
      <c r="T325" s="17">
        <f t="shared" si="4"/>
        <v>0</v>
      </c>
      <c r="U325" s="38">
        <f t="shared" si="5"/>
        <v>0</v>
      </c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23" t="s">
        <v>20</v>
      </c>
      <c r="B326" s="24">
        <f t="shared" si="6"/>
        <v>46343</v>
      </c>
      <c r="C326" s="26">
        <v>12.0</v>
      </c>
      <c r="D326" s="26" t="s">
        <v>27</v>
      </c>
      <c r="E326" s="22"/>
      <c r="F326" s="22"/>
      <c r="G326" s="19"/>
      <c r="I326" s="20"/>
      <c r="K326" s="20"/>
      <c r="M326" s="20"/>
      <c r="O326" s="20"/>
      <c r="Q326" s="43">
        <f t="shared" si="1"/>
        <v>0</v>
      </c>
      <c r="R326" s="44">
        <f t="shared" si="2"/>
        <v>0</v>
      </c>
      <c r="S326" s="26">
        <f t="shared" si="3"/>
        <v>0</v>
      </c>
      <c r="T326" s="26">
        <f t="shared" si="4"/>
        <v>0</v>
      </c>
      <c r="U326" s="28">
        <f t="shared" si="5"/>
        <v>0</v>
      </c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23" t="s">
        <v>21</v>
      </c>
      <c r="B327" s="24">
        <f t="shared" si="6"/>
        <v>46344</v>
      </c>
      <c r="C327" s="26">
        <v>12.0</v>
      </c>
      <c r="D327" s="26" t="s">
        <v>27</v>
      </c>
      <c r="E327" s="22"/>
      <c r="F327" s="22"/>
      <c r="G327" s="19"/>
      <c r="I327" s="20"/>
      <c r="K327" s="20"/>
      <c r="M327" s="20"/>
      <c r="O327" s="20"/>
      <c r="Q327" s="43">
        <f t="shared" si="1"/>
        <v>0</v>
      </c>
      <c r="R327" s="44">
        <f t="shared" si="2"/>
        <v>0</v>
      </c>
      <c r="S327" s="26">
        <f t="shared" si="3"/>
        <v>0</v>
      </c>
      <c r="T327" s="26">
        <f t="shared" si="4"/>
        <v>0</v>
      </c>
      <c r="U327" s="28">
        <f t="shared" si="5"/>
        <v>0</v>
      </c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23" t="s">
        <v>22</v>
      </c>
      <c r="B328" s="24">
        <f t="shared" si="6"/>
        <v>46345</v>
      </c>
      <c r="C328" s="26">
        <v>12.0</v>
      </c>
      <c r="D328" s="26" t="s">
        <v>27</v>
      </c>
      <c r="E328" s="22"/>
      <c r="F328" s="22"/>
      <c r="G328" s="19"/>
      <c r="I328" s="20"/>
      <c r="K328" s="20"/>
      <c r="M328" s="20"/>
      <c r="O328" s="20"/>
      <c r="Q328" s="27">
        <f t="shared" si="1"/>
        <v>0</v>
      </c>
      <c r="R328" s="26">
        <f t="shared" si="2"/>
        <v>0</v>
      </c>
      <c r="S328" s="26">
        <f t="shared" si="3"/>
        <v>0</v>
      </c>
      <c r="T328" s="26">
        <f t="shared" si="4"/>
        <v>0</v>
      </c>
      <c r="U328" s="28">
        <f t="shared" si="5"/>
        <v>0</v>
      </c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23" t="s">
        <v>23</v>
      </c>
      <c r="B329" s="24">
        <f t="shared" si="6"/>
        <v>46346</v>
      </c>
      <c r="C329" s="26">
        <v>12.0</v>
      </c>
      <c r="D329" s="26" t="s">
        <v>27</v>
      </c>
      <c r="E329" s="22"/>
      <c r="F329" s="22"/>
      <c r="G329" s="19"/>
      <c r="I329" s="20"/>
      <c r="K329" s="20"/>
      <c r="M329" s="20"/>
      <c r="O329" s="20"/>
      <c r="Q329" s="27">
        <f t="shared" si="1"/>
        <v>0</v>
      </c>
      <c r="R329" s="26">
        <f t="shared" si="2"/>
        <v>0</v>
      </c>
      <c r="S329" s="26">
        <f t="shared" si="3"/>
        <v>0</v>
      </c>
      <c r="T329" s="26">
        <f t="shared" si="4"/>
        <v>0</v>
      </c>
      <c r="U329" s="28">
        <f t="shared" si="5"/>
        <v>0</v>
      </c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23" t="s">
        <v>24</v>
      </c>
      <c r="B330" s="24">
        <f t="shared" si="6"/>
        <v>46347</v>
      </c>
      <c r="C330" s="26">
        <v>12.0</v>
      </c>
      <c r="D330" s="26" t="s">
        <v>27</v>
      </c>
      <c r="E330" s="22"/>
      <c r="F330" s="22"/>
      <c r="G330" s="19"/>
      <c r="I330" s="20"/>
      <c r="K330" s="20"/>
      <c r="M330" s="20"/>
      <c r="O330" s="20"/>
      <c r="Q330" s="27">
        <f t="shared" si="1"/>
        <v>0</v>
      </c>
      <c r="R330" s="26">
        <f t="shared" si="2"/>
        <v>0</v>
      </c>
      <c r="S330" s="26">
        <f t="shared" si="3"/>
        <v>0</v>
      </c>
      <c r="T330" s="26">
        <f t="shared" si="4"/>
        <v>0</v>
      </c>
      <c r="U330" s="28">
        <f t="shared" si="5"/>
        <v>0</v>
      </c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29" t="s">
        <v>25</v>
      </c>
      <c r="B331" s="30">
        <f t="shared" si="6"/>
        <v>46348</v>
      </c>
      <c r="C331" s="32">
        <v>12.0</v>
      </c>
      <c r="D331" s="32" t="s">
        <v>27</v>
      </c>
      <c r="E331" s="33"/>
      <c r="F331" s="33"/>
      <c r="G331" s="34"/>
      <c r="H331" s="6"/>
      <c r="I331" s="35"/>
      <c r="J331" s="6"/>
      <c r="K331" s="35"/>
      <c r="L331" s="6"/>
      <c r="M331" s="35"/>
      <c r="N331" s="6"/>
      <c r="O331" s="35"/>
      <c r="P331" s="6"/>
      <c r="Q331" s="36">
        <f t="shared" si="1"/>
        <v>0</v>
      </c>
      <c r="R331" s="32">
        <f t="shared" si="2"/>
        <v>0</v>
      </c>
      <c r="S331" s="32">
        <f t="shared" si="3"/>
        <v>0</v>
      </c>
      <c r="T331" s="32">
        <f t="shared" si="4"/>
        <v>0</v>
      </c>
      <c r="U331" s="37">
        <f t="shared" si="5"/>
        <v>0</v>
      </c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14" t="s">
        <v>18</v>
      </c>
      <c r="B332" s="15">
        <f t="shared" si="6"/>
        <v>46349</v>
      </c>
      <c r="C332" s="17">
        <v>12.0</v>
      </c>
      <c r="D332" s="17" t="s">
        <v>28</v>
      </c>
      <c r="E332" s="18"/>
      <c r="F332" s="18"/>
      <c r="G332" s="19"/>
      <c r="I332" s="20"/>
      <c r="K332" s="20"/>
      <c r="M332" s="20"/>
      <c r="O332" s="20"/>
      <c r="Q332" s="21">
        <f t="shared" si="1"/>
        <v>0</v>
      </c>
      <c r="R332" s="17">
        <f t="shared" si="2"/>
        <v>0</v>
      </c>
      <c r="S332" s="17">
        <f t="shared" si="3"/>
        <v>0</v>
      </c>
      <c r="T332" s="17">
        <f t="shared" si="4"/>
        <v>0</v>
      </c>
      <c r="U332" s="38">
        <f t="shared" si="5"/>
        <v>0</v>
      </c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23" t="s">
        <v>20</v>
      </c>
      <c r="B333" s="24">
        <f t="shared" si="6"/>
        <v>46350</v>
      </c>
      <c r="C333" s="26">
        <v>12.0</v>
      </c>
      <c r="D333" s="26" t="s">
        <v>28</v>
      </c>
      <c r="E333" s="22"/>
      <c r="F333" s="22"/>
      <c r="G333" s="19"/>
      <c r="I333" s="20"/>
      <c r="K333" s="20"/>
      <c r="M333" s="20"/>
      <c r="O333" s="20"/>
      <c r="Q333" s="27">
        <f t="shared" si="1"/>
        <v>0</v>
      </c>
      <c r="R333" s="26">
        <f t="shared" si="2"/>
        <v>0</v>
      </c>
      <c r="S333" s="26">
        <f t="shared" si="3"/>
        <v>0</v>
      </c>
      <c r="T333" s="26">
        <f t="shared" si="4"/>
        <v>0</v>
      </c>
      <c r="U333" s="28">
        <f t="shared" si="5"/>
        <v>0</v>
      </c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23" t="s">
        <v>21</v>
      </c>
      <c r="B334" s="24">
        <f t="shared" si="6"/>
        <v>46351</v>
      </c>
      <c r="C334" s="26">
        <v>12.0</v>
      </c>
      <c r="D334" s="26" t="s">
        <v>28</v>
      </c>
      <c r="E334" s="22"/>
      <c r="F334" s="22"/>
      <c r="G334" s="19"/>
      <c r="I334" s="20"/>
      <c r="K334" s="20"/>
      <c r="M334" s="20"/>
      <c r="O334" s="20"/>
      <c r="Q334" s="27">
        <f t="shared" si="1"/>
        <v>0</v>
      </c>
      <c r="R334" s="26">
        <f t="shared" si="2"/>
        <v>0</v>
      </c>
      <c r="S334" s="26">
        <f t="shared" si="3"/>
        <v>0</v>
      </c>
      <c r="T334" s="26">
        <f t="shared" si="4"/>
        <v>0</v>
      </c>
      <c r="U334" s="28">
        <f t="shared" si="5"/>
        <v>0</v>
      </c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23" t="s">
        <v>22</v>
      </c>
      <c r="B335" s="24">
        <f t="shared" si="6"/>
        <v>46352</v>
      </c>
      <c r="C335" s="26">
        <v>12.0</v>
      </c>
      <c r="D335" s="26" t="s">
        <v>28</v>
      </c>
      <c r="E335" s="22"/>
      <c r="F335" s="22"/>
      <c r="G335" s="19"/>
      <c r="I335" s="20"/>
      <c r="K335" s="20"/>
      <c r="M335" s="20"/>
      <c r="O335" s="20"/>
      <c r="Q335" s="27">
        <f t="shared" si="1"/>
        <v>0</v>
      </c>
      <c r="R335" s="26">
        <f t="shared" si="2"/>
        <v>0</v>
      </c>
      <c r="S335" s="26">
        <f t="shared" si="3"/>
        <v>0</v>
      </c>
      <c r="T335" s="26">
        <f t="shared" si="4"/>
        <v>0</v>
      </c>
      <c r="U335" s="28">
        <f t="shared" si="5"/>
        <v>0</v>
      </c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23" t="s">
        <v>23</v>
      </c>
      <c r="B336" s="24">
        <f t="shared" si="6"/>
        <v>46353</v>
      </c>
      <c r="C336" s="26">
        <v>12.0</v>
      </c>
      <c r="D336" s="26" t="s">
        <v>28</v>
      </c>
      <c r="E336" s="22"/>
      <c r="F336" s="22"/>
      <c r="G336" s="19"/>
      <c r="I336" s="20"/>
      <c r="K336" s="20"/>
      <c r="M336" s="20"/>
      <c r="O336" s="20"/>
      <c r="Q336" s="27">
        <f t="shared" si="1"/>
        <v>0</v>
      </c>
      <c r="R336" s="26">
        <f t="shared" si="2"/>
        <v>0</v>
      </c>
      <c r="S336" s="26">
        <f t="shared" si="3"/>
        <v>0</v>
      </c>
      <c r="T336" s="26">
        <f t="shared" si="4"/>
        <v>0</v>
      </c>
      <c r="U336" s="28">
        <f t="shared" si="5"/>
        <v>0</v>
      </c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23" t="s">
        <v>24</v>
      </c>
      <c r="B337" s="24">
        <f t="shared" si="6"/>
        <v>46354</v>
      </c>
      <c r="C337" s="26">
        <v>12.0</v>
      </c>
      <c r="D337" s="26" t="s">
        <v>28</v>
      </c>
      <c r="E337" s="22"/>
      <c r="F337" s="22"/>
      <c r="G337" s="19"/>
      <c r="I337" s="20"/>
      <c r="K337" s="20"/>
      <c r="M337" s="20"/>
      <c r="O337" s="20"/>
      <c r="Q337" s="27">
        <f t="shared" si="1"/>
        <v>0</v>
      </c>
      <c r="R337" s="26">
        <f t="shared" si="2"/>
        <v>0</v>
      </c>
      <c r="S337" s="26">
        <f t="shared" si="3"/>
        <v>0</v>
      </c>
      <c r="T337" s="26">
        <f t="shared" si="4"/>
        <v>0</v>
      </c>
      <c r="U337" s="28">
        <f t="shared" si="5"/>
        <v>0</v>
      </c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29" t="s">
        <v>25</v>
      </c>
      <c r="B338" s="30">
        <f t="shared" si="6"/>
        <v>46355</v>
      </c>
      <c r="C338" s="32">
        <v>12.0</v>
      </c>
      <c r="D338" s="32" t="s">
        <v>28</v>
      </c>
      <c r="E338" s="33"/>
      <c r="F338" s="33"/>
      <c r="G338" s="34"/>
      <c r="H338" s="6"/>
      <c r="I338" s="35"/>
      <c r="J338" s="6"/>
      <c r="K338" s="35"/>
      <c r="L338" s="6"/>
      <c r="M338" s="35"/>
      <c r="N338" s="6"/>
      <c r="O338" s="35"/>
      <c r="P338" s="6"/>
      <c r="Q338" s="36">
        <f t="shared" si="1"/>
        <v>0</v>
      </c>
      <c r="R338" s="32">
        <f t="shared" si="2"/>
        <v>0</v>
      </c>
      <c r="S338" s="32">
        <f t="shared" si="3"/>
        <v>0</v>
      </c>
      <c r="T338" s="32">
        <f t="shared" si="4"/>
        <v>0</v>
      </c>
      <c r="U338" s="37">
        <f t="shared" si="5"/>
        <v>0</v>
      </c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14" t="s">
        <v>18</v>
      </c>
      <c r="B339" s="15">
        <f t="shared" si="6"/>
        <v>46356</v>
      </c>
      <c r="C339" s="17">
        <v>13.0</v>
      </c>
      <c r="D339" s="17" t="s">
        <v>26</v>
      </c>
      <c r="E339" s="18"/>
      <c r="F339" s="18"/>
      <c r="G339" s="19"/>
      <c r="I339" s="20"/>
      <c r="K339" s="20"/>
      <c r="M339" s="20"/>
      <c r="O339" s="20"/>
      <c r="Q339" s="21">
        <f t="shared" si="1"/>
        <v>0</v>
      </c>
      <c r="R339" s="17">
        <f t="shared" si="2"/>
        <v>0</v>
      </c>
      <c r="S339" s="17">
        <f t="shared" si="3"/>
        <v>0</v>
      </c>
      <c r="T339" s="17">
        <f t="shared" si="4"/>
        <v>0</v>
      </c>
      <c r="U339" s="38">
        <f t="shared" si="5"/>
        <v>0</v>
      </c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23" t="s">
        <v>20</v>
      </c>
      <c r="B340" s="24">
        <f t="shared" si="6"/>
        <v>46357</v>
      </c>
      <c r="C340" s="26">
        <v>13.0</v>
      </c>
      <c r="D340" s="26" t="s">
        <v>26</v>
      </c>
      <c r="E340" s="22"/>
      <c r="F340" s="22"/>
      <c r="G340" s="19"/>
      <c r="I340" s="20"/>
      <c r="K340" s="20"/>
      <c r="M340" s="20"/>
      <c r="O340" s="20"/>
      <c r="Q340" s="27">
        <f t="shared" si="1"/>
        <v>0</v>
      </c>
      <c r="R340" s="26">
        <f t="shared" si="2"/>
        <v>0</v>
      </c>
      <c r="S340" s="26">
        <f t="shared" si="3"/>
        <v>0</v>
      </c>
      <c r="T340" s="26">
        <f t="shared" si="4"/>
        <v>0</v>
      </c>
      <c r="U340" s="28">
        <f t="shared" si="5"/>
        <v>0</v>
      </c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23" t="s">
        <v>21</v>
      </c>
      <c r="B341" s="24">
        <f t="shared" si="6"/>
        <v>46358</v>
      </c>
      <c r="C341" s="26">
        <v>13.0</v>
      </c>
      <c r="D341" s="26" t="s">
        <v>26</v>
      </c>
      <c r="E341" s="22"/>
      <c r="F341" s="22"/>
      <c r="G341" s="19"/>
      <c r="I341" s="20"/>
      <c r="K341" s="20"/>
      <c r="M341" s="20"/>
      <c r="O341" s="20"/>
      <c r="Q341" s="27">
        <f t="shared" si="1"/>
        <v>0</v>
      </c>
      <c r="R341" s="26">
        <f t="shared" si="2"/>
        <v>0</v>
      </c>
      <c r="S341" s="26">
        <f t="shared" si="3"/>
        <v>0</v>
      </c>
      <c r="T341" s="26">
        <f t="shared" si="4"/>
        <v>0</v>
      </c>
      <c r="U341" s="28">
        <f t="shared" si="5"/>
        <v>0</v>
      </c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23" t="s">
        <v>22</v>
      </c>
      <c r="B342" s="24">
        <f t="shared" si="6"/>
        <v>46359</v>
      </c>
      <c r="C342" s="26">
        <v>13.0</v>
      </c>
      <c r="D342" s="26" t="s">
        <v>26</v>
      </c>
      <c r="E342" s="22"/>
      <c r="F342" s="22"/>
      <c r="G342" s="19"/>
      <c r="I342" s="20"/>
      <c r="K342" s="20"/>
      <c r="M342" s="20"/>
      <c r="O342" s="20"/>
      <c r="Q342" s="27">
        <f t="shared" si="1"/>
        <v>0</v>
      </c>
      <c r="R342" s="26">
        <f t="shared" si="2"/>
        <v>0</v>
      </c>
      <c r="S342" s="26">
        <f t="shared" si="3"/>
        <v>0</v>
      </c>
      <c r="T342" s="26">
        <f t="shared" si="4"/>
        <v>0</v>
      </c>
      <c r="U342" s="28">
        <f t="shared" si="5"/>
        <v>0</v>
      </c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23" t="s">
        <v>23</v>
      </c>
      <c r="B343" s="24">
        <f t="shared" si="6"/>
        <v>46360</v>
      </c>
      <c r="C343" s="26">
        <v>13.0</v>
      </c>
      <c r="D343" s="26" t="s">
        <v>26</v>
      </c>
      <c r="E343" s="22"/>
      <c r="F343" s="22"/>
      <c r="G343" s="19"/>
      <c r="I343" s="20"/>
      <c r="K343" s="20"/>
      <c r="M343" s="20"/>
      <c r="O343" s="20"/>
      <c r="Q343" s="27">
        <f t="shared" si="1"/>
        <v>0</v>
      </c>
      <c r="R343" s="26">
        <f t="shared" si="2"/>
        <v>0</v>
      </c>
      <c r="S343" s="26">
        <f t="shared" si="3"/>
        <v>0</v>
      </c>
      <c r="T343" s="26">
        <f t="shared" si="4"/>
        <v>0</v>
      </c>
      <c r="U343" s="28">
        <f t="shared" si="5"/>
        <v>0</v>
      </c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23" t="s">
        <v>24</v>
      </c>
      <c r="B344" s="24">
        <f t="shared" si="6"/>
        <v>46361</v>
      </c>
      <c r="C344" s="26">
        <v>13.0</v>
      </c>
      <c r="D344" s="26" t="s">
        <v>26</v>
      </c>
      <c r="E344" s="22"/>
      <c r="F344" s="22"/>
      <c r="G344" s="19"/>
      <c r="I344" s="20"/>
      <c r="K344" s="20"/>
      <c r="M344" s="20"/>
      <c r="O344" s="20"/>
      <c r="Q344" s="27">
        <f t="shared" si="1"/>
        <v>0</v>
      </c>
      <c r="R344" s="26">
        <f t="shared" si="2"/>
        <v>0</v>
      </c>
      <c r="S344" s="26">
        <f t="shared" si="3"/>
        <v>0</v>
      </c>
      <c r="T344" s="26">
        <f t="shared" si="4"/>
        <v>0</v>
      </c>
      <c r="U344" s="28">
        <f t="shared" si="5"/>
        <v>0</v>
      </c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29" t="s">
        <v>25</v>
      </c>
      <c r="B345" s="30">
        <f t="shared" si="6"/>
        <v>46362</v>
      </c>
      <c r="C345" s="32">
        <v>13.0</v>
      </c>
      <c r="D345" s="32" t="s">
        <v>26</v>
      </c>
      <c r="E345" s="33"/>
      <c r="F345" s="33"/>
      <c r="G345" s="34"/>
      <c r="H345" s="6"/>
      <c r="I345" s="35"/>
      <c r="J345" s="6"/>
      <c r="K345" s="35"/>
      <c r="L345" s="6"/>
      <c r="M345" s="35"/>
      <c r="N345" s="6"/>
      <c r="O345" s="35"/>
      <c r="P345" s="6"/>
      <c r="Q345" s="36">
        <f t="shared" si="1"/>
        <v>0</v>
      </c>
      <c r="R345" s="32">
        <f t="shared" si="2"/>
        <v>0</v>
      </c>
      <c r="S345" s="32">
        <f t="shared" si="3"/>
        <v>0</v>
      </c>
      <c r="T345" s="32">
        <f t="shared" si="4"/>
        <v>0</v>
      </c>
      <c r="U345" s="37">
        <f t="shared" si="5"/>
        <v>0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14" t="s">
        <v>18</v>
      </c>
      <c r="B346" s="15">
        <f t="shared" si="6"/>
        <v>46363</v>
      </c>
      <c r="C346" s="17">
        <v>13.0</v>
      </c>
      <c r="D346" s="17" t="s">
        <v>27</v>
      </c>
      <c r="E346" s="18"/>
      <c r="F346" s="18"/>
      <c r="G346" s="19"/>
      <c r="I346" s="20"/>
      <c r="K346" s="20"/>
      <c r="M346" s="20"/>
      <c r="O346" s="20"/>
      <c r="Q346" s="21">
        <f t="shared" si="1"/>
        <v>0</v>
      </c>
      <c r="R346" s="17">
        <f t="shared" si="2"/>
        <v>0</v>
      </c>
      <c r="S346" s="17">
        <f t="shared" si="3"/>
        <v>0</v>
      </c>
      <c r="T346" s="17">
        <f t="shared" si="4"/>
        <v>0</v>
      </c>
      <c r="U346" s="38">
        <f t="shared" si="5"/>
        <v>0</v>
      </c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23" t="s">
        <v>20</v>
      </c>
      <c r="B347" s="24">
        <f t="shared" si="6"/>
        <v>46364</v>
      </c>
      <c r="C347" s="26">
        <v>13.0</v>
      </c>
      <c r="D347" s="26" t="s">
        <v>27</v>
      </c>
      <c r="E347" s="22"/>
      <c r="F347" s="22"/>
      <c r="G347" s="19"/>
      <c r="I347" s="20"/>
      <c r="K347" s="20"/>
      <c r="M347" s="20"/>
      <c r="O347" s="20"/>
      <c r="Q347" s="27">
        <f t="shared" si="1"/>
        <v>0</v>
      </c>
      <c r="R347" s="26">
        <f t="shared" si="2"/>
        <v>0</v>
      </c>
      <c r="S347" s="26">
        <f t="shared" si="3"/>
        <v>0</v>
      </c>
      <c r="T347" s="26">
        <f t="shared" si="4"/>
        <v>0</v>
      </c>
      <c r="U347" s="28">
        <f t="shared" si="5"/>
        <v>0</v>
      </c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23" t="s">
        <v>21</v>
      </c>
      <c r="B348" s="24">
        <f t="shared" si="6"/>
        <v>46365</v>
      </c>
      <c r="C348" s="26">
        <v>13.0</v>
      </c>
      <c r="D348" s="26" t="s">
        <v>27</v>
      </c>
      <c r="E348" s="22"/>
      <c r="F348" s="22"/>
      <c r="G348" s="19"/>
      <c r="I348" s="20"/>
      <c r="K348" s="20"/>
      <c r="M348" s="20"/>
      <c r="O348" s="20"/>
      <c r="Q348" s="27">
        <f t="shared" si="1"/>
        <v>0</v>
      </c>
      <c r="R348" s="26">
        <f t="shared" si="2"/>
        <v>0</v>
      </c>
      <c r="S348" s="26">
        <f t="shared" si="3"/>
        <v>0</v>
      </c>
      <c r="T348" s="26">
        <f t="shared" si="4"/>
        <v>0</v>
      </c>
      <c r="U348" s="28">
        <f t="shared" si="5"/>
        <v>0</v>
      </c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23" t="s">
        <v>22</v>
      </c>
      <c r="B349" s="24">
        <f t="shared" si="6"/>
        <v>46366</v>
      </c>
      <c r="C349" s="26">
        <v>13.0</v>
      </c>
      <c r="D349" s="26" t="s">
        <v>27</v>
      </c>
      <c r="E349" s="22"/>
      <c r="F349" s="22"/>
      <c r="G349" s="19"/>
      <c r="I349" s="20"/>
      <c r="K349" s="20"/>
      <c r="M349" s="20"/>
      <c r="O349" s="20"/>
      <c r="Q349" s="27">
        <f t="shared" si="1"/>
        <v>0</v>
      </c>
      <c r="R349" s="26">
        <f t="shared" si="2"/>
        <v>0</v>
      </c>
      <c r="S349" s="26">
        <f t="shared" si="3"/>
        <v>0</v>
      </c>
      <c r="T349" s="26">
        <f t="shared" si="4"/>
        <v>0</v>
      </c>
      <c r="U349" s="28">
        <f t="shared" si="5"/>
        <v>0</v>
      </c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23" t="s">
        <v>23</v>
      </c>
      <c r="B350" s="24">
        <f t="shared" si="6"/>
        <v>46367</v>
      </c>
      <c r="C350" s="26">
        <v>13.0</v>
      </c>
      <c r="D350" s="26" t="s">
        <v>27</v>
      </c>
      <c r="E350" s="22"/>
      <c r="F350" s="22"/>
      <c r="G350" s="19"/>
      <c r="I350" s="20"/>
      <c r="K350" s="20"/>
      <c r="M350" s="20"/>
      <c r="O350" s="20"/>
      <c r="Q350" s="27">
        <f t="shared" si="1"/>
        <v>0</v>
      </c>
      <c r="R350" s="26">
        <f t="shared" si="2"/>
        <v>0</v>
      </c>
      <c r="S350" s="26">
        <f t="shared" si="3"/>
        <v>0</v>
      </c>
      <c r="T350" s="26">
        <f t="shared" si="4"/>
        <v>0</v>
      </c>
      <c r="U350" s="28">
        <f t="shared" si="5"/>
        <v>0</v>
      </c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23" t="s">
        <v>24</v>
      </c>
      <c r="B351" s="24">
        <f t="shared" si="6"/>
        <v>46368</v>
      </c>
      <c r="C351" s="26">
        <v>13.0</v>
      </c>
      <c r="D351" s="26" t="s">
        <v>27</v>
      </c>
      <c r="E351" s="22"/>
      <c r="F351" s="22"/>
      <c r="G351" s="19"/>
      <c r="I351" s="20"/>
      <c r="K351" s="20"/>
      <c r="M351" s="20"/>
      <c r="O351" s="20"/>
      <c r="Q351" s="27">
        <f t="shared" si="1"/>
        <v>0</v>
      </c>
      <c r="R351" s="26">
        <f t="shared" si="2"/>
        <v>0</v>
      </c>
      <c r="S351" s="26">
        <f t="shared" si="3"/>
        <v>0</v>
      </c>
      <c r="T351" s="26">
        <f t="shared" si="4"/>
        <v>0</v>
      </c>
      <c r="U351" s="28">
        <f t="shared" si="5"/>
        <v>0</v>
      </c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29" t="s">
        <v>25</v>
      </c>
      <c r="B352" s="30">
        <f t="shared" si="6"/>
        <v>46369</v>
      </c>
      <c r="C352" s="32">
        <v>13.0</v>
      </c>
      <c r="D352" s="32" t="s">
        <v>27</v>
      </c>
      <c r="E352" s="33"/>
      <c r="F352" s="33"/>
      <c r="G352" s="34"/>
      <c r="H352" s="6"/>
      <c r="I352" s="35"/>
      <c r="J352" s="6"/>
      <c r="K352" s="35"/>
      <c r="L352" s="6"/>
      <c r="M352" s="35"/>
      <c r="N352" s="6"/>
      <c r="O352" s="35"/>
      <c r="P352" s="6"/>
      <c r="Q352" s="36">
        <f t="shared" si="1"/>
        <v>0</v>
      </c>
      <c r="R352" s="32">
        <f t="shared" si="2"/>
        <v>0</v>
      </c>
      <c r="S352" s="32">
        <f t="shared" si="3"/>
        <v>0</v>
      </c>
      <c r="T352" s="32">
        <f t="shared" si="4"/>
        <v>0</v>
      </c>
      <c r="U352" s="37">
        <f t="shared" si="5"/>
        <v>0</v>
      </c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14" t="s">
        <v>18</v>
      </c>
      <c r="B353" s="15">
        <f t="shared" si="6"/>
        <v>46370</v>
      </c>
      <c r="C353" s="17">
        <v>13.0</v>
      </c>
      <c r="D353" s="17" t="s">
        <v>28</v>
      </c>
      <c r="E353" s="18"/>
      <c r="F353" s="18"/>
      <c r="G353" s="19"/>
      <c r="I353" s="20"/>
      <c r="K353" s="20"/>
      <c r="M353" s="20"/>
      <c r="O353" s="20"/>
      <c r="Q353" s="21">
        <f t="shared" si="1"/>
        <v>0</v>
      </c>
      <c r="R353" s="17">
        <f t="shared" si="2"/>
        <v>0</v>
      </c>
      <c r="S353" s="17">
        <f t="shared" si="3"/>
        <v>0</v>
      </c>
      <c r="T353" s="17">
        <f t="shared" si="4"/>
        <v>0</v>
      </c>
      <c r="U353" s="38">
        <f t="shared" si="5"/>
        <v>0</v>
      </c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23" t="s">
        <v>20</v>
      </c>
      <c r="B354" s="24">
        <f t="shared" si="6"/>
        <v>46371</v>
      </c>
      <c r="C354" s="26">
        <v>13.0</v>
      </c>
      <c r="D354" s="26" t="s">
        <v>28</v>
      </c>
      <c r="E354" s="22"/>
      <c r="F354" s="22"/>
      <c r="G354" s="19"/>
      <c r="I354" s="20"/>
      <c r="K354" s="20"/>
      <c r="M354" s="20"/>
      <c r="O354" s="20"/>
      <c r="Q354" s="27">
        <f t="shared" si="1"/>
        <v>0</v>
      </c>
      <c r="R354" s="26">
        <f t="shared" si="2"/>
        <v>0</v>
      </c>
      <c r="S354" s="26">
        <f t="shared" si="3"/>
        <v>0</v>
      </c>
      <c r="T354" s="26">
        <f t="shared" si="4"/>
        <v>0</v>
      </c>
      <c r="U354" s="28">
        <f t="shared" si="5"/>
        <v>0</v>
      </c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23" t="s">
        <v>21</v>
      </c>
      <c r="B355" s="24">
        <f t="shared" si="6"/>
        <v>46372</v>
      </c>
      <c r="C355" s="26">
        <v>13.0</v>
      </c>
      <c r="D355" s="26" t="s">
        <v>28</v>
      </c>
      <c r="E355" s="22"/>
      <c r="F355" s="22"/>
      <c r="G355" s="19"/>
      <c r="I355" s="20"/>
      <c r="K355" s="20"/>
      <c r="M355" s="20"/>
      <c r="O355" s="20"/>
      <c r="Q355" s="27">
        <f t="shared" si="1"/>
        <v>0</v>
      </c>
      <c r="R355" s="26">
        <f t="shared" si="2"/>
        <v>0</v>
      </c>
      <c r="S355" s="26">
        <f t="shared" si="3"/>
        <v>0</v>
      </c>
      <c r="T355" s="26">
        <f t="shared" si="4"/>
        <v>0</v>
      </c>
      <c r="U355" s="28">
        <f t="shared" si="5"/>
        <v>0</v>
      </c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23" t="s">
        <v>22</v>
      </c>
      <c r="B356" s="24">
        <f t="shared" si="6"/>
        <v>46373</v>
      </c>
      <c r="C356" s="26">
        <v>13.0</v>
      </c>
      <c r="D356" s="26" t="s">
        <v>28</v>
      </c>
      <c r="E356" s="22"/>
      <c r="F356" s="22"/>
      <c r="G356" s="19"/>
      <c r="I356" s="20"/>
      <c r="K356" s="20"/>
      <c r="M356" s="20"/>
      <c r="O356" s="20"/>
      <c r="Q356" s="27">
        <f t="shared" si="1"/>
        <v>0</v>
      </c>
      <c r="R356" s="26">
        <f t="shared" si="2"/>
        <v>0</v>
      </c>
      <c r="S356" s="26">
        <f t="shared" si="3"/>
        <v>0</v>
      </c>
      <c r="T356" s="26">
        <f t="shared" si="4"/>
        <v>0</v>
      </c>
      <c r="U356" s="28">
        <f t="shared" si="5"/>
        <v>0</v>
      </c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23" t="s">
        <v>23</v>
      </c>
      <c r="B357" s="24">
        <f t="shared" si="6"/>
        <v>46374</v>
      </c>
      <c r="C357" s="26">
        <v>13.0</v>
      </c>
      <c r="D357" s="26" t="s">
        <v>28</v>
      </c>
      <c r="E357" s="22"/>
      <c r="F357" s="22"/>
      <c r="G357" s="19"/>
      <c r="I357" s="20"/>
      <c r="K357" s="20"/>
      <c r="M357" s="20"/>
      <c r="O357" s="20"/>
      <c r="Q357" s="27">
        <f t="shared" si="1"/>
        <v>0</v>
      </c>
      <c r="R357" s="26">
        <f t="shared" si="2"/>
        <v>0</v>
      </c>
      <c r="S357" s="26">
        <f t="shared" si="3"/>
        <v>0</v>
      </c>
      <c r="T357" s="26">
        <f t="shared" si="4"/>
        <v>0</v>
      </c>
      <c r="U357" s="28">
        <f t="shared" si="5"/>
        <v>0</v>
      </c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23" t="s">
        <v>24</v>
      </c>
      <c r="B358" s="24">
        <f t="shared" si="6"/>
        <v>46375</v>
      </c>
      <c r="C358" s="26">
        <v>13.0</v>
      </c>
      <c r="D358" s="26" t="s">
        <v>28</v>
      </c>
      <c r="E358" s="22"/>
      <c r="F358" s="22"/>
      <c r="G358" s="19"/>
      <c r="I358" s="20"/>
      <c r="K358" s="20"/>
      <c r="M358" s="20"/>
      <c r="O358" s="20"/>
      <c r="Q358" s="27">
        <f t="shared" si="1"/>
        <v>0</v>
      </c>
      <c r="R358" s="26">
        <f t="shared" si="2"/>
        <v>0</v>
      </c>
      <c r="S358" s="26">
        <f t="shared" si="3"/>
        <v>0</v>
      </c>
      <c r="T358" s="26">
        <f t="shared" si="4"/>
        <v>0</v>
      </c>
      <c r="U358" s="28">
        <f t="shared" si="5"/>
        <v>0</v>
      </c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29" t="s">
        <v>25</v>
      </c>
      <c r="B359" s="30">
        <f t="shared" si="6"/>
        <v>46376</v>
      </c>
      <c r="C359" s="32">
        <v>13.0</v>
      </c>
      <c r="D359" s="32" t="s">
        <v>28</v>
      </c>
      <c r="E359" s="33"/>
      <c r="F359" s="33"/>
      <c r="G359" s="34"/>
      <c r="H359" s="6"/>
      <c r="I359" s="35"/>
      <c r="J359" s="6"/>
      <c r="K359" s="35"/>
      <c r="L359" s="6"/>
      <c r="M359" s="35"/>
      <c r="N359" s="6"/>
      <c r="O359" s="35"/>
      <c r="P359" s="6"/>
      <c r="Q359" s="36">
        <f t="shared" si="1"/>
        <v>0</v>
      </c>
      <c r="R359" s="32">
        <f t="shared" si="2"/>
        <v>0</v>
      </c>
      <c r="S359" s="32">
        <f t="shared" si="3"/>
        <v>0</v>
      </c>
      <c r="T359" s="32">
        <f t="shared" si="4"/>
        <v>0</v>
      </c>
      <c r="U359" s="37">
        <f t="shared" si="5"/>
        <v>0</v>
      </c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49"/>
      <c r="B360" s="50"/>
      <c r="C360" s="20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2" t="s">
        <v>34</v>
      </c>
      <c r="W360" s="52">
        <v>1.0</v>
      </c>
      <c r="X360" s="52">
        <v>2.0</v>
      </c>
      <c r="Y360" s="52">
        <v>3.0</v>
      </c>
      <c r="Z360" s="52">
        <v>4.0</v>
      </c>
      <c r="AA360" s="52">
        <v>5.0</v>
      </c>
      <c r="AB360" s="52">
        <v>6.0</v>
      </c>
      <c r="AC360" s="52">
        <v>7.0</v>
      </c>
      <c r="AD360" s="52">
        <v>8.0</v>
      </c>
      <c r="AE360" s="52">
        <v>9.0</v>
      </c>
      <c r="AF360" s="52">
        <v>10.0</v>
      </c>
      <c r="AG360" s="52">
        <v>11.0</v>
      </c>
      <c r="AH360" s="52">
        <v>12.0</v>
      </c>
      <c r="AI360" s="52">
        <v>13.0</v>
      </c>
      <c r="AJ360" s="52" t="s">
        <v>35</v>
      </c>
      <c r="AK360" s="53"/>
    </row>
    <row r="361" ht="15.75" customHeight="1">
      <c r="A361" s="49"/>
      <c r="B361" s="50"/>
      <c r="C361" s="20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4">
        <f>SUM(Q3:Q359)</f>
        <v>0</v>
      </c>
      <c r="R361" s="51"/>
      <c r="S361" s="51"/>
      <c r="T361" s="55">
        <f>SUM(T3:T359)</f>
        <v>0</v>
      </c>
      <c r="U361" s="51"/>
      <c r="V361" s="52" t="s">
        <v>36</v>
      </c>
      <c r="W361" s="53">
        <f t="shared" ref="W361:AI361" si="7">SUMIF($C$3:$C$359, W360, $T$3:$T$359)</f>
        <v>0</v>
      </c>
      <c r="X361" s="53">
        <f t="shared" si="7"/>
        <v>0</v>
      </c>
      <c r="Y361" s="53">
        <f t="shared" si="7"/>
        <v>0</v>
      </c>
      <c r="Z361" s="53">
        <f t="shared" si="7"/>
        <v>0</v>
      </c>
      <c r="AA361" s="53">
        <f t="shared" si="7"/>
        <v>0</v>
      </c>
      <c r="AB361" s="53">
        <f t="shared" si="7"/>
        <v>0</v>
      </c>
      <c r="AC361" s="53">
        <f t="shared" si="7"/>
        <v>0</v>
      </c>
      <c r="AD361" s="53">
        <f t="shared" si="7"/>
        <v>0</v>
      </c>
      <c r="AE361" s="53">
        <f t="shared" si="7"/>
        <v>0</v>
      </c>
      <c r="AF361" s="53">
        <f t="shared" si="7"/>
        <v>0</v>
      </c>
      <c r="AG361" s="53">
        <f t="shared" si="7"/>
        <v>0</v>
      </c>
      <c r="AH361" s="53">
        <f t="shared" si="7"/>
        <v>0</v>
      </c>
      <c r="AI361" s="53">
        <f t="shared" si="7"/>
        <v>0</v>
      </c>
      <c r="AJ361" s="52">
        <f>SUM(W361:AI361)</f>
        <v>0</v>
      </c>
      <c r="AK361" s="53"/>
    </row>
    <row r="362" ht="15.75" customHeight="1">
      <c r="A362" s="49"/>
      <c r="B362" s="50"/>
      <c r="C362" s="20"/>
      <c r="D362" s="51"/>
      <c r="E362" s="56"/>
      <c r="F362" s="56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2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2"/>
      <c r="AK362" s="53"/>
    </row>
    <row r="363" ht="15.75" customHeight="1">
      <c r="A363" s="49"/>
      <c r="B363" s="50"/>
      <c r="C363" s="20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2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2"/>
      <c r="AK363" s="53"/>
    </row>
    <row r="364" ht="15.75" customHeight="1">
      <c r="A364" s="49"/>
      <c r="B364" s="50"/>
      <c r="C364" s="20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2" t="s">
        <v>37</v>
      </c>
      <c r="W364" s="57">
        <f t="shared" ref="W364:AI364" si="8">SUMIF($C$3:$C$359, W360, $Q$3:$Q$359)</f>
        <v>0</v>
      </c>
      <c r="X364" s="57">
        <f t="shared" si="8"/>
        <v>0</v>
      </c>
      <c r="Y364" s="57">
        <f t="shared" si="8"/>
        <v>0</v>
      </c>
      <c r="Z364" s="57">
        <f t="shared" si="8"/>
        <v>0</v>
      </c>
      <c r="AA364" s="57">
        <f t="shared" si="8"/>
        <v>0</v>
      </c>
      <c r="AB364" s="57">
        <f t="shared" si="8"/>
        <v>0</v>
      </c>
      <c r="AC364" s="57">
        <f t="shared" si="8"/>
        <v>0</v>
      </c>
      <c r="AD364" s="57">
        <f t="shared" si="8"/>
        <v>0</v>
      </c>
      <c r="AE364" s="57">
        <f t="shared" si="8"/>
        <v>0</v>
      </c>
      <c r="AF364" s="57">
        <f t="shared" si="8"/>
        <v>0</v>
      </c>
      <c r="AG364" s="57">
        <f t="shared" si="8"/>
        <v>0</v>
      </c>
      <c r="AH364" s="57">
        <f t="shared" si="8"/>
        <v>0</v>
      </c>
      <c r="AI364" s="57">
        <f t="shared" si="8"/>
        <v>0</v>
      </c>
      <c r="AJ364" s="58">
        <f>SUM(W364:AI364)</f>
        <v>0</v>
      </c>
      <c r="AK364" s="53"/>
    </row>
    <row r="365" ht="15.75" customHeight="1">
      <c r="A365" s="49"/>
      <c r="B365" s="50"/>
      <c r="C365" s="20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2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8"/>
      <c r="AK365" s="53"/>
    </row>
    <row r="366" ht="15.75" customHeight="1">
      <c r="A366" s="59"/>
      <c r="B366" s="51"/>
      <c r="C366" s="20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2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8"/>
      <c r="AK366" s="53"/>
    </row>
    <row r="367" ht="15.75" customHeight="1">
      <c r="A367" s="59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2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8"/>
      <c r="AK367" s="53"/>
    </row>
    <row r="368" ht="15.75" customHeight="1">
      <c r="A368" s="59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2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8"/>
      <c r="AK368" s="53"/>
    </row>
    <row r="369" ht="15.75" customHeight="1">
      <c r="A369" s="59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60" t="s">
        <v>38</v>
      </c>
      <c r="W369" s="61">
        <v>0.26</v>
      </c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8"/>
      <c r="AK369" s="53"/>
    </row>
    <row r="370" ht="15.75" customHeight="1">
      <c r="A370" s="59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2"/>
      <c r="W370" s="57">
        <f t="shared" ref="W370:AI370" si="9">SUM(W364:W366)*$W$369</f>
        <v>0</v>
      </c>
      <c r="X370" s="57">
        <f t="shared" si="9"/>
        <v>0</v>
      </c>
      <c r="Y370" s="57">
        <f t="shared" si="9"/>
        <v>0</v>
      </c>
      <c r="Z370" s="57">
        <f t="shared" si="9"/>
        <v>0</v>
      </c>
      <c r="AA370" s="57">
        <f t="shared" si="9"/>
        <v>0</v>
      </c>
      <c r="AB370" s="57">
        <f t="shared" si="9"/>
        <v>0</v>
      </c>
      <c r="AC370" s="57">
        <f t="shared" si="9"/>
        <v>0</v>
      </c>
      <c r="AD370" s="57">
        <f t="shared" si="9"/>
        <v>0</v>
      </c>
      <c r="AE370" s="57">
        <f t="shared" si="9"/>
        <v>0</v>
      </c>
      <c r="AF370" s="57">
        <f t="shared" si="9"/>
        <v>0</v>
      </c>
      <c r="AG370" s="57">
        <f t="shared" si="9"/>
        <v>0</v>
      </c>
      <c r="AH370" s="57">
        <f t="shared" si="9"/>
        <v>0</v>
      </c>
      <c r="AI370" s="57">
        <f t="shared" si="9"/>
        <v>0</v>
      </c>
      <c r="AJ370" s="58">
        <f>SUM(W370:AI370)</f>
        <v>0</v>
      </c>
      <c r="AK370" s="62" t="str">
        <f>AJ370/AJ364</f>
        <v>#DIV/0!</v>
      </c>
    </row>
    <row r="371" ht="15.75" customHeight="1">
      <c r="A371" s="59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2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8"/>
      <c r="AK371" s="53"/>
    </row>
    <row r="372" ht="15.75" customHeight="1">
      <c r="A372" s="59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60" t="s">
        <v>39</v>
      </c>
      <c r="W372" s="61">
        <v>0.0</v>
      </c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8"/>
      <c r="AK372" s="53"/>
    </row>
    <row r="373" ht="15.75" customHeight="1">
      <c r="A373" s="59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2"/>
      <c r="W373" s="57">
        <f t="shared" ref="W373:AI373" si="10">$AO$372*SUM(W364:W366)</f>
        <v>0</v>
      </c>
      <c r="X373" s="57">
        <f t="shared" si="10"/>
        <v>0</v>
      </c>
      <c r="Y373" s="57">
        <f t="shared" si="10"/>
        <v>0</v>
      </c>
      <c r="Z373" s="57">
        <f t="shared" si="10"/>
        <v>0</v>
      </c>
      <c r="AA373" s="57">
        <f t="shared" si="10"/>
        <v>0</v>
      </c>
      <c r="AB373" s="57">
        <f t="shared" si="10"/>
        <v>0</v>
      </c>
      <c r="AC373" s="57">
        <f t="shared" si="10"/>
        <v>0</v>
      </c>
      <c r="AD373" s="57">
        <f t="shared" si="10"/>
        <v>0</v>
      </c>
      <c r="AE373" s="57">
        <f t="shared" si="10"/>
        <v>0</v>
      </c>
      <c r="AF373" s="57">
        <f t="shared" si="10"/>
        <v>0</v>
      </c>
      <c r="AG373" s="57">
        <f t="shared" si="10"/>
        <v>0</v>
      </c>
      <c r="AH373" s="57">
        <f t="shared" si="10"/>
        <v>0</v>
      </c>
      <c r="AI373" s="57">
        <f t="shared" si="10"/>
        <v>0</v>
      </c>
      <c r="AJ373" s="58">
        <f>SUM(W373:AI373)</f>
        <v>0</v>
      </c>
      <c r="AK373" s="53"/>
    </row>
    <row r="374" ht="15.75" customHeight="1">
      <c r="A374" s="59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2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8"/>
      <c r="AK374" s="53"/>
    </row>
    <row r="375" ht="15.75" customHeight="1">
      <c r="A375" s="59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2" t="s">
        <v>40</v>
      </c>
      <c r="W375" s="57">
        <f>SUM(W376:W378)</f>
        <v>42000</v>
      </c>
      <c r="X375" s="63" t="s">
        <v>41</v>
      </c>
      <c r="Y375" s="64">
        <f>SUM(W376:W378)/SUM(Z376:Z378)-1</f>
        <v>0.05</v>
      </c>
      <c r="Z375" s="65" t="s">
        <v>42</v>
      </c>
      <c r="AA375" s="53"/>
      <c r="AB375" s="53"/>
      <c r="AC375" s="53"/>
      <c r="AD375" s="53"/>
      <c r="AE375" s="53"/>
      <c r="AF375" s="53"/>
      <c r="AG375" s="53"/>
      <c r="AH375" s="53"/>
      <c r="AI375" s="53"/>
      <c r="AJ375" s="58"/>
      <c r="AK375" s="53"/>
    </row>
    <row r="376" ht="15.75" customHeight="1">
      <c r="A376" s="59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2" t="s">
        <v>43</v>
      </c>
      <c r="W376" s="57">
        <v>42000.0</v>
      </c>
      <c r="X376" s="53"/>
      <c r="Y376" s="53"/>
      <c r="Z376" s="57">
        <v>40000.0</v>
      </c>
      <c r="AA376" s="53"/>
      <c r="AB376" s="53"/>
      <c r="AC376" s="53"/>
      <c r="AD376" s="53"/>
      <c r="AE376" s="53"/>
      <c r="AF376" s="53"/>
      <c r="AG376" s="53"/>
      <c r="AH376" s="53"/>
      <c r="AI376" s="53"/>
      <c r="AJ376" s="58"/>
      <c r="AK376" s="53"/>
    </row>
    <row r="377" ht="15.75" customHeight="1">
      <c r="A377" s="59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2" t="s">
        <v>44</v>
      </c>
      <c r="W377" s="57">
        <v>0.0</v>
      </c>
      <c r="X377" s="53"/>
      <c r="Y377" s="53"/>
      <c r="Z377" s="57">
        <v>0.0</v>
      </c>
      <c r="AA377" s="53"/>
      <c r="AB377" s="53"/>
      <c r="AC377" s="53"/>
      <c r="AD377" s="53"/>
      <c r="AE377" s="53"/>
      <c r="AF377" s="53"/>
      <c r="AG377" s="53"/>
      <c r="AH377" s="53"/>
      <c r="AI377" s="53"/>
      <c r="AJ377" s="58"/>
      <c r="AK377" s="53"/>
    </row>
    <row r="378" ht="15.75" customHeight="1">
      <c r="A378" s="59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2" t="s">
        <v>45</v>
      </c>
      <c r="W378" s="57">
        <v>0.0</v>
      </c>
      <c r="X378" s="53"/>
      <c r="Y378" s="53"/>
      <c r="Z378" s="57">
        <v>0.0</v>
      </c>
      <c r="AA378" s="53"/>
      <c r="AB378" s="53"/>
      <c r="AC378" s="53"/>
      <c r="AD378" s="53"/>
      <c r="AE378" s="53"/>
      <c r="AF378" s="53"/>
      <c r="AG378" s="53"/>
      <c r="AH378" s="53"/>
      <c r="AI378" s="53"/>
      <c r="AJ378" s="58"/>
      <c r="AK378" s="53"/>
    </row>
    <row r="379" ht="15.75" customHeight="1">
      <c r="A379" s="59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2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8"/>
      <c r="AK379" s="53"/>
    </row>
    <row r="380" ht="15.75" customHeight="1">
      <c r="A380" s="59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66" t="s">
        <v>46</v>
      </c>
      <c r="W380" s="67">
        <v>0.025</v>
      </c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8"/>
      <c r="AK380" s="53"/>
    </row>
    <row r="381" ht="15.75" customHeight="1">
      <c r="A381" s="59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66"/>
      <c r="W381" s="57">
        <f t="shared" ref="W381:AI381" si="11">$W$380 * W364</f>
        <v>0</v>
      </c>
      <c r="X381" s="57">
        <f t="shared" si="11"/>
        <v>0</v>
      </c>
      <c r="Y381" s="57">
        <f t="shared" si="11"/>
        <v>0</v>
      </c>
      <c r="Z381" s="57">
        <f t="shared" si="11"/>
        <v>0</v>
      </c>
      <c r="AA381" s="57">
        <f t="shared" si="11"/>
        <v>0</v>
      </c>
      <c r="AB381" s="57">
        <f t="shared" si="11"/>
        <v>0</v>
      </c>
      <c r="AC381" s="57">
        <f t="shared" si="11"/>
        <v>0</v>
      </c>
      <c r="AD381" s="57">
        <f t="shared" si="11"/>
        <v>0</v>
      </c>
      <c r="AE381" s="57">
        <f t="shared" si="11"/>
        <v>0</v>
      </c>
      <c r="AF381" s="57">
        <f t="shared" si="11"/>
        <v>0</v>
      </c>
      <c r="AG381" s="57">
        <f t="shared" si="11"/>
        <v>0</v>
      </c>
      <c r="AH381" s="57">
        <f t="shared" si="11"/>
        <v>0</v>
      </c>
      <c r="AI381" s="57">
        <f t="shared" si="11"/>
        <v>0</v>
      </c>
      <c r="AJ381" s="58">
        <f>SUM(W381:AI381)</f>
        <v>0</v>
      </c>
      <c r="AK381" s="53"/>
    </row>
    <row r="382" ht="15.75" customHeight="1">
      <c r="A382" s="59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2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2"/>
      <c r="AK382" s="53"/>
    </row>
    <row r="383" ht="15.75" customHeight="1">
      <c r="A383" s="59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66" t="s">
        <v>47</v>
      </c>
      <c r="W383" s="67">
        <v>0.015</v>
      </c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8"/>
      <c r="AK383" s="53"/>
    </row>
    <row r="384" ht="15.75" customHeight="1">
      <c r="A384" s="59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2"/>
      <c r="W384" s="57">
        <f t="shared" ref="W384:AI384" si="12">$W$383 * W364</f>
        <v>0</v>
      </c>
      <c r="X384" s="57">
        <f t="shared" si="12"/>
        <v>0</v>
      </c>
      <c r="Y384" s="57">
        <f t="shared" si="12"/>
        <v>0</v>
      </c>
      <c r="Z384" s="57">
        <f t="shared" si="12"/>
        <v>0</v>
      </c>
      <c r="AA384" s="57">
        <f t="shared" si="12"/>
        <v>0</v>
      </c>
      <c r="AB384" s="57">
        <f t="shared" si="12"/>
        <v>0</v>
      </c>
      <c r="AC384" s="57">
        <f t="shared" si="12"/>
        <v>0</v>
      </c>
      <c r="AD384" s="57">
        <f t="shared" si="12"/>
        <v>0</v>
      </c>
      <c r="AE384" s="57">
        <f t="shared" si="12"/>
        <v>0</v>
      </c>
      <c r="AF384" s="57">
        <f t="shared" si="12"/>
        <v>0</v>
      </c>
      <c r="AG384" s="57">
        <f t="shared" si="12"/>
        <v>0</v>
      </c>
      <c r="AH384" s="57">
        <f t="shared" si="12"/>
        <v>0</v>
      </c>
      <c r="AI384" s="57">
        <f t="shared" si="12"/>
        <v>0</v>
      </c>
      <c r="AJ384" s="58">
        <f>SUM(W384:AI384)</f>
        <v>0</v>
      </c>
      <c r="AK384" s="53"/>
    </row>
    <row r="385" ht="15.75" customHeight="1">
      <c r="A385" s="59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2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2"/>
      <c r="AK385" s="53"/>
    </row>
    <row r="386" ht="15.75" customHeight="1">
      <c r="A386" s="59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2" t="s">
        <v>48</v>
      </c>
      <c r="W386" s="57">
        <v>0.0</v>
      </c>
      <c r="X386" s="57">
        <v>0.0</v>
      </c>
      <c r="Y386" s="57">
        <v>0.0</v>
      </c>
      <c r="Z386" s="57">
        <v>500.0</v>
      </c>
      <c r="AA386" s="57">
        <v>20.0</v>
      </c>
      <c r="AB386" s="57">
        <v>20.0</v>
      </c>
      <c r="AC386" s="57">
        <v>20.0</v>
      </c>
      <c r="AD386" s="57">
        <v>20.0</v>
      </c>
      <c r="AE386" s="57">
        <v>20.0</v>
      </c>
      <c r="AF386" s="57">
        <v>20.0</v>
      </c>
      <c r="AG386" s="57">
        <v>0.0</v>
      </c>
      <c r="AH386" s="57">
        <v>0.0</v>
      </c>
      <c r="AI386" s="57">
        <v>0.0</v>
      </c>
      <c r="AJ386" s="58">
        <f>SUM(W386:AI386)</f>
        <v>620</v>
      </c>
      <c r="AK386" s="53"/>
    </row>
    <row r="387" ht="15.75" customHeight="1">
      <c r="A387" s="59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8"/>
      <c r="AK387" s="53"/>
    </row>
    <row r="388" ht="15.75" customHeight="1">
      <c r="A388" s="59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68" t="s">
        <v>49</v>
      </c>
      <c r="W388" s="69"/>
      <c r="X388" s="69"/>
      <c r="Y388" s="70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8"/>
      <c r="AK388" s="53"/>
    </row>
    <row r="389" ht="15.75" customHeight="1">
      <c r="A389" s="59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71" t="s">
        <v>50</v>
      </c>
      <c r="W389" s="53"/>
      <c r="X389" s="53"/>
      <c r="Y389" s="72">
        <v>1000.0</v>
      </c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8"/>
      <c r="AK389" s="53"/>
    </row>
    <row r="390" ht="15.75" customHeight="1">
      <c r="A390" s="59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73" t="s">
        <v>51</v>
      </c>
      <c r="W390" s="53"/>
      <c r="X390" s="53"/>
      <c r="Y390" s="72">
        <v>5000.0</v>
      </c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8"/>
      <c r="AK390" s="53"/>
    </row>
    <row r="391" ht="15.75" customHeight="1">
      <c r="A391" s="59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74" t="s">
        <v>52</v>
      </c>
      <c r="W391" s="53"/>
      <c r="X391" s="53"/>
      <c r="Y391" s="75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8"/>
      <c r="AK391" s="53"/>
    </row>
    <row r="392" ht="15.75" customHeight="1">
      <c r="A392" s="59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71"/>
      <c r="W392" s="53"/>
      <c r="X392" s="53"/>
      <c r="Y392" s="76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8"/>
      <c r="AK392" s="53"/>
    </row>
    <row r="393" ht="15.75" customHeight="1">
      <c r="A393" s="59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68" t="s">
        <v>53</v>
      </c>
      <c r="W393" s="53"/>
      <c r="X393" s="53"/>
      <c r="Y393" s="76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8"/>
      <c r="AK393" s="53"/>
    </row>
    <row r="394" ht="15.75" customHeight="1">
      <c r="A394" s="59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71" t="s">
        <v>54</v>
      </c>
      <c r="W394" s="53"/>
      <c r="X394" s="53"/>
      <c r="Y394" s="72"/>
      <c r="Z394" s="53"/>
      <c r="AA394" s="53" t="s">
        <v>55</v>
      </c>
      <c r="AB394" s="67">
        <v>0.05</v>
      </c>
      <c r="AC394" s="53"/>
      <c r="AD394" s="53"/>
      <c r="AE394" s="53"/>
      <c r="AF394" s="53"/>
      <c r="AG394" s="53"/>
      <c r="AH394" s="53"/>
      <c r="AI394" s="53"/>
      <c r="AJ394" s="58"/>
      <c r="AK394" s="53"/>
    </row>
    <row r="395" ht="15.75" customHeight="1">
      <c r="A395" s="59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73" t="s">
        <v>56</v>
      </c>
      <c r="W395" s="53"/>
      <c r="X395" s="53"/>
      <c r="Y395" s="72"/>
      <c r="Z395" s="53"/>
      <c r="AA395" s="53" t="s">
        <v>57</v>
      </c>
      <c r="AB395" s="67">
        <v>0.072</v>
      </c>
      <c r="AC395" s="53"/>
      <c r="AD395" s="53"/>
      <c r="AE395" s="53"/>
      <c r="AF395" s="53"/>
      <c r="AG395" s="53"/>
      <c r="AH395" s="53"/>
      <c r="AI395" s="53"/>
      <c r="AJ395" s="52"/>
      <c r="AK395" s="53"/>
    </row>
    <row r="396" ht="15.75" customHeight="1">
      <c r="A396" s="59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74" t="s">
        <v>58</v>
      </c>
      <c r="W396" s="53"/>
      <c r="X396" s="53"/>
      <c r="Y396" s="75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2"/>
      <c r="AK396" s="53"/>
    </row>
    <row r="397" ht="15.75" customHeight="1">
      <c r="A397" s="59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71"/>
      <c r="W397" s="53"/>
      <c r="X397" s="53"/>
      <c r="Y397" s="76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2"/>
      <c r="AK397" s="53"/>
    </row>
    <row r="398" ht="15.75" customHeight="1">
      <c r="A398" s="59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68" t="s">
        <v>59</v>
      </c>
      <c r="W398" s="53"/>
      <c r="X398" s="53"/>
      <c r="Y398" s="76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2"/>
      <c r="AK398" s="53"/>
    </row>
    <row r="399" ht="15.75" customHeight="1">
      <c r="A399" s="59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71" t="s">
        <v>60</v>
      </c>
      <c r="W399" s="53"/>
      <c r="X399" s="53"/>
      <c r="Y399" s="72">
        <v>12000.0</v>
      </c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2"/>
      <c r="AK399" s="53"/>
    </row>
    <row r="400" ht="15.75" customHeight="1">
      <c r="A400" s="59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73" t="s">
        <v>61</v>
      </c>
      <c r="W400" s="53"/>
      <c r="X400" s="53"/>
      <c r="Y400" s="72">
        <v>0.0</v>
      </c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2"/>
      <c r="AK400" s="53"/>
    </row>
    <row r="401" ht="15.75" customHeight="1">
      <c r="A401" s="59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74" t="s">
        <v>62</v>
      </c>
      <c r="W401" s="53"/>
      <c r="X401" s="53"/>
      <c r="Y401" s="75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2"/>
      <c r="AK401" s="53"/>
    </row>
    <row r="402" ht="15.75" customHeight="1">
      <c r="A402" s="59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71"/>
      <c r="W402" s="53"/>
      <c r="X402" s="53"/>
      <c r="Y402" s="76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2"/>
      <c r="AK402" s="53"/>
    </row>
    <row r="403" ht="15.75" customHeight="1">
      <c r="A403" s="59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68" t="s">
        <v>63</v>
      </c>
      <c r="W403" s="53"/>
      <c r="X403" s="53"/>
      <c r="Y403" s="77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2"/>
      <c r="AK403" s="53"/>
    </row>
    <row r="404" ht="15.75" customHeight="1">
      <c r="A404" s="59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71" t="s">
        <v>64</v>
      </c>
      <c r="W404" s="53"/>
      <c r="X404" s="53"/>
      <c r="Y404" s="72">
        <f>60*7</f>
        <v>420</v>
      </c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2"/>
      <c r="AK404" s="53"/>
    </row>
    <row r="405" ht="15.75" customHeight="1">
      <c r="A405" s="59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71" t="s">
        <v>65</v>
      </c>
      <c r="W405" s="53"/>
      <c r="X405" s="53"/>
      <c r="Y405" s="72">
        <v>0.0</v>
      </c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2"/>
      <c r="AK405" s="53"/>
    </row>
    <row r="406" ht="15.75" customHeight="1">
      <c r="A406" s="59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73" t="s">
        <v>66</v>
      </c>
      <c r="W406" s="53"/>
      <c r="X406" s="53"/>
      <c r="Y406" s="72">
        <v>0.0</v>
      </c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2"/>
      <c r="AK406" s="53"/>
    </row>
    <row r="407" ht="15.75" customHeight="1">
      <c r="A407" s="59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74" t="s">
        <v>67</v>
      </c>
      <c r="W407" s="53"/>
      <c r="X407" s="53"/>
      <c r="Y407" s="75">
        <v>0.0</v>
      </c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2"/>
      <c r="AK407" s="53"/>
    </row>
    <row r="408" ht="15.75" customHeight="1">
      <c r="A408" s="59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71"/>
      <c r="W408" s="53"/>
      <c r="X408" s="53"/>
      <c r="Y408" s="76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2"/>
      <c r="AK408" s="53"/>
    </row>
    <row r="409" ht="15.75" customHeight="1">
      <c r="A409" s="59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68" t="s">
        <v>68</v>
      </c>
      <c r="W409" s="53"/>
      <c r="X409" s="53"/>
      <c r="Y409" s="72">
        <v>0.0</v>
      </c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2"/>
      <c r="AK409" s="53"/>
    </row>
    <row r="410" ht="15.75" customHeight="1">
      <c r="A410" s="59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71" t="s">
        <v>69</v>
      </c>
      <c r="W410" s="53"/>
      <c r="X410" s="53"/>
      <c r="Y410" s="72">
        <v>2600.0</v>
      </c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2"/>
      <c r="AK410" s="53"/>
    </row>
    <row r="411" ht="15.75" customHeight="1">
      <c r="A411" s="59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73" t="s">
        <v>70</v>
      </c>
      <c r="W411" s="53"/>
      <c r="X411" s="53"/>
      <c r="Y411" s="72">
        <v>7500.0</v>
      </c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2"/>
      <c r="AK411" s="53"/>
    </row>
    <row r="412" ht="15.75" customHeight="1">
      <c r="A412" s="59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74" t="s">
        <v>71</v>
      </c>
      <c r="W412" s="53"/>
      <c r="X412" s="53"/>
      <c r="Y412" s="72">
        <v>0.0</v>
      </c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2"/>
      <c r="AK412" s="53"/>
    </row>
    <row r="413" ht="15.75" customHeight="1">
      <c r="A413" s="59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71"/>
      <c r="W413" s="53"/>
      <c r="X413" s="53"/>
      <c r="Y413" s="75">
        <v>0.0</v>
      </c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2"/>
      <c r="AK413" s="53"/>
    </row>
    <row r="414" ht="15.75" customHeight="1">
      <c r="A414" s="59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68" t="s">
        <v>72</v>
      </c>
      <c r="W414" s="53"/>
      <c r="X414" s="53"/>
      <c r="Y414" s="76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2"/>
      <c r="AK414" s="53"/>
    </row>
    <row r="415" ht="15.75" customHeight="1">
      <c r="A415" s="59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71" t="s">
        <v>73</v>
      </c>
      <c r="W415" s="53"/>
      <c r="X415" s="53"/>
      <c r="Y415" s="72">
        <v>0.0</v>
      </c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2"/>
      <c r="AK415" s="53"/>
    </row>
    <row r="416" ht="15.75" customHeight="1">
      <c r="A416" s="59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73" t="s">
        <v>74</v>
      </c>
      <c r="W416" s="53"/>
      <c r="X416" s="53"/>
      <c r="Y416" s="72">
        <v>500.0</v>
      </c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2"/>
      <c r="AK416" s="53"/>
    </row>
    <row r="417" ht="15.75" customHeight="1">
      <c r="A417" s="59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74" t="s">
        <v>75</v>
      </c>
      <c r="W417" s="53"/>
      <c r="X417" s="53"/>
      <c r="Y417" s="75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2"/>
      <c r="AK417" s="53"/>
    </row>
    <row r="418" ht="15.75" customHeight="1">
      <c r="A418" s="59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71"/>
      <c r="W418" s="53"/>
      <c r="X418" s="53"/>
      <c r="Y418" s="77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2"/>
      <c r="AK418" s="53"/>
    </row>
    <row r="419" ht="15.75" customHeight="1">
      <c r="A419" s="59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68" t="s">
        <v>76</v>
      </c>
      <c r="W419" s="53"/>
      <c r="X419" s="53"/>
      <c r="Y419" s="72">
        <v>0.0</v>
      </c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2"/>
      <c r="AK419" s="53"/>
    </row>
    <row r="420" ht="15.75" customHeight="1">
      <c r="A420" s="59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71" t="s">
        <v>77</v>
      </c>
      <c r="W420" s="53"/>
      <c r="X420" s="53"/>
      <c r="Y420" s="72">
        <v>350.0</v>
      </c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2"/>
      <c r="AK420" s="53"/>
    </row>
    <row r="421" ht="15.75" customHeight="1">
      <c r="A421" s="59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71" t="s">
        <v>78</v>
      </c>
      <c r="W421" s="53"/>
      <c r="X421" s="53"/>
      <c r="Y421" s="72">
        <v>350.0</v>
      </c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2"/>
      <c r="AK421" s="53"/>
    </row>
    <row r="422" ht="15.75" customHeight="1">
      <c r="A422" s="59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73" t="s">
        <v>79</v>
      </c>
      <c r="W422" s="53"/>
      <c r="X422" s="53"/>
      <c r="Y422" s="72">
        <v>0.0</v>
      </c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2"/>
      <c r="AK422" s="53"/>
    </row>
    <row r="423" ht="15.75" customHeight="1">
      <c r="A423" s="59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74" t="s">
        <v>80</v>
      </c>
      <c r="W423" s="53"/>
      <c r="X423" s="53"/>
      <c r="Y423" s="72">
        <v>0.0</v>
      </c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2"/>
      <c r="AK423" s="53"/>
    </row>
    <row r="424" ht="15.75" customHeight="1">
      <c r="A424" s="59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71"/>
      <c r="W424" s="53"/>
      <c r="X424" s="53"/>
      <c r="Y424" s="72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2"/>
      <c r="AK424" s="53"/>
    </row>
    <row r="425" ht="15.75" customHeight="1">
      <c r="A425" s="59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78" t="s">
        <v>81</v>
      </c>
      <c r="W425" s="53"/>
      <c r="X425" s="53"/>
      <c r="Y425" s="75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2"/>
      <c r="AK425" s="53"/>
    </row>
    <row r="426" ht="15.75" customHeight="1">
      <c r="A426" s="59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79"/>
      <c r="W426" s="53"/>
      <c r="X426" s="53"/>
      <c r="Y426" s="76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2"/>
      <c r="AK426" s="53"/>
    </row>
    <row r="427" ht="15.75" customHeight="1">
      <c r="A427" s="59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80"/>
      <c r="W427" s="53"/>
      <c r="X427" s="53"/>
      <c r="Y427" s="75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2"/>
      <c r="AK427" s="53"/>
    </row>
    <row r="428" ht="15.75" customHeight="1">
      <c r="A428" s="59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81"/>
      <c r="W428" s="53"/>
      <c r="X428" s="53"/>
      <c r="Y428" s="77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2"/>
      <c r="AK428" s="53"/>
    </row>
    <row r="429" ht="15.75" customHeight="1">
      <c r="A429" s="59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82"/>
      <c r="W429" s="83"/>
      <c r="X429" s="83"/>
      <c r="Y429" s="84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2"/>
      <c r="AK429" s="53"/>
    </row>
    <row r="430" ht="15.75" customHeight="1">
      <c r="A430" s="59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59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59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59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59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59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59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59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59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59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59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59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59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59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59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59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59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59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59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59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59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59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59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59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59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59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59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59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59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59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59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59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59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59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59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59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59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59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59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59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59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59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59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59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59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59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59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59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59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59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59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59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59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59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59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59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59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59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59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59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59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59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59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59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59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59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59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59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59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59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59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59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59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59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59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59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59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59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59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59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59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59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59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59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59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59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59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59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59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59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59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59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59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59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59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59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59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59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59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59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59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59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59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59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59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59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59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59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59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59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59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59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59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59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59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59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59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59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59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59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59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59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59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59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59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59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59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59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59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59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59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59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59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59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59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59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59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59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59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59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59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59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59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59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59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59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59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59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59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59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59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59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59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59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59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59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59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59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59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59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59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59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59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59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59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59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59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59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59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59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59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59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59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59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59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59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59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59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59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59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59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59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59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59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59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59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59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59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59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59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59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59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59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59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59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59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</sheetData>
  <mergeCells count="1788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</mergeCells>
  <printOptions/>
  <pageMargins bottom="0.75" footer="0.0" header="0.0" left="0.7" right="0.7" top="0.75"/>
  <pageSetup fitToHeight="0" orientation="portrait"/>
  <drawing r:id="rId1"/>
</worksheet>
</file>