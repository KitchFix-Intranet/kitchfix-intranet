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uisville - 2026 - Projections" sheetId="1" r:id="rId5"/>
    <sheet state="visible" name="Louisville - 2026 - Actuals" sheetId="2" r:id="rId6"/>
  </sheets>
  <definedNames/>
  <calcPr/>
</workbook>
</file>

<file path=xl/sharedStrings.xml><?xml version="1.0" encoding="utf-8"?>
<sst xmlns="http://schemas.openxmlformats.org/spreadsheetml/2006/main" count="1932" uniqueCount="82">
  <si>
    <t>Bats @ Louisville, KY</t>
  </si>
  <si>
    <t>Louisville Bats</t>
  </si>
  <si>
    <t>TOTALS</t>
  </si>
  <si>
    <t>Day</t>
  </si>
  <si>
    <t>Date</t>
  </si>
  <si>
    <t>Period</t>
  </si>
  <si>
    <t>Week</t>
  </si>
  <si>
    <t>Homestand</t>
  </si>
  <si>
    <t>Game Type</t>
  </si>
  <si>
    <t>Breakfast</t>
  </si>
  <si>
    <t>Lunch</t>
  </si>
  <si>
    <t>Post-Game</t>
  </si>
  <si>
    <t>Umpire</t>
  </si>
  <si>
    <t>Snack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</si>
  <si>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</si>
  <si>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</si>
  <si>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</si>
  <si>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</si>
  <si>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</si>
  <si>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</si>
  <si>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</si>
  <si>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</si>
  <si>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Wed</t>
  </si>
  <si>
    <t>Thurs</t>
  </si>
  <si>
    <t>Fri</t>
  </si>
  <si>
    <t>Sat</t>
  </si>
  <si>
    <t>Sun</t>
  </si>
  <si>
    <t>Week 2</t>
  </si>
  <si>
    <t>Week 3</t>
  </si>
  <si>
    <t>Week 4</t>
  </si>
  <si>
    <t>Night</t>
  </si>
  <si>
    <t>DAY</t>
  </si>
  <si>
    <t>OFF</t>
  </si>
  <si>
    <t>NIGHT</t>
  </si>
  <si>
    <t>P</t>
  </si>
  <si>
    <t>SUM</t>
  </si>
  <si>
    <t>Count</t>
  </si>
  <si>
    <t>Rev</t>
  </si>
  <si>
    <t>Food Cost, %</t>
  </si>
  <si>
    <t>Hourly Labor Cost</t>
  </si>
  <si>
    <t>Salary</t>
  </si>
  <si>
    <t>Includes desired raises</t>
  </si>
  <si>
    <t>Prev.</t>
  </si>
  <si>
    <t>EC</t>
  </si>
  <si>
    <t>SC</t>
  </si>
  <si>
    <t>HM</t>
  </si>
  <si>
    <t>Packaging</t>
  </si>
  <si>
    <t>Supplies</t>
  </si>
  <si>
    <t xml:space="preserve">Linen </t>
  </si>
  <si>
    <t>5002 Repair &amp; Maintenance</t>
  </si>
  <si>
    <t xml:space="preserve">    5002.1 General Repair &amp; Maintenance</t>
  </si>
  <si>
    <t xml:space="preserve">    5002.5 Equipment</t>
  </si>
  <si>
    <t xml:space="preserve">  Total 5002 Repair &amp; Maintenance</t>
  </si>
  <si>
    <t>5004 Wages</t>
  </si>
  <si>
    <t xml:space="preserve">    5004.8 Incentives</t>
  </si>
  <si>
    <t>Incentive Rate</t>
  </si>
  <si>
    <t xml:space="preserve">    5004.9 Employer Payroll Taxes</t>
  </si>
  <si>
    <t>Tax Rate:</t>
  </si>
  <si>
    <t xml:space="preserve">  Total 5004 Wages</t>
  </si>
  <si>
    <t>5006 Travel</t>
  </si>
  <si>
    <t xml:space="preserve">    5006.1 Operations Travel</t>
  </si>
  <si>
    <t xml:space="preserve">    5006.3 Account Management Travel</t>
  </si>
  <si>
    <t xml:space="preserve">  Total 5006 Travel</t>
  </si>
  <si>
    <t>5012 Utilities</t>
  </si>
  <si>
    <t xml:space="preserve">    5012.1 Telephone Expense</t>
  </si>
  <si>
    <t xml:space="preserve">    5012.2 Scavenger</t>
  </si>
  <si>
    <t xml:space="preserve">    5012.3 General Utilities</t>
  </si>
  <si>
    <t xml:space="preserve">  Total 5012 Utilities</t>
  </si>
  <si>
    <t>5013 Lease Expenses</t>
  </si>
  <si>
    <t xml:space="preserve">    5013.1 Equipment Lease</t>
  </si>
  <si>
    <t xml:space="preserve">    5013.2 Building Lease</t>
  </si>
  <si>
    <t xml:space="preserve">  Total 5013 Lease Expenses</t>
  </si>
  <si>
    <t>5016 Professional Fees</t>
  </si>
  <si>
    <t xml:space="preserve">    5016.6 Merchant Service Fees</t>
  </si>
  <si>
    <t xml:space="preserve">    5016.7 Licenses &amp; Fees</t>
  </si>
  <si>
    <t xml:space="preserve">  Total 5016 Professional Fees</t>
  </si>
  <si>
    <t>5017 Team Development</t>
  </si>
  <si>
    <t xml:space="preserve">    5017.3 Perks</t>
  </si>
  <si>
    <t xml:space="preserve">    5017.5 Meals &amp; Entertainment</t>
  </si>
  <si>
    <t xml:space="preserve">    5017.7 Paid Time Off</t>
  </si>
  <si>
    <t xml:space="preserve">  Total 5017 Team Development</t>
  </si>
  <si>
    <t>Total SG&amp;A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</si>
</sst>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&quot;$&quot;#,##0_);[Red]\(&quot;$&quot;#,##0\)"/>
    <numFmt numFmtId="166" formatCode="_(&quot;$&quot;* #,##0.00_);_(&quot;$&quot;* \(#,##0.00\);_(&quot;$&quot;* &quot;-&quot;??_);_(@_)"/>
    <numFmt numFmtId="167" formatCode="0.0%"/>
  </numFmts>
  <fonts count="12">
    <font>
      <sz val="12.0"/>
      <color theme="1"/>
      <name val="Calibri"/>
      <scheme val="minor"/>
    </font>
    <font>
      <b/>
      <sz val="16.0"/>
      <color theme="0"/>
      <name val="Arial"/>
    </font>
    <font/>
    <font>
      <sz val="12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b/>
      <sz val="10.0"/>
      <color rgb="FF000000"/>
      <name val="Calibri"/>
    </font>
    <font>
      <sz val="10.0"/>
      <color rgb="FF000000"/>
      <name val="Calibri"/>
    </font>
    <font>
      <b/>
      <sz val="9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0" fillId="0" fontId="3" numFmtId="0" xfId="0" applyFont="1"/>
    <xf borderId="6" fillId="0" fontId="4" numFmtId="0" xfId="0" applyAlignment="1" applyBorder="1" applyFont="1">
      <alignment horizontal="right"/>
    </xf>
    <xf borderId="6" fillId="0" fontId="4" numFmtId="0" xfId="0" applyBorder="1" applyFont="1"/>
    <xf borderId="6" fillId="0" fontId="4" numFmtId="164" xfId="0" applyAlignment="1" applyBorder="1" applyFont="1" applyNumberFormat="1">
      <alignment textRotation="90"/>
    </xf>
    <xf borderId="6" fillId="0" fontId="5" numFmtId="164" xfId="0" applyAlignment="1" applyBorder="1" applyFont="1" applyNumberFormat="1">
      <alignment textRotation="90"/>
    </xf>
    <xf borderId="6" fillId="3" fontId="1" numFmtId="0" xfId="0" applyAlignment="1" applyBorder="1" applyFill="1" applyFont="1">
      <alignment shrinkToFit="0" textRotation="90" wrapText="1"/>
    </xf>
    <xf borderId="7" fillId="0" fontId="6" numFmtId="0" xfId="0" applyAlignment="1" applyBorder="1" applyFont="1">
      <alignment horizontal="right"/>
    </xf>
    <xf borderId="7" fillId="0" fontId="6" numFmtId="14" xfId="0" applyAlignment="1" applyBorder="1" applyFont="1" applyNumberFormat="1">
      <alignment readingOrder="0"/>
    </xf>
    <xf borderId="7" fillId="0" fontId="6" numFmtId="0" xfId="0" applyAlignment="1" applyBorder="1" applyFont="1">
      <alignment readingOrder="0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0" fillId="0" fontId="6" numFmtId="0" xfId="0" applyFont="1"/>
    <xf borderId="10" fillId="0" fontId="6" numFmtId="165" xfId="0" applyBorder="1" applyFont="1" applyNumberFormat="1"/>
    <xf borderId="11" fillId="0" fontId="6" numFmtId="0" xfId="0" applyBorder="1" applyFont="1"/>
    <xf borderId="12" fillId="0" fontId="6" numFmtId="0" xfId="0" applyAlignment="1" applyBorder="1" applyFont="1">
      <alignment horizontal="right"/>
    </xf>
    <xf borderId="12" fillId="0" fontId="6" numFmtId="14" xfId="0" applyBorder="1" applyFont="1" applyNumberFormat="1"/>
    <xf borderId="12" fillId="0" fontId="6" numFmtId="0" xfId="0" applyAlignment="1" applyBorder="1" applyFont="1">
      <alignment readingOrder="0"/>
    </xf>
    <xf borderId="12" fillId="0" fontId="6" numFmtId="0" xfId="0" applyBorder="1" applyFont="1"/>
    <xf borderId="9" fillId="0" fontId="6" numFmtId="165" xfId="0" applyBorder="1" applyFont="1" applyNumberFormat="1"/>
    <xf borderId="11" fillId="0" fontId="6" numFmtId="165" xfId="0" applyBorder="1" applyFont="1" applyNumberFormat="1"/>
    <xf borderId="13" fillId="0" fontId="6" numFmtId="0" xfId="0" applyAlignment="1" applyBorder="1" applyFont="1">
      <alignment horizontal="right"/>
    </xf>
    <xf borderId="13" fillId="0" fontId="6" numFmtId="14" xfId="0" applyBorder="1" applyFont="1" applyNumberFormat="1"/>
    <xf borderId="13" fillId="0" fontId="6" numFmtId="0" xfId="0" applyAlignment="1" applyBorder="1" applyFont="1">
      <alignment readingOrder="0"/>
    </xf>
    <xf borderId="13" fillId="0" fontId="6" numFmtId="0" xfId="0" applyBorder="1" applyFont="1"/>
    <xf borderId="14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4" fillId="0" fontId="6" numFmtId="165" xfId="0" applyBorder="1" applyFont="1" applyNumberFormat="1"/>
    <xf borderId="14" fillId="0" fontId="6" numFmtId="165" xfId="0" applyBorder="1" applyFont="1" applyNumberFormat="1"/>
    <xf borderId="7" fillId="0" fontId="6" numFmtId="14" xfId="0" applyBorder="1" applyFont="1" applyNumberFormat="1"/>
    <xf borderId="8" fillId="0" fontId="6" numFmtId="165" xfId="0" applyBorder="1" applyFont="1" applyNumberFormat="1"/>
    <xf borderId="9" fillId="4" fontId="6" numFmtId="0" xfId="0" applyBorder="1" applyFill="1" applyFont="1"/>
    <xf borderId="0" fillId="4" fontId="6" numFmtId="0" xfId="0" applyFill="1" applyFont="1"/>
    <xf borderId="4" fillId="4" fontId="6" numFmtId="0" xfId="0" applyBorder="1" applyFill="1" applyFont="1"/>
    <xf borderId="5" fillId="4" fontId="6" numFmtId="0" xfId="0" applyBorder="1" applyFill="1" applyFont="1"/>
    <xf borderId="7" fillId="5" fontId="6" numFmtId="0" xfId="0" applyAlignment="1" applyBorder="1" applyFill="1" applyFont="1">
      <alignment horizontal="right"/>
    </xf>
    <xf borderId="7" fillId="5" fontId="6" numFmtId="14" xfId="0" applyBorder="1" applyFill="1" applyFont="1" applyNumberFormat="1"/>
    <xf borderId="7" fillId="5" fontId="6" numFmtId="0" xfId="0" applyAlignment="1" applyBorder="1" applyFill="1" applyFont="1">
      <alignment readingOrder="0"/>
    </xf>
    <xf borderId="7" fillId="5" fontId="6" numFmtId="0" xfId="0" applyBorder="1" applyFill="1" applyFont="1"/>
    <xf borderId="8" fillId="5" fontId="6" numFmtId="0" xfId="0" applyBorder="1" applyFill="1" applyFont="1"/>
    <xf borderId="9" fillId="5" fontId="6" numFmtId="0" xfId="0" applyAlignment="1" applyBorder="1" applyFill="1" applyFont="1">
      <alignment readingOrder="0"/>
    </xf>
    <xf borderId="0" fillId="5" fontId="6" numFmtId="0" xfId="0" applyAlignment="1" applyFill="1" applyFont="1">
      <alignment readingOrder="0"/>
    </xf>
    <xf borderId="10" fillId="5" fontId="6" numFmtId="165" xfId="0" applyBorder="1" applyFill="1" applyFont="1" applyNumberFormat="1"/>
    <xf borderId="8" fillId="5" fontId="6" numFmtId="165" xfId="0" applyBorder="1" applyFill="1" applyFont="1" applyNumberFormat="1"/>
    <xf borderId="12" fillId="5" fontId="6" numFmtId="0" xfId="0" applyAlignment="1" applyBorder="1" applyFill="1" applyFont="1">
      <alignment horizontal="right"/>
    </xf>
    <xf borderId="12" fillId="5" fontId="6" numFmtId="14" xfId="0" applyBorder="1" applyFill="1" applyFont="1" applyNumberFormat="1"/>
    <xf borderId="12" fillId="5" fontId="6" numFmtId="0" xfId="0" applyAlignment="1" applyBorder="1" applyFill="1" applyFont="1">
      <alignment readingOrder="0"/>
    </xf>
    <xf borderId="12" fillId="5" fontId="6" numFmtId="0" xfId="0" applyBorder="1" applyFill="1" applyFont="1"/>
    <xf borderId="11" fillId="5" fontId="6" numFmtId="0" xfId="0" applyBorder="1" applyFill="1" applyFont="1"/>
    <xf borderId="9" fillId="5" fontId="6" numFmtId="165" xfId="0" applyBorder="1" applyFill="1" applyFont="1" applyNumberFormat="1"/>
    <xf borderId="11" fillId="5" fontId="6" numFmtId="165" xfId="0" applyBorder="1" applyFill="1" applyFont="1" applyNumberFormat="1"/>
    <xf borderId="13" fillId="5" fontId="6" numFmtId="0" xfId="0" applyAlignment="1" applyBorder="1" applyFill="1" applyFont="1">
      <alignment horizontal="right"/>
    </xf>
    <xf borderId="13" fillId="5" fontId="6" numFmtId="14" xfId="0" applyBorder="1" applyFill="1" applyFont="1" applyNumberFormat="1"/>
    <xf borderId="13" fillId="5" fontId="6" numFmtId="0" xfId="0" applyAlignment="1" applyBorder="1" applyFill="1" applyFont="1">
      <alignment readingOrder="0"/>
    </xf>
    <xf borderId="13" fillId="5" fontId="6" numFmtId="0" xfId="0" applyBorder="1" applyFill="1" applyFont="1"/>
    <xf borderId="14" fillId="5" fontId="6" numFmtId="0" xfId="0" applyBorder="1" applyFill="1" applyFont="1"/>
    <xf borderId="4" fillId="5" fontId="6" numFmtId="0" xfId="0" applyAlignment="1" applyBorder="1" applyFill="1" applyFont="1">
      <alignment readingOrder="0"/>
    </xf>
    <xf borderId="5" fillId="5" fontId="6" numFmtId="0" xfId="0" applyAlignment="1" applyBorder="1" applyFill="1" applyFont="1">
      <alignment readingOrder="0"/>
    </xf>
    <xf borderId="4" fillId="5" fontId="6" numFmtId="165" xfId="0" applyBorder="1" applyFill="1" applyFont="1" applyNumberFormat="1"/>
    <xf borderId="14" fillId="5" fontId="6" numFmtId="165" xfId="0" applyBorder="1" applyFill="1" applyFont="1" applyNumberFormat="1"/>
    <xf borderId="11" fillId="5" fontId="6" numFmtId="0" xfId="0" applyAlignment="1" applyBorder="1" applyFill="1" applyFont="1">
      <alignment readingOrder="0"/>
    </xf>
    <xf borderId="14" fillId="5" fontId="6" numFmtId="0" xfId="0" applyAlignment="1" applyBorder="1" applyFill="1" applyFont="1">
      <alignment readingOrder="0"/>
    </xf>
    <xf borderId="9" fillId="4" fontId="6" numFmtId="0" xfId="0" applyAlignment="1" applyBorder="1" applyFill="1" applyFont="1">
      <alignment readingOrder="0"/>
    </xf>
    <xf borderId="0" fillId="4" fontId="6" numFmtId="0" xfId="0" applyAlignment="1" applyFill="1" applyFont="1">
      <alignment readingOrder="0"/>
    </xf>
    <xf borderId="5" fillId="4" fontId="6" numFmtId="0" xfId="0" applyAlignment="1" applyBorder="1" applyFill="1" applyFont="1">
      <alignment readingOrder="0"/>
    </xf>
    <xf borderId="11" fillId="0" fontId="6" numFmtId="0" xfId="0" applyAlignment="1" applyBorder="1" applyFont="1">
      <alignment readingOrder="0"/>
    </xf>
    <xf borderId="14" fillId="0" fontId="6" numFmtId="0" xfId="0" applyAlignment="1" applyBorder="1" applyFont="1">
      <alignment readingOrder="0"/>
    </xf>
    <xf borderId="5" fillId="6" fontId="6" numFmtId="0" xfId="0" applyBorder="1" applyFill="1" applyFont="1"/>
    <xf borderId="7" fillId="7" fontId="6" numFmtId="0" xfId="0" applyAlignment="1" applyBorder="1" applyFill="1" applyFont="1">
      <alignment horizontal="right"/>
    </xf>
    <xf borderId="7" fillId="7" fontId="6" numFmtId="14" xfId="0" applyBorder="1" applyFill="1" applyFont="1" applyNumberFormat="1"/>
    <xf borderId="7" fillId="7" fontId="6" numFmtId="0" xfId="0" applyAlignment="1" applyBorder="1" applyFill="1" applyFont="1">
      <alignment readingOrder="0"/>
    </xf>
    <xf borderId="7" fillId="7" fontId="6" numFmtId="0" xfId="0" applyBorder="1" applyFill="1" applyFont="1"/>
    <xf borderId="8" fillId="7" fontId="6" numFmtId="0" xfId="0" applyBorder="1" applyFill="1" applyFont="1"/>
    <xf borderId="9" fillId="7" fontId="6" numFmtId="0" xfId="0" applyAlignment="1" applyBorder="1" applyFill="1" applyFont="1">
      <alignment readingOrder="0"/>
    </xf>
    <xf borderId="0" fillId="7" fontId="6" numFmtId="0" xfId="0" applyAlignment="1" applyFill="1" applyFont="1">
      <alignment readingOrder="0"/>
    </xf>
    <xf borderId="10" fillId="7" fontId="6" numFmtId="165" xfId="0" applyBorder="1" applyFill="1" applyFont="1" applyNumberFormat="1"/>
    <xf borderId="8" fillId="7" fontId="6" numFmtId="165" xfId="0" applyBorder="1" applyFill="1" applyFont="1" applyNumberFormat="1"/>
    <xf borderId="12" fillId="7" fontId="6" numFmtId="0" xfId="0" applyAlignment="1" applyBorder="1" applyFill="1" applyFont="1">
      <alignment horizontal="right"/>
    </xf>
    <xf borderId="12" fillId="7" fontId="6" numFmtId="14" xfId="0" applyBorder="1" applyFill="1" applyFont="1" applyNumberFormat="1"/>
    <xf borderId="12" fillId="7" fontId="6" numFmtId="0" xfId="0" applyAlignment="1" applyBorder="1" applyFill="1" applyFont="1">
      <alignment readingOrder="0"/>
    </xf>
    <xf borderId="12" fillId="7" fontId="6" numFmtId="0" xfId="0" applyBorder="1" applyFill="1" applyFont="1"/>
    <xf borderId="11" fillId="7" fontId="6" numFmtId="0" xfId="0" applyBorder="1" applyFill="1" applyFont="1"/>
    <xf borderId="9" fillId="7" fontId="6" numFmtId="165" xfId="0" applyBorder="1" applyFill="1" applyFont="1" applyNumberFormat="1"/>
    <xf borderId="11" fillId="7" fontId="6" numFmtId="165" xfId="0" applyBorder="1" applyFill="1" applyFont="1" applyNumberFormat="1"/>
    <xf borderId="13" fillId="7" fontId="6" numFmtId="0" xfId="0" applyAlignment="1" applyBorder="1" applyFill="1" applyFont="1">
      <alignment horizontal="right"/>
    </xf>
    <xf borderId="13" fillId="7" fontId="6" numFmtId="14" xfId="0" applyBorder="1" applyFill="1" applyFont="1" applyNumberFormat="1"/>
    <xf borderId="13" fillId="7" fontId="6" numFmtId="0" xfId="0" applyAlignment="1" applyBorder="1" applyFill="1" applyFont="1">
      <alignment readingOrder="0"/>
    </xf>
    <xf borderId="13" fillId="7" fontId="6" numFmtId="0" xfId="0" applyBorder="1" applyFill="1" applyFont="1"/>
    <xf borderId="14" fillId="7" fontId="6" numFmtId="0" xfId="0" applyBorder="1" applyFill="1" applyFont="1"/>
    <xf borderId="4" fillId="7" fontId="6" numFmtId="0" xfId="0" applyAlignment="1" applyBorder="1" applyFill="1" applyFont="1">
      <alignment readingOrder="0"/>
    </xf>
    <xf borderId="5" fillId="7" fontId="6" numFmtId="0" xfId="0" applyAlignment="1" applyBorder="1" applyFill="1" applyFont="1">
      <alignment readingOrder="0"/>
    </xf>
    <xf borderId="4" fillId="7" fontId="6" numFmtId="165" xfId="0" applyBorder="1" applyFill="1" applyFont="1" applyNumberFormat="1"/>
    <xf borderId="14" fillId="7" fontId="6" numFmtId="165" xfId="0" applyBorder="1" applyFill="1" applyFont="1" applyNumberFormat="1"/>
    <xf borderId="11" fillId="7" fontId="6" numFmtId="0" xfId="0" applyAlignment="1" applyBorder="1" applyFill="1" applyFont="1">
      <alignment readingOrder="0"/>
    </xf>
    <xf borderId="14" fillId="7" fontId="6" numFmtId="0" xfId="0" applyAlignment="1" applyBorder="1" applyFill="1" applyFont="1">
      <alignment readingOrder="0"/>
    </xf>
    <xf borderId="4" fillId="4" fontId="6" numFmtId="0" xfId="0" applyAlignment="1" applyBorder="1" applyFill="1" applyFont="1">
      <alignment readingOrder="0"/>
    </xf>
    <xf borderId="15" fillId="4" fontId="6" numFmtId="0" xfId="0" applyBorder="1" applyFill="1" applyFont="1"/>
    <xf borderId="16" fillId="0" fontId="2" numFmtId="0" xfId="0" applyBorder="1" applyFont="1"/>
    <xf borderId="17" fillId="4" fontId="6" numFmtId="0" xfId="0" applyBorder="1" applyFill="1" applyFont="1"/>
    <xf borderId="18" fillId="4" fontId="6" numFmtId="165" xfId="0" applyBorder="1" applyFill="1" applyFont="1" applyNumberFormat="1"/>
    <xf borderId="19" fillId="4" fontId="6" numFmtId="0" xfId="0" applyBorder="1" applyFill="1" applyFont="1"/>
    <xf borderId="20" fillId="4" fontId="6" numFmtId="0" xfId="0" applyBorder="1" applyFill="1" applyFont="1"/>
    <xf borderId="21" fillId="0" fontId="2" numFmtId="0" xfId="0" applyBorder="1" applyFont="1"/>
    <xf borderId="22" fillId="4" fontId="6" numFmtId="0" xfId="0" applyBorder="1" applyFill="1" applyFont="1"/>
    <xf borderId="23" fillId="4" fontId="6" numFmtId="165" xfId="0" applyBorder="1" applyFill="1" applyFont="1" applyNumberFormat="1"/>
    <xf borderId="24" fillId="4" fontId="6" numFmtId="0" xfId="0" applyBorder="1" applyFill="1" applyFont="1"/>
    <xf borderId="25" fillId="4" fontId="6" numFmtId="165" xfId="0" applyBorder="1" applyFill="1" applyFont="1" applyNumberFormat="1"/>
    <xf borderId="26" fillId="4" fontId="6" numFmtId="0" xfId="0" applyBorder="1" applyFill="1" applyFont="1"/>
    <xf borderId="0" fillId="0" fontId="5" numFmtId="14" xfId="0" applyAlignment="1" applyFont="1" applyNumberFormat="1">
      <alignment horizontal="right"/>
    </xf>
    <xf borderId="0" fillId="0" fontId="5" numFmtId="14" xfId="0" applyFont="1" applyNumberFormat="1"/>
    <xf borderId="0" fillId="0" fontId="5" numFmtId="0" xfId="0" applyFont="1"/>
    <xf borderId="0" fillId="0" fontId="7" numFmtId="0" xfId="0" applyFont="1"/>
    <xf borderId="0" fillId="0" fontId="8" numFmtId="0" xfId="0" applyFont="1"/>
    <xf borderId="0" fillId="0" fontId="5" numFmtId="165" xfId="0" applyFont="1" applyNumberFormat="1"/>
    <xf borderId="0" fillId="0" fontId="5" numFmtId="3" xfId="0" applyFont="1" applyNumberFormat="1"/>
    <xf borderId="0" fillId="0" fontId="5" numFmtId="10" xfId="0" applyFont="1" applyNumberFormat="1"/>
    <xf borderId="0" fillId="0" fontId="8" numFmtId="166" xfId="0" applyFont="1" applyNumberFormat="1"/>
    <xf borderId="0" fillId="0" fontId="7" numFmtId="166" xfId="0" applyFont="1" applyNumberFormat="1"/>
    <xf borderId="0" fillId="0" fontId="5" numFmtId="0" xfId="0" applyAlignment="1" applyFont="1">
      <alignment horizontal="right"/>
    </xf>
    <xf borderId="27" fillId="8" fontId="7" numFmtId="0" xfId="0" applyBorder="1" applyFill="1" applyFont="1"/>
    <xf borderId="28" fillId="8" fontId="8" numFmtId="167" xfId="0" applyBorder="1" applyFill="1" applyFont="1" applyNumberFormat="1"/>
    <xf borderId="0" fillId="0" fontId="8" numFmtId="10" xfId="0" applyFont="1" applyNumberFormat="1"/>
    <xf borderId="29" fillId="9" fontId="7" numFmtId="0" xfId="0" applyBorder="1" applyFill="1" applyFont="1"/>
    <xf borderId="29" fillId="9" fontId="8" numFmtId="10" xfId="0" applyBorder="1" applyFill="1" applyFont="1" applyNumberFormat="1"/>
    <xf borderId="29" fillId="9" fontId="8" numFmtId="0" xfId="0" applyBorder="1" applyFill="1" applyFont="1"/>
    <xf borderId="0" fillId="0" fontId="9" numFmtId="0" xfId="0" applyFont="1"/>
    <xf borderId="0" fillId="0" fontId="8" numFmtId="167" xfId="0" applyFont="1" applyNumberFormat="1"/>
    <xf borderId="0" fillId="0" fontId="10" numFmtId="0" xfId="0" applyFont="1"/>
    <xf borderId="30" fillId="0" fontId="8" numFmtId="0" xfId="0" applyBorder="1" applyFont="1"/>
    <xf borderId="8" fillId="0" fontId="6" numFmtId="166" xfId="0" applyBorder="1" applyFont="1" applyNumberFormat="1"/>
    <xf borderId="0" fillId="0" fontId="11" numFmtId="0" xfId="0" applyFont="1"/>
    <xf borderId="11" fillId="0" fontId="11" numFmtId="166" xfId="0" applyBorder="1" applyFont="1" applyNumberFormat="1"/>
    <xf borderId="5" fillId="0" fontId="11" numFmtId="0" xfId="0" applyBorder="1" applyFont="1"/>
    <xf borderId="30" fillId="0" fontId="10" numFmtId="0" xfId="0" applyBorder="1" applyFont="1"/>
    <xf borderId="11" fillId="0" fontId="10" numFmtId="166" xfId="0" applyBorder="1" applyFont="1" applyNumberFormat="1"/>
    <xf borderId="11" fillId="0" fontId="6" numFmtId="166" xfId="0" applyBorder="1" applyFont="1" applyNumberFormat="1"/>
    <xf borderId="11" fillId="0" fontId="3" numFmtId="166" xfId="0" applyBorder="1" applyFont="1" applyNumberFormat="1"/>
    <xf borderId="31" fillId="0" fontId="10" numFmtId="0" xfId="0" applyBorder="1" applyFont="1"/>
    <xf borderId="9" fillId="0" fontId="11" numFmtId="0" xfId="0" applyBorder="1" applyFont="1"/>
    <xf borderId="9" fillId="0" fontId="10" numFmtId="0" xfId="0" applyBorder="1" applyFont="1"/>
    <xf borderId="9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1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6" width="11.78"/>
    <col customWidth="1" min="7" max="16" width="3.67"/>
    <col customWidth="1" min="17" max="17" width="10.78"/>
    <col customWidth="1" min="18" max="19" width="8.0"/>
    <col customWidth="1" min="20" max="20" width="11.44"/>
    <col customWidth="1" min="21" max="21" width="8.0"/>
    <col customWidth="1" min="22" max="24" width="11.11"/>
    <col customWidth="1" min="25" max="25" width="11.44"/>
    <col customWidth="1" min="26" max="37" width="11.11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6"/>
      <c r="S1" s="6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ht="130.5" customHeight="1">
      <c r="A2" s="8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10" t="s">
        <v>9</v>
      </c>
      <c r="H2" s="11">
        <f>24.98*1.039</f>
        <v>25.95422</v>
      </c>
      <c r="I2" s="10" t="s">
        <v>10</v>
      </c>
      <c r="J2" s="11">
        <f>24.98*1.039</f>
        <v>25.95422</v>
      </c>
      <c r="K2" s="10" t="s">
        <v>11</v>
      </c>
      <c r="L2" s="11">
        <f>24.98*1.039</f>
        <v>25.95422</v>
      </c>
      <c r="M2" s="10" t="s">
        <v>12</v>
      </c>
      <c r="N2" s="11">
        <f>24.98*1.039</f>
        <v>25.95422</v>
      </c>
      <c r="O2" s="10" t="s">
        <v>13</v>
      </c>
      <c r="P2" s="11">
        <f>8.32*1.039</f>
        <v>8.64448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15.75" customHeight="1">
      <c r="A3" s="13" t="s">
        <v>19</v>
      </c>
      <c r="B3" s="14">
        <v>46020.0</v>
      </c>
      <c r="C3" s="16">
        <v>1.0</v>
      </c>
      <c r="D3" s="16" t="s">
        <v>20</v>
      </c>
      <c r="E3" s="17"/>
      <c r="F3" s="17"/>
      <c r="G3" s="18"/>
      <c r="I3" s="19"/>
      <c r="K3" s="19"/>
      <c r="M3" s="19"/>
      <c r="O3" s="19"/>
      <c r="Q3" s="20">
        <f t="shared" ref="Q3:Q359" si="1">(G3*H$2)+(I3*J$2)+(K3*L$2)+(M3*N$2)+(O3*P$2)</f>
        <v>0</v>
      </c>
      <c r="R3" s="16">
        <f t="shared" ref="R3:R359" si="2">SUM(G3:N3)</f>
        <v>0</v>
      </c>
      <c r="S3" s="16">
        <f t="shared" ref="S3:S359" si="3">SUM(O3:P3)</f>
        <v>0</v>
      </c>
      <c r="T3" s="16">
        <f t="shared" ref="T3:T359" si="4">SUM(G3:P3)</f>
        <v>0</v>
      </c>
      <c r="U3" s="21">
        <f t="shared" ref="U3:U359" si="5">IFERROR(Q3/T3,0)</f>
        <v>0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ht="15.75" customHeight="1">
      <c r="A4" s="22" t="s">
        <v>21</v>
      </c>
      <c r="B4" s="23">
        <f t="shared" ref="B4:B359" si="6">B3+1</f>
        <v>46021</v>
      </c>
      <c r="C4" s="25">
        <v>1.0</v>
      </c>
      <c r="D4" s="25" t="s">
        <v>20</v>
      </c>
      <c r="E4" s="21"/>
      <c r="F4" s="21"/>
      <c r="G4" s="18"/>
      <c r="I4" s="19"/>
      <c r="K4" s="19"/>
      <c r="M4" s="19"/>
      <c r="O4" s="19"/>
      <c r="Q4" s="26">
        <f t="shared" si="1"/>
        <v>0</v>
      </c>
      <c r="R4" s="25">
        <f t="shared" si="2"/>
        <v>0</v>
      </c>
      <c r="S4" s="25">
        <f t="shared" si="3"/>
        <v>0</v>
      </c>
      <c r="T4" s="25">
        <f t="shared" si="4"/>
        <v>0</v>
      </c>
      <c r="U4" s="27">
        <f t="shared" si="5"/>
        <v>0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ht="15.75" customHeight="1">
      <c r="A5" s="22" t="s">
        <v>22</v>
      </c>
      <c r="B5" s="23">
        <f t="shared" si="6"/>
        <v>46022</v>
      </c>
      <c r="C5" s="25">
        <v>1.0</v>
      </c>
      <c r="D5" s="25" t="s">
        <v>20</v>
      </c>
      <c r="E5" s="21"/>
      <c r="F5" s="21"/>
      <c r="G5" s="18"/>
      <c r="I5" s="19"/>
      <c r="K5" s="19"/>
      <c r="M5" s="19"/>
      <c r="O5" s="19"/>
      <c r="Q5" s="26">
        <f t="shared" si="1"/>
        <v>0</v>
      </c>
      <c r="R5" s="25">
        <f t="shared" si="2"/>
        <v>0</v>
      </c>
      <c r="S5" s="25">
        <f t="shared" si="3"/>
        <v>0</v>
      </c>
      <c r="T5" s="25">
        <f t="shared" si="4"/>
        <v>0</v>
      </c>
      <c r="U5" s="27">
        <f t="shared" si="5"/>
        <v>0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15.75" customHeight="1">
      <c r="A6" s="22" t="s">
        <v>23</v>
      </c>
      <c r="B6" s="23">
        <f t="shared" si="6"/>
        <v>46023</v>
      </c>
      <c r="C6" s="25">
        <v>1.0</v>
      </c>
      <c r="D6" s="25" t="s">
        <v>20</v>
      </c>
      <c r="E6" s="21"/>
      <c r="F6" s="21"/>
      <c r="G6" s="18"/>
      <c r="I6" s="19"/>
      <c r="K6" s="19"/>
      <c r="M6" s="19"/>
      <c r="O6" s="19"/>
      <c r="Q6" s="26">
        <f t="shared" si="1"/>
        <v>0</v>
      </c>
      <c r="R6" s="25">
        <f t="shared" si="2"/>
        <v>0</v>
      </c>
      <c r="S6" s="25">
        <f t="shared" si="3"/>
        <v>0</v>
      </c>
      <c r="T6" s="25">
        <f t="shared" si="4"/>
        <v>0</v>
      </c>
      <c r="U6" s="27">
        <f t="shared" si="5"/>
        <v>0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15.75" customHeight="1">
      <c r="A7" s="22" t="s">
        <v>24</v>
      </c>
      <c r="B7" s="23">
        <f t="shared" si="6"/>
        <v>46024</v>
      </c>
      <c r="C7" s="25">
        <v>1.0</v>
      </c>
      <c r="D7" s="25" t="s">
        <v>20</v>
      </c>
      <c r="E7" s="21"/>
      <c r="F7" s="21"/>
      <c r="G7" s="18"/>
      <c r="I7" s="19"/>
      <c r="K7" s="19"/>
      <c r="M7" s="19"/>
      <c r="O7" s="19"/>
      <c r="Q7" s="26">
        <f t="shared" si="1"/>
        <v>0</v>
      </c>
      <c r="R7" s="25">
        <f t="shared" si="2"/>
        <v>0</v>
      </c>
      <c r="S7" s="25">
        <f t="shared" si="3"/>
        <v>0</v>
      </c>
      <c r="T7" s="25">
        <f t="shared" si="4"/>
        <v>0</v>
      </c>
      <c r="U7" s="27">
        <f t="shared" si="5"/>
        <v>0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15.75" customHeight="1">
      <c r="A8" s="22" t="s">
        <v>25</v>
      </c>
      <c r="B8" s="23">
        <f t="shared" si="6"/>
        <v>46025</v>
      </c>
      <c r="C8" s="25">
        <v>1.0</v>
      </c>
      <c r="D8" s="25" t="s">
        <v>20</v>
      </c>
      <c r="E8" s="21"/>
      <c r="F8" s="21"/>
      <c r="G8" s="18"/>
      <c r="I8" s="19"/>
      <c r="K8" s="19"/>
      <c r="M8" s="19"/>
      <c r="O8" s="19"/>
      <c r="Q8" s="26">
        <f t="shared" si="1"/>
        <v>0</v>
      </c>
      <c r="R8" s="25">
        <f t="shared" si="2"/>
        <v>0</v>
      </c>
      <c r="S8" s="25">
        <f t="shared" si="3"/>
        <v>0</v>
      </c>
      <c r="T8" s="25">
        <f t="shared" si="4"/>
        <v>0</v>
      </c>
      <c r="U8" s="27">
        <f t="shared" si="5"/>
        <v>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15.75" customHeight="1">
      <c r="A9" s="28" t="s">
        <v>26</v>
      </c>
      <c r="B9" s="29">
        <f t="shared" si="6"/>
        <v>46026</v>
      </c>
      <c r="C9" s="31">
        <v>1.0</v>
      </c>
      <c r="D9" s="31" t="s">
        <v>20</v>
      </c>
      <c r="E9" s="32"/>
      <c r="F9" s="32"/>
      <c r="G9" s="33"/>
      <c r="H9" s="6"/>
      <c r="I9" s="34"/>
      <c r="J9" s="6"/>
      <c r="K9" s="34"/>
      <c r="L9" s="6"/>
      <c r="M9" s="34"/>
      <c r="N9" s="6"/>
      <c r="O9" s="34"/>
      <c r="P9" s="6"/>
      <c r="Q9" s="35">
        <f t="shared" si="1"/>
        <v>0</v>
      </c>
      <c r="R9" s="31">
        <f t="shared" si="2"/>
        <v>0</v>
      </c>
      <c r="S9" s="31">
        <f t="shared" si="3"/>
        <v>0</v>
      </c>
      <c r="T9" s="31">
        <f t="shared" si="4"/>
        <v>0</v>
      </c>
      <c r="U9" s="36">
        <f t="shared" si="5"/>
        <v>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15.75" customHeight="1">
      <c r="A10" s="13" t="s">
        <v>19</v>
      </c>
      <c r="B10" s="37">
        <f t="shared" si="6"/>
        <v>46027</v>
      </c>
      <c r="C10" s="16">
        <v>1.0</v>
      </c>
      <c r="D10" s="16" t="s">
        <v>27</v>
      </c>
      <c r="E10" s="17"/>
      <c r="F10" s="17"/>
      <c r="G10" s="18"/>
      <c r="I10" s="19"/>
      <c r="K10" s="19"/>
      <c r="M10" s="19"/>
      <c r="O10" s="19"/>
      <c r="Q10" s="20">
        <f t="shared" si="1"/>
        <v>0</v>
      </c>
      <c r="R10" s="16">
        <f t="shared" si="2"/>
        <v>0</v>
      </c>
      <c r="S10" s="16">
        <f t="shared" si="3"/>
        <v>0</v>
      </c>
      <c r="T10" s="16">
        <f t="shared" si="4"/>
        <v>0</v>
      </c>
      <c r="U10" s="38">
        <f t="shared" si="5"/>
        <v>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ht="15.75" customHeight="1">
      <c r="A11" s="22" t="s">
        <v>21</v>
      </c>
      <c r="B11" s="23">
        <f t="shared" si="6"/>
        <v>46028</v>
      </c>
      <c r="C11" s="25">
        <v>1.0</v>
      </c>
      <c r="D11" s="25" t="s">
        <v>27</v>
      </c>
      <c r="E11" s="21"/>
      <c r="F11" s="21"/>
      <c r="G11" s="18"/>
      <c r="I11" s="19"/>
      <c r="K11" s="19"/>
      <c r="M11" s="19"/>
      <c r="O11" s="19"/>
      <c r="Q11" s="26">
        <f t="shared" si="1"/>
        <v>0</v>
      </c>
      <c r="R11" s="25">
        <f t="shared" si="2"/>
        <v>0</v>
      </c>
      <c r="S11" s="25">
        <f t="shared" si="3"/>
        <v>0</v>
      </c>
      <c r="T11" s="25">
        <f t="shared" si="4"/>
        <v>0</v>
      </c>
      <c r="U11" s="27">
        <f t="shared" si="5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15.75" customHeight="1">
      <c r="A12" s="22" t="s">
        <v>22</v>
      </c>
      <c r="B12" s="23">
        <f t="shared" si="6"/>
        <v>46029</v>
      </c>
      <c r="C12" s="25">
        <v>1.0</v>
      </c>
      <c r="D12" s="25" t="s">
        <v>27</v>
      </c>
      <c r="E12" s="21"/>
      <c r="F12" s="21"/>
      <c r="G12" s="18"/>
      <c r="I12" s="19"/>
      <c r="K12" s="19"/>
      <c r="M12" s="19"/>
      <c r="O12" s="19"/>
      <c r="Q12" s="26">
        <f t="shared" si="1"/>
        <v>0</v>
      </c>
      <c r="R12" s="25">
        <f t="shared" si="2"/>
        <v>0</v>
      </c>
      <c r="S12" s="25">
        <f t="shared" si="3"/>
        <v>0</v>
      </c>
      <c r="T12" s="25">
        <f t="shared" si="4"/>
        <v>0</v>
      </c>
      <c r="U12" s="27">
        <f t="shared" si="5"/>
        <v>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ht="15.75" customHeight="1">
      <c r="A13" s="22" t="s">
        <v>23</v>
      </c>
      <c r="B13" s="23">
        <f t="shared" si="6"/>
        <v>46030</v>
      </c>
      <c r="C13" s="25">
        <v>1.0</v>
      </c>
      <c r="D13" s="25" t="s">
        <v>27</v>
      </c>
      <c r="E13" s="21"/>
      <c r="F13" s="21"/>
      <c r="G13" s="18"/>
      <c r="I13" s="19"/>
      <c r="K13" s="19"/>
      <c r="M13" s="19"/>
      <c r="O13" s="19"/>
      <c r="Q13" s="26">
        <f t="shared" si="1"/>
        <v>0</v>
      </c>
      <c r="R13" s="25">
        <f t="shared" si="2"/>
        <v>0</v>
      </c>
      <c r="S13" s="25">
        <f t="shared" si="3"/>
        <v>0</v>
      </c>
      <c r="T13" s="25">
        <f t="shared" si="4"/>
        <v>0</v>
      </c>
      <c r="U13" s="27">
        <f t="shared" si="5"/>
        <v>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15.75" customHeight="1">
      <c r="A14" s="22" t="s">
        <v>24</v>
      </c>
      <c r="B14" s="23">
        <f t="shared" si="6"/>
        <v>46031</v>
      </c>
      <c r="C14" s="25">
        <v>1.0</v>
      </c>
      <c r="D14" s="25" t="s">
        <v>27</v>
      </c>
      <c r="E14" s="21"/>
      <c r="F14" s="21"/>
      <c r="G14" s="18"/>
      <c r="I14" s="19"/>
      <c r="K14" s="19"/>
      <c r="M14" s="19"/>
      <c r="O14" s="19"/>
      <c r="Q14" s="26">
        <f t="shared" si="1"/>
        <v>0</v>
      </c>
      <c r="R14" s="25">
        <f t="shared" si="2"/>
        <v>0</v>
      </c>
      <c r="S14" s="25">
        <f t="shared" si="3"/>
        <v>0</v>
      </c>
      <c r="T14" s="25">
        <f t="shared" si="4"/>
        <v>0</v>
      </c>
      <c r="U14" s="27">
        <f t="shared" si="5"/>
        <v>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15.75" customHeight="1">
      <c r="A15" s="22" t="s">
        <v>25</v>
      </c>
      <c r="B15" s="23">
        <f t="shared" si="6"/>
        <v>46032</v>
      </c>
      <c r="C15" s="25">
        <v>1.0</v>
      </c>
      <c r="D15" s="25" t="s">
        <v>27</v>
      </c>
      <c r="E15" s="21"/>
      <c r="F15" s="21"/>
      <c r="G15" s="18"/>
      <c r="I15" s="19"/>
      <c r="K15" s="19"/>
      <c r="M15" s="19"/>
      <c r="O15" s="19"/>
      <c r="Q15" s="26">
        <f t="shared" si="1"/>
        <v>0</v>
      </c>
      <c r="R15" s="25">
        <f t="shared" si="2"/>
        <v>0</v>
      </c>
      <c r="S15" s="25">
        <f t="shared" si="3"/>
        <v>0</v>
      </c>
      <c r="T15" s="25">
        <f t="shared" si="4"/>
        <v>0</v>
      </c>
      <c r="U15" s="27">
        <f t="shared" si="5"/>
        <v>0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15.75" customHeight="1">
      <c r="A16" s="28" t="s">
        <v>26</v>
      </c>
      <c r="B16" s="29">
        <f t="shared" si="6"/>
        <v>46033</v>
      </c>
      <c r="C16" s="31">
        <v>1.0</v>
      </c>
      <c r="D16" s="31" t="s">
        <v>27</v>
      </c>
      <c r="E16" s="32"/>
      <c r="F16" s="32"/>
      <c r="G16" s="33"/>
      <c r="H16" s="6"/>
      <c r="I16" s="34"/>
      <c r="J16" s="6"/>
      <c r="K16" s="34"/>
      <c r="L16" s="6"/>
      <c r="M16" s="34"/>
      <c r="N16" s="6"/>
      <c r="O16" s="34"/>
      <c r="P16" s="6"/>
      <c r="Q16" s="35">
        <f t="shared" si="1"/>
        <v>0</v>
      </c>
      <c r="R16" s="31">
        <f t="shared" si="2"/>
        <v>0</v>
      </c>
      <c r="S16" s="31">
        <f t="shared" si="3"/>
        <v>0</v>
      </c>
      <c r="T16" s="31">
        <f t="shared" si="4"/>
        <v>0</v>
      </c>
      <c r="U16" s="36">
        <f t="shared" si="5"/>
        <v>0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15.75" customHeight="1">
      <c r="A17" s="13" t="s">
        <v>19</v>
      </c>
      <c r="B17" s="37">
        <f t="shared" si="6"/>
        <v>46034</v>
      </c>
      <c r="C17" s="16">
        <v>1.0</v>
      </c>
      <c r="D17" s="16" t="s">
        <v>28</v>
      </c>
      <c r="E17" s="17"/>
      <c r="F17" s="17"/>
      <c r="G17" s="18"/>
      <c r="I17" s="19"/>
      <c r="K17" s="19"/>
      <c r="M17" s="19"/>
      <c r="O17" s="19"/>
      <c r="Q17" s="20">
        <f t="shared" si="1"/>
        <v>0</v>
      </c>
      <c r="R17" s="16">
        <f t="shared" si="2"/>
        <v>0</v>
      </c>
      <c r="S17" s="16">
        <f t="shared" si="3"/>
        <v>0</v>
      </c>
      <c r="T17" s="16">
        <f t="shared" si="4"/>
        <v>0</v>
      </c>
      <c r="U17" s="38">
        <f t="shared" si="5"/>
        <v>0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15.75" customHeight="1">
      <c r="A18" s="22" t="s">
        <v>21</v>
      </c>
      <c r="B18" s="23">
        <f t="shared" si="6"/>
        <v>46035</v>
      </c>
      <c r="C18" s="25">
        <v>1.0</v>
      </c>
      <c r="D18" s="25" t="s">
        <v>28</v>
      </c>
      <c r="E18" s="21"/>
      <c r="F18" s="21"/>
      <c r="G18" s="18"/>
      <c r="I18" s="19"/>
      <c r="K18" s="19"/>
      <c r="M18" s="19"/>
      <c r="O18" s="19"/>
      <c r="Q18" s="26">
        <f t="shared" si="1"/>
        <v>0</v>
      </c>
      <c r="R18" s="25">
        <f t="shared" si="2"/>
        <v>0</v>
      </c>
      <c r="S18" s="25">
        <f t="shared" si="3"/>
        <v>0</v>
      </c>
      <c r="T18" s="25">
        <f t="shared" si="4"/>
        <v>0</v>
      </c>
      <c r="U18" s="27">
        <f t="shared" si="5"/>
        <v>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15.75" customHeight="1">
      <c r="A19" s="22" t="s">
        <v>22</v>
      </c>
      <c r="B19" s="23">
        <f t="shared" si="6"/>
        <v>46036</v>
      </c>
      <c r="C19" s="25">
        <v>1.0</v>
      </c>
      <c r="D19" s="25" t="s">
        <v>28</v>
      </c>
      <c r="E19" s="21"/>
      <c r="F19" s="21"/>
      <c r="G19" s="18"/>
      <c r="I19" s="19"/>
      <c r="K19" s="19"/>
      <c r="M19" s="19"/>
      <c r="O19" s="19"/>
      <c r="Q19" s="26">
        <f t="shared" si="1"/>
        <v>0</v>
      </c>
      <c r="R19" s="25">
        <f t="shared" si="2"/>
        <v>0</v>
      </c>
      <c r="S19" s="25">
        <f t="shared" si="3"/>
        <v>0</v>
      </c>
      <c r="T19" s="25">
        <f t="shared" si="4"/>
        <v>0</v>
      </c>
      <c r="U19" s="27">
        <f t="shared" si="5"/>
        <v>0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15.75" customHeight="1">
      <c r="A20" s="22" t="s">
        <v>23</v>
      </c>
      <c r="B20" s="23">
        <f t="shared" si="6"/>
        <v>46037</v>
      </c>
      <c r="C20" s="25">
        <v>1.0</v>
      </c>
      <c r="D20" s="25" t="s">
        <v>28</v>
      </c>
      <c r="E20" s="21"/>
      <c r="F20" s="21"/>
      <c r="G20" s="18"/>
      <c r="I20" s="19"/>
      <c r="K20" s="19"/>
      <c r="M20" s="19"/>
      <c r="O20" s="19"/>
      <c r="Q20" s="26">
        <f t="shared" si="1"/>
        <v>0</v>
      </c>
      <c r="R20" s="25">
        <f t="shared" si="2"/>
        <v>0</v>
      </c>
      <c r="S20" s="25">
        <f t="shared" si="3"/>
        <v>0</v>
      </c>
      <c r="T20" s="25">
        <f t="shared" si="4"/>
        <v>0</v>
      </c>
      <c r="U20" s="27">
        <f t="shared" si="5"/>
        <v>0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22" t="s">
        <v>24</v>
      </c>
      <c r="B21" s="23">
        <f t="shared" si="6"/>
        <v>46038</v>
      </c>
      <c r="C21" s="25">
        <v>1.0</v>
      </c>
      <c r="D21" s="25" t="s">
        <v>28</v>
      </c>
      <c r="E21" s="21"/>
      <c r="F21" s="21"/>
      <c r="G21" s="18"/>
      <c r="I21" s="19"/>
      <c r="K21" s="19"/>
      <c r="M21" s="19"/>
      <c r="O21" s="19"/>
      <c r="Q21" s="26">
        <f t="shared" si="1"/>
        <v>0</v>
      </c>
      <c r="R21" s="25">
        <f t="shared" si="2"/>
        <v>0</v>
      </c>
      <c r="S21" s="25">
        <f t="shared" si="3"/>
        <v>0</v>
      </c>
      <c r="T21" s="25">
        <f t="shared" si="4"/>
        <v>0</v>
      </c>
      <c r="U21" s="27">
        <f t="shared" si="5"/>
        <v>0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22" t="s">
        <v>25</v>
      </c>
      <c r="B22" s="23">
        <f t="shared" si="6"/>
        <v>46039</v>
      </c>
      <c r="C22" s="25">
        <v>1.0</v>
      </c>
      <c r="D22" s="25" t="s">
        <v>28</v>
      </c>
      <c r="E22" s="21"/>
      <c r="F22" s="21"/>
      <c r="G22" s="18"/>
      <c r="I22" s="19"/>
      <c r="K22" s="19"/>
      <c r="M22" s="19"/>
      <c r="O22" s="19"/>
      <c r="Q22" s="26">
        <f t="shared" si="1"/>
        <v>0</v>
      </c>
      <c r="R22" s="25">
        <f t="shared" si="2"/>
        <v>0</v>
      </c>
      <c r="S22" s="25">
        <f t="shared" si="3"/>
        <v>0</v>
      </c>
      <c r="T22" s="25">
        <f t="shared" si="4"/>
        <v>0</v>
      </c>
      <c r="U22" s="27">
        <f t="shared" si="5"/>
        <v>0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28" t="s">
        <v>26</v>
      </c>
      <c r="B23" s="29">
        <f t="shared" si="6"/>
        <v>46040</v>
      </c>
      <c r="C23" s="31">
        <v>1.0</v>
      </c>
      <c r="D23" s="31" t="s">
        <v>28</v>
      </c>
      <c r="E23" s="32"/>
      <c r="F23" s="32"/>
      <c r="G23" s="33"/>
      <c r="H23" s="6"/>
      <c r="I23" s="34"/>
      <c r="J23" s="6"/>
      <c r="K23" s="34"/>
      <c r="L23" s="6"/>
      <c r="M23" s="34"/>
      <c r="N23" s="6"/>
      <c r="O23" s="34"/>
      <c r="P23" s="6"/>
      <c r="Q23" s="35">
        <f t="shared" si="1"/>
        <v>0</v>
      </c>
      <c r="R23" s="31">
        <f t="shared" si="2"/>
        <v>0</v>
      </c>
      <c r="S23" s="31">
        <f t="shared" si="3"/>
        <v>0</v>
      </c>
      <c r="T23" s="31">
        <f t="shared" si="4"/>
        <v>0</v>
      </c>
      <c r="U23" s="36">
        <f t="shared" si="5"/>
        <v>0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13" t="s">
        <v>19</v>
      </c>
      <c r="B24" s="37">
        <f t="shared" si="6"/>
        <v>46041</v>
      </c>
      <c r="C24" s="16">
        <v>1.0</v>
      </c>
      <c r="D24" s="16" t="s">
        <v>29</v>
      </c>
      <c r="E24" s="17"/>
      <c r="F24" s="17"/>
      <c r="G24" s="18"/>
      <c r="I24" s="19"/>
      <c r="K24" s="19"/>
      <c r="M24" s="19"/>
      <c r="O24" s="19"/>
      <c r="Q24" s="20">
        <f t="shared" si="1"/>
        <v>0</v>
      </c>
      <c r="R24" s="16">
        <f t="shared" si="2"/>
        <v>0</v>
      </c>
      <c r="S24" s="16">
        <f t="shared" si="3"/>
        <v>0</v>
      </c>
      <c r="T24" s="16">
        <f t="shared" si="4"/>
        <v>0</v>
      </c>
      <c r="U24" s="38">
        <f t="shared" si="5"/>
        <v>0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22" t="s">
        <v>21</v>
      </c>
      <c r="B25" s="23">
        <f t="shared" si="6"/>
        <v>46042</v>
      </c>
      <c r="C25" s="25">
        <v>1.0</v>
      </c>
      <c r="D25" s="25" t="s">
        <v>29</v>
      </c>
      <c r="E25" s="21"/>
      <c r="F25" s="21"/>
      <c r="G25" s="18"/>
      <c r="I25" s="19"/>
      <c r="K25" s="19"/>
      <c r="M25" s="19"/>
      <c r="O25" s="19"/>
      <c r="Q25" s="26">
        <f t="shared" si="1"/>
        <v>0</v>
      </c>
      <c r="R25" s="25">
        <f t="shared" si="2"/>
        <v>0</v>
      </c>
      <c r="S25" s="25">
        <f t="shared" si="3"/>
        <v>0</v>
      </c>
      <c r="T25" s="25">
        <f t="shared" si="4"/>
        <v>0</v>
      </c>
      <c r="U25" s="27">
        <f t="shared" si="5"/>
        <v>0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22" t="s">
        <v>22</v>
      </c>
      <c r="B26" s="23">
        <f t="shared" si="6"/>
        <v>46043</v>
      </c>
      <c r="C26" s="25">
        <v>1.0</v>
      </c>
      <c r="D26" s="25" t="s">
        <v>29</v>
      </c>
      <c r="E26" s="21"/>
      <c r="F26" s="21"/>
      <c r="G26" s="18"/>
      <c r="I26" s="19"/>
      <c r="K26" s="19"/>
      <c r="M26" s="19"/>
      <c r="O26" s="19"/>
      <c r="Q26" s="26">
        <f t="shared" si="1"/>
        <v>0</v>
      </c>
      <c r="R26" s="25">
        <f t="shared" si="2"/>
        <v>0</v>
      </c>
      <c r="S26" s="25">
        <f t="shared" si="3"/>
        <v>0</v>
      </c>
      <c r="T26" s="25">
        <f t="shared" si="4"/>
        <v>0</v>
      </c>
      <c r="U26" s="27">
        <f t="shared" si="5"/>
        <v>0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22" t="s">
        <v>23</v>
      </c>
      <c r="B27" s="23">
        <f t="shared" si="6"/>
        <v>46044</v>
      </c>
      <c r="C27" s="25">
        <v>1.0</v>
      </c>
      <c r="D27" s="25" t="s">
        <v>29</v>
      </c>
      <c r="E27" s="21"/>
      <c r="F27" s="21"/>
      <c r="G27" s="18"/>
      <c r="I27" s="19"/>
      <c r="K27" s="19"/>
      <c r="M27" s="19"/>
      <c r="O27" s="19"/>
      <c r="Q27" s="26">
        <f t="shared" si="1"/>
        <v>0</v>
      </c>
      <c r="R27" s="25">
        <f t="shared" si="2"/>
        <v>0</v>
      </c>
      <c r="S27" s="25">
        <f t="shared" si="3"/>
        <v>0</v>
      </c>
      <c r="T27" s="25">
        <f t="shared" si="4"/>
        <v>0</v>
      </c>
      <c r="U27" s="27">
        <f t="shared" si="5"/>
        <v>0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22" t="s">
        <v>24</v>
      </c>
      <c r="B28" s="23">
        <f t="shared" si="6"/>
        <v>46045</v>
      </c>
      <c r="C28" s="25">
        <v>1.0</v>
      </c>
      <c r="D28" s="25" t="s">
        <v>29</v>
      </c>
      <c r="E28" s="21"/>
      <c r="F28" s="21"/>
      <c r="G28" s="18"/>
      <c r="I28" s="19"/>
      <c r="K28" s="19"/>
      <c r="M28" s="19"/>
      <c r="O28" s="19"/>
      <c r="Q28" s="26">
        <f t="shared" si="1"/>
        <v>0</v>
      </c>
      <c r="R28" s="25">
        <f t="shared" si="2"/>
        <v>0</v>
      </c>
      <c r="S28" s="25">
        <f t="shared" si="3"/>
        <v>0</v>
      </c>
      <c r="T28" s="25">
        <f t="shared" si="4"/>
        <v>0</v>
      </c>
      <c r="U28" s="27">
        <f t="shared" si="5"/>
        <v>0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22" t="s">
        <v>25</v>
      </c>
      <c r="B29" s="23">
        <f t="shared" si="6"/>
        <v>46046</v>
      </c>
      <c r="C29" s="25">
        <v>1.0</v>
      </c>
      <c r="D29" s="25" t="s">
        <v>29</v>
      </c>
      <c r="E29" s="21"/>
      <c r="F29" s="21"/>
      <c r="G29" s="18"/>
      <c r="I29" s="19"/>
      <c r="K29" s="19"/>
      <c r="M29" s="19"/>
      <c r="O29" s="19"/>
      <c r="Q29" s="26">
        <f t="shared" si="1"/>
        <v>0</v>
      </c>
      <c r="R29" s="25">
        <f t="shared" si="2"/>
        <v>0</v>
      </c>
      <c r="S29" s="25">
        <f t="shared" si="3"/>
        <v>0</v>
      </c>
      <c r="T29" s="25">
        <f t="shared" si="4"/>
        <v>0</v>
      </c>
      <c r="U29" s="27">
        <f t="shared" si="5"/>
        <v>0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28" t="s">
        <v>26</v>
      </c>
      <c r="B30" s="29">
        <f t="shared" si="6"/>
        <v>46047</v>
      </c>
      <c r="C30" s="31">
        <v>1.0</v>
      </c>
      <c r="D30" s="31" t="s">
        <v>29</v>
      </c>
      <c r="E30" s="32"/>
      <c r="F30" s="32"/>
      <c r="G30" s="33"/>
      <c r="H30" s="6"/>
      <c r="I30" s="34"/>
      <c r="J30" s="6"/>
      <c r="K30" s="34"/>
      <c r="L30" s="6"/>
      <c r="M30" s="34"/>
      <c r="N30" s="6"/>
      <c r="O30" s="34"/>
      <c r="P30" s="6"/>
      <c r="Q30" s="35">
        <f t="shared" si="1"/>
        <v>0</v>
      </c>
      <c r="R30" s="31">
        <f t="shared" si="2"/>
        <v>0</v>
      </c>
      <c r="S30" s="31">
        <f t="shared" si="3"/>
        <v>0</v>
      </c>
      <c r="T30" s="31">
        <f t="shared" si="4"/>
        <v>0</v>
      </c>
      <c r="U30" s="36">
        <f t="shared" si="5"/>
        <v>0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13" t="s">
        <v>19</v>
      </c>
      <c r="B31" s="37">
        <f t="shared" si="6"/>
        <v>46048</v>
      </c>
      <c r="C31" s="16">
        <v>2.0</v>
      </c>
      <c r="D31" s="16" t="s">
        <v>20</v>
      </c>
      <c r="E31" s="17"/>
      <c r="F31" s="17"/>
      <c r="G31" s="18"/>
      <c r="I31" s="19"/>
      <c r="K31" s="19"/>
      <c r="M31" s="19"/>
      <c r="O31" s="19"/>
      <c r="Q31" s="20">
        <f t="shared" si="1"/>
        <v>0</v>
      </c>
      <c r="R31" s="16">
        <f t="shared" si="2"/>
        <v>0</v>
      </c>
      <c r="S31" s="16">
        <f t="shared" si="3"/>
        <v>0</v>
      </c>
      <c r="T31" s="16">
        <f t="shared" si="4"/>
        <v>0</v>
      </c>
      <c r="U31" s="38">
        <f t="shared" si="5"/>
        <v>0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22" t="s">
        <v>21</v>
      </c>
      <c r="B32" s="23">
        <f t="shared" si="6"/>
        <v>46049</v>
      </c>
      <c r="C32" s="25">
        <v>2.0</v>
      </c>
      <c r="D32" s="25" t="s">
        <v>20</v>
      </c>
      <c r="E32" s="21"/>
      <c r="F32" s="21"/>
      <c r="G32" s="18"/>
      <c r="I32" s="19"/>
      <c r="K32" s="19"/>
      <c r="M32" s="19"/>
      <c r="O32" s="19"/>
      <c r="Q32" s="26">
        <f t="shared" si="1"/>
        <v>0</v>
      </c>
      <c r="R32" s="25">
        <f t="shared" si="2"/>
        <v>0</v>
      </c>
      <c r="S32" s="25">
        <f t="shared" si="3"/>
        <v>0</v>
      </c>
      <c r="T32" s="25">
        <f t="shared" si="4"/>
        <v>0</v>
      </c>
      <c r="U32" s="27">
        <f t="shared" si="5"/>
        <v>0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22" t="s">
        <v>22</v>
      </c>
      <c r="B33" s="23">
        <f t="shared" si="6"/>
        <v>46050</v>
      </c>
      <c r="C33" s="25">
        <v>2.0</v>
      </c>
      <c r="D33" s="25" t="s">
        <v>20</v>
      </c>
      <c r="E33" s="21"/>
      <c r="F33" s="21"/>
      <c r="G33" s="18"/>
      <c r="I33" s="19"/>
      <c r="K33" s="19"/>
      <c r="M33" s="19"/>
      <c r="O33" s="19"/>
      <c r="Q33" s="26">
        <f t="shared" si="1"/>
        <v>0</v>
      </c>
      <c r="R33" s="25">
        <f t="shared" si="2"/>
        <v>0</v>
      </c>
      <c r="S33" s="25">
        <f t="shared" si="3"/>
        <v>0</v>
      </c>
      <c r="T33" s="25">
        <f t="shared" si="4"/>
        <v>0</v>
      </c>
      <c r="U33" s="27">
        <f t="shared" si="5"/>
        <v>0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22" t="s">
        <v>23</v>
      </c>
      <c r="B34" s="23">
        <f t="shared" si="6"/>
        <v>46051</v>
      </c>
      <c r="C34" s="25">
        <v>2.0</v>
      </c>
      <c r="D34" s="25" t="s">
        <v>20</v>
      </c>
      <c r="E34" s="21"/>
      <c r="F34" s="21"/>
      <c r="G34" s="18"/>
      <c r="I34" s="19"/>
      <c r="K34" s="19"/>
      <c r="M34" s="19"/>
      <c r="O34" s="19"/>
      <c r="Q34" s="26">
        <f t="shared" si="1"/>
        <v>0</v>
      </c>
      <c r="R34" s="25">
        <f t="shared" si="2"/>
        <v>0</v>
      </c>
      <c r="S34" s="25">
        <f t="shared" si="3"/>
        <v>0</v>
      </c>
      <c r="T34" s="25">
        <f t="shared" si="4"/>
        <v>0</v>
      </c>
      <c r="U34" s="27">
        <f t="shared" si="5"/>
        <v>0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22" t="s">
        <v>24</v>
      </c>
      <c r="B35" s="23">
        <f t="shared" si="6"/>
        <v>46052</v>
      </c>
      <c r="C35" s="25">
        <v>2.0</v>
      </c>
      <c r="D35" s="25" t="s">
        <v>20</v>
      </c>
      <c r="E35" s="21"/>
      <c r="F35" s="21"/>
      <c r="G35" s="18"/>
      <c r="I35" s="19"/>
      <c r="K35" s="19"/>
      <c r="M35" s="19"/>
      <c r="O35" s="19"/>
      <c r="Q35" s="26">
        <f t="shared" si="1"/>
        <v>0</v>
      </c>
      <c r="R35" s="25">
        <f t="shared" si="2"/>
        <v>0</v>
      </c>
      <c r="S35" s="25">
        <f t="shared" si="3"/>
        <v>0</v>
      </c>
      <c r="T35" s="25">
        <f t="shared" si="4"/>
        <v>0</v>
      </c>
      <c r="U35" s="27">
        <f t="shared" si="5"/>
        <v>0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22" t="s">
        <v>25</v>
      </c>
      <c r="B36" s="23">
        <f t="shared" si="6"/>
        <v>46053</v>
      </c>
      <c r="C36" s="25">
        <v>2.0</v>
      </c>
      <c r="D36" s="25" t="s">
        <v>20</v>
      </c>
      <c r="E36" s="21"/>
      <c r="F36" s="21"/>
      <c r="G36" s="18"/>
      <c r="I36" s="19"/>
      <c r="K36" s="19"/>
      <c r="M36" s="19"/>
      <c r="O36" s="19"/>
      <c r="Q36" s="26">
        <f t="shared" si="1"/>
        <v>0</v>
      </c>
      <c r="R36" s="25">
        <f t="shared" si="2"/>
        <v>0</v>
      </c>
      <c r="S36" s="25">
        <f t="shared" si="3"/>
        <v>0</v>
      </c>
      <c r="T36" s="25">
        <f t="shared" si="4"/>
        <v>0</v>
      </c>
      <c r="U36" s="27">
        <f t="shared" si="5"/>
        <v>0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28" t="s">
        <v>26</v>
      </c>
      <c r="B37" s="29">
        <f t="shared" si="6"/>
        <v>46054</v>
      </c>
      <c r="C37" s="31">
        <v>2.0</v>
      </c>
      <c r="D37" s="31" t="s">
        <v>20</v>
      </c>
      <c r="E37" s="32"/>
      <c r="F37" s="32"/>
      <c r="G37" s="33"/>
      <c r="H37" s="6"/>
      <c r="I37" s="34"/>
      <c r="J37" s="6"/>
      <c r="K37" s="34"/>
      <c r="L37" s="6"/>
      <c r="M37" s="34"/>
      <c r="N37" s="6"/>
      <c r="O37" s="34"/>
      <c r="P37" s="6"/>
      <c r="Q37" s="35">
        <f t="shared" si="1"/>
        <v>0</v>
      </c>
      <c r="R37" s="31">
        <f t="shared" si="2"/>
        <v>0</v>
      </c>
      <c r="S37" s="31">
        <f t="shared" si="3"/>
        <v>0</v>
      </c>
      <c r="T37" s="31">
        <f t="shared" si="4"/>
        <v>0</v>
      </c>
      <c r="U37" s="36">
        <f t="shared" si="5"/>
        <v>0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13" t="s">
        <v>19</v>
      </c>
      <c r="B38" s="37">
        <f t="shared" si="6"/>
        <v>46055</v>
      </c>
      <c r="C38" s="16">
        <v>2.0</v>
      </c>
      <c r="D38" s="16" t="s">
        <v>27</v>
      </c>
      <c r="E38" s="17"/>
      <c r="F38" s="17"/>
      <c r="G38" s="18"/>
      <c r="I38" s="19"/>
      <c r="K38" s="19"/>
      <c r="M38" s="19"/>
      <c r="O38" s="19"/>
      <c r="Q38" s="20">
        <f t="shared" si="1"/>
        <v>0</v>
      </c>
      <c r="R38" s="16">
        <f t="shared" si="2"/>
        <v>0</v>
      </c>
      <c r="S38" s="16">
        <f t="shared" si="3"/>
        <v>0</v>
      </c>
      <c r="T38" s="16">
        <f t="shared" si="4"/>
        <v>0</v>
      </c>
      <c r="U38" s="38">
        <f t="shared" si="5"/>
        <v>0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22" t="s">
        <v>21</v>
      </c>
      <c r="B39" s="23">
        <f t="shared" si="6"/>
        <v>46056</v>
      </c>
      <c r="C39" s="25">
        <v>2.0</v>
      </c>
      <c r="D39" s="25" t="s">
        <v>27</v>
      </c>
      <c r="E39" s="21"/>
      <c r="F39" s="21"/>
      <c r="G39" s="18"/>
      <c r="I39" s="19"/>
      <c r="K39" s="19"/>
      <c r="M39" s="19"/>
      <c r="O39" s="19"/>
      <c r="Q39" s="26">
        <f t="shared" si="1"/>
        <v>0</v>
      </c>
      <c r="R39" s="25">
        <f t="shared" si="2"/>
        <v>0</v>
      </c>
      <c r="S39" s="25">
        <f t="shared" si="3"/>
        <v>0</v>
      </c>
      <c r="T39" s="25">
        <f t="shared" si="4"/>
        <v>0</v>
      </c>
      <c r="U39" s="27">
        <f t="shared" si="5"/>
        <v>0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22" t="s">
        <v>22</v>
      </c>
      <c r="B40" s="23">
        <f t="shared" si="6"/>
        <v>46057</v>
      </c>
      <c r="C40" s="25">
        <v>2.0</v>
      </c>
      <c r="D40" s="25" t="s">
        <v>27</v>
      </c>
      <c r="E40" s="21"/>
      <c r="F40" s="21"/>
      <c r="G40" s="18"/>
      <c r="I40" s="19"/>
      <c r="K40" s="19"/>
      <c r="M40" s="19"/>
      <c r="O40" s="19"/>
      <c r="Q40" s="26">
        <f t="shared" si="1"/>
        <v>0</v>
      </c>
      <c r="R40" s="25">
        <f t="shared" si="2"/>
        <v>0</v>
      </c>
      <c r="S40" s="25">
        <f t="shared" si="3"/>
        <v>0</v>
      </c>
      <c r="T40" s="25">
        <f t="shared" si="4"/>
        <v>0</v>
      </c>
      <c r="U40" s="27">
        <f t="shared" si="5"/>
        <v>0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22" t="s">
        <v>23</v>
      </c>
      <c r="B41" s="23">
        <f t="shared" si="6"/>
        <v>46058</v>
      </c>
      <c r="C41" s="25">
        <v>2.0</v>
      </c>
      <c r="D41" s="25" t="s">
        <v>27</v>
      </c>
      <c r="E41" s="21"/>
      <c r="F41" s="21"/>
      <c r="G41" s="18"/>
      <c r="I41" s="19"/>
      <c r="K41" s="19"/>
      <c r="M41" s="19"/>
      <c r="O41" s="19"/>
      <c r="Q41" s="26">
        <f t="shared" si="1"/>
        <v>0</v>
      </c>
      <c r="R41" s="25">
        <f t="shared" si="2"/>
        <v>0</v>
      </c>
      <c r="S41" s="25">
        <f t="shared" si="3"/>
        <v>0</v>
      </c>
      <c r="T41" s="25">
        <f t="shared" si="4"/>
        <v>0</v>
      </c>
      <c r="U41" s="27">
        <f t="shared" si="5"/>
        <v>0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22" t="s">
        <v>24</v>
      </c>
      <c r="B42" s="23">
        <f t="shared" si="6"/>
        <v>46059</v>
      </c>
      <c r="C42" s="25">
        <v>2.0</v>
      </c>
      <c r="D42" s="25" t="s">
        <v>27</v>
      </c>
      <c r="E42" s="21"/>
      <c r="F42" s="21"/>
      <c r="G42" s="18"/>
      <c r="I42" s="19"/>
      <c r="K42" s="19"/>
      <c r="M42" s="19"/>
      <c r="O42" s="19"/>
      <c r="Q42" s="26">
        <f t="shared" si="1"/>
        <v>0</v>
      </c>
      <c r="R42" s="25">
        <f t="shared" si="2"/>
        <v>0</v>
      </c>
      <c r="S42" s="25">
        <f t="shared" si="3"/>
        <v>0</v>
      </c>
      <c r="T42" s="25">
        <f t="shared" si="4"/>
        <v>0</v>
      </c>
      <c r="U42" s="27">
        <f t="shared" si="5"/>
        <v>0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22" t="s">
        <v>25</v>
      </c>
      <c r="B43" s="23">
        <f t="shared" si="6"/>
        <v>46060</v>
      </c>
      <c r="C43" s="25">
        <v>2.0</v>
      </c>
      <c r="D43" s="25" t="s">
        <v>27</v>
      </c>
      <c r="E43" s="21"/>
      <c r="F43" s="21"/>
      <c r="G43" s="18"/>
      <c r="I43" s="19"/>
      <c r="K43" s="19"/>
      <c r="M43" s="19"/>
      <c r="O43" s="19"/>
      <c r="Q43" s="26">
        <f t="shared" si="1"/>
        <v>0</v>
      </c>
      <c r="R43" s="25">
        <f t="shared" si="2"/>
        <v>0</v>
      </c>
      <c r="S43" s="25">
        <f t="shared" si="3"/>
        <v>0</v>
      </c>
      <c r="T43" s="25">
        <f t="shared" si="4"/>
        <v>0</v>
      </c>
      <c r="U43" s="27">
        <f t="shared" si="5"/>
        <v>0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28" t="s">
        <v>26</v>
      </c>
      <c r="B44" s="29">
        <f t="shared" si="6"/>
        <v>46061</v>
      </c>
      <c r="C44" s="31">
        <v>2.0</v>
      </c>
      <c r="D44" s="31" t="s">
        <v>27</v>
      </c>
      <c r="E44" s="32"/>
      <c r="F44" s="32"/>
      <c r="G44" s="33"/>
      <c r="H44" s="6"/>
      <c r="I44" s="34"/>
      <c r="J44" s="6"/>
      <c r="K44" s="34"/>
      <c r="L44" s="6"/>
      <c r="M44" s="34"/>
      <c r="N44" s="6"/>
      <c r="O44" s="34"/>
      <c r="P44" s="6"/>
      <c r="Q44" s="35">
        <f t="shared" si="1"/>
        <v>0</v>
      </c>
      <c r="R44" s="31">
        <f t="shared" si="2"/>
        <v>0</v>
      </c>
      <c r="S44" s="31">
        <f t="shared" si="3"/>
        <v>0</v>
      </c>
      <c r="T44" s="31">
        <f t="shared" si="4"/>
        <v>0</v>
      </c>
      <c r="U44" s="36">
        <f t="shared" si="5"/>
        <v>0</v>
      </c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13" t="s">
        <v>19</v>
      </c>
      <c r="B45" s="37">
        <f t="shared" si="6"/>
        <v>46062</v>
      </c>
      <c r="C45" s="16">
        <v>2.0</v>
      </c>
      <c r="D45" s="16" t="s">
        <v>28</v>
      </c>
      <c r="E45" s="17"/>
      <c r="F45" s="17"/>
      <c r="G45" s="18"/>
      <c r="I45" s="19"/>
      <c r="K45" s="19"/>
      <c r="M45" s="19"/>
      <c r="O45" s="19"/>
      <c r="Q45" s="20">
        <f t="shared" si="1"/>
        <v>0</v>
      </c>
      <c r="R45" s="16">
        <f t="shared" si="2"/>
        <v>0</v>
      </c>
      <c r="S45" s="16">
        <f t="shared" si="3"/>
        <v>0</v>
      </c>
      <c r="T45" s="16">
        <f t="shared" si="4"/>
        <v>0</v>
      </c>
      <c r="U45" s="38">
        <f t="shared" si="5"/>
        <v>0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22" t="s">
        <v>21</v>
      </c>
      <c r="B46" s="23">
        <f t="shared" si="6"/>
        <v>46063</v>
      </c>
      <c r="C46" s="25">
        <v>2.0</v>
      </c>
      <c r="D46" s="25" t="s">
        <v>28</v>
      </c>
      <c r="E46" s="21"/>
      <c r="F46" s="21"/>
      <c r="G46" s="18"/>
      <c r="I46" s="19"/>
      <c r="K46" s="19"/>
      <c r="M46" s="19"/>
      <c r="O46" s="19"/>
      <c r="Q46" s="26">
        <f t="shared" si="1"/>
        <v>0</v>
      </c>
      <c r="R46" s="25">
        <f t="shared" si="2"/>
        <v>0</v>
      </c>
      <c r="S46" s="25">
        <f t="shared" si="3"/>
        <v>0</v>
      </c>
      <c r="T46" s="25">
        <f t="shared" si="4"/>
        <v>0</v>
      </c>
      <c r="U46" s="27">
        <f t="shared" si="5"/>
        <v>0</v>
      </c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22" t="s">
        <v>22</v>
      </c>
      <c r="B47" s="23">
        <f t="shared" si="6"/>
        <v>46064</v>
      </c>
      <c r="C47" s="25">
        <v>2.0</v>
      </c>
      <c r="D47" s="25" t="s">
        <v>28</v>
      </c>
      <c r="E47" s="21"/>
      <c r="F47" s="21"/>
      <c r="G47" s="18"/>
      <c r="I47" s="19"/>
      <c r="K47" s="19"/>
      <c r="M47" s="19"/>
      <c r="O47" s="19"/>
      <c r="Q47" s="26">
        <f t="shared" si="1"/>
        <v>0</v>
      </c>
      <c r="R47" s="25">
        <f t="shared" si="2"/>
        <v>0</v>
      </c>
      <c r="S47" s="25">
        <f t="shared" si="3"/>
        <v>0</v>
      </c>
      <c r="T47" s="25">
        <f t="shared" si="4"/>
        <v>0</v>
      </c>
      <c r="U47" s="27">
        <f t="shared" si="5"/>
        <v>0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22" t="s">
        <v>23</v>
      </c>
      <c r="B48" s="23">
        <f t="shared" si="6"/>
        <v>46065</v>
      </c>
      <c r="C48" s="25">
        <v>2.0</v>
      </c>
      <c r="D48" s="25" t="s">
        <v>28</v>
      </c>
      <c r="E48" s="21"/>
      <c r="F48" s="21"/>
      <c r="G48" s="18"/>
      <c r="I48" s="19"/>
      <c r="K48" s="19"/>
      <c r="M48" s="19"/>
      <c r="O48" s="19"/>
      <c r="Q48" s="26">
        <f t="shared" si="1"/>
        <v>0</v>
      </c>
      <c r="R48" s="25">
        <f t="shared" si="2"/>
        <v>0</v>
      </c>
      <c r="S48" s="25">
        <f t="shared" si="3"/>
        <v>0</v>
      </c>
      <c r="T48" s="25">
        <f t="shared" si="4"/>
        <v>0</v>
      </c>
      <c r="U48" s="27">
        <f t="shared" si="5"/>
        <v>0</v>
      </c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22" t="s">
        <v>24</v>
      </c>
      <c r="B49" s="23">
        <f t="shared" si="6"/>
        <v>46066</v>
      </c>
      <c r="C49" s="25">
        <v>2.0</v>
      </c>
      <c r="D49" s="25" t="s">
        <v>28</v>
      </c>
      <c r="E49" s="21"/>
      <c r="F49" s="21"/>
      <c r="G49" s="18"/>
      <c r="I49" s="19"/>
      <c r="K49" s="19"/>
      <c r="M49" s="19"/>
      <c r="O49" s="19"/>
      <c r="Q49" s="26">
        <f t="shared" si="1"/>
        <v>0</v>
      </c>
      <c r="R49" s="25">
        <f t="shared" si="2"/>
        <v>0</v>
      </c>
      <c r="S49" s="25">
        <f t="shared" si="3"/>
        <v>0</v>
      </c>
      <c r="T49" s="25">
        <f t="shared" si="4"/>
        <v>0</v>
      </c>
      <c r="U49" s="27">
        <f t="shared" si="5"/>
        <v>0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22" t="s">
        <v>25</v>
      </c>
      <c r="B50" s="23">
        <f t="shared" si="6"/>
        <v>46067</v>
      </c>
      <c r="C50" s="25">
        <v>2.0</v>
      </c>
      <c r="D50" s="25" t="s">
        <v>28</v>
      </c>
      <c r="E50" s="21"/>
      <c r="F50" s="21"/>
      <c r="G50" s="18"/>
      <c r="I50" s="19"/>
      <c r="K50" s="19"/>
      <c r="M50" s="19"/>
      <c r="O50" s="19"/>
      <c r="Q50" s="26">
        <f t="shared" si="1"/>
        <v>0</v>
      </c>
      <c r="R50" s="25">
        <f t="shared" si="2"/>
        <v>0</v>
      </c>
      <c r="S50" s="25">
        <f t="shared" si="3"/>
        <v>0</v>
      </c>
      <c r="T50" s="25">
        <f t="shared" si="4"/>
        <v>0</v>
      </c>
      <c r="U50" s="27">
        <f t="shared" si="5"/>
        <v>0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28" t="s">
        <v>26</v>
      </c>
      <c r="B51" s="29">
        <f t="shared" si="6"/>
        <v>46068</v>
      </c>
      <c r="C51" s="31">
        <v>2.0</v>
      </c>
      <c r="D51" s="31" t="s">
        <v>28</v>
      </c>
      <c r="E51" s="32"/>
      <c r="F51" s="32"/>
      <c r="G51" s="33"/>
      <c r="H51" s="6"/>
      <c r="I51" s="34"/>
      <c r="J51" s="6"/>
      <c r="K51" s="34"/>
      <c r="L51" s="6"/>
      <c r="M51" s="34"/>
      <c r="N51" s="6"/>
      <c r="O51" s="34"/>
      <c r="P51" s="6"/>
      <c r="Q51" s="35">
        <f t="shared" si="1"/>
        <v>0</v>
      </c>
      <c r="R51" s="31">
        <f t="shared" si="2"/>
        <v>0</v>
      </c>
      <c r="S51" s="31">
        <f t="shared" si="3"/>
        <v>0</v>
      </c>
      <c r="T51" s="31">
        <f t="shared" si="4"/>
        <v>0</v>
      </c>
      <c r="U51" s="36">
        <f t="shared" si="5"/>
        <v>0</v>
      </c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13" t="s">
        <v>19</v>
      </c>
      <c r="B52" s="37">
        <f t="shared" si="6"/>
        <v>46069</v>
      </c>
      <c r="C52" s="16">
        <v>2.0</v>
      </c>
      <c r="D52" s="16" t="s">
        <v>29</v>
      </c>
      <c r="E52" s="17"/>
      <c r="F52" s="17"/>
      <c r="G52" s="18"/>
      <c r="I52" s="19"/>
      <c r="K52" s="19"/>
      <c r="M52" s="19"/>
      <c r="O52" s="19"/>
      <c r="Q52" s="20">
        <f t="shared" si="1"/>
        <v>0</v>
      </c>
      <c r="R52" s="16">
        <f t="shared" si="2"/>
        <v>0</v>
      </c>
      <c r="S52" s="16">
        <f t="shared" si="3"/>
        <v>0</v>
      </c>
      <c r="T52" s="16">
        <f t="shared" si="4"/>
        <v>0</v>
      </c>
      <c r="U52" s="38">
        <f t="shared" si="5"/>
        <v>0</v>
      </c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22" t="s">
        <v>21</v>
      </c>
      <c r="B53" s="23">
        <f t="shared" si="6"/>
        <v>46070</v>
      </c>
      <c r="C53" s="25">
        <v>2.0</v>
      </c>
      <c r="D53" s="25" t="s">
        <v>29</v>
      </c>
      <c r="E53" s="21"/>
      <c r="F53" s="21"/>
      <c r="G53" s="18"/>
      <c r="I53" s="19"/>
      <c r="K53" s="19"/>
      <c r="M53" s="19"/>
      <c r="O53" s="19"/>
      <c r="Q53" s="26">
        <f t="shared" si="1"/>
        <v>0</v>
      </c>
      <c r="R53" s="25">
        <f t="shared" si="2"/>
        <v>0</v>
      </c>
      <c r="S53" s="25">
        <f t="shared" si="3"/>
        <v>0</v>
      </c>
      <c r="T53" s="25">
        <f t="shared" si="4"/>
        <v>0</v>
      </c>
      <c r="U53" s="27">
        <f t="shared" si="5"/>
        <v>0</v>
      </c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22" t="s">
        <v>22</v>
      </c>
      <c r="B54" s="23">
        <f t="shared" si="6"/>
        <v>46071</v>
      </c>
      <c r="C54" s="25">
        <v>2.0</v>
      </c>
      <c r="D54" s="25" t="s">
        <v>29</v>
      </c>
      <c r="E54" s="21"/>
      <c r="F54" s="21"/>
      <c r="G54" s="18"/>
      <c r="I54" s="19"/>
      <c r="K54" s="19"/>
      <c r="M54" s="19"/>
      <c r="O54" s="19"/>
      <c r="Q54" s="26">
        <f t="shared" si="1"/>
        <v>0</v>
      </c>
      <c r="R54" s="25">
        <f t="shared" si="2"/>
        <v>0</v>
      </c>
      <c r="S54" s="25">
        <f t="shared" si="3"/>
        <v>0</v>
      </c>
      <c r="T54" s="25">
        <f t="shared" si="4"/>
        <v>0</v>
      </c>
      <c r="U54" s="27">
        <f t="shared" si="5"/>
        <v>0</v>
      </c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22" t="s">
        <v>23</v>
      </c>
      <c r="B55" s="23">
        <f t="shared" si="6"/>
        <v>46072</v>
      </c>
      <c r="C55" s="25">
        <v>2.0</v>
      </c>
      <c r="D55" s="25" t="s">
        <v>29</v>
      </c>
      <c r="E55" s="21"/>
      <c r="F55" s="21"/>
      <c r="G55" s="18"/>
      <c r="I55" s="19"/>
      <c r="K55" s="19"/>
      <c r="M55" s="19"/>
      <c r="O55" s="19"/>
      <c r="Q55" s="26">
        <f t="shared" si="1"/>
        <v>0</v>
      </c>
      <c r="R55" s="25">
        <f t="shared" si="2"/>
        <v>0</v>
      </c>
      <c r="S55" s="25">
        <f t="shared" si="3"/>
        <v>0</v>
      </c>
      <c r="T55" s="25">
        <f t="shared" si="4"/>
        <v>0</v>
      </c>
      <c r="U55" s="27">
        <f t="shared" si="5"/>
        <v>0</v>
      </c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22" t="s">
        <v>24</v>
      </c>
      <c r="B56" s="23">
        <f t="shared" si="6"/>
        <v>46073</v>
      </c>
      <c r="C56" s="25">
        <v>2.0</v>
      </c>
      <c r="D56" s="25" t="s">
        <v>29</v>
      </c>
      <c r="E56" s="21"/>
      <c r="F56" s="21"/>
      <c r="G56" s="18"/>
      <c r="I56" s="19"/>
      <c r="K56" s="19"/>
      <c r="M56" s="19"/>
      <c r="O56" s="19"/>
      <c r="Q56" s="26">
        <f t="shared" si="1"/>
        <v>0</v>
      </c>
      <c r="R56" s="25">
        <f t="shared" si="2"/>
        <v>0</v>
      </c>
      <c r="S56" s="25">
        <f t="shared" si="3"/>
        <v>0</v>
      </c>
      <c r="T56" s="25">
        <f t="shared" si="4"/>
        <v>0</v>
      </c>
      <c r="U56" s="27">
        <f t="shared" si="5"/>
        <v>0</v>
      </c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22" t="s">
        <v>25</v>
      </c>
      <c r="B57" s="23">
        <f t="shared" si="6"/>
        <v>46074</v>
      </c>
      <c r="C57" s="25">
        <v>2.0</v>
      </c>
      <c r="D57" s="25" t="s">
        <v>29</v>
      </c>
      <c r="E57" s="21"/>
      <c r="F57" s="21"/>
      <c r="G57" s="18"/>
      <c r="I57" s="19"/>
      <c r="K57" s="19"/>
      <c r="M57" s="19"/>
      <c r="O57" s="19"/>
      <c r="Q57" s="26">
        <f t="shared" si="1"/>
        <v>0</v>
      </c>
      <c r="R57" s="25">
        <f t="shared" si="2"/>
        <v>0</v>
      </c>
      <c r="S57" s="25">
        <f t="shared" si="3"/>
        <v>0</v>
      </c>
      <c r="T57" s="25">
        <f t="shared" si="4"/>
        <v>0</v>
      </c>
      <c r="U57" s="27">
        <f t="shared" si="5"/>
        <v>0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28" t="s">
        <v>26</v>
      </c>
      <c r="B58" s="29">
        <f t="shared" si="6"/>
        <v>46075</v>
      </c>
      <c r="C58" s="31">
        <v>2.0</v>
      </c>
      <c r="D58" s="31" t="s">
        <v>29</v>
      </c>
      <c r="E58" s="32"/>
      <c r="F58" s="32"/>
      <c r="G58" s="33"/>
      <c r="H58" s="6"/>
      <c r="I58" s="34"/>
      <c r="J58" s="6"/>
      <c r="K58" s="34"/>
      <c r="L58" s="6"/>
      <c r="M58" s="34"/>
      <c r="N58" s="6"/>
      <c r="O58" s="34"/>
      <c r="P58" s="6"/>
      <c r="Q58" s="35">
        <f t="shared" si="1"/>
        <v>0</v>
      </c>
      <c r="R58" s="31">
        <f t="shared" si="2"/>
        <v>0</v>
      </c>
      <c r="S58" s="31">
        <f t="shared" si="3"/>
        <v>0</v>
      </c>
      <c r="T58" s="31">
        <f t="shared" si="4"/>
        <v>0</v>
      </c>
      <c r="U58" s="36">
        <f t="shared" si="5"/>
        <v>0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13" t="s">
        <v>19</v>
      </c>
      <c r="B59" s="37">
        <f t="shared" si="6"/>
        <v>46076</v>
      </c>
      <c r="C59" s="16">
        <v>3.0</v>
      </c>
      <c r="D59" s="16" t="s">
        <v>20</v>
      </c>
      <c r="E59" s="17"/>
      <c r="F59" s="17"/>
      <c r="G59" s="18"/>
      <c r="I59" s="19"/>
      <c r="K59" s="19"/>
      <c r="M59" s="19"/>
      <c r="O59" s="19"/>
      <c r="Q59" s="20">
        <f t="shared" si="1"/>
        <v>0</v>
      </c>
      <c r="R59" s="16">
        <f t="shared" si="2"/>
        <v>0</v>
      </c>
      <c r="S59" s="16">
        <f t="shared" si="3"/>
        <v>0</v>
      </c>
      <c r="T59" s="16">
        <f t="shared" si="4"/>
        <v>0</v>
      </c>
      <c r="U59" s="38">
        <f t="shared" si="5"/>
        <v>0</v>
      </c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22" t="s">
        <v>21</v>
      </c>
      <c r="B60" s="23">
        <f t="shared" si="6"/>
        <v>46077</v>
      </c>
      <c r="C60" s="25">
        <v>3.0</v>
      </c>
      <c r="D60" s="25" t="s">
        <v>20</v>
      </c>
      <c r="E60" s="21"/>
      <c r="F60" s="21"/>
      <c r="G60" s="18"/>
      <c r="I60" s="19"/>
      <c r="K60" s="19"/>
      <c r="M60" s="19"/>
      <c r="O60" s="19"/>
      <c r="Q60" s="26">
        <f t="shared" si="1"/>
        <v>0</v>
      </c>
      <c r="R60" s="25">
        <f t="shared" si="2"/>
        <v>0</v>
      </c>
      <c r="S60" s="25">
        <f t="shared" si="3"/>
        <v>0</v>
      </c>
      <c r="T60" s="25">
        <f t="shared" si="4"/>
        <v>0</v>
      </c>
      <c r="U60" s="27">
        <f t="shared" si="5"/>
        <v>0</v>
      </c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22" t="s">
        <v>22</v>
      </c>
      <c r="B61" s="23">
        <f t="shared" si="6"/>
        <v>46078</v>
      </c>
      <c r="C61" s="25">
        <v>3.0</v>
      </c>
      <c r="D61" s="25" t="s">
        <v>20</v>
      </c>
      <c r="E61" s="21"/>
      <c r="F61" s="21"/>
      <c r="G61" s="18"/>
      <c r="I61" s="19"/>
      <c r="K61" s="19"/>
      <c r="M61" s="19"/>
      <c r="O61" s="19"/>
      <c r="Q61" s="26">
        <f t="shared" si="1"/>
        <v>0</v>
      </c>
      <c r="R61" s="25">
        <f t="shared" si="2"/>
        <v>0</v>
      </c>
      <c r="S61" s="25">
        <f t="shared" si="3"/>
        <v>0</v>
      </c>
      <c r="T61" s="25">
        <f t="shared" si="4"/>
        <v>0</v>
      </c>
      <c r="U61" s="27">
        <f t="shared" si="5"/>
        <v>0</v>
      </c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22" t="s">
        <v>23</v>
      </c>
      <c r="B62" s="23">
        <f t="shared" si="6"/>
        <v>46079</v>
      </c>
      <c r="C62" s="25">
        <v>3.0</v>
      </c>
      <c r="D62" s="25" t="s">
        <v>20</v>
      </c>
      <c r="E62" s="21"/>
      <c r="F62" s="21"/>
      <c r="G62" s="18"/>
      <c r="I62" s="19"/>
      <c r="K62" s="19"/>
      <c r="M62" s="19"/>
      <c r="O62" s="19"/>
      <c r="Q62" s="26">
        <f t="shared" si="1"/>
        <v>0</v>
      </c>
      <c r="R62" s="25">
        <f t="shared" si="2"/>
        <v>0</v>
      </c>
      <c r="S62" s="25">
        <f t="shared" si="3"/>
        <v>0</v>
      </c>
      <c r="T62" s="25">
        <f t="shared" si="4"/>
        <v>0</v>
      </c>
      <c r="U62" s="27">
        <f t="shared" si="5"/>
        <v>0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22" t="s">
        <v>24</v>
      </c>
      <c r="B63" s="23">
        <f t="shared" si="6"/>
        <v>46080</v>
      </c>
      <c r="C63" s="25">
        <v>3.0</v>
      </c>
      <c r="D63" s="25" t="s">
        <v>20</v>
      </c>
      <c r="E63" s="21"/>
      <c r="F63" s="21"/>
      <c r="G63" s="18"/>
      <c r="I63" s="19"/>
      <c r="K63" s="19"/>
      <c r="M63" s="19"/>
      <c r="O63" s="19"/>
      <c r="Q63" s="26">
        <f t="shared" si="1"/>
        <v>0</v>
      </c>
      <c r="R63" s="25">
        <f t="shared" si="2"/>
        <v>0</v>
      </c>
      <c r="S63" s="25">
        <f t="shared" si="3"/>
        <v>0</v>
      </c>
      <c r="T63" s="25">
        <f t="shared" si="4"/>
        <v>0</v>
      </c>
      <c r="U63" s="27">
        <f t="shared" si="5"/>
        <v>0</v>
      </c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22" t="s">
        <v>25</v>
      </c>
      <c r="B64" s="23">
        <f t="shared" si="6"/>
        <v>46081</v>
      </c>
      <c r="C64" s="25">
        <v>3.0</v>
      </c>
      <c r="D64" s="25" t="s">
        <v>20</v>
      </c>
      <c r="E64" s="21"/>
      <c r="F64" s="21"/>
      <c r="G64" s="18"/>
      <c r="I64" s="19"/>
      <c r="K64" s="19"/>
      <c r="M64" s="19"/>
      <c r="O64" s="19"/>
      <c r="Q64" s="26">
        <f t="shared" si="1"/>
        <v>0</v>
      </c>
      <c r="R64" s="25">
        <f t="shared" si="2"/>
        <v>0</v>
      </c>
      <c r="S64" s="25">
        <f t="shared" si="3"/>
        <v>0</v>
      </c>
      <c r="T64" s="25">
        <f t="shared" si="4"/>
        <v>0</v>
      </c>
      <c r="U64" s="27">
        <f t="shared" si="5"/>
        <v>0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28" t="s">
        <v>26</v>
      </c>
      <c r="B65" s="29">
        <f t="shared" si="6"/>
        <v>46082</v>
      </c>
      <c r="C65" s="31">
        <v>3.0</v>
      </c>
      <c r="D65" s="31" t="s">
        <v>20</v>
      </c>
      <c r="E65" s="32"/>
      <c r="F65" s="32"/>
      <c r="G65" s="33"/>
      <c r="H65" s="6"/>
      <c r="I65" s="34"/>
      <c r="J65" s="6"/>
      <c r="K65" s="34"/>
      <c r="L65" s="6"/>
      <c r="M65" s="34"/>
      <c r="N65" s="6"/>
      <c r="O65" s="34"/>
      <c r="P65" s="6"/>
      <c r="Q65" s="35">
        <f t="shared" si="1"/>
        <v>0</v>
      </c>
      <c r="R65" s="31">
        <f t="shared" si="2"/>
        <v>0</v>
      </c>
      <c r="S65" s="31">
        <f t="shared" si="3"/>
        <v>0</v>
      </c>
      <c r="T65" s="31">
        <f t="shared" si="4"/>
        <v>0</v>
      </c>
      <c r="U65" s="36">
        <f t="shared" si="5"/>
        <v>0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13" t="s">
        <v>19</v>
      </c>
      <c r="B66" s="37">
        <f t="shared" si="6"/>
        <v>46083</v>
      </c>
      <c r="C66" s="16">
        <v>3.0</v>
      </c>
      <c r="D66" s="16" t="s">
        <v>27</v>
      </c>
      <c r="E66" s="17"/>
      <c r="F66" s="17"/>
      <c r="G66" s="18"/>
      <c r="I66" s="19"/>
      <c r="K66" s="19"/>
      <c r="M66" s="19"/>
      <c r="O66" s="19"/>
      <c r="Q66" s="20">
        <f t="shared" si="1"/>
        <v>0</v>
      </c>
      <c r="R66" s="16">
        <f t="shared" si="2"/>
        <v>0</v>
      </c>
      <c r="S66" s="16">
        <f t="shared" si="3"/>
        <v>0</v>
      </c>
      <c r="T66" s="16">
        <f t="shared" si="4"/>
        <v>0</v>
      </c>
      <c r="U66" s="38">
        <f t="shared" si="5"/>
        <v>0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22" t="s">
        <v>21</v>
      </c>
      <c r="B67" s="23">
        <f t="shared" si="6"/>
        <v>46084</v>
      </c>
      <c r="C67" s="25">
        <v>3.0</v>
      </c>
      <c r="D67" s="25" t="s">
        <v>27</v>
      </c>
      <c r="E67" s="21"/>
      <c r="F67" s="21"/>
      <c r="G67" s="18"/>
      <c r="I67" s="19"/>
      <c r="K67" s="19"/>
      <c r="M67" s="19"/>
      <c r="O67" s="19"/>
      <c r="Q67" s="26">
        <f t="shared" si="1"/>
        <v>0</v>
      </c>
      <c r="R67" s="25">
        <f t="shared" si="2"/>
        <v>0</v>
      </c>
      <c r="S67" s="25">
        <f t="shared" si="3"/>
        <v>0</v>
      </c>
      <c r="T67" s="25">
        <f t="shared" si="4"/>
        <v>0</v>
      </c>
      <c r="U67" s="27">
        <f t="shared" si="5"/>
        <v>0</v>
      </c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22" t="s">
        <v>22</v>
      </c>
      <c r="B68" s="23">
        <f t="shared" si="6"/>
        <v>46085</v>
      </c>
      <c r="C68" s="25">
        <v>3.0</v>
      </c>
      <c r="D68" s="25" t="s">
        <v>27</v>
      </c>
      <c r="E68" s="21"/>
      <c r="F68" s="21"/>
      <c r="G68" s="18"/>
      <c r="I68" s="19"/>
      <c r="K68" s="19"/>
      <c r="M68" s="19"/>
      <c r="O68" s="19"/>
      <c r="Q68" s="26">
        <f t="shared" si="1"/>
        <v>0</v>
      </c>
      <c r="R68" s="25">
        <f t="shared" si="2"/>
        <v>0</v>
      </c>
      <c r="S68" s="25">
        <f t="shared" si="3"/>
        <v>0</v>
      </c>
      <c r="T68" s="25">
        <f t="shared" si="4"/>
        <v>0</v>
      </c>
      <c r="U68" s="27">
        <f t="shared" si="5"/>
        <v>0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22" t="s">
        <v>23</v>
      </c>
      <c r="B69" s="23">
        <f t="shared" si="6"/>
        <v>46086</v>
      </c>
      <c r="C69" s="25">
        <v>3.0</v>
      </c>
      <c r="D69" s="25" t="s">
        <v>27</v>
      </c>
      <c r="E69" s="21"/>
      <c r="F69" s="21"/>
      <c r="G69" s="18"/>
      <c r="I69" s="19"/>
      <c r="K69" s="19"/>
      <c r="M69" s="19"/>
      <c r="O69" s="19"/>
      <c r="Q69" s="26">
        <f t="shared" si="1"/>
        <v>0</v>
      </c>
      <c r="R69" s="25">
        <f t="shared" si="2"/>
        <v>0</v>
      </c>
      <c r="S69" s="25">
        <f t="shared" si="3"/>
        <v>0</v>
      </c>
      <c r="T69" s="25">
        <f t="shared" si="4"/>
        <v>0</v>
      </c>
      <c r="U69" s="27">
        <f t="shared" si="5"/>
        <v>0</v>
      </c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22" t="s">
        <v>24</v>
      </c>
      <c r="B70" s="23">
        <f t="shared" si="6"/>
        <v>46087</v>
      </c>
      <c r="C70" s="25">
        <v>3.0</v>
      </c>
      <c r="D70" s="25" t="s">
        <v>27</v>
      </c>
      <c r="E70" s="21"/>
      <c r="F70" s="21"/>
      <c r="G70" s="18"/>
      <c r="I70" s="19"/>
      <c r="K70" s="19"/>
      <c r="M70" s="19"/>
      <c r="O70" s="19"/>
      <c r="Q70" s="26">
        <f t="shared" si="1"/>
        <v>0</v>
      </c>
      <c r="R70" s="25">
        <f t="shared" si="2"/>
        <v>0</v>
      </c>
      <c r="S70" s="25">
        <f t="shared" si="3"/>
        <v>0</v>
      </c>
      <c r="T70" s="25">
        <f t="shared" si="4"/>
        <v>0</v>
      </c>
      <c r="U70" s="27">
        <f t="shared" si="5"/>
        <v>0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22" t="s">
        <v>25</v>
      </c>
      <c r="B71" s="23">
        <f t="shared" si="6"/>
        <v>46088</v>
      </c>
      <c r="C71" s="25">
        <v>3.0</v>
      </c>
      <c r="D71" s="25" t="s">
        <v>27</v>
      </c>
      <c r="E71" s="21"/>
      <c r="F71" s="21"/>
      <c r="G71" s="18"/>
      <c r="I71" s="19"/>
      <c r="K71" s="19"/>
      <c r="M71" s="19"/>
      <c r="O71" s="19"/>
      <c r="Q71" s="26">
        <f t="shared" si="1"/>
        <v>0</v>
      </c>
      <c r="R71" s="25">
        <f t="shared" si="2"/>
        <v>0</v>
      </c>
      <c r="S71" s="25">
        <f t="shared" si="3"/>
        <v>0</v>
      </c>
      <c r="T71" s="25">
        <f t="shared" si="4"/>
        <v>0</v>
      </c>
      <c r="U71" s="27">
        <f t="shared" si="5"/>
        <v>0</v>
      </c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28" t="s">
        <v>26</v>
      </c>
      <c r="B72" s="29">
        <f t="shared" si="6"/>
        <v>46089</v>
      </c>
      <c r="C72" s="31">
        <v>3.0</v>
      </c>
      <c r="D72" s="31" t="s">
        <v>27</v>
      </c>
      <c r="E72" s="32"/>
      <c r="F72" s="32"/>
      <c r="G72" s="33"/>
      <c r="H72" s="6"/>
      <c r="I72" s="34"/>
      <c r="J72" s="6"/>
      <c r="K72" s="34"/>
      <c r="L72" s="6"/>
      <c r="M72" s="34"/>
      <c r="N72" s="6"/>
      <c r="O72" s="34"/>
      <c r="P72" s="6"/>
      <c r="Q72" s="35">
        <f t="shared" si="1"/>
        <v>0</v>
      </c>
      <c r="R72" s="31">
        <f t="shared" si="2"/>
        <v>0</v>
      </c>
      <c r="S72" s="31">
        <f t="shared" si="3"/>
        <v>0</v>
      </c>
      <c r="T72" s="31">
        <f t="shared" si="4"/>
        <v>0</v>
      </c>
      <c r="U72" s="36">
        <f t="shared" si="5"/>
        <v>0</v>
      </c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13" t="s">
        <v>19</v>
      </c>
      <c r="B73" s="37">
        <f t="shared" si="6"/>
        <v>46090</v>
      </c>
      <c r="C73" s="16">
        <v>3.0</v>
      </c>
      <c r="D73" s="16" t="s">
        <v>28</v>
      </c>
      <c r="E73" s="17"/>
      <c r="F73" s="17"/>
      <c r="G73" s="18"/>
      <c r="I73" s="19"/>
      <c r="K73" s="19"/>
      <c r="M73" s="19"/>
      <c r="O73" s="19"/>
      <c r="Q73" s="20">
        <f t="shared" si="1"/>
        <v>0</v>
      </c>
      <c r="R73" s="16">
        <f t="shared" si="2"/>
        <v>0</v>
      </c>
      <c r="S73" s="16">
        <f t="shared" si="3"/>
        <v>0</v>
      </c>
      <c r="T73" s="16">
        <f t="shared" si="4"/>
        <v>0</v>
      </c>
      <c r="U73" s="38">
        <f t="shared" si="5"/>
        <v>0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22" t="s">
        <v>21</v>
      </c>
      <c r="B74" s="23">
        <f t="shared" si="6"/>
        <v>46091</v>
      </c>
      <c r="C74" s="25">
        <v>3.0</v>
      </c>
      <c r="D74" s="25" t="s">
        <v>28</v>
      </c>
      <c r="E74" s="21"/>
      <c r="F74" s="21"/>
      <c r="G74" s="18"/>
      <c r="I74" s="19"/>
      <c r="K74" s="19"/>
      <c r="M74" s="19"/>
      <c r="O74" s="19"/>
      <c r="Q74" s="26">
        <f t="shared" si="1"/>
        <v>0</v>
      </c>
      <c r="R74" s="25">
        <f t="shared" si="2"/>
        <v>0</v>
      </c>
      <c r="S74" s="25">
        <f t="shared" si="3"/>
        <v>0</v>
      </c>
      <c r="T74" s="25">
        <f t="shared" si="4"/>
        <v>0</v>
      </c>
      <c r="U74" s="27">
        <f t="shared" si="5"/>
        <v>0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22" t="s">
        <v>22</v>
      </c>
      <c r="B75" s="23">
        <f t="shared" si="6"/>
        <v>46092</v>
      </c>
      <c r="C75" s="25">
        <v>3.0</v>
      </c>
      <c r="D75" s="25" t="s">
        <v>28</v>
      </c>
      <c r="E75" s="21"/>
      <c r="F75" s="21"/>
      <c r="G75" s="18"/>
      <c r="I75" s="19"/>
      <c r="K75" s="19"/>
      <c r="M75" s="19"/>
      <c r="O75" s="19"/>
      <c r="Q75" s="26">
        <f t="shared" si="1"/>
        <v>0</v>
      </c>
      <c r="R75" s="25">
        <f t="shared" si="2"/>
        <v>0</v>
      </c>
      <c r="S75" s="25">
        <f t="shared" si="3"/>
        <v>0</v>
      </c>
      <c r="T75" s="25">
        <f t="shared" si="4"/>
        <v>0</v>
      </c>
      <c r="U75" s="27">
        <f t="shared" si="5"/>
        <v>0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22" t="s">
        <v>23</v>
      </c>
      <c r="B76" s="23">
        <f t="shared" si="6"/>
        <v>46093</v>
      </c>
      <c r="C76" s="25">
        <v>3.0</v>
      </c>
      <c r="D76" s="25" t="s">
        <v>28</v>
      </c>
      <c r="E76" s="21"/>
      <c r="F76" s="21"/>
      <c r="G76" s="18"/>
      <c r="I76" s="19"/>
      <c r="K76" s="19"/>
      <c r="M76" s="19"/>
      <c r="O76" s="19"/>
      <c r="Q76" s="26">
        <f t="shared" si="1"/>
        <v>0</v>
      </c>
      <c r="R76" s="25">
        <f t="shared" si="2"/>
        <v>0</v>
      </c>
      <c r="S76" s="25">
        <f t="shared" si="3"/>
        <v>0</v>
      </c>
      <c r="T76" s="25">
        <f t="shared" si="4"/>
        <v>0</v>
      </c>
      <c r="U76" s="27">
        <f t="shared" si="5"/>
        <v>0</v>
      </c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22" t="s">
        <v>24</v>
      </c>
      <c r="B77" s="23">
        <f t="shared" si="6"/>
        <v>46094</v>
      </c>
      <c r="C77" s="25">
        <v>3.0</v>
      </c>
      <c r="D77" s="25" t="s">
        <v>28</v>
      </c>
      <c r="E77" s="21"/>
      <c r="F77" s="21"/>
      <c r="G77" s="18"/>
      <c r="I77" s="19"/>
      <c r="K77" s="19"/>
      <c r="M77" s="19"/>
      <c r="O77" s="19"/>
      <c r="Q77" s="26">
        <f t="shared" si="1"/>
        <v>0</v>
      </c>
      <c r="R77" s="25">
        <f t="shared" si="2"/>
        <v>0</v>
      </c>
      <c r="S77" s="25">
        <f t="shared" si="3"/>
        <v>0</v>
      </c>
      <c r="T77" s="25">
        <f t="shared" si="4"/>
        <v>0</v>
      </c>
      <c r="U77" s="27">
        <f t="shared" si="5"/>
        <v>0</v>
      </c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22" t="s">
        <v>25</v>
      </c>
      <c r="B78" s="23">
        <f t="shared" si="6"/>
        <v>46095</v>
      </c>
      <c r="C78" s="25">
        <v>3.0</v>
      </c>
      <c r="D78" s="25" t="s">
        <v>28</v>
      </c>
      <c r="E78" s="21"/>
      <c r="F78" s="21"/>
      <c r="G78" s="18"/>
      <c r="I78" s="19"/>
      <c r="K78" s="19"/>
      <c r="M78" s="19"/>
      <c r="O78" s="19"/>
      <c r="Q78" s="26">
        <f t="shared" si="1"/>
        <v>0</v>
      </c>
      <c r="R78" s="25">
        <f t="shared" si="2"/>
        <v>0</v>
      </c>
      <c r="S78" s="25">
        <f t="shared" si="3"/>
        <v>0</v>
      </c>
      <c r="T78" s="25">
        <f t="shared" si="4"/>
        <v>0</v>
      </c>
      <c r="U78" s="27">
        <f t="shared" si="5"/>
        <v>0</v>
      </c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28" t="s">
        <v>26</v>
      </c>
      <c r="B79" s="29">
        <f t="shared" si="6"/>
        <v>46096</v>
      </c>
      <c r="C79" s="31">
        <v>3.0</v>
      </c>
      <c r="D79" s="31" t="s">
        <v>28</v>
      </c>
      <c r="E79" s="32"/>
      <c r="F79" s="32"/>
      <c r="G79" s="33"/>
      <c r="H79" s="6"/>
      <c r="I79" s="34"/>
      <c r="J79" s="6"/>
      <c r="K79" s="34"/>
      <c r="L79" s="6"/>
      <c r="M79" s="34"/>
      <c r="N79" s="6"/>
      <c r="O79" s="34"/>
      <c r="P79" s="6"/>
      <c r="Q79" s="35">
        <f t="shared" si="1"/>
        <v>0</v>
      </c>
      <c r="R79" s="31">
        <f t="shared" si="2"/>
        <v>0</v>
      </c>
      <c r="S79" s="31">
        <f t="shared" si="3"/>
        <v>0</v>
      </c>
      <c r="T79" s="31">
        <f t="shared" si="4"/>
        <v>0</v>
      </c>
      <c r="U79" s="36">
        <f t="shared" si="5"/>
        <v>0</v>
      </c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13" t="s">
        <v>19</v>
      </c>
      <c r="B80" s="37">
        <f t="shared" si="6"/>
        <v>46097</v>
      </c>
      <c r="C80" s="16">
        <v>3.0</v>
      </c>
      <c r="D80" s="16" t="s">
        <v>29</v>
      </c>
      <c r="E80" s="17"/>
      <c r="F80" s="17"/>
      <c r="G80" s="18"/>
      <c r="I80" s="19"/>
      <c r="K80" s="19"/>
      <c r="M80" s="19"/>
      <c r="O80" s="19"/>
      <c r="Q80" s="20">
        <f t="shared" si="1"/>
        <v>0</v>
      </c>
      <c r="R80" s="16">
        <f t="shared" si="2"/>
        <v>0</v>
      </c>
      <c r="S80" s="16">
        <f t="shared" si="3"/>
        <v>0</v>
      </c>
      <c r="T80" s="16">
        <f t="shared" si="4"/>
        <v>0</v>
      </c>
      <c r="U80" s="38">
        <f t="shared" si="5"/>
        <v>0</v>
      </c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22" t="s">
        <v>21</v>
      </c>
      <c r="B81" s="23">
        <f t="shared" si="6"/>
        <v>46098</v>
      </c>
      <c r="C81" s="25">
        <v>3.0</v>
      </c>
      <c r="D81" s="25" t="s">
        <v>29</v>
      </c>
      <c r="E81" s="21"/>
      <c r="F81" s="21"/>
      <c r="G81" s="18"/>
      <c r="I81" s="19"/>
      <c r="K81" s="19"/>
      <c r="M81" s="19"/>
      <c r="O81" s="19"/>
      <c r="Q81" s="26">
        <f t="shared" si="1"/>
        <v>0</v>
      </c>
      <c r="R81" s="25">
        <f t="shared" si="2"/>
        <v>0</v>
      </c>
      <c r="S81" s="25">
        <f t="shared" si="3"/>
        <v>0</v>
      </c>
      <c r="T81" s="25">
        <f t="shared" si="4"/>
        <v>0</v>
      </c>
      <c r="U81" s="27">
        <f t="shared" si="5"/>
        <v>0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22" t="s">
        <v>22</v>
      </c>
      <c r="B82" s="23">
        <f t="shared" si="6"/>
        <v>46099</v>
      </c>
      <c r="C82" s="25">
        <v>3.0</v>
      </c>
      <c r="D82" s="25" t="s">
        <v>29</v>
      </c>
      <c r="E82" s="21"/>
      <c r="F82" s="21"/>
      <c r="G82" s="18"/>
      <c r="I82" s="19"/>
      <c r="K82" s="19"/>
      <c r="M82" s="19"/>
      <c r="O82" s="19"/>
      <c r="Q82" s="26">
        <f t="shared" si="1"/>
        <v>0</v>
      </c>
      <c r="R82" s="25">
        <f t="shared" si="2"/>
        <v>0</v>
      </c>
      <c r="S82" s="25">
        <f t="shared" si="3"/>
        <v>0</v>
      </c>
      <c r="T82" s="25">
        <f t="shared" si="4"/>
        <v>0</v>
      </c>
      <c r="U82" s="27">
        <f t="shared" si="5"/>
        <v>0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22" t="s">
        <v>23</v>
      </c>
      <c r="B83" s="23">
        <f t="shared" si="6"/>
        <v>46100</v>
      </c>
      <c r="C83" s="25">
        <v>3.0</v>
      </c>
      <c r="D83" s="25" t="s">
        <v>29</v>
      </c>
      <c r="E83" s="21"/>
      <c r="F83" s="21"/>
      <c r="G83" s="18"/>
      <c r="I83" s="19"/>
      <c r="K83" s="19"/>
      <c r="M83" s="19"/>
      <c r="O83" s="19"/>
      <c r="Q83" s="26">
        <f t="shared" si="1"/>
        <v>0</v>
      </c>
      <c r="R83" s="25">
        <f t="shared" si="2"/>
        <v>0</v>
      </c>
      <c r="S83" s="25">
        <f t="shared" si="3"/>
        <v>0</v>
      </c>
      <c r="T83" s="25">
        <f t="shared" si="4"/>
        <v>0</v>
      </c>
      <c r="U83" s="27">
        <f t="shared" si="5"/>
        <v>0</v>
      </c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22" t="s">
        <v>24</v>
      </c>
      <c r="B84" s="23">
        <f t="shared" si="6"/>
        <v>46101</v>
      </c>
      <c r="C84" s="25">
        <v>3.0</v>
      </c>
      <c r="D84" s="25" t="s">
        <v>29</v>
      </c>
      <c r="E84" s="21"/>
      <c r="F84" s="21"/>
      <c r="G84" s="18"/>
      <c r="I84" s="19"/>
      <c r="K84" s="19"/>
      <c r="M84" s="19"/>
      <c r="O84" s="19"/>
      <c r="Q84" s="26">
        <f t="shared" si="1"/>
        <v>0</v>
      </c>
      <c r="R84" s="25">
        <f t="shared" si="2"/>
        <v>0</v>
      </c>
      <c r="S84" s="25">
        <f t="shared" si="3"/>
        <v>0</v>
      </c>
      <c r="T84" s="25">
        <f t="shared" si="4"/>
        <v>0</v>
      </c>
      <c r="U84" s="27">
        <f t="shared" si="5"/>
        <v>0</v>
      </c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22" t="s">
        <v>25</v>
      </c>
      <c r="B85" s="23">
        <f t="shared" si="6"/>
        <v>46102</v>
      </c>
      <c r="C85" s="25">
        <v>3.0</v>
      </c>
      <c r="D85" s="25" t="s">
        <v>29</v>
      </c>
      <c r="E85" s="21"/>
      <c r="F85" s="21"/>
      <c r="G85" s="18"/>
      <c r="I85" s="19"/>
      <c r="K85" s="19"/>
      <c r="M85" s="19"/>
      <c r="O85" s="19"/>
      <c r="Q85" s="26">
        <f t="shared" si="1"/>
        <v>0</v>
      </c>
      <c r="R85" s="25">
        <f t="shared" si="2"/>
        <v>0</v>
      </c>
      <c r="S85" s="25">
        <f t="shared" si="3"/>
        <v>0</v>
      </c>
      <c r="T85" s="25">
        <f t="shared" si="4"/>
        <v>0</v>
      </c>
      <c r="U85" s="27">
        <f t="shared" si="5"/>
        <v>0</v>
      </c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28" t="s">
        <v>26</v>
      </c>
      <c r="B86" s="29">
        <f t="shared" si="6"/>
        <v>46103</v>
      </c>
      <c r="C86" s="31">
        <v>3.0</v>
      </c>
      <c r="D86" s="31" t="s">
        <v>29</v>
      </c>
      <c r="E86" s="32"/>
      <c r="F86" s="32"/>
      <c r="G86" s="33"/>
      <c r="H86" s="6"/>
      <c r="I86" s="34"/>
      <c r="J86" s="6"/>
      <c r="K86" s="34"/>
      <c r="L86" s="6"/>
      <c r="M86" s="34"/>
      <c r="N86" s="6"/>
      <c r="O86" s="34"/>
      <c r="P86" s="6"/>
      <c r="Q86" s="35">
        <f t="shared" si="1"/>
        <v>0</v>
      </c>
      <c r="R86" s="31">
        <f t="shared" si="2"/>
        <v>0</v>
      </c>
      <c r="S86" s="31">
        <f t="shared" si="3"/>
        <v>0</v>
      </c>
      <c r="T86" s="31">
        <f t="shared" si="4"/>
        <v>0</v>
      </c>
      <c r="U86" s="36">
        <f t="shared" si="5"/>
        <v>0</v>
      </c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13" t="s">
        <v>19</v>
      </c>
      <c r="B87" s="37">
        <f t="shared" si="6"/>
        <v>46104</v>
      </c>
      <c r="C87" s="16">
        <v>4.0</v>
      </c>
      <c r="D87" s="16" t="s">
        <v>20</v>
      </c>
      <c r="E87" s="17"/>
      <c r="F87" s="17"/>
      <c r="G87" s="18">
        <v>0.0</v>
      </c>
      <c r="I87" s="19">
        <v>0.0</v>
      </c>
      <c r="K87" s="19">
        <v>0.0</v>
      </c>
      <c r="M87" s="19">
        <v>0.0</v>
      </c>
      <c r="O87" s="19">
        <v>0.0</v>
      </c>
      <c r="Q87" s="20">
        <f t="shared" si="1"/>
        <v>0</v>
      </c>
      <c r="R87" s="16">
        <f t="shared" si="2"/>
        <v>0</v>
      </c>
      <c r="S87" s="16">
        <f t="shared" si="3"/>
        <v>0</v>
      </c>
      <c r="T87" s="16">
        <f t="shared" si="4"/>
        <v>0</v>
      </c>
      <c r="U87" s="38">
        <f t="shared" si="5"/>
        <v>0</v>
      </c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22" t="s">
        <v>21</v>
      </c>
      <c r="B88" s="23">
        <f t="shared" si="6"/>
        <v>46105</v>
      </c>
      <c r="C88" s="25">
        <v>4.0</v>
      </c>
      <c r="D88" s="25" t="s">
        <v>20</v>
      </c>
      <c r="E88" s="21"/>
      <c r="F88" s="21"/>
      <c r="G88" s="18">
        <v>0.0</v>
      </c>
      <c r="I88" s="19">
        <v>0.0</v>
      </c>
      <c r="K88" s="19">
        <v>0.0</v>
      </c>
      <c r="M88" s="19">
        <v>0.0</v>
      </c>
      <c r="O88" s="19">
        <v>0.0</v>
      </c>
      <c r="Q88" s="26">
        <f t="shared" si="1"/>
        <v>0</v>
      </c>
      <c r="R88" s="25">
        <f t="shared" si="2"/>
        <v>0</v>
      </c>
      <c r="S88" s="25">
        <f t="shared" si="3"/>
        <v>0</v>
      </c>
      <c r="T88" s="25">
        <f t="shared" si="4"/>
        <v>0</v>
      </c>
      <c r="U88" s="27">
        <f t="shared" si="5"/>
        <v>0</v>
      </c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22" t="s">
        <v>22</v>
      </c>
      <c r="B89" s="23">
        <f t="shared" si="6"/>
        <v>46106</v>
      </c>
      <c r="C89" s="25">
        <v>4.0</v>
      </c>
      <c r="D89" s="25" t="s">
        <v>20</v>
      </c>
      <c r="E89" s="21"/>
      <c r="F89" s="21"/>
      <c r="G89" s="18">
        <v>0.0</v>
      </c>
      <c r="I89" s="19">
        <v>0.0</v>
      </c>
      <c r="K89" s="19">
        <v>0.0</v>
      </c>
      <c r="M89" s="19">
        <v>0.0</v>
      </c>
      <c r="O89" s="19">
        <v>0.0</v>
      </c>
      <c r="Q89" s="26">
        <f t="shared" si="1"/>
        <v>0</v>
      </c>
      <c r="R89" s="25">
        <f t="shared" si="2"/>
        <v>0</v>
      </c>
      <c r="S89" s="25">
        <f t="shared" si="3"/>
        <v>0</v>
      </c>
      <c r="T89" s="25">
        <f t="shared" si="4"/>
        <v>0</v>
      </c>
      <c r="U89" s="27">
        <f t="shared" si="5"/>
        <v>0</v>
      </c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22" t="s">
        <v>23</v>
      </c>
      <c r="B90" s="23">
        <f t="shared" si="6"/>
        <v>46107</v>
      </c>
      <c r="C90" s="25">
        <v>4.0</v>
      </c>
      <c r="D90" s="25" t="s">
        <v>20</v>
      </c>
      <c r="E90" s="21"/>
      <c r="F90" s="21"/>
      <c r="G90" s="18">
        <v>0.0</v>
      </c>
      <c r="I90" s="19">
        <v>0.0</v>
      </c>
      <c r="K90" s="19">
        <v>0.0</v>
      </c>
      <c r="M90" s="19">
        <v>0.0</v>
      </c>
      <c r="O90" s="19">
        <v>0.0</v>
      </c>
      <c r="Q90" s="26">
        <f t="shared" si="1"/>
        <v>0</v>
      </c>
      <c r="R90" s="25">
        <f t="shared" si="2"/>
        <v>0</v>
      </c>
      <c r="S90" s="25">
        <f t="shared" si="3"/>
        <v>0</v>
      </c>
      <c r="T90" s="25">
        <f t="shared" si="4"/>
        <v>0</v>
      </c>
      <c r="U90" s="27">
        <f t="shared" si="5"/>
        <v>0</v>
      </c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6.5" customHeight="1">
      <c r="A91" s="22" t="s">
        <v>24</v>
      </c>
      <c r="B91" s="23">
        <f t="shared" si="6"/>
        <v>46108</v>
      </c>
      <c r="C91" s="25">
        <v>4.0</v>
      </c>
      <c r="D91" s="25" t="s">
        <v>20</v>
      </c>
      <c r="E91" s="21">
        <v>1.0</v>
      </c>
      <c r="F91" s="21" t="s">
        <v>30</v>
      </c>
      <c r="G91" s="18">
        <v>0.0</v>
      </c>
      <c r="I91" s="19">
        <v>45.0</v>
      </c>
      <c r="K91" s="19">
        <v>45.0</v>
      </c>
      <c r="M91" s="19">
        <v>0.0</v>
      </c>
      <c r="O91" s="19">
        <v>45.0</v>
      </c>
      <c r="Q91" s="26">
        <f t="shared" si="1"/>
        <v>2724.8814</v>
      </c>
      <c r="R91" s="25">
        <f t="shared" si="2"/>
        <v>90</v>
      </c>
      <c r="S91" s="25">
        <f t="shared" si="3"/>
        <v>45</v>
      </c>
      <c r="T91" s="25">
        <f t="shared" si="4"/>
        <v>135</v>
      </c>
      <c r="U91" s="27">
        <f t="shared" si="5"/>
        <v>20.18430667</v>
      </c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22" t="s">
        <v>25</v>
      </c>
      <c r="B92" s="23">
        <f t="shared" si="6"/>
        <v>46109</v>
      </c>
      <c r="C92" s="25">
        <v>4.0</v>
      </c>
      <c r="D92" s="25" t="s">
        <v>20</v>
      </c>
      <c r="E92" s="21">
        <v>1.0</v>
      </c>
      <c r="F92" s="21" t="s">
        <v>31</v>
      </c>
      <c r="G92" s="18">
        <v>45.0</v>
      </c>
      <c r="I92" s="19">
        <v>45.0</v>
      </c>
      <c r="K92" s="19">
        <v>0.0</v>
      </c>
      <c r="M92" s="19">
        <v>0.0</v>
      </c>
      <c r="O92" s="19">
        <v>0.0</v>
      </c>
      <c r="Q92" s="26">
        <f t="shared" si="1"/>
        <v>2335.8798</v>
      </c>
      <c r="R92" s="25">
        <f t="shared" si="2"/>
        <v>90</v>
      </c>
      <c r="S92" s="25">
        <f t="shared" si="3"/>
        <v>0</v>
      </c>
      <c r="T92" s="25">
        <f t="shared" si="4"/>
        <v>90</v>
      </c>
      <c r="U92" s="27">
        <f t="shared" si="5"/>
        <v>25.95422</v>
      </c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28" t="s">
        <v>26</v>
      </c>
      <c r="B93" s="29">
        <f t="shared" si="6"/>
        <v>46110</v>
      </c>
      <c r="C93" s="31">
        <v>4.0</v>
      </c>
      <c r="D93" s="31" t="s">
        <v>20</v>
      </c>
      <c r="E93" s="32">
        <v>1.0</v>
      </c>
      <c r="F93" s="32" t="s">
        <v>31</v>
      </c>
      <c r="G93" s="33">
        <v>45.0</v>
      </c>
      <c r="H93" s="6"/>
      <c r="I93" s="34">
        <v>45.0</v>
      </c>
      <c r="J93" s="6"/>
      <c r="K93" s="34">
        <v>0.0</v>
      </c>
      <c r="L93" s="6"/>
      <c r="M93" s="34">
        <v>0.0</v>
      </c>
      <c r="N93" s="6"/>
      <c r="O93" s="34">
        <v>0.0</v>
      </c>
      <c r="P93" s="6"/>
      <c r="Q93" s="35">
        <f t="shared" si="1"/>
        <v>2335.8798</v>
      </c>
      <c r="R93" s="31">
        <f t="shared" si="2"/>
        <v>90</v>
      </c>
      <c r="S93" s="31">
        <f t="shared" si="3"/>
        <v>0</v>
      </c>
      <c r="T93" s="31">
        <f t="shared" si="4"/>
        <v>90</v>
      </c>
      <c r="U93" s="36">
        <f t="shared" si="5"/>
        <v>25.95422</v>
      </c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13" t="s">
        <v>19</v>
      </c>
      <c r="B94" s="37">
        <f t="shared" si="6"/>
        <v>46111</v>
      </c>
      <c r="C94" s="16">
        <v>4.0</v>
      </c>
      <c r="D94" s="16" t="s">
        <v>27</v>
      </c>
      <c r="E94" s="17"/>
      <c r="F94" s="17" t="s">
        <v>32</v>
      </c>
      <c r="G94" s="18">
        <v>0.0</v>
      </c>
      <c r="I94" s="19">
        <v>0.0</v>
      </c>
      <c r="K94" s="19">
        <v>0.0</v>
      </c>
      <c r="M94" s="19">
        <v>0.0</v>
      </c>
      <c r="O94" s="19">
        <v>0.0</v>
      </c>
      <c r="Q94" s="20">
        <f t="shared" si="1"/>
        <v>0</v>
      </c>
      <c r="R94" s="16">
        <f t="shared" si="2"/>
        <v>0</v>
      </c>
      <c r="S94" s="16">
        <f t="shared" si="3"/>
        <v>0</v>
      </c>
      <c r="T94" s="16">
        <f t="shared" si="4"/>
        <v>0</v>
      </c>
      <c r="U94" s="38">
        <f t="shared" si="5"/>
        <v>0</v>
      </c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22" t="s">
        <v>21</v>
      </c>
      <c r="B95" s="23">
        <f t="shared" si="6"/>
        <v>46112</v>
      </c>
      <c r="C95" s="25">
        <v>4.0</v>
      </c>
      <c r="D95" s="25" t="s">
        <v>27</v>
      </c>
      <c r="E95" s="73">
        <v>2.0</v>
      </c>
      <c r="F95" s="21" t="s">
        <v>33</v>
      </c>
      <c r="G95" s="18">
        <v>0.0</v>
      </c>
      <c r="I95" s="19">
        <v>45.0</v>
      </c>
      <c r="K95" s="19">
        <v>45.0</v>
      </c>
      <c r="M95" s="19">
        <v>0.0</v>
      </c>
      <c r="O95" s="19">
        <v>45.0</v>
      </c>
      <c r="Q95" s="26">
        <f t="shared" si="1"/>
        <v>2724.8814</v>
      </c>
      <c r="R95" s="25">
        <f t="shared" si="2"/>
        <v>90</v>
      </c>
      <c r="S95" s="25">
        <f t="shared" si="3"/>
        <v>45</v>
      </c>
      <c r="T95" s="25">
        <f t="shared" si="4"/>
        <v>135</v>
      </c>
      <c r="U95" s="27">
        <f t="shared" si="5"/>
        <v>20.18430667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22" t="s">
        <v>22</v>
      </c>
      <c r="B96" s="23">
        <f t="shared" si="6"/>
        <v>46113</v>
      </c>
      <c r="C96" s="25">
        <v>4.0</v>
      </c>
      <c r="D96" s="25" t="s">
        <v>27</v>
      </c>
      <c r="E96" s="73">
        <v>2.0</v>
      </c>
      <c r="F96" s="21" t="s">
        <v>31</v>
      </c>
      <c r="G96" s="18">
        <v>45.0</v>
      </c>
      <c r="I96" s="19">
        <v>45.0</v>
      </c>
      <c r="K96" s="19">
        <v>0.0</v>
      </c>
      <c r="M96" s="19">
        <v>0.0</v>
      </c>
      <c r="O96" s="19">
        <v>0.0</v>
      </c>
      <c r="Q96" s="26">
        <f t="shared" si="1"/>
        <v>2335.8798</v>
      </c>
      <c r="R96" s="25">
        <f t="shared" si="2"/>
        <v>90</v>
      </c>
      <c r="S96" s="25">
        <f t="shared" si="3"/>
        <v>0</v>
      </c>
      <c r="T96" s="25">
        <f t="shared" si="4"/>
        <v>90</v>
      </c>
      <c r="U96" s="27">
        <f t="shared" si="5"/>
        <v>25.95422</v>
      </c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22" t="s">
        <v>23</v>
      </c>
      <c r="B97" s="23">
        <f t="shared" si="6"/>
        <v>46114</v>
      </c>
      <c r="C97" s="25">
        <v>4.0</v>
      </c>
      <c r="D97" s="25" t="s">
        <v>27</v>
      </c>
      <c r="E97" s="73">
        <v>2.0</v>
      </c>
      <c r="F97" s="21" t="s">
        <v>33</v>
      </c>
      <c r="G97" s="18">
        <v>0.0</v>
      </c>
      <c r="I97" s="19">
        <v>45.0</v>
      </c>
      <c r="K97" s="19">
        <v>45.0</v>
      </c>
      <c r="M97" s="19">
        <v>0.0</v>
      </c>
      <c r="O97" s="19">
        <v>45.0</v>
      </c>
      <c r="Q97" s="26">
        <f t="shared" si="1"/>
        <v>2724.8814</v>
      </c>
      <c r="R97" s="25">
        <f t="shared" si="2"/>
        <v>90</v>
      </c>
      <c r="S97" s="25">
        <f t="shared" si="3"/>
        <v>45</v>
      </c>
      <c r="T97" s="25">
        <f t="shared" si="4"/>
        <v>135</v>
      </c>
      <c r="U97" s="27">
        <f t="shared" si="5"/>
        <v>20.18430667</v>
      </c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22" t="s">
        <v>24</v>
      </c>
      <c r="B98" s="23">
        <f t="shared" si="6"/>
        <v>46115</v>
      </c>
      <c r="C98" s="25">
        <v>4.0</v>
      </c>
      <c r="D98" s="25" t="s">
        <v>27</v>
      </c>
      <c r="E98" s="73">
        <v>2.0</v>
      </c>
      <c r="F98" s="21" t="s">
        <v>33</v>
      </c>
      <c r="G98" s="18">
        <v>0.0</v>
      </c>
      <c r="I98" s="19">
        <v>45.0</v>
      </c>
      <c r="K98" s="19">
        <v>45.0</v>
      </c>
      <c r="M98" s="19">
        <v>0.0</v>
      </c>
      <c r="O98" s="19">
        <v>45.0</v>
      </c>
      <c r="Q98" s="26">
        <f t="shared" si="1"/>
        <v>2724.8814</v>
      </c>
      <c r="R98" s="25">
        <f t="shared" si="2"/>
        <v>90</v>
      </c>
      <c r="S98" s="25">
        <f t="shared" si="3"/>
        <v>45</v>
      </c>
      <c r="T98" s="25">
        <f t="shared" si="4"/>
        <v>135</v>
      </c>
      <c r="U98" s="27">
        <f t="shared" si="5"/>
        <v>20.18430667</v>
      </c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22" t="s">
        <v>25</v>
      </c>
      <c r="B99" s="23">
        <f t="shared" si="6"/>
        <v>46116</v>
      </c>
      <c r="C99" s="25">
        <v>4.0</v>
      </c>
      <c r="D99" s="25" t="s">
        <v>27</v>
      </c>
      <c r="E99" s="73">
        <v>2.0</v>
      </c>
      <c r="F99" s="21" t="s">
        <v>33</v>
      </c>
      <c r="G99" s="18">
        <v>0.0</v>
      </c>
      <c r="I99" s="19">
        <v>45.0</v>
      </c>
      <c r="K99" s="19">
        <v>45.0</v>
      </c>
      <c r="M99" s="19">
        <v>0.0</v>
      </c>
      <c r="O99" s="19">
        <v>45.0</v>
      </c>
      <c r="Q99" s="26">
        <f t="shared" si="1"/>
        <v>2724.8814</v>
      </c>
      <c r="R99" s="25">
        <f t="shared" si="2"/>
        <v>90</v>
      </c>
      <c r="S99" s="25">
        <f t="shared" si="3"/>
        <v>45</v>
      </c>
      <c r="T99" s="25">
        <f t="shared" si="4"/>
        <v>135</v>
      </c>
      <c r="U99" s="27">
        <f t="shared" si="5"/>
        <v>20.18430667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28" t="s">
        <v>26</v>
      </c>
      <c r="B100" s="29">
        <f t="shared" si="6"/>
        <v>46117</v>
      </c>
      <c r="C100" s="31">
        <v>4.0</v>
      </c>
      <c r="D100" s="31" t="s">
        <v>27</v>
      </c>
      <c r="E100" s="74">
        <v>2.0</v>
      </c>
      <c r="F100" s="32" t="s">
        <v>31</v>
      </c>
      <c r="G100" s="33">
        <v>45.0</v>
      </c>
      <c r="H100" s="6"/>
      <c r="I100" s="75">
        <v>0.0</v>
      </c>
      <c r="J100" s="6"/>
      <c r="K100" s="34">
        <v>0.0</v>
      </c>
      <c r="L100" s="6"/>
      <c r="M100" s="34">
        <v>0.0</v>
      </c>
      <c r="N100" s="6"/>
      <c r="O100" s="34">
        <v>0.0</v>
      </c>
      <c r="P100" s="6"/>
      <c r="Q100" s="35">
        <f t="shared" si="1"/>
        <v>1167.9399</v>
      </c>
      <c r="R100" s="31">
        <f t="shared" si="2"/>
        <v>45</v>
      </c>
      <c r="S100" s="31">
        <f t="shared" si="3"/>
        <v>0</v>
      </c>
      <c r="T100" s="31">
        <f t="shared" si="4"/>
        <v>45</v>
      </c>
      <c r="U100" s="36">
        <f t="shared" si="5"/>
        <v>25.95422</v>
      </c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13" t="s">
        <v>19</v>
      </c>
      <c r="B101" s="37">
        <f t="shared" si="6"/>
        <v>46118</v>
      </c>
      <c r="C101" s="16">
        <v>4.0</v>
      </c>
      <c r="D101" s="16" t="s">
        <v>28</v>
      </c>
      <c r="E101" s="17"/>
      <c r="F101" s="17" t="s">
        <v>32</v>
      </c>
      <c r="G101" s="18">
        <v>0.0</v>
      </c>
      <c r="I101" s="19">
        <v>0.0</v>
      </c>
      <c r="K101" s="19">
        <v>0.0</v>
      </c>
      <c r="M101" s="19">
        <v>0.0</v>
      </c>
      <c r="O101" s="19">
        <v>0.0</v>
      </c>
      <c r="Q101" s="20">
        <f t="shared" si="1"/>
        <v>0</v>
      </c>
      <c r="R101" s="16">
        <f t="shared" si="2"/>
        <v>0</v>
      </c>
      <c r="S101" s="16">
        <f t="shared" si="3"/>
        <v>0</v>
      </c>
      <c r="T101" s="16">
        <f t="shared" si="4"/>
        <v>0</v>
      </c>
      <c r="U101" s="38">
        <f t="shared" si="5"/>
        <v>0</v>
      </c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22" t="s">
        <v>21</v>
      </c>
      <c r="B102" s="23">
        <f t="shared" si="6"/>
        <v>46119</v>
      </c>
      <c r="C102" s="25">
        <v>4.0</v>
      </c>
      <c r="D102" s="25" t="s">
        <v>28</v>
      </c>
      <c r="E102" s="21"/>
      <c r="F102" s="21" t="s">
        <v>32</v>
      </c>
      <c r="G102" s="18">
        <v>0.0</v>
      </c>
      <c r="I102" s="19">
        <v>0.0</v>
      </c>
      <c r="K102" s="19">
        <v>0.0</v>
      </c>
      <c r="M102" s="19">
        <v>0.0</v>
      </c>
      <c r="O102" s="19">
        <v>0.0</v>
      </c>
      <c r="Q102" s="26">
        <f t="shared" si="1"/>
        <v>0</v>
      </c>
      <c r="R102" s="25">
        <f t="shared" si="2"/>
        <v>0</v>
      </c>
      <c r="S102" s="25">
        <f t="shared" si="3"/>
        <v>0</v>
      </c>
      <c r="T102" s="25">
        <f t="shared" si="4"/>
        <v>0</v>
      </c>
      <c r="U102" s="27">
        <f t="shared" si="5"/>
        <v>0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22" t="s">
        <v>22</v>
      </c>
      <c r="B103" s="23">
        <f t="shared" si="6"/>
        <v>46120</v>
      </c>
      <c r="C103" s="25">
        <v>4.0</v>
      </c>
      <c r="D103" s="25" t="s">
        <v>28</v>
      </c>
      <c r="E103" s="21"/>
      <c r="F103" s="21" t="s">
        <v>32</v>
      </c>
      <c r="G103" s="18">
        <v>0.0</v>
      </c>
      <c r="I103" s="19">
        <v>0.0</v>
      </c>
      <c r="K103" s="19">
        <v>0.0</v>
      </c>
      <c r="M103" s="19">
        <v>0.0</v>
      </c>
      <c r="O103" s="19">
        <v>0.0</v>
      </c>
      <c r="Q103" s="26">
        <f t="shared" si="1"/>
        <v>0</v>
      </c>
      <c r="R103" s="25">
        <f t="shared" si="2"/>
        <v>0</v>
      </c>
      <c r="S103" s="25">
        <f t="shared" si="3"/>
        <v>0</v>
      </c>
      <c r="T103" s="25">
        <f t="shared" si="4"/>
        <v>0</v>
      </c>
      <c r="U103" s="27">
        <f t="shared" si="5"/>
        <v>0</v>
      </c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22" t="s">
        <v>23</v>
      </c>
      <c r="B104" s="23">
        <f t="shared" si="6"/>
        <v>46121</v>
      </c>
      <c r="C104" s="25">
        <v>4.0</v>
      </c>
      <c r="D104" s="25" t="s">
        <v>28</v>
      </c>
      <c r="E104" s="21"/>
      <c r="F104" s="21" t="s">
        <v>32</v>
      </c>
      <c r="G104" s="18">
        <v>0.0</v>
      </c>
      <c r="I104" s="19">
        <v>0.0</v>
      </c>
      <c r="K104" s="19">
        <v>0.0</v>
      </c>
      <c r="M104" s="19">
        <v>0.0</v>
      </c>
      <c r="O104" s="19">
        <v>0.0</v>
      </c>
      <c r="Q104" s="26">
        <f t="shared" si="1"/>
        <v>0</v>
      </c>
      <c r="R104" s="25">
        <f t="shared" si="2"/>
        <v>0</v>
      </c>
      <c r="S104" s="25">
        <f t="shared" si="3"/>
        <v>0</v>
      </c>
      <c r="T104" s="25">
        <f t="shared" si="4"/>
        <v>0</v>
      </c>
      <c r="U104" s="27">
        <f t="shared" si="5"/>
        <v>0</v>
      </c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22" t="s">
        <v>24</v>
      </c>
      <c r="B105" s="23">
        <f t="shared" si="6"/>
        <v>46122</v>
      </c>
      <c r="C105" s="25">
        <v>4.0</v>
      </c>
      <c r="D105" s="25" t="s">
        <v>28</v>
      </c>
      <c r="E105" s="21"/>
      <c r="F105" s="21" t="s">
        <v>32</v>
      </c>
      <c r="G105" s="18">
        <v>0.0</v>
      </c>
      <c r="I105" s="19">
        <v>0.0</v>
      </c>
      <c r="K105" s="19">
        <v>0.0</v>
      </c>
      <c r="M105" s="19">
        <v>0.0</v>
      </c>
      <c r="O105" s="19">
        <v>0.0</v>
      </c>
      <c r="Q105" s="26">
        <f t="shared" si="1"/>
        <v>0</v>
      </c>
      <c r="R105" s="25">
        <f t="shared" si="2"/>
        <v>0</v>
      </c>
      <c r="S105" s="25">
        <f t="shared" si="3"/>
        <v>0</v>
      </c>
      <c r="T105" s="25">
        <f t="shared" si="4"/>
        <v>0</v>
      </c>
      <c r="U105" s="27">
        <f t="shared" si="5"/>
        <v>0</v>
      </c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22" t="s">
        <v>25</v>
      </c>
      <c r="B106" s="23">
        <f t="shared" si="6"/>
        <v>46123</v>
      </c>
      <c r="C106" s="25">
        <v>4.0</v>
      </c>
      <c r="D106" s="25" t="s">
        <v>28</v>
      </c>
      <c r="E106" s="21"/>
      <c r="F106" s="21" t="s">
        <v>32</v>
      </c>
      <c r="G106" s="18">
        <v>0.0</v>
      </c>
      <c r="I106" s="19">
        <v>0.0</v>
      </c>
      <c r="K106" s="19">
        <v>0.0</v>
      </c>
      <c r="M106" s="19">
        <v>0.0</v>
      </c>
      <c r="O106" s="19">
        <v>0.0</v>
      </c>
      <c r="Q106" s="26">
        <f t="shared" si="1"/>
        <v>0</v>
      </c>
      <c r="R106" s="25">
        <f t="shared" si="2"/>
        <v>0</v>
      </c>
      <c r="S106" s="25">
        <f t="shared" si="3"/>
        <v>0</v>
      </c>
      <c r="T106" s="25">
        <f t="shared" si="4"/>
        <v>0</v>
      </c>
      <c r="U106" s="27">
        <f t="shared" si="5"/>
        <v>0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28" t="s">
        <v>26</v>
      </c>
      <c r="B107" s="29">
        <f t="shared" si="6"/>
        <v>46124</v>
      </c>
      <c r="C107" s="31">
        <v>4.0</v>
      </c>
      <c r="D107" s="31" t="s">
        <v>28</v>
      </c>
      <c r="E107" s="32"/>
      <c r="F107" s="32" t="s">
        <v>32</v>
      </c>
      <c r="G107" s="34">
        <v>0.0</v>
      </c>
      <c r="H107" s="6"/>
      <c r="I107" s="34">
        <v>0.0</v>
      </c>
      <c r="J107" s="6"/>
      <c r="K107" s="34">
        <v>0.0</v>
      </c>
      <c r="L107" s="6"/>
      <c r="M107" s="34">
        <v>0.0</v>
      </c>
      <c r="N107" s="6"/>
      <c r="O107" s="34">
        <v>0.0</v>
      </c>
      <c r="P107" s="6"/>
      <c r="Q107" s="35">
        <f t="shared" si="1"/>
        <v>0</v>
      </c>
      <c r="R107" s="31">
        <f t="shared" si="2"/>
        <v>0</v>
      </c>
      <c r="S107" s="31">
        <f t="shared" si="3"/>
        <v>0</v>
      </c>
      <c r="T107" s="31">
        <f t="shared" si="4"/>
        <v>0</v>
      </c>
      <c r="U107" s="36">
        <f t="shared" si="5"/>
        <v>0</v>
      </c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13" t="s">
        <v>19</v>
      </c>
      <c r="B108" s="37">
        <f t="shared" si="6"/>
        <v>46125</v>
      </c>
      <c r="C108" s="16">
        <v>4.0</v>
      </c>
      <c r="D108" s="16" t="s">
        <v>29</v>
      </c>
      <c r="E108" s="17"/>
      <c r="F108" s="17" t="s">
        <v>32</v>
      </c>
      <c r="G108" s="18">
        <v>0.0</v>
      </c>
      <c r="I108" s="19">
        <v>0.0</v>
      </c>
      <c r="K108" s="19">
        <v>0.0</v>
      </c>
      <c r="M108" s="19">
        <v>0.0</v>
      </c>
      <c r="O108" s="19">
        <v>0.0</v>
      </c>
      <c r="Q108" s="20">
        <f t="shared" si="1"/>
        <v>0</v>
      </c>
      <c r="R108" s="16">
        <f t="shared" si="2"/>
        <v>0</v>
      </c>
      <c r="S108" s="16">
        <f t="shared" si="3"/>
        <v>0</v>
      </c>
      <c r="T108" s="16">
        <f t="shared" si="4"/>
        <v>0</v>
      </c>
      <c r="U108" s="38">
        <f t="shared" si="5"/>
        <v>0</v>
      </c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22" t="s">
        <v>21</v>
      </c>
      <c r="B109" s="23">
        <f t="shared" si="6"/>
        <v>46126</v>
      </c>
      <c r="C109" s="25">
        <v>4.0</v>
      </c>
      <c r="D109" s="25" t="s">
        <v>29</v>
      </c>
      <c r="E109" s="73">
        <v>3.0</v>
      </c>
      <c r="F109" s="21" t="s">
        <v>33</v>
      </c>
      <c r="G109" s="18">
        <v>0.0</v>
      </c>
      <c r="I109" s="19">
        <v>45.0</v>
      </c>
      <c r="K109" s="19">
        <v>45.0</v>
      </c>
      <c r="M109" s="19">
        <v>0.0</v>
      </c>
      <c r="O109" s="19">
        <v>45.0</v>
      </c>
      <c r="Q109" s="26">
        <f t="shared" si="1"/>
        <v>2724.8814</v>
      </c>
      <c r="R109" s="25">
        <f t="shared" si="2"/>
        <v>90</v>
      </c>
      <c r="S109" s="25">
        <f t="shared" si="3"/>
        <v>45</v>
      </c>
      <c r="T109" s="25">
        <f t="shared" si="4"/>
        <v>135</v>
      </c>
      <c r="U109" s="27">
        <f t="shared" si="5"/>
        <v>20.18430667</v>
      </c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22" t="s">
        <v>22</v>
      </c>
      <c r="B110" s="23">
        <f t="shared" si="6"/>
        <v>46127</v>
      </c>
      <c r="C110" s="25">
        <v>4.0</v>
      </c>
      <c r="D110" s="25" t="s">
        <v>29</v>
      </c>
      <c r="E110" s="73">
        <v>3.0</v>
      </c>
      <c r="F110" s="21" t="s">
        <v>31</v>
      </c>
      <c r="G110" s="18">
        <v>45.0</v>
      </c>
      <c r="I110" s="19">
        <v>45.0</v>
      </c>
      <c r="K110" s="19">
        <v>0.0</v>
      </c>
      <c r="M110" s="19">
        <v>0.0</v>
      </c>
      <c r="O110" s="19">
        <v>0.0</v>
      </c>
      <c r="Q110" s="26">
        <f t="shared" si="1"/>
        <v>2335.8798</v>
      </c>
      <c r="R110" s="25">
        <f t="shared" si="2"/>
        <v>90</v>
      </c>
      <c r="S110" s="25">
        <f t="shared" si="3"/>
        <v>0</v>
      </c>
      <c r="T110" s="25">
        <f t="shared" si="4"/>
        <v>90</v>
      </c>
      <c r="U110" s="27">
        <f t="shared" si="5"/>
        <v>25.95422</v>
      </c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22" t="s">
        <v>23</v>
      </c>
      <c r="B111" s="23">
        <f t="shared" si="6"/>
        <v>46128</v>
      </c>
      <c r="C111" s="25">
        <v>4.0</v>
      </c>
      <c r="D111" s="25" t="s">
        <v>29</v>
      </c>
      <c r="E111" s="73">
        <v>3.0</v>
      </c>
      <c r="F111" s="21" t="s">
        <v>33</v>
      </c>
      <c r="G111" s="18">
        <v>0.0</v>
      </c>
      <c r="I111" s="19">
        <v>45.0</v>
      </c>
      <c r="K111" s="19">
        <v>45.0</v>
      </c>
      <c r="M111" s="19">
        <v>0.0</v>
      </c>
      <c r="O111" s="19">
        <v>45.0</v>
      </c>
      <c r="Q111" s="26">
        <f t="shared" si="1"/>
        <v>2724.8814</v>
      </c>
      <c r="R111" s="25">
        <f t="shared" si="2"/>
        <v>90</v>
      </c>
      <c r="S111" s="25">
        <f t="shared" si="3"/>
        <v>45</v>
      </c>
      <c r="T111" s="25">
        <f t="shared" si="4"/>
        <v>135</v>
      </c>
      <c r="U111" s="27">
        <f t="shared" si="5"/>
        <v>20.18430667</v>
      </c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22" t="s">
        <v>24</v>
      </c>
      <c r="B112" s="23">
        <f t="shared" si="6"/>
        <v>46129</v>
      </c>
      <c r="C112" s="25">
        <v>4.0</v>
      </c>
      <c r="D112" s="25" t="s">
        <v>29</v>
      </c>
      <c r="E112" s="73">
        <v>3.0</v>
      </c>
      <c r="F112" s="21" t="s">
        <v>33</v>
      </c>
      <c r="G112" s="18">
        <v>0.0</v>
      </c>
      <c r="I112" s="19">
        <v>45.0</v>
      </c>
      <c r="K112" s="19">
        <v>45.0</v>
      </c>
      <c r="M112" s="19">
        <v>0.0</v>
      </c>
      <c r="O112" s="19">
        <v>45.0</v>
      </c>
      <c r="Q112" s="26">
        <f t="shared" si="1"/>
        <v>2724.8814</v>
      </c>
      <c r="R112" s="25">
        <f t="shared" si="2"/>
        <v>90</v>
      </c>
      <c r="S112" s="25">
        <f t="shared" si="3"/>
        <v>45</v>
      </c>
      <c r="T112" s="25">
        <f t="shared" si="4"/>
        <v>135</v>
      </c>
      <c r="U112" s="27">
        <f t="shared" si="5"/>
        <v>20.18430667</v>
      </c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22" t="s">
        <v>25</v>
      </c>
      <c r="B113" s="23">
        <f t="shared" si="6"/>
        <v>46130</v>
      </c>
      <c r="C113" s="25">
        <v>4.0</v>
      </c>
      <c r="D113" s="25" t="s">
        <v>29</v>
      </c>
      <c r="E113" s="73">
        <v>3.0</v>
      </c>
      <c r="F113" s="21" t="s">
        <v>33</v>
      </c>
      <c r="G113" s="18">
        <v>0.0</v>
      </c>
      <c r="I113" s="19">
        <v>45.0</v>
      </c>
      <c r="K113" s="19">
        <v>45.0</v>
      </c>
      <c r="M113" s="19">
        <v>0.0</v>
      </c>
      <c r="O113" s="19">
        <v>45.0</v>
      </c>
      <c r="Q113" s="26">
        <f t="shared" si="1"/>
        <v>2724.8814</v>
      </c>
      <c r="R113" s="25">
        <f t="shared" si="2"/>
        <v>90</v>
      </c>
      <c r="S113" s="25">
        <f t="shared" si="3"/>
        <v>45</v>
      </c>
      <c r="T113" s="25">
        <f t="shared" si="4"/>
        <v>135</v>
      </c>
      <c r="U113" s="27">
        <f t="shared" si="5"/>
        <v>20.18430667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28" t="s">
        <v>26</v>
      </c>
      <c r="B114" s="29">
        <f t="shared" si="6"/>
        <v>46131</v>
      </c>
      <c r="C114" s="31">
        <v>4.0</v>
      </c>
      <c r="D114" s="31" t="s">
        <v>29</v>
      </c>
      <c r="E114" s="74">
        <v>3.0</v>
      </c>
      <c r="F114" s="32" t="s">
        <v>31</v>
      </c>
      <c r="G114" s="33">
        <v>45.0</v>
      </c>
      <c r="H114" s="6"/>
      <c r="I114" s="75">
        <v>0.0</v>
      </c>
      <c r="J114" s="6"/>
      <c r="K114" s="34">
        <v>0.0</v>
      </c>
      <c r="L114" s="6"/>
      <c r="M114" s="34">
        <v>0.0</v>
      </c>
      <c r="N114" s="6"/>
      <c r="O114" s="34">
        <v>0.0</v>
      </c>
      <c r="P114" s="6"/>
      <c r="Q114" s="35">
        <f t="shared" si="1"/>
        <v>1167.9399</v>
      </c>
      <c r="R114" s="31">
        <f t="shared" si="2"/>
        <v>45</v>
      </c>
      <c r="S114" s="31">
        <f t="shared" si="3"/>
        <v>0</v>
      </c>
      <c r="T114" s="31">
        <f t="shared" si="4"/>
        <v>45</v>
      </c>
      <c r="U114" s="36">
        <f t="shared" si="5"/>
        <v>25.95422</v>
      </c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13" t="s">
        <v>19</v>
      </c>
      <c r="B115" s="37">
        <f t="shared" si="6"/>
        <v>46132</v>
      </c>
      <c r="C115" s="16">
        <v>5.0</v>
      </c>
      <c r="D115" s="16" t="s">
        <v>20</v>
      </c>
      <c r="E115" s="17"/>
      <c r="F115" s="17" t="s">
        <v>32</v>
      </c>
      <c r="G115" s="18">
        <v>0.0</v>
      </c>
      <c r="I115" s="19">
        <v>0.0</v>
      </c>
      <c r="K115" s="19">
        <v>0.0</v>
      </c>
      <c r="M115" s="19">
        <v>0.0</v>
      </c>
      <c r="O115" s="19">
        <v>0.0</v>
      </c>
      <c r="Q115" s="20">
        <f t="shared" si="1"/>
        <v>0</v>
      </c>
      <c r="R115" s="16">
        <f t="shared" si="2"/>
        <v>0</v>
      </c>
      <c r="S115" s="16">
        <f t="shared" si="3"/>
        <v>0</v>
      </c>
      <c r="T115" s="16">
        <f t="shared" si="4"/>
        <v>0</v>
      </c>
      <c r="U115" s="38">
        <f t="shared" si="5"/>
        <v>0</v>
      </c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22" t="s">
        <v>21</v>
      </c>
      <c r="B116" s="23">
        <f t="shared" si="6"/>
        <v>46133</v>
      </c>
      <c r="C116" s="25">
        <v>5.0</v>
      </c>
      <c r="D116" s="25" t="s">
        <v>20</v>
      </c>
      <c r="E116" s="21"/>
      <c r="F116" s="21" t="s">
        <v>32</v>
      </c>
      <c r="G116" s="18">
        <v>0.0</v>
      </c>
      <c r="I116" s="19">
        <v>0.0</v>
      </c>
      <c r="K116" s="19">
        <v>0.0</v>
      </c>
      <c r="M116" s="19">
        <v>0.0</v>
      </c>
      <c r="O116" s="19">
        <v>0.0</v>
      </c>
      <c r="Q116" s="26">
        <f t="shared" si="1"/>
        <v>0</v>
      </c>
      <c r="R116" s="25">
        <f t="shared" si="2"/>
        <v>0</v>
      </c>
      <c r="S116" s="25">
        <f t="shared" si="3"/>
        <v>0</v>
      </c>
      <c r="T116" s="25">
        <f t="shared" si="4"/>
        <v>0</v>
      </c>
      <c r="U116" s="27">
        <f t="shared" si="5"/>
        <v>0</v>
      </c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22" t="s">
        <v>22</v>
      </c>
      <c r="B117" s="23">
        <f t="shared" si="6"/>
        <v>46134</v>
      </c>
      <c r="C117" s="25">
        <v>5.0</v>
      </c>
      <c r="D117" s="25" t="s">
        <v>20</v>
      </c>
      <c r="E117" s="21"/>
      <c r="F117" s="21" t="s">
        <v>32</v>
      </c>
      <c r="G117" s="18">
        <v>0.0</v>
      </c>
      <c r="I117" s="19">
        <v>0.0</v>
      </c>
      <c r="K117" s="19">
        <v>0.0</v>
      </c>
      <c r="M117" s="19">
        <v>0.0</v>
      </c>
      <c r="O117" s="19">
        <v>0.0</v>
      </c>
      <c r="Q117" s="26">
        <f t="shared" si="1"/>
        <v>0</v>
      </c>
      <c r="R117" s="25">
        <f t="shared" si="2"/>
        <v>0</v>
      </c>
      <c r="S117" s="25">
        <f t="shared" si="3"/>
        <v>0</v>
      </c>
      <c r="T117" s="25">
        <f t="shared" si="4"/>
        <v>0</v>
      </c>
      <c r="U117" s="27">
        <f t="shared" si="5"/>
        <v>0</v>
      </c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22" t="s">
        <v>23</v>
      </c>
      <c r="B118" s="23">
        <f t="shared" si="6"/>
        <v>46135</v>
      </c>
      <c r="C118" s="25">
        <v>5.0</v>
      </c>
      <c r="D118" s="25" t="s">
        <v>20</v>
      </c>
      <c r="E118" s="21"/>
      <c r="F118" s="21" t="s">
        <v>32</v>
      </c>
      <c r="G118" s="18">
        <v>0.0</v>
      </c>
      <c r="I118" s="19">
        <v>0.0</v>
      </c>
      <c r="K118" s="19">
        <v>0.0</v>
      </c>
      <c r="M118" s="19">
        <v>0.0</v>
      </c>
      <c r="O118" s="19">
        <v>0.0</v>
      </c>
      <c r="Q118" s="26">
        <f t="shared" si="1"/>
        <v>0</v>
      </c>
      <c r="R118" s="25">
        <f t="shared" si="2"/>
        <v>0</v>
      </c>
      <c r="S118" s="25">
        <f t="shared" si="3"/>
        <v>0</v>
      </c>
      <c r="T118" s="25">
        <f t="shared" si="4"/>
        <v>0</v>
      </c>
      <c r="U118" s="27">
        <f t="shared" si="5"/>
        <v>0</v>
      </c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22" t="s">
        <v>24</v>
      </c>
      <c r="B119" s="23">
        <f t="shared" si="6"/>
        <v>46136</v>
      </c>
      <c r="C119" s="25">
        <v>5.0</v>
      </c>
      <c r="D119" s="25" t="s">
        <v>20</v>
      </c>
      <c r="E119" s="21"/>
      <c r="F119" s="21" t="s">
        <v>32</v>
      </c>
      <c r="G119" s="18">
        <v>0.0</v>
      </c>
      <c r="I119" s="19">
        <v>0.0</v>
      </c>
      <c r="K119" s="19">
        <v>0.0</v>
      </c>
      <c r="M119" s="19">
        <v>0.0</v>
      </c>
      <c r="O119" s="19">
        <v>0.0</v>
      </c>
      <c r="Q119" s="26">
        <f t="shared" si="1"/>
        <v>0</v>
      </c>
      <c r="R119" s="25">
        <f t="shared" si="2"/>
        <v>0</v>
      </c>
      <c r="S119" s="25">
        <f t="shared" si="3"/>
        <v>0</v>
      </c>
      <c r="T119" s="25">
        <f t="shared" si="4"/>
        <v>0</v>
      </c>
      <c r="U119" s="27">
        <f t="shared" si="5"/>
        <v>0</v>
      </c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22" t="s">
        <v>25</v>
      </c>
      <c r="B120" s="23">
        <f t="shared" si="6"/>
        <v>46137</v>
      </c>
      <c r="C120" s="25">
        <v>5.0</v>
      </c>
      <c r="D120" s="25" t="s">
        <v>20</v>
      </c>
      <c r="E120" s="21"/>
      <c r="F120" s="21" t="s">
        <v>32</v>
      </c>
      <c r="G120" s="18">
        <v>0.0</v>
      </c>
      <c r="I120" s="19">
        <v>0.0</v>
      </c>
      <c r="K120" s="19">
        <v>0.0</v>
      </c>
      <c r="M120" s="19">
        <v>0.0</v>
      </c>
      <c r="O120" s="19">
        <v>0.0</v>
      </c>
      <c r="Q120" s="26">
        <f t="shared" si="1"/>
        <v>0</v>
      </c>
      <c r="R120" s="25">
        <f t="shared" si="2"/>
        <v>0</v>
      </c>
      <c r="S120" s="25">
        <f t="shared" si="3"/>
        <v>0</v>
      </c>
      <c r="T120" s="25">
        <f t="shared" si="4"/>
        <v>0</v>
      </c>
      <c r="U120" s="27">
        <f t="shared" si="5"/>
        <v>0</v>
      </c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28" t="s">
        <v>26</v>
      </c>
      <c r="B121" s="29">
        <f t="shared" si="6"/>
        <v>46138</v>
      </c>
      <c r="C121" s="31">
        <v>5.0</v>
      </c>
      <c r="D121" s="31" t="s">
        <v>20</v>
      </c>
      <c r="E121" s="32"/>
      <c r="F121" s="32" t="s">
        <v>32</v>
      </c>
      <c r="G121" s="34">
        <v>0.0</v>
      </c>
      <c r="H121" s="6"/>
      <c r="I121" s="34">
        <v>0.0</v>
      </c>
      <c r="J121" s="6"/>
      <c r="K121" s="34">
        <v>0.0</v>
      </c>
      <c r="L121" s="6"/>
      <c r="M121" s="34">
        <v>0.0</v>
      </c>
      <c r="N121" s="6"/>
      <c r="O121" s="34">
        <v>0.0</v>
      </c>
      <c r="P121" s="6"/>
      <c r="Q121" s="35">
        <f t="shared" si="1"/>
        <v>0</v>
      </c>
      <c r="R121" s="31">
        <f t="shared" si="2"/>
        <v>0</v>
      </c>
      <c r="S121" s="31">
        <f t="shared" si="3"/>
        <v>0</v>
      </c>
      <c r="T121" s="31">
        <f t="shared" si="4"/>
        <v>0</v>
      </c>
      <c r="U121" s="36">
        <f t="shared" si="5"/>
        <v>0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13" t="s">
        <v>19</v>
      </c>
      <c r="B122" s="37">
        <f t="shared" si="6"/>
        <v>46139</v>
      </c>
      <c r="C122" s="16">
        <v>5.0</v>
      </c>
      <c r="D122" s="16" t="s">
        <v>27</v>
      </c>
      <c r="E122" s="17"/>
      <c r="F122" s="17" t="s">
        <v>32</v>
      </c>
      <c r="G122" s="18">
        <v>0.0</v>
      </c>
      <c r="I122" s="19">
        <v>0.0</v>
      </c>
      <c r="K122" s="19">
        <v>0.0</v>
      </c>
      <c r="M122" s="19">
        <v>0.0</v>
      </c>
      <c r="O122" s="19">
        <v>0.0</v>
      </c>
      <c r="Q122" s="20">
        <f t="shared" si="1"/>
        <v>0</v>
      </c>
      <c r="R122" s="16">
        <f t="shared" si="2"/>
        <v>0</v>
      </c>
      <c r="S122" s="16">
        <f t="shared" si="3"/>
        <v>0</v>
      </c>
      <c r="T122" s="16">
        <f t="shared" si="4"/>
        <v>0</v>
      </c>
      <c r="U122" s="38">
        <f t="shared" si="5"/>
        <v>0</v>
      </c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22" t="s">
        <v>21</v>
      </c>
      <c r="B123" s="23">
        <f t="shared" si="6"/>
        <v>46140</v>
      </c>
      <c r="C123" s="25">
        <v>5.0</v>
      </c>
      <c r="D123" s="25" t="s">
        <v>27</v>
      </c>
      <c r="E123" s="21"/>
      <c r="F123" s="21" t="s">
        <v>32</v>
      </c>
      <c r="G123" s="18">
        <v>0.0</v>
      </c>
      <c r="I123" s="19">
        <v>0.0</v>
      </c>
      <c r="K123" s="19">
        <v>0.0</v>
      </c>
      <c r="M123" s="19">
        <v>0.0</v>
      </c>
      <c r="O123" s="19">
        <v>0.0</v>
      </c>
      <c r="Q123" s="26">
        <f t="shared" si="1"/>
        <v>0</v>
      </c>
      <c r="R123" s="25">
        <f t="shared" si="2"/>
        <v>0</v>
      </c>
      <c r="S123" s="25">
        <f t="shared" si="3"/>
        <v>0</v>
      </c>
      <c r="T123" s="25">
        <f t="shared" si="4"/>
        <v>0</v>
      </c>
      <c r="U123" s="27">
        <f t="shared" si="5"/>
        <v>0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22" t="s">
        <v>22</v>
      </c>
      <c r="B124" s="23">
        <f t="shared" si="6"/>
        <v>46141</v>
      </c>
      <c r="C124" s="25">
        <v>5.0</v>
      </c>
      <c r="D124" s="25" t="s">
        <v>27</v>
      </c>
      <c r="E124" s="21"/>
      <c r="F124" s="21" t="s">
        <v>32</v>
      </c>
      <c r="G124" s="18">
        <v>0.0</v>
      </c>
      <c r="I124" s="19">
        <v>0.0</v>
      </c>
      <c r="K124" s="19">
        <v>0.0</v>
      </c>
      <c r="M124" s="19">
        <v>0.0</v>
      </c>
      <c r="O124" s="19">
        <v>0.0</v>
      </c>
      <c r="Q124" s="26">
        <f t="shared" si="1"/>
        <v>0</v>
      </c>
      <c r="R124" s="25">
        <f t="shared" si="2"/>
        <v>0</v>
      </c>
      <c r="S124" s="25">
        <f t="shared" si="3"/>
        <v>0</v>
      </c>
      <c r="T124" s="25">
        <f t="shared" si="4"/>
        <v>0</v>
      </c>
      <c r="U124" s="27">
        <f t="shared" si="5"/>
        <v>0</v>
      </c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22" t="s">
        <v>23</v>
      </c>
      <c r="B125" s="23">
        <f t="shared" si="6"/>
        <v>46142</v>
      </c>
      <c r="C125" s="25">
        <v>5.0</v>
      </c>
      <c r="D125" s="25" t="s">
        <v>27</v>
      </c>
      <c r="E125" s="21"/>
      <c r="F125" s="21" t="s">
        <v>32</v>
      </c>
      <c r="G125" s="18">
        <v>0.0</v>
      </c>
      <c r="I125" s="19">
        <v>0.0</v>
      </c>
      <c r="K125" s="19">
        <v>0.0</v>
      </c>
      <c r="M125" s="19">
        <v>0.0</v>
      </c>
      <c r="O125" s="19">
        <v>0.0</v>
      </c>
      <c r="Q125" s="26">
        <f t="shared" si="1"/>
        <v>0</v>
      </c>
      <c r="R125" s="25">
        <f t="shared" si="2"/>
        <v>0</v>
      </c>
      <c r="S125" s="25">
        <f t="shared" si="3"/>
        <v>0</v>
      </c>
      <c r="T125" s="25">
        <f t="shared" si="4"/>
        <v>0</v>
      </c>
      <c r="U125" s="27">
        <f t="shared" si="5"/>
        <v>0</v>
      </c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22" t="s">
        <v>24</v>
      </c>
      <c r="B126" s="23">
        <f t="shared" si="6"/>
        <v>46143</v>
      </c>
      <c r="C126" s="25">
        <v>5.0</v>
      </c>
      <c r="D126" s="25" t="s">
        <v>27</v>
      </c>
      <c r="E126" s="21"/>
      <c r="F126" s="21" t="s">
        <v>32</v>
      </c>
      <c r="G126" s="18">
        <v>0.0</v>
      </c>
      <c r="I126" s="19">
        <v>0.0</v>
      </c>
      <c r="K126" s="19">
        <v>0.0</v>
      </c>
      <c r="M126" s="19">
        <v>0.0</v>
      </c>
      <c r="O126" s="19">
        <v>0.0</v>
      </c>
      <c r="Q126" s="26">
        <f t="shared" si="1"/>
        <v>0</v>
      </c>
      <c r="R126" s="25">
        <f t="shared" si="2"/>
        <v>0</v>
      </c>
      <c r="S126" s="25">
        <f t="shared" si="3"/>
        <v>0</v>
      </c>
      <c r="T126" s="25">
        <f t="shared" si="4"/>
        <v>0</v>
      </c>
      <c r="U126" s="27">
        <f t="shared" si="5"/>
        <v>0</v>
      </c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22" t="s">
        <v>25</v>
      </c>
      <c r="B127" s="23">
        <f t="shared" si="6"/>
        <v>46144</v>
      </c>
      <c r="C127" s="25">
        <v>5.0</v>
      </c>
      <c r="D127" s="25" t="s">
        <v>27</v>
      </c>
      <c r="E127" s="21"/>
      <c r="F127" s="21" t="s">
        <v>32</v>
      </c>
      <c r="G127" s="18">
        <v>0.0</v>
      </c>
      <c r="I127" s="19">
        <v>0.0</v>
      </c>
      <c r="K127" s="19">
        <v>0.0</v>
      </c>
      <c r="M127" s="19">
        <v>0.0</v>
      </c>
      <c r="O127" s="19">
        <v>0.0</v>
      </c>
      <c r="Q127" s="26">
        <f t="shared" si="1"/>
        <v>0</v>
      </c>
      <c r="R127" s="25">
        <f t="shared" si="2"/>
        <v>0</v>
      </c>
      <c r="S127" s="25">
        <f t="shared" si="3"/>
        <v>0</v>
      </c>
      <c r="T127" s="25">
        <f t="shared" si="4"/>
        <v>0</v>
      </c>
      <c r="U127" s="27">
        <f t="shared" si="5"/>
        <v>0</v>
      </c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28" t="s">
        <v>26</v>
      </c>
      <c r="B128" s="29">
        <f t="shared" si="6"/>
        <v>46145</v>
      </c>
      <c r="C128" s="31">
        <v>5.0</v>
      </c>
      <c r="D128" s="31" t="s">
        <v>27</v>
      </c>
      <c r="E128" s="32"/>
      <c r="F128" s="32" t="s">
        <v>32</v>
      </c>
      <c r="G128" s="34">
        <v>0.0</v>
      </c>
      <c r="H128" s="6"/>
      <c r="I128" s="34">
        <v>0.0</v>
      </c>
      <c r="J128" s="6"/>
      <c r="K128" s="34">
        <v>0.0</v>
      </c>
      <c r="L128" s="6"/>
      <c r="M128" s="34">
        <v>0.0</v>
      </c>
      <c r="N128" s="6"/>
      <c r="O128" s="34">
        <v>0.0</v>
      </c>
      <c r="P128" s="6"/>
      <c r="Q128" s="35">
        <f t="shared" si="1"/>
        <v>0</v>
      </c>
      <c r="R128" s="31">
        <f t="shared" si="2"/>
        <v>0</v>
      </c>
      <c r="S128" s="31">
        <f t="shared" si="3"/>
        <v>0</v>
      </c>
      <c r="T128" s="31">
        <f t="shared" si="4"/>
        <v>0</v>
      </c>
      <c r="U128" s="36">
        <f t="shared" si="5"/>
        <v>0</v>
      </c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13" t="s">
        <v>19</v>
      </c>
      <c r="B129" s="37">
        <f t="shared" si="6"/>
        <v>46146</v>
      </c>
      <c r="C129" s="16">
        <v>5.0</v>
      </c>
      <c r="D129" s="16" t="s">
        <v>28</v>
      </c>
      <c r="E129" s="17"/>
      <c r="F129" s="17" t="s">
        <v>32</v>
      </c>
      <c r="G129" s="18">
        <v>0.0</v>
      </c>
      <c r="I129" s="19">
        <v>0.0</v>
      </c>
      <c r="K129" s="19">
        <v>0.0</v>
      </c>
      <c r="M129" s="19">
        <v>0.0</v>
      </c>
      <c r="O129" s="19">
        <v>0.0</v>
      </c>
      <c r="Q129" s="20">
        <f t="shared" si="1"/>
        <v>0</v>
      </c>
      <c r="R129" s="16">
        <f t="shared" si="2"/>
        <v>0</v>
      </c>
      <c r="S129" s="16">
        <f t="shared" si="3"/>
        <v>0</v>
      </c>
      <c r="T129" s="16">
        <f t="shared" si="4"/>
        <v>0</v>
      </c>
      <c r="U129" s="38">
        <f t="shared" si="5"/>
        <v>0</v>
      </c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22" t="s">
        <v>21</v>
      </c>
      <c r="B130" s="23">
        <f t="shared" si="6"/>
        <v>46147</v>
      </c>
      <c r="C130" s="25">
        <v>5.0</v>
      </c>
      <c r="D130" s="25" t="s">
        <v>28</v>
      </c>
      <c r="E130" s="21">
        <v>4.0</v>
      </c>
      <c r="F130" s="21" t="s">
        <v>33</v>
      </c>
      <c r="G130" s="18">
        <v>0.0</v>
      </c>
      <c r="I130" s="19">
        <v>45.0</v>
      </c>
      <c r="K130" s="19">
        <v>45.0</v>
      </c>
      <c r="M130" s="19">
        <v>0.0</v>
      </c>
      <c r="O130" s="19">
        <v>45.0</v>
      </c>
      <c r="Q130" s="26">
        <f t="shared" si="1"/>
        <v>2724.8814</v>
      </c>
      <c r="R130" s="25">
        <f t="shared" si="2"/>
        <v>90</v>
      </c>
      <c r="S130" s="25">
        <f t="shared" si="3"/>
        <v>45</v>
      </c>
      <c r="T130" s="25">
        <f t="shared" si="4"/>
        <v>135</v>
      </c>
      <c r="U130" s="27">
        <f t="shared" si="5"/>
        <v>20.18430667</v>
      </c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22" t="s">
        <v>22</v>
      </c>
      <c r="B131" s="23">
        <f t="shared" si="6"/>
        <v>46148</v>
      </c>
      <c r="C131" s="25">
        <v>5.0</v>
      </c>
      <c r="D131" s="25" t="s">
        <v>28</v>
      </c>
      <c r="E131" s="21">
        <v>4.0</v>
      </c>
      <c r="F131" s="21" t="s">
        <v>31</v>
      </c>
      <c r="G131" s="18">
        <v>45.0</v>
      </c>
      <c r="I131" s="19">
        <v>45.0</v>
      </c>
      <c r="K131" s="19">
        <v>0.0</v>
      </c>
      <c r="M131" s="19">
        <v>0.0</v>
      </c>
      <c r="O131" s="19">
        <v>0.0</v>
      </c>
      <c r="Q131" s="26">
        <f t="shared" si="1"/>
        <v>2335.8798</v>
      </c>
      <c r="R131" s="25">
        <f t="shared" si="2"/>
        <v>90</v>
      </c>
      <c r="S131" s="25">
        <f t="shared" si="3"/>
        <v>0</v>
      </c>
      <c r="T131" s="25">
        <f t="shared" si="4"/>
        <v>90</v>
      </c>
      <c r="U131" s="27">
        <f t="shared" si="5"/>
        <v>25.95422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22" t="s">
        <v>23</v>
      </c>
      <c r="B132" s="23">
        <f t="shared" si="6"/>
        <v>46149</v>
      </c>
      <c r="C132" s="25">
        <v>5.0</v>
      </c>
      <c r="D132" s="25" t="s">
        <v>28</v>
      </c>
      <c r="E132" s="21">
        <v>4.0</v>
      </c>
      <c r="F132" s="21" t="s">
        <v>33</v>
      </c>
      <c r="G132" s="18">
        <v>0.0</v>
      </c>
      <c r="I132" s="19">
        <v>45.0</v>
      </c>
      <c r="K132" s="19">
        <v>45.0</v>
      </c>
      <c r="M132" s="19">
        <v>0.0</v>
      </c>
      <c r="O132" s="19">
        <v>45.0</v>
      </c>
      <c r="Q132" s="26">
        <f t="shared" si="1"/>
        <v>2724.8814</v>
      </c>
      <c r="R132" s="25">
        <f t="shared" si="2"/>
        <v>90</v>
      </c>
      <c r="S132" s="25">
        <f t="shared" si="3"/>
        <v>45</v>
      </c>
      <c r="T132" s="25">
        <f t="shared" si="4"/>
        <v>135</v>
      </c>
      <c r="U132" s="27">
        <f t="shared" si="5"/>
        <v>20.18430667</v>
      </c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22" t="s">
        <v>24</v>
      </c>
      <c r="B133" s="23">
        <f t="shared" si="6"/>
        <v>46150</v>
      </c>
      <c r="C133" s="25">
        <v>5.0</v>
      </c>
      <c r="D133" s="25" t="s">
        <v>28</v>
      </c>
      <c r="E133" s="21">
        <v>4.0</v>
      </c>
      <c r="F133" s="21" t="s">
        <v>33</v>
      </c>
      <c r="G133" s="18">
        <v>0.0</v>
      </c>
      <c r="I133" s="19">
        <v>45.0</v>
      </c>
      <c r="K133" s="19">
        <v>45.0</v>
      </c>
      <c r="M133" s="19">
        <v>0.0</v>
      </c>
      <c r="O133" s="19">
        <v>45.0</v>
      </c>
      <c r="Q133" s="26">
        <f t="shared" si="1"/>
        <v>2724.8814</v>
      </c>
      <c r="R133" s="25">
        <f t="shared" si="2"/>
        <v>90</v>
      </c>
      <c r="S133" s="25">
        <f t="shared" si="3"/>
        <v>45</v>
      </c>
      <c r="T133" s="25">
        <f t="shared" si="4"/>
        <v>135</v>
      </c>
      <c r="U133" s="27">
        <f t="shared" si="5"/>
        <v>20.18430667</v>
      </c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22" t="s">
        <v>25</v>
      </c>
      <c r="B134" s="23">
        <f t="shared" si="6"/>
        <v>46151</v>
      </c>
      <c r="C134" s="25">
        <v>5.0</v>
      </c>
      <c r="D134" s="25" t="s">
        <v>28</v>
      </c>
      <c r="E134" s="21">
        <v>4.0</v>
      </c>
      <c r="F134" s="21" t="s">
        <v>33</v>
      </c>
      <c r="G134" s="18">
        <v>0.0</v>
      </c>
      <c r="I134" s="19">
        <v>45.0</v>
      </c>
      <c r="K134" s="19">
        <v>45.0</v>
      </c>
      <c r="M134" s="19">
        <v>0.0</v>
      </c>
      <c r="O134" s="19">
        <v>45.0</v>
      </c>
      <c r="Q134" s="26">
        <f t="shared" si="1"/>
        <v>2724.8814</v>
      </c>
      <c r="R134" s="25">
        <f t="shared" si="2"/>
        <v>90</v>
      </c>
      <c r="S134" s="25">
        <f t="shared" si="3"/>
        <v>45</v>
      </c>
      <c r="T134" s="25">
        <f t="shared" si="4"/>
        <v>135</v>
      </c>
      <c r="U134" s="27">
        <f t="shared" si="5"/>
        <v>20.18430667</v>
      </c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28" t="s">
        <v>26</v>
      </c>
      <c r="B135" s="29">
        <f t="shared" si="6"/>
        <v>46152</v>
      </c>
      <c r="C135" s="31">
        <v>5.0</v>
      </c>
      <c r="D135" s="31" t="s">
        <v>28</v>
      </c>
      <c r="E135" s="32">
        <v>4.0</v>
      </c>
      <c r="F135" s="32" t="s">
        <v>31</v>
      </c>
      <c r="G135" s="33">
        <v>45.0</v>
      </c>
      <c r="H135" s="6"/>
      <c r="I135" s="75">
        <v>0.0</v>
      </c>
      <c r="J135" s="6"/>
      <c r="K135" s="34">
        <v>0.0</v>
      </c>
      <c r="L135" s="6"/>
      <c r="M135" s="34">
        <v>0.0</v>
      </c>
      <c r="N135" s="6"/>
      <c r="O135" s="34">
        <v>0.0</v>
      </c>
      <c r="P135" s="6"/>
      <c r="Q135" s="35">
        <f t="shared" si="1"/>
        <v>1167.9399</v>
      </c>
      <c r="R135" s="31">
        <f t="shared" si="2"/>
        <v>45</v>
      </c>
      <c r="S135" s="31">
        <f t="shared" si="3"/>
        <v>0</v>
      </c>
      <c r="T135" s="31">
        <f t="shared" si="4"/>
        <v>45</v>
      </c>
      <c r="U135" s="36">
        <f t="shared" si="5"/>
        <v>25.95422</v>
      </c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13" t="s">
        <v>19</v>
      </c>
      <c r="B136" s="37">
        <f t="shared" si="6"/>
        <v>46153</v>
      </c>
      <c r="C136" s="16">
        <v>5.0</v>
      </c>
      <c r="D136" s="16" t="s">
        <v>29</v>
      </c>
      <c r="E136" s="17"/>
      <c r="F136" s="17" t="s">
        <v>32</v>
      </c>
      <c r="G136" s="18">
        <v>0.0</v>
      </c>
      <c r="I136" s="19">
        <v>0.0</v>
      </c>
      <c r="K136" s="19">
        <v>0.0</v>
      </c>
      <c r="M136" s="19">
        <v>0.0</v>
      </c>
      <c r="O136" s="19">
        <v>0.0</v>
      </c>
      <c r="Q136" s="20">
        <f t="shared" si="1"/>
        <v>0</v>
      </c>
      <c r="R136" s="16">
        <f t="shared" si="2"/>
        <v>0</v>
      </c>
      <c r="S136" s="16">
        <f t="shared" si="3"/>
        <v>0</v>
      </c>
      <c r="T136" s="16">
        <f t="shared" si="4"/>
        <v>0</v>
      </c>
      <c r="U136" s="38">
        <f t="shared" si="5"/>
        <v>0</v>
      </c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22" t="s">
        <v>21</v>
      </c>
      <c r="B137" s="23">
        <f t="shared" si="6"/>
        <v>46154</v>
      </c>
      <c r="C137" s="25">
        <v>5.0</v>
      </c>
      <c r="D137" s="25" t="s">
        <v>29</v>
      </c>
      <c r="E137" s="73">
        <v>5.0</v>
      </c>
      <c r="F137" s="21" t="s">
        <v>33</v>
      </c>
      <c r="G137" s="18">
        <v>0.0</v>
      </c>
      <c r="I137" s="19">
        <v>45.0</v>
      </c>
      <c r="K137" s="19">
        <v>45.0</v>
      </c>
      <c r="M137" s="19">
        <v>0.0</v>
      </c>
      <c r="O137" s="19">
        <v>45.0</v>
      </c>
      <c r="Q137" s="26">
        <f t="shared" si="1"/>
        <v>2724.8814</v>
      </c>
      <c r="R137" s="25">
        <f t="shared" si="2"/>
        <v>90</v>
      </c>
      <c r="S137" s="25">
        <f t="shared" si="3"/>
        <v>45</v>
      </c>
      <c r="T137" s="25">
        <f t="shared" si="4"/>
        <v>135</v>
      </c>
      <c r="U137" s="27">
        <f t="shared" si="5"/>
        <v>20.18430667</v>
      </c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22" t="s">
        <v>22</v>
      </c>
      <c r="B138" s="23">
        <f t="shared" si="6"/>
        <v>46155</v>
      </c>
      <c r="C138" s="25">
        <v>5.0</v>
      </c>
      <c r="D138" s="25" t="s">
        <v>29</v>
      </c>
      <c r="E138" s="73">
        <v>5.0</v>
      </c>
      <c r="F138" s="21" t="s">
        <v>31</v>
      </c>
      <c r="G138" s="18">
        <v>45.0</v>
      </c>
      <c r="I138" s="19">
        <v>45.0</v>
      </c>
      <c r="K138" s="19">
        <v>0.0</v>
      </c>
      <c r="M138" s="19">
        <v>0.0</v>
      </c>
      <c r="O138" s="19">
        <v>0.0</v>
      </c>
      <c r="Q138" s="26">
        <f t="shared" si="1"/>
        <v>2335.8798</v>
      </c>
      <c r="R138" s="25">
        <f t="shared" si="2"/>
        <v>90</v>
      </c>
      <c r="S138" s="25">
        <f t="shared" si="3"/>
        <v>0</v>
      </c>
      <c r="T138" s="25">
        <f t="shared" si="4"/>
        <v>90</v>
      </c>
      <c r="U138" s="27">
        <f t="shared" si="5"/>
        <v>25.95422</v>
      </c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22" t="s">
        <v>23</v>
      </c>
      <c r="B139" s="23">
        <f t="shared" si="6"/>
        <v>46156</v>
      </c>
      <c r="C139" s="25">
        <v>5.0</v>
      </c>
      <c r="D139" s="25" t="s">
        <v>29</v>
      </c>
      <c r="E139" s="73">
        <v>5.0</v>
      </c>
      <c r="F139" s="21" t="s">
        <v>33</v>
      </c>
      <c r="G139" s="18">
        <v>0.0</v>
      </c>
      <c r="I139" s="19">
        <v>45.0</v>
      </c>
      <c r="K139" s="19">
        <v>45.0</v>
      </c>
      <c r="M139" s="19">
        <v>0.0</v>
      </c>
      <c r="O139" s="19">
        <v>45.0</v>
      </c>
      <c r="Q139" s="26">
        <f t="shared" si="1"/>
        <v>2724.8814</v>
      </c>
      <c r="R139" s="25">
        <f t="shared" si="2"/>
        <v>90</v>
      </c>
      <c r="S139" s="25">
        <f t="shared" si="3"/>
        <v>45</v>
      </c>
      <c r="T139" s="25">
        <f t="shared" si="4"/>
        <v>135</v>
      </c>
      <c r="U139" s="27">
        <f t="shared" si="5"/>
        <v>20.18430667</v>
      </c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22" t="s">
        <v>24</v>
      </c>
      <c r="B140" s="23">
        <f t="shared" si="6"/>
        <v>46157</v>
      </c>
      <c r="C140" s="25">
        <v>5.0</v>
      </c>
      <c r="D140" s="25" t="s">
        <v>29</v>
      </c>
      <c r="E140" s="73">
        <v>5.0</v>
      </c>
      <c r="F140" s="21" t="s">
        <v>33</v>
      </c>
      <c r="G140" s="18">
        <v>0.0</v>
      </c>
      <c r="I140" s="19">
        <v>45.0</v>
      </c>
      <c r="K140" s="19">
        <v>45.0</v>
      </c>
      <c r="M140" s="19">
        <v>0.0</v>
      </c>
      <c r="O140" s="19">
        <v>45.0</v>
      </c>
      <c r="Q140" s="26">
        <f t="shared" si="1"/>
        <v>2724.8814</v>
      </c>
      <c r="R140" s="25">
        <f t="shared" si="2"/>
        <v>90</v>
      </c>
      <c r="S140" s="25">
        <f t="shared" si="3"/>
        <v>45</v>
      </c>
      <c r="T140" s="25">
        <f t="shared" si="4"/>
        <v>135</v>
      </c>
      <c r="U140" s="27">
        <f t="shared" si="5"/>
        <v>20.18430667</v>
      </c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22" t="s">
        <v>25</v>
      </c>
      <c r="B141" s="23">
        <f t="shared" si="6"/>
        <v>46158</v>
      </c>
      <c r="C141" s="25">
        <v>5.0</v>
      </c>
      <c r="D141" s="25" t="s">
        <v>29</v>
      </c>
      <c r="E141" s="73">
        <v>5.0</v>
      </c>
      <c r="F141" s="21" t="s">
        <v>33</v>
      </c>
      <c r="G141" s="18">
        <v>0.0</v>
      </c>
      <c r="I141" s="19">
        <v>45.0</v>
      </c>
      <c r="K141" s="19">
        <v>45.0</v>
      </c>
      <c r="M141" s="19">
        <v>0.0</v>
      </c>
      <c r="O141" s="19">
        <v>45.0</v>
      </c>
      <c r="Q141" s="26">
        <f t="shared" si="1"/>
        <v>2724.8814</v>
      </c>
      <c r="R141" s="25">
        <f t="shared" si="2"/>
        <v>90</v>
      </c>
      <c r="S141" s="25">
        <f t="shared" si="3"/>
        <v>45</v>
      </c>
      <c r="T141" s="25">
        <f t="shared" si="4"/>
        <v>135</v>
      </c>
      <c r="U141" s="27">
        <f t="shared" si="5"/>
        <v>20.18430667</v>
      </c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28" t="s">
        <v>26</v>
      </c>
      <c r="B142" s="29">
        <f t="shared" si="6"/>
        <v>46159</v>
      </c>
      <c r="C142" s="31">
        <v>5.0</v>
      </c>
      <c r="D142" s="31" t="s">
        <v>29</v>
      </c>
      <c r="E142" s="74">
        <v>5.0</v>
      </c>
      <c r="F142" s="32" t="s">
        <v>31</v>
      </c>
      <c r="G142" s="33">
        <v>45.0</v>
      </c>
      <c r="H142" s="6"/>
      <c r="I142" s="75">
        <v>0.0</v>
      </c>
      <c r="J142" s="6"/>
      <c r="K142" s="34">
        <v>0.0</v>
      </c>
      <c r="L142" s="6"/>
      <c r="M142" s="34">
        <v>0.0</v>
      </c>
      <c r="N142" s="6"/>
      <c r="O142" s="34">
        <v>0.0</v>
      </c>
      <c r="P142" s="6"/>
      <c r="Q142" s="35">
        <f t="shared" si="1"/>
        <v>1167.9399</v>
      </c>
      <c r="R142" s="31">
        <f t="shared" si="2"/>
        <v>45</v>
      </c>
      <c r="S142" s="31">
        <f t="shared" si="3"/>
        <v>0</v>
      </c>
      <c r="T142" s="31">
        <f t="shared" si="4"/>
        <v>45</v>
      </c>
      <c r="U142" s="36">
        <f t="shared" si="5"/>
        <v>25.95422</v>
      </c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13" t="s">
        <v>19</v>
      </c>
      <c r="B143" s="37">
        <f t="shared" si="6"/>
        <v>46160</v>
      </c>
      <c r="C143" s="16">
        <v>6.0</v>
      </c>
      <c r="D143" s="16" t="s">
        <v>20</v>
      </c>
      <c r="E143" s="17"/>
      <c r="F143" s="17" t="s">
        <v>32</v>
      </c>
      <c r="G143" s="18">
        <v>0.0</v>
      </c>
      <c r="I143" s="19">
        <v>0.0</v>
      </c>
      <c r="K143" s="19">
        <v>0.0</v>
      </c>
      <c r="M143" s="19">
        <v>0.0</v>
      </c>
      <c r="O143" s="19">
        <v>0.0</v>
      </c>
      <c r="Q143" s="20">
        <f t="shared" si="1"/>
        <v>0</v>
      </c>
      <c r="R143" s="16">
        <f t="shared" si="2"/>
        <v>0</v>
      </c>
      <c r="S143" s="16">
        <f t="shared" si="3"/>
        <v>0</v>
      </c>
      <c r="T143" s="16">
        <f t="shared" si="4"/>
        <v>0</v>
      </c>
      <c r="U143" s="38">
        <f t="shared" si="5"/>
        <v>0</v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22" t="s">
        <v>21</v>
      </c>
      <c r="B144" s="23">
        <f t="shared" si="6"/>
        <v>46161</v>
      </c>
      <c r="C144" s="25">
        <v>6.0</v>
      </c>
      <c r="D144" s="25" t="s">
        <v>20</v>
      </c>
      <c r="E144" s="21"/>
      <c r="F144" s="21" t="s">
        <v>32</v>
      </c>
      <c r="G144" s="18">
        <v>0.0</v>
      </c>
      <c r="I144" s="19">
        <v>0.0</v>
      </c>
      <c r="K144" s="19">
        <v>0.0</v>
      </c>
      <c r="M144" s="19">
        <v>0.0</v>
      </c>
      <c r="O144" s="19">
        <v>0.0</v>
      </c>
      <c r="Q144" s="26">
        <f t="shared" si="1"/>
        <v>0</v>
      </c>
      <c r="R144" s="25">
        <f t="shared" si="2"/>
        <v>0</v>
      </c>
      <c r="S144" s="25">
        <f t="shared" si="3"/>
        <v>0</v>
      </c>
      <c r="T144" s="25">
        <f t="shared" si="4"/>
        <v>0</v>
      </c>
      <c r="U144" s="27">
        <f t="shared" si="5"/>
        <v>0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22" t="s">
        <v>22</v>
      </c>
      <c r="B145" s="23">
        <f t="shared" si="6"/>
        <v>46162</v>
      </c>
      <c r="C145" s="25">
        <v>6.0</v>
      </c>
      <c r="D145" s="25" t="s">
        <v>20</v>
      </c>
      <c r="E145" s="21"/>
      <c r="F145" s="21" t="s">
        <v>32</v>
      </c>
      <c r="G145" s="18">
        <v>0.0</v>
      </c>
      <c r="I145" s="19">
        <v>0.0</v>
      </c>
      <c r="K145" s="19">
        <v>0.0</v>
      </c>
      <c r="M145" s="19">
        <v>0.0</v>
      </c>
      <c r="O145" s="19">
        <v>0.0</v>
      </c>
      <c r="Q145" s="26">
        <f t="shared" si="1"/>
        <v>0</v>
      </c>
      <c r="R145" s="25">
        <f t="shared" si="2"/>
        <v>0</v>
      </c>
      <c r="S145" s="25">
        <f t="shared" si="3"/>
        <v>0</v>
      </c>
      <c r="T145" s="25">
        <f t="shared" si="4"/>
        <v>0</v>
      </c>
      <c r="U145" s="27">
        <f t="shared" si="5"/>
        <v>0</v>
      </c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22" t="s">
        <v>23</v>
      </c>
      <c r="B146" s="23">
        <f t="shared" si="6"/>
        <v>46163</v>
      </c>
      <c r="C146" s="25">
        <v>6.0</v>
      </c>
      <c r="D146" s="25" t="s">
        <v>20</v>
      </c>
      <c r="E146" s="21"/>
      <c r="F146" s="21" t="s">
        <v>32</v>
      </c>
      <c r="G146" s="18">
        <v>0.0</v>
      </c>
      <c r="I146" s="19">
        <v>0.0</v>
      </c>
      <c r="K146" s="19">
        <v>0.0</v>
      </c>
      <c r="M146" s="19">
        <v>0.0</v>
      </c>
      <c r="O146" s="19">
        <v>0.0</v>
      </c>
      <c r="Q146" s="26">
        <f t="shared" si="1"/>
        <v>0</v>
      </c>
      <c r="R146" s="25">
        <f t="shared" si="2"/>
        <v>0</v>
      </c>
      <c r="S146" s="25">
        <f t="shared" si="3"/>
        <v>0</v>
      </c>
      <c r="T146" s="25">
        <f t="shared" si="4"/>
        <v>0</v>
      </c>
      <c r="U146" s="27">
        <f t="shared" si="5"/>
        <v>0</v>
      </c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22" t="s">
        <v>24</v>
      </c>
      <c r="B147" s="23">
        <f t="shared" si="6"/>
        <v>46164</v>
      </c>
      <c r="C147" s="25">
        <v>6.0</v>
      </c>
      <c r="D147" s="25" t="s">
        <v>20</v>
      </c>
      <c r="E147" s="21"/>
      <c r="F147" s="21" t="s">
        <v>32</v>
      </c>
      <c r="G147" s="18">
        <v>0.0</v>
      </c>
      <c r="I147" s="19">
        <v>0.0</v>
      </c>
      <c r="K147" s="19">
        <v>0.0</v>
      </c>
      <c r="M147" s="19">
        <v>0.0</v>
      </c>
      <c r="O147" s="19">
        <v>0.0</v>
      </c>
      <c r="Q147" s="26">
        <f t="shared" si="1"/>
        <v>0</v>
      </c>
      <c r="R147" s="25">
        <f t="shared" si="2"/>
        <v>0</v>
      </c>
      <c r="S147" s="25">
        <f t="shared" si="3"/>
        <v>0</v>
      </c>
      <c r="T147" s="25">
        <f t="shared" si="4"/>
        <v>0</v>
      </c>
      <c r="U147" s="27">
        <f t="shared" si="5"/>
        <v>0</v>
      </c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22" t="s">
        <v>25</v>
      </c>
      <c r="B148" s="23">
        <f t="shared" si="6"/>
        <v>46165</v>
      </c>
      <c r="C148" s="25">
        <v>6.0</v>
      </c>
      <c r="D148" s="25" t="s">
        <v>20</v>
      </c>
      <c r="E148" s="21"/>
      <c r="F148" s="21" t="s">
        <v>32</v>
      </c>
      <c r="G148" s="18">
        <v>0.0</v>
      </c>
      <c r="I148" s="19">
        <v>0.0</v>
      </c>
      <c r="K148" s="19">
        <v>0.0</v>
      </c>
      <c r="M148" s="19">
        <v>0.0</v>
      </c>
      <c r="O148" s="19">
        <v>0.0</v>
      </c>
      <c r="Q148" s="26">
        <f t="shared" si="1"/>
        <v>0</v>
      </c>
      <c r="R148" s="25">
        <f t="shared" si="2"/>
        <v>0</v>
      </c>
      <c r="S148" s="25">
        <f t="shared" si="3"/>
        <v>0</v>
      </c>
      <c r="T148" s="25">
        <f t="shared" si="4"/>
        <v>0</v>
      </c>
      <c r="U148" s="27">
        <f t="shared" si="5"/>
        <v>0</v>
      </c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28" t="s">
        <v>26</v>
      </c>
      <c r="B149" s="29">
        <f t="shared" si="6"/>
        <v>46166</v>
      </c>
      <c r="C149" s="31">
        <v>6.0</v>
      </c>
      <c r="D149" s="31" t="s">
        <v>20</v>
      </c>
      <c r="E149" s="32"/>
      <c r="F149" s="32" t="s">
        <v>32</v>
      </c>
      <c r="G149" s="34">
        <v>0.0</v>
      </c>
      <c r="H149" s="6"/>
      <c r="I149" s="34">
        <v>0.0</v>
      </c>
      <c r="J149" s="6"/>
      <c r="K149" s="34">
        <v>0.0</v>
      </c>
      <c r="L149" s="6"/>
      <c r="M149" s="34">
        <v>0.0</v>
      </c>
      <c r="N149" s="6"/>
      <c r="O149" s="34">
        <v>0.0</v>
      </c>
      <c r="P149" s="6"/>
      <c r="Q149" s="35">
        <f t="shared" si="1"/>
        <v>0</v>
      </c>
      <c r="R149" s="31">
        <f t="shared" si="2"/>
        <v>0</v>
      </c>
      <c r="S149" s="31">
        <f t="shared" si="3"/>
        <v>0</v>
      </c>
      <c r="T149" s="31">
        <f t="shared" si="4"/>
        <v>0</v>
      </c>
      <c r="U149" s="36">
        <f t="shared" si="5"/>
        <v>0</v>
      </c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13" t="s">
        <v>19</v>
      </c>
      <c r="B150" s="37">
        <f t="shared" si="6"/>
        <v>46167</v>
      </c>
      <c r="C150" s="16">
        <v>6.0</v>
      </c>
      <c r="D150" s="16" t="s">
        <v>27</v>
      </c>
      <c r="E150" s="17"/>
      <c r="F150" s="17" t="s">
        <v>32</v>
      </c>
      <c r="G150" s="18">
        <v>0.0</v>
      </c>
      <c r="I150" s="19">
        <v>0.0</v>
      </c>
      <c r="K150" s="19">
        <v>0.0</v>
      </c>
      <c r="M150" s="19">
        <v>0.0</v>
      </c>
      <c r="O150" s="19">
        <v>0.0</v>
      </c>
      <c r="Q150" s="20">
        <f t="shared" si="1"/>
        <v>0</v>
      </c>
      <c r="R150" s="16">
        <f t="shared" si="2"/>
        <v>0</v>
      </c>
      <c r="S150" s="16">
        <f t="shared" si="3"/>
        <v>0</v>
      </c>
      <c r="T150" s="16">
        <f t="shared" si="4"/>
        <v>0</v>
      </c>
      <c r="U150" s="38">
        <f t="shared" si="5"/>
        <v>0</v>
      </c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22" t="s">
        <v>21</v>
      </c>
      <c r="B151" s="23">
        <f t="shared" si="6"/>
        <v>46168</v>
      </c>
      <c r="C151" s="25">
        <v>6.0</v>
      </c>
      <c r="D151" s="25" t="s">
        <v>27</v>
      </c>
      <c r="E151" s="73">
        <v>6.0</v>
      </c>
      <c r="F151" s="21" t="s">
        <v>33</v>
      </c>
      <c r="G151" s="18">
        <v>0.0</v>
      </c>
      <c r="I151" s="19">
        <v>45.0</v>
      </c>
      <c r="K151" s="19">
        <v>45.0</v>
      </c>
      <c r="M151" s="19">
        <v>0.0</v>
      </c>
      <c r="O151" s="19">
        <v>45.0</v>
      </c>
      <c r="Q151" s="26">
        <f t="shared" si="1"/>
        <v>2724.8814</v>
      </c>
      <c r="R151" s="25">
        <f t="shared" si="2"/>
        <v>90</v>
      </c>
      <c r="S151" s="25">
        <f t="shared" si="3"/>
        <v>45</v>
      </c>
      <c r="T151" s="25">
        <f t="shared" si="4"/>
        <v>135</v>
      </c>
      <c r="U151" s="27">
        <f t="shared" si="5"/>
        <v>20.18430667</v>
      </c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22" t="s">
        <v>22</v>
      </c>
      <c r="B152" s="23">
        <f t="shared" si="6"/>
        <v>46169</v>
      </c>
      <c r="C152" s="25">
        <v>6.0</v>
      </c>
      <c r="D152" s="25" t="s">
        <v>27</v>
      </c>
      <c r="E152" s="73">
        <v>6.0</v>
      </c>
      <c r="F152" s="21" t="s">
        <v>31</v>
      </c>
      <c r="G152" s="18">
        <v>45.0</v>
      </c>
      <c r="I152" s="19">
        <v>45.0</v>
      </c>
      <c r="K152" s="19">
        <v>0.0</v>
      </c>
      <c r="M152" s="19">
        <v>0.0</v>
      </c>
      <c r="O152" s="19">
        <v>0.0</v>
      </c>
      <c r="Q152" s="26">
        <f t="shared" si="1"/>
        <v>2335.8798</v>
      </c>
      <c r="R152" s="25">
        <f t="shared" si="2"/>
        <v>90</v>
      </c>
      <c r="S152" s="25">
        <f t="shared" si="3"/>
        <v>0</v>
      </c>
      <c r="T152" s="25">
        <f t="shared" si="4"/>
        <v>90</v>
      </c>
      <c r="U152" s="27">
        <f t="shared" si="5"/>
        <v>25.95422</v>
      </c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22" t="s">
        <v>23</v>
      </c>
      <c r="B153" s="23">
        <f t="shared" si="6"/>
        <v>46170</v>
      </c>
      <c r="C153" s="25">
        <v>6.0</v>
      </c>
      <c r="D153" s="25" t="s">
        <v>27</v>
      </c>
      <c r="E153" s="73">
        <v>6.0</v>
      </c>
      <c r="F153" s="21" t="s">
        <v>33</v>
      </c>
      <c r="G153" s="18">
        <v>0.0</v>
      </c>
      <c r="I153" s="19">
        <v>45.0</v>
      </c>
      <c r="K153" s="19">
        <v>45.0</v>
      </c>
      <c r="M153" s="19">
        <v>0.0</v>
      </c>
      <c r="O153" s="19">
        <v>45.0</v>
      </c>
      <c r="Q153" s="26">
        <f t="shared" si="1"/>
        <v>2724.8814</v>
      </c>
      <c r="R153" s="25">
        <f t="shared" si="2"/>
        <v>90</v>
      </c>
      <c r="S153" s="25">
        <f t="shared" si="3"/>
        <v>45</v>
      </c>
      <c r="T153" s="25">
        <f t="shared" si="4"/>
        <v>135</v>
      </c>
      <c r="U153" s="27">
        <f t="shared" si="5"/>
        <v>20.18430667</v>
      </c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22" t="s">
        <v>24</v>
      </c>
      <c r="B154" s="23">
        <f t="shared" si="6"/>
        <v>46171</v>
      </c>
      <c r="C154" s="25">
        <v>6.0</v>
      </c>
      <c r="D154" s="25" t="s">
        <v>27</v>
      </c>
      <c r="E154" s="73">
        <v>6.0</v>
      </c>
      <c r="F154" s="21" t="s">
        <v>33</v>
      </c>
      <c r="G154" s="18">
        <v>0.0</v>
      </c>
      <c r="I154" s="19">
        <v>45.0</v>
      </c>
      <c r="K154" s="19">
        <v>45.0</v>
      </c>
      <c r="M154" s="19">
        <v>0.0</v>
      </c>
      <c r="O154" s="19">
        <v>45.0</v>
      </c>
      <c r="Q154" s="26">
        <f t="shared" si="1"/>
        <v>2724.8814</v>
      </c>
      <c r="R154" s="25">
        <f t="shared" si="2"/>
        <v>90</v>
      </c>
      <c r="S154" s="25">
        <f t="shared" si="3"/>
        <v>45</v>
      </c>
      <c r="T154" s="25">
        <f t="shared" si="4"/>
        <v>135</v>
      </c>
      <c r="U154" s="27">
        <f t="shared" si="5"/>
        <v>20.18430667</v>
      </c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22" t="s">
        <v>25</v>
      </c>
      <c r="B155" s="23">
        <f t="shared" si="6"/>
        <v>46172</v>
      </c>
      <c r="C155" s="25">
        <v>6.0</v>
      </c>
      <c r="D155" s="25" t="s">
        <v>27</v>
      </c>
      <c r="E155" s="73">
        <v>6.0</v>
      </c>
      <c r="F155" s="21" t="s">
        <v>33</v>
      </c>
      <c r="G155" s="18">
        <v>0.0</v>
      </c>
      <c r="I155" s="19">
        <v>45.0</v>
      </c>
      <c r="K155" s="19">
        <v>45.0</v>
      </c>
      <c r="M155" s="19">
        <v>0.0</v>
      </c>
      <c r="O155" s="19">
        <v>45.0</v>
      </c>
      <c r="Q155" s="26">
        <f t="shared" si="1"/>
        <v>2724.8814</v>
      </c>
      <c r="R155" s="25">
        <f t="shared" si="2"/>
        <v>90</v>
      </c>
      <c r="S155" s="25">
        <f t="shared" si="3"/>
        <v>45</v>
      </c>
      <c r="T155" s="25">
        <f t="shared" si="4"/>
        <v>135</v>
      </c>
      <c r="U155" s="27">
        <f t="shared" si="5"/>
        <v>20.18430667</v>
      </c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28" t="s">
        <v>26</v>
      </c>
      <c r="B156" s="29">
        <f t="shared" si="6"/>
        <v>46173</v>
      </c>
      <c r="C156" s="31">
        <v>6.0</v>
      </c>
      <c r="D156" s="31" t="s">
        <v>27</v>
      </c>
      <c r="E156" s="74">
        <v>6.0</v>
      </c>
      <c r="F156" s="32" t="s">
        <v>31</v>
      </c>
      <c r="G156" s="33">
        <v>45.0</v>
      </c>
      <c r="H156" s="6"/>
      <c r="I156" s="75">
        <v>0.0</v>
      </c>
      <c r="J156" s="6"/>
      <c r="K156" s="34">
        <v>0.0</v>
      </c>
      <c r="L156" s="6"/>
      <c r="M156" s="34">
        <v>0.0</v>
      </c>
      <c r="N156" s="6"/>
      <c r="O156" s="34">
        <v>0.0</v>
      </c>
      <c r="P156" s="6"/>
      <c r="Q156" s="35">
        <f t="shared" si="1"/>
        <v>1167.9399</v>
      </c>
      <c r="R156" s="31">
        <f t="shared" si="2"/>
        <v>45</v>
      </c>
      <c r="S156" s="31">
        <f t="shared" si="3"/>
        <v>0</v>
      </c>
      <c r="T156" s="31">
        <f t="shared" si="4"/>
        <v>45</v>
      </c>
      <c r="U156" s="36">
        <f t="shared" si="5"/>
        <v>25.95422</v>
      </c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13" t="s">
        <v>19</v>
      </c>
      <c r="B157" s="37">
        <f t="shared" si="6"/>
        <v>46174</v>
      </c>
      <c r="C157" s="16">
        <v>6.0</v>
      </c>
      <c r="D157" s="16" t="s">
        <v>28</v>
      </c>
      <c r="E157" s="17"/>
      <c r="F157" s="17" t="s">
        <v>32</v>
      </c>
      <c r="G157" s="18">
        <v>0.0</v>
      </c>
      <c r="I157" s="19">
        <v>0.0</v>
      </c>
      <c r="K157" s="19">
        <v>0.0</v>
      </c>
      <c r="M157" s="19">
        <v>0.0</v>
      </c>
      <c r="O157" s="19">
        <v>0.0</v>
      </c>
      <c r="Q157" s="20">
        <f t="shared" si="1"/>
        <v>0</v>
      </c>
      <c r="R157" s="16">
        <f t="shared" si="2"/>
        <v>0</v>
      </c>
      <c r="S157" s="16">
        <f t="shared" si="3"/>
        <v>0</v>
      </c>
      <c r="T157" s="16">
        <f t="shared" si="4"/>
        <v>0</v>
      </c>
      <c r="U157" s="38">
        <f t="shared" si="5"/>
        <v>0</v>
      </c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22" t="s">
        <v>21</v>
      </c>
      <c r="B158" s="23">
        <f t="shared" si="6"/>
        <v>46175</v>
      </c>
      <c r="C158" s="25">
        <v>6.0</v>
      </c>
      <c r="D158" s="25" t="s">
        <v>28</v>
      </c>
      <c r="E158" s="21"/>
      <c r="F158" s="21" t="s">
        <v>32</v>
      </c>
      <c r="G158" s="18">
        <v>0.0</v>
      </c>
      <c r="I158" s="19">
        <v>0.0</v>
      </c>
      <c r="K158" s="19">
        <v>0.0</v>
      </c>
      <c r="M158" s="19">
        <v>0.0</v>
      </c>
      <c r="O158" s="19">
        <v>0.0</v>
      </c>
      <c r="Q158" s="26">
        <f t="shared" si="1"/>
        <v>0</v>
      </c>
      <c r="R158" s="25">
        <f t="shared" si="2"/>
        <v>0</v>
      </c>
      <c r="S158" s="25">
        <f t="shared" si="3"/>
        <v>0</v>
      </c>
      <c r="T158" s="25">
        <f t="shared" si="4"/>
        <v>0</v>
      </c>
      <c r="U158" s="27">
        <f t="shared" si="5"/>
        <v>0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22" t="s">
        <v>22</v>
      </c>
      <c r="B159" s="23">
        <f t="shared" si="6"/>
        <v>46176</v>
      </c>
      <c r="C159" s="25">
        <v>6.0</v>
      </c>
      <c r="D159" s="25" t="s">
        <v>28</v>
      </c>
      <c r="E159" s="21"/>
      <c r="F159" s="21" t="s">
        <v>32</v>
      </c>
      <c r="G159" s="18">
        <v>0.0</v>
      </c>
      <c r="I159" s="19">
        <v>0.0</v>
      </c>
      <c r="K159" s="19">
        <v>0.0</v>
      </c>
      <c r="M159" s="19">
        <v>0.0</v>
      </c>
      <c r="O159" s="19">
        <v>0.0</v>
      </c>
      <c r="Q159" s="26">
        <f t="shared" si="1"/>
        <v>0</v>
      </c>
      <c r="R159" s="25">
        <f t="shared" si="2"/>
        <v>0</v>
      </c>
      <c r="S159" s="25">
        <f t="shared" si="3"/>
        <v>0</v>
      </c>
      <c r="T159" s="25">
        <f t="shared" si="4"/>
        <v>0</v>
      </c>
      <c r="U159" s="27">
        <f t="shared" si="5"/>
        <v>0</v>
      </c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22" t="s">
        <v>23</v>
      </c>
      <c r="B160" s="23">
        <f t="shared" si="6"/>
        <v>46177</v>
      </c>
      <c r="C160" s="25">
        <v>6.0</v>
      </c>
      <c r="D160" s="25" t="s">
        <v>28</v>
      </c>
      <c r="E160" s="21"/>
      <c r="F160" s="21" t="s">
        <v>32</v>
      </c>
      <c r="G160" s="18">
        <v>0.0</v>
      </c>
      <c r="I160" s="19">
        <v>0.0</v>
      </c>
      <c r="K160" s="19">
        <v>0.0</v>
      </c>
      <c r="M160" s="19">
        <v>0.0</v>
      </c>
      <c r="O160" s="19">
        <v>0.0</v>
      </c>
      <c r="Q160" s="26">
        <f t="shared" si="1"/>
        <v>0</v>
      </c>
      <c r="R160" s="25">
        <f t="shared" si="2"/>
        <v>0</v>
      </c>
      <c r="S160" s="25">
        <f t="shared" si="3"/>
        <v>0</v>
      </c>
      <c r="T160" s="25">
        <f t="shared" si="4"/>
        <v>0</v>
      </c>
      <c r="U160" s="27">
        <f t="shared" si="5"/>
        <v>0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22" t="s">
        <v>24</v>
      </c>
      <c r="B161" s="23">
        <f t="shared" si="6"/>
        <v>46178</v>
      </c>
      <c r="C161" s="25">
        <v>6.0</v>
      </c>
      <c r="D161" s="25" t="s">
        <v>28</v>
      </c>
      <c r="E161" s="21"/>
      <c r="F161" s="21" t="s">
        <v>32</v>
      </c>
      <c r="G161" s="18">
        <v>0.0</v>
      </c>
      <c r="I161" s="19">
        <v>0.0</v>
      </c>
      <c r="K161" s="19">
        <v>0.0</v>
      </c>
      <c r="M161" s="19">
        <v>0.0</v>
      </c>
      <c r="O161" s="19">
        <v>0.0</v>
      </c>
      <c r="Q161" s="26">
        <f t="shared" si="1"/>
        <v>0</v>
      </c>
      <c r="R161" s="25">
        <f t="shared" si="2"/>
        <v>0</v>
      </c>
      <c r="S161" s="25">
        <f t="shared" si="3"/>
        <v>0</v>
      </c>
      <c r="T161" s="25">
        <f t="shared" si="4"/>
        <v>0</v>
      </c>
      <c r="U161" s="27">
        <f t="shared" si="5"/>
        <v>0</v>
      </c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22" t="s">
        <v>25</v>
      </c>
      <c r="B162" s="23">
        <f t="shared" si="6"/>
        <v>46179</v>
      </c>
      <c r="C162" s="25">
        <v>6.0</v>
      </c>
      <c r="D162" s="25" t="s">
        <v>28</v>
      </c>
      <c r="E162" s="21"/>
      <c r="F162" s="21" t="s">
        <v>32</v>
      </c>
      <c r="G162" s="18">
        <v>0.0</v>
      </c>
      <c r="I162" s="19">
        <v>0.0</v>
      </c>
      <c r="K162" s="19">
        <v>0.0</v>
      </c>
      <c r="M162" s="19">
        <v>0.0</v>
      </c>
      <c r="O162" s="19">
        <v>0.0</v>
      </c>
      <c r="Q162" s="26">
        <f t="shared" si="1"/>
        <v>0</v>
      </c>
      <c r="R162" s="25">
        <f t="shared" si="2"/>
        <v>0</v>
      </c>
      <c r="S162" s="25">
        <f t="shared" si="3"/>
        <v>0</v>
      </c>
      <c r="T162" s="25">
        <f t="shared" si="4"/>
        <v>0</v>
      </c>
      <c r="U162" s="27">
        <f t="shared" si="5"/>
        <v>0</v>
      </c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28" t="s">
        <v>26</v>
      </c>
      <c r="B163" s="29">
        <f t="shared" si="6"/>
        <v>46180</v>
      </c>
      <c r="C163" s="31">
        <v>6.0</v>
      </c>
      <c r="D163" s="31" t="s">
        <v>28</v>
      </c>
      <c r="E163" s="32"/>
      <c r="F163" s="32" t="s">
        <v>32</v>
      </c>
      <c r="G163" s="34">
        <v>0.0</v>
      </c>
      <c r="H163" s="6"/>
      <c r="I163" s="34">
        <v>0.0</v>
      </c>
      <c r="J163" s="6"/>
      <c r="K163" s="34">
        <v>0.0</v>
      </c>
      <c r="L163" s="6"/>
      <c r="M163" s="34">
        <v>0.0</v>
      </c>
      <c r="N163" s="6"/>
      <c r="O163" s="34">
        <v>0.0</v>
      </c>
      <c r="P163" s="6"/>
      <c r="Q163" s="35">
        <f t="shared" si="1"/>
        <v>0</v>
      </c>
      <c r="R163" s="31">
        <f t="shared" si="2"/>
        <v>0</v>
      </c>
      <c r="S163" s="31">
        <f t="shared" si="3"/>
        <v>0</v>
      </c>
      <c r="T163" s="31">
        <f t="shared" si="4"/>
        <v>0</v>
      </c>
      <c r="U163" s="36">
        <f t="shared" si="5"/>
        <v>0</v>
      </c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13" t="s">
        <v>19</v>
      </c>
      <c r="B164" s="37">
        <f t="shared" si="6"/>
        <v>46181</v>
      </c>
      <c r="C164" s="16">
        <v>6.0</v>
      </c>
      <c r="D164" s="16" t="s">
        <v>29</v>
      </c>
      <c r="E164" s="17"/>
      <c r="F164" s="17" t="s">
        <v>32</v>
      </c>
      <c r="G164" s="18">
        <v>0.0</v>
      </c>
      <c r="I164" s="19">
        <v>0.0</v>
      </c>
      <c r="K164" s="19">
        <v>0.0</v>
      </c>
      <c r="M164" s="19">
        <v>0.0</v>
      </c>
      <c r="O164" s="19">
        <v>0.0</v>
      </c>
      <c r="Q164" s="20">
        <f t="shared" si="1"/>
        <v>0</v>
      </c>
      <c r="R164" s="16">
        <f t="shared" si="2"/>
        <v>0</v>
      </c>
      <c r="S164" s="16">
        <f t="shared" si="3"/>
        <v>0</v>
      </c>
      <c r="T164" s="16">
        <f t="shared" si="4"/>
        <v>0</v>
      </c>
      <c r="U164" s="38">
        <f t="shared" si="5"/>
        <v>0</v>
      </c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22" t="s">
        <v>21</v>
      </c>
      <c r="B165" s="23">
        <f t="shared" si="6"/>
        <v>46182</v>
      </c>
      <c r="C165" s="25">
        <v>6.0</v>
      </c>
      <c r="D165" s="25" t="s">
        <v>29</v>
      </c>
      <c r="E165" s="73">
        <v>7.0</v>
      </c>
      <c r="F165" s="21" t="s">
        <v>33</v>
      </c>
      <c r="G165" s="18">
        <v>0.0</v>
      </c>
      <c r="I165" s="19">
        <v>45.0</v>
      </c>
      <c r="K165" s="19">
        <v>45.0</v>
      </c>
      <c r="M165" s="19">
        <v>0.0</v>
      </c>
      <c r="O165" s="19">
        <v>45.0</v>
      </c>
      <c r="Q165" s="26">
        <f t="shared" si="1"/>
        <v>2724.8814</v>
      </c>
      <c r="R165" s="25">
        <f t="shared" si="2"/>
        <v>90</v>
      </c>
      <c r="S165" s="25">
        <f t="shared" si="3"/>
        <v>45</v>
      </c>
      <c r="T165" s="25">
        <f t="shared" si="4"/>
        <v>135</v>
      </c>
      <c r="U165" s="27">
        <f t="shared" si="5"/>
        <v>20.18430667</v>
      </c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22" t="s">
        <v>22</v>
      </c>
      <c r="B166" s="23">
        <f t="shared" si="6"/>
        <v>46183</v>
      </c>
      <c r="C166" s="25">
        <v>6.0</v>
      </c>
      <c r="D166" s="25" t="s">
        <v>29</v>
      </c>
      <c r="E166" s="73">
        <v>7.0</v>
      </c>
      <c r="F166" s="21" t="s">
        <v>31</v>
      </c>
      <c r="G166" s="18">
        <v>45.0</v>
      </c>
      <c r="I166" s="19">
        <v>45.0</v>
      </c>
      <c r="K166" s="19">
        <v>0.0</v>
      </c>
      <c r="M166" s="19">
        <v>0.0</v>
      </c>
      <c r="O166" s="19">
        <v>0.0</v>
      </c>
      <c r="Q166" s="26">
        <f t="shared" si="1"/>
        <v>2335.8798</v>
      </c>
      <c r="R166" s="25">
        <f t="shared" si="2"/>
        <v>90</v>
      </c>
      <c r="S166" s="25">
        <f t="shared" si="3"/>
        <v>0</v>
      </c>
      <c r="T166" s="25">
        <f t="shared" si="4"/>
        <v>90</v>
      </c>
      <c r="U166" s="27">
        <f t="shared" si="5"/>
        <v>25.95422</v>
      </c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22" t="s">
        <v>23</v>
      </c>
      <c r="B167" s="23">
        <f t="shared" si="6"/>
        <v>46184</v>
      </c>
      <c r="C167" s="25">
        <v>6.0</v>
      </c>
      <c r="D167" s="25" t="s">
        <v>29</v>
      </c>
      <c r="E167" s="73">
        <v>7.0</v>
      </c>
      <c r="F167" s="21" t="s">
        <v>33</v>
      </c>
      <c r="G167" s="18">
        <v>0.0</v>
      </c>
      <c r="I167" s="19">
        <v>45.0</v>
      </c>
      <c r="K167" s="19">
        <v>45.0</v>
      </c>
      <c r="M167" s="19">
        <v>0.0</v>
      </c>
      <c r="O167" s="19">
        <v>45.0</v>
      </c>
      <c r="Q167" s="26">
        <f t="shared" si="1"/>
        <v>2724.8814</v>
      </c>
      <c r="R167" s="25">
        <f t="shared" si="2"/>
        <v>90</v>
      </c>
      <c r="S167" s="25">
        <f t="shared" si="3"/>
        <v>45</v>
      </c>
      <c r="T167" s="25">
        <f t="shared" si="4"/>
        <v>135</v>
      </c>
      <c r="U167" s="27">
        <f t="shared" si="5"/>
        <v>20.18430667</v>
      </c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22" t="s">
        <v>24</v>
      </c>
      <c r="B168" s="23">
        <f t="shared" si="6"/>
        <v>46185</v>
      </c>
      <c r="C168" s="25">
        <v>6.0</v>
      </c>
      <c r="D168" s="25" t="s">
        <v>29</v>
      </c>
      <c r="E168" s="73">
        <v>7.0</v>
      </c>
      <c r="F168" s="21" t="s">
        <v>33</v>
      </c>
      <c r="G168" s="18">
        <v>0.0</v>
      </c>
      <c r="I168" s="19">
        <v>45.0</v>
      </c>
      <c r="K168" s="19">
        <v>45.0</v>
      </c>
      <c r="M168" s="19">
        <v>0.0</v>
      </c>
      <c r="O168" s="19">
        <v>45.0</v>
      </c>
      <c r="Q168" s="26">
        <f t="shared" si="1"/>
        <v>2724.8814</v>
      </c>
      <c r="R168" s="25">
        <f t="shared" si="2"/>
        <v>90</v>
      </c>
      <c r="S168" s="25">
        <f t="shared" si="3"/>
        <v>45</v>
      </c>
      <c r="T168" s="25">
        <f t="shared" si="4"/>
        <v>135</v>
      </c>
      <c r="U168" s="27">
        <f t="shared" si="5"/>
        <v>20.18430667</v>
      </c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22" t="s">
        <v>25</v>
      </c>
      <c r="B169" s="23">
        <f t="shared" si="6"/>
        <v>46186</v>
      </c>
      <c r="C169" s="25">
        <v>6.0</v>
      </c>
      <c r="D169" s="25" t="s">
        <v>29</v>
      </c>
      <c r="E169" s="73">
        <v>7.0</v>
      </c>
      <c r="F169" s="21" t="s">
        <v>33</v>
      </c>
      <c r="G169" s="18">
        <v>0.0</v>
      </c>
      <c r="I169" s="19">
        <v>45.0</v>
      </c>
      <c r="K169" s="19">
        <v>45.0</v>
      </c>
      <c r="M169" s="19">
        <v>0.0</v>
      </c>
      <c r="O169" s="19">
        <v>45.0</v>
      </c>
      <c r="Q169" s="26">
        <f t="shared" si="1"/>
        <v>2724.8814</v>
      </c>
      <c r="R169" s="25">
        <f t="shared" si="2"/>
        <v>90</v>
      </c>
      <c r="S169" s="25">
        <f t="shared" si="3"/>
        <v>45</v>
      </c>
      <c r="T169" s="25">
        <f t="shared" si="4"/>
        <v>135</v>
      </c>
      <c r="U169" s="27">
        <f t="shared" si="5"/>
        <v>20.18430667</v>
      </c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28" t="s">
        <v>26</v>
      </c>
      <c r="B170" s="29">
        <f t="shared" si="6"/>
        <v>46187</v>
      </c>
      <c r="C170" s="31">
        <v>6.0</v>
      </c>
      <c r="D170" s="31" t="s">
        <v>29</v>
      </c>
      <c r="E170" s="74">
        <v>7.0</v>
      </c>
      <c r="F170" s="32" t="s">
        <v>31</v>
      </c>
      <c r="G170" s="33">
        <v>45.0</v>
      </c>
      <c r="H170" s="6"/>
      <c r="I170" s="75">
        <v>0.0</v>
      </c>
      <c r="J170" s="6"/>
      <c r="K170" s="34">
        <v>0.0</v>
      </c>
      <c r="L170" s="6"/>
      <c r="M170" s="34">
        <v>0.0</v>
      </c>
      <c r="N170" s="6"/>
      <c r="O170" s="34">
        <v>0.0</v>
      </c>
      <c r="P170" s="6"/>
      <c r="Q170" s="35">
        <f t="shared" si="1"/>
        <v>1167.9399</v>
      </c>
      <c r="R170" s="31">
        <f t="shared" si="2"/>
        <v>45</v>
      </c>
      <c r="S170" s="31">
        <f t="shared" si="3"/>
        <v>0</v>
      </c>
      <c r="T170" s="31">
        <f t="shared" si="4"/>
        <v>45</v>
      </c>
      <c r="U170" s="36">
        <f t="shared" si="5"/>
        <v>25.95422</v>
      </c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13" t="s">
        <v>19</v>
      </c>
      <c r="B171" s="37">
        <f t="shared" si="6"/>
        <v>46188</v>
      </c>
      <c r="C171" s="16">
        <v>7.0</v>
      </c>
      <c r="D171" s="16" t="s">
        <v>20</v>
      </c>
      <c r="E171" s="17"/>
      <c r="F171" s="17" t="s">
        <v>32</v>
      </c>
      <c r="G171" s="18">
        <v>0.0</v>
      </c>
      <c r="I171" s="19">
        <v>0.0</v>
      </c>
      <c r="K171" s="19">
        <v>0.0</v>
      </c>
      <c r="M171" s="19">
        <v>0.0</v>
      </c>
      <c r="O171" s="19">
        <v>0.0</v>
      </c>
      <c r="Q171" s="20">
        <f t="shared" si="1"/>
        <v>0</v>
      </c>
      <c r="R171" s="16">
        <f t="shared" si="2"/>
        <v>0</v>
      </c>
      <c r="S171" s="16">
        <f t="shared" si="3"/>
        <v>0</v>
      </c>
      <c r="T171" s="16">
        <f t="shared" si="4"/>
        <v>0</v>
      </c>
      <c r="U171" s="38">
        <f t="shared" si="5"/>
        <v>0</v>
      </c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22" t="s">
        <v>21</v>
      </c>
      <c r="B172" s="23">
        <f t="shared" si="6"/>
        <v>46189</v>
      </c>
      <c r="C172" s="25">
        <v>7.0</v>
      </c>
      <c r="D172" s="25" t="s">
        <v>20</v>
      </c>
      <c r="E172" s="21"/>
      <c r="F172" s="21" t="s">
        <v>32</v>
      </c>
      <c r="G172" s="18">
        <v>0.0</v>
      </c>
      <c r="I172" s="19">
        <v>0.0</v>
      </c>
      <c r="K172" s="19">
        <v>0.0</v>
      </c>
      <c r="M172" s="19">
        <v>0.0</v>
      </c>
      <c r="O172" s="19">
        <v>0.0</v>
      </c>
      <c r="Q172" s="26">
        <f t="shared" si="1"/>
        <v>0</v>
      </c>
      <c r="R172" s="25">
        <f t="shared" si="2"/>
        <v>0</v>
      </c>
      <c r="S172" s="25">
        <f t="shared" si="3"/>
        <v>0</v>
      </c>
      <c r="T172" s="25">
        <f t="shared" si="4"/>
        <v>0</v>
      </c>
      <c r="U172" s="27">
        <f t="shared" si="5"/>
        <v>0</v>
      </c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22" t="s">
        <v>22</v>
      </c>
      <c r="B173" s="23">
        <f t="shared" si="6"/>
        <v>46190</v>
      </c>
      <c r="C173" s="25">
        <v>7.0</v>
      </c>
      <c r="D173" s="25" t="s">
        <v>20</v>
      </c>
      <c r="E173" s="21"/>
      <c r="F173" s="21" t="s">
        <v>32</v>
      </c>
      <c r="G173" s="18">
        <v>0.0</v>
      </c>
      <c r="I173" s="19">
        <v>0.0</v>
      </c>
      <c r="K173" s="19">
        <v>0.0</v>
      </c>
      <c r="M173" s="19">
        <v>0.0</v>
      </c>
      <c r="O173" s="19">
        <v>0.0</v>
      </c>
      <c r="Q173" s="26">
        <f t="shared" si="1"/>
        <v>0</v>
      </c>
      <c r="R173" s="25">
        <f t="shared" si="2"/>
        <v>0</v>
      </c>
      <c r="S173" s="25">
        <f t="shared" si="3"/>
        <v>0</v>
      </c>
      <c r="T173" s="25">
        <f t="shared" si="4"/>
        <v>0</v>
      </c>
      <c r="U173" s="27">
        <f t="shared" si="5"/>
        <v>0</v>
      </c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22" t="s">
        <v>23</v>
      </c>
      <c r="B174" s="23">
        <f t="shared" si="6"/>
        <v>46191</v>
      </c>
      <c r="C174" s="25">
        <v>7.0</v>
      </c>
      <c r="D174" s="25" t="s">
        <v>20</v>
      </c>
      <c r="E174" s="21"/>
      <c r="F174" s="21" t="s">
        <v>32</v>
      </c>
      <c r="G174" s="18">
        <v>0.0</v>
      </c>
      <c r="I174" s="19">
        <v>0.0</v>
      </c>
      <c r="K174" s="19">
        <v>0.0</v>
      </c>
      <c r="M174" s="19">
        <v>0.0</v>
      </c>
      <c r="O174" s="19">
        <v>0.0</v>
      </c>
      <c r="Q174" s="26">
        <f t="shared" si="1"/>
        <v>0</v>
      </c>
      <c r="R174" s="25">
        <f t="shared" si="2"/>
        <v>0</v>
      </c>
      <c r="S174" s="25">
        <f t="shared" si="3"/>
        <v>0</v>
      </c>
      <c r="T174" s="25">
        <f t="shared" si="4"/>
        <v>0</v>
      </c>
      <c r="U174" s="27">
        <f t="shared" si="5"/>
        <v>0</v>
      </c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22" t="s">
        <v>24</v>
      </c>
      <c r="B175" s="23">
        <f t="shared" si="6"/>
        <v>46192</v>
      </c>
      <c r="C175" s="25">
        <v>7.0</v>
      </c>
      <c r="D175" s="25" t="s">
        <v>20</v>
      </c>
      <c r="E175" s="21"/>
      <c r="F175" s="21" t="s">
        <v>32</v>
      </c>
      <c r="G175" s="18">
        <v>0.0</v>
      </c>
      <c r="I175" s="19">
        <v>0.0</v>
      </c>
      <c r="K175" s="19">
        <v>0.0</v>
      </c>
      <c r="M175" s="19">
        <v>0.0</v>
      </c>
      <c r="O175" s="19">
        <v>0.0</v>
      </c>
      <c r="Q175" s="26">
        <f t="shared" si="1"/>
        <v>0</v>
      </c>
      <c r="R175" s="25">
        <f t="shared" si="2"/>
        <v>0</v>
      </c>
      <c r="S175" s="25">
        <f t="shared" si="3"/>
        <v>0</v>
      </c>
      <c r="T175" s="25">
        <f t="shared" si="4"/>
        <v>0</v>
      </c>
      <c r="U175" s="27">
        <f t="shared" si="5"/>
        <v>0</v>
      </c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22" t="s">
        <v>25</v>
      </c>
      <c r="B176" s="23">
        <f t="shared" si="6"/>
        <v>46193</v>
      </c>
      <c r="C176" s="25">
        <v>7.0</v>
      </c>
      <c r="D176" s="25" t="s">
        <v>20</v>
      </c>
      <c r="E176" s="21"/>
      <c r="F176" s="21" t="s">
        <v>32</v>
      </c>
      <c r="G176" s="18">
        <v>0.0</v>
      </c>
      <c r="I176" s="19">
        <v>0.0</v>
      </c>
      <c r="K176" s="19">
        <v>0.0</v>
      </c>
      <c r="M176" s="19">
        <v>0.0</v>
      </c>
      <c r="O176" s="19">
        <v>0.0</v>
      </c>
      <c r="Q176" s="26">
        <f t="shared" si="1"/>
        <v>0</v>
      </c>
      <c r="R176" s="25">
        <f t="shared" si="2"/>
        <v>0</v>
      </c>
      <c r="S176" s="25">
        <f t="shared" si="3"/>
        <v>0</v>
      </c>
      <c r="T176" s="25">
        <f t="shared" si="4"/>
        <v>0</v>
      </c>
      <c r="U176" s="27">
        <f t="shared" si="5"/>
        <v>0</v>
      </c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28" t="s">
        <v>26</v>
      </c>
      <c r="B177" s="29">
        <f t="shared" si="6"/>
        <v>46194</v>
      </c>
      <c r="C177" s="31">
        <v>7.0</v>
      </c>
      <c r="D177" s="31" t="s">
        <v>20</v>
      </c>
      <c r="E177" s="32"/>
      <c r="F177" s="32" t="s">
        <v>32</v>
      </c>
      <c r="G177" s="34">
        <v>0.0</v>
      </c>
      <c r="H177" s="6"/>
      <c r="I177" s="34">
        <v>0.0</v>
      </c>
      <c r="J177" s="6"/>
      <c r="K177" s="34">
        <v>0.0</v>
      </c>
      <c r="L177" s="6"/>
      <c r="M177" s="34">
        <v>0.0</v>
      </c>
      <c r="N177" s="6"/>
      <c r="O177" s="34">
        <v>0.0</v>
      </c>
      <c r="P177" s="6"/>
      <c r="Q177" s="35">
        <f t="shared" si="1"/>
        <v>0</v>
      </c>
      <c r="R177" s="31">
        <f t="shared" si="2"/>
        <v>0</v>
      </c>
      <c r="S177" s="31">
        <f t="shared" si="3"/>
        <v>0</v>
      </c>
      <c r="T177" s="31">
        <f t="shared" si="4"/>
        <v>0</v>
      </c>
      <c r="U177" s="36">
        <f t="shared" si="5"/>
        <v>0</v>
      </c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13" t="s">
        <v>19</v>
      </c>
      <c r="B178" s="37">
        <f t="shared" si="6"/>
        <v>46195</v>
      </c>
      <c r="C178" s="16">
        <v>7.0</v>
      </c>
      <c r="D178" s="16" t="s">
        <v>27</v>
      </c>
      <c r="E178" s="17"/>
      <c r="F178" s="17" t="s">
        <v>32</v>
      </c>
      <c r="G178" s="18">
        <v>0.0</v>
      </c>
      <c r="I178" s="19">
        <v>0.0</v>
      </c>
      <c r="K178" s="19">
        <v>0.0</v>
      </c>
      <c r="M178" s="19">
        <v>0.0</v>
      </c>
      <c r="O178" s="19">
        <v>0.0</v>
      </c>
      <c r="Q178" s="20">
        <f t="shared" si="1"/>
        <v>0</v>
      </c>
      <c r="R178" s="16">
        <f t="shared" si="2"/>
        <v>0</v>
      </c>
      <c r="S178" s="16">
        <f t="shared" si="3"/>
        <v>0</v>
      </c>
      <c r="T178" s="16">
        <f t="shared" si="4"/>
        <v>0</v>
      </c>
      <c r="U178" s="38">
        <f t="shared" si="5"/>
        <v>0</v>
      </c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22" t="s">
        <v>21</v>
      </c>
      <c r="B179" s="23">
        <f t="shared" si="6"/>
        <v>46196</v>
      </c>
      <c r="C179" s="25">
        <v>7.0</v>
      </c>
      <c r="D179" s="25" t="s">
        <v>27</v>
      </c>
      <c r="E179" s="73">
        <v>8.0</v>
      </c>
      <c r="F179" s="21" t="s">
        <v>33</v>
      </c>
      <c r="G179" s="18">
        <v>0.0</v>
      </c>
      <c r="I179" s="19">
        <v>45.0</v>
      </c>
      <c r="K179" s="19">
        <v>45.0</v>
      </c>
      <c r="M179" s="19">
        <v>0.0</v>
      </c>
      <c r="O179" s="19">
        <v>45.0</v>
      </c>
      <c r="Q179" s="26">
        <f t="shared" si="1"/>
        <v>2724.8814</v>
      </c>
      <c r="R179" s="25">
        <f t="shared" si="2"/>
        <v>90</v>
      </c>
      <c r="S179" s="25">
        <f t="shared" si="3"/>
        <v>45</v>
      </c>
      <c r="T179" s="25">
        <f t="shared" si="4"/>
        <v>135</v>
      </c>
      <c r="U179" s="27">
        <f t="shared" si="5"/>
        <v>20.18430667</v>
      </c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22" t="s">
        <v>22</v>
      </c>
      <c r="B180" s="23">
        <f t="shared" si="6"/>
        <v>46197</v>
      </c>
      <c r="C180" s="25">
        <v>7.0</v>
      </c>
      <c r="D180" s="25" t="s">
        <v>27</v>
      </c>
      <c r="E180" s="73">
        <v>8.0</v>
      </c>
      <c r="F180" s="21" t="s">
        <v>31</v>
      </c>
      <c r="G180" s="18">
        <v>45.0</v>
      </c>
      <c r="I180" s="19">
        <v>45.0</v>
      </c>
      <c r="K180" s="19">
        <v>0.0</v>
      </c>
      <c r="M180" s="19">
        <v>0.0</v>
      </c>
      <c r="O180" s="19">
        <v>0.0</v>
      </c>
      <c r="Q180" s="26">
        <f t="shared" si="1"/>
        <v>2335.8798</v>
      </c>
      <c r="R180" s="25">
        <f t="shared" si="2"/>
        <v>90</v>
      </c>
      <c r="S180" s="25">
        <f t="shared" si="3"/>
        <v>0</v>
      </c>
      <c r="T180" s="25">
        <f t="shared" si="4"/>
        <v>90</v>
      </c>
      <c r="U180" s="27">
        <f t="shared" si="5"/>
        <v>25.95422</v>
      </c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22" t="s">
        <v>23</v>
      </c>
      <c r="B181" s="23">
        <f t="shared" si="6"/>
        <v>46198</v>
      </c>
      <c r="C181" s="25">
        <v>7.0</v>
      </c>
      <c r="D181" s="25" t="s">
        <v>27</v>
      </c>
      <c r="E181" s="73">
        <v>8.0</v>
      </c>
      <c r="F181" s="21" t="s">
        <v>33</v>
      </c>
      <c r="G181" s="18">
        <v>0.0</v>
      </c>
      <c r="I181" s="19">
        <v>45.0</v>
      </c>
      <c r="K181" s="19">
        <v>45.0</v>
      </c>
      <c r="M181" s="19">
        <v>0.0</v>
      </c>
      <c r="O181" s="19">
        <v>45.0</v>
      </c>
      <c r="Q181" s="26">
        <f t="shared" si="1"/>
        <v>2724.8814</v>
      </c>
      <c r="R181" s="25">
        <f t="shared" si="2"/>
        <v>90</v>
      </c>
      <c r="S181" s="25">
        <f t="shared" si="3"/>
        <v>45</v>
      </c>
      <c r="T181" s="25">
        <f t="shared" si="4"/>
        <v>135</v>
      </c>
      <c r="U181" s="27">
        <f t="shared" si="5"/>
        <v>20.18430667</v>
      </c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22" t="s">
        <v>24</v>
      </c>
      <c r="B182" s="23">
        <f t="shared" si="6"/>
        <v>46199</v>
      </c>
      <c r="C182" s="25">
        <v>7.0</v>
      </c>
      <c r="D182" s="25" t="s">
        <v>27</v>
      </c>
      <c r="E182" s="73">
        <v>8.0</v>
      </c>
      <c r="F182" s="21" t="s">
        <v>33</v>
      </c>
      <c r="G182" s="18">
        <v>0.0</v>
      </c>
      <c r="I182" s="19">
        <v>45.0</v>
      </c>
      <c r="K182" s="19">
        <v>45.0</v>
      </c>
      <c r="M182" s="19">
        <v>0.0</v>
      </c>
      <c r="O182" s="19">
        <v>45.0</v>
      </c>
      <c r="Q182" s="26">
        <f t="shared" si="1"/>
        <v>2724.8814</v>
      </c>
      <c r="R182" s="25">
        <f t="shared" si="2"/>
        <v>90</v>
      </c>
      <c r="S182" s="25">
        <f t="shared" si="3"/>
        <v>45</v>
      </c>
      <c r="T182" s="25">
        <f t="shared" si="4"/>
        <v>135</v>
      </c>
      <c r="U182" s="27">
        <f t="shared" si="5"/>
        <v>20.18430667</v>
      </c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22" t="s">
        <v>25</v>
      </c>
      <c r="B183" s="23">
        <f t="shared" si="6"/>
        <v>46200</v>
      </c>
      <c r="C183" s="25">
        <v>7.0</v>
      </c>
      <c r="D183" s="25" t="s">
        <v>27</v>
      </c>
      <c r="E183" s="73">
        <v>8.0</v>
      </c>
      <c r="F183" s="21" t="s">
        <v>33</v>
      </c>
      <c r="G183" s="18">
        <v>0.0</v>
      </c>
      <c r="I183" s="19">
        <v>45.0</v>
      </c>
      <c r="K183" s="19">
        <v>45.0</v>
      </c>
      <c r="M183" s="19">
        <v>0.0</v>
      </c>
      <c r="O183" s="19">
        <v>45.0</v>
      </c>
      <c r="Q183" s="26">
        <f t="shared" si="1"/>
        <v>2724.8814</v>
      </c>
      <c r="R183" s="25">
        <f t="shared" si="2"/>
        <v>90</v>
      </c>
      <c r="S183" s="25">
        <f t="shared" si="3"/>
        <v>45</v>
      </c>
      <c r="T183" s="25">
        <f t="shared" si="4"/>
        <v>135</v>
      </c>
      <c r="U183" s="27">
        <f t="shared" si="5"/>
        <v>20.18430667</v>
      </c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28" t="s">
        <v>26</v>
      </c>
      <c r="B184" s="29">
        <f t="shared" si="6"/>
        <v>46201</v>
      </c>
      <c r="C184" s="31">
        <v>7.0</v>
      </c>
      <c r="D184" s="31" t="s">
        <v>27</v>
      </c>
      <c r="E184" s="74">
        <v>8.0</v>
      </c>
      <c r="F184" s="32" t="s">
        <v>31</v>
      </c>
      <c r="G184" s="33">
        <v>45.0</v>
      </c>
      <c r="H184" s="6"/>
      <c r="I184" s="75">
        <v>0.0</v>
      </c>
      <c r="J184" s="6"/>
      <c r="K184" s="34">
        <v>0.0</v>
      </c>
      <c r="L184" s="6"/>
      <c r="M184" s="34">
        <v>0.0</v>
      </c>
      <c r="N184" s="6"/>
      <c r="O184" s="34">
        <v>0.0</v>
      </c>
      <c r="P184" s="6"/>
      <c r="Q184" s="35">
        <f t="shared" si="1"/>
        <v>1167.9399</v>
      </c>
      <c r="R184" s="31">
        <f t="shared" si="2"/>
        <v>45</v>
      </c>
      <c r="S184" s="31">
        <f t="shared" si="3"/>
        <v>0</v>
      </c>
      <c r="T184" s="31">
        <f t="shared" si="4"/>
        <v>45</v>
      </c>
      <c r="U184" s="36">
        <f t="shared" si="5"/>
        <v>25.95422</v>
      </c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13" t="s">
        <v>19</v>
      </c>
      <c r="B185" s="37">
        <f t="shared" si="6"/>
        <v>46202</v>
      </c>
      <c r="C185" s="16">
        <v>7.0</v>
      </c>
      <c r="D185" s="16" t="s">
        <v>28</v>
      </c>
      <c r="E185" s="17"/>
      <c r="F185" s="17" t="s">
        <v>32</v>
      </c>
      <c r="G185" s="18">
        <v>0.0</v>
      </c>
      <c r="I185" s="19">
        <v>0.0</v>
      </c>
      <c r="K185" s="19">
        <v>0.0</v>
      </c>
      <c r="M185" s="19">
        <v>0.0</v>
      </c>
      <c r="O185" s="19">
        <v>0.0</v>
      </c>
      <c r="Q185" s="20">
        <f t="shared" si="1"/>
        <v>0</v>
      </c>
      <c r="R185" s="16">
        <f t="shared" si="2"/>
        <v>0</v>
      </c>
      <c r="S185" s="16">
        <f t="shared" si="3"/>
        <v>0</v>
      </c>
      <c r="T185" s="16">
        <f t="shared" si="4"/>
        <v>0</v>
      </c>
      <c r="U185" s="38">
        <f t="shared" si="5"/>
        <v>0</v>
      </c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22" t="s">
        <v>21</v>
      </c>
      <c r="B186" s="23">
        <f t="shared" si="6"/>
        <v>46203</v>
      </c>
      <c r="C186" s="25">
        <v>7.0</v>
      </c>
      <c r="D186" s="25" t="s">
        <v>28</v>
      </c>
      <c r="E186" s="21"/>
      <c r="F186" s="21" t="s">
        <v>32</v>
      </c>
      <c r="G186" s="18">
        <v>0.0</v>
      </c>
      <c r="I186" s="19">
        <v>0.0</v>
      </c>
      <c r="K186" s="19">
        <v>0.0</v>
      </c>
      <c r="M186" s="19">
        <v>0.0</v>
      </c>
      <c r="O186" s="19">
        <v>0.0</v>
      </c>
      <c r="Q186" s="26">
        <f t="shared" si="1"/>
        <v>0</v>
      </c>
      <c r="R186" s="25">
        <f t="shared" si="2"/>
        <v>0</v>
      </c>
      <c r="S186" s="25">
        <f t="shared" si="3"/>
        <v>0</v>
      </c>
      <c r="T186" s="25">
        <f t="shared" si="4"/>
        <v>0</v>
      </c>
      <c r="U186" s="27">
        <f t="shared" si="5"/>
        <v>0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22" t="s">
        <v>22</v>
      </c>
      <c r="B187" s="23">
        <f t="shared" si="6"/>
        <v>46204</v>
      </c>
      <c r="C187" s="25">
        <v>7.0</v>
      </c>
      <c r="D187" s="25" t="s">
        <v>28</v>
      </c>
      <c r="E187" s="21"/>
      <c r="F187" s="21" t="s">
        <v>32</v>
      </c>
      <c r="G187" s="18">
        <v>0.0</v>
      </c>
      <c r="I187" s="19">
        <v>0.0</v>
      </c>
      <c r="K187" s="19">
        <v>0.0</v>
      </c>
      <c r="M187" s="19">
        <v>0.0</v>
      </c>
      <c r="O187" s="19">
        <v>0.0</v>
      </c>
      <c r="Q187" s="26">
        <f t="shared" si="1"/>
        <v>0</v>
      </c>
      <c r="R187" s="25">
        <f t="shared" si="2"/>
        <v>0</v>
      </c>
      <c r="S187" s="25">
        <f t="shared" si="3"/>
        <v>0</v>
      </c>
      <c r="T187" s="25">
        <f t="shared" si="4"/>
        <v>0</v>
      </c>
      <c r="U187" s="27">
        <f t="shared" si="5"/>
        <v>0</v>
      </c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22" t="s">
        <v>23</v>
      </c>
      <c r="B188" s="23">
        <f t="shared" si="6"/>
        <v>46205</v>
      </c>
      <c r="C188" s="25">
        <v>7.0</v>
      </c>
      <c r="D188" s="25" t="s">
        <v>28</v>
      </c>
      <c r="E188" s="21"/>
      <c r="F188" s="21" t="s">
        <v>32</v>
      </c>
      <c r="G188" s="18">
        <v>0.0</v>
      </c>
      <c r="I188" s="19">
        <v>0.0</v>
      </c>
      <c r="K188" s="19">
        <v>0.0</v>
      </c>
      <c r="M188" s="19">
        <v>0.0</v>
      </c>
      <c r="O188" s="19">
        <v>0.0</v>
      </c>
      <c r="Q188" s="26">
        <f t="shared" si="1"/>
        <v>0</v>
      </c>
      <c r="R188" s="25">
        <f t="shared" si="2"/>
        <v>0</v>
      </c>
      <c r="S188" s="25">
        <f t="shared" si="3"/>
        <v>0</v>
      </c>
      <c r="T188" s="25">
        <f t="shared" si="4"/>
        <v>0</v>
      </c>
      <c r="U188" s="27">
        <f t="shared" si="5"/>
        <v>0</v>
      </c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22" t="s">
        <v>24</v>
      </c>
      <c r="B189" s="23">
        <f t="shared" si="6"/>
        <v>46206</v>
      </c>
      <c r="C189" s="25">
        <v>7.0</v>
      </c>
      <c r="D189" s="25" t="s">
        <v>28</v>
      </c>
      <c r="E189" s="21"/>
      <c r="F189" s="21" t="s">
        <v>32</v>
      </c>
      <c r="G189" s="18">
        <v>0.0</v>
      </c>
      <c r="I189" s="19">
        <v>0.0</v>
      </c>
      <c r="K189" s="19">
        <v>0.0</v>
      </c>
      <c r="M189" s="19">
        <v>0.0</v>
      </c>
      <c r="O189" s="19">
        <v>0.0</v>
      </c>
      <c r="Q189" s="26">
        <f t="shared" si="1"/>
        <v>0</v>
      </c>
      <c r="R189" s="25">
        <f t="shared" si="2"/>
        <v>0</v>
      </c>
      <c r="S189" s="25">
        <f t="shared" si="3"/>
        <v>0</v>
      </c>
      <c r="T189" s="25">
        <f t="shared" si="4"/>
        <v>0</v>
      </c>
      <c r="U189" s="27">
        <f t="shared" si="5"/>
        <v>0</v>
      </c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22" t="s">
        <v>25</v>
      </c>
      <c r="B190" s="23">
        <f t="shared" si="6"/>
        <v>46207</v>
      </c>
      <c r="C190" s="25">
        <v>7.0</v>
      </c>
      <c r="D190" s="25" t="s">
        <v>28</v>
      </c>
      <c r="E190" s="21"/>
      <c r="F190" s="21" t="s">
        <v>32</v>
      </c>
      <c r="G190" s="18">
        <v>0.0</v>
      </c>
      <c r="I190" s="19">
        <v>0.0</v>
      </c>
      <c r="K190" s="19">
        <v>0.0</v>
      </c>
      <c r="M190" s="19">
        <v>0.0</v>
      </c>
      <c r="O190" s="19">
        <v>0.0</v>
      </c>
      <c r="Q190" s="26">
        <f t="shared" si="1"/>
        <v>0</v>
      </c>
      <c r="R190" s="25">
        <f t="shared" si="2"/>
        <v>0</v>
      </c>
      <c r="S190" s="25">
        <f t="shared" si="3"/>
        <v>0</v>
      </c>
      <c r="T190" s="25">
        <f t="shared" si="4"/>
        <v>0</v>
      </c>
      <c r="U190" s="27">
        <f t="shared" si="5"/>
        <v>0</v>
      </c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28" t="s">
        <v>26</v>
      </c>
      <c r="B191" s="29">
        <f t="shared" si="6"/>
        <v>46208</v>
      </c>
      <c r="C191" s="31">
        <v>7.0</v>
      </c>
      <c r="D191" s="31" t="s">
        <v>28</v>
      </c>
      <c r="E191" s="32"/>
      <c r="F191" s="32" t="s">
        <v>32</v>
      </c>
      <c r="G191" s="34">
        <v>0.0</v>
      </c>
      <c r="H191" s="6"/>
      <c r="I191" s="34">
        <v>0.0</v>
      </c>
      <c r="J191" s="6"/>
      <c r="K191" s="34">
        <v>0.0</v>
      </c>
      <c r="L191" s="6"/>
      <c r="M191" s="34">
        <v>0.0</v>
      </c>
      <c r="N191" s="6"/>
      <c r="O191" s="34">
        <v>0.0</v>
      </c>
      <c r="P191" s="6"/>
      <c r="Q191" s="35">
        <f t="shared" si="1"/>
        <v>0</v>
      </c>
      <c r="R191" s="31">
        <f t="shared" si="2"/>
        <v>0</v>
      </c>
      <c r="S191" s="31">
        <f t="shared" si="3"/>
        <v>0</v>
      </c>
      <c r="T191" s="31">
        <f t="shared" si="4"/>
        <v>0</v>
      </c>
      <c r="U191" s="36">
        <f t="shared" si="5"/>
        <v>0</v>
      </c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13" t="s">
        <v>19</v>
      </c>
      <c r="B192" s="37">
        <f t="shared" si="6"/>
        <v>46209</v>
      </c>
      <c r="C192" s="16">
        <v>7.0</v>
      </c>
      <c r="D192" s="16" t="s">
        <v>29</v>
      </c>
      <c r="E192" s="17"/>
      <c r="F192" s="17" t="s">
        <v>32</v>
      </c>
      <c r="G192" s="18">
        <v>0.0</v>
      </c>
      <c r="I192" s="19">
        <v>0.0</v>
      </c>
      <c r="K192" s="19">
        <v>0.0</v>
      </c>
      <c r="M192" s="19">
        <v>0.0</v>
      </c>
      <c r="O192" s="19">
        <v>0.0</v>
      </c>
      <c r="Q192" s="20">
        <f t="shared" si="1"/>
        <v>0</v>
      </c>
      <c r="R192" s="16">
        <f t="shared" si="2"/>
        <v>0</v>
      </c>
      <c r="S192" s="16">
        <f t="shared" si="3"/>
        <v>0</v>
      </c>
      <c r="T192" s="16">
        <f t="shared" si="4"/>
        <v>0</v>
      </c>
      <c r="U192" s="38">
        <f t="shared" si="5"/>
        <v>0</v>
      </c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22" t="s">
        <v>21</v>
      </c>
      <c r="B193" s="23">
        <f t="shared" si="6"/>
        <v>46210</v>
      </c>
      <c r="C193" s="25">
        <v>7.0</v>
      </c>
      <c r="D193" s="25" t="s">
        <v>29</v>
      </c>
      <c r="E193" s="73">
        <v>9.0</v>
      </c>
      <c r="F193" s="21" t="s">
        <v>33</v>
      </c>
      <c r="G193" s="18">
        <v>0.0</v>
      </c>
      <c r="I193" s="19">
        <v>45.0</v>
      </c>
      <c r="K193" s="19">
        <v>45.0</v>
      </c>
      <c r="M193" s="19">
        <v>0.0</v>
      </c>
      <c r="O193" s="19">
        <v>45.0</v>
      </c>
      <c r="Q193" s="26">
        <f t="shared" si="1"/>
        <v>2724.8814</v>
      </c>
      <c r="R193" s="25">
        <f t="shared" si="2"/>
        <v>90</v>
      </c>
      <c r="S193" s="25">
        <f t="shared" si="3"/>
        <v>45</v>
      </c>
      <c r="T193" s="25">
        <f t="shared" si="4"/>
        <v>135</v>
      </c>
      <c r="U193" s="27">
        <f t="shared" si="5"/>
        <v>20.18430667</v>
      </c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22" t="s">
        <v>22</v>
      </c>
      <c r="B194" s="23">
        <f t="shared" si="6"/>
        <v>46211</v>
      </c>
      <c r="C194" s="25">
        <v>7.0</v>
      </c>
      <c r="D194" s="25" t="s">
        <v>29</v>
      </c>
      <c r="E194" s="73">
        <v>9.0</v>
      </c>
      <c r="F194" s="21" t="s">
        <v>31</v>
      </c>
      <c r="G194" s="18">
        <v>45.0</v>
      </c>
      <c r="I194" s="19">
        <v>45.0</v>
      </c>
      <c r="K194" s="19">
        <v>0.0</v>
      </c>
      <c r="M194" s="19">
        <v>0.0</v>
      </c>
      <c r="O194" s="19">
        <v>0.0</v>
      </c>
      <c r="Q194" s="26">
        <f t="shared" si="1"/>
        <v>2335.8798</v>
      </c>
      <c r="R194" s="25">
        <f t="shared" si="2"/>
        <v>90</v>
      </c>
      <c r="S194" s="25">
        <f t="shared" si="3"/>
        <v>0</v>
      </c>
      <c r="T194" s="25">
        <f t="shared" si="4"/>
        <v>90</v>
      </c>
      <c r="U194" s="27">
        <f t="shared" si="5"/>
        <v>25.95422</v>
      </c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22" t="s">
        <v>23</v>
      </c>
      <c r="B195" s="23">
        <f t="shared" si="6"/>
        <v>46212</v>
      </c>
      <c r="C195" s="25">
        <v>7.0</v>
      </c>
      <c r="D195" s="25" t="s">
        <v>29</v>
      </c>
      <c r="E195" s="73">
        <v>9.0</v>
      </c>
      <c r="F195" s="21" t="s">
        <v>33</v>
      </c>
      <c r="G195" s="18">
        <v>0.0</v>
      </c>
      <c r="I195" s="19">
        <v>45.0</v>
      </c>
      <c r="K195" s="19">
        <v>45.0</v>
      </c>
      <c r="M195" s="19">
        <v>0.0</v>
      </c>
      <c r="O195" s="19">
        <v>45.0</v>
      </c>
      <c r="Q195" s="26">
        <f t="shared" si="1"/>
        <v>2724.8814</v>
      </c>
      <c r="R195" s="25">
        <f t="shared" si="2"/>
        <v>90</v>
      </c>
      <c r="S195" s="25">
        <f t="shared" si="3"/>
        <v>45</v>
      </c>
      <c r="T195" s="25">
        <f t="shared" si="4"/>
        <v>135</v>
      </c>
      <c r="U195" s="27">
        <f t="shared" si="5"/>
        <v>20.18430667</v>
      </c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22" t="s">
        <v>24</v>
      </c>
      <c r="B196" s="23">
        <f t="shared" si="6"/>
        <v>46213</v>
      </c>
      <c r="C196" s="25">
        <v>7.0</v>
      </c>
      <c r="D196" s="25" t="s">
        <v>29</v>
      </c>
      <c r="E196" s="73">
        <v>9.0</v>
      </c>
      <c r="F196" s="21" t="s">
        <v>33</v>
      </c>
      <c r="G196" s="18">
        <v>0.0</v>
      </c>
      <c r="I196" s="19">
        <v>45.0</v>
      </c>
      <c r="K196" s="19">
        <v>45.0</v>
      </c>
      <c r="M196" s="19">
        <v>0.0</v>
      </c>
      <c r="O196" s="19">
        <v>45.0</v>
      </c>
      <c r="Q196" s="26">
        <f t="shared" si="1"/>
        <v>2724.8814</v>
      </c>
      <c r="R196" s="25">
        <f t="shared" si="2"/>
        <v>90</v>
      </c>
      <c r="S196" s="25">
        <f t="shared" si="3"/>
        <v>45</v>
      </c>
      <c r="T196" s="25">
        <f t="shared" si="4"/>
        <v>135</v>
      </c>
      <c r="U196" s="27">
        <f t="shared" si="5"/>
        <v>20.18430667</v>
      </c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22" t="s">
        <v>25</v>
      </c>
      <c r="B197" s="23">
        <f t="shared" si="6"/>
        <v>46214</v>
      </c>
      <c r="C197" s="25">
        <v>7.0</v>
      </c>
      <c r="D197" s="25" t="s">
        <v>29</v>
      </c>
      <c r="E197" s="73">
        <v>9.0</v>
      </c>
      <c r="F197" s="21" t="s">
        <v>33</v>
      </c>
      <c r="G197" s="18">
        <v>0.0</v>
      </c>
      <c r="I197" s="19">
        <v>45.0</v>
      </c>
      <c r="K197" s="19">
        <v>45.0</v>
      </c>
      <c r="M197" s="19">
        <v>0.0</v>
      </c>
      <c r="O197" s="19">
        <v>45.0</v>
      </c>
      <c r="Q197" s="26">
        <f t="shared" si="1"/>
        <v>2724.8814</v>
      </c>
      <c r="R197" s="25">
        <f t="shared" si="2"/>
        <v>90</v>
      </c>
      <c r="S197" s="25">
        <f t="shared" si="3"/>
        <v>45</v>
      </c>
      <c r="T197" s="25">
        <f t="shared" si="4"/>
        <v>135</v>
      </c>
      <c r="U197" s="27">
        <f t="shared" si="5"/>
        <v>20.18430667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28" t="s">
        <v>26</v>
      </c>
      <c r="B198" s="29">
        <f t="shared" si="6"/>
        <v>46215</v>
      </c>
      <c r="C198" s="31">
        <v>7.0</v>
      </c>
      <c r="D198" s="31" t="s">
        <v>29</v>
      </c>
      <c r="E198" s="74">
        <v>9.0</v>
      </c>
      <c r="F198" s="32" t="s">
        <v>31</v>
      </c>
      <c r="G198" s="33">
        <v>45.0</v>
      </c>
      <c r="H198" s="6"/>
      <c r="I198" s="75">
        <v>0.0</v>
      </c>
      <c r="J198" s="6"/>
      <c r="K198" s="34">
        <v>0.0</v>
      </c>
      <c r="L198" s="6"/>
      <c r="M198" s="34">
        <v>0.0</v>
      </c>
      <c r="N198" s="6"/>
      <c r="O198" s="34">
        <v>0.0</v>
      </c>
      <c r="P198" s="6"/>
      <c r="Q198" s="35">
        <f t="shared" si="1"/>
        <v>1167.9399</v>
      </c>
      <c r="R198" s="31">
        <f t="shared" si="2"/>
        <v>45</v>
      </c>
      <c r="S198" s="31">
        <f t="shared" si="3"/>
        <v>0</v>
      </c>
      <c r="T198" s="31">
        <f t="shared" si="4"/>
        <v>45</v>
      </c>
      <c r="U198" s="36">
        <f t="shared" si="5"/>
        <v>25.95422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13" t="s">
        <v>19</v>
      </c>
      <c r="B199" s="37">
        <f t="shared" si="6"/>
        <v>46216</v>
      </c>
      <c r="C199" s="16">
        <v>8.0</v>
      </c>
      <c r="D199" s="16" t="s">
        <v>20</v>
      </c>
      <c r="E199" s="17"/>
      <c r="F199" s="17" t="s">
        <v>32</v>
      </c>
      <c r="G199" s="18">
        <v>0.0</v>
      </c>
      <c r="I199" s="19">
        <v>0.0</v>
      </c>
      <c r="K199" s="19">
        <v>0.0</v>
      </c>
      <c r="M199" s="19">
        <v>0.0</v>
      </c>
      <c r="O199" s="19">
        <v>0.0</v>
      </c>
      <c r="Q199" s="20">
        <f t="shared" si="1"/>
        <v>0</v>
      </c>
      <c r="R199" s="16">
        <f t="shared" si="2"/>
        <v>0</v>
      </c>
      <c r="S199" s="16">
        <f t="shared" si="3"/>
        <v>0</v>
      </c>
      <c r="T199" s="16">
        <f t="shared" si="4"/>
        <v>0</v>
      </c>
      <c r="U199" s="38">
        <f t="shared" si="5"/>
        <v>0</v>
      </c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22" t="s">
        <v>21</v>
      </c>
      <c r="B200" s="23">
        <f t="shared" si="6"/>
        <v>46217</v>
      </c>
      <c r="C200" s="25">
        <v>8.0</v>
      </c>
      <c r="D200" s="25" t="s">
        <v>20</v>
      </c>
      <c r="E200" s="21"/>
      <c r="F200" s="21" t="s">
        <v>32</v>
      </c>
      <c r="G200" s="18">
        <v>0.0</v>
      </c>
      <c r="I200" s="19">
        <v>0.0</v>
      </c>
      <c r="K200" s="19">
        <v>0.0</v>
      </c>
      <c r="M200" s="19">
        <v>0.0</v>
      </c>
      <c r="O200" s="19">
        <v>0.0</v>
      </c>
      <c r="Q200" s="26">
        <f t="shared" si="1"/>
        <v>0</v>
      </c>
      <c r="R200" s="25">
        <f t="shared" si="2"/>
        <v>0</v>
      </c>
      <c r="S200" s="25">
        <f t="shared" si="3"/>
        <v>0</v>
      </c>
      <c r="T200" s="25">
        <f t="shared" si="4"/>
        <v>0</v>
      </c>
      <c r="U200" s="27">
        <f t="shared" si="5"/>
        <v>0</v>
      </c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22" t="s">
        <v>22</v>
      </c>
      <c r="B201" s="23">
        <f t="shared" si="6"/>
        <v>46218</v>
      </c>
      <c r="C201" s="25">
        <v>8.0</v>
      </c>
      <c r="D201" s="25" t="s">
        <v>20</v>
      </c>
      <c r="E201" s="21"/>
      <c r="F201" s="21" t="s">
        <v>32</v>
      </c>
      <c r="G201" s="18">
        <v>0.0</v>
      </c>
      <c r="I201" s="19">
        <v>0.0</v>
      </c>
      <c r="K201" s="19">
        <v>0.0</v>
      </c>
      <c r="M201" s="19">
        <v>0.0</v>
      </c>
      <c r="O201" s="19">
        <v>0.0</v>
      </c>
      <c r="Q201" s="26">
        <f t="shared" si="1"/>
        <v>0</v>
      </c>
      <c r="R201" s="25">
        <f t="shared" si="2"/>
        <v>0</v>
      </c>
      <c r="S201" s="25">
        <f t="shared" si="3"/>
        <v>0</v>
      </c>
      <c r="T201" s="25">
        <f t="shared" si="4"/>
        <v>0</v>
      </c>
      <c r="U201" s="27">
        <f t="shared" si="5"/>
        <v>0</v>
      </c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22" t="s">
        <v>23</v>
      </c>
      <c r="B202" s="23">
        <f t="shared" si="6"/>
        <v>46219</v>
      </c>
      <c r="C202" s="25">
        <v>8.0</v>
      </c>
      <c r="D202" s="25" t="s">
        <v>20</v>
      </c>
      <c r="E202" s="21"/>
      <c r="F202" s="21" t="s">
        <v>32</v>
      </c>
      <c r="G202" s="18">
        <v>0.0</v>
      </c>
      <c r="I202" s="19">
        <v>0.0</v>
      </c>
      <c r="K202" s="19">
        <v>0.0</v>
      </c>
      <c r="M202" s="19">
        <v>0.0</v>
      </c>
      <c r="O202" s="19">
        <v>0.0</v>
      </c>
      <c r="Q202" s="26">
        <f t="shared" si="1"/>
        <v>0</v>
      </c>
      <c r="R202" s="25">
        <f t="shared" si="2"/>
        <v>0</v>
      </c>
      <c r="S202" s="25">
        <f t="shared" si="3"/>
        <v>0</v>
      </c>
      <c r="T202" s="25">
        <f t="shared" si="4"/>
        <v>0</v>
      </c>
      <c r="U202" s="27">
        <f t="shared" si="5"/>
        <v>0</v>
      </c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22" t="s">
        <v>24</v>
      </c>
      <c r="B203" s="23">
        <f t="shared" si="6"/>
        <v>46220</v>
      </c>
      <c r="C203" s="25">
        <v>8.0</v>
      </c>
      <c r="D203" s="25" t="s">
        <v>20</v>
      </c>
      <c r="E203" s="21"/>
      <c r="F203" s="21" t="s">
        <v>32</v>
      </c>
      <c r="G203" s="18">
        <v>0.0</v>
      </c>
      <c r="I203" s="19">
        <v>0.0</v>
      </c>
      <c r="K203" s="19">
        <v>0.0</v>
      </c>
      <c r="M203" s="19">
        <v>0.0</v>
      </c>
      <c r="O203" s="19">
        <v>0.0</v>
      </c>
      <c r="Q203" s="26">
        <f t="shared" si="1"/>
        <v>0</v>
      </c>
      <c r="R203" s="25">
        <f t="shared" si="2"/>
        <v>0</v>
      </c>
      <c r="S203" s="25">
        <f t="shared" si="3"/>
        <v>0</v>
      </c>
      <c r="T203" s="25">
        <f t="shared" si="4"/>
        <v>0</v>
      </c>
      <c r="U203" s="27">
        <f t="shared" si="5"/>
        <v>0</v>
      </c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22" t="s">
        <v>25</v>
      </c>
      <c r="B204" s="23">
        <f t="shared" si="6"/>
        <v>46221</v>
      </c>
      <c r="C204" s="25">
        <v>8.0</v>
      </c>
      <c r="D204" s="25" t="s">
        <v>20</v>
      </c>
      <c r="E204" s="21"/>
      <c r="F204" s="21" t="s">
        <v>32</v>
      </c>
      <c r="G204" s="18">
        <v>0.0</v>
      </c>
      <c r="I204" s="19">
        <v>0.0</v>
      </c>
      <c r="K204" s="19">
        <v>0.0</v>
      </c>
      <c r="M204" s="19">
        <v>0.0</v>
      </c>
      <c r="O204" s="19">
        <v>0.0</v>
      </c>
      <c r="Q204" s="26">
        <f t="shared" si="1"/>
        <v>0</v>
      </c>
      <c r="R204" s="25">
        <f t="shared" si="2"/>
        <v>0</v>
      </c>
      <c r="S204" s="25">
        <f t="shared" si="3"/>
        <v>0</v>
      </c>
      <c r="T204" s="25">
        <f t="shared" si="4"/>
        <v>0</v>
      </c>
      <c r="U204" s="27">
        <f t="shared" si="5"/>
        <v>0</v>
      </c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28" t="s">
        <v>26</v>
      </c>
      <c r="B205" s="29">
        <f t="shared" si="6"/>
        <v>46222</v>
      </c>
      <c r="C205" s="31">
        <v>8.0</v>
      </c>
      <c r="D205" s="31" t="s">
        <v>20</v>
      </c>
      <c r="E205" s="32"/>
      <c r="F205" s="32" t="s">
        <v>32</v>
      </c>
      <c r="G205" s="34">
        <v>0.0</v>
      </c>
      <c r="H205" s="6"/>
      <c r="I205" s="34">
        <v>0.0</v>
      </c>
      <c r="J205" s="6"/>
      <c r="K205" s="34">
        <v>0.0</v>
      </c>
      <c r="L205" s="6"/>
      <c r="M205" s="34">
        <v>0.0</v>
      </c>
      <c r="N205" s="6"/>
      <c r="O205" s="34">
        <v>0.0</v>
      </c>
      <c r="P205" s="6"/>
      <c r="Q205" s="35">
        <f t="shared" si="1"/>
        <v>0</v>
      </c>
      <c r="R205" s="31">
        <f t="shared" si="2"/>
        <v>0</v>
      </c>
      <c r="S205" s="31">
        <f t="shared" si="3"/>
        <v>0</v>
      </c>
      <c r="T205" s="31">
        <f t="shared" si="4"/>
        <v>0</v>
      </c>
      <c r="U205" s="36">
        <f t="shared" si="5"/>
        <v>0</v>
      </c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13" t="s">
        <v>19</v>
      </c>
      <c r="B206" s="37">
        <f t="shared" si="6"/>
        <v>46223</v>
      </c>
      <c r="C206" s="16">
        <v>8.0</v>
      </c>
      <c r="D206" s="16" t="s">
        <v>27</v>
      </c>
      <c r="E206" s="17"/>
      <c r="F206" s="17" t="s">
        <v>32</v>
      </c>
      <c r="G206" s="18">
        <v>0.0</v>
      </c>
      <c r="I206" s="19">
        <v>0.0</v>
      </c>
      <c r="K206" s="19">
        <v>0.0</v>
      </c>
      <c r="M206" s="19">
        <v>0.0</v>
      </c>
      <c r="O206" s="19">
        <v>0.0</v>
      </c>
      <c r="Q206" s="20">
        <f t="shared" si="1"/>
        <v>0</v>
      </c>
      <c r="R206" s="16">
        <f t="shared" si="2"/>
        <v>0</v>
      </c>
      <c r="S206" s="16">
        <f t="shared" si="3"/>
        <v>0</v>
      </c>
      <c r="T206" s="16">
        <f t="shared" si="4"/>
        <v>0</v>
      </c>
      <c r="U206" s="38">
        <f t="shared" si="5"/>
        <v>0</v>
      </c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22" t="s">
        <v>21</v>
      </c>
      <c r="B207" s="23">
        <f t="shared" si="6"/>
        <v>46224</v>
      </c>
      <c r="C207" s="25">
        <v>8.0</v>
      </c>
      <c r="D207" s="25" t="s">
        <v>27</v>
      </c>
      <c r="E207" s="21"/>
      <c r="F207" s="21" t="s">
        <v>32</v>
      </c>
      <c r="G207" s="18">
        <v>0.0</v>
      </c>
      <c r="I207" s="19">
        <v>0.0</v>
      </c>
      <c r="K207" s="19">
        <v>0.0</v>
      </c>
      <c r="M207" s="19">
        <v>0.0</v>
      </c>
      <c r="O207" s="19">
        <v>0.0</v>
      </c>
      <c r="Q207" s="26">
        <f t="shared" si="1"/>
        <v>0</v>
      </c>
      <c r="R207" s="25">
        <f t="shared" si="2"/>
        <v>0</v>
      </c>
      <c r="S207" s="25">
        <f t="shared" si="3"/>
        <v>0</v>
      </c>
      <c r="T207" s="25">
        <f t="shared" si="4"/>
        <v>0</v>
      </c>
      <c r="U207" s="27">
        <f t="shared" si="5"/>
        <v>0</v>
      </c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22" t="s">
        <v>22</v>
      </c>
      <c r="B208" s="23">
        <f t="shared" si="6"/>
        <v>46225</v>
      </c>
      <c r="C208" s="25">
        <v>8.0</v>
      </c>
      <c r="D208" s="25" t="s">
        <v>27</v>
      </c>
      <c r="E208" s="21"/>
      <c r="F208" s="21" t="s">
        <v>32</v>
      </c>
      <c r="G208" s="18">
        <v>0.0</v>
      </c>
      <c r="I208" s="19">
        <v>0.0</v>
      </c>
      <c r="K208" s="19">
        <v>0.0</v>
      </c>
      <c r="M208" s="19">
        <v>0.0</v>
      </c>
      <c r="O208" s="19">
        <v>0.0</v>
      </c>
      <c r="Q208" s="26">
        <f t="shared" si="1"/>
        <v>0</v>
      </c>
      <c r="R208" s="25">
        <f t="shared" si="2"/>
        <v>0</v>
      </c>
      <c r="S208" s="25">
        <f t="shared" si="3"/>
        <v>0</v>
      </c>
      <c r="T208" s="25">
        <f t="shared" si="4"/>
        <v>0</v>
      </c>
      <c r="U208" s="27">
        <f t="shared" si="5"/>
        <v>0</v>
      </c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22" t="s">
        <v>23</v>
      </c>
      <c r="B209" s="23">
        <f t="shared" si="6"/>
        <v>46226</v>
      </c>
      <c r="C209" s="25">
        <v>8.0</v>
      </c>
      <c r="D209" s="25" t="s">
        <v>27</v>
      </c>
      <c r="E209" s="21"/>
      <c r="F209" s="21" t="s">
        <v>32</v>
      </c>
      <c r="G209" s="18">
        <v>0.0</v>
      </c>
      <c r="I209" s="19">
        <v>0.0</v>
      </c>
      <c r="K209" s="19">
        <v>0.0</v>
      </c>
      <c r="M209" s="19">
        <v>0.0</v>
      </c>
      <c r="O209" s="19">
        <v>0.0</v>
      </c>
      <c r="Q209" s="26">
        <f t="shared" si="1"/>
        <v>0</v>
      </c>
      <c r="R209" s="25">
        <f t="shared" si="2"/>
        <v>0</v>
      </c>
      <c r="S209" s="25">
        <f t="shared" si="3"/>
        <v>0</v>
      </c>
      <c r="T209" s="25">
        <f t="shared" si="4"/>
        <v>0</v>
      </c>
      <c r="U209" s="27">
        <f t="shared" si="5"/>
        <v>0</v>
      </c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22" t="s">
        <v>24</v>
      </c>
      <c r="B210" s="23">
        <f t="shared" si="6"/>
        <v>46227</v>
      </c>
      <c r="C210" s="25">
        <v>8.0</v>
      </c>
      <c r="D210" s="25" t="s">
        <v>27</v>
      </c>
      <c r="E210" s="21"/>
      <c r="F210" s="21" t="s">
        <v>32</v>
      </c>
      <c r="G210" s="18">
        <v>0.0</v>
      </c>
      <c r="I210" s="19">
        <v>0.0</v>
      </c>
      <c r="K210" s="19">
        <v>0.0</v>
      </c>
      <c r="M210" s="19">
        <v>0.0</v>
      </c>
      <c r="O210" s="19">
        <v>0.0</v>
      </c>
      <c r="Q210" s="26">
        <f t="shared" si="1"/>
        <v>0</v>
      </c>
      <c r="R210" s="25">
        <f t="shared" si="2"/>
        <v>0</v>
      </c>
      <c r="S210" s="25">
        <f t="shared" si="3"/>
        <v>0</v>
      </c>
      <c r="T210" s="25">
        <f t="shared" si="4"/>
        <v>0</v>
      </c>
      <c r="U210" s="27">
        <f t="shared" si="5"/>
        <v>0</v>
      </c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22" t="s">
        <v>25</v>
      </c>
      <c r="B211" s="23">
        <f t="shared" si="6"/>
        <v>46228</v>
      </c>
      <c r="C211" s="25">
        <v>8.0</v>
      </c>
      <c r="D211" s="25" t="s">
        <v>27</v>
      </c>
      <c r="E211" s="21"/>
      <c r="F211" s="21" t="s">
        <v>32</v>
      </c>
      <c r="G211" s="18">
        <v>0.0</v>
      </c>
      <c r="I211" s="19">
        <v>0.0</v>
      </c>
      <c r="K211" s="19">
        <v>0.0</v>
      </c>
      <c r="M211" s="19">
        <v>0.0</v>
      </c>
      <c r="O211" s="19">
        <v>0.0</v>
      </c>
      <c r="Q211" s="26">
        <f t="shared" si="1"/>
        <v>0</v>
      </c>
      <c r="R211" s="25">
        <f t="shared" si="2"/>
        <v>0</v>
      </c>
      <c r="S211" s="25">
        <f t="shared" si="3"/>
        <v>0</v>
      </c>
      <c r="T211" s="25">
        <f t="shared" si="4"/>
        <v>0</v>
      </c>
      <c r="U211" s="27">
        <f t="shared" si="5"/>
        <v>0</v>
      </c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28" t="s">
        <v>26</v>
      </c>
      <c r="B212" s="29">
        <f t="shared" si="6"/>
        <v>46229</v>
      </c>
      <c r="C212" s="31">
        <v>8.0</v>
      </c>
      <c r="D212" s="31" t="s">
        <v>27</v>
      </c>
      <c r="E212" s="32"/>
      <c r="F212" s="32" t="s">
        <v>32</v>
      </c>
      <c r="G212" s="34">
        <v>0.0</v>
      </c>
      <c r="H212" s="6"/>
      <c r="I212" s="34">
        <v>0.0</v>
      </c>
      <c r="J212" s="6"/>
      <c r="K212" s="34">
        <v>0.0</v>
      </c>
      <c r="L212" s="6"/>
      <c r="M212" s="34">
        <v>0.0</v>
      </c>
      <c r="N212" s="6"/>
      <c r="O212" s="34">
        <v>0.0</v>
      </c>
      <c r="P212" s="6"/>
      <c r="Q212" s="35">
        <f t="shared" si="1"/>
        <v>0</v>
      </c>
      <c r="R212" s="31">
        <f t="shared" si="2"/>
        <v>0</v>
      </c>
      <c r="S212" s="31">
        <f t="shared" si="3"/>
        <v>0</v>
      </c>
      <c r="T212" s="31">
        <f t="shared" si="4"/>
        <v>0</v>
      </c>
      <c r="U212" s="36">
        <f t="shared" si="5"/>
        <v>0</v>
      </c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13" t="s">
        <v>19</v>
      </c>
      <c r="B213" s="37">
        <f t="shared" si="6"/>
        <v>46230</v>
      </c>
      <c r="C213" s="16">
        <v>8.0</v>
      </c>
      <c r="D213" s="16" t="s">
        <v>28</v>
      </c>
      <c r="E213" s="17"/>
      <c r="F213" s="17" t="s">
        <v>32</v>
      </c>
      <c r="G213" s="18">
        <v>0.0</v>
      </c>
      <c r="I213" s="19">
        <v>0.0</v>
      </c>
      <c r="K213" s="19">
        <v>0.0</v>
      </c>
      <c r="M213" s="19">
        <v>0.0</v>
      </c>
      <c r="O213" s="19">
        <v>0.0</v>
      </c>
      <c r="Q213" s="20">
        <f t="shared" si="1"/>
        <v>0</v>
      </c>
      <c r="R213" s="16">
        <f t="shared" si="2"/>
        <v>0</v>
      </c>
      <c r="S213" s="16">
        <f t="shared" si="3"/>
        <v>0</v>
      </c>
      <c r="T213" s="16">
        <f t="shared" si="4"/>
        <v>0</v>
      </c>
      <c r="U213" s="38">
        <f t="shared" si="5"/>
        <v>0</v>
      </c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22" t="s">
        <v>21</v>
      </c>
      <c r="B214" s="23">
        <f t="shared" si="6"/>
        <v>46231</v>
      </c>
      <c r="C214" s="25">
        <v>8.0</v>
      </c>
      <c r="D214" s="25" t="s">
        <v>28</v>
      </c>
      <c r="E214" s="73">
        <v>10.0</v>
      </c>
      <c r="F214" s="21" t="s">
        <v>33</v>
      </c>
      <c r="G214" s="18">
        <v>0.0</v>
      </c>
      <c r="I214" s="19">
        <v>45.0</v>
      </c>
      <c r="K214" s="19">
        <v>45.0</v>
      </c>
      <c r="M214" s="19">
        <v>0.0</v>
      </c>
      <c r="O214" s="19">
        <v>45.0</v>
      </c>
      <c r="Q214" s="26">
        <f t="shared" si="1"/>
        <v>2724.8814</v>
      </c>
      <c r="R214" s="25">
        <f t="shared" si="2"/>
        <v>90</v>
      </c>
      <c r="S214" s="25">
        <f t="shared" si="3"/>
        <v>45</v>
      </c>
      <c r="T214" s="25">
        <f t="shared" si="4"/>
        <v>135</v>
      </c>
      <c r="U214" s="27">
        <f t="shared" si="5"/>
        <v>20.18430667</v>
      </c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22" t="s">
        <v>22</v>
      </c>
      <c r="B215" s="23">
        <f t="shared" si="6"/>
        <v>46232</v>
      </c>
      <c r="C215" s="25">
        <v>8.0</v>
      </c>
      <c r="D215" s="25" t="s">
        <v>28</v>
      </c>
      <c r="E215" s="73">
        <v>10.0</v>
      </c>
      <c r="F215" s="21" t="s">
        <v>31</v>
      </c>
      <c r="G215" s="18">
        <v>45.0</v>
      </c>
      <c r="I215" s="19">
        <v>45.0</v>
      </c>
      <c r="K215" s="19">
        <v>0.0</v>
      </c>
      <c r="M215" s="19">
        <v>0.0</v>
      </c>
      <c r="O215" s="19">
        <v>0.0</v>
      </c>
      <c r="Q215" s="26">
        <f t="shared" si="1"/>
        <v>2335.8798</v>
      </c>
      <c r="R215" s="25">
        <f t="shared" si="2"/>
        <v>90</v>
      </c>
      <c r="S215" s="25">
        <f t="shared" si="3"/>
        <v>0</v>
      </c>
      <c r="T215" s="25">
        <f t="shared" si="4"/>
        <v>90</v>
      </c>
      <c r="U215" s="27">
        <f t="shared" si="5"/>
        <v>25.95422</v>
      </c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22" t="s">
        <v>23</v>
      </c>
      <c r="B216" s="23">
        <f t="shared" si="6"/>
        <v>46233</v>
      </c>
      <c r="C216" s="25">
        <v>8.0</v>
      </c>
      <c r="D216" s="25" t="s">
        <v>28</v>
      </c>
      <c r="E216" s="73">
        <v>10.0</v>
      </c>
      <c r="F216" s="21" t="s">
        <v>33</v>
      </c>
      <c r="G216" s="18">
        <v>0.0</v>
      </c>
      <c r="I216" s="19">
        <v>45.0</v>
      </c>
      <c r="K216" s="19">
        <v>45.0</v>
      </c>
      <c r="M216" s="19">
        <v>0.0</v>
      </c>
      <c r="O216" s="19">
        <v>45.0</v>
      </c>
      <c r="Q216" s="26">
        <f t="shared" si="1"/>
        <v>2724.8814</v>
      </c>
      <c r="R216" s="25">
        <f t="shared" si="2"/>
        <v>90</v>
      </c>
      <c r="S216" s="25">
        <f t="shared" si="3"/>
        <v>45</v>
      </c>
      <c r="T216" s="25">
        <f t="shared" si="4"/>
        <v>135</v>
      </c>
      <c r="U216" s="27">
        <f t="shared" si="5"/>
        <v>20.18430667</v>
      </c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22" t="s">
        <v>24</v>
      </c>
      <c r="B217" s="23">
        <f t="shared" si="6"/>
        <v>46234</v>
      </c>
      <c r="C217" s="25">
        <v>8.0</v>
      </c>
      <c r="D217" s="25" t="s">
        <v>28</v>
      </c>
      <c r="E217" s="73">
        <v>10.0</v>
      </c>
      <c r="F217" s="21" t="s">
        <v>33</v>
      </c>
      <c r="G217" s="18">
        <v>0.0</v>
      </c>
      <c r="I217" s="19">
        <v>45.0</v>
      </c>
      <c r="K217" s="19">
        <v>45.0</v>
      </c>
      <c r="M217" s="19">
        <v>0.0</v>
      </c>
      <c r="O217" s="19">
        <v>45.0</v>
      </c>
      <c r="Q217" s="26">
        <f t="shared" si="1"/>
        <v>2724.8814</v>
      </c>
      <c r="R217" s="25">
        <f t="shared" si="2"/>
        <v>90</v>
      </c>
      <c r="S217" s="25">
        <f t="shared" si="3"/>
        <v>45</v>
      </c>
      <c r="T217" s="25">
        <f t="shared" si="4"/>
        <v>135</v>
      </c>
      <c r="U217" s="27">
        <f t="shared" si="5"/>
        <v>20.18430667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22" t="s">
        <v>25</v>
      </c>
      <c r="B218" s="23">
        <f t="shared" si="6"/>
        <v>46235</v>
      </c>
      <c r="C218" s="25">
        <v>8.0</v>
      </c>
      <c r="D218" s="25" t="s">
        <v>28</v>
      </c>
      <c r="E218" s="73">
        <v>10.0</v>
      </c>
      <c r="F218" s="21" t="s">
        <v>33</v>
      </c>
      <c r="G218" s="18">
        <v>0.0</v>
      </c>
      <c r="I218" s="19">
        <v>45.0</v>
      </c>
      <c r="K218" s="19">
        <v>45.0</v>
      </c>
      <c r="M218" s="19">
        <v>0.0</v>
      </c>
      <c r="O218" s="19">
        <v>45.0</v>
      </c>
      <c r="Q218" s="26">
        <f t="shared" si="1"/>
        <v>2724.8814</v>
      </c>
      <c r="R218" s="25">
        <f t="shared" si="2"/>
        <v>90</v>
      </c>
      <c r="S218" s="25">
        <f t="shared" si="3"/>
        <v>45</v>
      </c>
      <c r="T218" s="25">
        <f t="shared" si="4"/>
        <v>135</v>
      </c>
      <c r="U218" s="27">
        <f t="shared" si="5"/>
        <v>20.18430667</v>
      </c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28" t="s">
        <v>26</v>
      </c>
      <c r="B219" s="29">
        <f t="shared" si="6"/>
        <v>46236</v>
      </c>
      <c r="C219" s="31">
        <v>8.0</v>
      </c>
      <c r="D219" s="31" t="s">
        <v>28</v>
      </c>
      <c r="E219" s="74">
        <v>10.0</v>
      </c>
      <c r="F219" s="32" t="s">
        <v>31</v>
      </c>
      <c r="G219" s="33">
        <v>45.0</v>
      </c>
      <c r="H219" s="6"/>
      <c r="I219" s="75">
        <v>0.0</v>
      </c>
      <c r="J219" s="6"/>
      <c r="K219" s="34">
        <v>0.0</v>
      </c>
      <c r="L219" s="6"/>
      <c r="M219" s="34">
        <v>0.0</v>
      </c>
      <c r="N219" s="6"/>
      <c r="O219" s="34">
        <v>0.0</v>
      </c>
      <c r="P219" s="6"/>
      <c r="Q219" s="35">
        <f t="shared" si="1"/>
        <v>1167.9399</v>
      </c>
      <c r="R219" s="31">
        <f t="shared" si="2"/>
        <v>45</v>
      </c>
      <c r="S219" s="31">
        <f t="shared" si="3"/>
        <v>0</v>
      </c>
      <c r="T219" s="31">
        <f t="shared" si="4"/>
        <v>45</v>
      </c>
      <c r="U219" s="36">
        <f t="shared" si="5"/>
        <v>25.95422</v>
      </c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13" t="s">
        <v>19</v>
      </c>
      <c r="B220" s="37">
        <f t="shared" si="6"/>
        <v>46237</v>
      </c>
      <c r="C220" s="16">
        <v>8.0</v>
      </c>
      <c r="D220" s="16" t="s">
        <v>29</v>
      </c>
      <c r="E220" s="17"/>
      <c r="F220" s="17" t="s">
        <v>32</v>
      </c>
      <c r="G220" s="18">
        <v>0.0</v>
      </c>
      <c r="I220" s="19">
        <v>0.0</v>
      </c>
      <c r="K220" s="19">
        <v>0.0</v>
      </c>
      <c r="M220" s="19">
        <v>0.0</v>
      </c>
      <c r="O220" s="19">
        <v>0.0</v>
      </c>
      <c r="Q220" s="20">
        <f t="shared" si="1"/>
        <v>0</v>
      </c>
      <c r="R220" s="16">
        <f t="shared" si="2"/>
        <v>0</v>
      </c>
      <c r="S220" s="16">
        <f t="shared" si="3"/>
        <v>0</v>
      </c>
      <c r="T220" s="16">
        <f t="shared" si="4"/>
        <v>0</v>
      </c>
      <c r="U220" s="38">
        <f t="shared" si="5"/>
        <v>0</v>
      </c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22" t="s">
        <v>21</v>
      </c>
      <c r="B221" s="23">
        <f t="shared" si="6"/>
        <v>46238</v>
      </c>
      <c r="C221" s="25">
        <v>8.0</v>
      </c>
      <c r="D221" s="25" t="s">
        <v>29</v>
      </c>
      <c r="E221" s="21"/>
      <c r="F221" s="21" t="s">
        <v>32</v>
      </c>
      <c r="G221" s="18">
        <v>0.0</v>
      </c>
      <c r="I221" s="19">
        <v>0.0</v>
      </c>
      <c r="K221" s="19">
        <v>0.0</v>
      </c>
      <c r="M221" s="19">
        <v>0.0</v>
      </c>
      <c r="O221" s="19">
        <v>0.0</v>
      </c>
      <c r="Q221" s="26">
        <f t="shared" si="1"/>
        <v>0</v>
      </c>
      <c r="R221" s="25">
        <f t="shared" si="2"/>
        <v>0</v>
      </c>
      <c r="S221" s="25">
        <f t="shared" si="3"/>
        <v>0</v>
      </c>
      <c r="T221" s="25">
        <f t="shared" si="4"/>
        <v>0</v>
      </c>
      <c r="U221" s="27">
        <f t="shared" si="5"/>
        <v>0</v>
      </c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22" t="s">
        <v>22</v>
      </c>
      <c r="B222" s="23">
        <f t="shared" si="6"/>
        <v>46239</v>
      </c>
      <c r="C222" s="25">
        <v>8.0</v>
      </c>
      <c r="D222" s="25" t="s">
        <v>29</v>
      </c>
      <c r="E222" s="21"/>
      <c r="F222" s="21" t="s">
        <v>32</v>
      </c>
      <c r="G222" s="18">
        <v>0.0</v>
      </c>
      <c r="I222" s="19">
        <v>0.0</v>
      </c>
      <c r="K222" s="19">
        <v>0.0</v>
      </c>
      <c r="M222" s="19">
        <v>0.0</v>
      </c>
      <c r="O222" s="19">
        <v>0.0</v>
      </c>
      <c r="Q222" s="26">
        <f t="shared" si="1"/>
        <v>0</v>
      </c>
      <c r="R222" s="25">
        <f t="shared" si="2"/>
        <v>0</v>
      </c>
      <c r="S222" s="25">
        <f t="shared" si="3"/>
        <v>0</v>
      </c>
      <c r="T222" s="25">
        <f t="shared" si="4"/>
        <v>0</v>
      </c>
      <c r="U222" s="27">
        <f t="shared" si="5"/>
        <v>0</v>
      </c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22" t="s">
        <v>23</v>
      </c>
      <c r="B223" s="23">
        <f t="shared" si="6"/>
        <v>46240</v>
      </c>
      <c r="C223" s="25">
        <v>8.0</v>
      </c>
      <c r="D223" s="25" t="s">
        <v>29</v>
      </c>
      <c r="E223" s="21"/>
      <c r="F223" s="21" t="s">
        <v>32</v>
      </c>
      <c r="G223" s="18">
        <v>0.0</v>
      </c>
      <c r="I223" s="19">
        <v>0.0</v>
      </c>
      <c r="K223" s="19">
        <v>0.0</v>
      </c>
      <c r="M223" s="19">
        <v>0.0</v>
      </c>
      <c r="O223" s="19">
        <v>0.0</v>
      </c>
      <c r="Q223" s="26">
        <f t="shared" si="1"/>
        <v>0</v>
      </c>
      <c r="R223" s="25">
        <f t="shared" si="2"/>
        <v>0</v>
      </c>
      <c r="S223" s="25">
        <f t="shared" si="3"/>
        <v>0</v>
      </c>
      <c r="T223" s="25">
        <f t="shared" si="4"/>
        <v>0</v>
      </c>
      <c r="U223" s="27">
        <f t="shared" si="5"/>
        <v>0</v>
      </c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22" t="s">
        <v>24</v>
      </c>
      <c r="B224" s="23">
        <f t="shared" si="6"/>
        <v>46241</v>
      </c>
      <c r="C224" s="25">
        <v>8.0</v>
      </c>
      <c r="D224" s="25" t="s">
        <v>29</v>
      </c>
      <c r="E224" s="21"/>
      <c r="F224" s="21" t="s">
        <v>32</v>
      </c>
      <c r="G224" s="18">
        <v>0.0</v>
      </c>
      <c r="I224" s="19">
        <v>0.0</v>
      </c>
      <c r="K224" s="19">
        <v>0.0</v>
      </c>
      <c r="M224" s="19">
        <v>0.0</v>
      </c>
      <c r="O224" s="19">
        <v>0.0</v>
      </c>
      <c r="Q224" s="26">
        <f t="shared" si="1"/>
        <v>0</v>
      </c>
      <c r="R224" s="25">
        <f t="shared" si="2"/>
        <v>0</v>
      </c>
      <c r="S224" s="25">
        <f t="shared" si="3"/>
        <v>0</v>
      </c>
      <c r="T224" s="25">
        <f t="shared" si="4"/>
        <v>0</v>
      </c>
      <c r="U224" s="27">
        <f t="shared" si="5"/>
        <v>0</v>
      </c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22" t="s">
        <v>25</v>
      </c>
      <c r="B225" s="23">
        <f t="shared" si="6"/>
        <v>46242</v>
      </c>
      <c r="C225" s="25">
        <v>8.0</v>
      </c>
      <c r="D225" s="25" t="s">
        <v>29</v>
      </c>
      <c r="E225" s="21"/>
      <c r="F225" s="21" t="s">
        <v>32</v>
      </c>
      <c r="G225" s="18">
        <v>0.0</v>
      </c>
      <c r="I225" s="19">
        <v>0.0</v>
      </c>
      <c r="K225" s="19">
        <v>0.0</v>
      </c>
      <c r="M225" s="19">
        <v>0.0</v>
      </c>
      <c r="O225" s="19">
        <v>0.0</v>
      </c>
      <c r="Q225" s="26">
        <f t="shared" si="1"/>
        <v>0</v>
      </c>
      <c r="R225" s="25">
        <f t="shared" si="2"/>
        <v>0</v>
      </c>
      <c r="S225" s="25">
        <f t="shared" si="3"/>
        <v>0</v>
      </c>
      <c r="T225" s="25">
        <f t="shared" si="4"/>
        <v>0</v>
      </c>
      <c r="U225" s="27">
        <f t="shared" si="5"/>
        <v>0</v>
      </c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28" t="s">
        <v>26</v>
      </c>
      <c r="B226" s="29">
        <f t="shared" si="6"/>
        <v>46243</v>
      </c>
      <c r="C226" s="31">
        <v>8.0</v>
      </c>
      <c r="D226" s="31" t="s">
        <v>29</v>
      </c>
      <c r="E226" s="32"/>
      <c r="F226" s="32" t="s">
        <v>32</v>
      </c>
      <c r="G226" s="34">
        <v>0.0</v>
      </c>
      <c r="H226" s="6"/>
      <c r="I226" s="34">
        <v>0.0</v>
      </c>
      <c r="J226" s="6"/>
      <c r="K226" s="34">
        <v>0.0</v>
      </c>
      <c r="L226" s="6"/>
      <c r="M226" s="34">
        <v>0.0</v>
      </c>
      <c r="N226" s="6"/>
      <c r="O226" s="34">
        <v>0.0</v>
      </c>
      <c r="P226" s="6"/>
      <c r="Q226" s="35">
        <f t="shared" si="1"/>
        <v>0</v>
      </c>
      <c r="R226" s="31">
        <f t="shared" si="2"/>
        <v>0</v>
      </c>
      <c r="S226" s="31">
        <f t="shared" si="3"/>
        <v>0</v>
      </c>
      <c r="T226" s="31">
        <f t="shared" si="4"/>
        <v>0</v>
      </c>
      <c r="U226" s="36">
        <f t="shared" si="5"/>
        <v>0</v>
      </c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13" t="s">
        <v>19</v>
      </c>
      <c r="B227" s="37">
        <f t="shared" si="6"/>
        <v>46244</v>
      </c>
      <c r="C227" s="16">
        <v>9.0</v>
      </c>
      <c r="D227" s="16" t="s">
        <v>20</v>
      </c>
      <c r="E227" s="17"/>
      <c r="F227" s="17" t="s">
        <v>32</v>
      </c>
      <c r="G227" s="18">
        <v>0.0</v>
      </c>
      <c r="I227" s="19">
        <v>0.0</v>
      </c>
      <c r="K227" s="19">
        <v>0.0</v>
      </c>
      <c r="M227" s="19">
        <v>0.0</v>
      </c>
      <c r="O227" s="19">
        <v>0.0</v>
      </c>
      <c r="Q227" s="20">
        <f t="shared" si="1"/>
        <v>0</v>
      </c>
      <c r="R227" s="16">
        <f t="shared" si="2"/>
        <v>0</v>
      </c>
      <c r="S227" s="16">
        <f t="shared" si="3"/>
        <v>0</v>
      </c>
      <c r="T227" s="16">
        <f t="shared" si="4"/>
        <v>0</v>
      </c>
      <c r="U227" s="38">
        <f t="shared" si="5"/>
        <v>0</v>
      </c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22" t="s">
        <v>21</v>
      </c>
      <c r="B228" s="23">
        <f t="shared" si="6"/>
        <v>46245</v>
      </c>
      <c r="C228" s="25">
        <v>9.0</v>
      </c>
      <c r="D228" s="25" t="s">
        <v>20</v>
      </c>
      <c r="E228" s="73">
        <v>11.0</v>
      </c>
      <c r="F228" s="21" t="s">
        <v>33</v>
      </c>
      <c r="G228" s="18">
        <v>0.0</v>
      </c>
      <c r="I228" s="19">
        <v>45.0</v>
      </c>
      <c r="K228" s="19">
        <v>45.0</v>
      </c>
      <c r="M228" s="19">
        <v>0.0</v>
      </c>
      <c r="O228" s="19">
        <v>45.0</v>
      </c>
      <c r="Q228" s="26">
        <f t="shared" si="1"/>
        <v>2724.8814</v>
      </c>
      <c r="R228" s="25">
        <f t="shared" si="2"/>
        <v>90</v>
      </c>
      <c r="S228" s="25">
        <f t="shared" si="3"/>
        <v>45</v>
      </c>
      <c r="T228" s="25">
        <f t="shared" si="4"/>
        <v>135</v>
      </c>
      <c r="U228" s="27">
        <f t="shared" si="5"/>
        <v>20.18430667</v>
      </c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22" t="s">
        <v>22</v>
      </c>
      <c r="B229" s="23">
        <f t="shared" si="6"/>
        <v>46246</v>
      </c>
      <c r="C229" s="25">
        <v>9.0</v>
      </c>
      <c r="D229" s="25" t="s">
        <v>20</v>
      </c>
      <c r="E229" s="73">
        <v>11.0</v>
      </c>
      <c r="F229" s="21" t="s">
        <v>31</v>
      </c>
      <c r="G229" s="18">
        <v>45.0</v>
      </c>
      <c r="I229" s="19">
        <v>45.0</v>
      </c>
      <c r="K229" s="19">
        <v>0.0</v>
      </c>
      <c r="M229" s="19">
        <v>0.0</v>
      </c>
      <c r="O229" s="19">
        <v>0.0</v>
      </c>
      <c r="Q229" s="26">
        <f t="shared" si="1"/>
        <v>2335.8798</v>
      </c>
      <c r="R229" s="25">
        <f t="shared" si="2"/>
        <v>90</v>
      </c>
      <c r="S229" s="25">
        <f t="shared" si="3"/>
        <v>0</v>
      </c>
      <c r="T229" s="25">
        <f t="shared" si="4"/>
        <v>90</v>
      </c>
      <c r="U229" s="27">
        <f t="shared" si="5"/>
        <v>25.95422</v>
      </c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22" t="s">
        <v>23</v>
      </c>
      <c r="B230" s="23">
        <f t="shared" si="6"/>
        <v>46247</v>
      </c>
      <c r="C230" s="25">
        <v>9.0</v>
      </c>
      <c r="D230" s="25" t="s">
        <v>20</v>
      </c>
      <c r="E230" s="73">
        <v>11.0</v>
      </c>
      <c r="F230" s="21" t="s">
        <v>33</v>
      </c>
      <c r="G230" s="18">
        <v>0.0</v>
      </c>
      <c r="I230" s="19">
        <v>45.0</v>
      </c>
      <c r="K230" s="19">
        <v>45.0</v>
      </c>
      <c r="M230" s="19">
        <v>0.0</v>
      </c>
      <c r="O230" s="19">
        <v>45.0</v>
      </c>
      <c r="Q230" s="26">
        <f t="shared" si="1"/>
        <v>2724.8814</v>
      </c>
      <c r="R230" s="25">
        <f t="shared" si="2"/>
        <v>90</v>
      </c>
      <c r="S230" s="25">
        <f t="shared" si="3"/>
        <v>45</v>
      </c>
      <c r="T230" s="25">
        <f t="shared" si="4"/>
        <v>135</v>
      </c>
      <c r="U230" s="27">
        <f t="shared" si="5"/>
        <v>20.18430667</v>
      </c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22" t="s">
        <v>24</v>
      </c>
      <c r="B231" s="23">
        <f t="shared" si="6"/>
        <v>46248</v>
      </c>
      <c r="C231" s="25">
        <v>9.0</v>
      </c>
      <c r="D231" s="25" t="s">
        <v>20</v>
      </c>
      <c r="E231" s="73">
        <v>11.0</v>
      </c>
      <c r="F231" s="21" t="s">
        <v>33</v>
      </c>
      <c r="G231" s="18">
        <v>0.0</v>
      </c>
      <c r="I231" s="19">
        <v>45.0</v>
      </c>
      <c r="K231" s="19">
        <v>45.0</v>
      </c>
      <c r="M231" s="19">
        <v>0.0</v>
      </c>
      <c r="O231" s="19">
        <v>45.0</v>
      </c>
      <c r="Q231" s="26">
        <f t="shared" si="1"/>
        <v>2724.8814</v>
      </c>
      <c r="R231" s="25">
        <f t="shared" si="2"/>
        <v>90</v>
      </c>
      <c r="S231" s="25">
        <f t="shared" si="3"/>
        <v>45</v>
      </c>
      <c r="T231" s="25">
        <f t="shared" si="4"/>
        <v>135</v>
      </c>
      <c r="U231" s="27">
        <f t="shared" si="5"/>
        <v>20.18430667</v>
      </c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22" t="s">
        <v>25</v>
      </c>
      <c r="B232" s="23">
        <f t="shared" si="6"/>
        <v>46249</v>
      </c>
      <c r="C232" s="25">
        <v>9.0</v>
      </c>
      <c r="D232" s="25" t="s">
        <v>20</v>
      </c>
      <c r="E232" s="73">
        <v>11.0</v>
      </c>
      <c r="F232" s="21" t="s">
        <v>33</v>
      </c>
      <c r="G232" s="18">
        <v>0.0</v>
      </c>
      <c r="I232" s="19">
        <v>45.0</v>
      </c>
      <c r="K232" s="19">
        <v>45.0</v>
      </c>
      <c r="M232" s="19">
        <v>0.0</v>
      </c>
      <c r="O232" s="19">
        <v>45.0</v>
      </c>
      <c r="Q232" s="26">
        <f t="shared" si="1"/>
        <v>2724.8814</v>
      </c>
      <c r="R232" s="25">
        <f t="shared" si="2"/>
        <v>90</v>
      </c>
      <c r="S232" s="25">
        <f t="shared" si="3"/>
        <v>45</v>
      </c>
      <c r="T232" s="25">
        <f t="shared" si="4"/>
        <v>135</v>
      </c>
      <c r="U232" s="27">
        <f t="shared" si="5"/>
        <v>20.18430667</v>
      </c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28" t="s">
        <v>26</v>
      </c>
      <c r="B233" s="29">
        <f t="shared" si="6"/>
        <v>46250</v>
      </c>
      <c r="C233" s="31">
        <v>9.0</v>
      </c>
      <c r="D233" s="31" t="s">
        <v>20</v>
      </c>
      <c r="E233" s="74">
        <v>11.0</v>
      </c>
      <c r="F233" s="32" t="s">
        <v>31</v>
      </c>
      <c r="G233" s="33">
        <v>45.0</v>
      </c>
      <c r="H233" s="6"/>
      <c r="I233" s="75">
        <v>0.0</v>
      </c>
      <c r="J233" s="6"/>
      <c r="K233" s="34">
        <v>0.0</v>
      </c>
      <c r="L233" s="6"/>
      <c r="M233" s="34">
        <v>0.0</v>
      </c>
      <c r="N233" s="6"/>
      <c r="O233" s="34">
        <v>0.0</v>
      </c>
      <c r="P233" s="6"/>
      <c r="Q233" s="35">
        <f t="shared" si="1"/>
        <v>1167.9399</v>
      </c>
      <c r="R233" s="31">
        <f t="shared" si="2"/>
        <v>45</v>
      </c>
      <c r="S233" s="31">
        <f t="shared" si="3"/>
        <v>0</v>
      </c>
      <c r="T233" s="31">
        <f t="shared" si="4"/>
        <v>45</v>
      </c>
      <c r="U233" s="36">
        <f t="shared" si="5"/>
        <v>25.95422</v>
      </c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13" t="s">
        <v>19</v>
      </c>
      <c r="B234" s="37">
        <f t="shared" si="6"/>
        <v>46251</v>
      </c>
      <c r="C234" s="16">
        <v>9.0</v>
      </c>
      <c r="D234" s="16" t="s">
        <v>27</v>
      </c>
      <c r="E234" s="17"/>
      <c r="F234" s="17" t="s">
        <v>32</v>
      </c>
      <c r="G234" s="18">
        <v>0.0</v>
      </c>
      <c r="I234" s="19">
        <v>0.0</v>
      </c>
      <c r="K234" s="19">
        <v>0.0</v>
      </c>
      <c r="M234" s="19">
        <v>0.0</v>
      </c>
      <c r="O234" s="19">
        <v>0.0</v>
      </c>
      <c r="Q234" s="20">
        <f t="shared" si="1"/>
        <v>0</v>
      </c>
      <c r="R234" s="16">
        <f t="shared" si="2"/>
        <v>0</v>
      </c>
      <c r="S234" s="16">
        <f t="shared" si="3"/>
        <v>0</v>
      </c>
      <c r="T234" s="16">
        <f t="shared" si="4"/>
        <v>0</v>
      </c>
      <c r="U234" s="38">
        <f t="shared" si="5"/>
        <v>0</v>
      </c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22" t="s">
        <v>21</v>
      </c>
      <c r="B235" s="23">
        <f t="shared" si="6"/>
        <v>46252</v>
      </c>
      <c r="C235" s="25">
        <v>9.0</v>
      </c>
      <c r="D235" s="25" t="s">
        <v>27</v>
      </c>
      <c r="E235" s="21"/>
      <c r="F235" s="21" t="s">
        <v>32</v>
      </c>
      <c r="G235" s="18">
        <v>0.0</v>
      </c>
      <c r="I235" s="19">
        <v>0.0</v>
      </c>
      <c r="K235" s="19">
        <v>0.0</v>
      </c>
      <c r="M235" s="19">
        <v>0.0</v>
      </c>
      <c r="O235" s="19">
        <v>0.0</v>
      </c>
      <c r="Q235" s="26">
        <f t="shared" si="1"/>
        <v>0</v>
      </c>
      <c r="R235" s="25">
        <f t="shared" si="2"/>
        <v>0</v>
      </c>
      <c r="S235" s="25">
        <f t="shared" si="3"/>
        <v>0</v>
      </c>
      <c r="T235" s="25">
        <f t="shared" si="4"/>
        <v>0</v>
      </c>
      <c r="U235" s="27">
        <f t="shared" si="5"/>
        <v>0</v>
      </c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22" t="s">
        <v>22</v>
      </c>
      <c r="B236" s="23">
        <f t="shared" si="6"/>
        <v>46253</v>
      </c>
      <c r="C236" s="25">
        <v>9.0</v>
      </c>
      <c r="D236" s="25" t="s">
        <v>27</v>
      </c>
      <c r="E236" s="21"/>
      <c r="F236" s="21" t="s">
        <v>32</v>
      </c>
      <c r="G236" s="18">
        <v>0.0</v>
      </c>
      <c r="I236" s="19">
        <v>0.0</v>
      </c>
      <c r="K236" s="19">
        <v>0.0</v>
      </c>
      <c r="M236" s="19">
        <v>0.0</v>
      </c>
      <c r="O236" s="19">
        <v>0.0</v>
      </c>
      <c r="Q236" s="26">
        <f t="shared" si="1"/>
        <v>0</v>
      </c>
      <c r="R236" s="25">
        <f t="shared" si="2"/>
        <v>0</v>
      </c>
      <c r="S236" s="25">
        <f t="shared" si="3"/>
        <v>0</v>
      </c>
      <c r="T236" s="25">
        <f t="shared" si="4"/>
        <v>0</v>
      </c>
      <c r="U236" s="27">
        <f t="shared" si="5"/>
        <v>0</v>
      </c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22" t="s">
        <v>23</v>
      </c>
      <c r="B237" s="23">
        <f t="shared" si="6"/>
        <v>46254</v>
      </c>
      <c r="C237" s="25">
        <v>9.0</v>
      </c>
      <c r="D237" s="25" t="s">
        <v>27</v>
      </c>
      <c r="E237" s="21"/>
      <c r="F237" s="21" t="s">
        <v>32</v>
      </c>
      <c r="G237" s="18">
        <v>0.0</v>
      </c>
      <c r="I237" s="19">
        <v>0.0</v>
      </c>
      <c r="K237" s="19">
        <v>0.0</v>
      </c>
      <c r="M237" s="19">
        <v>0.0</v>
      </c>
      <c r="O237" s="19">
        <v>0.0</v>
      </c>
      <c r="Q237" s="26">
        <f t="shared" si="1"/>
        <v>0</v>
      </c>
      <c r="R237" s="25">
        <f t="shared" si="2"/>
        <v>0</v>
      </c>
      <c r="S237" s="25">
        <f t="shared" si="3"/>
        <v>0</v>
      </c>
      <c r="T237" s="25">
        <f t="shared" si="4"/>
        <v>0</v>
      </c>
      <c r="U237" s="27">
        <f t="shared" si="5"/>
        <v>0</v>
      </c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22" t="s">
        <v>24</v>
      </c>
      <c r="B238" s="23">
        <f t="shared" si="6"/>
        <v>46255</v>
      </c>
      <c r="C238" s="25">
        <v>9.0</v>
      </c>
      <c r="D238" s="25" t="s">
        <v>27</v>
      </c>
      <c r="E238" s="21"/>
      <c r="F238" s="21" t="s">
        <v>32</v>
      </c>
      <c r="G238" s="18">
        <v>0.0</v>
      </c>
      <c r="I238" s="19">
        <v>0.0</v>
      </c>
      <c r="K238" s="19">
        <v>0.0</v>
      </c>
      <c r="M238" s="19">
        <v>0.0</v>
      </c>
      <c r="O238" s="19">
        <v>0.0</v>
      </c>
      <c r="Q238" s="26">
        <f t="shared" si="1"/>
        <v>0</v>
      </c>
      <c r="R238" s="25">
        <f t="shared" si="2"/>
        <v>0</v>
      </c>
      <c r="S238" s="25">
        <f t="shared" si="3"/>
        <v>0</v>
      </c>
      <c r="T238" s="25">
        <f t="shared" si="4"/>
        <v>0</v>
      </c>
      <c r="U238" s="27">
        <f t="shared" si="5"/>
        <v>0</v>
      </c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22" t="s">
        <v>25</v>
      </c>
      <c r="B239" s="23">
        <f t="shared" si="6"/>
        <v>46256</v>
      </c>
      <c r="C239" s="25">
        <v>9.0</v>
      </c>
      <c r="D239" s="25" t="s">
        <v>27</v>
      </c>
      <c r="E239" s="21"/>
      <c r="F239" s="21" t="s">
        <v>32</v>
      </c>
      <c r="G239" s="18">
        <v>0.0</v>
      </c>
      <c r="I239" s="19">
        <v>0.0</v>
      </c>
      <c r="K239" s="19">
        <v>0.0</v>
      </c>
      <c r="M239" s="19">
        <v>0.0</v>
      </c>
      <c r="O239" s="19">
        <v>0.0</v>
      </c>
      <c r="Q239" s="26">
        <f t="shared" si="1"/>
        <v>0</v>
      </c>
      <c r="R239" s="25">
        <f t="shared" si="2"/>
        <v>0</v>
      </c>
      <c r="S239" s="25">
        <f t="shared" si="3"/>
        <v>0</v>
      </c>
      <c r="T239" s="25">
        <f t="shared" si="4"/>
        <v>0</v>
      </c>
      <c r="U239" s="27">
        <f t="shared" si="5"/>
        <v>0</v>
      </c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28" t="s">
        <v>26</v>
      </c>
      <c r="B240" s="29">
        <f t="shared" si="6"/>
        <v>46257</v>
      </c>
      <c r="C240" s="31">
        <v>9.0</v>
      </c>
      <c r="D240" s="31" t="s">
        <v>27</v>
      </c>
      <c r="E240" s="32"/>
      <c r="F240" s="32" t="s">
        <v>32</v>
      </c>
      <c r="G240" s="34">
        <v>0.0</v>
      </c>
      <c r="H240" s="6"/>
      <c r="I240" s="34">
        <v>0.0</v>
      </c>
      <c r="J240" s="6"/>
      <c r="K240" s="34">
        <v>0.0</v>
      </c>
      <c r="L240" s="6"/>
      <c r="M240" s="34">
        <v>0.0</v>
      </c>
      <c r="N240" s="6"/>
      <c r="O240" s="34">
        <v>0.0</v>
      </c>
      <c r="P240" s="6"/>
      <c r="Q240" s="35">
        <f t="shared" si="1"/>
        <v>0</v>
      </c>
      <c r="R240" s="31">
        <f t="shared" si="2"/>
        <v>0</v>
      </c>
      <c r="S240" s="31">
        <f t="shared" si="3"/>
        <v>0</v>
      </c>
      <c r="T240" s="31">
        <f t="shared" si="4"/>
        <v>0</v>
      </c>
      <c r="U240" s="36">
        <f t="shared" si="5"/>
        <v>0</v>
      </c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13" t="s">
        <v>19</v>
      </c>
      <c r="B241" s="37">
        <f t="shared" si="6"/>
        <v>46258</v>
      </c>
      <c r="C241" s="16">
        <v>9.0</v>
      </c>
      <c r="D241" s="16" t="s">
        <v>28</v>
      </c>
      <c r="E241" s="17"/>
      <c r="F241" s="17" t="s">
        <v>32</v>
      </c>
      <c r="G241" s="18">
        <v>0.0</v>
      </c>
      <c r="I241" s="19">
        <v>0.0</v>
      </c>
      <c r="K241" s="19">
        <v>0.0</v>
      </c>
      <c r="M241" s="19">
        <v>0.0</v>
      </c>
      <c r="O241" s="19">
        <v>0.0</v>
      </c>
      <c r="Q241" s="20">
        <f t="shared" si="1"/>
        <v>0</v>
      </c>
      <c r="R241" s="16">
        <f t="shared" si="2"/>
        <v>0</v>
      </c>
      <c r="S241" s="16">
        <f t="shared" si="3"/>
        <v>0</v>
      </c>
      <c r="T241" s="16">
        <f t="shared" si="4"/>
        <v>0</v>
      </c>
      <c r="U241" s="38">
        <f t="shared" si="5"/>
        <v>0</v>
      </c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22" t="s">
        <v>21</v>
      </c>
      <c r="B242" s="23">
        <f t="shared" si="6"/>
        <v>46259</v>
      </c>
      <c r="C242" s="25">
        <v>9.0</v>
      </c>
      <c r="D242" s="25" t="s">
        <v>28</v>
      </c>
      <c r="E242" s="73">
        <v>12.0</v>
      </c>
      <c r="F242" s="21" t="s">
        <v>33</v>
      </c>
      <c r="G242" s="18">
        <v>0.0</v>
      </c>
      <c r="I242" s="19">
        <v>45.0</v>
      </c>
      <c r="K242" s="19">
        <v>45.0</v>
      </c>
      <c r="M242" s="19">
        <v>0.0</v>
      </c>
      <c r="O242" s="19">
        <v>45.0</v>
      </c>
      <c r="Q242" s="26">
        <f t="shared" si="1"/>
        <v>2724.8814</v>
      </c>
      <c r="R242" s="25">
        <f t="shared" si="2"/>
        <v>90</v>
      </c>
      <c r="S242" s="25">
        <f t="shared" si="3"/>
        <v>45</v>
      </c>
      <c r="T242" s="25">
        <f t="shared" si="4"/>
        <v>135</v>
      </c>
      <c r="U242" s="27">
        <f t="shared" si="5"/>
        <v>20.18430667</v>
      </c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22" t="s">
        <v>22</v>
      </c>
      <c r="B243" s="23">
        <f t="shared" si="6"/>
        <v>46260</v>
      </c>
      <c r="C243" s="25">
        <v>9.0</v>
      </c>
      <c r="D243" s="25" t="s">
        <v>28</v>
      </c>
      <c r="E243" s="73">
        <v>12.0</v>
      </c>
      <c r="F243" s="21" t="s">
        <v>31</v>
      </c>
      <c r="G243" s="18">
        <v>45.0</v>
      </c>
      <c r="I243" s="19">
        <v>45.0</v>
      </c>
      <c r="K243" s="19">
        <v>0.0</v>
      </c>
      <c r="M243" s="19">
        <v>0.0</v>
      </c>
      <c r="O243" s="19">
        <v>0.0</v>
      </c>
      <c r="Q243" s="26">
        <f t="shared" si="1"/>
        <v>2335.8798</v>
      </c>
      <c r="R243" s="25">
        <f t="shared" si="2"/>
        <v>90</v>
      </c>
      <c r="S243" s="25">
        <f t="shared" si="3"/>
        <v>0</v>
      </c>
      <c r="T243" s="25">
        <f t="shared" si="4"/>
        <v>90</v>
      </c>
      <c r="U243" s="27">
        <f t="shared" si="5"/>
        <v>25.95422</v>
      </c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22" t="s">
        <v>23</v>
      </c>
      <c r="B244" s="23">
        <f t="shared" si="6"/>
        <v>46261</v>
      </c>
      <c r="C244" s="25">
        <v>9.0</v>
      </c>
      <c r="D244" s="25" t="s">
        <v>28</v>
      </c>
      <c r="E244" s="73">
        <v>12.0</v>
      </c>
      <c r="F244" s="21" t="s">
        <v>33</v>
      </c>
      <c r="G244" s="18">
        <v>0.0</v>
      </c>
      <c r="I244" s="19">
        <v>45.0</v>
      </c>
      <c r="K244" s="19">
        <v>45.0</v>
      </c>
      <c r="M244" s="19">
        <v>0.0</v>
      </c>
      <c r="O244" s="19">
        <v>45.0</v>
      </c>
      <c r="Q244" s="26">
        <f t="shared" si="1"/>
        <v>2724.8814</v>
      </c>
      <c r="R244" s="25">
        <f t="shared" si="2"/>
        <v>90</v>
      </c>
      <c r="S244" s="25">
        <f t="shared" si="3"/>
        <v>45</v>
      </c>
      <c r="T244" s="25">
        <f t="shared" si="4"/>
        <v>135</v>
      </c>
      <c r="U244" s="27">
        <f t="shared" si="5"/>
        <v>20.18430667</v>
      </c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22" t="s">
        <v>24</v>
      </c>
      <c r="B245" s="23">
        <f t="shared" si="6"/>
        <v>46262</v>
      </c>
      <c r="C245" s="25">
        <v>9.0</v>
      </c>
      <c r="D245" s="25" t="s">
        <v>28</v>
      </c>
      <c r="E245" s="73">
        <v>12.0</v>
      </c>
      <c r="F245" s="21" t="s">
        <v>33</v>
      </c>
      <c r="G245" s="18">
        <v>0.0</v>
      </c>
      <c r="I245" s="19">
        <v>45.0</v>
      </c>
      <c r="K245" s="19">
        <v>45.0</v>
      </c>
      <c r="M245" s="19">
        <v>0.0</v>
      </c>
      <c r="O245" s="19">
        <v>45.0</v>
      </c>
      <c r="Q245" s="26">
        <f t="shared" si="1"/>
        <v>2724.8814</v>
      </c>
      <c r="R245" s="25">
        <f t="shared" si="2"/>
        <v>90</v>
      </c>
      <c r="S245" s="25">
        <f t="shared" si="3"/>
        <v>45</v>
      </c>
      <c r="T245" s="25">
        <f t="shared" si="4"/>
        <v>135</v>
      </c>
      <c r="U245" s="27">
        <f t="shared" si="5"/>
        <v>20.18430667</v>
      </c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22" t="s">
        <v>25</v>
      </c>
      <c r="B246" s="23">
        <f t="shared" si="6"/>
        <v>46263</v>
      </c>
      <c r="C246" s="25">
        <v>9.0</v>
      </c>
      <c r="D246" s="25" t="s">
        <v>28</v>
      </c>
      <c r="E246" s="73">
        <v>12.0</v>
      </c>
      <c r="F246" s="21" t="s">
        <v>33</v>
      </c>
      <c r="G246" s="18">
        <v>0.0</v>
      </c>
      <c r="I246" s="19">
        <v>45.0</v>
      </c>
      <c r="K246" s="19">
        <v>45.0</v>
      </c>
      <c r="M246" s="19">
        <v>0.0</v>
      </c>
      <c r="O246" s="19">
        <v>45.0</v>
      </c>
      <c r="Q246" s="26">
        <f t="shared" si="1"/>
        <v>2724.8814</v>
      </c>
      <c r="R246" s="25">
        <f t="shared" si="2"/>
        <v>90</v>
      </c>
      <c r="S246" s="25">
        <f t="shared" si="3"/>
        <v>45</v>
      </c>
      <c r="T246" s="25">
        <f t="shared" si="4"/>
        <v>135</v>
      </c>
      <c r="U246" s="27">
        <f t="shared" si="5"/>
        <v>20.18430667</v>
      </c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28" t="s">
        <v>26</v>
      </c>
      <c r="B247" s="29">
        <f t="shared" si="6"/>
        <v>46264</v>
      </c>
      <c r="C247" s="31">
        <v>9.0</v>
      </c>
      <c r="D247" s="31" t="s">
        <v>28</v>
      </c>
      <c r="E247" s="74">
        <v>12.0</v>
      </c>
      <c r="F247" s="32" t="s">
        <v>31</v>
      </c>
      <c r="G247" s="33">
        <v>45.0</v>
      </c>
      <c r="H247" s="6"/>
      <c r="I247" s="75">
        <v>0.0</v>
      </c>
      <c r="J247" s="6"/>
      <c r="K247" s="34">
        <v>0.0</v>
      </c>
      <c r="L247" s="6"/>
      <c r="M247" s="34">
        <v>0.0</v>
      </c>
      <c r="N247" s="6"/>
      <c r="O247" s="34">
        <v>0.0</v>
      </c>
      <c r="P247" s="6"/>
      <c r="Q247" s="35">
        <f t="shared" si="1"/>
        <v>1167.9399</v>
      </c>
      <c r="R247" s="31">
        <f t="shared" si="2"/>
        <v>45</v>
      </c>
      <c r="S247" s="31">
        <f t="shared" si="3"/>
        <v>0</v>
      </c>
      <c r="T247" s="31">
        <f t="shared" si="4"/>
        <v>45</v>
      </c>
      <c r="U247" s="36">
        <f t="shared" si="5"/>
        <v>25.95422</v>
      </c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13" t="s">
        <v>19</v>
      </c>
      <c r="B248" s="37">
        <f t="shared" si="6"/>
        <v>46265</v>
      </c>
      <c r="C248" s="16">
        <v>9.0</v>
      </c>
      <c r="D248" s="16" t="s">
        <v>29</v>
      </c>
      <c r="E248" s="17"/>
      <c r="F248" s="17" t="s">
        <v>32</v>
      </c>
      <c r="G248" s="18">
        <v>0.0</v>
      </c>
      <c r="I248" s="19">
        <v>0.0</v>
      </c>
      <c r="K248" s="19">
        <v>0.0</v>
      </c>
      <c r="M248" s="19">
        <v>0.0</v>
      </c>
      <c r="O248" s="19">
        <v>0.0</v>
      </c>
      <c r="Q248" s="20">
        <f t="shared" si="1"/>
        <v>0</v>
      </c>
      <c r="R248" s="16">
        <f t="shared" si="2"/>
        <v>0</v>
      </c>
      <c r="S248" s="16">
        <f t="shared" si="3"/>
        <v>0</v>
      </c>
      <c r="T248" s="16">
        <f t="shared" si="4"/>
        <v>0</v>
      </c>
      <c r="U248" s="38">
        <f t="shared" si="5"/>
        <v>0</v>
      </c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22" t="s">
        <v>21</v>
      </c>
      <c r="B249" s="23">
        <f t="shared" si="6"/>
        <v>46266</v>
      </c>
      <c r="C249" s="25">
        <v>9.0</v>
      </c>
      <c r="D249" s="25" t="s">
        <v>29</v>
      </c>
      <c r="E249" s="21"/>
      <c r="F249" s="21" t="s">
        <v>32</v>
      </c>
      <c r="G249" s="18">
        <v>0.0</v>
      </c>
      <c r="I249" s="19">
        <v>0.0</v>
      </c>
      <c r="K249" s="19">
        <v>0.0</v>
      </c>
      <c r="M249" s="19">
        <v>0.0</v>
      </c>
      <c r="O249" s="19">
        <v>0.0</v>
      </c>
      <c r="Q249" s="26">
        <f t="shared" si="1"/>
        <v>0</v>
      </c>
      <c r="R249" s="25">
        <f t="shared" si="2"/>
        <v>0</v>
      </c>
      <c r="S249" s="25">
        <f t="shared" si="3"/>
        <v>0</v>
      </c>
      <c r="T249" s="25">
        <f t="shared" si="4"/>
        <v>0</v>
      </c>
      <c r="U249" s="27">
        <f t="shared" si="5"/>
        <v>0</v>
      </c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22" t="s">
        <v>22</v>
      </c>
      <c r="B250" s="23">
        <f t="shared" si="6"/>
        <v>46267</v>
      </c>
      <c r="C250" s="25">
        <v>9.0</v>
      </c>
      <c r="D250" s="25" t="s">
        <v>29</v>
      </c>
      <c r="E250" s="21"/>
      <c r="F250" s="21" t="s">
        <v>32</v>
      </c>
      <c r="G250" s="18">
        <v>0.0</v>
      </c>
      <c r="I250" s="19">
        <v>0.0</v>
      </c>
      <c r="K250" s="19">
        <v>0.0</v>
      </c>
      <c r="M250" s="19">
        <v>0.0</v>
      </c>
      <c r="O250" s="19">
        <v>0.0</v>
      </c>
      <c r="Q250" s="26">
        <f t="shared" si="1"/>
        <v>0</v>
      </c>
      <c r="R250" s="25">
        <f t="shared" si="2"/>
        <v>0</v>
      </c>
      <c r="S250" s="25">
        <f t="shared" si="3"/>
        <v>0</v>
      </c>
      <c r="T250" s="25">
        <f t="shared" si="4"/>
        <v>0</v>
      </c>
      <c r="U250" s="27">
        <f t="shared" si="5"/>
        <v>0</v>
      </c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22" t="s">
        <v>23</v>
      </c>
      <c r="B251" s="23">
        <f t="shared" si="6"/>
        <v>46268</v>
      </c>
      <c r="C251" s="25">
        <v>9.0</v>
      </c>
      <c r="D251" s="25" t="s">
        <v>29</v>
      </c>
      <c r="E251" s="21"/>
      <c r="F251" s="21" t="s">
        <v>32</v>
      </c>
      <c r="G251" s="18">
        <v>0.0</v>
      </c>
      <c r="I251" s="19">
        <v>0.0</v>
      </c>
      <c r="K251" s="19">
        <v>0.0</v>
      </c>
      <c r="M251" s="19">
        <v>0.0</v>
      </c>
      <c r="O251" s="19">
        <v>0.0</v>
      </c>
      <c r="Q251" s="26">
        <f t="shared" si="1"/>
        <v>0</v>
      </c>
      <c r="R251" s="25">
        <f t="shared" si="2"/>
        <v>0</v>
      </c>
      <c r="S251" s="25">
        <f t="shared" si="3"/>
        <v>0</v>
      </c>
      <c r="T251" s="25">
        <f t="shared" si="4"/>
        <v>0</v>
      </c>
      <c r="U251" s="27">
        <f t="shared" si="5"/>
        <v>0</v>
      </c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22" t="s">
        <v>24</v>
      </c>
      <c r="B252" s="23">
        <f t="shared" si="6"/>
        <v>46269</v>
      </c>
      <c r="C252" s="25">
        <v>9.0</v>
      </c>
      <c r="D252" s="25" t="s">
        <v>29</v>
      </c>
      <c r="E252" s="21"/>
      <c r="F252" s="21" t="s">
        <v>32</v>
      </c>
      <c r="G252" s="18">
        <v>0.0</v>
      </c>
      <c r="I252" s="19">
        <v>0.0</v>
      </c>
      <c r="K252" s="19">
        <v>0.0</v>
      </c>
      <c r="M252" s="19">
        <v>0.0</v>
      </c>
      <c r="O252" s="19">
        <v>0.0</v>
      </c>
      <c r="Q252" s="26">
        <f t="shared" si="1"/>
        <v>0</v>
      </c>
      <c r="R252" s="25">
        <f t="shared" si="2"/>
        <v>0</v>
      </c>
      <c r="S252" s="25">
        <f t="shared" si="3"/>
        <v>0</v>
      </c>
      <c r="T252" s="25">
        <f t="shared" si="4"/>
        <v>0</v>
      </c>
      <c r="U252" s="27">
        <f t="shared" si="5"/>
        <v>0</v>
      </c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22" t="s">
        <v>25</v>
      </c>
      <c r="B253" s="23">
        <f t="shared" si="6"/>
        <v>46270</v>
      </c>
      <c r="C253" s="25">
        <v>9.0</v>
      </c>
      <c r="D253" s="25" t="s">
        <v>29</v>
      </c>
      <c r="E253" s="21"/>
      <c r="F253" s="21" t="s">
        <v>32</v>
      </c>
      <c r="G253" s="18">
        <v>0.0</v>
      </c>
      <c r="I253" s="19">
        <v>0.0</v>
      </c>
      <c r="K253" s="19">
        <v>0.0</v>
      </c>
      <c r="M253" s="19">
        <v>0.0</v>
      </c>
      <c r="O253" s="19">
        <v>0.0</v>
      </c>
      <c r="Q253" s="26">
        <f t="shared" si="1"/>
        <v>0</v>
      </c>
      <c r="R253" s="25">
        <f t="shared" si="2"/>
        <v>0</v>
      </c>
      <c r="S253" s="25">
        <f t="shared" si="3"/>
        <v>0</v>
      </c>
      <c r="T253" s="25">
        <f t="shared" si="4"/>
        <v>0</v>
      </c>
      <c r="U253" s="27">
        <f t="shared" si="5"/>
        <v>0</v>
      </c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28" t="s">
        <v>26</v>
      </c>
      <c r="B254" s="29">
        <f t="shared" si="6"/>
        <v>46271</v>
      </c>
      <c r="C254" s="31">
        <v>9.0</v>
      </c>
      <c r="D254" s="31" t="s">
        <v>29</v>
      </c>
      <c r="E254" s="32"/>
      <c r="F254" s="32" t="s">
        <v>32</v>
      </c>
      <c r="G254" s="34">
        <v>0.0</v>
      </c>
      <c r="H254" s="6"/>
      <c r="I254" s="34">
        <v>0.0</v>
      </c>
      <c r="J254" s="6"/>
      <c r="K254" s="34">
        <v>0.0</v>
      </c>
      <c r="L254" s="6"/>
      <c r="M254" s="34">
        <v>0.0</v>
      </c>
      <c r="N254" s="6"/>
      <c r="O254" s="34">
        <v>0.0</v>
      </c>
      <c r="P254" s="6"/>
      <c r="Q254" s="35">
        <f t="shared" si="1"/>
        <v>0</v>
      </c>
      <c r="R254" s="31">
        <f t="shared" si="2"/>
        <v>0</v>
      </c>
      <c r="S254" s="31">
        <f t="shared" si="3"/>
        <v>0</v>
      </c>
      <c r="T254" s="31">
        <f t="shared" si="4"/>
        <v>0</v>
      </c>
      <c r="U254" s="36">
        <f t="shared" si="5"/>
        <v>0</v>
      </c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13" t="s">
        <v>19</v>
      </c>
      <c r="B255" s="37">
        <f t="shared" si="6"/>
        <v>46272</v>
      </c>
      <c r="C255" s="16">
        <v>10.0</v>
      </c>
      <c r="D255" s="16" t="s">
        <v>20</v>
      </c>
      <c r="E255" s="17"/>
      <c r="F255" s="17" t="s">
        <v>32</v>
      </c>
      <c r="G255" s="18">
        <v>0.0</v>
      </c>
      <c r="I255" s="19">
        <v>0.0</v>
      </c>
      <c r="K255" s="19">
        <v>0.0</v>
      </c>
      <c r="M255" s="19">
        <v>0.0</v>
      </c>
      <c r="O255" s="19">
        <v>0.0</v>
      </c>
      <c r="Q255" s="20">
        <f t="shared" si="1"/>
        <v>0</v>
      </c>
      <c r="R255" s="16">
        <f t="shared" si="2"/>
        <v>0</v>
      </c>
      <c r="S255" s="16">
        <f t="shared" si="3"/>
        <v>0</v>
      </c>
      <c r="T255" s="16">
        <f t="shared" si="4"/>
        <v>0</v>
      </c>
      <c r="U255" s="38">
        <f t="shared" si="5"/>
        <v>0</v>
      </c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22" t="s">
        <v>21</v>
      </c>
      <c r="B256" s="23">
        <f t="shared" si="6"/>
        <v>46273</v>
      </c>
      <c r="C256" s="25">
        <v>10.0</v>
      </c>
      <c r="D256" s="25" t="s">
        <v>20</v>
      </c>
      <c r="E256" s="73">
        <v>13.0</v>
      </c>
      <c r="F256" s="21" t="s">
        <v>33</v>
      </c>
      <c r="G256" s="18">
        <v>0.0</v>
      </c>
      <c r="I256" s="19">
        <v>45.0</v>
      </c>
      <c r="K256" s="19">
        <v>45.0</v>
      </c>
      <c r="M256" s="19">
        <v>0.0</v>
      </c>
      <c r="O256" s="19">
        <v>45.0</v>
      </c>
      <c r="Q256" s="26">
        <f t="shared" si="1"/>
        <v>2724.8814</v>
      </c>
      <c r="R256" s="25">
        <f t="shared" si="2"/>
        <v>90</v>
      </c>
      <c r="S256" s="25">
        <f t="shared" si="3"/>
        <v>45</v>
      </c>
      <c r="T256" s="25">
        <f t="shared" si="4"/>
        <v>135</v>
      </c>
      <c r="U256" s="27">
        <f t="shared" si="5"/>
        <v>20.18430667</v>
      </c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22" t="s">
        <v>22</v>
      </c>
      <c r="B257" s="23">
        <f t="shared" si="6"/>
        <v>46274</v>
      </c>
      <c r="C257" s="25">
        <v>10.0</v>
      </c>
      <c r="D257" s="25" t="s">
        <v>20</v>
      </c>
      <c r="E257" s="73">
        <v>13.0</v>
      </c>
      <c r="F257" s="21" t="s">
        <v>31</v>
      </c>
      <c r="G257" s="18">
        <v>45.0</v>
      </c>
      <c r="I257" s="19">
        <v>45.0</v>
      </c>
      <c r="K257" s="19">
        <v>0.0</v>
      </c>
      <c r="M257" s="19">
        <v>0.0</v>
      </c>
      <c r="O257" s="19">
        <v>0.0</v>
      </c>
      <c r="Q257" s="26">
        <f t="shared" si="1"/>
        <v>2335.8798</v>
      </c>
      <c r="R257" s="25">
        <f t="shared" si="2"/>
        <v>90</v>
      </c>
      <c r="S257" s="25">
        <f t="shared" si="3"/>
        <v>0</v>
      </c>
      <c r="T257" s="25">
        <f t="shared" si="4"/>
        <v>90</v>
      </c>
      <c r="U257" s="27">
        <f t="shared" si="5"/>
        <v>25.95422</v>
      </c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22" t="s">
        <v>23</v>
      </c>
      <c r="B258" s="23">
        <f t="shared" si="6"/>
        <v>46275</v>
      </c>
      <c r="C258" s="25">
        <v>10.0</v>
      </c>
      <c r="D258" s="25" t="s">
        <v>20</v>
      </c>
      <c r="E258" s="73">
        <v>13.0</v>
      </c>
      <c r="F258" s="21" t="s">
        <v>33</v>
      </c>
      <c r="G258" s="18">
        <v>0.0</v>
      </c>
      <c r="I258" s="19">
        <v>45.0</v>
      </c>
      <c r="K258" s="19">
        <v>45.0</v>
      </c>
      <c r="M258" s="19">
        <v>0.0</v>
      </c>
      <c r="O258" s="19">
        <v>45.0</v>
      </c>
      <c r="Q258" s="26">
        <f t="shared" si="1"/>
        <v>2724.8814</v>
      </c>
      <c r="R258" s="25">
        <f t="shared" si="2"/>
        <v>90</v>
      </c>
      <c r="S258" s="25">
        <f t="shared" si="3"/>
        <v>45</v>
      </c>
      <c r="T258" s="25">
        <f t="shared" si="4"/>
        <v>135</v>
      </c>
      <c r="U258" s="27">
        <f t="shared" si="5"/>
        <v>20.18430667</v>
      </c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22" t="s">
        <v>24</v>
      </c>
      <c r="B259" s="23">
        <f t="shared" si="6"/>
        <v>46276</v>
      </c>
      <c r="C259" s="25">
        <v>10.0</v>
      </c>
      <c r="D259" s="25" t="s">
        <v>20</v>
      </c>
      <c r="E259" s="73">
        <v>13.0</v>
      </c>
      <c r="F259" s="21" t="s">
        <v>33</v>
      </c>
      <c r="G259" s="18">
        <v>0.0</v>
      </c>
      <c r="I259" s="19">
        <v>45.0</v>
      </c>
      <c r="K259" s="19">
        <v>45.0</v>
      </c>
      <c r="M259" s="19">
        <v>0.0</v>
      </c>
      <c r="O259" s="19">
        <v>45.0</v>
      </c>
      <c r="Q259" s="26">
        <f t="shared" si="1"/>
        <v>2724.8814</v>
      </c>
      <c r="R259" s="25">
        <f t="shared" si="2"/>
        <v>90</v>
      </c>
      <c r="S259" s="25">
        <f t="shared" si="3"/>
        <v>45</v>
      </c>
      <c r="T259" s="25">
        <f t="shared" si="4"/>
        <v>135</v>
      </c>
      <c r="U259" s="27">
        <f t="shared" si="5"/>
        <v>20.18430667</v>
      </c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22" t="s">
        <v>25</v>
      </c>
      <c r="B260" s="23">
        <f t="shared" si="6"/>
        <v>46277</v>
      </c>
      <c r="C260" s="25">
        <v>10.0</v>
      </c>
      <c r="D260" s="25" t="s">
        <v>20</v>
      </c>
      <c r="E260" s="73">
        <v>13.0</v>
      </c>
      <c r="F260" s="21" t="s">
        <v>33</v>
      </c>
      <c r="G260" s="18">
        <v>0.0</v>
      </c>
      <c r="I260" s="19">
        <v>45.0</v>
      </c>
      <c r="K260" s="19">
        <v>45.0</v>
      </c>
      <c r="M260" s="19">
        <v>0.0</v>
      </c>
      <c r="O260" s="19">
        <v>45.0</v>
      </c>
      <c r="Q260" s="26">
        <f t="shared" si="1"/>
        <v>2724.8814</v>
      </c>
      <c r="R260" s="25">
        <f t="shared" si="2"/>
        <v>90</v>
      </c>
      <c r="S260" s="25">
        <f t="shared" si="3"/>
        <v>45</v>
      </c>
      <c r="T260" s="25">
        <f t="shared" si="4"/>
        <v>135</v>
      </c>
      <c r="U260" s="27">
        <f t="shared" si="5"/>
        <v>20.18430667</v>
      </c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28" t="s">
        <v>26</v>
      </c>
      <c r="B261" s="29">
        <f t="shared" si="6"/>
        <v>46278</v>
      </c>
      <c r="C261" s="31">
        <v>10.0</v>
      </c>
      <c r="D261" s="31" t="s">
        <v>20</v>
      </c>
      <c r="E261" s="74">
        <v>13.0</v>
      </c>
      <c r="F261" s="32" t="s">
        <v>31</v>
      </c>
      <c r="G261" s="33">
        <v>45.0</v>
      </c>
      <c r="H261" s="6"/>
      <c r="I261" s="75">
        <v>0.0</v>
      </c>
      <c r="J261" s="6"/>
      <c r="K261" s="34">
        <v>0.0</v>
      </c>
      <c r="L261" s="6"/>
      <c r="M261" s="34">
        <v>0.0</v>
      </c>
      <c r="N261" s="6"/>
      <c r="O261" s="34">
        <v>0.0</v>
      </c>
      <c r="P261" s="6"/>
      <c r="Q261" s="35">
        <f t="shared" si="1"/>
        <v>1167.9399</v>
      </c>
      <c r="R261" s="31">
        <f t="shared" si="2"/>
        <v>45</v>
      </c>
      <c r="S261" s="31">
        <f t="shared" si="3"/>
        <v>0</v>
      </c>
      <c r="T261" s="31">
        <f t="shared" si="4"/>
        <v>45</v>
      </c>
      <c r="U261" s="36">
        <f t="shared" si="5"/>
        <v>25.95422</v>
      </c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13" t="s">
        <v>19</v>
      </c>
      <c r="B262" s="37">
        <f t="shared" si="6"/>
        <v>46279</v>
      </c>
      <c r="C262" s="16">
        <v>10.0</v>
      </c>
      <c r="D262" s="16" t="s">
        <v>27</v>
      </c>
      <c r="E262" s="17"/>
      <c r="F262" s="17" t="s">
        <v>32</v>
      </c>
      <c r="G262" s="18">
        <v>0.0</v>
      </c>
      <c r="I262" s="19">
        <v>0.0</v>
      </c>
      <c r="K262" s="19">
        <v>0.0</v>
      </c>
      <c r="M262" s="19">
        <v>0.0</v>
      </c>
      <c r="O262" s="19">
        <v>0.0</v>
      </c>
      <c r="Q262" s="20">
        <f t="shared" si="1"/>
        <v>0</v>
      </c>
      <c r="R262" s="16">
        <f t="shared" si="2"/>
        <v>0</v>
      </c>
      <c r="S262" s="16">
        <f t="shared" si="3"/>
        <v>0</v>
      </c>
      <c r="T262" s="16">
        <f t="shared" si="4"/>
        <v>0</v>
      </c>
      <c r="U262" s="38">
        <f t="shared" si="5"/>
        <v>0</v>
      </c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22" t="s">
        <v>21</v>
      </c>
      <c r="B263" s="23">
        <f t="shared" si="6"/>
        <v>46280</v>
      </c>
      <c r="C263" s="25">
        <v>10.0</v>
      </c>
      <c r="D263" s="25" t="s">
        <v>27</v>
      </c>
      <c r="E263" s="21"/>
      <c r="F263" s="21" t="s">
        <v>32</v>
      </c>
      <c r="G263" s="18">
        <v>0.0</v>
      </c>
      <c r="I263" s="19">
        <v>0.0</v>
      </c>
      <c r="K263" s="19">
        <v>0.0</v>
      </c>
      <c r="M263" s="19">
        <v>0.0</v>
      </c>
      <c r="O263" s="19">
        <v>0.0</v>
      </c>
      <c r="Q263" s="26">
        <f t="shared" si="1"/>
        <v>0</v>
      </c>
      <c r="R263" s="25">
        <f t="shared" si="2"/>
        <v>0</v>
      </c>
      <c r="S263" s="25">
        <f t="shared" si="3"/>
        <v>0</v>
      </c>
      <c r="T263" s="25">
        <f t="shared" si="4"/>
        <v>0</v>
      </c>
      <c r="U263" s="27">
        <f t="shared" si="5"/>
        <v>0</v>
      </c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22" t="s">
        <v>22</v>
      </c>
      <c r="B264" s="23">
        <f t="shared" si="6"/>
        <v>46281</v>
      </c>
      <c r="C264" s="25">
        <v>10.0</v>
      </c>
      <c r="D264" s="25" t="s">
        <v>27</v>
      </c>
      <c r="E264" s="21"/>
      <c r="F264" s="21" t="s">
        <v>32</v>
      </c>
      <c r="G264" s="18">
        <v>0.0</v>
      </c>
      <c r="I264" s="19">
        <v>0.0</v>
      </c>
      <c r="K264" s="19">
        <v>0.0</v>
      </c>
      <c r="M264" s="19">
        <v>0.0</v>
      </c>
      <c r="O264" s="19">
        <v>0.0</v>
      </c>
      <c r="Q264" s="26">
        <f t="shared" si="1"/>
        <v>0</v>
      </c>
      <c r="R264" s="25">
        <f t="shared" si="2"/>
        <v>0</v>
      </c>
      <c r="S264" s="25">
        <f t="shared" si="3"/>
        <v>0</v>
      </c>
      <c r="T264" s="25">
        <f t="shared" si="4"/>
        <v>0</v>
      </c>
      <c r="U264" s="27">
        <f t="shared" si="5"/>
        <v>0</v>
      </c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22" t="s">
        <v>23</v>
      </c>
      <c r="B265" s="23">
        <f t="shared" si="6"/>
        <v>46282</v>
      </c>
      <c r="C265" s="25">
        <v>10.0</v>
      </c>
      <c r="D265" s="25" t="s">
        <v>27</v>
      </c>
      <c r="E265" s="21"/>
      <c r="F265" s="21" t="s">
        <v>32</v>
      </c>
      <c r="G265" s="18">
        <v>0.0</v>
      </c>
      <c r="I265" s="19">
        <v>0.0</v>
      </c>
      <c r="K265" s="19">
        <v>0.0</v>
      </c>
      <c r="M265" s="19">
        <v>0.0</v>
      </c>
      <c r="O265" s="19">
        <v>0.0</v>
      </c>
      <c r="Q265" s="26">
        <f t="shared" si="1"/>
        <v>0</v>
      </c>
      <c r="R265" s="25">
        <f t="shared" si="2"/>
        <v>0</v>
      </c>
      <c r="S265" s="25">
        <f t="shared" si="3"/>
        <v>0</v>
      </c>
      <c r="T265" s="25">
        <f t="shared" si="4"/>
        <v>0</v>
      </c>
      <c r="U265" s="27">
        <f t="shared" si="5"/>
        <v>0</v>
      </c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22" t="s">
        <v>24</v>
      </c>
      <c r="B266" s="23">
        <f t="shared" si="6"/>
        <v>46283</v>
      </c>
      <c r="C266" s="25">
        <v>10.0</v>
      </c>
      <c r="D266" s="25" t="s">
        <v>27</v>
      </c>
      <c r="E266" s="21"/>
      <c r="F266" s="21" t="s">
        <v>32</v>
      </c>
      <c r="G266" s="18">
        <v>0.0</v>
      </c>
      <c r="I266" s="19">
        <v>0.0</v>
      </c>
      <c r="K266" s="19">
        <v>0.0</v>
      </c>
      <c r="M266" s="19">
        <v>0.0</v>
      </c>
      <c r="O266" s="19">
        <v>0.0</v>
      </c>
      <c r="Q266" s="26">
        <f t="shared" si="1"/>
        <v>0</v>
      </c>
      <c r="R266" s="25">
        <f t="shared" si="2"/>
        <v>0</v>
      </c>
      <c r="S266" s="25">
        <f t="shared" si="3"/>
        <v>0</v>
      </c>
      <c r="T266" s="25">
        <f t="shared" si="4"/>
        <v>0</v>
      </c>
      <c r="U266" s="27">
        <f t="shared" si="5"/>
        <v>0</v>
      </c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22" t="s">
        <v>25</v>
      </c>
      <c r="B267" s="23">
        <f t="shared" si="6"/>
        <v>46284</v>
      </c>
      <c r="C267" s="25">
        <v>10.0</v>
      </c>
      <c r="D267" s="25" t="s">
        <v>27</v>
      </c>
      <c r="E267" s="21"/>
      <c r="F267" s="21" t="s">
        <v>32</v>
      </c>
      <c r="G267" s="18">
        <v>0.0</v>
      </c>
      <c r="I267" s="19">
        <v>0.0</v>
      </c>
      <c r="K267" s="19">
        <v>0.0</v>
      </c>
      <c r="M267" s="19">
        <v>0.0</v>
      </c>
      <c r="O267" s="19">
        <v>0.0</v>
      </c>
      <c r="Q267" s="26">
        <f t="shared" si="1"/>
        <v>0</v>
      </c>
      <c r="R267" s="25">
        <f t="shared" si="2"/>
        <v>0</v>
      </c>
      <c r="S267" s="25">
        <f t="shared" si="3"/>
        <v>0</v>
      </c>
      <c r="T267" s="25">
        <f t="shared" si="4"/>
        <v>0</v>
      </c>
      <c r="U267" s="27">
        <f t="shared" si="5"/>
        <v>0</v>
      </c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28" t="s">
        <v>26</v>
      </c>
      <c r="B268" s="29">
        <f t="shared" si="6"/>
        <v>46285</v>
      </c>
      <c r="C268" s="31">
        <v>10.0</v>
      </c>
      <c r="D268" s="31" t="s">
        <v>27</v>
      </c>
      <c r="E268" s="32"/>
      <c r="F268" s="32" t="s">
        <v>32</v>
      </c>
      <c r="G268" s="34">
        <v>0.0</v>
      </c>
      <c r="H268" s="6"/>
      <c r="I268" s="34">
        <v>0.0</v>
      </c>
      <c r="J268" s="6"/>
      <c r="K268" s="34">
        <v>0.0</v>
      </c>
      <c r="L268" s="6"/>
      <c r="M268" s="34">
        <v>0.0</v>
      </c>
      <c r="N268" s="6"/>
      <c r="O268" s="34">
        <v>0.0</v>
      </c>
      <c r="P268" s="6"/>
      <c r="Q268" s="35">
        <f t="shared" si="1"/>
        <v>0</v>
      </c>
      <c r="R268" s="31">
        <f t="shared" si="2"/>
        <v>0</v>
      </c>
      <c r="S268" s="31">
        <f t="shared" si="3"/>
        <v>0</v>
      </c>
      <c r="T268" s="31">
        <f t="shared" si="4"/>
        <v>0</v>
      </c>
      <c r="U268" s="36">
        <f t="shared" si="5"/>
        <v>0</v>
      </c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13" t="s">
        <v>19</v>
      </c>
      <c r="B269" s="37">
        <f t="shared" si="6"/>
        <v>46286</v>
      </c>
      <c r="C269" s="16">
        <v>10.0</v>
      </c>
      <c r="D269" s="16" t="s">
        <v>28</v>
      </c>
      <c r="E269" s="17"/>
      <c r="F269" s="17" t="s">
        <v>32</v>
      </c>
      <c r="G269" s="18">
        <v>0.0</v>
      </c>
      <c r="I269" s="19">
        <v>0.0</v>
      </c>
      <c r="K269" s="19">
        <v>0.0</v>
      </c>
      <c r="M269" s="19">
        <v>0.0</v>
      </c>
      <c r="O269" s="19">
        <v>0.0</v>
      </c>
      <c r="Q269" s="20">
        <f t="shared" si="1"/>
        <v>0</v>
      </c>
      <c r="R269" s="16">
        <f t="shared" si="2"/>
        <v>0</v>
      </c>
      <c r="S269" s="16">
        <f t="shared" si="3"/>
        <v>0</v>
      </c>
      <c r="T269" s="16">
        <f t="shared" si="4"/>
        <v>0</v>
      </c>
      <c r="U269" s="38">
        <f t="shared" si="5"/>
        <v>0</v>
      </c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22" t="s">
        <v>21</v>
      </c>
      <c r="B270" s="23">
        <f t="shared" si="6"/>
        <v>46287</v>
      </c>
      <c r="C270" s="25">
        <v>10.0</v>
      </c>
      <c r="D270" s="25" t="s">
        <v>28</v>
      </c>
      <c r="E270" s="21"/>
      <c r="F270" s="21" t="s">
        <v>32</v>
      </c>
      <c r="G270" s="18">
        <v>0.0</v>
      </c>
      <c r="I270" s="19">
        <v>0.0</v>
      </c>
      <c r="K270" s="19">
        <v>0.0</v>
      </c>
      <c r="M270" s="19">
        <v>0.0</v>
      </c>
      <c r="O270" s="19">
        <v>0.0</v>
      </c>
      <c r="Q270" s="26">
        <f t="shared" si="1"/>
        <v>0</v>
      </c>
      <c r="R270" s="25">
        <f t="shared" si="2"/>
        <v>0</v>
      </c>
      <c r="S270" s="25">
        <f t="shared" si="3"/>
        <v>0</v>
      </c>
      <c r="T270" s="25">
        <f t="shared" si="4"/>
        <v>0</v>
      </c>
      <c r="U270" s="27">
        <f t="shared" si="5"/>
        <v>0</v>
      </c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22" t="s">
        <v>22</v>
      </c>
      <c r="B271" s="23">
        <f t="shared" si="6"/>
        <v>46288</v>
      </c>
      <c r="C271" s="25">
        <v>10.0</v>
      </c>
      <c r="D271" s="25" t="s">
        <v>28</v>
      </c>
      <c r="E271" s="21"/>
      <c r="F271" s="21" t="s">
        <v>32</v>
      </c>
      <c r="G271" s="18">
        <v>0.0</v>
      </c>
      <c r="I271" s="19">
        <v>0.0</v>
      </c>
      <c r="K271" s="19">
        <v>0.0</v>
      </c>
      <c r="M271" s="19">
        <v>0.0</v>
      </c>
      <c r="O271" s="19">
        <v>0.0</v>
      </c>
      <c r="Q271" s="26">
        <f t="shared" si="1"/>
        <v>0</v>
      </c>
      <c r="R271" s="25">
        <f t="shared" si="2"/>
        <v>0</v>
      </c>
      <c r="S271" s="25">
        <f t="shared" si="3"/>
        <v>0</v>
      </c>
      <c r="T271" s="25">
        <f t="shared" si="4"/>
        <v>0</v>
      </c>
      <c r="U271" s="27">
        <f t="shared" si="5"/>
        <v>0</v>
      </c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22" t="s">
        <v>23</v>
      </c>
      <c r="B272" s="23">
        <f t="shared" si="6"/>
        <v>46289</v>
      </c>
      <c r="C272" s="25">
        <v>10.0</v>
      </c>
      <c r="D272" s="25" t="s">
        <v>28</v>
      </c>
      <c r="E272" s="21"/>
      <c r="F272" s="21" t="s">
        <v>32</v>
      </c>
      <c r="G272" s="18">
        <v>0.0</v>
      </c>
      <c r="I272" s="19">
        <v>0.0</v>
      </c>
      <c r="K272" s="19">
        <v>0.0</v>
      </c>
      <c r="M272" s="19">
        <v>0.0</v>
      </c>
      <c r="O272" s="19">
        <v>0.0</v>
      </c>
      <c r="Q272" s="26">
        <f t="shared" si="1"/>
        <v>0</v>
      </c>
      <c r="R272" s="25">
        <f t="shared" si="2"/>
        <v>0</v>
      </c>
      <c r="S272" s="25">
        <f t="shared" si="3"/>
        <v>0</v>
      </c>
      <c r="T272" s="25">
        <f t="shared" si="4"/>
        <v>0</v>
      </c>
      <c r="U272" s="27">
        <f t="shared" si="5"/>
        <v>0</v>
      </c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22" t="s">
        <v>24</v>
      </c>
      <c r="B273" s="23">
        <f t="shared" si="6"/>
        <v>46290</v>
      </c>
      <c r="C273" s="25">
        <v>10.0</v>
      </c>
      <c r="D273" s="25" t="s">
        <v>28</v>
      </c>
      <c r="E273" s="21"/>
      <c r="F273" s="21" t="s">
        <v>32</v>
      </c>
      <c r="G273" s="18">
        <v>0.0</v>
      </c>
      <c r="I273" s="19">
        <v>0.0</v>
      </c>
      <c r="K273" s="19">
        <v>0.0</v>
      </c>
      <c r="M273" s="19">
        <v>0.0</v>
      </c>
      <c r="O273" s="19">
        <v>0.0</v>
      </c>
      <c r="Q273" s="26">
        <f t="shared" si="1"/>
        <v>0</v>
      </c>
      <c r="R273" s="25">
        <f t="shared" si="2"/>
        <v>0</v>
      </c>
      <c r="S273" s="25">
        <f t="shared" si="3"/>
        <v>0</v>
      </c>
      <c r="T273" s="25">
        <f t="shared" si="4"/>
        <v>0</v>
      </c>
      <c r="U273" s="27">
        <f t="shared" si="5"/>
        <v>0</v>
      </c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22" t="s">
        <v>25</v>
      </c>
      <c r="B274" s="23">
        <f t="shared" si="6"/>
        <v>46291</v>
      </c>
      <c r="C274" s="25">
        <v>10.0</v>
      </c>
      <c r="D274" s="25" t="s">
        <v>28</v>
      </c>
      <c r="E274" s="21"/>
      <c r="F274" s="21" t="s">
        <v>32</v>
      </c>
      <c r="G274" s="18">
        <v>0.0</v>
      </c>
      <c r="I274" s="19">
        <v>0.0</v>
      </c>
      <c r="K274" s="19">
        <v>0.0</v>
      </c>
      <c r="M274" s="19">
        <v>0.0</v>
      </c>
      <c r="O274" s="19">
        <v>0.0</v>
      </c>
      <c r="Q274" s="26">
        <f t="shared" si="1"/>
        <v>0</v>
      </c>
      <c r="R274" s="25">
        <f t="shared" si="2"/>
        <v>0</v>
      </c>
      <c r="S274" s="25">
        <f t="shared" si="3"/>
        <v>0</v>
      </c>
      <c r="T274" s="25">
        <f t="shared" si="4"/>
        <v>0</v>
      </c>
      <c r="U274" s="27">
        <f t="shared" si="5"/>
        <v>0</v>
      </c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28" t="s">
        <v>26</v>
      </c>
      <c r="B275" s="29">
        <f t="shared" si="6"/>
        <v>46292</v>
      </c>
      <c r="C275" s="31">
        <v>10.0</v>
      </c>
      <c r="D275" s="31" t="s">
        <v>28</v>
      </c>
      <c r="E275" s="32"/>
      <c r="F275" s="32" t="s">
        <v>32</v>
      </c>
      <c r="G275" s="34">
        <v>0.0</v>
      </c>
      <c r="H275" s="6"/>
      <c r="I275" s="34">
        <v>0.0</v>
      </c>
      <c r="J275" s="6"/>
      <c r="K275" s="34">
        <v>0.0</v>
      </c>
      <c r="L275" s="6"/>
      <c r="M275" s="34">
        <v>0.0</v>
      </c>
      <c r="N275" s="6"/>
      <c r="O275" s="34">
        <v>0.0</v>
      </c>
      <c r="P275" s="6"/>
      <c r="Q275" s="35">
        <f t="shared" si="1"/>
        <v>0</v>
      </c>
      <c r="R275" s="31">
        <f t="shared" si="2"/>
        <v>0</v>
      </c>
      <c r="S275" s="31">
        <f t="shared" si="3"/>
        <v>0</v>
      </c>
      <c r="T275" s="31">
        <f t="shared" si="4"/>
        <v>0</v>
      </c>
      <c r="U275" s="36">
        <f t="shared" si="5"/>
        <v>0</v>
      </c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13" t="s">
        <v>19</v>
      </c>
      <c r="B276" s="37">
        <f t="shared" si="6"/>
        <v>46293</v>
      </c>
      <c r="C276" s="16">
        <v>10.0</v>
      </c>
      <c r="D276" s="16" t="s">
        <v>29</v>
      </c>
      <c r="E276" s="17"/>
      <c r="F276" s="17"/>
      <c r="G276" s="18"/>
      <c r="I276" s="19"/>
      <c r="K276" s="19"/>
      <c r="M276" s="19"/>
      <c r="O276" s="19"/>
      <c r="Q276" s="20">
        <f t="shared" si="1"/>
        <v>0</v>
      </c>
      <c r="R276" s="16">
        <f t="shared" si="2"/>
        <v>0</v>
      </c>
      <c r="S276" s="16">
        <f t="shared" si="3"/>
        <v>0</v>
      </c>
      <c r="T276" s="16">
        <f t="shared" si="4"/>
        <v>0</v>
      </c>
      <c r="U276" s="38">
        <f t="shared" si="5"/>
        <v>0</v>
      </c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22" t="s">
        <v>21</v>
      </c>
      <c r="B277" s="23">
        <f t="shared" si="6"/>
        <v>46294</v>
      </c>
      <c r="C277" s="25">
        <v>10.0</v>
      </c>
      <c r="D277" s="25" t="s">
        <v>29</v>
      </c>
      <c r="E277" s="21"/>
      <c r="F277" s="21"/>
      <c r="G277" s="18"/>
      <c r="I277" s="19"/>
      <c r="K277" s="19"/>
      <c r="M277" s="19"/>
      <c r="O277" s="19"/>
      <c r="Q277" s="26">
        <f t="shared" si="1"/>
        <v>0</v>
      </c>
      <c r="R277" s="25">
        <f t="shared" si="2"/>
        <v>0</v>
      </c>
      <c r="S277" s="25">
        <f t="shared" si="3"/>
        <v>0</v>
      </c>
      <c r="T277" s="25">
        <f t="shared" si="4"/>
        <v>0</v>
      </c>
      <c r="U277" s="27">
        <f t="shared" si="5"/>
        <v>0</v>
      </c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22" t="s">
        <v>22</v>
      </c>
      <c r="B278" s="23">
        <f t="shared" si="6"/>
        <v>46295</v>
      </c>
      <c r="C278" s="25">
        <v>10.0</v>
      </c>
      <c r="D278" s="25" t="s">
        <v>29</v>
      </c>
      <c r="E278" s="21"/>
      <c r="F278" s="21"/>
      <c r="G278" s="18"/>
      <c r="I278" s="19"/>
      <c r="K278" s="19"/>
      <c r="M278" s="19"/>
      <c r="O278" s="19"/>
      <c r="Q278" s="26">
        <f t="shared" si="1"/>
        <v>0</v>
      </c>
      <c r="R278" s="25">
        <f t="shared" si="2"/>
        <v>0</v>
      </c>
      <c r="S278" s="25">
        <f t="shared" si="3"/>
        <v>0</v>
      </c>
      <c r="T278" s="25">
        <f t="shared" si="4"/>
        <v>0</v>
      </c>
      <c r="U278" s="27">
        <f t="shared" si="5"/>
        <v>0</v>
      </c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22" t="s">
        <v>23</v>
      </c>
      <c r="B279" s="23">
        <f t="shared" si="6"/>
        <v>46296</v>
      </c>
      <c r="C279" s="25">
        <v>10.0</v>
      </c>
      <c r="D279" s="25" t="s">
        <v>29</v>
      </c>
      <c r="E279" s="21"/>
      <c r="F279" s="21"/>
      <c r="G279" s="18"/>
      <c r="I279" s="19"/>
      <c r="K279" s="19"/>
      <c r="M279" s="19"/>
      <c r="O279" s="19"/>
      <c r="Q279" s="26">
        <f t="shared" si="1"/>
        <v>0</v>
      </c>
      <c r="R279" s="25">
        <f t="shared" si="2"/>
        <v>0</v>
      </c>
      <c r="S279" s="25">
        <f t="shared" si="3"/>
        <v>0</v>
      </c>
      <c r="T279" s="25">
        <f t="shared" si="4"/>
        <v>0</v>
      </c>
      <c r="U279" s="27">
        <f t="shared" si="5"/>
        <v>0</v>
      </c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22" t="s">
        <v>24</v>
      </c>
      <c r="B280" s="23">
        <f t="shared" si="6"/>
        <v>46297</v>
      </c>
      <c r="C280" s="25">
        <v>10.0</v>
      </c>
      <c r="D280" s="25" t="s">
        <v>29</v>
      </c>
      <c r="E280" s="21"/>
      <c r="F280" s="21"/>
      <c r="G280" s="18"/>
      <c r="I280" s="19"/>
      <c r="K280" s="19"/>
      <c r="M280" s="19"/>
      <c r="O280" s="19"/>
      <c r="Q280" s="26">
        <f t="shared" si="1"/>
        <v>0</v>
      </c>
      <c r="R280" s="25">
        <f t="shared" si="2"/>
        <v>0</v>
      </c>
      <c r="S280" s="25">
        <f t="shared" si="3"/>
        <v>0</v>
      </c>
      <c r="T280" s="25">
        <f t="shared" si="4"/>
        <v>0</v>
      </c>
      <c r="U280" s="27">
        <f t="shared" si="5"/>
        <v>0</v>
      </c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22" t="s">
        <v>25</v>
      </c>
      <c r="B281" s="23">
        <f t="shared" si="6"/>
        <v>46298</v>
      </c>
      <c r="C281" s="25">
        <v>10.0</v>
      </c>
      <c r="D281" s="25" t="s">
        <v>29</v>
      </c>
      <c r="E281" s="21"/>
      <c r="F281" s="21"/>
      <c r="G281" s="18"/>
      <c r="I281" s="19"/>
      <c r="K281" s="19"/>
      <c r="M281" s="19"/>
      <c r="O281" s="19"/>
      <c r="Q281" s="26">
        <f t="shared" si="1"/>
        <v>0</v>
      </c>
      <c r="R281" s="25">
        <f t="shared" si="2"/>
        <v>0</v>
      </c>
      <c r="S281" s="25">
        <f t="shared" si="3"/>
        <v>0</v>
      </c>
      <c r="T281" s="25">
        <f t="shared" si="4"/>
        <v>0</v>
      </c>
      <c r="U281" s="27">
        <f t="shared" si="5"/>
        <v>0</v>
      </c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28" t="s">
        <v>26</v>
      </c>
      <c r="B282" s="29">
        <f t="shared" si="6"/>
        <v>46299</v>
      </c>
      <c r="C282" s="31">
        <v>10.0</v>
      </c>
      <c r="D282" s="31" t="s">
        <v>29</v>
      </c>
      <c r="E282" s="32"/>
      <c r="F282" s="32"/>
      <c r="G282" s="33"/>
      <c r="H282" s="6"/>
      <c r="I282" s="34"/>
      <c r="J282" s="6"/>
      <c r="K282" s="34"/>
      <c r="L282" s="6"/>
      <c r="M282" s="34"/>
      <c r="N282" s="6"/>
      <c r="O282" s="34"/>
      <c r="P282" s="6"/>
      <c r="Q282" s="35">
        <f t="shared" si="1"/>
        <v>0</v>
      </c>
      <c r="R282" s="31">
        <f t="shared" si="2"/>
        <v>0</v>
      </c>
      <c r="S282" s="31">
        <f t="shared" si="3"/>
        <v>0</v>
      </c>
      <c r="T282" s="31">
        <f t="shared" si="4"/>
        <v>0</v>
      </c>
      <c r="U282" s="36">
        <f t="shared" si="5"/>
        <v>0</v>
      </c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13" t="s">
        <v>19</v>
      </c>
      <c r="B283" s="37">
        <f t="shared" si="6"/>
        <v>46300</v>
      </c>
      <c r="C283" s="16">
        <v>11.0</v>
      </c>
      <c r="D283" s="16" t="s">
        <v>20</v>
      </c>
      <c r="E283" s="17"/>
      <c r="F283" s="17"/>
      <c r="G283" s="18"/>
      <c r="I283" s="19"/>
      <c r="K283" s="19"/>
      <c r="M283" s="19"/>
      <c r="O283" s="19"/>
      <c r="Q283" s="20">
        <f t="shared" si="1"/>
        <v>0</v>
      </c>
      <c r="R283" s="16">
        <f t="shared" si="2"/>
        <v>0</v>
      </c>
      <c r="S283" s="16">
        <f t="shared" si="3"/>
        <v>0</v>
      </c>
      <c r="T283" s="16">
        <f t="shared" si="4"/>
        <v>0</v>
      </c>
      <c r="U283" s="38">
        <f t="shared" si="5"/>
        <v>0</v>
      </c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22" t="s">
        <v>21</v>
      </c>
      <c r="B284" s="23">
        <f t="shared" si="6"/>
        <v>46301</v>
      </c>
      <c r="C284" s="25">
        <v>11.0</v>
      </c>
      <c r="D284" s="25" t="s">
        <v>20</v>
      </c>
      <c r="E284" s="21"/>
      <c r="F284" s="21"/>
      <c r="G284" s="18"/>
      <c r="I284" s="19"/>
      <c r="K284" s="19"/>
      <c r="M284" s="19"/>
      <c r="O284" s="19"/>
      <c r="Q284" s="26">
        <f t="shared" si="1"/>
        <v>0</v>
      </c>
      <c r="R284" s="25">
        <f t="shared" si="2"/>
        <v>0</v>
      </c>
      <c r="S284" s="25">
        <f t="shared" si="3"/>
        <v>0</v>
      </c>
      <c r="T284" s="25">
        <f t="shared" si="4"/>
        <v>0</v>
      </c>
      <c r="U284" s="27">
        <f t="shared" si="5"/>
        <v>0</v>
      </c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22" t="s">
        <v>22</v>
      </c>
      <c r="B285" s="23">
        <f t="shared" si="6"/>
        <v>46302</v>
      </c>
      <c r="C285" s="25">
        <v>11.0</v>
      </c>
      <c r="D285" s="25" t="s">
        <v>20</v>
      </c>
      <c r="E285" s="21"/>
      <c r="F285" s="21"/>
      <c r="G285" s="18"/>
      <c r="I285" s="19"/>
      <c r="K285" s="19"/>
      <c r="M285" s="19"/>
      <c r="O285" s="19"/>
      <c r="Q285" s="26">
        <f t="shared" si="1"/>
        <v>0</v>
      </c>
      <c r="R285" s="25">
        <f t="shared" si="2"/>
        <v>0</v>
      </c>
      <c r="S285" s="25">
        <f t="shared" si="3"/>
        <v>0</v>
      </c>
      <c r="T285" s="25">
        <f t="shared" si="4"/>
        <v>0</v>
      </c>
      <c r="U285" s="27">
        <f t="shared" si="5"/>
        <v>0</v>
      </c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22" t="s">
        <v>23</v>
      </c>
      <c r="B286" s="23">
        <f t="shared" si="6"/>
        <v>46303</v>
      </c>
      <c r="C286" s="25">
        <v>11.0</v>
      </c>
      <c r="D286" s="25" t="s">
        <v>20</v>
      </c>
      <c r="E286" s="21"/>
      <c r="F286" s="21"/>
      <c r="G286" s="18"/>
      <c r="I286" s="19"/>
      <c r="K286" s="19"/>
      <c r="M286" s="19"/>
      <c r="O286" s="19"/>
      <c r="Q286" s="26">
        <f t="shared" si="1"/>
        <v>0</v>
      </c>
      <c r="R286" s="25">
        <f t="shared" si="2"/>
        <v>0</v>
      </c>
      <c r="S286" s="25">
        <f t="shared" si="3"/>
        <v>0</v>
      </c>
      <c r="T286" s="25">
        <f t="shared" si="4"/>
        <v>0</v>
      </c>
      <c r="U286" s="27">
        <f t="shared" si="5"/>
        <v>0</v>
      </c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22" t="s">
        <v>24</v>
      </c>
      <c r="B287" s="23">
        <f t="shared" si="6"/>
        <v>46304</v>
      </c>
      <c r="C287" s="25">
        <v>11.0</v>
      </c>
      <c r="D287" s="25" t="s">
        <v>20</v>
      </c>
      <c r="E287" s="21"/>
      <c r="F287" s="21"/>
      <c r="G287" s="18"/>
      <c r="I287" s="19"/>
      <c r="K287" s="19"/>
      <c r="M287" s="19"/>
      <c r="O287" s="19"/>
      <c r="Q287" s="26">
        <f t="shared" si="1"/>
        <v>0</v>
      </c>
      <c r="R287" s="25">
        <f t="shared" si="2"/>
        <v>0</v>
      </c>
      <c r="S287" s="25">
        <f t="shared" si="3"/>
        <v>0</v>
      </c>
      <c r="T287" s="25">
        <f t="shared" si="4"/>
        <v>0</v>
      </c>
      <c r="U287" s="27">
        <f t="shared" si="5"/>
        <v>0</v>
      </c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22" t="s">
        <v>25</v>
      </c>
      <c r="B288" s="23">
        <f t="shared" si="6"/>
        <v>46305</v>
      </c>
      <c r="C288" s="25">
        <v>11.0</v>
      </c>
      <c r="D288" s="25" t="s">
        <v>20</v>
      </c>
      <c r="E288" s="21"/>
      <c r="F288" s="21"/>
      <c r="G288" s="18"/>
      <c r="I288" s="19"/>
      <c r="K288" s="19"/>
      <c r="M288" s="19"/>
      <c r="O288" s="19"/>
      <c r="Q288" s="26">
        <f t="shared" si="1"/>
        <v>0</v>
      </c>
      <c r="R288" s="25">
        <f t="shared" si="2"/>
        <v>0</v>
      </c>
      <c r="S288" s="25">
        <f t="shared" si="3"/>
        <v>0</v>
      </c>
      <c r="T288" s="25">
        <f t="shared" si="4"/>
        <v>0</v>
      </c>
      <c r="U288" s="27">
        <f t="shared" si="5"/>
        <v>0</v>
      </c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28" t="s">
        <v>26</v>
      </c>
      <c r="B289" s="29">
        <f t="shared" si="6"/>
        <v>46306</v>
      </c>
      <c r="C289" s="31">
        <v>11.0</v>
      </c>
      <c r="D289" s="31" t="s">
        <v>20</v>
      </c>
      <c r="E289" s="32"/>
      <c r="F289" s="32"/>
      <c r="G289" s="33"/>
      <c r="H289" s="6"/>
      <c r="I289" s="34"/>
      <c r="J289" s="6"/>
      <c r="K289" s="34"/>
      <c r="L289" s="6"/>
      <c r="M289" s="34"/>
      <c r="N289" s="6"/>
      <c r="O289" s="34"/>
      <c r="P289" s="6"/>
      <c r="Q289" s="35">
        <f t="shared" si="1"/>
        <v>0</v>
      </c>
      <c r="R289" s="31">
        <f t="shared" si="2"/>
        <v>0</v>
      </c>
      <c r="S289" s="31">
        <f t="shared" si="3"/>
        <v>0</v>
      </c>
      <c r="T289" s="31">
        <f t="shared" si="4"/>
        <v>0</v>
      </c>
      <c r="U289" s="36">
        <f t="shared" si="5"/>
        <v>0</v>
      </c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13" t="s">
        <v>19</v>
      </c>
      <c r="B290" s="37">
        <f t="shared" si="6"/>
        <v>46307</v>
      </c>
      <c r="C290" s="16">
        <v>11.0</v>
      </c>
      <c r="D290" s="16" t="s">
        <v>27</v>
      </c>
      <c r="E290" s="17"/>
      <c r="F290" s="17"/>
      <c r="G290" s="18"/>
      <c r="I290" s="19"/>
      <c r="K290" s="19"/>
      <c r="M290" s="19"/>
      <c r="O290" s="19"/>
      <c r="Q290" s="20">
        <f t="shared" si="1"/>
        <v>0</v>
      </c>
      <c r="R290" s="16">
        <f t="shared" si="2"/>
        <v>0</v>
      </c>
      <c r="S290" s="16">
        <f t="shared" si="3"/>
        <v>0</v>
      </c>
      <c r="T290" s="16">
        <f t="shared" si="4"/>
        <v>0</v>
      </c>
      <c r="U290" s="38">
        <f t="shared" si="5"/>
        <v>0</v>
      </c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22" t="s">
        <v>21</v>
      </c>
      <c r="B291" s="23">
        <f t="shared" si="6"/>
        <v>46308</v>
      </c>
      <c r="C291" s="25">
        <v>11.0</v>
      </c>
      <c r="D291" s="25" t="s">
        <v>27</v>
      </c>
      <c r="E291" s="21"/>
      <c r="F291" s="21"/>
      <c r="G291" s="18"/>
      <c r="I291" s="19"/>
      <c r="K291" s="19"/>
      <c r="M291" s="19"/>
      <c r="O291" s="19"/>
      <c r="Q291" s="26">
        <f t="shared" si="1"/>
        <v>0</v>
      </c>
      <c r="R291" s="25">
        <f t="shared" si="2"/>
        <v>0</v>
      </c>
      <c r="S291" s="25">
        <f t="shared" si="3"/>
        <v>0</v>
      </c>
      <c r="T291" s="25">
        <f t="shared" si="4"/>
        <v>0</v>
      </c>
      <c r="U291" s="27">
        <f t="shared" si="5"/>
        <v>0</v>
      </c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22" t="s">
        <v>22</v>
      </c>
      <c r="B292" s="23">
        <f t="shared" si="6"/>
        <v>46309</v>
      </c>
      <c r="C292" s="25">
        <v>11.0</v>
      </c>
      <c r="D292" s="25" t="s">
        <v>27</v>
      </c>
      <c r="E292" s="21"/>
      <c r="F292" s="21"/>
      <c r="G292" s="18"/>
      <c r="I292" s="19"/>
      <c r="K292" s="19"/>
      <c r="M292" s="19"/>
      <c r="O292" s="19"/>
      <c r="Q292" s="26">
        <f t="shared" si="1"/>
        <v>0</v>
      </c>
      <c r="R292" s="25">
        <f t="shared" si="2"/>
        <v>0</v>
      </c>
      <c r="S292" s="25">
        <f t="shared" si="3"/>
        <v>0</v>
      </c>
      <c r="T292" s="25">
        <f t="shared" si="4"/>
        <v>0</v>
      </c>
      <c r="U292" s="27">
        <f t="shared" si="5"/>
        <v>0</v>
      </c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22" t="s">
        <v>23</v>
      </c>
      <c r="B293" s="23">
        <f t="shared" si="6"/>
        <v>46310</v>
      </c>
      <c r="C293" s="25">
        <v>11.0</v>
      </c>
      <c r="D293" s="25" t="s">
        <v>27</v>
      </c>
      <c r="E293" s="21"/>
      <c r="F293" s="21"/>
      <c r="G293" s="18"/>
      <c r="I293" s="19"/>
      <c r="K293" s="19"/>
      <c r="M293" s="19"/>
      <c r="O293" s="19"/>
      <c r="Q293" s="26">
        <f t="shared" si="1"/>
        <v>0</v>
      </c>
      <c r="R293" s="25">
        <f t="shared" si="2"/>
        <v>0</v>
      </c>
      <c r="S293" s="25">
        <f t="shared" si="3"/>
        <v>0</v>
      </c>
      <c r="T293" s="25">
        <f t="shared" si="4"/>
        <v>0</v>
      </c>
      <c r="U293" s="27">
        <f t="shared" si="5"/>
        <v>0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22" t="s">
        <v>24</v>
      </c>
      <c r="B294" s="23">
        <f t="shared" si="6"/>
        <v>46311</v>
      </c>
      <c r="C294" s="25">
        <v>11.0</v>
      </c>
      <c r="D294" s="25" t="s">
        <v>27</v>
      </c>
      <c r="E294" s="21"/>
      <c r="F294" s="21"/>
      <c r="G294" s="18"/>
      <c r="I294" s="19"/>
      <c r="K294" s="19"/>
      <c r="M294" s="19"/>
      <c r="O294" s="19"/>
      <c r="Q294" s="26">
        <f t="shared" si="1"/>
        <v>0</v>
      </c>
      <c r="R294" s="25">
        <f t="shared" si="2"/>
        <v>0</v>
      </c>
      <c r="S294" s="25">
        <f t="shared" si="3"/>
        <v>0</v>
      </c>
      <c r="T294" s="25">
        <f t="shared" si="4"/>
        <v>0</v>
      </c>
      <c r="U294" s="27">
        <f t="shared" si="5"/>
        <v>0</v>
      </c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22" t="s">
        <v>25</v>
      </c>
      <c r="B295" s="23">
        <f t="shared" si="6"/>
        <v>46312</v>
      </c>
      <c r="C295" s="25">
        <v>11.0</v>
      </c>
      <c r="D295" s="25" t="s">
        <v>27</v>
      </c>
      <c r="E295" s="21"/>
      <c r="F295" s="21"/>
      <c r="G295" s="18"/>
      <c r="I295" s="19"/>
      <c r="K295" s="19"/>
      <c r="M295" s="19"/>
      <c r="O295" s="19"/>
      <c r="Q295" s="26">
        <f t="shared" si="1"/>
        <v>0</v>
      </c>
      <c r="R295" s="25">
        <f t="shared" si="2"/>
        <v>0</v>
      </c>
      <c r="S295" s="25">
        <f t="shared" si="3"/>
        <v>0</v>
      </c>
      <c r="T295" s="25">
        <f t="shared" si="4"/>
        <v>0</v>
      </c>
      <c r="U295" s="27">
        <f t="shared" si="5"/>
        <v>0</v>
      </c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28" t="s">
        <v>26</v>
      </c>
      <c r="B296" s="29">
        <f t="shared" si="6"/>
        <v>46313</v>
      </c>
      <c r="C296" s="31">
        <v>11.0</v>
      </c>
      <c r="D296" s="31" t="s">
        <v>27</v>
      </c>
      <c r="E296" s="32"/>
      <c r="F296" s="32"/>
      <c r="G296" s="33"/>
      <c r="H296" s="6"/>
      <c r="I296" s="34"/>
      <c r="J296" s="6"/>
      <c r="K296" s="34"/>
      <c r="L296" s="6"/>
      <c r="M296" s="34"/>
      <c r="N296" s="6"/>
      <c r="O296" s="34"/>
      <c r="P296" s="6"/>
      <c r="Q296" s="35">
        <f t="shared" si="1"/>
        <v>0</v>
      </c>
      <c r="R296" s="31">
        <f t="shared" si="2"/>
        <v>0</v>
      </c>
      <c r="S296" s="31">
        <f t="shared" si="3"/>
        <v>0</v>
      </c>
      <c r="T296" s="31">
        <f t="shared" si="4"/>
        <v>0</v>
      </c>
      <c r="U296" s="36">
        <f t="shared" si="5"/>
        <v>0</v>
      </c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13" t="s">
        <v>19</v>
      </c>
      <c r="B297" s="37">
        <f t="shared" si="6"/>
        <v>46314</v>
      </c>
      <c r="C297" s="16">
        <v>11.0</v>
      </c>
      <c r="D297" s="16" t="s">
        <v>28</v>
      </c>
      <c r="E297" s="17"/>
      <c r="F297" s="17"/>
      <c r="G297" s="18"/>
      <c r="I297" s="19"/>
      <c r="K297" s="19"/>
      <c r="M297" s="19"/>
      <c r="O297" s="19"/>
      <c r="Q297" s="20">
        <f t="shared" si="1"/>
        <v>0</v>
      </c>
      <c r="R297" s="16">
        <f t="shared" si="2"/>
        <v>0</v>
      </c>
      <c r="S297" s="16">
        <f t="shared" si="3"/>
        <v>0</v>
      </c>
      <c r="T297" s="16">
        <f t="shared" si="4"/>
        <v>0</v>
      </c>
      <c r="U297" s="38">
        <f t="shared" si="5"/>
        <v>0</v>
      </c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22" t="s">
        <v>21</v>
      </c>
      <c r="B298" s="23">
        <f t="shared" si="6"/>
        <v>46315</v>
      </c>
      <c r="C298" s="25">
        <v>11.0</v>
      </c>
      <c r="D298" s="25" t="s">
        <v>28</v>
      </c>
      <c r="E298" s="21"/>
      <c r="F298" s="21"/>
      <c r="G298" s="18"/>
      <c r="I298" s="19"/>
      <c r="K298" s="19"/>
      <c r="M298" s="19"/>
      <c r="O298" s="19"/>
      <c r="Q298" s="26">
        <f t="shared" si="1"/>
        <v>0</v>
      </c>
      <c r="R298" s="25">
        <f t="shared" si="2"/>
        <v>0</v>
      </c>
      <c r="S298" s="25">
        <f t="shared" si="3"/>
        <v>0</v>
      </c>
      <c r="T298" s="25">
        <f t="shared" si="4"/>
        <v>0</v>
      </c>
      <c r="U298" s="27">
        <f t="shared" si="5"/>
        <v>0</v>
      </c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22" t="s">
        <v>22</v>
      </c>
      <c r="B299" s="23">
        <f t="shared" si="6"/>
        <v>46316</v>
      </c>
      <c r="C299" s="25">
        <v>11.0</v>
      </c>
      <c r="D299" s="25" t="s">
        <v>28</v>
      </c>
      <c r="E299" s="21"/>
      <c r="F299" s="21"/>
      <c r="G299" s="18"/>
      <c r="I299" s="19"/>
      <c r="K299" s="19"/>
      <c r="M299" s="19"/>
      <c r="O299" s="19"/>
      <c r="Q299" s="26">
        <f t="shared" si="1"/>
        <v>0</v>
      </c>
      <c r="R299" s="25">
        <f t="shared" si="2"/>
        <v>0</v>
      </c>
      <c r="S299" s="25">
        <f t="shared" si="3"/>
        <v>0</v>
      </c>
      <c r="T299" s="25">
        <f t="shared" si="4"/>
        <v>0</v>
      </c>
      <c r="U299" s="27">
        <f t="shared" si="5"/>
        <v>0</v>
      </c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22" t="s">
        <v>23</v>
      </c>
      <c r="B300" s="23">
        <f t="shared" si="6"/>
        <v>46317</v>
      </c>
      <c r="C300" s="25">
        <v>11.0</v>
      </c>
      <c r="D300" s="25" t="s">
        <v>28</v>
      </c>
      <c r="E300" s="21"/>
      <c r="F300" s="21"/>
      <c r="G300" s="18"/>
      <c r="I300" s="19"/>
      <c r="K300" s="19"/>
      <c r="M300" s="19"/>
      <c r="O300" s="19"/>
      <c r="Q300" s="26">
        <f t="shared" si="1"/>
        <v>0</v>
      </c>
      <c r="R300" s="25">
        <f t="shared" si="2"/>
        <v>0</v>
      </c>
      <c r="S300" s="25">
        <f t="shared" si="3"/>
        <v>0</v>
      </c>
      <c r="T300" s="25">
        <f t="shared" si="4"/>
        <v>0</v>
      </c>
      <c r="U300" s="27">
        <f t="shared" si="5"/>
        <v>0</v>
      </c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22" t="s">
        <v>24</v>
      </c>
      <c r="B301" s="23">
        <f t="shared" si="6"/>
        <v>46318</v>
      </c>
      <c r="C301" s="25">
        <v>11.0</v>
      </c>
      <c r="D301" s="25" t="s">
        <v>28</v>
      </c>
      <c r="E301" s="21"/>
      <c r="F301" s="21"/>
      <c r="G301" s="18"/>
      <c r="I301" s="19"/>
      <c r="K301" s="19"/>
      <c r="M301" s="19"/>
      <c r="O301" s="19"/>
      <c r="Q301" s="26">
        <f t="shared" si="1"/>
        <v>0</v>
      </c>
      <c r="R301" s="25">
        <f t="shared" si="2"/>
        <v>0</v>
      </c>
      <c r="S301" s="25">
        <f t="shared" si="3"/>
        <v>0</v>
      </c>
      <c r="T301" s="25">
        <f t="shared" si="4"/>
        <v>0</v>
      </c>
      <c r="U301" s="27">
        <f t="shared" si="5"/>
        <v>0</v>
      </c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22" t="s">
        <v>25</v>
      </c>
      <c r="B302" s="23">
        <f t="shared" si="6"/>
        <v>46319</v>
      </c>
      <c r="C302" s="25">
        <v>11.0</v>
      </c>
      <c r="D302" s="25" t="s">
        <v>28</v>
      </c>
      <c r="E302" s="21"/>
      <c r="F302" s="21"/>
      <c r="G302" s="18"/>
      <c r="I302" s="19"/>
      <c r="K302" s="19"/>
      <c r="M302" s="19"/>
      <c r="O302" s="19"/>
      <c r="Q302" s="26">
        <f t="shared" si="1"/>
        <v>0</v>
      </c>
      <c r="R302" s="25">
        <f t="shared" si="2"/>
        <v>0</v>
      </c>
      <c r="S302" s="25">
        <f t="shared" si="3"/>
        <v>0</v>
      </c>
      <c r="T302" s="25">
        <f t="shared" si="4"/>
        <v>0</v>
      </c>
      <c r="U302" s="27">
        <f t="shared" si="5"/>
        <v>0</v>
      </c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28" t="s">
        <v>26</v>
      </c>
      <c r="B303" s="29">
        <f t="shared" si="6"/>
        <v>46320</v>
      </c>
      <c r="C303" s="31">
        <v>11.0</v>
      </c>
      <c r="D303" s="31" t="s">
        <v>28</v>
      </c>
      <c r="E303" s="32"/>
      <c r="F303" s="32"/>
      <c r="G303" s="33"/>
      <c r="H303" s="6"/>
      <c r="I303" s="34"/>
      <c r="J303" s="6"/>
      <c r="K303" s="34"/>
      <c r="L303" s="6"/>
      <c r="M303" s="34"/>
      <c r="N303" s="6"/>
      <c r="O303" s="34"/>
      <c r="P303" s="6"/>
      <c r="Q303" s="35">
        <f t="shared" si="1"/>
        <v>0</v>
      </c>
      <c r="R303" s="31">
        <f t="shared" si="2"/>
        <v>0</v>
      </c>
      <c r="S303" s="31">
        <f t="shared" si="3"/>
        <v>0</v>
      </c>
      <c r="T303" s="31">
        <f t="shared" si="4"/>
        <v>0</v>
      </c>
      <c r="U303" s="36">
        <f t="shared" si="5"/>
        <v>0</v>
      </c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13" t="s">
        <v>19</v>
      </c>
      <c r="B304" s="37">
        <f t="shared" si="6"/>
        <v>46321</v>
      </c>
      <c r="C304" s="16">
        <v>11.0</v>
      </c>
      <c r="D304" s="16" t="s">
        <v>29</v>
      </c>
      <c r="E304" s="17"/>
      <c r="F304" s="17"/>
      <c r="G304" s="18"/>
      <c r="I304" s="19"/>
      <c r="K304" s="19"/>
      <c r="M304" s="19"/>
      <c r="O304" s="19"/>
      <c r="Q304" s="20">
        <f t="shared" si="1"/>
        <v>0</v>
      </c>
      <c r="R304" s="16">
        <f t="shared" si="2"/>
        <v>0</v>
      </c>
      <c r="S304" s="16">
        <f t="shared" si="3"/>
        <v>0</v>
      </c>
      <c r="T304" s="16">
        <f t="shared" si="4"/>
        <v>0</v>
      </c>
      <c r="U304" s="38">
        <f t="shared" si="5"/>
        <v>0</v>
      </c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22" t="s">
        <v>21</v>
      </c>
      <c r="B305" s="23">
        <f t="shared" si="6"/>
        <v>46322</v>
      </c>
      <c r="C305" s="25">
        <v>11.0</v>
      </c>
      <c r="D305" s="25" t="s">
        <v>29</v>
      </c>
      <c r="E305" s="21"/>
      <c r="F305" s="21"/>
      <c r="G305" s="18"/>
      <c r="I305" s="19"/>
      <c r="K305" s="19"/>
      <c r="M305" s="19"/>
      <c r="O305" s="19"/>
      <c r="Q305" s="26">
        <f t="shared" si="1"/>
        <v>0</v>
      </c>
      <c r="R305" s="25">
        <f t="shared" si="2"/>
        <v>0</v>
      </c>
      <c r="S305" s="25">
        <f t="shared" si="3"/>
        <v>0</v>
      </c>
      <c r="T305" s="25">
        <f t="shared" si="4"/>
        <v>0</v>
      </c>
      <c r="U305" s="27">
        <f t="shared" si="5"/>
        <v>0</v>
      </c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22" t="s">
        <v>22</v>
      </c>
      <c r="B306" s="23">
        <f t="shared" si="6"/>
        <v>46323</v>
      </c>
      <c r="C306" s="25">
        <v>11.0</v>
      </c>
      <c r="D306" s="25" t="s">
        <v>29</v>
      </c>
      <c r="E306" s="21"/>
      <c r="F306" s="21"/>
      <c r="G306" s="18"/>
      <c r="I306" s="19"/>
      <c r="K306" s="19"/>
      <c r="M306" s="19"/>
      <c r="O306" s="19"/>
      <c r="Q306" s="26">
        <f t="shared" si="1"/>
        <v>0</v>
      </c>
      <c r="R306" s="25">
        <f t="shared" si="2"/>
        <v>0</v>
      </c>
      <c r="S306" s="25">
        <f t="shared" si="3"/>
        <v>0</v>
      </c>
      <c r="T306" s="25">
        <f t="shared" si="4"/>
        <v>0</v>
      </c>
      <c r="U306" s="27">
        <f t="shared" si="5"/>
        <v>0</v>
      </c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22" t="s">
        <v>23</v>
      </c>
      <c r="B307" s="23">
        <f t="shared" si="6"/>
        <v>46324</v>
      </c>
      <c r="C307" s="25">
        <v>11.0</v>
      </c>
      <c r="D307" s="25" t="s">
        <v>29</v>
      </c>
      <c r="E307" s="21"/>
      <c r="F307" s="21"/>
      <c r="G307" s="18"/>
      <c r="I307" s="19"/>
      <c r="K307" s="19"/>
      <c r="M307" s="19"/>
      <c r="O307" s="19"/>
      <c r="Q307" s="26">
        <f t="shared" si="1"/>
        <v>0</v>
      </c>
      <c r="R307" s="25">
        <f t="shared" si="2"/>
        <v>0</v>
      </c>
      <c r="S307" s="25">
        <f t="shared" si="3"/>
        <v>0</v>
      </c>
      <c r="T307" s="25">
        <f t="shared" si="4"/>
        <v>0</v>
      </c>
      <c r="U307" s="27">
        <f t="shared" si="5"/>
        <v>0</v>
      </c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22" t="s">
        <v>24</v>
      </c>
      <c r="B308" s="23">
        <f t="shared" si="6"/>
        <v>46325</v>
      </c>
      <c r="C308" s="25">
        <v>11.0</v>
      </c>
      <c r="D308" s="25" t="s">
        <v>29</v>
      </c>
      <c r="E308" s="21"/>
      <c r="F308" s="21"/>
      <c r="G308" s="18"/>
      <c r="I308" s="19"/>
      <c r="K308" s="19"/>
      <c r="M308" s="19"/>
      <c r="O308" s="19"/>
      <c r="Q308" s="26">
        <f t="shared" si="1"/>
        <v>0</v>
      </c>
      <c r="R308" s="25">
        <f t="shared" si="2"/>
        <v>0</v>
      </c>
      <c r="S308" s="25">
        <f t="shared" si="3"/>
        <v>0</v>
      </c>
      <c r="T308" s="25">
        <f t="shared" si="4"/>
        <v>0</v>
      </c>
      <c r="U308" s="27">
        <f t="shared" si="5"/>
        <v>0</v>
      </c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22" t="s">
        <v>25</v>
      </c>
      <c r="B309" s="23">
        <f t="shared" si="6"/>
        <v>46326</v>
      </c>
      <c r="C309" s="25">
        <v>11.0</v>
      </c>
      <c r="D309" s="25" t="s">
        <v>29</v>
      </c>
      <c r="E309" s="21"/>
      <c r="F309" s="21"/>
      <c r="G309" s="18"/>
      <c r="I309" s="19"/>
      <c r="K309" s="19"/>
      <c r="M309" s="19"/>
      <c r="O309" s="19"/>
      <c r="Q309" s="26">
        <f t="shared" si="1"/>
        <v>0</v>
      </c>
      <c r="R309" s="25">
        <f t="shared" si="2"/>
        <v>0</v>
      </c>
      <c r="S309" s="25">
        <f t="shared" si="3"/>
        <v>0</v>
      </c>
      <c r="T309" s="25">
        <f t="shared" si="4"/>
        <v>0</v>
      </c>
      <c r="U309" s="27">
        <f t="shared" si="5"/>
        <v>0</v>
      </c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28" t="s">
        <v>26</v>
      </c>
      <c r="B310" s="29">
        <f t="shared" si="6"/>
        <v>46327</v>
      </c>
      <c r="C310" s="31">
        <v>11.0</v>
      </c>
      <c r="D310" s="31" t="s">
        <v>29</v>
      </c>
      <c r="E310" s="32"/>
      <c r="F310" s="32"/>
      <c r="G310" s="33"/>
      <c r="H310" s="6"/>
      <c r="I310" s="34"/>
      <c r="J310" s="6"/>
      <c r="K310" s="34"/>
      <c r="L310" s="6"/>
      <c r="M310" s="34"/>
      <c r="N310" s="6"/>
      <c r="O310" s="34"/>
      <c r="P310" s="6"/>
      <c r="Q310" s="35">
        <f t="shared" si="1"/>
        <v>0</v>
      </c>
      <c r="R310" s="31">
        <f t="shared" si="2"/>
        <v>0</v>
      </c>
      <c r="S310" s="31">
        <f t="shared" si="3"/>
        <v>0</v>
      </c>
      <c r="T310" s="31">
        <f t="shared" si="4"/>
        <v>0</v>
      </c>
      <c r="U310" s="36">
        <f t="shared" si="5"/>
        <v>0</v>
      </c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13" t="s">
        <v>19</v>
      </c>
      <c r="B311" s="37">
        <f t="shared" si="6"/>
        <v>46328</v>
      </c>
      <c r="C311" s="16">
        <v>12.0</v>
      </c>
      <c r="D311" s="16" t="s">
        <v>20</v>
      </c>
      <c r="E311" s="17"/>
      <c r="F311" s="17"/>
      <c r="G311" s="18"/>
      <c r="I311" s="19"/>
      <c r="K311" s="19"/>
      <c r="M311" s="19"/>
      <c r="O311" s="19"/>
      <c r="Q311" s="20">
        <f t="shared" si="1"/>
        <v>0</v>
      </c>
      <c r="R311" s="16">
        <f t="shared" si="2"/>
        <v>0</v>
      </c>
      <c r="S311" s="16">
        <f t="shared" si="3"/>
        <v>0</v>
      </c>
      <c r="T311" s="16">
        <f t="shared" si="4"/>
        <v>0</v>
      </c>
      <c r="U311" s="38">
        <f t="shared" si="5"/>
        <v>0</v>
      </c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22" t="s">
        <v>21</v>
      </c>
      <c r="B312" s="23">
        <f t="shared" si="6"/>
        <v>46329</v>
      </c>
      <c r="C312" s="25">
        <v>12.0</v>
      </c>
      <c r="D312" s="25" t="s">
        <v>20</v>
      </c>
      <c r="E312" s="21"/>
      <c r="F312" s="21"/>
      <c r="G312" s="18"/>
      <c r="I312" s="19"/>
      <c r="K312" s="19"/>
      <c r="M312" s="19"/>
      <c r="O312" s="19"/>
      <c r="Q312" s="26">
        <f t="shared" si="1"/>
        <v>0</v>
      </c>
      <c r="R312" s="25">
        <f t="shared" si="2"/>
        <v>0</v>
      </c>
      <c r="S312" s="25">
        <f t="shared" si="3"/>
        <v>0</v>
      </c>
      <c r="T312" s="25">
        <f t="shared" si="4"/>
        <v>0</v>
      </c>
      <c r="U312" s="27">
        <f t="shared" si="5"/>
        <v>0</v>
      </c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22" t="s">
        <v>22</v>
      </c>
      <c r="B313" s="23">
        <f t="shared" si="6"/>
        <v>46330</v>
      </c>
      <c r="C313" s="25">
        <v>12.0</v>
      </c>
      <c r="D313" s="25" t="s">
        <v>20</v>
      </c>
      <c r="E313" s="21"/>
      <c r="F313" s="21"/>
      <c r="G313" s="104"/>
      <c r="H313" s="105"/>
      <c r="I313" s="106"/>
      <c r="J313" s="105"/>
      <c r="K313" s="106"/>
      <c r="L313" s="105"/>
      <c r="M313" s="106"/>
      <c r="N313" s="105"/>
      <c r="O313" s="106"/>
      <c r="P313" s="105"/>
      <c r="Q313" s="107">
        <f t="shared" si="1"/>
        <v>0</v>
      </c>
      <c r="R313" s="108">
        <f t="shared" si="2"/>
        <v>0</v>
      </c>
      <c r="S313" s="25">
        <f t="shared" si="3"/>
        <v>0</v>
      </c>
      <c r="T313" s="25">
        <f t="shared" si="4"/>
        <v>0</v>
      </c>
      <c r="U313" s="27">
        <f t="shared" si="5"/>
        <v>0</v>
      </c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22" t="s">
        <v>23</v>
      </c>
      <c r="B314" s="23">
        <f t="shared" si="6"/>
        <v>46331</v>
      </c>
      <c r="C314" s="25">
        <v>12.0</v>
      </c>
      <c r="D314" s="25" t="s">
        <v>20</v>
      </c>
      <c r="E314" s="21"/>
      <c r="F314" s="21"/>
      <c r="G314" s="104"/>
      <c r="H314" s="105"/>
      <c r="I314" s="106"/>
      <c r="J314" s="105"/>
      <c r="K314" s="106"/>
      <c r="L314" s="105"/>
      <c r="M314" s="106"/>
      <c r="N314" s="105"/>
      <c r="O314" s="106"/>
      <c r="P314" s="105"/>
      <c r="Q314" s="107">
        <f t="shared" si="1"/>
        <v>0</v>
      </c>
      <c r="R314" s="108">
        <f t="shared" si="2"/>
        <v>0</v>
      </c>
      <c r="S314" s="25">
        <f t="shared" si="3"/>
        <v>0</v>
      </c>
      <c r="T314" s="25">
        <f t="shared" si="4"/>
        <v>0</v>
      </c>
      <c r="U314" s="27">
        <f t="shared" si="5"/>
        <v>0</v>
      </c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22" t="s">
        <v>24</v>
      </c>
      <c r="B315" s="23">
        <f t="shared" si="6"/>
        <v>46332</v>
      </c>
      <c r="C315" s="25">
        <v>12.0</v>
      </c>
      <c r="D315" s="25" t="s">
        <v>20</v>
      </c>
      <c r="E315" s="21"/>
      <c r="F315" s="21"/>
      <c r="G315" s="104"/>
      <c r="H315" s="105"/>
      <c r="I315" s="106"/>
      <c r="J315" s="105"/>
      <c r="K315" s="106"/>
      <c r="L315" s="105"/>
      <c r="M315" s="106"/>
      <c r="N315" s="105"/>
      <c r="O315" s="106"/>
      <c r="P315" s="105"/>
      <c r="Q315" s="107">
        <f t="shared" si="1"/>
        <v>0</v>
      </c>
      <c r="R315" s="108">
        <f t="shared" si="2"/>
        <v>0</v>
      </c>
      <c r="S315" s="25">
        <f t="shared" si="3"/>
        <v>0</v>
      </c>
      <c r="T315" s="25">
        <f t="shared" si="4"/>
        <v>0</v>
      </c>
      <c r="U315" s="27">
        <f t="shared" si="5"/>
        <v>0</v>
      </c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22" t="s">
        <v>25</v>
      </c>
      <c r="B316" s="23">
        <f t="shared" si="6"/>
        <v>46333</v>
      </c>
      <c r="C316" s="25">
        <v>12.0</v>
      </c>
      <c r="D316" s="25" t="s">
        <v>20</v>
      </c>
      <c r="E316" s="21"/>
      <c r="F316" s="21"/>
      <c r="G316" s="104"/>
      <c r="H316" s="105"/>
      <c r="I316" s="106"/>
      <c r="J316" s="105"/>
      <c r="K316" s="106"/>
      <c r="L316" s="105"/>
      <c r="M316" s="106"/>
      <c r="N316" s="105"/>
      <c r="O316" s="106"/>
      <c r="P316" s="105"/>
      <c r="Q316" s="107">
        <f t="shared" si="1"/>
        <v>0</v>
      </c>
      <c r="R316" s="108">
        <f t="shared" si="2"/>
        <v>0</v>
      </c>
      <c r="S316" s="25">
        <f t="shared" si="3"/>
        <v>0</v>
      </c>
      <c r="T316" s="25">
        <f t="shared" si="4"/>
        <v>0</v>
      </c>
      <c r="U316" s="27">
        <f t="shared" si="5"/>
        <v>0</v>
      </c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28" t="s">
        <v>26</v>
      </c>
      <c r="B317" s="29">
        <f t="shared" si="6"/>
        <v>46334</v>
      </c>
      <c r="C317" s="31">
        <v>12.0</v>
      </c>
      <c r="D317" s="31" t="s">
        <v>20</v>
      </c>
      <c r="E317" s="32"/>
      <c r="F317" s="32"/>
      <c r="G317" s="109"/>
      <c r="H317" s="110"/>
      <c r="I317" s="111"/>
      <c r="J317" s="110"/>
      <c r="K317" s="111"/>
      <c r="L317" s="110"/>
      <c r="M317" s="111"/>
      <c r="N317" s="110"/>
      <c r="O317" s="111"/>
      <c r="P317" s="110"/>
      <c r="Q317" s="112">
        <f t="shared" si="1"/>
        <v>0</v>
      </c>
      <c r="R317" s="113">
        <f t="shared" si="2"/>
        <v>0</v>
      </c>
      <c r="S317" s="31">
        <f t="shared" si="3"/>
        <v>0</v>
      </c>
      <c r="T317" s="31">
        <f t="shared" si="4"/>
        <v>0</v>
      </c>
      <c r="U317" s="36">
        <f t="shared" si="5"/>
        <v>0</v>
      </c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13" t="s">
        <v>19</v>
      </c>
      <c r="B318" s="37">
        <f t="shared" si="6"/>
        <v>46335</v>
      </c>
      <c r="C318" s="16">
        <v>12.0</v>
      </c>
      <c r="D318" s="16" t="s">
        <v>27</v>
      </c>
      <c r="E318" s="17"/>
      <c r="F318" s="17"/>
      <c r="G318" s="104"/>
      <c r="H318" s="105"/>
      <c r="I318" s="106"/>
      <c r="J318" s="105"/>
      <c r="K318" s="106"/>
      <c r="L318" s="105"/>
      <c r="M318" s="106"/>
      <c r="N318" s="105"/>
      <c r="O318" s="106"/>
      <c r="P318" s="105"/>
      <c r="Q318" s="114">
        <f t="shared" si="1"/>
        <v>0</v>
      </c>
      <c r="R318" s="115">
        <f t="shared" si="2"/>
        <v>0</v>
      </c>
      <c r="S318" s="16">
        <f t="shared" si="3"/>
        <v>0</v>
      </c>
      <c r="T318" s="16">
        <f t="shared" si="4"/>
        <v>0</v>
      </c>
      <c r="U318" s="38">
        <f t="shared" si="5"/>
        <v>0</v>
      </c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22" t="s">
        <v>21</v>
      </c>
      <c r="B319" s="23">
        <f t="shared" si="6"/>
        <v>46336</v>
      </c>
      <c r="C319" s="25">
        <v>12.0</v>
      </c>
      <c r="D319" s="25" t="s">
        <v>27</v>
      </c>
      <c r="E319" s="21"/>
      <c r="F319" s="21"/>
      <c r="G319" s="104"/>
      <c r="H319" s="105"/>
      <c r="I319" s="106"/>
      <c r="J319" s="105"/>
      <c r="K319" s="106"/>
      <c r="L319" s="105"/>
      <c r="M319" s="106"/>
      <c r="N319" s="105"/>
      <c r="O319" s="106"/>
      <c r="P319" s="105"/>
      <c r="Q319" s="107">
        <f t="shared" si="1"/>
        <v>0</v>
      </c>
      <c r="R319" s="108">
        <f t="shared" si="2"/>
        <v>0</v>
      </c>
      <c r="S319" s="25">
        <f t="shared" si="3"/>
        <v>0</v>
      </c>
      <c r="T319" s="25">
        <f t="shared" si="4"/>
        <v>0</v>
      </c>
      <c r="U319" s="27">
        <f t="shared" si="5"/>
        <v>0</v>
      </c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22" t="s">
        <v>22</v>
      </c>
      <c r="B320" s="23">
        <f t="shared" si="6"/>
        <v>46337</v>
      </c>
      <c r="C320" s="25">
        <v>12.0</v>
      </c>
      <c r="D320" s="25" t="s">
        <v>27</v>
      </c>
      <c r="E320" s="21"/>
      <c r="F320" s="21"/>
      <c r="G320" s="104"/>
      <c r="H320" s="105"/>
      <c r="I320" s="106"/>
      <c r="J320" s="105"/>
      <c r="K320" s="106"/>
      <c r="L320" s="105"/>
      <c r="M320" s="106"/>
      <c r="N320" s="105"/>
      <c r="O320" s="106"/>
      <c r="P320" s="105"/>
      <c r="Q320" s="107">
        <f t="shared" si="1"/>
        <v>0</v>
      </c>
      <c r="R320" s="108">
        <f t="shared" si="2"/>
        <v>0</v>
      </c>
      <c r="S320" s="25">
        <f t="shared" si="3"/>
        <v>0</v>
      </c>
      <c r="T320" s="25">
        <f t="shared" si="4"/>
        <v>0</v>
      </c>
      <c r="U320" s="27">
        <f t="shared" si="5"/>
        <v>0</v>
      </c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22" t="s">
        <v>23</v>
      </c>
      <c r="B321" s="23">
        <f t="shared" si="6"/>
        <v>46338</v>
      </c>
      <c r="C321" s="25">
        <v>12.0</v>
      </c>
      <c r="D321" s="25" t="s">
        <v>27</v>
      </c>
      <c r="E321" s="21"/>
      <c r="F321" s="21"/>
      <c r="G321" s="104"/>
      <c r="H321" s="105"/>
      <c r="I321" s="106"/>
      <c r="J321" s="105"/>
      <c r="K321" s="106"/>
      <c r="L321" s="105"/>
      <c r="M321" s="106"/>
      <c r="N321" s="105"/>
      <c r="O321" s="106"/>
      <c r="P321" s="105"/>
      <c r="Q321" s="107">
        <f t="shared" si="1"/>
        <v>0</v>
      </c>
      <c r="R321" s="108">
        <f t="shared" si="2"/>
        <v>0</v>
      </c>
      <c r="S321" s="25">
        <f t="shared" si="3"/>
        <v>0</v>
      </c>
      <c r="T321" s="25">
        <f t="shared" si="4"/>
        <v>0</v>
      </c>
      <c r="U321" s="27">
        <f t="shared" si="5"/>
        <v>0</v>
      </c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22" t="s">
        <v>24</v>
      </c>
      <c r="B322" s="23">
        <f t="shared" si="6"/>
        <v>46339</v>
      </c>
      <c r="C322" s="25">
        <v>12.0</v>
      </c>
      <c r="D322" s="25" t="s">
        <v>27</v>
      </c>
      <c r="E322" s="21"/>
      <c r="F322" s="21"/>
      <c r="G322" s="104"/>
      <c r="H322" s="105"/>
      <c r="I322" s="106"/>
      <c r="J322" s="105"/>
      <c r="K322" s="106"/>
      <c r="L322" s="105"/>
      <c r="M322" s="106"/>
      <c r="N322" s="105"/>
      <c r="O322" s="106"/>
      <c r="P322" s="105"/>
      <c r="Q322" s="107">
        <f t="shared" si="1"/>
        <v>0</v>
      </c>
      <c r="R322" s="108">
        <f t="shared" si="2"/>
        <v>0</v>
      </c>
      <c r="S322" s="25">
        <f t="shared" si="3"/>
        <v>0</v>
      </c>
      <c r="T322" s="25">
        <f t="shared" si="4"/>
        <v>0</v>
      </c>
      <c r="U322" s="27">
        <f t="shared" si="5"/>
        <v>0</v>
      </c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22" t="s">
        <v>25</v>
      </c>
      <c r="B323" s="23">
        <f t="shared" si="6"/>
        <v>46340</v>
      </c>
      <c r="C323" s="25">
        <v>12.0</v>
      </c>
      <c r="D323" s="25" t="s">
        <v>27</v>
      </c>
      <c r="E323" s="21"/>
      <c r="F323" s="21"/>
      <c r="G323" s="104"/>
      <c r="H323" s="105"/>
      <c r="I323" s="106"/>
      <c r="J323" s="105"/>
      <c r="K323" s="106"/>
      <c r="L323" s="105"/>
      <c r="M323" s="106"/>
      <c r="N323" s="105"/>
      <c r="O323" s="106"/>
      <c r="P323" s="105"/>
      <c r="Q323" s="107">
        <f t="shared" si="1"/>
        <v>0</v>
      </c>
      <c r="R323" s="108">
        <f t="shared" si="2"/>
        <v>0</v>
      </c>
      <c r="S323" s="25">
        <f t="shared" si="3"/>
        <v>0</v>
      </c>
      <c r="T323" s="25">
        <f t="shared" si="4"/>
        <v>0</v>
      </c>
      <c r="U323" s="27">
        <f t="shared" si="5"/>
        <v>0</v>
      </c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28" t="s">
        <v>26</v>
      </c>
      <c r="B324" s="29">
        <f t="shared" si="6"/>
        <v>46341</v>
      </c>
      <c r="C324" s="31">
        <v>12.0</v>
      </c>
      <c r="D324" s="31" t="s">
        <v>27</v>
      </c>
      <c r="E324" s="32"/>
      <c r="F324" s="32"/>
      <c r="G324" s="109"/>
      <c r="H324" s="110"/>
      <c r="I324" s="111"/>
      <c r="J324" s="110"/>
      <c r="K324" s="111"/>
      <c r="L324" s="110"/>
      <c r="M324" s="111"/>
      <c r="N324" s="110"/>
      <c r="O324" s="111"/>
      <c r="P324" s="110"/>
      <c r="Q324" s="112">
        <f t="shared" si="1"/>
        <v>0</v>
      </c>
      <c r="R324" s="113">
        <f t="shared" si="2"/>
        <v>0</v>
      </c>
      <c r="S324" s="31">
        <f t="shared" si="3"/>
        <v>0</v>
      </c>
      <c r="T324" s="31">
        <f t="shared" si="4"/>
        <v>0</v>
      </c>
      <c r="U324" s="36">
        <f t="shared" si="5"/>
        <v>0</v>
      </c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13" t="s">
        <v>19</v>
      </c>
      <c r="B325" s="37">
        <f t="shared" si="6"/>
        <v>46342</v>
      </c>
      <c r="C325" s="16">
        <v>12.0</v>
      </c>
      <c r="D325" s="16" t="s">
        <v>28</v>
      </c>
      <c r="E325" s="17"/>
      <c r="F325" s="17"/>
      <c r="G325" s="104"/>
      <c r="H325" s="105"/>
      <c r="I325" s="106"/>
      <c r="J325" s="105"/>
      <c r="K325" s="106"/>
      <c r="L325" s="105"/>
      <c r="M325" s="106"/>
      <c r="N325" s="105"/>
      <c r="O325" s="106"/>
      <c r="P325" s="105"/>
      <c r="Q325" s="114">
        <f t="shared" si="1"/>
        <v>0</v>
      </c>
      <c r="R325" s="115">
        <f t="shared" si="2"/>
        <v>0</v>
      </c>
      <c r="S325" s="16">
        <f t="shared" si="3"/>
        <v>0</v>
      </c>
      <c r="T325" s="16">
        <f t="shared" si="4"/>
        <v>0</v>
      </c>
      <c r="U325" s="38">
        <f t="shared" si="5"/>
        <v>0</v>
      </c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22" t="s">
        <v>21</v>
      </c>
      <c r="B326" s="23">
        <f t="shared" si="6"/>
        <v>46343</v>
      </c>
      <c r="C326" s="25">
        <v>12.0</v>
      </c>
      <c r="D326" s="25" t="s">
        <v>28</v>
      </c>
      <c r="E326" s="21"/>
      <c r="F326" s="21"/>
      <c r="G326" s="104"/>
      <c r="H326" s="105"/>
      <c r="I326" s="106"/>
      <c r="J326" s="105"/>
      <c r="K326" s="106"/>
      <c r="L326" s="105"/>
      <c r="M326" s="106"/>
      <c r="N326" s="105"/>
      <c r="O326" s="106"/>
      <c r="P326" s="105"/>
      <c r="Q326" s="107">
        <f t="shared" si="1"/>
        <v>0</v>
      </c>
      <c r="R326" s="108">
        <f t="shared" si="2"/>
        <v>0</v>
      </c>
      <c r="S326" s="25">
        <f t="shared" si="3"/>
        <v>0</v>
      </c>
      <c r="T326" s="25">
        <f t="shared" si="4"/>
        <v>0</v>
      </c>
      <c r="U326" s="27">
        <f t="shared" si="5"/>
        <v>0</v>
      </c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22" t="s">
        <v>22</v>
      </c>
      <c r="B327" s="23">
        <f t="shared" si="6"/>
        <v>46344</v>
      </c>
      <c r="C327" s="25">
        <v>12.0</v>
      </c>
      <c r="D327" s="25" t="s">
        <v>28</v>
      </c>
      <c r="E327" s="21"/>
      <c r="F327" s="21"/>
      <c r="G327" s="104"/>
      <c r="H327" s="105"/>
      <c r="I327" s="106"/>
      <c r="J327" s="105"/>
      <c r="K327" s="106"/>
      <c r="L327" s="105"/>
      <c r="M327" s="106"/>
      <c r="N327" s="105"/>
      <c r="O327" s="106"/>
      <c r="P327" s="105"/>
      <c r="Q327" s="107">
        <f t="shared" si="1"/>
        <v>0</v>
      </c>
      <c r="R327" s="108">
        <f t="shared" si="2"/>
        <v>0</v>
      </c>
      <c r="S327" s="25">
        <f t="shared" si="3"/>
        <v>0</v>
      </c>
      <c r="T327" s="25">
        <f t="shared" si="4"/>
        <v>0</v>
      </c>
      <c r="U327" s="27">
        <f t="shared" si="5"/>
        <v>0</v>
      </c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22" t="s">
        <v>23</v>
      </c>
      <c r="B328" s="23">
        <f t="shared" si="6"/>
        <v>46345</v>
      </c>
      <c r="C328" s="25">
        <v>12.0</v>
      </c>
      <c r="D328" s="25" t="s">
        <v>28</v>
      </c>
      <c r="E328" s="21"/>
      <c r="F328" s="21"/>
      <c r="G328" s="18"/>
      <c r="I328" s="19"/>
      <c r="K328" s="19"/>
      <c r="M328" s="19"/>
      <c r="O328" s="19"/>
      <c r="Q328" s="26">
        <f t="shared" si="1"/>
        <v>0</v>
      </c>
      <c r="R328" s="25">
        <f t="shared" si="2"/>
        <v>0</v>
      </c>
      <c r="S328" s="25">
        <f t="shared" si="3"/>
        <v>0</v>
      </c>
      <c r="T328" s="25">
        <f t="shared" si="4"/>
        <v>0</v>
      </c>
      <c r="U328" s="27">
        <f t="shared" si="5"/>
        <v>0</v>
      </c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22" t="s">
        <v>24</v>
      </c>
      <c r="B329" s="23">
        <f t="shared" si="6"/>
        <v>46346</v>
      </c>
      <c r="C329" s="25">
        <v>12.0</v>
      </c>
      <c r="D329" s="25" t="s">
        <v>28</v>
      </c>
      <c r="E329" s="21"/>
      <c r="F329" s="21"/>
      <c r="G329" s="18"/>
      <c r="I329" s="19"/>
      <c r="K329" s="19"/>
      <c r="M329" s="19"/>
      <c r="O329" s="19"/>
      <c r="Q329" s="26">
        <f t="shared" si="1"/>
        <v>0</v>
      </c>
      <c r="R329" s="25">
        <f t="shared" si="2"/>
        <v>0</v>
      </c>
      <c r="S329" s="25">
        <f t="shared" si="3"/>
        <v>0</v>
      </c>
      <c r="T329" s="25">
        <f t="shared" si="4"/>
        <v>0</v>
      </c>
      <c r="U329" s="27">
        <f t="shared" si="5"/>
        <v>0</v>
      </c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22" t="s">
        <v>25</v>
      </c>
      <c r="B330" s="23">
        <f t="shared" si="6"/>
        <v>46347</v>
      </c>
      <c r="C330" s="25">
        <v>12.0</v>
      </c>
      <c r="D330" s="25" t="s">
        <v>28</v>
      </c>
      <c r="E330" s="21"/>
      <c r="F330" s="21"/>
      <c r="G330" s="18"/>
      <c r="I330" s="19"/>
      <c r="K330" s="19"/>
      <c r="M330" s="19"/>
      <c r="O330" s="19"/>
      <c r="Q330" s="26">
        <f t="shared" si="1"/>
        <v>0</v>
      </c>
      <c r="R330" s="25">
        <f t="shared" si="2"/>
        <v>0</v>
      </c>
      <c r="S330" s="25">
        <f t="shared" si="3"/>
        <v>0</v>
      </c>
      <c r="T330" s="25">
        <f t="shared" si="4"/>
        <v>0</v>
      </c>
      <c r="U330" s="27">
        <f t="shared" si="5"/>
        <v>0</v>
      </c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28" t="s">
        <v>26</v>
      </c>
      <c r="B331" s="29">
        <f t="shared" si="6"/>
        <v>46348</v>
      </c>
      <c r="C331" s="31">
        <v>12.0</v>
      </c>
      <c r="D331" s="31" t="s">
        <v>28</v>
      </c>
      <c r="E331" s="32"/>
      <c r="F331" s="32"/>
      <c r="G331" s="33"/>
      <c r="H331" s="6"/>
      <c r="I331" s="34"/>
      <c r="J331" s="6"/>
      <c r="K331" s="34"/>
      <c r="L331" s="6"/>
      <c r="M331" s="34"/>
      <c r="N331" s="6"/>
      <c r="O331" s="34"/>
      <c r="P331" s="6"/>
      <c r="Q331" s="35">
        <f t="shared" si="1"/>
        <v>0</v>
      </c>
      <c r="R331" s="31">
        <f t="shared" si="2"/>
        <v>0</v>
      </c>
      <c r="S331" s="31">
        <f t="shared" si="3"/>
        <v>0</v>
      </c>
      <c r="T331" s="31">
        <f t="shared" si="4"/>
        <v>0</v>
      </c>
      <c r="U331" s="36">
        <f t="shared" si="5"/>
        <v>0</v>
      </c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13" t="s">
        <v>19</v>
      </c>
      <c r="B332" s="37">
        <f t="shared" si="6"/>
        <v>46349</v>
      </c>
      <c r="C332" s="16">
        <v>12.0</v>
      </c>
      <c r="D332" s="16" t="s">
        <v>29</v>
      </c>
      <c r="E332" s="17"/>
      <c r="F332" s="17"/>
      <c r="G332" s="18"/>
      <c r="I332" s="19"/>
      <c r="K332" s="19"/>
      <c r="M332" s="19"/>
      <c r="O332" s="19"/>
      <c r="Q332" s="20">
        <f t="shared" si="1"/>
        <v>0</v>
      </c>
      <c r="R332" s="16">
        <f t="shared" si="2"/>
        <v>0</v>
      </c>
      <c r="S332" s="16">
        <f t="shared" si="3"/>
        <v>0</v>
      </c>
      <c r="T332" s="16">
        <f t="shared" si="4"/>
        <v>0</v>
      </c>
      <c r="U332" s="38">
        <f t="shared" si="5"/>
        <v>0</v>
      </c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22" t="s">
        <v>21</v>
      </c>
      <c r="B333" s="23">
        <f t="shared" si="6"/>
        <v>46350</v>
      </c>
      <c r="C333" s="25">
        <v>12.0</v>
      </c>
      <c r="D333" s="25" t="s">
        <v>29</v>
      </c>
      <c r="E333" s="21"/>
      <c r="F333" s="21"/>
      <c r="G333" s="18"/>
      <c r="I333" s="19"/>
      <c r="K333" s="19"/>
      <c r="M333" s="19"/>
      <c r="O333" s="19"/>
      <c r="Q333" s="26">
        <f t="shared" si="1"/>
        <v>0</v>
      </c>
      <c r="R333" s="25">
        <f t="shared" si="2"/>
        <v>0</v>
      </c>
      <c r="S333" s="25">
        <f t="shared" si="3"/>
        <v>0</v>
      </c>
      <c r="T333" s="25">
        <f t="shared" si="4"/>
        <v>0</v>
      </c>
      <c r="U333" s="27">
        <f t="shared" si="5"/>
        <v>0</v>
      </c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22" t="s">
        <v>22</v>
      </c>
      <c r="B334" s="23">
        <f t="shared" si="6"/>
        <v>46351</v>
      </c>
      <c r="C334" s="25">
        <v>12.0</v>
      </c>
      <c r="D334" s="25" t="s">
        <v>29</v>
      </c>
      <c r="E334" s="21"/>
      <c r="F334" s="21"/>
      <c r="G334" s="18"/>
      <c r="I334" s="19"/>
      <c r="K334" s="19"/>
      <c r="M334" s="19"/>
      <c r="O334" s="19"/>
      <c r="Q334" s="26">
        <f t="shared" si="1"/>
        <v>0</v>
      </c>
      <c r="R334" s="25">
        <f t="shared" si="2"/>
        <v>0</v>
      </c>
      <c r="S334" s="25">
        <f t="shared" si="3"/>
        <v>0</v>
      </c>
      <c r="T334" s="25">
        <f t="shared" si="4"/>
        <v>0</v>
      </c>
      <c r="U334" s="27">
        <f t="shared" si="5"/>
        <v>0</v>
      </c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22" t="s">
        <v>23</v>
      </c>
      <c r="B335" s="23">
        <f t="shared" si="6"/>
        <v>46352</v>
      </c>
      <c r="C335" s="25">
        <v>12.0</v>
      </c>
      <c r="D335" s="25" t="s">
        <v>29</v>
      </c>
      <c r="E335" s="21"/>
      <c r="F335" s="21"/>
      <c r="G335" s="18"/>
      <c r="I335" s="19"/>
      <c r="K335" s="19"/>
      <c r="M335" s="19"/>
      <c r="O335" s="19"/>
      <c r="Q335" s="26">
        <f t="shared" si="1"/>
        <v>0</v>
      </c>
      <c r="R335" s="25">
        <f t="shared" si="2"/>
        <v>0</v>
      </c>
      <c r="S335" s="25">
        <f t="shared" si="3"/>
        <v>0</v>
      </c>
      <c r="T335" s="25">
        <f t="shared" si="4"/>
        <v>0</v>
      </c>
      <c r="U335" s="27">
        <f t="shared" si="5"/>
        <v>0</v>
      </c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22" t="s">
        <v>24</v>
      </c>
      <c r="B336" s="23">
        <f t="shared" si="6"/>
        <v>46353</v>
      </c>
      <c r="C336" s="25">
        <v>12.0</v>
      </c>
      <c r="D336" s="25" t="s">
        <v>29</v>
      </c>
      <c r="E336" s="21"/>
      <c r="F336" s="21"/>
      <c r="G336" s="18"/>
      <c r="I336" s="19"/>
      <c r="K336" s="19"/>
      <c r="M336" s="19"/>
      <c r="O336" s="19"/>
      <c r="Q336" s="26">
        <f t="shared" si="1"/>
        <v>0</v>
      </c>
      <c r="R336" s="25">
        <f t="shared" si="2"/>
        <v>0</v>
      </c>
      <c r="S336" s="25">
        <f t="shared" si="3"/>
        <v>0</v>
      </c>
      <c r="T336" s="25">
        <f t="shared" si="4"/>
        <v>0</v>
      </c>
      <c r="U336" s="27">
        <f t="shared" si="5"/>
        <v>0</v>
      </c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22" t="s">
        <v>25</v>
      </c>
      <c r="B337" s="23">
        <f t="shared" si="6"/>
        <v>46354</v>
      </c>
      <c r="C337" s="25">
        <v>12.0</v>
      </c>
      <c r="D337" s="25" t="s">
        <v>29</v>
      </c>
      <c r="E337" s="21"/>
      <c r="F337" s="21"/>
      <c r="G337" s="18"/>
      <c r="I337" s="19"/>
      <c r="K337" s="19"/>
      <c r="M337" s="19"/>
      <c r="O337" s="19"/>
      <c r="Q337" s="26">
        <f t="shared" si="1"/>
        <v>0</v>
      </c>
      <c r="R337" s="25">
        <f t="shared" si="2"/>
        <v>0</v>
      </c>
      <c r="S337" s="25">
        <f t="shared" si="3"/>
        <v>0</v>
      </c>
      <c r="T337" s="25">
        <f t="shared" si="4"/>
        <v>0</v>
      </c>
      <c r="U337" s="27">
        <f t="shared" si="5"/>
        <v>0</v>
      </c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28" t="s">
        <v>26</v>
      </c>
      <c r="B338" s="29">
        <f t="shared" si="6"/>
        <v>46355</v>
      </c>
      <c r="C338" s="31">
        <v>12.0</v>
      </c>
      <c r="D338" s="31" t="s">
        <v>29</v>
      </c>
      <c r="E338" s="32"/>
      <c r="F338" s="32"/>
      <c r="G338" s="33"/>
      <c r="H338" s="6"/>
      <c r="I338" s="34"/>
      <c r="J338" s="6"/>
      <c r="K338" s="34"/>
      <c r="L338" s="6"/>
      <c r="M338" s="34"/>
      <c r="N338" s="6"/>
      <c r="O338" s="34"/>
      <c r="P338" s="6"/>
      <c r="Q338" s="35">
        <f t="shared" si="1"/>
        <v>0</v>
      </c>
      <c r="R338" s="31">
        <f t="shared" si="2"/>
        <v>0</v>
      </c>
      <c r="S338" s="31">
        <f t="shared" si="3"/>
        <v>0</v>
      </c>
      <c r="T338" s="31">
        <f t="shared" si="4"/>
        <v>0</v>
      </c>
      <c r="U338" s="36">
        <f t="shared" si="5"/>
        <v>0</v>
      </c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13" t="s">
        <v>19</v>
      </c>
      <c r="B339" s="37">
        <f t="shared" si="6"/>
        <v>46356</v>
      </c>
      <c r="C339" s="16">
        <v>13.0</v>
      </c>
      <c r="D339" s="16" t="s">
        <v>27</v>
      </c>
      <c r="E339" s="17"/>
      <c r="F339" s="17"/>
      <c r="G339" s="18"/>
      <c r="I339" s="19"/>
      <c r="K339" s="19"/>
      <c r="M339" s="19"/>
      <c r="O339" s="19"/>
      <c r="Q339" s="20">
        <f t="shared" si="1"/>
        <v>0</v>
      </c>
      <c r="R339" s="16">
        <f t="shared" si="2"/>
        <v>0</v>
      </c>
      <c r="S339" s="16">
        <f t="shared" si="3"/>
        <v>0</v>
      </c>
      <c r="T339" s="16">
        <f t="shared" si="4"/>
        <v>0</v>
      </c>
      <c r="U339" s="38">
        <f t="shared" si="5"/>
        <v>0</v>
      </c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22" t="s">
        <v>21</v>
      </c>
      <c r="B340" s="23">
        <f t="shared" si="6"/>
        <v>46357</v>
      </c>
      <c r="C340" s="25">
        <v>13.0</v>
      </c>
      <c r="D340" s="25" t="s">
        <v>27</v>
      </c>
      <c r="E340" s="21"/>
      <c r="F340" s="21"/>
      <c r="G340" s="18"/>
      <c r="I340" s="19"/>
      <c r="K340" s="19"/>
      <c r="M340" s="19"/>
      <c r="O340" s="19"/>
      <c r="Q340" s="26">
        <f t="shared" si="1"/>
        <v>0</v>
      </c>
      <c r="R340" s="25">
        <f t="shared" si="2"/>
        <v>0</v>
      </c>
      <c r="S340" s="25">
        <f t="shared" si="3"/>
        <v>0</v>
      </c>
      <c r="T340" s="25">
        <f t="shared" si="4"/>
        <v>0</v>
      </c>
      <c r="U340" s="27">
        <f t="shared" si="5"/>
        <v>0</v>
      </c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22" t="s">
        <v>22</v>
      </c>
      <c r="B341" s="23">
        <f t="shared" si="6"/>
        <v>46358</v>
      </c>
      <c r="C341" s="25">
        <v>13.0</v>
      </c>
      <c r="D341" s="25" t="s">
        <v>27</v>
      </c>
      <c r="E341" s="21"/>
      <c r="F341" s="21"/>
      <c r="G341" s="18"/>
      <c r="I341" s="19"/>
      <c r="K341" s="19"/>
      <c r="M341" s="19"/>
      <c r="O341" s="19"/>
      <c r="Q341" s="26">
        <f t="shared" si="1"/>
        <v>0</v>
      </c>
      <c r="R341" s="25">
        <f t="shared" si="2"/>
        <v>0</v>
      </c>
      <c r="S341" s="25">
        <f t="shared" si="3"/>
        <v>0</v>
      </c>
      <c r="T341" s="25">
        <f t="shared" si="4"/>
        <v>0</v>
      </c>
      <c r="U341" s="27">
        <f t="shared" si="5"/>
        <v>0</v>
      </c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22" t="s">
        <v>23</v>
      </c>
      <c r="B342" s="23">
        <f t="shared" si="6"/>
        <v>46359</v>
      </c>
      <c r="C342" s="25">
        <v>13.0</v>
      </c>
      <c r="D342" s="25" t="s">
        <v>27</v>
      </c>
      <c r="E342" s="21"/>
      <c r="F342" s="21"/>
      <c r="G342" s="18"/>
      <c r="I342" s="19"/>
      <c r="K342" s="19"/>
      <c r="M342" s="19"/>
      <c r="O342" s="19"/>
      <c r="Q342" s="26">
        <f t="shared" si="1"/>
        <v>0</v>
      </c>
      <c r="R342" s="25">
        <f t="shared" si="2"/>
        <v>0</v>
      </c>
      <c r="S342" s="25">
        <f t="shared" si="3"/>
        <v>0</v>
      </c>
      <c r="T342" s="25">
        <f t="shared" si="4"/>
        <v>0</v>
      </c>
      <c r="U342" s="27">
        <f t="shared" si="5"/>
        <v>0</v>
      </c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22" t="s">
        <v>24</v>
      </c>
      <c r="B343" s="23">
        <f t="shared" si="6"/>
        <v>46360</v>
      </c>
      <c r="C343" s="25">
        <v>13.0</v>
      </c>
      <c r="D343" s="25" t="s">
        <v>27</v>
      </c>
      <c r="E343" s="21"/>
      <c r="F343" s="21"/>
      <c r="G343" s="18"/>
      <c r="I343" s="19"/>
      <c r="K343" s="19"/>
      <c r="M343" s="19"/>
      <c r="O343" s="19"/>
      <c r="Q343" s="26">
        <f t="shared" si="1"/>
        <v>0</v>
      </c>
      <c r="R343" s="25">
        <f t="shared" si="2"/>
        <v>0</v>
      </c>
      <c r="S343" s="25">
        <f t="shared" si="3"/>
        <v>0</v>
      </c>
      <c r="T343" s="25">
        <f t="shared" si="4"/>
        <v>0</v>
      </c>
      <c r="U343" s="27">
        <f t="shared" si="5"/>
        <v>0</v>
      </c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22" t="s">
        <v>25</v>
      </c>
      <c r="B344" s="23">
        <f t="shared" si="6"/>
        <v>46361</v>
      </c>
      <c r="C344" s="25">
        <v>13.0</v>
      </c>
      <c r="D344" s="25" t="s">
        <v>27</v>
      </c>
      <c r="E344" s="21"/>
      <c r="F344" s="21"/>
      <c r="G344" s="18"/>
      <c r="I344" s="19"/>
      <c r="K344" s="19"/>
      <c r="M344" s="19"/>
      <c r="O344" s="19"/>
      <c r="Q344" s="26">
        <f t="shared" si="1"/>
        <v>0</v>
      </c>
      <c r="R344" s="25">
        <f t="shared" si="2"/>
        <v>0</v>
      </c>
      <c r="S344" s="25">
        <f t="shared" si="3"/>
        <v>0</v>
      </c>
      <c r="T344" s="25">
        <f t="shared" si="4"/>
        <v>0</v>
      </c>
      <c r="U344" s="27">
        <f t="shared" si="5"/>
        <v>0</v>
      </c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28" t="s">
        <v>26</v>
      </c>
      <c r="B345" s="29">
        <f t="shared" si="6"/>
        <v>46362</v>
      </c>
      <c r="C345" s="31">
        <v>13.0</v>
      </c>
      <c r="D345" s="31" t="s">
        <v>27</v>
      </c>
      <c r="E345" s="32"/>
      <c r="F345" s="32"/>
      <c r="G345" s="33"/>
      <c r="H345" s="6"/>
      <c r="I345" s="34"/>
      <c r="J345" s="6"/>
      <c r="K345" s="34"/>
      <c r="L345" s="6"/>
      <c r="M345" s="34"/>
      <c r="N345" s="6"/>
      <c r="O345" s="34"/>
      <c r="P345" s="6"/>
      <c r="Q345" s="35">
        <f t="shared" si="1"/>
        <v>0</v>
      </c>
      <c r="R345" s="31">
        <f t="shared" si="2"/>
        <v>0</v>
      </c>
      <c r="S345" s="31">
        <f t="shared" si="3"/>
        <v>0</v>
      </c>
      <c r="T345" s="31">
        <f t="shared" si="4"/>
        <v>0</v>
      </c>
      <c r="U345" s="36">
        <f t="shared" si="5"/>
        <v>0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13" t="s">
        <v>19</v>
      </c>
      <c r="B346" s="37">
        <f t="shared" si="6"/>
        <v>46363</v>
      </c>
      <c r="C346" s="16">
        <v>13.0</v>
      </c>
      <c r="D346" s="16" t="s">
        <v>28</v>
      </c>
      <c r="E346" s="17"/>
      <c r="F346" s="17"/>
      <c r="G346" s="18"/>
      <c r="I346" s="19"/>
      <c r="K346" s="19"/>
      <c r="M346" s="19"/>
      <c r="O346" s="19"/>
      <c r="Q346" s="20">
        <f t="shared" si="1"/>
        <v>0</v>
      </c>
      <c r="R346" s="16">
        <f t="shared" si="2"/>
        <v>0</v>
      </c>
      <c r="S346" s="16">
        <f t="shared" si="3"/>
        <v>0</v>
      </c>
      <c r="T346" s="16">
        <f t="shared" si="4"/>
        <v>0</v>
      </c>
      <c r="U346" s="38">
        <f t="shared" si="5"/>
        <v>0</v>
      </c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22" t="s">
        <v>21</v>
      </c>
      <c r="B347" s="23">
        <f t="shared" si="6"/>
        <v>46364</v>
      </c>
      <c r="C347" s="25">
        <v>13.0</v>
      </c>
      <c r="D347" s="25" t="s">
        <v>28</v>
      </c>
      <c r="E347" s="21"/>
      <c r="F347" s="21"/>
      <c r="G347" s="18"/>
      <c r="I347" s="19"/>
      <c r="K347" s="19"/>
      <c r="M347" s="19"/>
      <c r="O347" s="19"/>
      <c r="Q347" s="26">
        <f t="shared" si="1"/>
        <v>0</v>
      </c>
      <c r="R347" s="25">
        <f t="shared" si="2"/>
        <v>0</v>
      </c>
      <c r="S347" s="25">
        <f t="shared" si="3"/>
        <v>0</v>
      </c>
      <c r="T347" s="25">
        <f t="shared" si="4"/>
        <v>0</v>
      </c>
      <c r="U347" s="27">
        <f t="shared" si="5"/>
        <v>0</v>
      </c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22" t="s">
        <v>22</v>
      </c>
      <c r="B348" s="23">
        <f t="shared" si="6"/>
        <v>46365</v>
      </c>
      <c r="C348" s="25">
        <v>13.0</v>
      </c>
      <c r="D348" s="25" t="s">
        <v>28</v>
      </c>
      <c r="E348" s="21"/>
      <c r="F348" s="21"/>
      <c r="G348" s="18"/>
      <c r="I348" s="19"/>
      <c r="K348" s="19"/>
      <c r="M348" s="19"/>
      <c r="O348" s="19"/>
      <c r="Q348" s="26">
        <f t="shared" si="1"/>
        <v>0</v>
      </c>
      <c r="R348" s="25">
        <f t="shared" si="2"/>
        <v>0</v>
      </c>
      <c r="S348" s="25">
        <f t="shared" si="3"/>
        <v>0</v>
      </c>
      <c r="T348" s="25">
        <f t="shared" si="4"/>
        <v>0</v>
      </c>
      <c r="U348" s="27">
        <f t="shared" si="5"/>
        <v>0</v>
      </c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22" t="s">
        <v>23</v>
      </c>
      <c r="B349" s="23">
        <f t="shared" si="6"/>
        <v>46366</v>
      </c>
      <c r="C349" s="25">
        <v>13.0</v>
      </c>
      <c r="D349" s="25" t="s">
        <v>28</v>
      </c>
      <c r="E349" s="21"/>
      <c r="F349" s="21"/>
      <c r="G349" s="18"/>
      <c r="I349" s="19"/>
      <c r="K349" s="19"/>
      <c r="M349" s="19"/>
      <c r="O349" s="19"/>
      <c r="Q349" s="26">
        <f t="shared" si="1"/>
        <v>0</v>
      </c>
      <c r="R349" s="25">
        <f t="shared" si="2"/>
        <v>0</v>
      </c>
      <c r="S349" s="25">
        <f t="shared" si="3"/>
        <v>0</v>
      </c>
      <c r="T349" s="25">
        <f t="shared" si="4"/>
        <v>0</v>
      </c>
      <c r="U349" s="27">
        <f t="shared" si="5"/>
        <v>0</v>
      </c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22" t="s">
        <v>24</v>
      </c>
      <c r="B350" s="23">
        <f t="shared" si="6"/>
        <v>46367</v>
      </c>
      <c r="C350" s="25">
        <v>13.0</v>
      </c>
      <c r="D350" s="25" t="s">
        <v>28</v>
      </c>
      <c r="E350" s="21"/>
      <c r="F350" s="21"/>
      <c r="G350" s="18"/>
      <c r="I350" s="19"/>
      <c r="K350" s="19"/>
      <c r="M350" s="19"/>
      <c r="O350" s="19"/>
      <c r="Q350" s="26">
        <f t="shared" si="1"/>
        <v>0</v>
      </c>
      <c r="R350" s="25">
        <f t="shared" si="2"/>
        <v>0</v>
      </c>
      <c r="S350" s="25">
        <f t="shared" si="3"/>
        <v>0</v>
      </c>
      <c r="T350" s="25">
        <f t="shared" si="4"/>
        <v>0</v>
      </c>
      <c r="U350" s="27">
        <f t="shared" si="5"/>
        <v>0</v>
      </c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22" t="s">
        <v>25</v>
      </c>
      <c r="B351" s="23">
        <f t="shared" si="6"/>
        <v>46368</v>
      </c>
      <c r="C351" s="25">
        <v>13.0</v>
      </c>
      <c r="D351" s="25" t="s">
        <v>28</v>
      </c>
      <c r="E351" s="21"/>
      <c r="F351" s="21"/>
      <c r="G351" s="18"/>
      <c r="I351" s="19"/>
      <c r="K351" s="19"/>
      <c r="M351" s="19"/>
      <c r="O351" s="19"/>
      <c r="Q351" s="26">
        <f t="shared" si="1"/>
        <v>0</v>
      </c>
      <c r="R351" s="25">
        <f t="shared" si="2"/>
        <v>0</v>
      </c>
      <c r="S351" s="25">
        <f t="shared" si="3"/>
        <v>0</v>
      </c>
      <c r="T351" s="25">
        <f t="shared" si="4"/>
        <v>0</v>
      </c>
      <c r="U351" s="27">
        <f t="shared" si="5"/>
        <v>0</v>
      </c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28" t="s">
        <v>26</v>
      </c>
      <c r="B352" s="29">
        <f t="shared" si="6"/>
        <v>46369</v>
      </c>
      <c r="C352" s="31">
        <v>13.0</v>
      </c>
      <c r="D352" s="31" t="s">
        <v>28</v>
      </c>
      <c r="E352" s="32"/>
      <c r="F352" s="32"/>
      <c r="G352" s="33"/>
      <c r="H352" s="6"/>
      <c r="I352" s="34"/>
      <c r="J352" s="6"/>
      <c r="K352" s="34"/>
      <c r="L352" s="6"/>
      <c r="M352" s="34"/>
      <c r="N352" s="6"/>
      <c r="O352" s="34"/>
      <c r="P352" s="6"/>
      <c r="Q352" s="35">
        <f t="shared" si="1"/>
        <v>0</v>
      </c>
      <c r="R352" s="31">
        <f t="shared" si="2"/>
        <v>0</v>
      </c>
      <c r="S352" s="31">
        <f t="shared" si="3"/>
        <v>0</v>
      </c>
      <c r="T352" s="31">
        <f t="shared" si="4"/>
        <v>0</v>
      </c>
      <c r="U352" s="36">
        <f t="shared" si="5"/>
        <v>0</v>
      </c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13" t="s">
        <v>19</v>
      </c>
      <c r="B353" s="37">
        <f t="shared" si="6"/>
        <v>46370</v>
      </c>
      <c r="C353" s="16">
        <v>13.0</v>
      </c>
      <c r="D353" s="16" t="s">
        <v>29</v>
      </c>
      <c r="E353" s="17"/>
      <c r="F353" s="17"/>
      <c r="G353" s="18"/>
      <c r="I353" s="19"/>
      <c r="K353" s="19"/>
      <c r="M353" s="19"/>
      <c r="O353" s="19"/>
      <c r="Q353" s="20">
        <f t="shared" si="1"/>
        <v>0</v>
      </c>
      <c r="R353" s="16">
        <f t="shared" si="2"/>
        <v>0</v>
      </c>
      <c r="S353" s="16">
        <f t="shared" si="3"/>
        <v>0</v>
      </c>
      <c r="T353" s="16">
        <f t="shared" si="4"/>
        <v>0</v>
      </c>
      <c r="U353" s="38">
        <f t="shared" si="5"/>
        <v>0</v>
      </c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22" t="s">
        <v>21</v>
      </c>
      <c r="B354" s="23">
        <f t="shared" si="6"/>
        <v>46371</v>
      </c>
      <c r="C354" s="25">
        <v>13.0</v>
      </c>
      <c r="D354" s="25" t="s">
        <v>29</v>
      </c>
      <c r="E354" s="21"/>
      <c r="F354" s="21"/>
      <c r="G354" s="18"/>
      <c r="I354" s="19"/>
      <c r="K354" s="19"/>
      <c r="M354" s="19"/>
      <c r="O354" s="19"/>
      <c r="Q354" s="26">
        <f t="shared" si="1"/>
        <v>0</v>
      </c>
      <c r="R354" s="25">
        <f t="shared" si="2"/>
        <v>0</v>
      </c>
      <c r="S354" s="25">
        <f t="shared" si="3"/>
        <v>0</v>
      </c>
      <c r="T354" s="25">
        <f t="shared" si="4"/>
        <v>0</v>
      </c>
      <c r="U354" s="27">
        <f t="shared" si="5"/>
        <v>0</v>
      </c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22" t="s">
        <v>22</v>
      </c>
      <c r="B355" s="23">
        <f t="shared" si="6"/>
        <v>46372</v>
      </c>
      <c r="C355" s="25">
        <v>13.0</v>
      </c>
      <c r="D355" s="25" t="s">
        <v>29</v>
      </c>
      <c r="E355" s="21"/>
      <c r="F355" s="21"/>
      <c r="G355" s="18"/>
      <c r="I355" s="19"/>
      <c r="K355" s="19"/>
      <c r="M355" s="19"/>
      <c r="O355" s="19"/>
      <c r="Q355" s="26">
        <f t="shared" si="1"/>
        <v>0</v>
      </c>
      <c r="R355" s="25">
        <f t="shared" si="2"/>
        <v>0</v>
      </c>
      <c r="S355" s="25">
        <f t="shared" si="3"/>
        <v>0</v>
      </c>
      <c r="T355" s="25">
        <f t="shared" si="4"/>
        <v>0</v>
      </c>
      <c r="U355" s="27">
        <f t="shared" si="5"/>
        <v>0</v>
      </c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22" t="s">
        <v>23</v>
      </c>
      <c r="B356" s="23">
        <f t="shared" si="6"/>
        <v>46373</v>
      </c>
      <c r="C356" s="25">
        <v>13.0</v>
      </c>
      <c r="D356" s="25" t="s">
        <v>29</v>
      </c>
      <c r="E356" s="21"/>
      <c r="F356" s="21"/>
      <c r="G356" s="18"/>
      <c r="I356" s="19"/>
      <c r="K356" s="19"/>
      <c r="M356" s="19"/>
      <c r="O356" s="19"/>
      <c r="Q356" s="26">
        <f t="shared" si="1"/>
        <v>0</v>
      </c>
      <c r="R356" s="25">
        <f t="shared" si="2"/>
        <v>0</v>
      </c>
      <c r="S356" s="25">
        <f t="shared" si="3"/>
        <v>0</v>
      </c>
      <c r="T356" s="25">
        <f t="shared" si="4"/>
        <v>0</v>
      </c>
      <c r="U356" s="27">
        <f t="shared" si="5"/>
        <v>0</v>
      </c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22" t="s">
        <v>24</v>
      </c>
      <c r="B357" s="23">
        <f t="shared" si="6"/>
        <v>46374</v>
      </c>
      <c r="C357" s="25">
        <v>13.0</v>
      </c>
      <c r="D357" s="25" t="s">
        <v>29</v>
      </c>
      <c r="E357" s="21"/>
      <c r="F357" s="21"/>
      <c r="G357" s="18"/>
      <c r="I357" s="19"/>
      <c r="K357" s="19"/>
      <c r="M357" s="19"/>
      <c r="O357" s="19"/>
      <c r="Q357" s="26">
        <f t="shared" si="1"/>
        <v>0</v>
      </c>
      <c r="R357" s="25">
        <f t="shared" si="2"/>
        <v>0</v>
      </c>
      <c r="S357" s="25">
        <f t="shared" si="3"/>
        <v>0</v>
      </c>
      <c r="T357" s="25">
        <f t="shared" si="4"/>
        <v>0</v>
      </c>
      <c r="U357" s="27">
        <f t="shared" si="5"/>
        <v>0</v>
      </c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22" t="s">
        <v>25</v>
      </c>
      <c r="B358" s="23">
        <f t="shared" si="6"/>
        <v>46375</v>
      </c>
      <c r="C358" s="25">
        <v>13.0</v>
      </c>
      <c r="D358" s="25" t="s">
        <v>29</v>
      </c>
      <c r="E358" s="21"/>
      <c r="F358" s="21"/>
      <c r="G358" s="18"/>
      <c r="I358" s="19"/>
      <c r="K358" s="19"/>
      <c r="M358" s="19"/>
      <c r="O358" s="19"/>
      <c r="Q358" s="26">
        <f t="shared" si="1"/>
        <v>0</v>
      </c>
      <c r="R358" s="25">
        <f t="shared" si="2"/>
        <v>0</v>
      </c>
      <c r="S358" s="25">
        <f t="shared" si="3"/>
        <v>0</v>
      </c>
      <c r="T358" s="25">
        <f t="shared" si="4"/>
        <v>0</v>
      </c>
      <c r="U358" s="27">
        <f t="shared" si="5"/>
        <v>0</v>
      </c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28" t="s">
        <v>26</v>
      </c>
      <c r="B359" s="29">
        <f t="shared" si="6"/>
        <v>46376</v>
      </c>
      <c r="C359" s="31">
        <v>13.0</v>
      </c>
      <c r="D359" s="31" t="s">
        <v>29</v>
      </c>
      <c r="E359" s="32"/>
      <c r="F359" s="32"/>
      <c r="G359" s="33"/>
      <c r="H359" s="6"/>
      <c r="I359" s="34"/>
      <c r="J359" s="6"/>
      <c r="K359" s="34"/>
      <c r="L359" s="6"/>
      <c r="M359" s="34"/>
      <c r="N359" s="6"/>
      <c r="O359" s="34"/>
      <c r="P359" s="6"/>
      <c r="Q359" s="35">
        <f t="shared" si="1"/>
        <v>0</v>
      </c>
      <c r="R359" s="31">
        <f t="shared" si="2"/>
        <v>0</v>
      </c>
      <c r="S359" s="31">
        <f t="shared" si="3"/>
        <v>0</v>
      </c>
      <c r="T359" s="31">
        <f t="shared" si="4"/>
        <v>0</v>
      </c>
      <c r="U359" s="36">
        <f t="shared" si="5"/>
        <v>0</v>
      </c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116"/>
      <c r="B360" s="117"/>
      <c r="C360" s="19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9" t="s">
        <v>34</v>
      </c>
      <c r="W360" s="119">
        <v>1.0</v>
      </c>
      <c r="X360" s="119">
        <v>2.0</v>
      </c>
      <c r="Y360" s="119">
        <v>3.0</v>
      </c>
      <c r="Z360" s="119">
        <v>4.0</v>
      </c>
      <c r="AA360" s="119">
        <v>5.0</v>
      </c>
      <c r="AB360" s="119">
        <v>6.0</v>
      </c>
      <c r="AC360" s="119">
        <v>7.0</v>
      </c>
      <c r="AD360" s="119">
        <v>8.0</v>
      </c>
      <c r="AE360" s="119">
        <v>9.0</v>
      </c>
      <c r="AF360" s="119">
        <v>10.0</v>
      </c>
      <c r="AG360" s="119">
        <v>11.0</v>
      </c>
      <c r="AH360" s="119">
        <v>12.0</v>
      </c>
      <c r="AI360" s="119">
        <v>13.0</v>
      </c>
      <c r="AJ360" s="119" t="s">
        <v>35</v>
      </c>
      <c r="AK360" s="120"/>
    </row>
    <row r="361" ht="15.75" customHeight="1">
      <c r="A361" s="116"/>
      <c r="B361" s="117"/>
      <c r="C361" s="19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21">
        <f>SUM(Q3:Q359)</f>
        <v>180236.7846</v>
      </c>
      <c r="R361" s="118"/>
      <c r="S361" s="118"/>
      <c r="T361" s="122">
        <f>SUM(T3:T359)</f>
        <v>8415</v>
      </c>
      <c r="U361" s="118"/>
      <c r="V361" s="119" t="s">
        <v>36</v>
      </c>
      <c r="W361" s="120">
        <f t="shared" ref="W361:AI361" si="7">SUMIF($C$3:$C$359, W360, $T$3:$T$359)</f>
        <v>0</v>
      </c>
      <c r="X361" s="120">
        <f t="shared" si="7"/>
        <v>0</v>
      </c>
      <c r="Y361" s="120">
        <f t="shared" si="7"/>
        <v>0</v>
      </c>
      <c r="Z361" s="120">
        <f t="shared" si="7"/>
        <v>1665</v>
      </c>
      <c r="AA361" s="120">
        <f t="shared" si="7"/>
        <v>1350</v>
      </c>
      <c r="AB361" s="120">
        <f t="shared" si="7"/>
        <v>1350</v>
      </c>
      <c r="AC361" s="120">
        <f t="shared" si="7"/>
        <v>1350</v>
      </c>
      <c r="AD361" s="120">
        <f t="shared" si="7"/>
        <v>675</v>
      </c>
      <c r="AE361" s="120">
        <f t="shared" si="7"/>
        <v>1350</v>
      </c>
      <c r="AF361" s="120">
        <f t="shared" si="7"/>
        <v>675</v>
      </c>
      <c r="AG361" s="120">
        <f t="shared" si="7"/>
        <v>0</v>
      </c>
      <c r="AH361" s="120">
        <f t="shared" si="7"/>
        <v>0</v>
      </c>
      <c r="AI361" s="120">
        <f t="shared" si="7"/>
        <v>0</v>
      </c>
      <c r="AJ361" s="119">
        <f>SUM(W361:AI361)</f>
        <v>8415</v>
      </c>
      <c r="AK361" s="120"/>
    </row>
    <row r="362" ht="15.75" customHeight="1">
      <c r="A362" s="116"/>
      <c r="B362" s="117"/>
      <c r="C362" s="19"/>
      <c r="D362" s="118"/>
      <c r="E362" s="123"/>
      <c r="F362" s="123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9"/>
      <c r="W362" s="120"/>
      <c r="X362" s="120"/>
      <c r="Y362" s="120"/>
      <c r="Z362" s="120"/>
      <c r="AA362" s="120"/>
      <c r="AB362" s="120"/>
      <c r="AC362" s="120"/>
      <c r="AD362" s="120"/>
      <c r="AE362" s="120"/>
      <c r="AF362" s="120"/>
      <c r="AG362" s="120"/>
      <c r="AH362" s="120"/>
      <c r="AI362" s="120"/>
      <c r="AJ362" s="119"/>
      <c r="AK362" s="120"/>
    </row>
    <row r="363" ht="15.75" customHeight="1">
      <c r="A363" s="116"/>
      <c r="B363" s="117"/>
      <c r="C363" s="19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9"/>
      <c r="W363" s="120"/>
      <c r="X363" s="120"/>
      <c r="Y363" s="120"/>
      <c r="Z363" s="120"/>
      <c r="AA363" s="120"/>
      <c r="AB363" s="120"/>
      <c r="AC363" s="120"/>
      <c r="AD363" s="120"/>
      <c r="AE363" s="120"/>
      <c r="AF363" s="120"/>
      <c r="AG363" s="120"/>
      <c r="AH363" s="120"/>
      <c r="AI363" s="120"/>
      <c r="AJ363" s="119"/>
      <c r="AK363" s="120"/>
    </row>
    <row r="364" ht="15.75" customHeight="1">
      <c r="A364" s="116"/>
      <c r="B364" s="117"/>
      <c r="C364" s="19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9" t="s">
        <v>37</v>
      </c>
      <c r="W364" s="124">
        <f t="shared" ref="W364:AI364" si="8">SUMIF($C$3:$C$359, W360, $Q$3:$Q$359)</f>
        <v>0</v>
      </c>
      <c r="X364" s="124">
        <f t="shared" si="8"/>
        <v>0</v>
      </c>
      <c r="Y364" s="124">
        <f t="shared" si="8"/>
        <v>0</v>
      </c>
      <c r="Z364" s="124">
        <f t="shared" si="8"/>
        <v>36203.3316</v>
      </c>
      <c r="AA364" s="124">
        <f t="shared" si="8"/>
        <v>28806.6906</v>
      </c>
      <c r="AB364" s="124">
        <f t="shared" si="8"/>
        <v>28806.6906</v>
      </c>
      <c r="AC364" s="124">
        <f t="shared" si="8"/>
        <v>28806.6906</v>
      </c>
      <c r="AD364" s="124">
        <f t="shared" si="8"/>
        <v>14403.3453</v>
      </c>
      <c r="AE364" s="124">
        <f t="shared" si="8"/>
        <v>28806.6906</v>
      </c>
      <c r="AF364" s="124">
        <f t="shared" si="8"/>
        <v>14403.3453</v>
      </c>
      <c r="AG364" s="124">
        <f t="shared" si="8"/>
        <v>0</v>
      </c>
      <c r="AH364" s="124">
        <f t="shared" si="8"/>
        <v>0</v>
      </c>
      <c r="AI364" s="124">
        <f t="shared" si="8"/>
        <v>0</v>
      </c>
      <c r="AJ364" s="125">
        <f>SUM(W364:AI364)</f>
        <v>180236.7846</v>
      </c>
      <c r="AK364" s="120"/>
    </row>
    <row r="365" ht="15.75" customHeight="1">
      <c r="A365" s="116"/>
      <c r="B365" s="117"/>
      <c r="C365" s="19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9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5"/>
      <c r="AK365" s="120"/>
    </row>
    <row r="366" ht="15.75" customHeight="1">
      <c r="A366" s="126"/>
      <c r="B366" s="118"/>
      <c r="C366" s="19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9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5"/>
      <c r="AK366" s="120"/>
    </row>
    <row r="367" ht="15.75" customHeight="1">
      <c r="A367" s="126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9"/>
      <c r="W367" s="120"/>
      <c r="X367" s="120"/>
      <c r="Y367" s="120"/>
      <c r="Z367" s="120"/>
      <c r="AA367" s="120"/>
      <c r="AB367" s="120"/>
      <c r="AC367" s="120"/>
      <c r="AD367" s="120"/>
      <c r="AE367" s="120"/>
      <c r="AF367" s="120"/>
      <c r="AG367" s="120"/>
      <c r="AH367" s="120"/>
      <c r="AI367" s="120"/>
      <c r="AJ367" s="125"/>
      <c r="AK367" s="120"/>
    </row>
    <row r="368" ht="15.75" customHeight="1">
      <c r="A368" s="126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9"/>
      <c r="W368" s="120"/>
      <c r="X368" s="120"/>
      <c r="Y368" s="120"/>
      <c r="Z368" s="120"/>
      <c r="AA368" s="120"/>
      <c r="AB368" s="120"/>
      <c r="AC368" s="120"/>
      <c r="AD368" s="120"/>
      <c r="AE368" s="120"/>
      <c r="AF368" s="120"/>
      <c r="AG368" s="120"/>
      <c r="AH368" s="120"/>
      <c r="AI368" s="120"/>
      <c r="AJ368" s="125"/>
      <c r="AK368" s="120"/>
    </row>
    <row r="369" ht="15.75" customHeight="1">
      <c r="A369" s="126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27" t="s">
        <v>38</v>
      </c>
      <c r="W369" s="128">
        <v>0.26</v>
      </c>
      <c r="X369" s="120"/>
      <c r="Y369" s="120"/>
      <c r="Z369" s="120"/>
      <c r="AA369" s="120"/>
      <c r="AB369" s="120"/>
      <c r="AC369" s="120"/>
      <c r="AD369" s="120"/>
      <c r="AE369" s="120"/>
      <c r="AF369" s="120"/>
      <c r="AG369" s="120"/>
      <c r="AH369" s="120"/>
      <c r="AI369" s="120"/>
      <c r="AJ369" s="125"/>
      <c r="AK369" s="120"/>
    </row>
    <row r="370" ht="15.75" customHeight="1">
      <c r="A370" s="126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9"/>
      <c r="W370" s="124">
        <f t="shared" ref="W370:AI370" si="9">SUM(W364:W366)*$W$369</f>
        <v>0</v>
      </c>
      <c r="X370" s="124">
        <f t="shared" si="9"/>
        <v>0</v>
      </c>
      <c r="Y370" s="124">
        <f t="shared" si="9"/>
        <v>0</v>
      </c>
      <c r="Z370" s="124">
        <f t="shared" si="9"/>
        <v>9412.866216</v>
      </c>
      <c r="AA370" s="124">
        <f t="shared" si="9"/>
        <v>7489.739556</v>
      </c>
      <c r="AB370" s="124">
        <f t="shared" si="9"/>
        <v>7489.739556</v>
      </c>
      <c r="AC370" s="124">
        <f t="shared" si="9"/>
        <v>7489.739556</v>
      </c>
      <c r="AD370" s="124">
        <f t="shared" si="9"/>
        <v>3744.869778</v>
      </c>
      <c r="AE370" s="124">
        <f t="shared" si="9"/>
        <v>7489.739556</v>
      </c>
      <c r="AF370" s="124">
        <f t="shared" si="9"/>
        <v>3744.869778</v>
      </c>
      <c r="AG370" s="124">
        <f t="shared" si="9"/>
        <v>0</v>
      </c>
      <c r="AH370" s="124">
        <f t="shared" si="9"/>
        <v>0</v>
      </c>
      <c r="AI370" s="124">
        <f t="shared" si="9"/>
        <v>0</v>
      </c>
      <c r="AJ370" s="125">
        <f>SUM(W370:AI370)</f>
        <v>46861.564</v>
      </c>
      <c r="AK370" s="129">
        <f>AJ370/AJ364</f>
        <v>0.26</v>
      </c>
    </row>
    <row r="371" ht="15.75" customHeight="1">
      <c r="A371" s="126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9"/>
      <c r="W371" s="120"/>
      <c r="X371" s="120"/>
      <c r="Y371" s="120"/>
      <c r="Z371" s="120"/>
      <c r="AA371" s="120"/>
      <c r="AB371" s="120"/>
      <c r="AC371" s="120"/>
      <c r="AD371" s="120"/>
      <c r="AE371" s="120"/>
      <c r="AF371" s="120"/>
      <c r="AG371" s="120"/>
      <c r="AH371" s="120"/>
      <c r="AI371" s="120"/>
      <c r="AJ371" s="125"/>
      <c r="AK371" s="120"/>
    </row>
    <row r="372" ht="15.75" customHeight="1">
      <c r="A372" s="126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27" t="s">
        <v>39</v>
      </c>
      <c r="W372" s="128">
        <v>0.0</v>
      </c>
      <c r="X372" s="120"/>
      <c r="Y372" s="120"/>
      <c r="Z372" s="120"/>
      <c r="AA372" s="120"/>
      <c r="AB372" s="120"/>
      <c r="AC372" s="120"/>
      <c r="AD372" s="120"/>
      <c r="AE372" s="120"/>
      <c r="AF372" s="120"/>
      <c r="AG372" s="120"/>
      <c r="AH372" s="120"/>
      <c r="AI372" s="120"/>
      <c r="AJ372" s="125"/>
      <c r="AK372" s="120"/>
    </row>
    <row r="373" ht="15.75" customHeight="1">
      <c r="A373" s="126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9"/>
      <c r="W373" s="124">
        <f t="shared" ref="W373:AI373" si="10">$AO$372*SUM(W364:W366)</f>
        <v>0</v>
      </c>
      <c r="X373" s="124">
        <f t="shared" si="10"/>
        <v>0</v>
      </c>
      <c r="Y373" s="124">
        <f t="shared" si="10"/>
        <v>0</v>
      </c>
      <c r="Z373" s="124">
        <f t="shared" si="10"/>
        <v>0</v>
      </c>
      <c r="AA373" s="124">
        <f t="shared" si="10"/>
        <v>0</v>
      </c>
      <c r="AB373" s="124">
        <f t="shared" si="10"/>
        <v>0</v>
      </c>
      <c r="AC373" s="124">
        <f t="shared" si="10"/>
        <v>0</v>
      </c>
      <c r="AD373" s="124">
        <f t="shared" si="10"/>
        <v>0</v>
      </c>
      <c r="AE373" s="124">
        <f t="shared" si="10"/>
        <v>0</v>
      </c>
      <c r="AF373" s="124">
        <f t="shared" si="10"/>
        <v>0</v>
      </c>
      <c r="AG373" s="124">
        <f t="shared" si="10"/>
        <v>0</v>
      </c>
      <c r="AH373" s="124">
        <f t="shared" si="10"/>
        <v>0</v>
      </c>
      <c r="AI373" s="124">
        <f t="shared" si="10"/>
        <v>0</v>
      </c>
      <c r="AJ373" s="125">
        <f>SUM(W373:AI373)</f>
        <v>0</v>
      </c>
      <c r="AK373" s="120"/>
    </row>
    <row r="374" ht="15.75" customHeight="1">
      <c r="A374" s="126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9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  <c r="AI374" s="124"/>
      <c r="AJ374" s="125"/>
      <c r="AK374" s="120"/>
    </row>
    <row r="375" ht="15.75" customHeight="1">
      <c r="A375" s="126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9" t="s">
        <v>40</v>
      </c>
      <c r="W375" s="124">
        <f>SUM(W376:W378)</f>
        <v>42000</v>
      </c>
      <c r="X375" s="130" t="s">
        <v>41</v>
      </c>
      <c r="Y375" s="131">
        <f>SUM(W376:W378)/SUM(Z376:Z378)-1</f>
        <v>0.05</v>
      </c>
      <c r="Z375" s="132" t="s">
        <v>42</v>
      </c>
      <c r="AA375" s="120"/>
      <c r="AB375" s="120"/>
      <c r="AC375" s="120"/>
      <c r="AD375" s="120"/>
      <c r="AE375" s="120"/>
      <c r="AF375" s="120"/>
      <c r="AG375" s="120"/>
      <c r="AH375" s="120"/>
      <c r="AI375" s="120"/>
      <c r="AJ375" s="125"/>
      <c r="AK375" s="120"/>
    </row>
    <row r="376" ht="15.75" customHeight="1">
      <c r="A376" s="126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9" t="s">
        <v>43</v>
      </c>
      <c r="W376" s="124">
        <v>42000.0</v>
      </c>
      <c r="X376" s="120"/>
      <c r="Y376" s="120"/>
      <c r="Z376" s="124">
        <v>40000.0</v>
      </c>
      <c r="AA376" s="120"/>
      <c r="AB376" s="120"/>
      <c r="AC376" s="120"/>
      <c r="AD376" s="120"/>
      <c r="AE376" s="120"/>
      <c r="AF376" s="120"/>
      <c r="AG376" s="120"/>
      <c r="AH376" s="120"/>
      <c r="AI376" s="120"/>
      <c r="AJ376" s="125"/>
      <c r="AK376" s="120"/>
    </row>
    <row r="377" ht="15.75" customHeight="1">
      <c r="A377" s="126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9" t="s">
        <v>44</v>
      </c>
      <c r="W377" s="124">
        <v>0.0</v>
      </c>
      <c r="X377" s="120"/>
      <c r="Y377" s="120"/>
      <c r="Z377" s="124">
        <v>0.0</v>
      </c>
      <c r="AA377" s="120"/>
      <c r="AB377" s="120"/>
      <c r="AC377" s="120"/>
      <c r="AD377" s="120"/>
      <c r="AE377" s="120"/>
      <c r="AF377" s="120"/>
      <c r="AG377" s="120"/>
      <c r="AH377" s="120"/>
      <c r="AI377" s="120"/>
      <c r="AJ377" s="125"/>
      <c r="AK377" s="120"/>
    </row>
    <row r="378" ht="15.75" customHeight="1">
      <c r="A378" s="126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9" t="s">
        <v>45</v>
      </c>
      <c r="W378" s="124">
        <v>0.0</v>
      </c>
      <c r="X378" s="120"/>
      <c r="Y378" s="120"/>
      <c r="Z378" s="124">
        <v>0.0</v>
      </c>
      <c r="AA378" s="120"/>
      <c r="AB378" s="120"/>
      <c r="AC378" s="120"/>
      <c r="AD378" s="120"/>
      <c r="AE378" s="120"/>
      <c r="AF378" s="120"/>
      <c r="AG378" s="120"/>
      <c r="AH378" s="120"/>
      <c r="AI378" s="120"/>
      <c r="AJ378" s="125"/>
      <c r="AK378" s="120"/>
    </row>
    <row r="379" ht="15.75" customHeight="1">
      <c r="A379" s="126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9"/>
      <c r="W379" s="120"/>
      <c r="X379" s="120"/>
      <c r="Y379" s="120"/>
      <c r="Z379" s="120"/>
      <c r="AA379" s="120"/>
      <c r="AB379" s="120"/>
      <c r="AC379" s="120"/>
      <c r="AD379" s="120"/>
      <c r="AE379" s="120"/>
      <c r="AF379" s="120"/>
      <c r="AG379" s="120"/>
      <c r="AH379" s="120"/>
      <c r="AI379" s="120"/>
      <c r="AJ379" s="125"/>
      <c r="AK379" s="120"/>
    </row>
    <row r="380" ht="15.75" customHeight="1">
      <c r="A380" s="126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33" t="s">
        <v>46</v>
      </c>
      <c r="W380" s="134">
        <v>0.025</v>
      </c>
      <c r="X380" s="120"/>
      <c r="Y380" s="120"/>
      <c r="Z380" s="120"/>
      <c r="AA380" s="120"/>
      <c r="AB380" s="120"/>
      <c r="AC380" s="120"/>
      <c r="AD380" s="120"/>
      <c r="AE380" s="120"/>
      <c r="AF380" s="120"/>
      <c r="AG380" s="120"/>
      <c r="AH380" s="120"/>
      <c r="AI380" s="120"/>
      <c r="AJ380" s="125"/>
      <c r="AK380" s="120"/>
    </row>
    <row r="381" ht="15.75" customHeight="1">
      <c r="A381" s="126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33"/>
      <c r="W381" s="124">
        <f t="shared" ref="W381:AI381" si="11">$W$380 * W364</f>
        <v>0</v>
      </c>
      <c r="X381" s="124">
        <f t="shared" si="11"/>
        <v>0</v>
      </c>
      <c r="Y381" s="124">
        <f t="shared" si="11"/>
        <v>0</v>
      </c>
      <c r="Z381" s="124">
        <f t="shared" si="11"/>
        <v>905.08329</v>
      </c>
      <c r="AA381" s="124">
        <f t="shared" si="11"/>
        <v>720.167265</v>
      </c>
      <c r="AB381" s="124">
        <f t="shared" si="11"/>
        <v>720.167265</v>
      </c>
      <c r="AC381" s="124">
        <f t="shared" si="11"/>
        <v>720.167265</v>
      </c>
      <c r="AD381" s="124">
        <f t="shared" si="11"/>
        <v>360.0836325</v>
      </c>
      <c r="AE381" s="124">
        <f t="shared" si="11"/>
        <v>720.167265</v>
      </c>
      <c r="AF381" s="124">
        <f t="shared" si="11"/>
        <v>360.0836325</v>
      </c>
      <c r="AG381" s="124">
        <f t="shared" si="11"/>
        <v>0</v>
      </c>
      <c r="AH381" s="124">
        <f t="shared" si="11"/>
        <v>0</v>
      </c>
      <c r="AI381" s="124">
        <f t="shared" si="11"/>
        <v>0</v>
      </c>
      <c r="AJ381" s="125">
        <f>SUM(W381:AI381)</f>
        <v>4505.919615</v>
      </c>
      <c r="AK381" s="120"/>
    </row>
    <row r="382" ht="15.75" customHeight="1">
      <c r="A382" s="126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9"/>
      <c r="W382" s="120"/>
      <c r="X382" s="120"/>
      <c r="Y382" s="120"/>
      <c r="Z382" s="120"/>
      <c r="AA382" s="120"/>
      <c r="AB382" s="120"/>
      <c r="AC382" s="120"/>
      <c r="AD382" s="120"/>
      <c r="AE382" s="120"/>
      <c r="AF382" s="120"/>
      <c r="AG382" s="120"/>
      <c r="AH382" s="120"/>
      <c r="AI382" s="120"/>
      <c r="AJ382" s="119"/>
      <c r="AK382" s="120"/>
    </row>
    <row r="383" ht="15.75" customHeight="1">
      <c r="A383" s="126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33" t="s">
        <v>47</v>
      </c>
      <c r="W383" s="134">
        <v>0.015</v>
      </c>
      <c r="X383" s="120"/>
      <c r="Y383" s="120"/>
      <c r="Z383" s="120"/>
      <c r="AA383" s="120"/>
      <c r="AB383" s="120"/>
      <c r="AC383" s="120"/>
      <c r="AD383" s="120"/>
      <c r="AE383" s="120"/>
      <c r="AF383" s="120"/>
      <c r="AG383" s="120"/>
      <c r="AH383" s="120"/>
      <c r="AI383" s="120"/>
      <c r="AJ383" s="125"/>
      <c r="AK383" s="120"/>
    </row>
    <row r="384" ht="15.75" customHeight="1">
      <c r="A384" s="126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9"/>
      <c r="W384" s="124">
        <f t="shared" ref="W384:AI384" si="12">$W$383 * W364</f>
        <v>0</v>
      </c>
      <c r="X384" s="124">
        <f t="shared" si="12"/>
        <v>0</v>
      </c>
      <c r="Y384" s="124">
        <f t="shared" si="12"/>
        <v>0</v>
      </c>
      <c r="Z384" s="124">
        <f t="shared" si="12"/>
        <v>543.049974</v>
      </c>
      <c r="AA384" s="124">
        <f t="shared" si="12"/>
        <v>432.100359</v>
      </c>
      <c r="AB384" s="124">
        <f t="shared" si="12"/>
        <v>432.100359</v>
      </c>
      <c r="AC384" s="124">
        <f t="shared" si="12"/>
        <v>432.100359</v>
      </c>
      <c r="AD384" s="124">
        <f t="shared" si="12"/>
        <v>216.0501795</v>
      </c>
      <c r="AE384" s="124">
        <f t="shared" si="12"/>
        <v>432.100359</v>
      </c>
      <c r="AF384" s="124">
        <f t="shared" si="12"/>
        <v>216.0501795</v>
      </c>
      <c r="AG384" s="124">
        <f t="shared" si="12"/>
        <v>0</v>
      </c>
      <c r="AH384" s="124">
        <f t="shared" si="12"/>
        <v>0</v>
      </c>
      <c r="AI384" s="124">
        <f t="shared" si="12"/>
        <v>0</v>
      </c>
      <c r="AJ384" s="125">
        <f>SUM(W384:AI384)</f>
        <v>2703.551769</v>
      </c>
      <c r="AK384" s="120"/>
    </row>
    <row r="385" ht="15.75" customHeight="1">
      <c r="A385" s="126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9"/>
      <c r="W385" s="120"/>
      <c r="X385" s="120"/>
      <c r="Y385" s="120"/>
      <c r="Z385" s="120"/>
      <c r="AA385" s="120"/>
      <c r="AB385" s="120"/>
      <c r="AC385" s="120"/>
      <c r="AD385" s="120"/>
      <c r="AE385" s="120"/>
      <c r="AF385" s="120"/>
      <c r="AG385" s="120"/>
      <c r="AH385" s="120"/>
      <c r="AI385" s="120"/>
      <c r="AJ385" s="119"/>
      <c r="AK385" s="120"/>
    </row>
    <row r="386" ht="15.75" customHeight="1">
      <c r="A386" s="126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9" t="s">
        <v>48</v>
      </c>
      <c r="W386" s="124">
        <v>0.0</v>
      </c>
      <c r="X386" s="124">
        <v>0.0</v>
      </c>
      <c r="Y386" s="124">
        <v>0.0</v>
      </c>
      <c r="Z386" s="124">
        <v>500.0</v>
      </c>
      <c r="AA386" s="124">
        <v>20.0</v>
      </c>
      <c r="AB386" s="124">
        <v>20.0</v>
      </c>
      <c r="AC386" s="124">
        <v>20.0</v>
      </c>
      <c r="AD386" s="124">
        <v>20.0</v>
      </c>
      <c r="AE386" s="124">
        <v>20.0</v>
      </c>
      <c r="AF386" s="124">
        <v>20.0</v>
      </c>
      <c r="AG386" s="124">
        <v>0.0</v>
      </c>
      <c r="AH386" s="124">
        <v>0.0</v>
      </c>
      <c r="AI386" s="124">
        <v>0.0</v>
      </c>
      <c r="AJ386" s="125">
        <f>SUM(W386:AI386)</f>
        <v>620</v>
      </c>
      <c r="AK386" s="120"/>
    </row>
    <row r="387" ht="15.75" customHeight="1">
      <c r="A387" s="126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20"/>
      <c r="W387" s="120"/>
      <c r="X387" s="120"/>
      <c r="Y387" s="120"/>
      <c r="Z387" s="120"/>
      <c r="AA387" s="120"/>
      <c r="AB387" s="120"/>
      <c r="AC387" s="120"/>
      <c r="AD387" s="120"/>
      <c r="AE387" s="120"/>
      <c r="AF387" s="120"/>
      <c r="AG387" s="120"/>
      <c r="AH387" s="120"/>
      <c r="AI387" s="120"/>
      <c r="AJ387" s="125"/>
      <c r="AK387" s="120"/>
    </row>
    <row r="388" ht="15.75" customHeight="1">
      <c r="A388" s="126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35" t="s">
        <v>49</v>
      </c>
      <c r="W388" s="136"/>
      <c r="X388" s="136"/>
      <c r="Y388" s="137"/>
      <c r="Z388" s="120"/>
      <c r="AA388" s="120"/>
      <c r="AB388" s="120"/>
      <c r="AC388" s="120"/>
      <c r="AD388" s="120"/>
      <c r="AE388" s="120"/>
      <c r="AF388" s="120"/>
      <c r="AG388" s="120"/>
      <c r="AH388" s="120"/>
      <c r="AI388" s="120"/>
      <c r="AJ388" s="125"/>
      <c r="AK388" s="120"/>
    </row>
    <row r="389" ht="15.75" customHeight="1">
      <c r="A389" s="126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38" t="s">
        <v>50</v>
      </c>
      <c r="W389" s="120"/>
      <c r="X389" s="120"/>
      <c r="Y389" s="139">
        <v>1000.0</v>
      </c>
      <c r="Z389" s="120"/>
      <c r="AA389" s="120"/>
      <c r="AB389" s="120"/>
      <c r="AC389" s="120"/>
      <c r="AD389" s="120"/>
      <c r="AE389" s="120"/>
      <c r="AF389" s="120"/>
      <c r="AG389" s="120"/>
      <c r="AH389" s="120"/>
      <c r="AI389" s="120"/>
      <c r="AJ389" s="125"/>
      <c r="AK389" s="120"/>
    </row>
    <row r="390" ht="15.75" customHeight="1">
      <c r="A390" s="126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40" t="s">
        <v>51</v>
      </c>
      <c r="W390" s="120"/>
      <c r="X390" s="120"/>
      <c r="Y390" s="139">
        <v>5000.0</v>
      </c>
      <c r="Z390" s="120"/>
      <c r="AA390" s="120"/>
      <c r="AB390" s="120"/>
      <c r="AC390" s="120"/>
      <c r="AD390" s="120"/>
      <c r="AE390" s="120"/>
      <c r="AF390" s="120"/>
      <c r="AG390" s="120"/>
      <c r="AH390" s="120"/>
      <c r="AI390" s="120"/>
      <c r="AJ390" s="125"/>
      <c r="AK390" s="120"/>
    </row>
    <row r="391" ht="15.75" customHeight="1">
      <c r="A391" s="126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41" t="s">
        <v>52</v>
      </c>
      <c r="W391" s="120"/>
      <c r="X391" s="120"/>
      <c r="Y391" s="142"/>
      <c r="Z391" s="120"/>
      <c r="AA391" s="120"/>
      <c r="AB391" s="120"/>
      <c r="AC391" s="120"/>
      <c r="AD391" s="120"/>
      <c r="AE391" s="120"/>
      <c r="AF391" s="120"/>
      <c r="AG391" s="120"/>
      <c r="AH391" s="120"/>
      <c r="AI391" s="120"/>
      <c r="AJ391" s="125"/>
      <c r="AK391" s="120"/>
    </row>
    <row r="392" ht="15.75" customHeight="1">
      <c r="A392" s="126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38"/>
      <c r="W392" s="120"/>
      <c r="X392" s="120"/>
      <c r="Y392" s="143"/>
      <c r="Z392" s="120"/>
      <c r="AA392" s="120"/>
      <c r="AB392" s="120"/>
      <c r="AC392" s="120"/>
      <c r="AD392" s="120"/>
      <c r="AE392" s="120"/>
      <c r="AF392" s="120"/>
      <c r="AG392" s="120"/>
      <c r="AH392" s="120"/>
      <c r="AI392" s="120"/>
      <c r="AJ392" s="125"/>
      <c r="AK392" s="120"/>
    </row>
    <row r="393" ht="15.75" customHeight="1">
      <c r="A393" s="126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35" t="s">
        <v>53</v>
      </c>
      <c r="W393" s="120"/>
      <c r="X393" s="120"/>
      <c r="Y393" s="143"/>
      <c r="Z393" s="120"/>
      <c r="AA393" s="120"/>
      <c r="AB393" s="120"/>
      <c r="AC393" s="120"/>
      <c r="AD393" s="120"/>
      <c r="AE393" s="120"/>
      <c r="AF393" s="120"/>
      <c r="AG393" s="120"/>
      <c r="AH393" s="120"/>
      <c r="AI393" s="120"/>
      <c r="AJ393" s="125"/>
      <c r="AK393" s="120"/>
    </row>
    <row r="394" ht="15.75" customHeight="1">
      <c r="A394" s="126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38" t="s">
        <v>54</v>
      </c>
      <c r="W394" s="120"/>
      <c r="X394" s="120"/>
      <c r="Y394" s="139"/>
      <c r="Z394" s="120"/>
      <c r="AA394" s="120" t="s">
        <v>55</v>
      </c>
      <c r="AB394" s="134">
        <v>0.05</v>
      </c>
      <c r="AC394" s="120"/>
      <c r="AD394" s="120"/>
      <c r="AE394" s="120"/>
      <c r="AF394" s="120"/>
      <c r="AG394" s="120"/>
      <c r="AH394" s="120"/>
      <c r="AI394" s="120"/>
      <c r="AJ394" s="125"/>
      <c r="AK394" s="120"/>
    </row>
    <row r="395" ht="15.75" customHeight="1">
      <c r="A395" s="126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40" t="s">
        <v>56</v>
      </c>
      <c r="W395" s="120"/>
      <c r="X395" s="120"/>
      <c r="Y395" s="139"/>
      <c r="Z395" s="120"/>
      <c r="AA395" s="120" t="s">
        <v>57</v>
      </c>
      <c r="AB395" s="134">
        <v>0.072</v>
      </c>
      <c r="AC395" s="120"/>
      <c r="AD395" s="120"/>
      <c r="AE395" s="120"/>
      <c r="AF395" s="120"/>
      <c r="AG395" s="120"/>
      <c r="AH395" s="120"/>
      <c r="AI395" s="120"/>
      <c r="AJ395" s="119"/>
      <c r="AK395" s="120"/>
    </row>
    <row r="396" ht="15.75" customHeight="1">
      <c r="A396" s="126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41" t="s">
        <v>58</v>
      </c>
      <c r="W396" s="120"/>
      <c r="X396" s="120"/>
      <c r="Y396" s="142"/>
      <c r="Z396" s="120"/>
      <c r="AA396" s="120"/>
      <c r="AB396" s="120"/>
      <c r="AC396" s="120"/>
      <c r="AD396" s="120"/>
      <c r="AE396" s="120"/>
      <c r="AF396" s="120"/>
      <c r="AG396" s="120"/>
      <c r="AH396" s="120"/>
      <c r="AI396" s="120"/>
      <c r="AJ396" s="119"/>
      <c r="AK396" s="120"/>
    </row>
    <row r="397" ht="15.75" customHeight="1">
      <c r="A397" s="126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38"/>
      <c r="W397" s="120"/>
      <c r="X397" s="120"/>
      <c r="Y397" s="143"/>
      <c r="Z397" s="120"/>
      <c r="AA397" s="120"/>
      <c r="AB397" s="120"/>
      <c r="AC397" s="120"/>
      <c r="AD397" s="120"/>
      <c r="AE397" s="120"/>
      <c r="AF397" s="120"/>
      <c r="AG397" s="120"/>
      <c r="AH397" s="120"/>
      <c r="AI397" s="120"/>
      <c r="AJ397" s="119"/>
      <c r="AK397" s="120"/>
    </row>
    <row r="398" ht="15.75" customHeight="1">
      <c r="A398" s="126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35" t="s">
        <v>59</v>
      </c>
      <c r="W398" s="120"/>
      <c r="X398" s="120"/>
      <c r="Y398" s="143"/>
      <c r="Z398" s="120"/>
      <c r="AA398" s="120"/>
      <c r="AB398" s="120"/>
      <c r="AC398" s="120"/>
      <c r="AD398" s="120"/>
      <c r="AE398" s="120"/>
      <c r="AF398" s="120"/>
      <c r="AG398" s="120"/>
      <c r="AH398" s="120"/>
      <c r="AI398" s="120"/>
      <c r="AJ398" s="119"/>
      <c r="AK398" s="120"/>
    </row>
    <row r="399" ht="15.75" customHeight="1">
      <c r="A399" s="126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38" t="s">
        <v>60</v>
      </c>
      <c r="W399" s="120"/>
      <c r="X399" s="120"/>
      <c r="Y399" s="139">
        <v>12000.0</v>
      </c>
      <c r="Z399" s="120"/>
      <c r="AA399" s="120"/>
      <c r="AB399" s="120"/>
      <c r="AC399" s="120"/>
      <c r="AD399" s="120"/>
      <c r="AE399" s="120"/>
      <c r="AF399" s="120"/>
      <c r="AG399" s="120"/>
      <c r="AH399" s="120"/>
      <c r="AI399" s="120"/>
      <c r="AJ399" s="119"/>
      <c r="AK399" s="120"/>
    </row>
    <row r="400" ht="15.75" customHeight="1">
      <c r="A400" s="126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40" t="s">
        <v>61</v>
      </c>
      <c r="W400" s="120"/>
      <c r="X400" s="120"/>
      <c r="Y400" s="139">
        <v>0.0</v>
      </c>
      <c r="Z400" s="120"/>
      <c r="AA400" s="120"/>
      <c r="AB400" s="120"/>
      <c r="AC400" s="120"/>
      <c r="AD400" s="120"/>
      <c r="AE400" s="120"/>
      <c r="AF400" s="120"/>
      <c r="AG400" s="120"/>
      <c r="AH400" s="120"/>
      <c r="AI400" s="120"/>
      <c r="AJ400" s="119"/>
      <c r="AK400" s="120"/>
    </row>
    <row r="401" ht="15.75" customHeight="1">
      <c r="A401" s="126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41" t="s">
        <v>62</v>
      </c>
      <c r="W401" s="120"/>
      <c r="X401" s="120"/>
      <c r="Y401" s="142"/>
      <c r="Z401" s="120"/>
      <c r="AA401" s="120"/>
      <c r="AB401" s="120"/>
      <c r="AC401" s="120"/>
      <c r="AD401" s="120"/>
      <c r="AE401" s="120"/>
      <c r="AF401" s="120"/>
      <c r="AG401" s="120"/>
      <c r="AH401" s="120"/>
      <c r="AI401" s="120"/>
      <c r="AJ401" s="119"/>
      <c r="AK401" s="120"/>
    </row>
    <row r="402" ht="15.75" customHeight="1">
      <c r="A402" s="126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38"/>
      <c r="W402" s="120"/>
      <c r="X402" s="120"/>
      <c r="Y402" s="143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19"/>
      <c r="AK402" s="120"/>
    </row>
    <row r="403" ht="15.75" customHeight="1">
      <c r="A403" s="126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35" t="s">
        <v>63</v>
      </c>
      <c r="W403" s="120"/>
      <c r="X403" s="120"/>
      <c r="Y403" s="144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19"/>
      <c r="AK403" s="120"/>
    </row>
    <row r="404" ht="15.75" customHeight="1">
      <c r="A404" s="126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38" t="s">
        <v>64</v>
      </c>
      <c r="W404" s="120"/>
      <c r="X404" s="120"/>
      <c r="Y404" s="139">
        <f>60*7</f>
        <v>420</v>
      </c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19"/>
      <c r="AK404" s="120"/>
    </row>
    <row r="405" ht="15.75" customHeight="1">
      <c r="A405" s="126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38" t="s">
        <v>65</v>
      </c>
      <c r="W405" s="120"/>
      <c r="X405" s="120"/>
      <c r="Y405" s="139">
        <v>0.0</v>
      </c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19"/>
      <c r="AK405" s="120"/>
    </row>
    <row r="406" ht="15.75" customHeight="1">
      <c r="A406" s="126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40" t="s">
        <v>66</v>
      </c>
      <c r="W406" s="120"/>
      <c r="X406" s="120"/>
      <c r="Y406" s="139">
        <v>0.0</v>
      </c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19"/>
      <c r="AK406" s="120"/>
    </row>
    <row r="407" ht="15.75" customHeight="1">
      <c r="A407" s="126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41" t="s">
        <v>67</v>
      </c>
      <c r="W407" s="120"/>
      <c r="X407" s="120"/>
      <c r="Y407" s="142">
        <v>0.0</v>
      </c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19"/>
      <c r="AK407" s="120"/>
    </row>
    <row r="408" ht="15.75" customHeight="1">
      <c r="A408" s="126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38"/>
      <c r="W408" s="120"/>
      <c r="X408" s="120"/>
      <c r="Y408" s="143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19"/>
      <c r="AK408" s="120"/>
    </row>
    <row r="409" ht="15.75" customHeight="1">
      <c r="A409" s="126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35" t="s">
        <v>68</v>
      </c>
      <c r="W409" s="120"/>
      <c r="X409" s="120"/>
      <c r="Y409" s="139">
        <v>0.0</v>
      </c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19"/>
      <c r="AK409" s="120"/>
    </row>
    <row r="410" ht="15.75" customHeight="1">
      <c r="A410" s="126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38" t="s">
        <v>69</v>
      </c>
      <c r="W410" s="120"/>
      <c r="X410" s="120"/>
      <c r="Y410" s="139">
        <v>2600.0</v>
      </c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19"/>
      <c r="AK410" s="120"/>
    </row>
    <row r="411" ht="15.75" customHeight="1">
      <c r="A411" s="126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40" t="s">
        <v>70</v>
      </c>
      <c r="W411" s="120"/>
      <c r="X411" s="120"/>
      <c r="Y411" s="139">
        <v>7500.0</v>
      </c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19"/>
      <c r="AK411" s="120"/>
    </row>
    <row r="412" ht="15.75" customHeight="1">
      <c r="A412" s="126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41" t="s">
        <v>71</v>
      </c>
      <c r="W412" s="120"/>
      <c r="X412" s="120"/>
      <c r="Y412" s="139">
        <v>0.0</v>
      </c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19"/>
      <c r="AK412" s="120"/>
    </row>
    <row r="413" ht="15.75" customHeight="1">
      <c r="A413" s="126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38"/>
      <c r="W413" s="120"/>
      <c r="X413" s="120"/>
      <c r="Y413" s="142">
        <v>0.0</v>
      </c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19"/>
      <c r="AK413" s="120"/>
    </row>
    <row r="414" ht="15.75" customHeight="1">
      <c r="A414" s="126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35" t="s">
        <v>72</v>
      </c>
      <c r="W414" s="120"/>
      <c r="X414" s="120"/>
      <c r="Y414" s="143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19"/>
      <c r="AK414" s="120"/>
    </row>
    <row r="415" ht="15.75" customHeight="1">
      <c r="A415" s="126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38" t="s">
        <v>73</v>
      </c>
      <c r="W415" s="120"/>
      <c r="X415" s="120"/>
      <c r="Y415" s="139">
        <v>0.0</v>
      </c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19"/>
      <c r="AK415" s="120"/>
    </row>
    <row r="416" ht="15.75" customHeight="1">
      <c r="A416" s="126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40" t="s">
        <v>74</v>
      </c>
      <c r="W416" s="120"/>
      <c r="X416" s="120"/>
      <c r="Y416" s="139">
        <v>500.0</v>
      </c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19"/>
      <c r="AK416" s="120"/>
    </row>
    <row r="417" ht="15.75" customHeight="1">
      <c r="A417" s="126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41" t="s">
        <v>75</v>
      </c>
      <c r="W417" s="120"/>
      <c r="X417" s="120"/>
      <c r="Y417" s="142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19"/>
      <c r="AK417" s="120"/>
    </row>
    <row r="418" ht="15.75" customHeight="1">
      <c r="A418" s="126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38"/>
      <c r="W418" s="120"/>
      <c r="X418" s="120"/>
      <c r="Y418" s="144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19"/>
      <c r="AK418" s="120"/>
    </row>
    <row r="419" ht="15.75" customHeight="1">
      <c r="A419" s="126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35" t="s">
        <v>76</v>
      </c>
      <c r="W419" s="120"/>
      <c r="X419" s="120"/>
      <c r="Y419" s="139">
        <v>0.0</v>
      </c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19"/>
      <c r="AK419" s="120"/>
    </row>
    <row r="420" ht="15.75" customHeight="1">
      <c r="A420" s="126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38" t="s">
        <v>77</v>
      </c>
      <c r="W420" s="120"/>
      <c r="X420" s="120"/>
      <c r="Y420" s="139">
        <v>350.0</v>
      </c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19"/>
      <c r="AK420" s="120"/>
    </row>
    <row r="421" ht="15.75" customHeight="1">
      <c r="A421" s="126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38" t="s">
        <v>78</v>
      </c>
      <c r="W421" s="120"/>
      <c r="X421" s="120"/>
      <c r="Y421" s="139">
        <v>350.0</v>
      </c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19"/>
      <c r="AK421" s="120"/>
    </row>
    <row r="422" ht="15.75" customHeight="1">
      <c r="A422" s="126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40" t="s">
        <v>79</v>
      </c>
      <c r="W422" s="120"/>
      <c r="X422" s="120"/>
      <c r="Y422" s="139">
        <v>0.0</v>
      </c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19"/>
      <c r="AK422" s="120"/>
    </row>
    <row r="423" ht="15.75" customHeight="1">
      <c r="A423" s="126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41" t="s">
        <v>80</v>
      </c>
      <c r="W423" s="120"/>
      <c r="X423" s="120"/>
      <c r="Y423" s="139">
        <v>0.0</v>
      </c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19"/>
      <c r="AK423" s="120"/>
    </row>
    <row r="424" ht="15.75" customHeight="1">
      <c r="A424" s="126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38"/>
      <c r="W424" s="120"/>
      <c r="X424" s="120"/>
      <c r="Y424" s="139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19"/>
      <c r="AK424" s="120"/>
    </row>
    <row r="425" ht="15.75" customHeight="1">
      <c r="A425" s="126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45" t="s">
        <v>81</v>
      </c>
      <c r="W425" s="120"/>
      <c r="X425" s="120"/>
      <c r="Y425" s="142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19"/>
      <c r="AK425" s="120"/>
    </row>
    <row r="426" ht="15.75" customHeight="1">
      <c r="A426" s="126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46"/>
      <c r="W426" s="120"/>
      <c r="X426" s="120"/>
      <c r="Y426" s="143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19"/>
      <c r="AK426" s="120"/>
    </row>
    <row r="427" ht="15.75" customHeight="1">
      <c r="A427" s="126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47"/>
      <c r="W427" s="120"/>
      <c r="X427" s="120"/>
      <c r="Y427" s="142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19"/>
      <c r="AK427" s="120"/>
    </row>
    <row r="428" ht="15.75" customHeight="1">
      <c r="A428" s="126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48"/>
      <c r="W428" s="120"/>
      <c r="X428" s="120"/>
      <c r="Y428" s="144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19"/>
      <c r="AK428" s="120"/>
    </row>
    <row r="429" ht="15.75" customHeight="1">
      <c r="A429" s="126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49"/>
      <c r="W429" s="150"/>
      <c r="X429" s="150"/>
      <c r="Y429" s="151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19"/>
      <c r="AK429" s="120"/>
    </row>
    <row r="430" ht="15.75" customHeight="1">
      <c r="A430" s="126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126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126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126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126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126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126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126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126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126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126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126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126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126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126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126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126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126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126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126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126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126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126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126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126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126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126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126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126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126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126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126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126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126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126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126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126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126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126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126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126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126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126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126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126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126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126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126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126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126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126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126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126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126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126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126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126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126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126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126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126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126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126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126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126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126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126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126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126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126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126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126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126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126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126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126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126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126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126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126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126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126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126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126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126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126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126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126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126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126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126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126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126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126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126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126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126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126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126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126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126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126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126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126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126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126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126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126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126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126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126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126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126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126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126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126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126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126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126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126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126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126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126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126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126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126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126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126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126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126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126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126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126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126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126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126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126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126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126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126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126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126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126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126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126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126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126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126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126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126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126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126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126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126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126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126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126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126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126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126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126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126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126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126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126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126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126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126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126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126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126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126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126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126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126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126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126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126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126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126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126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126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126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126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126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126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126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126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126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126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126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126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126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126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126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126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</sheetData>
  <mergeCells count="1788">
    <mergeCell ref="A1:F1"/>
    <mergeCell ref="G1:P1"/>
    <mergeCell ref="Q1:U1"/>
    <mergeCell ref="I3:J3"/>
    <mergeCell ref="K3:L3"/>
    <mergeCell ref="M3:N3"/>
    <mergeCell ref="O3:P3"/>
    <mergeCell ref="M5:N5"/>
    <mergeCell ref="O5:P5"/>
    <mergeCell ref="M6:N6"/>
    <mergeCell ref="O6:P6"/>
    <mergeCell ref="M7:N7"/>
    <mergeCell ref="O7:P7"/>
    <mergeCell ref="G3:H3"/>
    <mergeCell ref="G4:H4"/>
    <mergeCell ref="I4:J4"/>
    <mergeCell ref="K4:L4"/>
    <mergeCell ref="M4:N4"/>
    <mergeCell ref="O4:P4"/>
    <mergeCell ref="G5:H5"/>
    <mergeCell ref="I5:J5"/>
    <mergeCell ref="K5:L5"/>
    <mergeCell ref="G6:H6"/>
    <mergeCell ref="I6:J6"/>
    <mergeCell ref="K6:L6"/>
    <mergeCell ref="I7:J7"/>
    <mergeCell ref="K7:L7"/>
    <mergeCell ref="M9:N9"/>
    <mergeCell ref="O9:P9"/>
    <mergeCell ref="M10:N10"/>
    <mergeCell ref="O10:P10"/>
    <mergeCell ref="M11:N11"/>
    <mergeCell ref="O11:P11"/>
    <mergeCell ref="G7:H7"/>
    <mergeCell ref="G8:H8"/>
    <mergeCell ref="I8:J8"/>
    <mergeCell ref="K8:L8"/>
    <mergeCell ref="M8:N8"/>
    <mergeCell ref="O8:P8"/>
    <mergeCell ref="G9:H9"/>
    <mergeCell ref="I9:J9"/>
    <mergeCell ref="K9:L9"/>
    <mergeCell ref="G10:H10"/>
    <mergeCell ref="I10:J10"/>
    <mergeCell ref="K10:L10"/>
    <mergeCell ref="I11:J11"/>
    <mergeCell ref="K11:L11"/>
    <mergeCell ref="M21:N21"/>
    <mergeCell ref="O21:P21"/>
    <mergeCell ref="G19:H19"/>
    <mergeCell ref="G20:H20"/>
    <mergeCell ref="I20:J20"/>
    <mergeCell ref="K20:L20"/>
    <mergeCell ref="M20:N20"/>
    <mergeCell ref="O20:P20"/>
    <mergeCell ref="G21:H21"/>
    <mergeCell ref="M13:N13"/>
    <mergeCell ref="O13:P13"/>
    <mergeCell ref="M14:N14"/>
    <mergeCell ref="O14:P14"/>
    <mergeCell ref="M15:N15"/>
    <mergeCell ref="O15:P15"/>
    <mergeCell ref="G11:H11"/>
    <mergeCell ref="G12:H12"/>
    <mergeCell ref="I12:J12"/>
    <mergeCell ref="K12:L12"/>
    <mergeCell ref="M12:N12"/>
    <mergeCell ref="O12:P12"/>
    <mergeCell ref="G13:H13"/>
    <mergeCell ref="I13:J13"/>
    <mergeCell ref="K13:L13"/>
    <mergeCell ref="G14:H14"/>
    <mergeCell ref="I14:J14"/>
    <mergeCell ref="K14:L14"/>
    <mergeCell ref="I15:J15"/>
    <mergeCell ref="K15:L15"/>
    <mergeCell ref="M17:N17"/>
    <mergeCell ref="O17:P17"/>
    <mergeCell ref="M18:N18"/>
    <mergeCell ref="O18:P18"/>
    <mergeCell ref="M19:N19"/>
    <mergeCell ref="O19:P19"/>
    <mergeCell ref="G15:H15"/>
    <mergeCell ref="G16:H16"/>
    <mergeCell ref="I16:J16"/>
    <mergeCell ref="K16:L16"/>
    <mergeCell ref="M16:N16"/>
    <mergeCell ref="O16:P16"/>
    <mergeCell ref="G17:H17"/>
    <mergeCell ref="I17:J17"/>
    <mergeCell ref="K17:L17"/>
    <mergeCell ref="G18:H18"/>
    <mergeCell ref="I18:J18"/>
    <mergeCell ref="K18:L18"/>
    <mergeCell ref="I19:J19"/>
    <mergeCell ref="K19:L19"/>
    <mergeCell ref="I21:J21"/>
    <mergeCell ref="K21:L21"/>
    <mergeCell ref="G22:H22"/>
    <mergeCell ref="I22:J22"/>
    <mergeCell ref="K22:L22"/>
    <mergeCell ref="M22:N22"/>
    <mergeCell ref="O22:P22"/>
    <mergeCell ref="M30:N30"/>
    <mergeCell ref="O30:P30"/>
    <mergeCell ref="M31:N31"/>
    <mergeCell ref="O31:P31"/>
    <mergeCell ref="M32:N32"/>
    <mergeCell ref="O32:P32"/>
    <mergeCell ref="I30:J30"/>
    <mergeCell ref="K30:L30"/>
    <mergeCell ref="G31:H31"/>
    <mergeCell ref="I31:J31"/>
    <mergeCell ref="K31:L31"/>
    <mergeCell ref="I32:J32"/>
    <mergeCell ref="K32:L32"/>
    <mergeCell ref="M34:N34"/>
    <mergeCell ref="O34:P34"/>
    <mergeCell ref="G32:H32"/>
    <mergeCell ref="G33:H33"/>
    <mergeCell ref="I33:J33"/>
    <mergeCell ref="K33:L33"/>
    <mergeCell ref="M33:N33"/>
    <mergeCell ref="O33:P33"/>
    <mergeCell ref="G34:H34"/>
    <mergeCell ref="K24:L24"/>
    <mergeCell ref="M24:N24"/>
    <mergeCell ref="G23:H23"/>
    <mergeCell ref="I23:J23"/>
    <mergeCell ref="K23:L23"/>
    <mergeCell ref="M23:N23"/>
    <mergeCell ref="O23:P23"/>
    <mergeCell ref="I24:J24"/>
    <mergeCell ref="O24:P24"/>
    <mergeCell ref="M26:N26"/>
    <mergeCell ref="O26:P26"/>
    <mergeCell ref="M27:N27"/>
    <mergeCell ref="O27:P27"/>
    <mergeCell ref="M28:N28"/>
    <mergeCell ref="O28:P28"/>
    <mergeCell ref="G24:H24"/>
    <mergeCell ref="G25:H25"/>
    <mergeCell ref="I25:J25"/>
    <mergeCell ref="K25:L25"/>
    <mergeCell ref="M25:N25"/>
    <mergeCell ref="O25:P25"/>
    <mergeCell ref="G26:H26"/>
    <mergeCell ref="I26:J26"/>
    <mergeCell ref="K26:L26"/>
    <mergeCell ref="G27:H27"/>
    <mergeCell ref="I27:J27"/>
    <mergeCell ref="K27:L27"/>
    <mergeCell ref="I28:J28"/>
    <mergeCell ref="K28:L28"/>
    <mergeCell ref="G28:H28"/>
    <mergeCell ref="G29:H29"/>
    <mergeCell ref="I29:J29"/>
    <mergeCell ref="K29:L29"/>
    <mergeCell ref="M29:N29"/>
    <mergeCell ref="O29:P29"/>
    <mergeCell ref="G30:H30"/>
    <mergeCell ref="I34:J34"/>
    <mergeCell ref="K34:L34"/>
    <mergeCell ref="G35:H35"/>
    <mergeCell ref="I35:J35"/>
    <mergeCell ref="K35:L35"/>
    <mergeCell ref="M35:N35"/>
    <mergeCell ref="O35:P35"/>
    <mergeCell ref="M43:N43"/>
    <mergeCell ref="O43:P43"/>
    <mergeCell ref="M44:N44"/>
    <mergeCell ref="O44:P44"/>
    <mergeCell ref="M45:N45"/>
    <mergeCell ref="O45:P45"/>
    <mergeCell ref="I43:J43"/>
    <mergeCell ref="K43:L43"/>
    <mergeCell ref="G44:H44"/>
    <mergeCell ref="I44:J44"/>
    <mergeCell ref="K44:L44"/>
    <mergeCell ref="I45:J45"/>
    <mergeCell ref="K45:L45"/>
    <mergeCell ref="M73:N73"/>
    <mergeCell ref="O73:P73"/>
    <mergeCell ref="G71:H71"/>
    <mergeCell ref="G72:H72"/>
    <mergeCell ref="I72:J72"/>
    <mergeCell ref="K72:L72"/>
    <mergeCell ref="M72:N72"/>
    <mergeCell ref="O72:P72"/>
    <mergeCell ref="G73:H73"/>
    <mergeCell ref="K63:L63"/>
    <mergeCell ref="M63:N63"/>
    <mergeCell ref="G62:H62"/>
    <mergeCell ref="I62:J62"/>
    <mergeCell ref="K62:L62"/>
    <mergeCell ref="M62:N62"/>
    <mergeCell ref="O62:P62"/>
    <mergeCell ref="I63:J63"/>
    <mergeCell ref="O63:P63"/>
    <mergeCell ref="M65:N65"/>
    <mergeCell ref="O65:P65"/>
    <mergeCell ref="M66:N66"/>
    <mergeCell ref="O66:P66"/>
    <mergeCell ref="M67:N67"/>
    <mergeCell ref="O67:P67"/>
    <mergeCell ref="G63:H63"/>
    <mergeCell ref="G64:H64"/>
    <mergeCell ref="I64:J64"/>
    <mergeCell ref="K64:L64"/>
    <mergeCell ref="M64:N64"/>
    <mergeCell ref="O64:P64"/>
    <mergeCell ref="G65:H65"/>
    <mergeCell ref="I65:J65"/>
    <mergeCell ref="K65:L65"/>
    <mergeCell ref="G66:H66"/>
    <mergeCell ref="I66:J66"/>
    <mergeCell ref="K66:L66"/>
    <mergeCell ref="I67:J67"/>
    <mergeCell ref="K67:L67"/>
    <mergeCell ref="G67:H67"/>
    <mergeCell ref="G68:H68"/>
    <mergeCell ref="I68:J68"/>
    <mergeCell ref="K68:L68"/>
    <mergeCell ref="M68:N68"/>
    <mergeCell ref="O68:P68"/>
    <mergeCell ref="G69:H69"/>
    <mergeCell ref="I73:J73"/>
    <mergeCell ref="K73:L73"/>
    <mergeCell ref="G74:H74"/>
    <mergeCell ref="I74:J74"/>
    <mergeCell ref="K74:L74"/>
    <mergeCell ref="M74:N74"/>
    <mergeCell ref="O74:P74"/>
    <mergeCell ref="M47:N47"/>
    <mergeCell ref="O47:P47"/>
    <mergeCell ref="G45:H45"/>
    <mergeCell ref="G46:H46"/>
    <mergeCell ref="I46:J46"/>
    <mergeCell ref="K46:L46"/>
    <mergeCell ref="M46:N46"/>
    <mergeCell ref="O46:P46"/>
    <mergeCell ref="G47:H47"/>
    <mergeCell ref="K37:L37"/>
    <mergeCell ref="M37:N37"/>
    <mergeCell ref="G36:H36"/>
    <mergeCell ref="I36:J36"/>
    <mergeCell ref="K36:L36"/>
    <mergeCell ref="M36:N36"/>
    <mergeCell ref="O36:P36"/>
    <mergeCell ref="I37:J37"/>
    <mergeCell ref="O37:P37"/>
    <mergeCell ref="M39:N39"/>
    <mergeCell ref="O39:P39"/>
    <mergeCell ref="M40:N40"/>
    <mergeCell ref="O40:P40"/>
    <mergeCell ref="M41:N41"/>
    <mergeCell ref="O41:P41"/>
    <mergeCell ref="G37:H37"/>
    <mergeCell ref="G38:H38"/>
    <mergeCell ref="I38:J38"/>
    <mergeCell ref="K38:L38"/>
    <mergeCell ref="M38:N38"/>
    <mergeCell ref="O38:P38"/>
    <mergeCell ref="G39:H39"/>
    <mergeCell ref="I39:J39"/>
    <mergeCell ref="K39:L39"/>
    <mergeCell ref="G40:H40"/>
    <mergeCell ref="I40:J40"/>
    <mergeCell ref="K40:L40"/>
    <mergeCell ref="I41:J41"/>
    <mergeCell ref="K41:L41"/>
    <mergeCell ref="G41:H41"/>
    <mergeCell ref="G42:H42"/>
    <mergeCell ref="I42:J42"/>
    <mergeCell ref="K42:L42"/>
    <mergeCell ref="M42:N42"/>
    <mergeCell ref="O42:P42"/>
    <mergeCell ref="G43:H43"/>
    <mergeCell ref="I47:J47"/>
    <mergeCell ref="K47:L47"/>
    <mergeCell ref="G48:H48"/>
    <mergeCell ref="I48:J48"/>
    <mergeCell ref="K48:L48"/>
    <mergeCell ref="M48:N48"/>
    <mergeCell ref="O48:P48"/>
    <mergeCell ref="M56:N56"/>
    <mergeCell ref="O56:P56"/>
    <mergeCell ref="M57:N57"/>
    <mergeCell ref="O57:P57"/>
    <mergeCell ref="M58:N58"/>
    <mergeCell ref="O58:P58"/>
    <mergeCell ref="I56:J56"/>
    <mergeCell ref="K56:L56"/>
    <mergeCell ref="G57:H57"/>
    <mergeCell ref="I57:J57"/>
    <mergeCell ref="K57:L57"/>
    <mergeCell ref="I58:J58"/>
    <mergeCell ref="K58:L58"/>
    <mergeCell ref="M60:N60"/>
    <mergeCell ref="O60:P60"/>
    <mergeCell ref="G58:H58"/>
    <mergeCell ref="G59:H59"/>
    <mergeCell ref="I59:J59"/>
    <mergeCell ref="K59:L59"/>
    <mergeCell ref="M59:N59"/>
    <mergeCell ref="O59:P59"/>
    <mergeCell ref="G60:H60"/>
    <mergeCell ref="K50:L50"/>
    <mergeCell ref="M50:N50"/>
    <mergeCell ref="G49:H49"/>
    <mergeCell ref="I49:J49"/>
    <mergeCell ref="K49:L49"/>
    <mergeCell ref="M49:N49"/>
    <mergeCell ref="O49:P49"/>
    <mergeCell ref="I50:J50"/>
    <mergeCell ref="O50:P50"/>
    <mergeCell ref="M52:N52"/>
    <mergeCell ref="O52:P52"/>
    <mergeCell ref="M53:N53"/>
    <mergeCell ref="O53:P53"/>
    <mergeCell ref="M54:N54"/>
    <mergeCell ref="O54:P54"/>
    <mergeCell ref="G50:H50"/>
    <mergeCell ref="G51:H51"/>
    <mergeCell ref="I51:J51"/>
    <mergeCell ref="K51:L51"/>
    <mergeCell ref="M51:N51"/>
    <mergeCell ref="O51:P51"/>
    <mergeCell ref="G52:H52"/>
    <mergeCell ref="I52:J52"/>
    <mergeCell ref="K52:L52"/>
    <mergeCell ref="G53:H53"/>
    <mergeCell ref="I53:J53"/>
    <mergeCell ref="K53:L53"/>
    <mergeCell ref="I54:J54"/>
    <mergeCell ref="K54:L54"/>
    <mergeCell ref="G54:H54"/>
    <mergeCell ref="G55:H55"/>
    <mergeCell ref="I55:J55"/>
    <mergeCell ref="K55:L55"/>
    <mergeCell ref="M55:N55"/>
    <mergeCell ref="O55:P55"/>
    <mergeCell ref="G56:H56"/>
    <mergeCell ref="I60:J60"/>
    <mergeCell ref="K60:L60"/>
    <mergeCell ref="G61:H61"/>
    <mergeCell ref="I61:J61"/>
    <mergeCell ref="K61:L61"/>
    <mergeCell ref="M61:N61"/>
    <mergeCell ref="O61:P61"/>
    <mergeCell ref="M69:N69"/>
    <mergeCell ref="O69:P69"/>
    <mergeCell ref="M70:N70"/>
    <mergeCell ref="O70:P70"/>
    <mergeCell ref="M71:N71"/>
    <mergeCell ref="O71:P71"/>
    <mergeCell ref="I69:J69"/>
    <mergeCell ref="K69:L69"/>
    <mergeCell ref="G70:H70"/>
    <mergeCell ref="I70:J70"/>
    <mergeCell ref="K70:L70"/>
    <mergeCell ref="I71:J71"/>
    <mergeCell ref="K71:L71"/>
    <mergeCell ref="M82:N82"/>
    <mergeCell ref="O82:P82"/>
    <mergeCell ref="M83:N83"/>
    <mergeCell ref="O83:P83"/>
    <mergeCell ref="M84:N84"/>
    <mergeCell ref="O84:P84"/>
    <mergeCell ref="I82:J82"/>
    <mergeCell ref="K82:L82"/>
    <mergeCell ref="G83:H83"/>
    <mergeCell ref="I83:J83"/>
    <mergeCell ref="K83:L83"/>
    <mergeCell ref="I84:J84"/>
    <mergeCell ref="K84:L84"/>
    <mergeCell ref="M112:N112"/>
    <mergeCell ref="O112:P112"/>
    <mergeCell ref="G110:H110"/>
    <mergeCell ref="G111:H111"/>
    <mergeCell ref="I111:J111"/>
    <mergeCell ref="K111:L111"/>
    <mergeCell ref="M111:N111"/>
    <mergeCell ref="O111:P111"/>
    <mergeCell ref="G112:H112"/>
    <mergeCell ref="K102:L102"/>
    <mergeCell ref="M102:N102"/>
    <mergeCell ref="G101:H101"/>
    <mergeCell ref="I101:J101"/>
    <mergeCell ref="K101:L101"/>
    <mergeCell ref="M101:N101"/>
    <mergeCell ref="O101:P101"/>
    <mergeCell ref="I102:J102"/>
    <mergeCell ref="O102:P102"/>
    <mergeCell ref="M104:N104"/>
    <mergeCell ref="O104:P104"/>
    <mergeCell ref="M105:N105"/>
    <mergeCell ref="O105:P105"/>
    <mergeCell ref="M106:N106"/>
    <mergeCell ref="O106:P106"/>
    <mergeCell ref="G102:H102"/>
    <mergeCell ref="G103:H103"/>
    <mergeCell ref="I103:J103"/>
    <mergeCell ref="K103:L103"/>
    <mergeCell ref="M103:N103"/>
    <mergeCell ref="O103:P103"/>
    <mergeCell ref="G104:H104"/>
    <mergeCell ref="I104:J104"/>
    <mergeCell ref="K104:L104"/>
    <mergeCell ref="G105:H105"/>
    <mergeCell ref="I105:J105"/>
    <mergeCell ref="K105:L105"/>
    <mergeCell ref="I106:J106"/>
    <mergeCell ref="K106:L106"/>
    <mergeCell ref="G106:H106"/>
    <mergeCell ref="G107:H107"/>
    <mergeCell ref="I107:J107"/>
    <mergeCell ref="K107:L107"/>
    <mergeCell ref="M107:N107"/>
    <mergeCell ref="O107:P107"/>
    <mergeCell ref="G108:H108"/>
    <mergeCell ref="I112:J112"/>
    <mergeCell ref="K112:L112"/>
    <mergeCell ref="G113:H113"/>
    <mergeCell ref="I113:J113"/>
    <mergeCell ref="K113:L113"/>
    <mergeCell ref="M113:N113"/>
    <mergeCell ref="O113:P113"/>
    <mergeCell ref="M86:N86"/>
    <mergeCell ref="O86:P86"/>
    <mergeCell ref="G84:H84"/>
    <mergeCell ref="G85:H85"/>
    <mergeCell ref="I85:J85"/>
    <mergeCell ref="K85:L85"/>
    <mergeCell ref="M85:N85"/>
    <mergeCell ref="O85:P85"/>
    <mergeCell ref="G86:H86"/>
    <mergeCell ref="K76:L76"/>
    <mergeCell ref="M76:N76"/>
    <mergeCell ref="G75:H75"/>
    <mergeCell ref="I75:J75"/>
    <mergeCell ref="K75:L75"/>
    <mergeCell ref="M75:N75"/>
    <mergeCell ref="O75:P75"/>
    <mergeCell ref="I76:J76"/>
    <mergeCell ref="O76:P76"/>
    <mergeCell ref="M78:N78"/>
    <mergeCell ref="O78:P78"/>
    <mergeCell ref="M79:N79"/>
    <mergeCell ref="O79:P79"/>
    <mergeCell ref="M80:N80"/>
    <mergeCell ref="O80:P80"/>
    <mergeCell ref="G76:H76"/>
    <mergeCell ref="G77:H77"/>
    <mergeCell ref="I77:J77"/>
    <mergeCell ref="K77:L77"/>
    <mergeCell ref="M77:N77"/>
    <mergeCell ref="O77:P77"/>
    <mergeCell ref="G78:H78"/>
    <mergeCell ref="I78:J78"/>
    <mergeCell ref="K78:L78"/>
    <mergeCell ref="G79:H79"/>
    <mergeCell ref="I79:J79"/>
    <mergeCell ref="K79:L79"/>
    <mergeCell ref="I80:J80"/>
    <mergeCell ref="K80:L80"/>
    <mergeCell ref="G80:H80"/>
    <mergeCell ref="G81:H81"/>
    <mergeCell ref="I81:J81"/>
    <mergeCell ref="K81:L81"/>
    <mergeCell ref="M81:N81"/>
    <mergeCell ref="O81:P81"/>
    <mergeCell ref="G82:H82"/>
    <mergeCell ref="I86:J86"/>
    <mergeCell ref="K86:L86"/>
    <mergeCell ref="G87:H87"/>
    <mergeCell ref="I87:J87"/>
    <mergeCell ref="K87:L87"/>
    <mergeCell ref="M87:N87"/>
    <mergeCell ref="O87:P87"/>
    <mergeCell ref="M95:N95"/>
    <mergeCell ref="O95:P95"/>
    <mergeCell ref="M96:N96"/>
    <mergeCell ref="O96:P96"/>
    <mergeCell ref="M97:N97"/>
    <mergeCell ref="O97:P97"/>
    <mergeCell ref="I95:J95"/>
    <mergeCell ref="K95:L95"/>
    <mergeCell ref="G96:H96"/>
    <mergeCell ref="I96:J96"/>
    <mergeCell ref="K96:L96"/>
    <mergeCell ref="I97:J97"/>
    <mergeCell ref="K97:L97"/>
    <mergeCell ref="M99:N99"/>
    <mergeCell ref="O99:P99"/>
    <mergeCell ref="G97:H97"/>
    <mergeCell ref="G98:H98"/>
    <mergeCell ref="I98:J98"/>
    <mergeCell ref="K98:L98"/>
    <mergeCell ref="M98:N98"/>
    <mergeCell ref="O98:P98"/>
    <mergeCell ref="G99:H99"/>
    <mergeCell ref="K89:L89"/>
    <mergeCell ref="M89:N89"/>
    <mergeCell ref="G88:H88"/>
    <mergeCell ref="I88:J88"/>
    <mergeCell ref="K88:L88"/>
    <mergeCell ref="M88:N88"/>
    <mergeCell ref="O88:P88"/>
    <mergeCell ref="I89:J89"/>
    <mergeCell ref="O89:P89"/>
    <mergeCell ref="M91:N91"/>
    <mergeCell ref="O91:P91"/>
    <mergeCell ref="M92:N92"/>
    <mergeCell ref="O92:P92"/>
    <mergeCell ref="M93:N93"/>
    <mergeCell ref="O93:P93"/>
    <mergeCell ref="G89:H89"/>
    <mergeCell ref="G90:H90"/>
    <mergeCell ref="I90:J90"/>
    <mergeCell ref="K90:L90"/>
    <mergeCell ref="M90:N90"/>
    <mergeCell ref="O90:P90"/>
    <mergeCell ref="G91:H91"/>
    <mergeCell ref="I91:J91"/>
    <mergeCell ref="K91:L91"/>
    <mergeCell ref="G92:H92"/>
    <mergeCell ref="I92:J92"/>
    <mergeCell ref="K92:L92"/>
    <mergeCell ref="I93:J93"/>
    <mergeCell ref="K93:L93"/>
    <mergeCell ref="G93:H93"/>
    <mergeCell ref="G94:H94"/>
    <mergeCell ref="I94:J94"/>
    <mergeCell ref="K94:L94"/>
    <mergeCell ref="M94:N94"/>
    <mergeCell ref="O94:P94"/>
    <mergeCell ref="G95:H95"/>
    <mergeCell ref="I99:J99"/>
    <mergeCell ref="K99:L99"/>
    <mergeCell ref="G100:H100"/>
    <mergeCell ref="I100:J100"/>
    <mergeCell ref="K100:L100"/>
    <mergeCell ref="M100:N100"/>
    <mergeCell ref="O100:P100"/>
    <mergeCell ref="M108:N108"/>
    <mergeCell ref="O108:P108"/>
    <mergeCell ref="M109:N109"/>
    <mergeCell ref="O109:P109"/>
    <mergeCell ref="M110:N110"/>
    <mergeCell ref="O110:P110"/>
    <mergeCell ref="I108:J108"/>
    <mergeCell ref="K108:L108"/>
    <mergeCell ref="G109:H109"/>
    <mergeCell ref="I109:J109"/>
    <mergeCell ref="K109:L109"/>
    <mergeCell ref="I110:J110"/>
    <mergeCell ref="K110:L110"/>
    <mergeCell ref="M121:N121"/>
    <mergeCell ref="O121:P121"/>
    <mergeCell ref="M122:N122"/>
    <mergeCell ref="O122:P122"/>
    <mergeCell ref="M123:N123"/>
    <mergeCell ref="O123:P123"/>
    <mergeCell ref="I121:J121"/>
    <mergeCell ref="K121:L121"/>
    <mergeCell ref="G122:H122"/>
    <mergeCell ref="I122:J122"/>
    <mergeCell ref="K122:L122"/>
    <mergeCell ref="I123:J123"/>
    <mergeCell ref="K123:L123"/>
    <mergeCell ref="M151:N151"/>
    <mergeCell ref="O151:P151"/>
    <mergeCell ref="G149:H149"/>
    <mergeCell ref="G150:H150"/>
    <mergeCell ref="I150:J150"/>
    <mergeCell ref="K150:L150"/>
    <mergeCell ref="M150:N150"/>
    <mergeCell ref="O150:P150"/>
    <mergeCell ref="G151:H151"/>
    <mergeCell ref="K141:L141"/>
    <mergeCell ref="M141:N141"/>
    <mergeCell ref="G140:H140"/>
    <mergeCell ref="I140:J140"/>
    <mergeCell ref="K140:L140"/>
    <mergeCell ref="M140:N140"/>
    <mergeCell ref="O140:P140"/>
    <mergeCell ref="I141:J141"/>
    <mergeCell ref="O141:P141"/>
    <mergeCell ref="M143:N143"/>
    <mergeCell ref="O143:P143"/>
    <mergeCell ref="M144:N144"/>
    <mergeCell ref="O144:P144"/>
    <mergeCell ref="M145:N145"/>
    <mergeCell ref="O145:P145"/>
    <mergeCell ref="G141:H141"/>
    <mergeCell ref="G142:H142"/>
    <mergeCell ref="I142:J142"/>
    <mergeCell ref="K142:L142"/>
    <mergeCell ref="M142:N142"/>
    <mergeCell ref="O142:P142"/>
    <mergeCell ref="G143:H143"/>
    <mergeCell ref="I143:J143"/>
    <mergeCell ref="K143:L143"/>
    <mergeCell ref="G144:H144"/>
    <mergeCell ref="I144:J144"/>
    <mergeCell ref="K144:L144"/>
    <mergeCell ref="I145:J145"/>
    <mergeCell ref="K145:L145"/>
    <mergeCell ref="G145:H145"/>
    <mergeCell ref="G146:H146"/>
    <mergeCell ref="I146:J146"/>
    <mergeCell ref="K146:L146"/>
    <mergeCell ref="M146:N146"/>
    <mergeCell ref="O146:P146"/>
    <mergeCell ref="G147:H147"/>
    <mergeCell ref="I151:J151"/>
    <mergeCell ref="K151:L151"/>
    <mergeCell ref="G152:H152"/>
    <mergeCell ref="I152:J152"/>
    <mergeCell ref="K152:L152"/>
    <mergeCell ref="M152:N152"/>
    <mergeCell ref="O152:P152"/>
    <mergeCell ref="M125:N125"/>
    <mergeCell ref="O125:P125"/>
    <mergeCell ref="G123:H123"/>
    <mergeCell ref="G124:H124"/>
    <mergeCell ref="I124:J124"/>
    <mergeCell ref="K124:L124"/>
    <mergeCell ref="M124:N124"/>
    <mergeCell ref="O124:P124"/>
    <mergeCell ref="G125:H125"/>
    <mergeCell ref="K115:L115"/>
    <mergeCell ref="M115:N115"/>
    <mergeCell ref="G114:H114"/>
    <mergeCell ref="I114:J114"/>
    <mergeCell ref="K114:L114"/>
    <mergeCell ref="M114:N114"/>
    <mergeCell ref="O114:P114"/>
    <mergeCell ref="I115:J115"/>
    <mergeCell ref="O115:P115"/>
    <mergeCell ref="M117:N117"/>
    <mergeCell ref="O117:P117"/>
    <mergeCell ref="M118:N118"/>
    <mergeCell ref="O118:P118"/>
    <mergeCell ref="M119:N119"/>
    <mergeCell ref="O119:P119"/>
    <mergeCell ref="G115:H115"/>
    <mergeCell ref="G116:H116"/>
    <mergeCell ref="I116:J116"/>
    <mergeCell ref="K116:L116"/>
    <mergeCell ref="M116:N116"/>
    <mergeCell ref="O116:P116"/>
    <mergeCell ref="G117:H117"/>
    <mergeCell ref="I117:J117"/>
    <mergeCell ref="K117:L117"/>
    <mergeCell ref="G118:H118"/>
    <mergeCell ref="I118:J118"/>
    <mergeCell ref="K118:L118"/>
    <mergeCell ref="I119:J119"/>
    <mergeCell ref="K119:L119"/>
    <mergeCell ref="G119:H119"/>
    <mergeCell ref="G120:H120"/>
    <mergeCell ref="I120:J120"/>
    <mergeCell ref="K120:L120"/>
    <mergeCell ref="M120:N120"/>
    <mergeCell ref="O120:P120"/>
    <mergeCell ref="G121:H121"/>
    <mergeCell ref="I125:J125"/>
    <mergeCell ref="K125:L125"/>
    <mergeCell ref="G126:H126"/>
    <mergeCell ref="I126:J126"/>
    <mergeCell ref="K126:L126"/>
    <mergeCell ref="M126:N126"/>
    <mergeCell ref="O126:P126"/>
    <mergeCell ref="M134:N134"/>
    <mergeCell ref="O134:P134"/>
    <mergeCell ref="M135:N135"/>
    <mergeCell ref="O135:P135"/>
    <mergeCell ref="M136:N136"/>
    <mergeCell ref="O136:P136"/>
    <mergeCell ref="I134:J134"/>
    <mergeCell ref="K134:L134"/>
    <mergeCell ref="G135:H135"/>
    <mergeCell ref="I135:J135"/>
    <mergeCell ref="K135:L135"/>
    <mergeCell ref="I136:J136"/>
    <mergeCell ref="K136:L136"/>
    <mergeCell ref="M138:N138"/>
    <mergeCell ref="O138:P138"/>
    <mergeCell ref="G136:H136"/>
    <mergeCell ref="G137:H137"/>
    <mergeCell ref="I137:J137"/>
    <mergeCell ref="K137:L137"/>
    <mergeCell ref="M137:N137"/>
    <mergeCell ref="O137:P137"/>
    <mergeCell ref="G138:H138"/>
    <mergeCell ref="K128:L128"/>
    <mergeCell ref="M128:N128"/>
    <mergeCell ref="G127:H127"/>
    <mergeCell ref="I127:J127"/>
    <mergeCell ref="K127:L127"/>
    <mergeCell ref="M127:N127"/>
    <mergeCell ref="O127:P127"/>
    <mergeCell ref="I128:J128"/>
    <mergeCell ref="O128:P128"/>
    <mergeCell ref="M130:N130"/>
    <mergeCell ref="O130:P130"/>
    <mergeCell ref="M131:N131"/>
    <mergeCell ref="O131:P131"/>
    <mergeCell ref="M132:N132"/>
    <mergeCell ref="O132:P132"/>
    <mergeCell ref="G128:H128"/>
    <mergeCell ref="G129:H129"/>
    <mergeCell ref="I129:J129"/>
    <mergeCell ref="K129:L129"/>
    <mergeCell ref="M129:N129"/>
    <mergeCell ref="O129:P129"/>
    <mergeCell ref="G130:H130"/>
    <mergeCell ref="I130:J130"/>
    <mergeCell ref="K130:L130"/>
    <mergeCell ref="G131:H131"/>
    <mergeCell ref="I131:J131"/>
    <mergeCell ref="K131:L131"/>
    <mergeCell ref="I132:J132"/>
    <mergeCell ref="K132:L132"/>
    <mergeCell ref="G132:H132"/>
    <mergeCell ref="G133:H133"/>
    <mergeCell ref="I133:J133"/>
    <mergeCell ref="K133:L133"/>
    <mergeCell ref="M133:N133"/>
    <mergeCell ref="O133:P133"/>
    <mergeCell ref="G134:H134"/>
    <mergeCell ref="I138:J138"/>
    <mergeCell ref="K138:L138"/>
    <mergeCell ref="G139:H139"/>
    <mergeCell ref="I139:J139"/>
    <mergeCell ref="K139:L139"/>
    <mergeCell ref="M139:N139"/>
    <mergeCell ref="O139:P139"/>
    <mergeCell ref="M147:N147"/>
    <mergeCell ref="O147:P147"/>
    <mergeCell ref="M148:N148"/>
    <mergeCell ref="O148:P148"/>
    <mergeCell ref="M149:N149"/>
    <mergeCell ref="O149:P149"/>
    <mergeCell ref="I147:J147"/>
    <mergeCell ref="K147:L147"/>
    <mergeCell ref="G148:H148"/>
    <mergeCell ref="I148:J148"/>
    <mergeCell ref="K148:L148"/>
    <mergeCell ref="I149:J149"/>
    <mergeCell ref="K149:L149"/>
    <mergeCell ref="M160:N160"/>
    <mergeCell ref="O160:P160"/>
    <mergeCell ref="M161:N161"/>
    <mergeCell ref="O161:P161"/>
    <mergeCell ref="M162:N162"/>
    <mergeCell ref="O162:P162"/>
    <mergeCell ref="I160:J160"/>
    <mergeCell ref="K160:L160"/>
    <mergeCell ref="G161:H161"/>
    <mergeCell ref="I161:J161"/>
    <mergeCell ref="K161:L161"/>
    <mergeCell ref="I162:J162"/>
    <mergeCell ref="K162:L162"/>
    <mergeCell ref="M307:N307"/>
    <mergeCell ref="O307:P307"/>
    <mergeCell ref="G305:H305"/>
    <mergeCell ref="G306:H306"/>
    <mergeCell ref="I306:J306"/>
    <mergeCell ref="K306:L306"/>
    <mergeCell ref="M306:N306"/>
    <mergeCell ref="O306:P306"/>
    <mergeCell ref="G307:H307"/>
    <mergeCell ref="K297:L297"/>
    <mergeCell ref="M297:N297"/>
    <mergeCell ref="G296:H296"/>
    <mergeCell ref="I296:J296"/>
    <mergeCell ref="K296:L296"/>
    <mergeCell ref="M296:N296"/>
    <mergeCell ref="O296:P296"/>
    <mergeCell ref="I297:J297"/>
    <mergeCell ref="O297:P297"/>
    <mergeCell ref="M299:N299"/>
    <mergeCell ref="O299:P299"/>
    <mergeCell ref="M300:N300"/>
    <mergeCell ref="O300:P300"/>
    <mergeCell ref="M301:N301"/>
    <mergeCell ref="O301:P301"/>
    <mergeCell ref="G297:H297"/>
    <mergeCell ref="G298:H298"/>
    <mergeCell ref="I298:J298"/>
    <mergeCell ref="K298:L298"/>
    <mergeCell ref="M298:N298"/>
    <mergeCell ref="O298:P298"/>
    <mergeCell ref="G299:H299"/>
    <mergeCell ref="I299:J299"/>
    <mergeCell ref="K299:L299"/>
    <mergeCell ref="G300:H300"/>
    <mergeCell ref="I300:J300"/>
    <mergeCell ref="K300:L300"/>
    <mergeCell ref="I301:J301"/>
    <mergeCell ref="K301:L301"/>
    <mergeCell ref="G301:H301"/>
    <mergeCell ref="G302:H302"/>
    <mergeCell ref="I302:J302"/>
    <mergeCell ref="K302:L302"/>
    <mergeCell ref="M302:N302"/>
    <mergeCell ref="O302:P302"/>
    <mergeCell ref="G303:H303"/>
    <mergeCell ref="I307:J307"/>
    <mergeCell ref="K307:L307"/>
    <mergeCell ref="G308:H308"/>
    <mergeCell ref="I308:J308"/>
    <mergeCell ref="K308:L308"/>
    <mergeCell ref="M308:N308"/>
    <mergeCell ref="O308:P308"/>
    <mergeCell ref="M281:N281"/>
    <mergeCell ref="O281:P281"/>
    <mergeCell ref="G279:H279"/>
    <mergeCell ref="G280:H280"/>
    <mergeCell ref="I280:J280"/>
    <mergeCell ref="K280:L280"/>
    <mergeCell ref="M280:N280"/>
    <mergeCell ref="O280:P280"/>
    <mergeCell ref="G281:H281"/>
    <mergeCell ref="K271:L271"/>
    <mergeCell ref="M271:N271"/>
    <mergeCell ref="G270:H270"/>
    <mergeCell ref="I270:J270"/>
    <mergeCell ref="K270:L270"/>
    <mergeCell ref="M270:N270"/>
    <mergeCell ref="O270:P270"/>
    <mergeCell ref="I271:J271"/>
    <mergeCell ref="O271:P271"/>
    <mergeCell ref="M273:N273"/>
    <mergeCell ref="O273:P273"/>
    <mergeCell ref="M274:N274"/>
    <mergeCell ref="O274:P274"/>
    <mergeCell ref="M275:N275"/>
    <mergeCell ref="O275:P275"/>
    <mergeCell ref="G271:H271"/>
    <mergeCell ref="G272:H272"/>
    <mergeCell ref="I272:J272"/>
    <mergeCell ref="K272:L272"/>
    <mergeCell ref="M272:N272"/>
    <mergeCell ref="O272:P272"/>
    <mergeCell ref="G273:H273"/>
    <mergeCell ref="I273:J273"/>
    <mergeCell ref="K273:L273"/>
    <mergeCell ref="G274:H274"/>
    <mergeCell ref="I274:J274"/>
    <mergeCell ref="K274:L274"/>
    <mergeCell ref="I275:J275"/>
    <mergeCell ref="K275:L275"/>
    <mergeCell ref="G275:H275"/>
    <mergeCell ref="G276:H276"/>
    <mergeCell ref="I276:J276"/>
    <mergeCell ref="K276:L276"/>
    <mergeCell ref="M276:N276"/>
    <mergeCell ref="O276:P276"/>
    <mergeCell ref="G277:H277"/>
    <mergeCell ref="I281:J281"/>
    <mergeCell ref="K281:L281"/>
    <mergeCell ref="G282:H282"/>
    <mergeCell ref="I282:J282"/>
    <mergeCell ref="K282:L282"/>
    <mergeCell ref="M282:N282"/>
    <mergeCell ref="O282:P282"/>
    <mergeCell ref="M290:N290"/>
    <mergeCell ref="O290:P290"/>
    <mergeCell ref="M291:N291"/>
    <mergeCell ref="O291:P291"/>
    <mergeCell ref="M292:N292"/>
    <mergeCell ref="O292:P292"/>
    <mergeCell ref="I290:J290"/>
    <mergeCell ref="K290:L290"/>
    <mergeCell ref="G291:H291"/>
    <mergeCell ref="I291:J291"/>
    <mergeCell ref="K291:L291"/>
    <mergeCell ref="I292:J292"/>
    <mergeCell ref="K292:L292"/>
    <mergeCell ref="M294:N294"/>
    <mergeCell ref="O294:P294"/>
    <mergeCell ref="G292:H292"/>
    <mergeCell ref="G293:H293"/>
    <mergeCell ref="I293:J293"/>
    <mergeCell ref="K293:L293"/>
    <mergeCell ref="M293:N293"/>
    <mergeCell ref="O293:P293"/>
    <mergeCell ref="G294:H294"/>
    <mergeCell ref="K284:L284"/>
    <mergeCell ref="M284:N284"/>
    <mergeCell ref="G283:H283"/>
    <mergeCell ref="I283:J283"/>
    <mergeCell ref="K283:L283"/>
    <mergeCell ref="M283:N283"/>
    <mergeCell ref="O283:P283"/>
    <mergeCell ref="I284:J284"/>
    <mergeCell ref="O284:P284"/>
    <mergeCell ref="M286:N286"/>
    <mergeCell ref="O286:P286"/>
    <mergeCell ref="M287:N287"/>
    <mergeCell ref="O287:P287"/>
    <mergeCell ref="M288:N288"/>
    <mergeCell ref="O288:P288"/>
    <mergeCell ref="G284:H284"/>
    <mergeCell ref="G285:H285"/>
    <mergeCell ref="I285:J285"/>
    <mergeCell ref="K285:L285"/>
    <mergeCell ref="M285:N285"/>
    <mergeCell ref="O285:P285"/>
    <mergeCell ref="G286:H286"/>
    <mergeCell ref="I286:J286"/>
    <mergeCell ref="K286:L286"/>
    <mergeCell ref="G287:H287"/>
    <mergeCell ref="I287:J287"/>
    <mergeCell ref="K287:L287"/>
    <mergeCell ref="I288:J288"/>
    <mergeCell ref="K288:L288"/>
    <mergeCell ref="G288:H288"/>
    <mergeCell ref="G289:H289"/>
    <mergeCell ref="I289:J289"/>
    <mergeCell ref="K289:L289"/>
    <mergeCell ref="M289:N289"/>
    <mergeCell ref="O289:P289"/>
    <mergeCell ref="G290:H290"/>
    <mergeCell ref="I294:J294"/>
    <mergeCell ref="K294:L294"/>
    <mergeCell ref="G295:H295"/>
    <mergeCell ref="I295:J295"/>
    <mergeCell ref="K295:L295"/>
    <mergeCell ref="M295:N295"/>
    <mergeCell ref="O295:P295"/>
    <mergeCell ref="M303:N303"/>
    <mergeCell ref="O303:P303"/>
    <mergeCell ref="M304:N304"/>
    <mergeCell ref="O304:P304"/>
    <mergeCell ref="M305:N305"/>
    <mergeCell ref="O305:P305"/>
    <mergeCell ref="I303:J303"/>
    <mergeCell ref="K303:L303"/>
    <mergeCell ref="G304:H304"/>
    <mergeCell ref="I304:J304"/>
    <mergeCell ref="K304:L304"/>
    <mergeCell ref="I305:J305"/>
    <mergeCell ref="K305:L305"/>
    <mergeCell ref="M316:N316"/>
    <mergeCell ref="O316:P316"/>
    <mergeCell ref="M317:N317"/>
    <mergeCell ref="O317:P317"/>
    <mergeCell ref="M318:N318"/>
    <mergeCell ref="O318:P318"/>
    <mergeCell ref="I316:J316"/>
    <mergeCell ref="K316:L316"/>
    <mergeCell ref="G317:H317"/>
    <mergeCell ref="I317:J317"/>
    <mergeCell ref="K317:L317"/>
    <mergeCell ref="I318:J318"/>
    <mergeCell ref="K318:L318"/>
    <mergeCell ref="M346:N346"/>
    <mergeCell ref="O346:P346"/>
    <mergeCell ref="G344:H344"/>
    <mergeCell ref="G345:H345"/>
    <mergeCell ref="I345:J345"/>
    <mergeCell ref="K345:L345"/>
    <mergeCell ref="M345:N345"/>
    <mergeCell ref="O345:P345"/>
    <mergeCell ref="G346:H346"/>
    <mergeCell ref="K336:L336"/>
    <mergeCell ref="M336:N336"/>
    <mergeCell ref="G335:H335"/>
    <mergeCell ref="I335:J335"/>
    <mergeCell ref="K335:L335"/>
    <mergeCell ref="M335:N335"/>
    <mergeCell ref="O335:P335"/>
    <mergeCell ref="I336:J336"/>
    <mergeCell ref="O336:P336"/>
    <mergeCell ref="M338:N338"/>
    <mergeCell ref="O338:P338"/>
    <mergeCell ref="M339:N339"/>
    <mergeCell ref="O339:P339"/>
    <mergeCell ref="M340:N340"/>
    <mergeCell ref="O340:P340"/>
    <mergeCell ref="G336:H336"/>
    <mergeCell ref="G337:H337"/>
    <mergeCell ref="I337:J337"/>
    <mergeCell ref="K337:L337"/>
    <mergeCell ref="M337:N337"/>
    <mergeCell ref="O337:P337"/>
    <mergeCell ref="G338:H338"/>
    <mergeCell ref="I338:J338"/>
    <mergeCell ref="K338:L338"/>
    <mergeCell ref="G339:H339"/>
    <mergeCell ref="I339:J339"/>
    <mergeCell ref="K339:L339"/>
    <mergeCell ref="I340:J340"/>
    <mergeCell ref="K340:L340"/>
    <mergeCell ref="G340:H340"/>
    <mergeCell ref="G341:H341"/>
    <mergeCell ref="I341:J341"/>
    <mergeCell ref="K341:L341"/>
    <mergeCell ref="M341:N341"/>
    <mergeCell ref="O341:P341"/>
    <mergeCell ref="G342:H342"/>
    <mergeCell ref="I346:J346"/>
    <mergeCell ref="K346:L346"/>
    <mergeCell ref="G347:H347"/>
    <mergeCell ref="I347:J347"/>
    <mergeCell ref="K347:L347"/>
    <mergeCell ref="M347:N347"/>
    <mergeCell ref="O347:P347"/>
    <mergeCell ref="M320:N320"/>
    <mergeCell ref="O320:P320"/>
    <mergeCell ref="G318:H318"/>
    <mergeCell ref="G319:H319"/>
    <mergeCell ref="I319:J319"/>
    <mergeCell ref="K319:L319"/>
    <mergeCell ref="M319:N319"/>
    <mergeCell ref="O319:P319"/>
    <mergeCell ref="G320:H320"/>
    <mergeCell ref="K310:L310"/>
    <mergeCell ref="M310:N310"/>
    <mergeCell ref="G309:H309"/>
    <mergeCell ref="I309:J309"/>
    <mergeCell ref="K309:L309"/>
    <mergeCell ref="M309:N309"/>
    <mergeCell ref="O309:P309"/>
    <mergeCell ref="I310:J310"/>
    <mergeCell ref="O310:P310"/>
    <mergeCell ref="M312:N312"/>
    <mergeCell ref="O312:P312"/>
    <mergeCell ref="M313:N313"/>
    <mergeCell ref="O313:P313"/>
    <mergeCell ref="M314:N314"/>
    <mergeCell ref="O314:P314"/>
    <mergeCell ref="G310:H310"/>
    <mergeCell ref="G311:H311"/>
    <mergeCell ref="I311:J311"/>
    <mergeCell ref="K311:L311"/>
    <mergeCell ref="M311:N311"/>
    <mergeCell ref="O311:P311"/>
    <mergeCell ref="G312:H312"/>
    <mergeCell ref="I312:J312"/>
    <mergeCell ref="K312:L312"/>
    <mergeCell ref="G313:H313"/>
    <mergeCell ref="I313:J313"/>
    <mergeCell ref="K313:L313"/>
    <mergeCell ref="I314:J314"/>
    <mergeCell ref="K314:L314"/>
    <mergeCell ref="G314:H314"/>
    <mergeCell ref="G315:H315"/>
    <mergeCell ref="I315:J315"/>
    <mergeCell ref="K315:L315"/>
    <mergeCell ref="M315:N315"/>
    <mergeCell ref="O315:P315"/>
    <mergeCell ref="G316:H316"/>
    <mergeCell ref="I320:J320"/>
    <mergeCell ref="K320:L320"/>
    <mergeCell ref="G321:H321"/>
    <mergeCell ref="I321:J321"/>
    <mergeCell ref="K321:L321"/>
    <mergeCell ref="M321:N321"/>
    <mergeCell ref="O321:P321"/>
    <mergeCell ref="M329:N329"/>
    <mergeCell ref="O329:P329"/>
    <mergeCell ref="M330:N330"/>
    <mergeCell ref="O330:P330"/>
    <mergeCell ref="M331:N331"/>
    <mergeCell ref="O331:P331"/>
    <mergeCell ref="I329:J329"/>
    <mergeCell ref="K329:L329"/>
    <mergeCell ref="G330:H330"/>
    <mergeCell ref="I330:J330"/>
    <mergeCell ref="K330:L330"/>
    <mergeCell ref="I331:J331"/>
    <mergeCell ref="K331:L331"/>
    <mergeCell ref="M333:N333"/>
    <mergeCell ref="O333:P333"/>
    <mergeCell ref="G331:H331"/>
    <mergeCell ref="G332:H332"/>
    <mergeCell ref="I332:J332"/>
    <mergeCell ref="K332:L332"/>
    <mergeCell ref="M332:N332"/>
    <mergeCell ref="O332:P332"/>
    <mergeCell ref="G333:H333"/>
    <mergeCell ref="K323:L323"/>
    <mergeCell ref="M323:N323"/>
    <mergeCell ref="G322:H322"/>
    <mergeCell ref="I322:J322"/>
    <mergeCell ref="K322:L322"/>
    <mergeCell ref="M322:N322"/>
    <mergeCell ref="O322:P322"/>
    <mergeCell ref="I323:J323"/>
    <mergeCell ref="O323:P323"/>
    <mergeCell ref="M325:N325"/>
    <mergeCell ref="O325:P325"/>
    <mergeCell ref="M326:N326"/>
    <mergeCell ref="O326:P326"/>
    <mergeCell ref="M327:N327"/>
    <mergeCell ref="O327:P327"/>
    <mergeCell ref="G323:H323"/>
    <mergeCell ref="G324:H324"/>
    <mergeCell ref="I324:J324"/>
    <mergeCell ref="K324:L324"/>
    <mergeCell ref="M324:N324"/>
    <mergeCell ref="O324:P324"/>
    <mergeCell ref="G325:H325"/>
    <mergeCell ref="I325:J325"/>
    <mergeCell ref="K325:L325"/>
    <mergeCell ref="G326:H326"/>
    <mergeCell ref="I326:J326"/>
    <mergeCell ref="K326:L326"/>
    <mergeCell ref="I327:J327"/>
    <mergeCell ref="K327:L327"/>
    <mergeCell ref="G327:H327"/>
    <mergeCell ref="G328:H328"/>
    <mergeCell ref="I328:J328"/>
    <mergeCell ref="K328:L328"/>
    <mergeCell ref="M328:N328"/>
    <mergeCell ref="O328:P328"/>
    <mergeCell ref="G329:H329"/>
    <mergeCell ref="I333:J333"/>
    <mergeCell ref="K333:L333"/>
    <mergeCell ref="G334:H334"/>
    <mergeCell ref="I334:J334"/>
    <mergeCell ref="K334:L334"/>
    <mergeCell ref="M334:N334"/>
    <mergeCell ref="O334:P334"/>
    <mergeCell ref="M342:N342"/>
    <mergeCell ref="O342:P342"/>
    <mergeCell ref="M343:N343"/>
    <mergeCell ref="O343:P343"/>
    <mergeCell ref="M344:N344"/>
    <mergeCell ref="O344:P344"/>
    <mergeCell ref="I342:J342"/>
    <mergeCell ref="K342:L342"/>
    <mergeCell ref="G343:H343"/>
    <mergeCell ref="I343:J343"/>
    <mergeCell ref="K343:L343"/>
    <mergeCell ref="I344:J344"/>
    <mergeCell ref="K344:L344"/>
    <mergeCell ref="M355:N355"/>
    <mergeCell ref="O355:P355"/>
    <mergeCell ref="M356:N356"/>
    <mergeCell ref="O356:P356"/>
    <mergeCell ref="M357:N357"/>
    <mergeCell ref="O357:P357"/>
    <mergeCell ref="I355:J355"/>
    <mergeCell ref="K355:L355"/>
    <mergeCell ref="G356:H356"/>
    <mergeCell ref="I356:J356"/>
    <mergeCell ref="K356:L356"/>
    <mergeCell ref="I357:J357"/>
    <mergeCell ref="K357:L357"/>
    <mergeCell ref="M190:N190"/>
    <mergeCell ref="O190:P190"/>
    <mergeCell ref="G188:H188"/>
    <mergeCell ref="G189:H189"/>
    <mergeCell ref="I189:J189"/>
    <mergeCell ref="K189:L189"/>
    <mergeCell ref="M189:N189"/>
    <mergeCell ref="O189:P189"/>
    <mergeCell ref="G190:H190"/>
    <mergeCell ref="K180:L180"/>
    <mergeCell ref="M180:N180"/>
    <mergeCell ref="G179:H179"/>
    <mergeCell ref="I179:J179"/>
    <mergeCell ref="K179:L179"/>
    <mergeCell ref="M179:N179"/>
    <mergeCell ref="O179:P179"/>
    <mergeCell ref="I180:J180"/>
    <mergeCell ref="O180:P180"/>
    <mergeCell ref="M182:N182"/>
    <mergeCell ref="O182:P182"/>
    <mergeCell ref="M183:N183"/>
    <mergeCell ref="O183:P183"/>
    <mergeCell ref="M184:N184"/>
    <mergeCell ref="O184:P184"/>
    <mergeCell ref="G180:H180"/>
    <mergeCell ref="G181:H181"/>
    <mergeCell ref="I181:J181"/>
    <mergeCell ref="K181:L181"/>
    <mergeCell ref="M181:N181"/>
    <mergeCell ref="O181:P181"/>
    <mergeCell ref="G182:H182"/>
    <mergeCell ref="I182:J182"/>
    <mergeCell ref="K182:L182"/>
    <mergeCell ref="G183:H183"/>
    <mergeCell ref="I183:J183"/>
    <mergeCell ref="K183:L183"/>
    <mergeCell ref="I184:J184"/>
    <mergeCell ref="K184:L184"/>
    <mergeCell ref="G184:H184"/>
    <mergeCell ref="G185:H185"/>
    <mergeCell ref="I185:J185"/>
    <mergeCell ref="K185:L185"/>
    <mergeCell ref="M185:N185"/>
    <mergeCell ref="O185:P185"/>
    <mergeCell ref="G186:H186"/>
    <mergeCell ref="I190:J190"/>
    <mergeCell ref="K190:L190"/>
    <mergeCell ref="G191:H191"/>
    <mergeCell ref="I191:J191"/>
    <mergeCell ref="K191:L191"/>
    <mergeCell ref="M191:N191"/>
    <mergeCell ref="O191:P191"/>
    <mergeCell ref="M164:N164"/>
    <mergeCell ref="O164:P164"/>
    <mergeCell ref="G162:H162"/>
    <mergeCell ref="G163:H163"/>
    <mergeCell ref="I163:J163"/>
    <mergeCell ref="K163:L163"/>
    <mergeCell ref="M163:N163"/>
    <mergeCell ref="O163:P163"/>
    <mergeCell ref="G164:H164"/>
    <mergeCell ref="K154:L154"/>
    <mergeCell ref="M154:N154"/>
    <mergeCell ref="G153:H153"/>
    <mergeCell ref="I153:J153"/>
    <mergeCell ref="K153:L153"/>
    <mergeCell ref="M153:N153"/>
    <mergeCell ref="O153:P153"/>
    <mergeCell ref="I154:J154"/>
    <mergeCell ref="O154:P154"/>
    <mergeCell ref="M156:N156"/>
    <mergeCell ref="O156:P156"/>
    <mergeCell ref="M157:N157"/>
    <mergeCell ref="O157:P157"/>
    <mergeCell ref="M158:N158"/>
    <mergeCell ref="O158:P158"/>
    <mergeCell ref="G154:H154"/>
    <mergeCell ref="G155:H155"/>
    <mergeCell ref="I155:J155"/>
    <mergeCell ref="K155:L155"/>
    <mergeCell ref="M155:N155"/>
    <mergeCell ref="O155:P155"/>
    <mergeCell ref="G156:H156"/>
    <mergeCell ref="I156:J156"/>
    <mergeCell ref="K156:L156"/>
    <mergeCell ref="G157:H157"/>
    <mergeCell ref="I157:J157"/>
    <mergeCell ref="K157:L157"/>
    <mergeCell ref="I158:J158"/>
    <mergeCell ref="K158:L158"/>
    <mergeCell ref="G158:H158"/>
    <mergeCell ref="G159:H159"/>
    <mergeCell ref="I159:J159"/>
    <mergeCell ref="K159:L159"/>
    <mergeCell ref="M159:N159"/>
    <mergeCell ref="O159:P159"/>
    <mergeCell ref="G160:H160"/>
    <mergeCell ref="I164:J164"/>
    <mergeCell ref="K164:L164"/>
    <mergeCell ref="G165:H165"/>
    <mergeCell ref="I165:J165"/>
    <mergeCell ref="K165:L165"/>
    <mergeCell ref="M165:N165"/>
    <mergeCell ref="O165:P165"/>
    <mergeCell ref="M173:N173"/>
    <mergeCell ref="O173:P173"/>
    <mergeCell ref="M174:N174"/>
    <mergeCell ref="O174:P174"/>
    <mergeCell ref="M175:N175"/>
    <mergeCell ref="O175:P175"/>
    <mergeCell ref="I173:J173"/>
    <mergeCell ref="K173:L173"/>
    <mergeCell ref="G174:H174"/>
    <mergeCell ref="I174:J174"/>
    <mergeCell ref="K174:L174"/>
    <mergeCell ref="I175:J175"/>
    <mergeCell ref="K175:L175"/>
    <mergeCell ref="M177:N177"/>
    <mergeCell ref="O177:P177"/>
    <mergeCell ref="G175:H175"/>
    <mergeCell ref="G176:H176"/>
    <mergeCell ref="I176:J176"/>
    <mergeCell ref="K176:L176"/>
    <mergeCell ref="M176:N176"/>
    <mergeCell ref="O176:P176"/>
    <mergeCell ref="G177:H177"/>
    <mergeCell ref="K167:L167"/>
    <mergeCell ref="M167:N167"/>
    <mergeCell ref="G166:H166"/>
    <mergeCell ref="I166:J166"/>
    <mergeCell ref="K166:L166"/>
    <mergeCell ref="M166:N166"/>
    <mergeCell ref="O166:P166"/>
    <mergeCell ref="I167:J167"/>
    <mergeCell ref="O167:P167"/>
    <mergeCell ref="M169:N169"/>
    <mergeCell ref="O169:P169"/>
    <mergeCell ref="M170:N170"/>
    <mergeCell ref="O170:P170"/>
    <mergeCell ref="M171:N171"/>
    <mergeCell ref="O171:P171"/>
    <mergeCell ref="G167:H167"/>
    <mergeCell ref="G168:H168"/>
    <mergeCell ref="I168:J168"/>
    <mergeCell ref="K168:L168"/>
    <mergeCell ref="M168:N168"/>
    <mergeCell ref="O168:P168"/>
    <mergeCell ref="G169:H169"/>
    <mergeCell ref="I169:J169"/>
    <mergeCell ref="K169:L169"/>
    <mergeCell ref="G170:H170"/>
    <mergeCell ref="I170:J170"/>
    <mergeCell ref="K170:L170"/>
    <mergeCell ref="I171:J171"/>
    <mergeCell ref="K171:L171"/>
    <mergeCell ref="G171:H171"/>
    <mergeCell ref="G172:H172"/>
    <mergeCell ref="I172:J172"/>
    <mergeCell ref="K172:L172"/>
    <mergeCell ref="M172:N172"/>
    <mergeCell ref="O172:P172"/>
    <mergeCell ref="G173:H173"/>
    <mergeCell ref="I177:J177"/>
    <mergeCell ref="K177:L177"/>
    <mergeCell ref="G178:H178"/>
    <mergeCell ref="I178:J178"/>
    <mergeCell ref="K178:L178"/>
    <mergeCell ref="M178:N178"/>
    <mergeCell ref="O178:P178"/>
    <mergeCell ref="M186:N186"/>
    <mergeCell ref="O186:P186"/>
    <mergeCell ref="M187:N187"/>
    <mergeCell ref="O187:P187"/>
    <mergeCell ref="M188:N188"/>
    <mergeCell ref="O188:P188"/>
    <mergeCell ref="I186:J186"/>
    <mergeCell ref="K186:L186"/>
    <mergeCell ref="G187:H187"/>
    <mergeCell ref="I187:J187"/>
    <mergeCell ref="K187:L187"/>
    <mergeCell ref="I188:J188"/>
    <mergeCell ref="K188:L188"/>
    <mergeCell ref="M199:N199"/>
    <mergeCell ref="O199:P199"/>
    <mergeCell ref="M200:N200"/>
    <mergeCell ref="O200:P200"/>
    <mergeCell ref="M201:N201"/>
    <mergeCell ref="O201:P201"/>
    <mergeCell ref="I199:J199"/>
    <mergeCell ref="K199:L199"/>
    <mergeCell ref="G200:H200"/>
    <mergeCell ref="I200:J200"/>
    <mergeCell ref="K200:L200"/>
    <mergeCell ref="I201:J201"/>
    <mergeCell ref="K201:L201"/>
    <mergeCell ref="M229:N229"/>
    <mergeCell ref="O229:P229"/>
    <mergeCell ref="G227:H227"/>
    <mergeCell ref="G228:H228"/>
    <mergeCell ref="I228:J228"/>
    <mergeCell ref="K228:L228"/>
    <mergeCell ref="M228:N228"/>
    <mergeCell ref="O228:P228"/>
    <mergeCell ref="G229:H229"/>
    <mergeCell ref="K219:L219"/>
    <mergeCell ref="M219:N219"/>
    <mergeCell ref="G218:H218"/>
    <mergeCell ref="I218:J218"/>
    <mergeCell ref="K218:L218"/>
    <mergeCell ref="M218:N218"/>
    <mergeCell ref="O218:P218"/>
    <mergeCell ref="I219:J219"/>
    <mergeCell ref="O219:P219"/>
    <mergeCell ref="M221:N221"/>
    <mergeCell ref="O221:P221"/>
    <mergeCell ref="M222:N222"/>
    <mergeCell ref="O222:P222"/>
    <mergeCell ref="M223:N223"/>
    <mergeCell ref="O223:P223"/>
    <mergeCell ref="G219:H219"/>
    <mergeCell ref="G220:H220"/>
    <mergeCell ref="I220:J220"/>
    <mergeCell ref="K220:L220"/>
    <mergeCell ref="M220:N220"/>
    <mergeCell ref="O220:P220"/>
    <mergeCell ref="G221:H221"/>
    <mergeCell ref="I221:J221"/>
    <mergeCell ref="K221:L221"/>
    <mergeCell ref="G222:H222"/>
    <mergeCell ref="I222:J222"/>
    <mergeCell ref="K222:L222"/>
    <mergeCell ref="I223:J223"/>
    <mergeCell ref="K223:L223"/>
    <mergeCell ref="G223:H223"/>
    <mergeCell ref="G224:H224"/>
    <mergeCell ref="I224:J224"/>
    <mergeCell ref="K224:L224"/>
    <mergeCell ref="M224:N224"/>
    <mergeCell ref="O224:P224"/>
    <mergeCell ref="G225:H225"/>
    <mergeCell ref="I229:J229"/>
    <mergeCell ref="K229:L229"/>
    <mergeCell ref="G230:H230"/>
    <mergeCell ref="I230:J230"/>
    <mergeCell ref="K230:L230"/>
    <mergeCell ref="M230:N230"/>
    <mergeCell ref="O230:P230"/>
    <mergeCell ref="M203:N203"/>
    <mergeCell ref="O203:P203"/>
    <mergeCell ref="G201:H201"/>
    <mergeCell ref="G202:H202"/>
    <mergeCell ref="I202:J202"/>
    <mergeCell ref="K202:L202"/>
    <mergeCell ref="M202:N202"/>
    <mergeCell ref="O202:P202"/>
    <mergeCell ref="G203:H203"/>
    <mergeCell ref="K193:L193"/>
    <mergeCell ref="M193:N193"/>
    <mergeCell ref="G192:H192"/>
    <mergeCell ref="I192:J192"/>
    <mergeCell ref="K192:L192"/>
    <mergeCell ref="M192:N192"/>
    <mergeCell ref="O192:P192"/>
    <mergeCell ref="I193:J193"/>
    <mergeCell ref="O193:P193"/>
    <mergeCell ref="M195:N195"/>
    <mergeCell ref="O195:P195"/>
    <mergeCell ref="M196:N196"/>
    <mergeCell ref="O196:P196"/>
    <mergeCell ref="M197:N197"/>
    <mergeCell ref="O197:P197"/>
    <mergeCell ref="G193:H193"/>
    <mergeCell ref="G194:H194"/>
    <mergeCell ref="I194:J194"/>
    <mergeCell ref="K194:L194"/>
    <mergeCell ref="M194:N194"/>
    <mergeCell ref="O194:P194"/>
    <mergeCell ref="G195:H195"/>
    <mergeCell ref="I195:J195"/>
    <mergeCell ref="K195:L195"/>
    <mergeCell ref="G196:H196"/>
    <mergeCell ref="I196:J196"/>
    <mergeCell ref="K196:L196"/>
    <mergeCell ref="I197:J197"/>
    <mergeCell ref="K197:L197"/>
    <mergeCell ref="G197:H197"/>
    <mergeCell ref="G198:H198"/>
    <mergeCell ref="I198:J198"/>
    <mergeCell ref="K198:L198"/>
    <mergeCell ref="M198:N198"/>
    <mergeCell ref="O198:P198"/>
    <mergeCell ref="G199:H199"/>
    <mergeCell ref="I203:J203"/>
    <mergeCell ref="K203:L203"/>
    <mergeCell ref="G204:H204"/>
    <mergeCell ref="I204:J204"/>
    <mergeCell ref="K204:L204"/>
    <mergeCell ref="M204:N204"/>
    <mergeCell ref="O204:P204"/>
    <mergeCell ref="M212:N212"/>
    <mergeCell ref="O212:P212"/>
    <mergeCell ref="M213:N213"/>
    <mergeCell ref="O213:P213"/>
    <mergeCell ref="M214:N214"/>
    <mergeCell ref="O214:P214"/>
    <mergeCell ref="I212:J212"/>
    <mergeCell ref="K212:L212"/>
    <mergeCell ref="G213:H213"/>
    <mergeCell ref="I213:J213"/>
    <mergeCell ref="K213:L213"/>
    <mergeCell ref="I214:J214"/>
    <mergeCell ref="K214:L214"/>
    <mergeCell ref="M216:N216"/>
    <mergeCell ref="O216:P216"/>
    <mergeCell ref="G214:H214"/>
    <mergeCell ref="G215:H215"/>
    <mergeCell ref="I215:J215"/>
    <mergeCell ref="K215:L215"/>
    <mergeCell ref="M215:N215"/>
    <mergeCell ref="O215:P215"/>
    <mergeCell ref="G216:H216"/>
    <mergeCell ref="K206:L206"/>
    <mergeCell ref="M206:N206"/>
    <mergeCell ref="G205:H205"/>
    <mergeCell ref="I205:J205"/>
    <mergeCell ref="K205:L205"/>
    <mergeCell ref="M205:N205"/>
    <mergeCell ref="O205:P205"/>
    <mergeCell ref="I206:J206"/>
    <mergeCell ref="O206:P206"/>
    <mergeCell ref="M208:N208"/>
    <mergeCell ref="O208:P208"/>
    <mergeCell ref="M209:N209"/>
    <mergeCell ref="O209:P209"/>
    <mergeCell ref="M210:N210"/>
    <mergeCell ref="O210:P210"/>
    <mergeCell ref="G206:H206"/>
    <mergeCell ref="G207:H207"/>
    <mergeCell ref="I207:J207"/>
    <mergeCell ref="K207:L207"/>
    <mergeCell ref="M207:N207"/>
    <mergeCell ref="O207:P207"/>
    <mergeCell ref="G208:H208"/>
    <mergeCell ref="I208:J208"/>
    <mergeCell ref="K208:L208"/>
    <mergeCell ref="G209:H209"/>
    <mergeCell ref="I209:J209"/>
    <mergeCell ref="K209:L209"/>
    <mergeCell ref="I210:J210"/>
    <mergeCell ref="K210:L210"/>
    <mergeCell ref="G210:H210"/>
    <mergeCell ref="G211:H211"/>
    <mergeCell ref="I211:J211"/>
    <mergeCell ref="K211:L211"/>
    <mergeCell ref="M211:N211"/>
    <mergeCell ref="O211:P211"/>
    <mergeCell ref="G212:H212"/>
    <mergeCell ref="I216:J216"/>
    <mergeCell ref="K216:L216"/>
    <mergeCell ref="G217:H217"/>
    <mergeCell ref="I217:J217"/>
    <mergeCell ref="K217:L217"/>
    <mergeCell ref="M217:N217"/>
    <mergeCell ref="O217:P217"/>
    <mergeCell ref="M225:N225"/>
    <mergeCell ref="O225:P225"/>
    <mergeCell ref="M226:N226"/>
    <mergeCell ref="O226:P226"/>
    <mergeCell ref="M227:N227"/>
    <mergeCell ref="O227:P227"/>
    <mergeCell ref="I225:J225"/>
    <mergeCell ref="K225:L225"/>
    <mergeCell ref="G226:H226"/>
    <mergeCell ref="I226:J226"/>
    <mergeCell ref="K226:L226"/>
    <mergeCell ref="I227:J227"/>
    <mergeCell ref="K227:L227"/>
    <mergeCell ref="M238:N238"/>
    <mergeCell ref="O238:P238"/>
    <mergeCell ref="M239:N239"/>
    <mergeCell ref="O239:P239"/>
    <mergeCell ref="M240:N240"/>
    <mergeCell ref="O240:P240"/>
    <mergeCell ref="I238:J238"/>
    <mergeCell ref="K238:L238"/>
    <mergeCell ref="G239:H239"/>
    <mergeCell ref="I239:J239"/>
    <mergeCell ref="K239:L239"/>
    <mergeCell ref="I240:J240"/>
    <mergeCell ref="K240:L240"/>
    <mergeCell ref="M268:N268"/>
    <mergeCell ref="O268:P268"/>
    <mergeCell ref="G266:H266"/>
    <mergeCell ref="G267:H267"/>
    <mergeCell ref="I267:J267"/>
    <mergeCell ref="K267:L267"/>
    <mergeCell ref="M267:N267"/>
    <mergeCell ref="O267:P267"/>
    <mergeCell ref="G268:H268"/>
    <mergeCell ref="K258:L258"/>
    <mergeCell ref="M258:N258"/>
    <mergeCell ref="G257:H257"/>
    <mergeCell ref="I257:J257"/>
    <mergeCell ref="K257:L257"/>
    <mergeCell ref="M257:N257"/>
    <mergeCell ref="O257:P257"/>
    <mergeCell ref="I258:J258"/>
    <mergeCell ref="O258:P258"/>
    <mergeCell ref="M260:N260"/>
    <mergeCell ref="O260:P260"/>
    <mergeCell ref="M261:N261"/>
    <mergeCell ref="O261:P261"/>
    <mergeCell ref="M262:N262"/>
    <mergeCell ref="O262:P262"/>
    <mergeCell ref="G258:H258"/>
    <mergeCell ref="G259:H259"/>
    <mergeCell ref="I259:J259"/>
    <mergeCell ref="K259:L259"/>
    <mergeCell ref="M259:N259"/>
    <mergeCell ref="O259:P259"/>
    <mergeCell ref="G260:H260"/>
    <mergeCell ref="I260:J260"/>
    <mergeCell ref="K260:L260"/>
    <mergeCell ref="G261:H261"/>
    <mergeCell ref="I261:J261"/>
    <mergeCell ref="K261:L261"/>
    <mergeCell ref="I262:J262"/>
    <mergeCell ref="K262:L262"/>
    <mergeCell ref="G262:H262"/>
    <mergeCell ref="G263:H263"/>
    <mergeCell ref="I263:J263"/>
    <mergeCell ref="K263:L263"/>
    <mergeCell ref="M263:N263"/>
    <mergeCell ref="O263:P263"/>
    <mergeCell ref="G264:H264"/>
    <mergeCell ref="I268:J268"/>
    <mergeCell ref="K268:L268"/>
    <mergeCell ref="G269:H269"/>
    <mergeCell ref="I269:J269"/>
    <mergeCell ref="K269:L269"/>
    <mergeCell ref="M269:N269"/>
    <mergeCell ref="O269:P269"/>
    <mergeCell ref="M242:N242"/>
    <mergeCell ref="O242:P242"/>
    <mergeCell ref="G240:H240"/>
    <mergeCell ref="G241:H241"/>
    <mergeCell ref="I241:J241"/>
    <mergeCell ref="K241:L241"/>
    <mergeCell ref="M241:N241"/>
    <mergeCell ref="O241:P241"/>
    <mergeCell ref="G242:H242"/>
    <mergeCell ref="K232:L232"/>
    <mergeCell ref="M232:N232"/>
    <mergeCell ref="G231:H231"/>
    <mergeCell ref="I231:J231"/>
    <mergeCell ref="K231:L231"/>
    <mergeCell ref="M231:N231"/>
    <mergeCell ref="O231:P231"/>
    <mergeCell ref="I232:J232"/>
    <mergeCell ref="O232:P232"/>
    <mergeCell ref="M234:N234"/>
    <mergeCell ref="O234:P234"/>
    <mergeCell ref="M235:N235"/>
    <mergeCell ref="O235:P235"/>
    <mergeCell ref="M236:N236"/>
    <mergeCell ref="O236:P236"/>
    <mergeCell ref="G232:H232"/>
    <mergeCell ref="G233:H233"/>
    <mergeCell ref="I233:J233"/>
    <mergeCell ref="K233:L233"/>
    <mergeCell ref="M233:N233"/>
    <mergeCell ref="O233:P233"/>
    <mergeCell ref="G234:H234"/>
    <mergeCell ref="I234:J234"/>
    <mergeCell ref="K234:L234"/>
    <mergeCell ref="G235:H235"/>
    <mergeCell ref="I235:J235"/>
    <mergeCell ref="K235:L235"/>
    <mergeCell ref="I236:J236"/>
    <mergeCell ref="K236:L236"/>
    <mergeCell ref="G236:H236"/>
    <mergeCell ref="G237:H237"/>
    <mergeCell ref="I237:J237"/>
    <mergeCell ref="K237:L237"/>
    <mergeCell ref="M237:N237"/>
    <mergeCell ref="O237:P237"/>
    <mergeCell ref="G238:H238"/>
    <mergeCell ref="I242:J242"/>
    <mergeCell ref="K242:L242"/>
    <mergeCell ref="G243:H243"/>
    <mergeCell ref="I243:J243"/>
    <mergeCell ref="K243:L243"/>
    <mergeCell ref="M243:N243"/>
    <mergeCell ref="O243:P243"/>
    <mergeCell ref="M251:N251"/>
    <mergeCell ref="O251:P251"/>
    <mergeCell ref="M252:N252"/>
    <mergeCell ref="O252:P252"/>
    <mergeCell ref="M253:N253"/>
    <mergeCell ref="O253:P253"/>
    <mergeCell ref="I251:J251"/>
    <mergeCell ref="K251:L251"/>
    <mergeCell ref="G252:H252"/>
    <mergeCell ref="I252:J252"/>
    <mergeCell ref="K252:L252"/>
    <mergeCell ref="I253:J253"/>
    <mergeCell ref="K253:L253"/>
    <mergeCell ref="M255:N255"/>
    <mergeCell ref="O255:P255"/>
    <mergeCell ref="G253:H253"/>
    <mergeCell ref="G254:H254"/>
    <mergeCell ref="I254:J254"/>
    <mergeCell ref="K254:L254"/>
    <mergeCell ref="M254:N254"/>
    <mergeCell ref="O254:P254"/>
    <mergeCell ref="G255:H255"/>
    <mergeCell ref="K245:L245"/>
    <mergeCell ref="M245:N245"/>
    <mergeCell ref="G244:H244"/>
    <mergeCell ref="I244:J244"/>
    <mergeCell ref="K244:L244"/>
    <mergeCell ref="M244:N244"/>
    <mergeCell ref="O244:P244"/>
    <mergeCell ref="I245:J245"/>
    <mergeCell ref="O245:P245"/>
    <mergeCell ref="M247:N247"/>
    <mergeCell ref="O247:P247"/>
    <mergeCell ref="M248:N248"/>
    <mergeCell ref="O248:P248"/>
    <mergeCell ref="M249:N249"/>
    <mergeCell ref="O249:P249"/>
    <mergeCell ref="G245:H245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G248:H248"/>
    <mergeCell ref="I248:J248"/>
    <mergeCell ref="K248:L248"/>
    <mergeCell ref="I249:J249"/>
    <mergeCell ref="K249:L249"/>
    <mergeCell ref="G249:H249"/>
    <mergeCell ref="G250:H250"/>
    <mergeCell ref="I250:J250"/>
    <mergeCell ref="K250:L250"/>
    <mergeCell ref="M250:N250"/>
    <mergeCell ref="O250:P250"/>
    <mergeCell ref="G251:H251"/>
    <mergeCell ref="I255:J255"/>
    <mergeCell ref="K255:L255"/>
    <mergeCell ref="G256:H256"/>
    <mergeCell ref="I256:J256"/>
    <mergeCell ref="K256:L256"/>
    <mergeCell ref="M256:N256"/>
    <mergeCell ref="O256:P256"/>
    <mergeCell ref="M264:N264"/>
    <mergeCell ref="O264:P264"/>
    <mergeCell ref="M265:N265"/>
    <mergeCell ref="O265:P265"/>
    <mergeCell ref="M266:N266"/>
    <mergeCell ref="O266:P266"/>
    <mergeCell ref="I264:J264"/>
    <mergeCell ref="K264:L264"/>
    <mergeCell ref="G265:H265"/>
    <mergeCell ref="I265:J265"/>
    <mergeCell ref="K265:L265"/>
    <mergeCell ref="I266:J266"/>
    <mergeCell ref="K266:L266"/>
    <mergeCell ref="M277:N277"/>
    <mergeCell ref="O277:P277"/>
    <mergeCell ref="M278:N278"/>
    <mergeCell ref="O278:P278"/>
    <mergeCell ref="M279:N279"/>
    <mergeCell ref="O279:P279"/>
    <mergeCell ref="I277:J277"/>
    <mergeCell ref="K277:L277"/>
    <mergeCell ref="G278:H278"/>
    <mergeCell ref="I278:J278"/>
    <mergeCell ref="K278:L278"/>
    <mergeCell ref="I279:J279"/>
    <mergeCell ref="K279:L279"/>
    <mergeCell ref="M359:N359"/>
    <mergeCell ref="O359:P359"/>
    <mergeCell ref="G357:H357"/>
    <mergeCell ref="G358:H358"/>
    <mergeCell ref="I358:J358"/>
    <mergeCell ref="K358:L358"/>
    <mergeCell ref="M358:N358"/>
    <mergeCell ref="O358:P358"/>
    <mergeCell ref="G359:H359"/>
    <mergeCell ref="K349:L349"/>
    <mergeCell ref="M349:N349"/>
    <mergeCell ref="G348:H348"/>
    <mergeCell ref="I348:J348"/>
    <mergeCell ref="K348:L348"/>
    <mergeCell ref="M348:N348"/>
    <mergeCell ref="O348:P348"/>
    <mergeCell ref="I349:J349"/>
    <mergeCell ref="O349:P349"/>
    <mergeCell ref="M351:N351"/>
    <mergeCell ref="O351:P351"/>
    <mergeCell ref="M352:N352"/>
    <mergeCell ref="O352:P352"/>
    <mergeCell ref="M353:N353"/>
    <mergeCell ref="O353:P353"/>
    <mergeCell ref="G349:H349"/>
    <mergeCell ref="G350:H350"/>
    <mergeCell ref="I350:J350"/>
    <mergeCell ref="K350:L350"/>
    <mergeCell ref="M350:N350"/>
    <mergeCell ref="O350:P350"/>
    <mergeCell ref="G351:H351"/>
    <mergeCell ref="I351:J351"/>
    <mergeCell ref="K351:L351"/>
    <mergeCell ref="G352:H352"/>
    <mergeCell ref="I352:J352"/>
    <mergeCell ref="K352:L352"/>
    <mergeCell ref="I353:J353"/>
    <mergeCell ref="K353:L353"/>
    <mergeCell ref="G353:H353"/>
    <mergeCell ref="G354:H354"/>
    <mergeCell ref="I354:J354"/>
    <mergeCell ref="K354:L354"/>
    <mergeCell ref="M354:N354"/>
    <mergeCell ref="O354:P354"/>
    <mergeCell ref="G355:H355"/>
    <mergeCell ref="I359:J359"/>
    <mergeCell ref="K359:L359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E4D5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78"/>
    <col customWidth="1" min="3" max="3" width="6.44"/>
    <col customWidth="1" min="4" max="4" width="10.44"/>
    <col customWidth="1" min="5" max="6" width="11.78"/>
    <col customWidth="1" min="7" max="16" width="3.67"/>
    <col customWidth="1" min="17" max="17" width="10.78"/>
    <col customWidth="1" min="18" max="19" width="8.0"/>
    <col customWidth="1" min="20" max="20" width="11.44"/>
    <col customWidth="1" min="21" max="21" width="8.0"/>
    <col customWidth="1" min="22" max="24" width="11.11"/>
    <col customWidth="1" min="25" max="25" width="11.44"/>
    <col customWidth="1" min="26" max="37" width="11.11"/>
  </cols>
  <sheetData>
    <row r="1" ht="22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3"/>
      <c r="Q1" s="5" t="s">
        <v>2</v>
      </c>
      <c r="R1" s="6"/>
      <c r="S1" s="6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ht="130.5" customHeight="1">
      <c r="A2" s="8" t="s">
        <v>3</v>
      </c>
      <c r="B2" s="9" t="s">
        <v>4</v>
      </c>
      <c r="C2" s="9" t="s">
        <v>5</v>
      </c>
      <c r="D2" s="9" t="s">
        <v>6</v>
      </c>
      <c r="E2" s="9" t="s">
        <v>7</v>
      </c>
      <c r="F2" s="9" t="s">
        <v>8</v>
      </c>
      <c r="G2" s="10" t="s">
        <v>9</v>
      </c>
      <c r="H2" s="11">
        <f>24.98*1.039</f>
        <v>25.95422</v>
      </c>
      <c r="I2" s="10" t="s">
        <v>10</v>
      </c>
      <c r="J2" s="11">
        <f>24.98*1.039</f>
        <v>25.95422</v>
      </c>
      <c r="K2" s="10" t="s">
        <v>11</v>
      </c>
      <c r="L2" s="11">
        <f>24.98*1.039</f>
        <v>25.95422</v>
      </c>
      <c r="M2" s="10" t="s">
        <v>12</v>
      </c>
      <c r="N2" s="11">
        <f>24.98*1.039</f>
        <v>25.95422</v>
      </c>
      <c r="O2" s="10" t="s">
        <v>13</v>
      </c>
      <c r="P2" s="11">
        <f>8.32*1.039</f>
        <v>8.64448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ht="15.75" customHeight="1">
      <c r="A3" s="13" t="s">
        <v>19</v>
      </c>
      <c r="B3" s="14">
        <v>46020.0</v>
      </c>
      <c r="C3" s="15">
        <v>1.1</v>
      </c>
      <c r="D3" s="16" t="s">
        <v>20</v>
      </c>
      <c r="E3" s="17"/>
      <c r="F3" s="17"/>
      <c r="G3" s="18"/>
      <c r="I3" s="19"/>
      <c r="K3" s="19"/>
      <c r="M3" s="19"/>
      <c r="O3" s="19"/>
      <c r="Q3" s="20">
        <f t="shared" ref="Q3:Q359" si="1">(G3*H$2)+(I3*J$2)+(K3*L$2)+(M3*N$2)+(O3*P$2)</f>
        <v>0</v>
      </c>
      <c r="R3" s="16">
        <f t="shared" ref="R3:R359" si="2">SUM(G3:N3)</f>
        <v>0</v>
      </c>
      <c r="S3" s="16">
        <f t="shared" ref="S3:S359" si="3">SUM(O3:P3)</f>
        <v>0</v>
      </c>
      <c r="T3" s="16">
        <f t="shared" ref="T3:T359" si="4">SUM(G3:P3)</f>
        <v>0</v>
      </c>
      <c r="U3" s="21">
        <f t="shared" ref="U3:U359" si="5">IFERROR(Q3/T3,0)</f>
        <v>0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ht="15.75" customHeight="1">
      <c r="A4" s="22" t="s">
        <v>21</v>
      </c>
      <c r="B4" s="23">
        <f t="shared" ref="B4:B359" si="6">B3+1</f>
        <v>46021</v>
      </c>
      <c r="C4" s="24">
        <v>1.1</v>
      </c>
      <c r="D4" s="25" t="s">
        <v>20</v>
      </c>
      <c r="E4" s="21"/>
      <c r="F4" s="21"/>
      <c r="G4" s="18"/>
      <c r="I4" s="19"/>
      <c r="K4" s="19"/>
      <c r="M4" s="19"/>
      <c r="O4" s="19"/>
      <c r="Q4" s="26">
        <f t="shared" si="1"/>
        <v>0</v>
      </c>
      <c r="R4" s="25">
        <f t="shared" si="2"/>
        <v>0</v>
      </c>
      <c r="S4" s="25">
        <f t="shared" si="3"/>
        <v>0</v>
      </c>
      <c r="T4" s="25">
        <f t="shared" si="4"/>
        <v>0</v>
      </c>
      <c r="U4" s="27">
        <f t="shared" si="5"/>
        <v>0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ht="15.75" customHeight="1">
      <c r="A5" s="22" t="s">
        <v>22</v>
      </c>
      <c r="B5" s="23">
        <f t="shared" si="6"/>
        <v>46022</v>
      </c>
      <c r="C5" s="24">
        <v>1.1</v>
      </c>
      <c r="D5" s="25" t="s">
        <v>20</v>
      </c>
      <c r="E5" s="21"/>
      <c r="F5" s="21"/>
      <c r="G5" s="18"/>
      <c r="I5" s="19"/>
      <c r="K5" s="19"/>
      <c r="M5" s="19"/>
      <c r="O5" s="19"/>
      <c r="Q5" s="26">
        <f t="shared" si="1"/>
        <v>0</v>
      </c>
      <c r="R5" s="25">
        <f t="shared" si="2"/>
        <v>0</v>
      </c>
      <c r="S5" s="25">
        <f t="shared" si="3"/>
        <v>0</v>
      </c>
      <c r="T5" s="25">
        <f t="shared" si="4"/>
        <v>0</v>
      </c>
      <c r="U5" s="27">
        <f t="shared" si="5"/>
        <v>0</v>
      </c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ht="15.75" customHeight="1">
      <c r="A6" s="22" t="s">
        <v>23</v>
      </c>
      <c r="B6" s="23">
        <f t="shared" si="6"/>
        <v>46023</v>
      </c>
      <c r="C6" s="24">
        <v>1.1</v>
      </c>
      <c r="D6" s="25" t="s">
        <v>20</v>
      </c>
      <c r="E6" s="21"/>
      <c r="F6" s="21"/>
      <c r="G6" s="18"/>
      <c r="I6" s="19"/>
      <c r="K6" s="19"/>
      <c r="M6" s="19"/>
      <c r="O6" s="19"/>
      <c r="Q6" s="26">
        <f t="shared" si="1"/>
        <v>0</v>
      </c>
      <c r="R6" s="25">
        <f t="shared" si="2"/>
        <v>0</v>
      </c>
      <c r="S6" s="25">
        <f t="shared" si="3"/>
        <v>0</v>
      </c>
      <c r="T6" s="25">
        <f t="shared" si="4"/>
        <v>0</v>
      </c>
      <c r="U6" s="27">
        <f t="shared" si="5"/>
        <v>0</v>
      </c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ht="15.75" customHeight="1">
      <c r="A7" s="22" t="s">
        <v>24</v>
      </c>
      <c r="B7" s="23">
        <f t="shared" si="6"/>
        <v>46024</v>
      </c>
      <c r="C7" s="24">
        <v>1.1</v>
      </c>
      <c r="D7" s="25" t="s">
        <v>20</v>
      </c>
      <c r="E7" s="21"/>
      <c r="F7" s="21"/>
      <c r="G7" s="18"/>
      <c r="I7" s="19"/>
      <c r="K7" s="19"/>
      <c r="M7" s="19"/>
      <c r="O7" s="19"/>
      <c r="Q7" s="26">
        <f t="shared" si="1"/>
        <v>0</v>
      </c>
      <c r="R7" s="25">
        <f t="shared" si="2"/>
        <v>0</v>
      </c>
      <c r="S7" s="25">
        <f t="shared" si="3"/>
        <v>0</v>
      </c>
      <c r="T7" s="25">
        <f t="shared" si="4"/>
        <v>0</v>
      </c>
      <c r="U7" s="27">
        <f t="shared" si="5"/>
        <v>0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ht="15.75" customHeight="1">
      <c r="A8" s="22" t="s">
        <v>25</v>
      </c>
      <c r="B8" s="23">
        <f t="shared" si="6"/>
        <v>46025</v>
      </c>
      <c r="C8" s="24">
        <v>1.1</v>
      </c>
      <c r="D8" s="25" t="s">
        <v>20</v>
      </c>
      <c r="E8" s="21"/>
      <c r="F8" s="21"/>
      <c r="G8" s="18"/>
      <c r="I8" s="19"/>
      <c r="K8" s="19"/>
      <c r="M8" s="19"/>
      <c r="O8" s="19"/>
      <c r="Q8" s="26">
        <f t="shared" si="1"/>
        <v>0</v>
      </c>
      <c r="R8" s="25">
        <f t="shared" si="2"/>
        <v>0</v>
      </c>
      <c r="S8" s="25">
        <f t="shared" si="3"/>
        <v>0</v>
      </c>
      <c r="T8" s="25">
        <f t="shared" si="4"/>
        <v>0</v>
      </c>
      <c r="U8" s="27">
        <f t="shared" si="5"/>
        <v>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ht="15.75" customHeight="1">
      <c r="A9" s="28" t="s">
        <v>26</v>
      </c>
      <c r="B9" s="29">
        <f t="shared" si="6"/>
        <v>46026</v>
      </c>
      <c r="C9" s="30">
        <v>1.1</v>
      </c>
      <c r="D9" s="31" t="s">
        <v>20</v>
      </c>
      <c r="E9" s="32"/>
      <c r="F9" s="32"/>
      <c r="G9" s="33"/>
      <c r="H9" s="6"/>
      <c r="I9" s="34"/>
      <c r="J9" s="6"/>
      <c r="K9" s="34"/>
      <c r="L9" s="6"/>
      <c r="M9" s="34"/>
      <c r="N9" s="6"/>
      <c r="O9" s="34"/>
      <c r="P9" s="6"/>
      <c r="Q9" s="35">
        <f t="shared" si="1"/>
        <v>0</v>
      </c>
      <c r="R9" s="31">
        <f t="shared" si="2"/>
        <v>0</v>
      </c>
      <c r="S9" s="31">
        <f t="shared" si="3"/>
        <v>0</v>
      </c>
      <c r="T9" s="31">
        <f t="shared" si="4"/>
        <v>0</v>
      </c>
      <c r="U9" s="36">
        <f t="shared" si="5"/>
        <v>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ht="15.75" customHeight="1">
      <c r="A10" s="13" t="s">
        <v>19</v>
      </c>
      <c r="B10" s="37">
        <f t="shared" si="6"/>
        <v>46027</v>
      </c>
      <c r="C10" s="15">
        <v>1.2</v>
      </c>
      <c r="D10" s="16" t="s">
        <v>27</v>
      </c>
      <c r="E10" s="17"/>
      <c r="F10" s="17"/>
      <c r="G10" s="18"/>
      <c r="I10" s="19"/>
      <c r="K10" s="19"/>
      <c r="M10" s="19"/>
      <c r="O10" s="19"/>
      <c r="Q10" s="20">
        <f t="shared" si="1"/>
        <v>0</v>
      </c>
      <c r="R10" s="16">
        <f t="shared" si="2"/>
        <v>0</v>
      </c>
      <c r="S10" s="16">
        <f t="shared" si="3"/>
        <v>0</v>
      </c>
      <c r="T10" s="16">
        <f t="shared" si="4"/>
        <v>0</v>
      </c>
      <c r="U10" s="38">
        <f t="shared" si="5"/>
        <v>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ht="15.75" customHeight="1">
      <c r="A11" s="22" t="s">
        <v>21</v>
      </c>
      <c r="B11" s="23">
        <f t="shared" si="6"/>
        <v>46028</v>
      </c>
      <c r="C11" s="24">
        <v>1.2</v>
      </c>
      <c r="D11" s="25" t="s">
        <v>27</v>
      </c>
      <c r="E11" s="21"/>
      <c r="F11" s="21"/>
      <c r="G11" s="18"/>
      <c r="I11" s="19"/>
      <c r="K11" s="19"/>
      <c r="M11" s="19"/>
      <c r="O11" s="19"/>
      <c r="Q11" s="26">
        <f t="shared" si="1"/>
        <v>0</v>
      </c>
      <c r="R11" s="25">
        <f t="shared" si="2"/>
        <v>0</v>
      </c>
      <c r="S11" s="25">
        <f t="shared" si="3"/>
        <v>0</v>
      </c>
      <c r="T11" s="25">
        <f t="shared" si="4"/>
        <v>0</v>
      </c>
      <c r="U11" s="27">
        <f t="shared" si="5"/>
        <v>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ht="15.75" customHeight="1">
      <c r="A12" s="22" t="s">
        <v>22</v>
      </c>
      <c r="B12" s="23">
        <f t="shared" si="6"/>
        <v>46029</v>
      </c>
      <c r="C12" s="24">
        <v>1.2</v>
      </c>
      <c r="D12" s="25" t="s">
        <v>27</v>
      </c>
      <c r="E12" s="21"/>
      <c r="F12" s="21"/>
      <c r="G12" s="18"/>
      <c r="I12" s="19"/>
      <c r="K12" s="19"/>
      <c r="M12" s="19"/>
      <c r="O12" s="19"/>
      <c r="Q12" s="26">
        <f t="shared" si="1"/>
        <v>0</v>
      </c>
      <c r="R12" s="25">
        <f t="shared" si="2"/>
        <v>0</v>
      </c>
      <c r="S12" s="25">
        <f t="shared" si="3"/>
        <v>0</v>
      </c>
      <c r="T12" s="25">
        <f t="shared" si="4"/>
        <v>0</v>
      </c>
      <c r="U12" s="27">
        <f t="shared" si="5"/>
        <v>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ht="15.75" customHeight="1">
      <c r="A13" s="22" t="s">
        <v>23</v>
      </c>
      <c r="B13" s="23">
        <f t="shared" si="6"/>
        <v>46030</v>
      </c>
      <c r="C13" s="24">
        <v>1.2</v>
      </c>
      <c r="D13" s="25" t="s">
        <v>27</v>
      </c>
      <c r="E13" s="21"/>
      <c r="F13" s="21"/>
      <c r="G13" s="18"/>
      <c r="I13" s="19"/>
      <c r="K13" s="19"/>
      <c r="M13" s="19"/>
      <c r="O13" s="19"/>
      <c r="Q13" s="26">
        <f t="shared" si="1"/>
        <v>0</v>
      </c>
      <c r="R13" s="25">
        <f t="shared" si="2"/>
        <v>0</v>
      </c>
      <c r="S13" s="25">
        <f t="shared" si="3"/>
        <v>0</v>
      </c>
      <c r="T13" s="25">
        <f t="shared" si="4"/>
        <v>0</v>
      </c>
      <c r="U13" s="27">
        <f t="shared" si="5"/>
        <v>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ht="15.75" customHeight="1">
      <c r="A14" s="22" t="s">
        <v>24</v>
      </c>
      <c r="B14" s="23">
        <f t="shared" si="6"/>
        <v>46031</v>
      </c>
      <c r="C14" s="24">
        <v>1.2</v>
      </c>
      <c r="D14" s="25" t="s">
        <v>27</v>
      </c>
      <c r="E14" s="21"/>
      <c r="F14" s="21"/>
      <c r="G14" s="18"/>
      <c r="I14" s="19"/>
      <c r="K14" s="19"/>
      <c r="M14" s="19"/>
      <c r="O14" s="19"/>
      <c r="Q14" s="26">
        <f t="shared" si="1"/>
        <v>0</v>
      </c>
      <c r="R14" s="25">
        <f t="shared" si="2"/>
        <v>0</v>
      </c>
      <c r="S14" s="25">
        <f t="shared" si="3"/>
        <v>0</v>
      </c>
      <c r="T14" s="25">
        <f t="shared" si="4"/>
        <v>0</v>
      </c>
      <c r="U14" s="27">
        <f t="shared" si="5"/>
        <v>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ht="15.75" customHeight="1">
      <c r="A15" s="22" t="s">
        <v>25</v>
      </c>
      <c r="B15" s="23">
        <f t="shared" si="6"/>
        <v>46032</v>
      </c>
      <c r="C15" s="24">
        <v>1.2</v>
      </c>
      <c r="D15" s="25" t="s">
        <v>27</v>
      </c>
      <c r="E15" s="21"/>
      <c r="F15" s="21"/>
      <c r="G15" s="18"/>
      <c r="I15" s="19"/>
      <c r="K15" s="19"/>
      <c r="M15" s="19"/>
      <c r="O15" s="19"/>
      <c r="Q15" s="26">
        <f t="shared" si="1"/>
        <v>0</v>
      </c>
      <c r="R15" s="25">
        <f t="shared" si="2"/>
        <v>0</v>
      </c>
      <c r="S15" s="25">
        <f t="shared" si="3"/>
        <v>0</v>
      </c>
      <c r="T15" s="25">
        <f t="shared" si="4"/>
        <v>0</v>
      </c>
      <c r="U15" s="27">
        <f t="shared" si="5"/>
        <v>0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ht="15.75" customHeight="1">
      <c r="A16" s="28" t="s">
        <v>26</v>
      </c>
      <c r="B16" s="29">
        <f t="shared" si="6"/>
        <v>46033</v>
      </c>
      <c r="C16" s="30">
        <v>1.2</v>
      </c>
      <c r="D16" s="31" t="s">
        <v>27</v>
      </c>
      <c r="E16" s="32"/>
      <c r="F16" s="32"/>
      <c r="G16" s="33"/>
      <c r="H16" s="6"/>
      <c r="I16" s="34"/>
      <c r="J16" s="6"/>
      <c r="K16" s="34"/>
      <c r="L16" s="6"/>
      <c r="M16" s="34"/>
      <c r="N16" s="6"/>
      <c r="O16" s="34"/>
      <c r="P16" s="6"/>
      <c r="Q16" s="35">
        <f t="shared" si="1"/>
        <v>0</v>
      </c>
      <c r="R16" s="31">
        <f t="shared" si="2"/>
        <v>0</v>
      </c>
      <c r="S16" s="31">
        <f t="shared" si="3"/>
        <v>0</v>
      </c>
      <c r="T16" s="31">
        <f t="shared" si="4"/>
        <v>0</v>
      </c>
      <c r="U16" s="36">
        <f t="shared" si="5"/>
        <v>0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ht="15.75" customHeight="1">
      <c r="A17" s="13" t="s">
        <v>19</v>
      </c>
      <c r="B17" s="37">
        <f t="shared" si="6"/>
        <v>46034</v>
      </c>
      <c r="C17" s="15">
        <v>1.3</v>
      </c>
      <c r="D17" s="16" t="s">
        <v>28</v>
      </c>
      <c r="E17" s="17"/>
      <c r="F17" s="17"/>
      <c r="G17" s="18"/>
      <c r="I17" s="19"/>
      <c r="K17" s="19"/>
      <c r="M17" s="19"/>
      <c r="O17" s="19"/>
      <c r="Q17" s="20">
        <f t="shared" si="1"/>
        <v>0</v>
      </c>
      <c r="R17" s="16">
        <f t="shared" si="2"/>
        <v>0</v>
      </c>
      <c r="S17" s="16">
        <f t="shared" si="3"/>
        <v>0</v>
      </c>
      <c r="T17" s="16">
        <f t="shared" si="4"/>
        <v>0</v>
      </c>
      <c r="U17" s="38">
        <f t="shared" si="5"/>
        <v>0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ht="15.75" customHeight="1">
      <c r="A18" s="22" t="s">
        <v>21</v>
      </c>
      <c r="B18" s="23">
        <f t="shared" si="6"/>
        <v>46035</v>
      </c>
      <c r="C18" s="24">
        <v>1.3</v>
      </c>
      <c r="D18" s="25" t="s">
        <v>28</v>
      </c>
      <c r="E18" s="21"/>
      <c r="F18" s="21"/>
      <c r="G18" s="18"/>
      <c r="I18" s="19"/>
      <c r="K18" s="19"/>
      <c r="M18" s="19"/>
      <c r="O18" s="19"/>
      <c r="Q18" s="26">
        <f t="shared" si="1"/>
        <v>0</v>
      </c>
      <c r="R18" s="25">
        <f t="shared" si="2"/>
        <v>0</v>
      </c>
      <c r="S18" s="25">
        <f t="shared" si="3"/>
        <v>0</v>
      </c>
      <c r="T18" s="25">
        <f t="shared" si="4"/>
        <v>0</v>
      </c>
      <c r="U18" s="27">
        <f t="shared" si="5"/>
        <v>0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ht="15.75" customHeight="1">
      <c r="A19" s="22" t="s">
        <v>22</v>
      </c>
      <c r="B19" s="23">
        <f t="shared" si="6"/>
        <v>46036</v>
      </c>
      <c r="C19" s="24">
        <v>1.3</v>
      </c>
      <c r="D19" s="25" t="s">
        <v>28</v>
      </c>
      <c r="E19" s="21"/>
      <c r="F19" s="21"/>
      <c r="G19" s="18"/>
      <c r="I19" s="19"/>
      <c r="K19" s="19"/>
      <c r="M19" s="19"/>
      <c r="O19" s="19"/>
      <c r="Q19" s="26">
        <f t="shared" si="1"/>
        <v>0</v>
      </c>
      <c r="R19" s="25">
        <f t="shared" si="2"/>
        <v>0</v>
      </c>
      <c r="S19" s="25">
        <f t="shared" si="3"/>
        <v>0</v>
      </c>
      <c r="T19" s="25">
        <f t="shared" si="4"/>
        <v>0</v>
      </c>
      <c r="U19" s="27">
        <f t="shared" si="5"/>
        <v>0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ht="15.75" customHeight="1">
      <c r="A20" s="22" t="s">
        <v>23</v>
      </c>
      <c r="B20" s="23">
        <f t="shared" si="6"/>
        <v>46037</v>
      </c>
      <c r="C20" s="24">
        <v>1.3</v>
      </c>
      <c r="D20" s="25" t="s">
        <v>28</v>
      </c>
      <c r="E20" s="21"/>
      <c r="F20" s="21"/>
      <c r="G20" s="18"/>
      <c r="I20" s="19"/>
      <c r="K20" s="19"/>
      <c r="M20" s="19"/>
      <c r="O20" s="19"/>
      <c r="Q20" s="26">
        <f t="shared" si="1"/>
        <v>0</v>
      </c>
      <c r="R20" s="25">
        <f t="shared" si="2"/>
        <v>0</v>
      </c>
      <c r="S20" s="25">
        <f t="shared" si="3"/>
        <v>0</v>
      </c>
      <c r="T20" s="25">
        <f t="shared" si="4"/>
        <v>0</v>
      </c>
      <c r="U20" s="27">
        <f t="shared" si="5"/>
        <v>0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ht="15.75" customHeight="1">
      <c r="A21" s="22" t="s">
        <v>24</v>
      </c>
      <c r="B21" s="23">
        <f t="shared" si="6"/>
        <v>46038</v>
      </c>
      <c r="C21" s="24">
        <v>1.3</v>
      </c>
      <c r="D21" s="25" t="s">
        <v>28</v>
      </c>
      <c r="E21" s="21"/>
      <c r="F21" s="21"/>
      <c r="G21" s="18"/>
      <c r="I21" s="19"/>
      <c r="K21" s="19"/>
      <c r="M21" s="19"/>
      <c r="O21" s="19"/>
      <c r="Q21" s="26">
        <f t="shared" si="1"/>
        <v>0</v>
      </c>
      <c r="R21" s="25">
        <f t="shared" si="2"/>
        <v>0</v>
      </c>
      <c r="S21" s="25">
        <f t="shared" si="3"/>
        <v>0</v>
      </c>
      <c r="T21" s="25">
        <f t="shared" si="4"/>
        <v>0</v>
      </c>
      <c r="U21" s="27">
        <f t="shared" si="5"/>
        <v>0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ht="15.75" customHeight="1">
      <c r="A22" s="22" t="s">
        <v>25</v>
      </c>
      <c r="B22" s="23">
        <f t="shared" si="6"/>
        <v>46039</v>
      </c>
      <c r="C22" s="24">
        <v>1.3</v>
      </c>
      <c r="D22" s="25" t="s">
        <v>28</v>
      </c>
      <c r="E22" s="21"/>
      <c r="F22" s="21"/>
      <c r="G22" s="18"/>
      <c r="I22" s="19"/>
      <c r="K22" s="19"/>
      <c r="M22" s="19"/>
      <c r="O22" s="19"/>
      <c r="Q22" s="26">
        <f t="shared" si="1"/>
        <v>0</v>
      </c>
      <c r="R22" s="25">
        <f t="shared" si="2"/>
        <v>0</v>
      </c>
      <c r="S22" s="25">
        <f t="shared" si="3"/>
        <v>0</v>
      </c>
      <c r="T22" s="25">
        <f t="shared" si="4"/>
        <v>0</v>
      </c>
      <c r="U22" s="27">
        <f t="shared" si="5"/>
        <v>0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ht="15.75" customHeight="1">
      <c r="A23" s="28" t="s">
        <v>26</v>
      </c>
      <c r="B23" s="29">
        <f t="shared" si="6"/>
        <v>46040</v>
      </c>
      <c r="C23" s="30">
        <v>1.3</v>
      </c>
      <c r="D23" s="31" t="s">
        <v>28</v>
      </c>
      <c r="E23" s="32"/>
      <c r="F23" s="32"/>
      <c r="G23" s="33"/>
      <c r="H23" s="6"/>
      <c r="I23" s="34"/>
      <c r="J23" s="6"/>
      <c r="K23" s="34"/>
      <c r="L23" s="6"/>
      <c r="M23" s="34"/>
      <c r="N23" s="6"/>
      <c r="O23" s="34"/>
      <c r="P23" s="6"/>
      <c r="Q23" s="35">
        <f t="shared" si="1"/>
        <v>0</v>
      </c>
      <c r="R23" s="31">
        <f t="shared" si="2"/>
        <v>0</v>
      </c>
      <c r="S23" s="31">
        <f t="shared" si="3"/>
        <v>0</v>
      </c>
      <c r="T23" s="31">
        <f t="shared" si="4"/>
        <v>0</v>
      </c>
      <c r="U23" s="36">
        <f t="shared" si="5"/>
        <v>0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ht="15.75" customHeight="1">
      <c r="A24" s="13" t="s">
        <v>19</v>
      </c>
      <c r="B24" s="37">
        <f t="shared" si="6"/>
        <v>46041</v>
      </c>
      <c r="C24" s="15">
        <v>1.4</v>
      </c>
      <c r="D24" s="16" t="s">
        <v>29</v>
      </c>
      <c r="E24" s="17"/>
      <c r="F24" s="17"/>
      <c r="G24" s="18"/>
      <c r="I24" s="19"/>
      <c r="K24" s="19"/>
      <c r="M24" s="19"/>
      <c r="O24" s="19"/>
      <c r="Q24" s="20">
        <f t="shared" si="1"/>
        <v>0</v>
      </c>
      <c r="R24" s="16">
        <f t="shared" si="2"/>
        <v>0</v>
      </c>
      <c r="S24" s="16">
        <f t="shared" si="3"/>
        <v>0</v>
      </c>
      <c r="T24" s="16">
        <f t="shared" si="4"/>
        <v>0</v>
      </c>
      <c r="U24" s="38">
        <f t="shared" si="5"/>
        <v>0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ht="15.75" customHeight="1">
      <c r="A25" s="22" t="s">
        <v>21</v>
      </c>
      <c r="B25" s="23">
        <f t="shared" si="6"/>
        <v>46042</v>
      </c>
      <c r="C25" s="24">
        <v>1.4</v>
      </c>
      <c r="D25" s="25" t="s">
        <v>29</v>
      </c>
      <c r="E25" s="21"/>
      <c r="F25" s="21"/>
      <c r="G25" s="18"/>
      <c r="I25" s="19"/>
      <c r="K25" s="19"/>
      <c r="M25" s="19"/>
      <c r="O25" s="19"/>
      <c r="Q25" s="26">
        <f t="shared" si="1"/>
        <v>0</v>
      </c>
      <c r="R25" s="25">
        <f t="shared" si="2"/>
        <v>0</v>
      </c>
      <c r="S25" s="25">
        <f t="shared" si="3"/>
        <v>0</v>
      </c>
      <c r="T25" s="25">
        <f t="shared" si="4"/>
        <v>0</v>
      </c>
      <c r="U25" s="27">
        <f t="shared" si="5"/>
        <v>0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ht="15.75" customHeight="1">
      <c r="A26" s="22" t="s">
        <v>22</v>
      </c>
      <c r="B26" s="23">
        <f t="shared" si="6"/>
        <v>46043</v>
      </c>
      <c r="C26" s="24">
        <v>1.4</v>
      </c>
      <c r="D26" s="25" t="s">
        <v>29</v>
      </c>
      <c r="E26" s="21"/>
      <c r="F26" s="21"/>
      <c r="G26" s="18"/>
      <c r="I26" s="19"/>
      <c r="K26" s="19"/>
      <c r="M26" s="19"/>
      <c r="O26" s="19"/>
      <c r="Q26" s="26">
        <f t="shared" si="1"/>
        <v>0</v>
      </c>
      <c r="R26" s="25">
        <f t="shared" si="2"/>
        <v>0</v>
      </c>
      <c r="S26" s="25">
        <f t="shared" si="3"/>
        <v>0</v>
      </c>
      <c r="T26" s="25">
        <f t="shared" si="4"/>
        <v>0</v>
      </c>
      <c r="U26" s="27">
        <f t="shared" si="5"/>
        <v>0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ht="15.75" customHeight="1">
      <c r="A27" s="22" t="s">
        <v>23</v>
      </c>
      <c r="B27" s="23">
        <f t="shared" si="6"/>
        <v>46044</v>
      </c>
      <c r="C27" s="24">
        <v>1.4</v>
      </c>
      <c r="D27" s="25" t="s">
        <v>29</v>
      </c>
      <c r="E27" s="21"/>
      <c r="F27" s="21"/>
      <c r="G27" s="18"/>
      <c r="I27" s="19"/>
      <c r="K27" s="19"/>
      <c r="M27" s="19"/>
      <c r="O27" s="19"/>
      <c r="Q27" s="26">
        <f t="shared" si="1"/>
        <v>0</v>
      </c>
      <c r="R27" s="25">
        <f t="shared" si="2"/>
        <v>0</v>
      </c>
      <c r="S27" s="25">
        <f t="shared" si="3"/>
        <v>0</v>
      </c>
      <c r="T27" s="25">
        <f t="shared" si="4"/>
        <v>0</v>
      </c>
      <c r="U27" s="27">
        <f t="shared" si="5"/>
        <v>0</v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ht="15.75" customHeight="1">
      <c r="A28" s="22" t="s">
        <v>24</v>
      </c>
      <c r="B28" s="23">
        <f t="shared" si="6"/>
        <v>46045</v>
      </c>
      <c r="C28" s="24">
        <v>1.4</v>
      </c>
      <c r="D28" s="25" t="s">
        <v>29</v>
      </c>
      <c r="E28" s="21"/>
      <c r="F28" s="21"/>
      <c r="G28" s="18"/>
      <c r="I28" s="19"/>
      <c r="K28" s="19"/>
      <c r="M28" s="19"/>
      <c r="O28" s="19"/>
      <c r="Q28" s="26">
        <f t="shared" si="1"/>
        <v>0</v>
      </c>
      <c r="R28" s="25">
        <f t="shared" si="2"/>
        <v>0</v>
      </c>
      <c r="S28" s="25">
        <f t="shared" si="3"/>
        <v>0</v>
      </c>
      <c r="T28" s="25">
        <f t="shared" si="4"/>
        <v>0</v>
      </c>
      <c r="U28" s="27">
        <f t="shared" si="5"/>
        <v>0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ht="15.75" customHeight="1">
      <c r="A29" s="22" t="s">
        <v>25</v>
      </c>
      <c r="B29" s="23">
        <f t="shared" si="6"/>
        <v>46046</v>
      </c>
      <c r="C29" s="24">
        <v>1.4</v>
      </c>
      <c r="D29" s="25" t="s">
        <v>29</v>
      </c>
      <c r="E29" s="21"/>
      <c r="F29" s="21"/>
      <c r="G29" s="18"/>
      <c r="I29" s="19"/>
      <c r="K29" s="19"/>
      <c r="M29" s="19"/>
      <c r="O29" s="19"/>
      <c r="Q29" s="26">
        <f t="shared" si="1"/>
        <v>0</v>
      </c>
      <c r="R29" s="25">
        <f t="shared" si="2"/>
        <v>0</v>
      </c>
      <c r="S29" s="25">
        <f t="shared" si="3"/>
        <v>0</v>
      </c>
      <c r="T29" s="25">
        <f t="shared" si="4"/>
        <v>0</v>
      </c>
      <c r="U29" s="27">
        <f t="shared" si="5"/>
        <v>0</v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ht="15.75" customHeight="1">
      <c r="A30" s="28" t="s">
        <v>26</v>
      </c>
      <c r="B30" s="29">
        <f t="shared" si="6"/>
        <v>46047</v>
      </c>
      <c r="C30" s="30">
        <v>1.4</v>
      </c>
      <c r="D30" s="31" t="s">
        <v>29</v>
      </c>
      <c r="E30" s="32"/>
      <c r="F30" s="32"/>
      <c r="G30" s="33"/>
      <c r="H30" s="6"/>
      <c r="I30" s="34"/>
      <c r="J30" s="6"/>
      <c r="K30" s="34"/>
      <c r="L30" s="6"/>
      <c r="M30" s="34"/>
      <c r="N30" s="6"/>
      <c r="O30" s="34"/>
      <c r="P30" s="6"/>
      <c r="Q30" s="35">
        <f t="shared" si="1"/>
        <v>0</v>
      </c>
      <c r="R30" s="31">
        <f t="shared" si="2"/>
        <v>0</v>
      </c>
      <c r="S30" s="31">
        <f t="shared" si="3"/>
        <v>0</v>
      </c>
      <c r="T30" s="31">
        <f t="shared" si="4"/>
        <v>0</v>
      </c>
      <c r="U30" s="36">
        <f t="shared" si="5"/>
        <v>0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ht="15.75" customHeight="1">
      <c r="A31" s="13" t="s">
        <v>19</v>
      </c>
      <c r="B31" s="37">
        <f t="shared" si="6"/>
        <v>46048</v>
      </c>
      <c r="C31" s="15">
        <v>2.1</v>
      </c>
      <c r="D31" s="16" t="s">
        <v>20</v>
      </c>
      <c r="E31" s="17"/>
      <c r="F31" s="17"/>
      <c r="G31" s="18"/>
      <c r="I31" s="19"/>
      <c r="K31" s="19"/>
      <c r="M31" s="19"/>
      <c r="O31" s="19"/>
      <c r="Q31" s="20">
        <f t="shared" si="1"/>
        <v>0</v>
      </c>
      <c r="R31" s="16">
        <f t="shared" si="2"/>
        <v>0</v>
      </c>
      <c r="S31" s="16">
        <f t="shared" si="3"/>
        <v>0</v>
      </c>
      <c r="T31" s="16">
        <f t="shared" si="4"/>
        <v>0</v>
      </c>
      <c r="U31" s="38">
        <f t="shared" si="5"/>
        <v>0</v>
      </c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15.75" customHeight="1">
      <c r="A32" s="22" t="s">
        <v>21</v>
      </c>
      <c r="B32" s="23">
        <f t="shared" si="6"/>
        <v>46049</v>
      </c>
      <c r="C32" s="24">
        <v>2.1</v>
      </c>
      <c r="D32" s="25" t="s">
        <v>20</v>
      </c>
      <c r="E32" s="21"/>
      <c r="F32" s="21"/>
      <c r="G32" s="18"/>
      <c r="I32" s="19"/>
      <c r="K32" s="19"/>
      <c r="M32" s="19"/>
      <c r="O32" s="19"/>
      <c r="Q32" s="26">
        <f t="shared" si="1"/>
        <v>0</v>
      </c>
      <c r="R32" s="25">
        <f t="shared" si="2"/>
        <v>0</v>
      </c>
      <c r="S32" s="25">
        <f t="shared" si="3"/>
        <v>0</v>
      </c>
      <c r="T32" s="25">
        <f t="shared" si="4"/>
        <v>0</v>
      </c>
      <c r="U32" s="27">
        <f t="shared" si="5"/>
        <v>0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15.75" customHeight="1">
      <c r="A33" s="22" t="s">
        <v>22</v>
      </c>
      <c r="B33" s="23">
        <f t="shared" si="6"/>
        <v>46050</v>
      </c>
      <c r="C33" s="24">
        <v>2.1</v>
      </c>
      <c r="D33" s="25" t="s">
        <v>20</v>
      </c>
      <c r="E33" s="21"/>
      <c r="F33" s="21"/>
      <c r="G33" s="18"/>
      <c r="I33" s="19"/>
      <c r="K33" s="19"/>
      <c r="M33" s="19"/>
      <c r="O33" s="19"/>
      <c r="Q33" s="26">
        <f t="shared" si="1"/>
        <v>0</v>
      </c>
      <c r="R33" s="25">
        <f t="shared" si="2"/>
        <v>0</v>
      </c>
      <c r="S33" s="25">
        <f t="shared" si="3"/>
        <v>0</v>
      </c>
      <c r="T33" s="25">
        <f t="shared" si="4"/>
        <v>0</v>
      </c>
      <c r="U33" s="27">
        <f t="shared" si="5"/>
        <v>0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15.75" customHeight="1">
      <c r="A34" s="22" t="s">
        <v>23</v>
      </c>
      <c r="B34" s="23">
        <f t="shared" si="6"/>
        <v>46051</v>
      </c>
      <c r="C34" s="24">
        <v>2.1</v>
      </c>
      <c r="D34" s="25" t="s">
        <v>20</v>
      </c>
      <c r="E34" s="21"/>
      <c r="F34" s="21"/>
      <c r="G34" s="18"/>
      <c r="I34" s="19"/>
      <c r="K34" s="19"/>
      <c r="M34" s="19"/>
      <c r="O34" s="19"/>
      <c r="Q34" s="26">
        <f t="shared" si="1"/>
        <v>0</v>
      </c>
      <c r="R34" s="25">
        <f t="shared" si="2"/>
        <v>0</v>
      </c>
      <c r="S34" s="25">
        <f t="shared" si="3"/>
        <v>0</v>
      </c>
      <c r="T34" s="25">
        <f t="shared" si="4"/>
        <v>0</v>
      </c>
      <c r="U34" s="27">
        <f t="shared" si="5"/>
        <v>0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15.75" customHeight="1">
      <c r="A35" s="22" t="s">
        <v>24</v>
      </c>
      <c r="B35" s="23">
        <f t="shared" si="6"/>
        <v>46052</v>
      </c>
      <c r="C35" s="24">
        <v>2.1</v>
      </c>
      <c r="D35" s="25" t="s">
        <v>20</v>
      </c>
      <c r="E35" s="21"/>
      <c r="F35" s="21"/>
      <c r="G35" s="18"/>
      <c r="I35" s="19"/>
      <c r="K35" s="19"/>
      <c r="M35" s="19"/>
      <c r="O35" s="19"/>
      <c r="Q35" s="26">
        <f t="shared" si="1"/>
        <v>0</v>
      </c>
      <c r="R35" s="25">
        <f t="shared" si="2"/>
        <v>0</v>
      </c>
      <c r="S35" s="25">
        <f t="shared" si="3"/>
        <v>0</v>
      </c>
      <c r="T35" s="25">
        <f t="shared" si="4"/>
        <v>0</v>
      </c>
      <c r="U35" s="27">
        <f t="shared" si="5"/>
        <v>0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15.75" customHeight="1">
      <c r="A36" s="22" t="s">
        <v>25</v>
      </c>
      <c r="B36" s="23">
        <f t="shared" si="6"/>
        <v>46053</v>
      </c>
      <c r="C36" s="24">
        <v>2.1</v>
      </c>
      <c r="D36" s="25" t="s">
        <v>20</v>
      </c>
      <c r="E36" s="21"/>
      <c r="F36" s="21"/>
      <c r="G36" s="18"/>
      <c r="I36" s="19"/>
      <c r="K36" s="19"/>
      <c r="M36" s="19"/>
      <c r="O36" s="19"/>
      <c r="Q36" s="26">
        <f t="shared" si="1"/>
        <v>0</v>
      </c>
      <c r="R36" s="25">
        <f t="shared" si="2"/>
        <v>0</v>
      </c>
      <c r="S36" s="25">
        <f t="shared" si="3"/>
        <v>0</v>
      </c>
      <c r="T36" s="25">
        <f t="shared" si="4"/>
        <v>0</v>
      </c>
      <c r="U36" s="27">
        <f t="shared" si="5"/>
        <v>0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15.75" customHeight="1">
      <c r="A37" s="28" t="s">
        <v>26</v>
      </c>
      <c r="B37" s="29">
        <f t="shared" si="6"/>
        <v>46054</v>
      </c>
      <c r="C37" s="30">
        <v>2.1</v>
      </c>
      <c r="D37" s="31" t="s">
        <v>20</v>
      </c>
      <c r="E37" s="32"/>
      <c r="F37" s="32"/>
      <c r="G37" s="33"/>
      <c r="H37" s="6"/>
      <c r="I37" s="34"/>
      <c r="J37" s="6"/>
      <c r="K37" s="34"/>
      <c r="L37" s="6"/>
      <c r="M37" s="34"/>
      <c r="N37" s="6"/>
      <c r="O37" s="34"/>
      <c r="P37" s="6"/>
      <c r="Q37" s="35">
        <f t="shared" si="1"/>
        <v>0</v>
      </c>
      <c r="R37" s="31">
        <f t="shared" si="2"/>
        <v>0</v>
      </c>
      <c r="S37" s="31">
        <f t="shared" si="3"/>
        <v>0</v>
      </c>
      <c r="T37" s="31">
        <f t="shared" si="4"/>
        <v>0</v>
      </c>
      <c r="U37" s="36">
        <f t="shared" si="5"/>
        <v>0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5.75" customHeight="1">
      <c r="A38" s="13" t="s">
        <v>19</v>
      </c>
      <c r="B38" s="37">
        <f t="shared" si="6"/>
        <v>46055</v>
      </c>
      <c r="C38" s="15">
        <v>2.2</v>
      </c>
      <c r="D38" s="16" t="s">
        <v>27</v>
      </c>
      <c r="E38" s="17"/>
      <c r="F38" s="17"/>
      <c r="G38" s="18"/>
      <c r="I38" s="19"/>
      <c r="K38" s="19"/>
      <c r="M38" s="19"/>
      <c r="O38" s="19"/>
      <c r="Q38" s="20">
        <f t="shared" si="1"/>
        <v>0</v>
      </c>
      <c r="R38" s="16">
        <f t="shared" si="2"/>
        <v>0</v>
      </c>
      <c r="S38" s="16">
        <f t="shared" si="3"/>
        <v>0</v>
      </c>
      <c r="T38" s="16">
        <f t="shared" si="4"/>
        <v>0</v>
      </c>
      <c r="U38" s="38">
        <f t="shared" si="5"/>
        <v>0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5.75" customHeight="1">
      <c r="A39" s="22" t="s">
        <v>21</v>
      </c>
      <c r="B39" s="23">
        <f t="shared" si="6"/>
        <v>46056</v>
      </c>
      <c r="C39" s="24">
        <v>2.2</v>
      </c>
      <c r="D39" s="25" t="s">
        <v>27</v>
      </c>
      <c r="E39" s="21"/>
      <c r="F39" s="21"/>
      <c r="G39" s="18"/>
      <c r="I39" s="19"/>
      <c r="K39" s="19"/>
      <c r="M39" s="19"/>
      <c r="O39" s="19"/>
      <c r="Q39" s="26">
        <f t="shared" si="1"/>
        <v>0</v>
      </c>
      <c r="R39" s="25">
        <f t="shared" si="2"/>
        <v>0</v>
      </c>
      <c r="S39" s="25">
        <f t="shared" si="3"/>
        <v>0</v>
      </c>
      <c r="T39" s="25">
        <f t="shared" si="4"/>
        <v>0</v>
      </c>
      <c r="U39" s="27">
        <f t="shared" si="5"/>
        <v>0</v>
      </c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5.75" customHeight="1">
      <c r="A40" s="22" t="s">
        <v>22</v>
      </c>
      <c r="B40" s="23">
        <f t="shared" si="6"/>
        <v>46057</v>
      </c>
      <c r="C40" s="24">
        <v>2.2</v>
      </c>
      <c r="D40" s="25" t="s">
        <v>27</v>
      </c>
      <c r="E40" s="21"/>
      <c r="F40" s="21"/>
      <c r="G40" s="18"/>
      <c r="I40" s="19"/>
      <c r="K40" s="19"/>
      <c r="M40" s="19"/>
      <c r="O40" s="19"/>
      <c r="Q40" s="26">
        <f t="shared" si="1"/>
        <v>0</v>
      </c>
      <c r="R40" s="25">
        <f t="shared" si="2"/>
        <v>0</v>
      </c>
      <c r="S40" s="25">
        <f t="shared" si="3"/>
        <v>0</v>
      </c>
      <c r="T40" s="25">
        <f t="shared" si="4"/>
        <v>0</v>
      </c>
      <c r="U40" s="27">
        <f t="shared" si="5"/>
        <v>0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5.75" customHeight="1">
      <c r="A41" s="22" t="s">
        <v>23</v>
      </c>
      <c r="B41" s="23">
        <f t="shared" si="6"/>
        <v>46058</v>
      </c>
      <c r="C41" s="24">
        <v>2.2</v>
      </c>
      <c r="D41" s="25" t="s">
        <v>27</v>
      </c>
      <c r="E41" s="21"/>
      <c r="F41" s="21"/>
      <c r="G41" s="18"/>
      <c r="I41" s="19"/>
      <c r="K41" s="19"/>
      <c r="M41" s="19"/>
      <c r="O41" s="19"/>
      <c r="Q41" s="26">
        <f t="shared" si="1"/>
        <v>0</v>
      </c>
      <c r="R41" s="25">
        <f t="shared" si="2"/>
        <v>0</v>
      </c>
      <c r="S41" s="25">
        <f t="shared" si="3"/>
        <v>0</v>
      </c>
      <c r="T41" s="25">
        <f t="shared" si="4"/>
        <v>0</v>
      </c>
      <c r="U41" s="27">
        <f t="shared" si="5"/>
        <v>0</v>
      </c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5.75" customHeight="1">
      <c r="A42" s="22" t="s">
        <v>24</v>
      </c>
      <c r="B42" s="23">
        <f t="shared" si="6"/>
        <v>46059</v>
      </c>
      <c r="C42" s="24">
        <v>2.2</v>
      </c>
      <c r="D42" s="25" t="s">
        <v>27</v>
      </c>
      <c r="E42" s="21"/>
      <c r="F42" s="21"/>
      <c r="G42" s="18"/>
      <c r="I42" s="19"/>
      <c r="K42" s="19"/>
      <c r="M42" s="19"/>
      <c r="O42" s="19"/>
      <c r="Q42" s="26">
        <f t="shared" si="1"/>
        <v>0</v>
      </c>
      <c r="R42" s="25">
        <f t="shared" si="2"/>
        <v>0</v>
      </c>
      <c r="S42" s="25">
        <f t="shared" si="3"/>
        <v>0</v>
      </c>
      <c r="T42" s="25">
        <f t="shared" si="4"/>
        <v>0</v>
      </c>
      <c r="U42" s="27">
        <f t="shared" si="5"/>
        <v>0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5.75" customHeight="1">
      <c r="A43" s="22" t="s">
        <v>25</v>
      </c>
      <c r="B43" s="23">
        <f t="shared" si="6"/>
        <v>46060</v>
      </c>
      <c r="C43" s="24">
        <v>2.2</v>
      </c>
      <c r="D43" s="25" t="s">
        <v>27</v>
      </c>
      <c r="E43" s="21"/>
      <c r="F43" s="21"/>
      <c r="G43" s="18"/>
      <c r="I43" s="19"/>
      <c r="K43" s="19"/>
      <c r="M43" s="19"/>
      <c r="O43" s="19"/>
      <c r="Q43" s="26">
        <f t="shared" si="1"/>
        <v>0</v>
      </c>
      <c r="R43" s="25">
        <f t="shared" si="2"/>
        <v>0</v>
      </c>
      <c r="S43" s="25">
        <f t="shared" si="3"/>
        <v>0</v>
      </c>
      <c r="T43" s="25">
        <f t="shared" si="4"/>
        <v>0</v>
      </c>
      <c r="U43" s="27">
        <f t="shared" si="5"/>
        <v>0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5.75" customHeight="1">
      <c r="A44" s="28" t="s">
        <v>26</v>
      </c>
      <c r="B44" s="29">
        <f t="shared" si="6"/>
        <v>46061</v>
      </c>
      <c r="C44" s="30">
        <v>2.2</v>
      </c>
      <c r="D44" s="31" t="s">
        <v>27</v>
      </c>
      <c r="E44" s="32"/>
      <c r="F44" s="32"/>
      <c r="G44" s="33"/>
      <c r="H44" s="6"/>
      <c r="I44" s="34"/>
      <c r="J44" s="6"/>
      <c r="K44" s="34"/>
      <c r="L44" s="6"/>
      <c r="M44" s="34"/>
      <c r="N44" s="6"/>
      <c r="O44" s="34"/>
      <c r="P44" s="6"/>
      <c r="Q44" s="35">
        <f t="shared" si="1"/>
        <v>0</v>
      </c>
      <c r="R44" s="31">
        <f t="shared" si="2"/>
        <v>0</v>
      </c>
      <c r="S44" s="31">
        <f t="shared" si="3"/>
        <v>0</v>
      </c>
      <c r="T44" s="31">
        <f t="shared" si="4"/>
        <v>0</v>
      </c>
      <c r="U44" s="36">
        <f t="shared" si="5"/>
        <v>0</v>
      </c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5.75" customHeight="1">
      <c r="A45" s="13" t="s">
        <v>19</v>
      </c>
      <c r="B45" s="37">
        <f t="shared" si="6"/>
        <v>46062</v>
      </c>
      <c r="C45" s="15">
        <v>2.3</v>
      </c>
      <c r="D45" s="16" t="s">
        <v>28</v>
      </c>
      <c r="E45" s="17"/>
      <c r="F45" s="17"/>
      <c r="G45" s="18"/>
      <c r="I45" s="19"/>
      <c r="K45" s="19"/>
      <c r="M45" s="19"/>
      <c r="O45" s="19"/>
      <c r="Q45" s="20">
        <f t="shared" si="1"/>
        <v>0</v>
      </c>
      <c r="R45" s="16">
        <f t="shared" si="2"/>
        <v>0</v>
      </c>
      <c r="S45" s="16">
        <f t="shared" si="3"/>
        <v>0</v>
      </c>
      <c r="T45" s="16">
        <f t="shared" si="4"/>
        <v>0</v>
      </c>
      <c r="U45" s="38">
        <f t="shared" si="5"/>
        <v>0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5.75" customHeight="1">
      <c r="A46" s="22" t="s">
        <v>21</v>
      </c>
      <c r="B46" s="23">
        <f t="shared" si="6"/>
        <v>46063</v>
      </c>
      <c r="C46" s="24">
        <v>2.3</v>
      </c>
      <c r="D46" s="25" t="s">
        <v>28</v>
      </c>
      <c r="E46" s="21"/>
      <c r="F46" s="21"/>
      <c r="G46" s="18"/>
      <c r="I46" s="19"/>
      <c r="K46" s="19"/>
      <c r="M46" s="19"/>
      <c r="O46" s="19"/>
      <c r="Q46" s="26">
        <f t="shared" si="1"/>
        <v>0</v>
      </c>
      <c r="R46" s="25">
        <f t="shared" si="2"/>
        <v>0</v>
      </c>
      <c r="S46" s="25">
        <f t="shared" si="3"/>
        <v>0</v>
      </c>
      <c r="T46" s="25">
        <f t="shared" si="4"/>
        <v>0</v>
      </c>
      <c r="U46" s="27">
        <f t="shared" si="5"/>
        <v>0</v>
      </c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5.75" customHeight="1">
      <c r="A47" s="22" t="s">
        <v>22</v>
      </c>
      <c r="B47" s="23">
        <f t="shared" si="6"/>
        <v>46064</v>
      </c>
      <c r="C47" s="24">
        <v>2.3</v>
      </c>
      <c r="D47" s="25" t="s">
        <v>28</v>
      </c>
      <c r="E47" s="21"/>
      <c r="F47" s="21"/>
      <c r="G47" s="18"/>
      <c r="I47" s="19"/>
      <c r="K47" s="19"/>
      <c r="M47" s="19"/>
      <c r="O47" s="19"/>
      <c r="Q47" s="26">
        <f t="shared" si="1"/>
        <v>0</v>
      </c>
      <c r="R47" s="25">
        <f t="shared" si="2"/>
        <v>0</v>
      </c>
      <c r="S47" s="25">
        <f t="shared" si="3"/>
        <v>0</v>
      </c>
      <c r="T47" s="25">
        <f t="shared" si="4"/>
        <v>0</v>
      </c>
      <c r="U47" s="27">
        <f t="shared" si="5"/>
        <v>0</v>
      </c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5.75" customHeight="1">
      <c r="A48" s="22" t="s">
        <v>23</v>
      </c>
      <c r="B48" s="23">
        <f t="shared" si="6"/>
        <v>46065</v>
      </c>
      <c r="C48" s="24">
        <v>2.3</v>
      </c>
      <c r="D48" s="25" t="s">
        <v>28</v>
      </c>
      <c r="E48" s="21"/>
      <c r="F48" s="21"/>
      <c r="G48" s="18"/>
      <c r="I48" s="19"/>
      <c r="K48" s="19"/>
      <c r="M48" s="19"/>
      <c r="O48" s="19"/>
      <c r="Q48" s="26">
        <f t="shared" si="1"/>
        <v>0</v>
      </c>
      <c r="R48" s="25">
        <f t="shared" si="2"/>
        <v>0</v>
      </c>
      <c r="S48" s="25">
        <f t="shared" si="3"/>
        <v>0</v>
      </c>
      <c r="T48" s="25">
        <f t="shared" si="4"/>
        <v>0</v>
      </c>
      <c r="U48" s="27">
        <f t="shared" si="5"/>
        <v>0</v>
      </c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5.75" customHeight="1">
      <c r="A49" s="22" t="s">
        <v>24</v>
      </c>
      <c r="B49" s="23">
        <f t="shared" si="6"/>
        <v>46066</v>
      </c>
      <c r="C49" s="24">
        <v>2.3</v>
      </c>
      <c r="D49" s="25" t="s">
        <v>28</v>
      </c>
      <c r="E49" s="21"/>
      <c r="F49" s="21"/>
      <c r="G49" s="18"/>
      <c r="I49" s="19"/>
      <c r="K49" s="19"/>
      <c r="M49" s="19"/>
      <c r="O49" s="19"/>
      <c r="Q49" s="26">
        <f t="shared" si="1"/>
        <v>0</v>
      </c>
      <c r="R49" s="25">
        <f t="shared" si="2"/>
        <v>0</v>
      </c>
      <c r="S49" s="25">
        <f t="shared" si="3"/>
        <v>0</v>
      </c>
      <c r="T49" s="25">
        <f t="shared" si="4"/>
        <v>0</v>
      </c>
      <c r="U49" s="27">
        <f t="shared" si="5"/>
        <v>0</v>
      </c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5.75" customHeight="1">
      <c r="A50" s="22" t="s">
        <v>25</v>
      </c>
      <c r="B50" s="23">
        <f t="shared" si="6"/>
        <v>46067</v>
      </c>
      <c r="C50" s="24">
        <v>2.3</v>
      </c>
      <c r="D50" s="25" t="s">
        <v>28</v>
      </c>
      <c r="E50" s="21"/>
      <c r="F50" s="21"/>
      <c r="G50" s="18"/>
      <c r="I50" s="19"/>
      <c r="K50" s="19"/>
      <c r="M50" s="19"/>
      <c r="O50" s="19"/>
      <c r="Q50" s="26">
        <f t="shared" si="1"/>
        <v>0</v>
      </c>
      <c r="R50" s="25">
        <f t="shared" si="2"/>
        <v>0</v>
      </c>
      <c r="S50" s="25">
        <f t="shared" si="3"/>
        <v>0</v>
      </c>
      <c r="T50" s="25">
        <f t="shared" si="4"/>
        <v>0</v>
      </c>
      <c r="U50" s="27">
        <f t="shared" si="5"/>
        <v>0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5.75" customHeight="1">
      <c r="A51" s="28" t="s">
        <v>26</v>
      </c>
      <c r="B51" s="29">
        <f t="shared" si="6"/>
        <v>46068</v>
      </c>
      <c r="C51" s="30">
        <v>2.3</v>
      </c>
      <c r="D51" s="31" t="s">
        <v>28</v>
      </c>
      <c r="E51" s="32"/>
      <c r="F51" s="32"/>
      <c r="G51" s="33"/>
      <c r="H51" s="6"/>
      <c r="I51" s="34"/>
      <c r="J51" s="6"/>
      <c r="K51" s="34"/>
      <c r="L51" s="6"/>
      <c r="M51" s="34"/>
      <c r="N51" s="6"/>
      <c r="O51" s="34"/>
      <c r="P51" s="6"/>
      <c r="Q51" s="35">
        <f t="shared" si="1"/>
        <v>0</v>
      </c>
      <c r="R51" s="31">
        <f t="shared" si="2"/>
        <v>0</v>
      </c>
      <c r="S51" s="31">
        <f t="shared" si="3"/>
        <v>0</v>
      </c>
      <c r="T51" s="31">
        <f t="shared" si="4"/>
        <v>0</v>
      </c>
      <c r="U51" s="36">
        <f t="shared" si="5"/>
        <v>0</v>
      </c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5.75" customHeight="1">
      <c r="A52" s="13" t="s">
        <v>19</v>
      </c>
      <c r="B52" s="37">
        <f t="shared" si="6"/>
        <v>46069</v>
      </c>
      <c r="C52" s="15">
        <v>2.4</v>
      </c>
      <c r="D52" s="16" t="s">
        <v>29</v>
      </c>
      <c r="E52" s="17"/>
      <c r="F52" s="17"/>
      <c r="G52" s="18"/>
      <c r="I52" s="19"/>
      <c r="K52" s="19"/>
      <c r="M52" s="19"/>
      <c r="O52" s="19"/>
      <c r="Q52" s="20">
        <f t="shared" si="1"/>
        <v>0</v>
      </c>
      <c r="R52" s="16">
        <f t="shared" si="2"/>
        <v>0</v>
      </c>
      <c r="S52" s="16">
        <f t="shared" si="3"/>
        <v>0</v>
      </c>
      <c r="T52" s="16">
        <f t="shared" si="4"/>
        <v>0</v>
      </c>
      <c r="U52" s="38">
        <f t="shared" si="5"/>
        <v>0</v>
      </c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5.75" customHeight="1">
      <c r="A53" s="22" t="s">
        <v>21</v>
      </c>
      <c r="B53" s="23">
        <f t="shared" si="6"/>
        <v>46070</v>
      </c>
      <c r="C53" s="24">
        <v>2.4</v>
      </c>
      <c r="D53" s="25" t="s">
        <v>29</v>
      </c>
      <c r="E53" s="21"/>
      <c r="F53" s="21"/>
      <c r="G53" s="18"/>
      <c r="I53" s="19"/>
      <c r="K53" s="19"/>
      <c r="M53" s="19"/>
      <c r="O53" s="19"/>
      <c r="Q53" s="26">
        <f t="shared" si="1"/>
        <v>0</v>
      </c>
      <c r="R53" s="25">
        <f t="shared" si="2"/>
        <v>0</v>
      </c>
      <c r="S53" s="25">
        <f t="shared" si="3"/>
        <v>0</v>
      </c>
      <c r="T53" s="25">
        <f t="shared" si="4"/>
        <v>0</v>
      </c>
      <c r="U53" s="27">
        <f t="shared" si="5"/>
        <v>0</v>
      </c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5.75" customHeight="1">
      <c r="A54" s="22" t="s">
        <v>22</v>
      </c>
      <c r="B54" s="23">
        <f t="shared" si="6"/>
        <v>46071</v>
      </c>
      <c r="C54" s="24">
        <v>2.4</v>
      </c>
      <c r="D54" s="25" t="s">
        <v>29</v>
      </c>
      <c r="E54" s="21"/>
      <c r="F54" s="21"/>
      <c r="G54" s="18"/>
      <c r="I54" s="19"/>
      <c r="K54" s="19"/>
      <c r="M54" s="19"/>
      <c r="O54" s="19"/>
      <c r="Q54" s="26">
        <f t="shared" si="1"/>
        <v>0</v>
      </c>
      <c r="R54" s="25">
        <f t="shared" si="2"/>
        <v>0</v>
      </c>
      <c r="S54" s="25">
        <f t="shared" si="3"/>
        <v>0</v>
      </c>
      <c r="T54" s="25">
        <f t="shared" si="4"/>
        <v>0</v>
      </c>
      <c r="U54" s="27">
        <f t="shared" si="5"/>
        <v>0</v>
      </c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5.75" customHeight="1">
      <c r="A55" s="22" t="s">
        <v>23</v>
      </c>
      <c r="B55" s="23">
        <f t="shared" si="6"/>
        <v>46072</v>
      </c>
      <c r="C55" s="24">
        <v>2.4</v>
      </c>
      <c r="D55" s="25" t="s">
        <v>29</v>
      </c>
      <c r="E55" s="21"/>
      <c r="F55" s="21"/>
      <c r="G55" s="18"/>
      <c r="I55" s="19"/>
      <c r="K55" s="19"/>
      <c r="M55" s="19"/>
      <c r="O55" s="19"/>
      <c r="Q55" s="26">
        <f t="shared" si="1"/>
        <v>0</v>
      </c>
      <c r="R55" s="25">
        <f t="shared" si="2"/>
        <v>0</v>
      </c>
      <c r="S55" s="25">
        <f t="shared" si="3"/>
        <v>0</v>
      </c>
      <c r="T55" s="25">
        <f t="shared" si="4"/>
        <v>0</v>
      </c>
      <c r="U55" s="27">
        <f t="shared" si="5"/>
        <v>0</v>
      </c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5.75" customHeight="1">
      <c r="A56" s="22" t="s">
        <v>24</v>
      </c>
      <c r="B56" s="23">
        <f t="shared" si="6"/>
        <v>46073</v>
      </c>
      <c r="C56" s="24">
        <v>2.4</v>
      </c>
      <c r="D56" s="25" t="s">
        <v>29</v>
      </c>
      <c r="E56" s="21"/>
      <c r="F56" s="21"/>
      <c r="G56" s="18"/>
      <c r="I56" s="19"/>
      <c r="K56" s="19"/>
      <c r="M56" s="19"/>
      <c r="O56" s="19"/>
      <c r="Q56" s="26">
        <f t="shared" si="1"/>
        <v>0</v>
      </c>
      <c r="R56" s="25">
        <f t="shared" si="2"/>
        <v>0</v>
      </c>
      <c r="S56" s="25">
        <f t="shared" si="3"/>
        <v>0</v>
      </c>
      <c r="T56" s="25">
        <f t="shared" si="4"/>
        <v>0</v>
      </c>
      <c r="U56" s="27">
        <f t="shared" si="5"/>
        <v>0</v>
      </c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5.75" customHeight="1">
      <c r="A57" s="22" t="s">
        <v>25</v>
      </c>
      <c r="B57" s="23">
        <f t="shared" si="6"/>
        <v>46074</v>
      </c>
      <c r="C57" s="24">
        <v>2.4</v>
      </c>
      <c r="D57" s="25" t="s">
        <v>29</v>
      </c>
      <c r="E57" s="21"/>
      <c r="F57" s="21"/>
      <c r="G57" s="18"/>
      <c r="I57" s="19"/>
      <c r="K57" s="19"/>
      <c r="M57" s="19"/>
      <c r="O57" s="19"/>
      <c r="Q57" s="26">
        <f t="shared" si="1"/>
        <v>0</v>
      </c>
      <c r="R57" s="25">
        <f t="shared" si="2"/>
        <v>0</v>
      </c>
      <c r="S57" s="25">
        <f t="shared" si="3"/>
        <v>0</v>
      </c>
      <c r="T57" s="25">
        <f t="shared" si="4"/>
        <v>0</v>
      </c>
      <c r="U57" s="27">
        <f t="shared" si="5"/>
        <v>0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5.75" customHeight="1">
      <c r="A58" s="28" t="s">
        <v>26</v>
      </c>
      <c r="B58" s="29">
        <f t="shared" si="6"/>
        <v>46075</v>
      </c>
      <c r="C58" s="30">
        <v>2.4</v>
      </c>
      <c r="D58" s="31" t="s">
        <v>29</v>
      </c>
      <c r="E58" s="32"/>
      <c r="F58" s="32"/>
      <c r="G58" s="33"/>
      <c r="H58" s="6"/>
      <c r="I58" s="34"/>
      <c r="J58" s="6"/>
      <c r="K58" s="34"/>
      <c r="L58" s="6"/>
      <c r="M58" s="34"/>
      <c r="N58" s="6"/>
      <c r="O58" s="34"/>
      <c r="P58" s="6"/>
      <c r="Q58" s="35">
        <f t="shared" si="1"/>
        <v>0</v>
      </c>
      <c r="R58" s="31">
        <f t="shared" si="2"/>
        <v>0</v>
      </c>
      <c r="S58" s="31">
        <f t="shared" si="3"/>
        <v>0</v>
      </c>
      <c r="T58" s="31">
        <f t="shared" si="4"/>
        <v>0</v>
      </c>
      <c r="U58" s="36">
        <f t="shared" si="5"/>
        <v>0</v>
      </c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5.75" customHeight="1">
      <c r="A59" s="13" t="s">
        <v>19</v>
      </c>
      <c r="B59" s="37">
        <f t="shared" si="6"/>
        <v>46076</v>
      </c>
      <c r="C59" s="15">
        <v>3.1</v>
      </c>
      <c r="D59" s="16" t="s">
        <v>20</v>
      </c>
      <c r="E59" s="17"/>
      <c r="F59" s="17"/>
      <c r="G59" s="18"/>
      <c r="I59" s="19"/>
      <c r="K59" s="19"/>
      <c r="M59" s="19"/>
      <c r="O59" s="19"/>
      <c r="Q59" s="20">
        <f t="shared" si="1"/>
        <v>0</v>
      </c>
      <c r="R59" s="16">
        <f t="shared" si="2"/>
        <v>0</v>
      </c>
      <c r="S59" s="16">
        <f t="shared" si="3"/>
        <v>0</v>
      </c>
      <c r="T59" s="16">
        <f t="shared" si="4"/>
        <v>0</v>
      </c>
      <c r="U59" s="38">
        <f t="shared" si="5"/>
        <v>0</v>
      </c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5.75" customHeight="1">
      <c r="A60" s="22" t="s">
        <v>21</v>
      </c>
      <c r="B60" s="23">
        <f t="shared" si="6"/>
        <v>46077</v>
      </c>
      <c r="C60" s="24">
        <v>3.1</v>
      </c>
      <c r="D60" s="25" t="s">
        <v>20</v>
      </c>
      <c r="E60" s="21"/>
      <c r="F60" s="21"/>
      <c r="G60" s="18"/>
      <c r="I60" s="19"/>
      <c r="K60" s="19"/>
      <c r="M60" s="19"/>
      <c r="O60" s="19"/>
      <c r="Q60" s="26">
        <f t="shared" si="1"/>
        <v>0</v>
      </c>
      <c r="R60" s="25">
        <f t="shared" si="2"/>
        <v>0</v>
      </c>
      <c r="S60" s="25">
        <f t="shared" si="3"/>
        <v>0</v>
      </c>
      <c r="T60" s="25">
        <f t="shared" si="4"/>
        <v>0</v>
      </c>
      <c r="U60" s="27">
        <f t="shared" si="5"/>
        <v>0</v>
      </c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5.75" customHeight="1">
      <c r="A61" s="22" t="s">
        <v>22</v>
      </c>
      <c r="B61" s="23">
        <f t="shared" si="6"/>
        <v>46078</v>
      </c>
      <c r="C61" s="24">
        <v>3.1</v>
      </c>
      <c r="D61" s="25" t="s">
        <v>20</v>
      </c>
      <c r="E61" s="21"/>
      <c r="F61" s="21"/>
      <c r="G61" s="18"/>
      <c r="I61" s="19"/>
      <c r="K61" s="19"/>
      <c r="M61" s="19"/>
      <c r="O61" s="19"/>
      <c r="Q61" s="26">
        <f t="shared" si="1"/>
        <v>0</v>
      </c>
      <c r="R61" s="25">
        <f t="shared" si="2"/>
        <v>0</v>
      </c>
      <c r="S61" s="25">
        <f t="shared" si="3"/>
        <v>0</v>
      </c>
      <c r="T61" s="25">
        <f t="shared" si="4"/>
        <v>0</v>
      </c>
      <c r="U61" s="27">
        <f t="shared" si="5"/>
        <v>0</v>
      </c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5.75" customHeight="1">
      <c r="A62" s="22" t="s">
        <v>23</v>
      </c>
      <c r="B62" s="23">
        <f t="shared" si="6"/>
        <v>46079</v>
      </c>
      <c r="C62" s="24">
        <v>3.1</v>
      </c>
      <c r="D62" s="25" t="s">
        <v>20</v>
      </c>
      <c r="E62" s="21"/>
      <c r="F62" s="21"/>
      <c r="G62" s="18"/>
      <c r="I62" s="19"/>
      <c r="K62" s="19"/>
      <c r="M62" s="19"/>
      <c r="O62" s="19"/>
      <c r="Q62" s="26">
        <f t="shared" si="1"/>
        <v>0</v>
      </c>
      <c r="R62" s="25">
        <f t="shared" si="2"/>
        <v>0</v>
      </c>
      <c r="S62" s="25">
        <f t="shared" si="3"/>
        <v>0</v>
      </c>
      <c r="T62" s="25">
        <f t="shared" si="4"/>
        <v>0</v>
      </c>
      <c r="U62" s="27">
        <f t="shared" si="5"/>
        <v>0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5.75" customHeight="1">
      <c r="A63" s="22" t="s">
        <v>24</v>
      </c>
      <c r="B63" s="23">
        <f t="shared" si="6"/>
        <v>46080</v>
      </c>
      <c r="C63" s="24">
        <v>3.1</v>
      </c>
      <c r="D63" s="25" t="s">
        <v>20</v>
      </c>
      <c r="E63" s="21"/>
      <c r="F63" s="21"/>
      <c r="G63" s="18"/>
      <c r="I63" s="19"/>
      <c r="K63" s="19"/>
      <c r="M63" s="19"/>
      <c r="O63" s="19"/>
      <c r="Q63" s="26">
        <f t="shared" si="1"/>
        <v>0</v>
      </c>
      <c r="R63" s="25">
        <f t="shared" si="2"/>
        <v>0</v>
      </c>
      <c r="S63" s="25">
        <f t="shared" si="3"/>
        <v>0</v>
      </c>
      <c r="T63" s="25">
        <f t="shared" si="4"/>
        <v>0</v>
      </c>
      <c r="U63" s="27">
        <f t="shared" si="5"/>
        <v>0</v>
      </c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5.75" customHeight="1">
      <c r="A64" s="22" t="s">
        <v>25</v>
      </c>
      <c r="B64" s="23">
        <f t="shared" si="6"/>
        <v>46081</v>
      </c>
      <c r="C64" s="24">
        <v>3.1</v>
      </c>
      <c r="D64" s="25" t="s">
        <v>20</v>
      </c>
      <c r="E64" s="21"/>
      <c r="F64" s="21"/>
      <c r="G64" s="18"/>
      <c r="I64" s="19"/>
      <c r="K64" s="19"/>
      <c r="M64" s="19"/>
      <c r="O64" s="19"/>
      <c r="Q64" s="26">
        <f t="shared" si="1"/>
        <v>0</v>
      </c>
      <c r="R64" s="25">
        <f t="shared" si="2"/>
        <v>0</v>
      </c>
      <c r="S64" s="25">
        <f t="shared" si="3"/>
        <v>0</v>
      </c>
      <c r="T64" s="25">
        <f t="shared" si="4"/>
        <v>0</v>
      </c>
      <c r="U64" s="27">
        <f t="shared" si="5"/>
        <v>0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5.75" customHeight="1">
      <c r="A65" s="28" t="s">
        <v>26</v>
      </c>
      <c r="B65" s="29">
        <f t="shared" si="6"/>
        <v>46082</v>
      </c>
      <c r="C65" s="30">
        <v>3.1</v>
      </c>
      <c r="D65" s="31" t="s">
        <v>20</v>
      </c>
      <c r="E65" s="32"/>
      <c r="F65" s="32"/>
      <c r="G65" s="33"/>
      <c r="H65" s="6"/>
      <c r="I65" s="34"/>
      <c r="J65" s="6"/>
      <c r="K65" s="34"/>
      <c r="L65" s="6"/>
      <c r="M65" s="34"/>
      <c r="N65" s="6"/>
      <c r="O65" s="34"/>
      <c r="P65" s="6"/>
      <c r="Q65" s="35">
        <f t="shared" si="1"/>
        <v>0</v>
      </c>
      <c r="R65" s="31">
        <f t="shared" si="2"/>
        <v>0</v>
      </c>
      <c r="S65" s="31">
        <f t="shared" si="3"/>
        <v>0</v>
      </c>
      <c r="T65" s="31">
        <f t="shared" si="4"/>
        <v>0</v>
      </c>
      <c r="U65" s="36">
        <f t="shared" si="5"/>
        <v>0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5.75" customHeight="1">
      <c r="A66" s="13" t="s">
        <v>19</v>
      </c>
      <c r="B66" s="37">
        <f t="shared" si="6"/>
        <v>46083</v>
      </c>
      <c r="C66" s="15">
        <v>3.2</v>
      </c>
      <c r="D66" s="16" t="s">
        <v>27</v>
      </c>
      <c r="E66" s="17"/>
      <c r="F66" s="17"/>
      <c r="G66" s="18"/>
      <c r="I66" s="19"/>
      <c r="K66" s="19"/>
      <c r="M66" s="19"/>
      <c r="O66" s="19"/>
      <c r="Q66" s="20">
        <f t="shared" si="1"/>
        <v>0</v>
      </c>
      <c r="R66" s="16">
        <f t="shared" si="2"/>
        <v>0</v>
      </c>
      <c r="S66" s="16">
        <f t="shared" si="3"/>
        <v>0</v>
      </c>
      <c r="T66" s="16">
        <f t="shared" si="4"/>
        <v>0</v>
      </c>
      <c r="U66" s="38">
        <f t="shared" si="5"/>
        <v>0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5.75" customHeight="1">
      <c r="A67" s="22" t="s">
        <v>21</v>
      </c>
      <c r="B67" s="23">
        <f t="shared" si="6"/>
        <v>46084</v>
      </c>
      <c r="C67" s="24">
        <v>3.2</v>
      </c>
      <c r="D67" s="25" t="s">
        <v>27</v>
      </c>
      <c r="E67" s="21"/>
      <c r="F67" s="21"/>
      <c r="G67" s="18"/>
      <c r="I67" s="19"/>
      <c r="K67" s="19"/>
      <c r="M67" s="19"/>
      <c r="O67" s="19"/>
      <c r="Q67" s="26">
        <f t="shared" si="1"/>
        <v>0</v>
      </c>
      <c r="R67" s="25">
        <f t="shared" si="2"/>
        <v>0</v>
      </c>
      <c r="S67" s="25">
        <f t="shared" si="3"/>
        <v>0</v>
      </c>
      <c r="T67" s="25">
        <f t="shared" si="4"/>
        <v>0</v>
      </c>
      <c r="U67" s="27">
        <f t="shared" si="5"/>
        <v>0</v>
      </c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5.75" customHeight="1">
      <c r="A68" s="22" t="s">
        <v>22</v>
      </c>
      <c r="B68" s="23">
        <f t="shared" si="6"/>
        <v>46085</v>
      </c>
      <c r="C68" s="24">
        <v>3.2</v>
      </c>
      <c r="D68" s="25" t="s">
        <v>27</v>
      </c>
      <c r="E68" s="21"/>
      <c r="F68" s="21"/>
      <c r="G68" s="18"/>
      <c r="I68" s="19"/>
      <c r="K68" s="19"/>
      <c r="M68" s="19"/>
      <c r="O68" s="19"/>
      <c r="Q68" s="26">
        <f t="shared" si="1"/>
        <v>0</v>
      </c>
      <c r="R68" s="25">
        <f t="shared" si="2"/>
        <v>0</v>
      </c>
      <c r="S68" s="25">
        <f t="shared" si="3"/>
        <v>0</v>
      </c>
      <c r="T68" s="25">
        <f t="shared" si="4"/>
        <v>0</v>
      </c>
      <c r="U68" s="27">
        <f t="shared" si="5"/>
        <v>0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5.75" customHeight="1">
      <c r="A69" s="22" t="s">
        <v>23</v>
      </c>
      <c r="B69" s="23">
        <f t="shared" si="6"/>
        <v>46086</v>
      </c>
      <c r="C69" s="24">
        <v>3.2</v>
      </c>
      <c r="D69" s="25" t="s">
        <v>27</v>
      </c>
      <c r="E69" s="21"/>
      <c r="F69" s="21"/>
      <c r="G69" s="18"/>
      <c r="I69" s="19"/>
      <c r="K69" s="19"/>
      <c r="M69" s="19"/>
      <c r="O69" s="19"/>
      <c r="Q69" s="26">
        <f t="shared" si="1"/>
        <v>0</v>
      </c>
      <c r="R69" s="25">
        <f t="shared" si="2"/>
        <v>0</v>
      </c>
      <c r="S69" s="25">
        <f t="shared" si="3"/>
        <v>0</v>
      </c>
      <c r="T69" s="25">
        <f t="shared" si="4"/>
        <v>0</v>
      </c>
      <c r="U69" s="27">
        <f t="shared" si="5"/>
        <v>0</v>
      </c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5.75" customHeight="1">
      <c r="A70" s="22" t="s">
        <v>24</v>
      </c>
      <c r="B70" s="23">
        <f t="shared" si="6"/>
        <v>46087</v>
      </c>
      <c r="C70" s="24">
        <v>3.2</v>
      </c>
      <c r="D70" s="25" t="s">
        <v>27</v>
      </c>
      <c r="E70" s="21"/>
      <c r="F70" s="21"/>
      <c r="G70" s="18"/>
      <c r="I70" s="19"/>
      <c r="K70" s="19"/>
      <c r="M70" s="19"/>
      <c r="O70" s="19"/>
      <c r="Q70" s="26">
        <f t="shared" si="1"/>
        <v>0</v>
      </c>
      <c r="R70" s="25">
        <f t="shared" si="2"/>
        <v>0</v>
      </c>
      <c r="S70" s="25">
        <f t="shared" si="3"/>
        <v>0</v>
      </c>
      <c r="T70" s="25">
        <f t="shared" si="4"/>
        <v>0</v>
      </c>
      <c r="U70" s="27">
        <f t="shared" si="5"/>
        <v>0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5.75" customHeight="1">
      <c r="A71" s="22" t="s">
        <v>25</v>
      </c>
      <c r="B71" s="23">
        <f t="shared" si="6"/>
        <v>46088</v>
      </c>
      <c r="C71" s="24">
        <v>3.2</v>
      </c>
      <c r="D71" s="25" t="s">
        <v>27</v>
      </c>
      <c r="E71" s="21"/>
      <c r="F71" s="21"/>
      <c r="G71" s="18"/>
      <c r="I71" s="19"/>
      <c r="K71" s="19"/>
      <c r="M71" s="19"/>
      <c r="O71" s="19"/>
      <c r="Q71" s="26">
        <f t="shared" si="1"/>
        <v>0</v>
      </c>
      <c r="R71" s="25">
        <f t="shared" si="2"/>
        <v>0</v>
      </c>
      <c r="S71" s="25">
        <f t="shared" si="3"/>
        <v>0</v>
      </c>
      <c r="T71" s="25">
        <f t="shared" si="4"/>
        <v>0</v>
      </c>
      <c r="U71" s="27">
        <f t="shared" si="5"/>
        <v>0</v>
      </c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5.75" customHeight="1">
      <c r="A72" s="28" t="s">
        <v>26</v>
      </c>
      <c r="B72" s="29">
        <f t="shared" si="6"/>
        <v>46089</v>
      </c>
      <c r="C72" s="30">
        <v>3.2</v>
      </c>
      <c r="D72" s="31" t="s">
        <v>27</v>
      </c>
      <c r="E72" s="32"/>
      <c r="F72" s="32"/>
      <c r="G72" s="33"/>
      <c r="H72" s="6"/>
      <c r="I72" s="34"/>
      <c r="J72" s="6"/>
      <c r="K72" s="34"/>
      <c r="L72" s="6"/>
      <c r="M72" s="34"/>
      <c r="N72" s="6"/>
      <c r="O72" s="34"/>
      <c r="P72" s="6"/>
      <c r="Q72" s="35">
        <f t="shared" si="1"/>
        <v>0</v>
      </c>
      <c r="R72" s="31">
        <f t="shared" si="2"/>
        <v>0</v>
      </c>
      <c r="S72" s="31">
        <f t="shared" si="3"/>
        <v>0</v>
      </c>
      <c r="T72" s="31">
        <f t="shared" si="4"/>
        <v>0</v>
      </c>
      <c r="U72" s="36">
        <f t="shared" si="5"/>
        <v>0</v>
      </c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5.75" customHeight="1">
      <c r="A73" s="13" t="s">
        <v>19</v>
      </c>
      <c r="B73" s="37">
        <f t="shared" si="6"/>
        <v>46090</v>
      </c>
      <c r="C73" s="15">
        <v>3.3</v>
      </c>
      <c r="D73" s="16" t="s">
        <v>28</v>
      </c>
      <c r="E73" s="17"/>
      <c r="F73" s="17"/>
      <c r="G73" s="18"/>
      <c r="I73" s="19"/>
      <c r="K73" s="19"/>
      <c r="M73" s="19"/>
      <c r="O73" s="19"/>
      <c r="Q73" s="20">
        <f t="shared" si="1"/>
        <v>0</v>
      </c>
      <c r="R73" s="16">
        <f t="shared" si="2"/>
        <v>0</v>
      </c>
      <c r="S73" s="16">
        <f t="shared" si="3"/>
        <v>0</v>
      </c>
      <c r="T73" s="16">
        <f t="shared" si="4"/>
        <v>0</v>
      </c>
      <c r="U73" s="38">
        <f t="shared" si="5"/>
        <v>0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5.75" customHeight="1">
      <c r="A74" s="22" t="s">
        <v>21</v>
      </c>
      <c r="B74" s="23">
        <f t="shared" si="6"/>
        <v>46091</v>
      </c>
      <c r="C74" s="24">
        <v>3.3</v>
      </c>
      <c r="D74" s="25" t="s">
        <v>28</v>
      </c>
      <c r="E74" s="21"/>
      <c r="F74" s="21"/>
      <c r="G74" s="18"/>
      <c r="I74" s="19"/>
      <c r="K74" s="19"/>
      <c r="M74" s="19"/>
      <c r="O74" s="19"/>
      <c r="Q74" s="26">
        <f t="shared" si="1"/>
        <v>0</v>
      </c>
      <c r="R74" s="25">
        <f t="shared" si="2"/>
        <v>0</v>
      </c>
      <c r="S74" s="25">
        <f t="shared" si="3"/>
        <v>0</v>
      </c>
      <c r="T74" s="25">
        <f t="shared" si="4"/>
        <v>0</v>
      </c>
      <c r="U74" s="27">
        <f t="shared" si="5"/>
        <v>0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5.75" customHeight="1">
      <c r="A75" s="22" t="s">
        <v>22</v>
      </c>
      <c r="B75" s="23">
        <f t="shared" si="6"/>
        <v>46092</v>
      </c>
      <c r="C75" s="24">
        <v>3.3</v>
      </c>
      <c r="D75" s="25" t="s">
        <v>28</v>
      </c>
      <c r="E75" s="21"/>
      <c r="F75" s="21"/>
      <c r="G75" s="18"/>
      <c r="I75" s="19"/>
      <c r="K75" s="19"/>
      <c r="M75" s="19"/>
      <c r="O75" s="19"/>
      <c r="Q75" s="26">
        <f t="shared" si="1"/>
        <v>0</v>
      </c>
      <c r="R75" s="25">
        <f t="shared" si="2"/>
        <v>0</v>
      </c>
      <c r="S75" s="25">
        <f t="shared" si="3"/>
        <v>0</v>
      </c>
      <c r="T75" s="25">
        <f t="shared" si="4"/>
        <v>0</v>
      </c>
      <c r="U75" s="27">
        <f t="shared" si="5"/>
        <v>0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5.75" customHeight="1">
      <c r="A76" s="22" t="s">
        <v>23</v>
      </c>
      <c r="B76" s="23">
        <f t="shared" si="6"/>
        <v>46093</v>
      </c>
      <c r="C76" s="24">
        <v>3.3</v>
      </c>
      <c r="D76" s="25" t="s">
        <v>28</v>
      </c>
      <c r="E76" s="21"/>
      <c r="F76" s="21"/>
      <c r="G76" s="18"/>
      <c r="I76" s="19"/>
      <c r="K76" s="19"/>
      <c r="M76" s="19"/>
      <c r="O76" s="19"/>
      <c r="Q76" s="26">
        <f t="shared" si="1"/>
        <v>0</v>
      </c>
      <c r="R76" s="25">
        <f t="shared" si="2"/>
        <v>0</v>
      </c>
      <c r="S76" s="25">
        <f t="shared" si="3"/>
        <v>0</v>
      </c>
      <c r="T76" s="25">
        <f t="shared" si="4"/>
        <v>0</v>
      </c>
      <c r="U76" s="27">
        <f t="shared" si="5"/>
        <v>0</v>
      </c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5.75" customHeight="1">
      <c r="A77" s="22" t="s">
        <v>24</v>
      </c>
      <c r="B77" s="23">
        <f t="shared" si="6"/>
        <v>46094</v>
      </c>
      <c r="C77" s="24">
        <v>3.3</v>
      </c>
      <c r="D77" s="25" t="s">
        <v>28</v>
      </c>
      <c r="E77" s="21"/>
      <c r="F77" s="21"/>
      <c r="G77" s="18"/>
      <c r="I77" s="19"/>
      <c r="K77" s="19"/>
      <c r="M77" s="19"/>
      <c r="O77" s="19"/>
      <c r="Q77" s="26">
        <f t="shared" si="1"/>
        <v>0</v>
      </c>
      <c r="R77" s="25">
        <f t="shared" si="2"/>
        <v>0</v>
      </c>
      <c r="S77" s="25">
        <f t="shared" si="3"/>
        <v>0</v>
      </c>
      <c r="T77" s="25">
        <f t="shared" si="4"/>
        <v>0</v>
      </c>
      <c r="U77" s="27">
        <f t="shared" si="5"/>
        <v>0</v>
      </c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5.75" customHeight="1">
      <c r="A78" s="22" t="s">
        <v>25</v>
      </c>
      <c r="B78" s="23">
        <f t="shared" si="6"/>
        <v>46095</v>
      </c>
      <c r="C78" s="24">
        <v>3.3</v>
      </c>
      <c r="D78" s="25" t="s">
        <v>28</v>
      </c>
      <c r="E78" s="21"/>
      <c r="F78" s="21"/>
      <c r="G78" s="18"/>
      <c r="I78" s="19"/>
      <c r="K78" s="19"/>
      <c r="M78" s="19"/>
      <c r="O78" s="19"/>
      <c r="Q78" s="26">
        <f t="shared" si="1"/>
        <v>0</v>
      </c>
      <c r="R78" s="25">
        <f t="shared" si="2"/>
        <v>0</v>
      </c>
      <c r="S78" s="25">
        <f t="shared" si="3"/>
        <v>0</v>
      </c>
      <c r="T78" s="25">
        <f t="shared" si="4"/>
        <v>0</v>
      </c>
      <c r="U78" s="27">
        <f t="shared" si="5"/>
        <v>0</v>
      </c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5.75" customHeight="1">
      <c r="A79" s="28" t="s">
        <v>26</v>
      </c>
      <c r="B79" s="29">
        <f t="shared" si="6"/>
        <v>46096</v>
      </c>
      <c r="C79" s="30">
        <v>3.3</v>
      </c>
      <c r="D79" s="31" t="s">
        <v>28</v>
      </c>
      <c r="E79" s="32"/>
      <c r="F79" s="32"/>
      <c r="G79" s="33"/>
      <c r="H79" s="6"/>
      <c r="I79" s="34"/>
      <c r="J79" s="6"/>
      <c r="K79" s="34"/>
      <c r="L79" s="6"/>
      <c r="M79" s="34"/>
      <c r="N79" s="6"/>
      <c r="O79" s="34"/>
      <c r="P79" s="6"/>
      <c r="Q79" s="35">
        <f t="shared" si="1"/>
        <v>0</v>
      </c>
      <c r="R79" s="31">
        <f t="shared" si="2"/>
        <v>0</v>
      </c>
      <c r="S79" s="31">
        <f t="shared" si="3"/>
        <v>0</v>
      </c>
      <c r="T79" s="31">
        <f t="shared" si="4"/>
        <v>0</v>
      </c>
      <c r="U79" s="36">
        <f t="shared" si="5"/>
        <v>0</v>
      </c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5.75" customHeight="1">
      <c r="A80" s="13" t="s">
        <v>19</v>
      </c>
      <c r="B80" s="37">
        <f t="shared" si="6"/>
        <v>46097</v>
      </c>
      <c r="C80" s="15">
        <v>3.4</v>
      </c>
      <c r="D80" s="16" t="s">
        <v>29</v>
      </c>
      <c r="E80" s="17"/>
      <c r="F80" s="17"/>
      <c r="G80" s="18"/>
      <c r="I80" s="19"/>
      <c r="K80" s="19"/>
      <c r="M80" s="19"/>
      <c r="O80" s="19"/>
      <c r="Q80" s="20">
        <f t="shared" si="1"/>
        <v>0</v>
      </c>
      <c r="R80" s="16">
        <f t="shared" si="2"/>
        <v>0</v>
      </c>
      <c r="S80" s="16">
        <f t="shared" si="3"/>
        <v>0</v>
      </c>
      <c r="T80" s="16">
        <f t="shared" si="4"/>
        <v>0</v>
      </c>
      <c r="U80" s="38">
        <f t="shared" si="5"/>
        <v>0</v>
      </c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5.75" customHeight="1">
      <c r="A81" s="22" t="s">
        <v>21</v>
      </c>
      <c r="B81" s="23">
        <f t="shared" si="6"/>
        <v>46098</v>
      </c>
      <c r="C81" s="24">
        <v>3.4</v>
      </c>
      <c r="D81" s="25" t="s">
        <v>29</v>
      </c>
      <c r="E81" s="21"/>
      <c r="F81" s="21"/>
      <c r="G81" s="18"/>
      <c r="I81" s="19"/>
      <c r="K81" s="19"/>
      <c r="M81" s="19"/>
      <c r="O81" s="19"/>
      <c r="Q81" s="26">
        <f t="shared" si="1"/>
        <v>0</v>
      </c>
      <c r="R81" s="25">
        <f t="shared" si="2"/>
        <v>0</v>
      </c>
      <c r="S81" s="25">
        <f t="shared" si="3"/>
        <v>0</v>
      </c>
      <c r="T81" s="25">
        <f t="shared" si="4"/>
        <v>0</v>
      </c>
      <c r="U81" s="27">
        <f t="shared" si="5"/>
        <v>0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5.75" customHeight="1">
      <c r="A82" s="22" t="s">
        <v>22</v>
      </c>
      <c r="B82" s="23">
        <f t="shared" si="6"/>
        <v>46099</v>
      </c>
      <c r="C82" s="24">
        <v>3.4</v>
      </c>
      <c r="D82" s="25" t="s">
        <v>29</v>
      </c>
      <c r="E82" s="21"/>
      <c r="F82" s="21"/>
      <c r="G82" s="18"/>
      <c r="I82" s="19"/>
      <c r="K82" s="19"/>
      <c r="M82" s="19"/>
      <c r="O82" s="19"/>
      <c r="Q82" s="26">
        <f t="shared" si="1"/>
        <v>0</v>
      </c>
      <c r="R82" s="25">
        <f t="shared" si="2"/>
        <v>0</v>
      </c>
      <c r="S82" s="25">
        <f t="shared" si="3"/>
        <v>0</v>
      </c>
      <c r="T82" s="25">
        <f t="shared" si="4"/>
        <v>0</v>
      </c>
      <c r="U82" s="27">
        <f t="shared" si="5"/>
        <v>0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5.75" customHeight="1">
      <c r="A83" s="22" t="s">
        <v>23</v>
      </c>
      <c r="B83" s="23">
        <f t="shared" si="6"/>
        <v>46100</v>
      </c>
      <c r="C83" s="24">
        <v>3.4</v>
      </c>
      <c r="D83" s="25" t="s">
        <v>29</v>
      </c>
      <c r="E83" s="21"/>
      <c r="F83" s="21"/>
      <c r="G83" s="39"/>
      <c r="I83" s="40"/>
      <c r="K83" s="40"/>
      <c r="M83" s="40"/>
      <c r="O83" s="40"/>
      <c r="Q83" s="26">
        <f t="shared" si="1"/>
        <v>0</v>
      </c>
      <c r="R83" s="25">
        <f t="shared" si="2"/>
        <v>0</v>
      </c>
      <c r="S83" s="25">
        <f t="shared" si="3"/>
        <v>0</v>
      </c>
      <c r="T83" s="25">
        <f t="shared" si="4"/>
        <v>0</v>
      </c>
      <c r="U83" s="27">
        <f t="shared" si="5"/>
        <v>0</v>
      </c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5.75" customHeight="1">
      <c r="A84" s="22" t="s">
        <v>24</v>
      </c>
      <c r="B84" s="23">
        <f t="shared" si="6"/>
        <v>46101</v>
      </c>
      <c r="C84" s="24">
        <v>3.4</v>
      </c>
      <c r="D84" s="25" t="s">
        <v>29</v>
      </c>
      <c r="E84" s="21"/>
      <c r="F84" s="21"/>
      <c r="G84" s="39"/>
      <c r="I84" s="40"/>
      <c r="K84" s="40"/>
      <c r="M84" s="40"/>
      <c r="O84" s="40"/>
      <c r="Q84" s="26">
        <f t="shared" si="1"/>
        <v>0</v>
      </c>
      <c r="R84" s="25">
        <f t="shared" si="2"/>
        <v>0</v>
      </c>
      <c r="S84" s="25">
        <f t="shared" si="3"/>
        <v>0</v>
      </c>
      <c r="T84" s="25">
        <f t="shared" si="4"/>
        <v>0</v>
      </c>
      <c r="U84" s="27">
        <f t="shared" si="5"/>
        <v>0</v>
      </c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5.75" customHeight="1">
      <c r="A85" s="22" t="s">
        <v>25</v>
      </c>
      <c r="B85" s="23">
        <f t="shared" si="6"/>
        <v>46102</v>
      </c>
      <c r="C85" s="24">
        <v>3.4</v>
      </c>
      <c r="D85" s="25" t="s">
        <v>29</v>
      </c>
      <c r="E85" s="21"/>
      <c r="F85" s="21"/>
      <c r="G85" s="39"/>
      <c r="I85" s="40"/>
      <c r="K85" s="40"/>
      <c r="M85" s="40"/>
      <c r="O85" s="40"/>
      <c r="Q85" s="26">
        <f t="shared" si="1"/>
        <v>0</v>
      </c>
      <c r="R85" s="25">
        <f t="shared" si="2"/>
        <v>0</v>
      </c>
      <c r="S85" s="25">
        <f t="shared" si="3"/>
        <v>0</v>
      </c>
      <c r="T85" s="25">
        <f t="shared" si="4"/>
        <v>0</v>
      </c>
      <c r="U85" s="27">
        <f t="shared" si="5"/>
        <v>0</v>
      </c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5.75" customHeight="1">
      <c r="A86" s="28" t="s">
        <v>26</v>
      </c>
      <c r="B86" s="29">
        <f t="shared" si="6"/>
        <v>46103</v>
      </c>
      <c r="C86" s="30">
        <v>3.4</v>
      </c>
      <c r="D86" s="31" t="s">
        <v>29</v>
      </c>
      <c r="E86" s="32"/>
      <c r="F86" s="32"/>
      <c r="G86" s="41"/>
      <c r="H86" s="6"/>
      <c r="I86" s="42"/>
      <c r="J86" s="6"/>
      <c r="K86" s="42"/>
      <c r="L86" s="6"/>
      <c r="M86" s="42"/>
      <c r="N86" s="6"/>
      <c r="O86" s="42"/>
      <c r="P86" s="6"/>
      <c r="Q86" s="35">
        <f t="shared" si="1"/>
        <v>0</v>
      </c>
      <c r="R86" s="31">
        <f t="shared" si="2"/>
        <v>0</v>
      </c>
      <c r="S86" s="31">
        <f t="shared" si="3"/>
        <v>0</v>
      </c>
      <c r="T86" s="31">
        <f t="shared" si="4"/>
        <v>0</v>
      </c>
      <c r="U86" s="36">
        <f t="shared" si="5"/>
        <v>0</v>
      </c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5.75" customHeight="1">
      <c r="A87" s="43" t="s">
        <v>19</v>
      </c>
      <c r="B87" s="44">
        <f t="shared" si="6"/>
        <v>46104</v>
      </c>
      <c r="C87" s="45">
        <v>4.1</v>
      </c>
      <c r="D87" s="46" t="s">
        <v>20</v>
      </c>
      <c r="E87" s="47"/>
      <c r="F87" s="47"/>
      <c r="G87" s="48">
        <v>0.0</v>
      </c>
      <c r="I87" s="49">
        <v>0.0</v>
      </c>
      <c r="K87" s="49">
        <v>0.0</v>
      </c>
      <c r="M87" s="49">
        <v>0.0</v>
      </c>
      <c r="O87" s="49">
        <v>0.0</v>
      </c>
      <c r="Q87" s="50">
        <f t="shared" si="1"/>
        <v>0</v>
      </c>
      <c r="R87" s="46">
        <f t="shared" si="2"/>
        <v>0</v>
      </c>
      <c r="S87" s="46">
        <f t="shared" si="3"/>
        <v>0</v>
      </c>
      <c r="T87" s="46">
        <f t="shared" si="4"/>
        <v>0</v>
      </c>
      <c r="U87" s="51">
        <f t="shared" si="5"/>
        <v>0</v>
      </c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5.75" customHeight="1">
      <c r="A88" s="52" t="s">
        <v>21</v>
      </c>
      <c r="B88" s="53">
        <f t="shared" si="6"/>
        <v>46105</v>
      </c>
      <c r="C88" s="54">
        <v>4.1</v>
      </c>
      <c r="D88" s="55" t="s">
        <v>20</v>
      </c>
      <c r="E88" s="56"/>
      <c r="F88" s="56"/>
      <c r="G88" s="48">
        <v>0.0</v>
      </c>
      <c r="I88" s="49">
        <v>0.0</v>
      </c>
      <c r="K88" s="49">
        <v>0.0</v>
      </c>
      <c r="M88" s="49">
        <v>0.0</v>
      </c>
      <c r="O88" s="49">
        <v>0.0</v>
      </c>
      <c r="Q88" s="57">
        <f t="shared" si="1"/>
        <v>0</v>
      </c>
      <c r="R88" s="55">
        <f t="shared" si="2"/>
        <v>0</v>
      </c>
      <c r="S88" s="55">
        <f t="shared" si="3"/>
        <v>0</v>
      </c>
      <c r="T88" s="55">
        <f t="shared" si="4"/>
        <v>0</v>
      </c>
      <c r="U88" s="58">
        <f t="shared" si="5"/>
        <v>0</v>
      </c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5.75" customHeight="1">
      <c r="A89" s="52" t="s">
        <v>22</v>
      </c>
      <c r="B89" s="53">
        <f t="shared" si="6"/>
        <v>46106</v>
      </c>
      <c r="C89" s="54">
        <v>4.1</v>
      </c>
      <c r="D89" s="55" t="s">
        <v>20</v>
      </c>
      <c r="E89" s="56"/>
      <c r="F89" s="56"/>
      <c r="G89" s="48">
        <v>0.0</v>
      </c>
      <c r="I89" s="49">
        <v>0.0</v>
      </c>
      <c r="K89" s="49">
        <v>0.0</v>
      </c>
      <c r="M89" s="49">
        <v>0.0</v>
      </c>
      <c r="O89" s="49">
        <v>0.0</v>
      </c>
      <c r="Q89" s="57">
        <f t="shared" si="1"/>
        <v>0</v>
      </c>
      <c r="R89" s="55">
        <f t="shared" si="2"/>
        <v>0</v>
      </c>
      <c r="S89" s="55">
        <f t="shared" si="3"/>
        <v>0</v>
      </c>
      <c r="T89" s="55">
        <f t="shared" si="4"/>
        <v>0</v>
      </c>
      <c r="U89" s="58">
        <f t="shared" si="5"/>
        <v>0</v>
      </c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5.75" customHeight="1">
      <c r="A90" s="52" t="s">
        <v>23</v>
      </c>
      <c r="B90" s="53">
        <f t="shared" si="6"/>
        <v>46107</v>
      </c>
      <c r="C90" s="54">
        <v>4.1</v>
      </c>
      <c r="D90" s="55" t="s">
        <v>20</v>
      </c>
      <c r="E90" s="56"/>
      <c r="F90" s="56"/>
      <c r="G90" s="48">
        <v>0.0</v>
      </c>
      <c r="I90" s="49">
        <v>0.0</v>
      </c>
      <c r="K90" s="49">
        <v>0.0</v>
      </c>
      <c r="M90" s="49">
        <v>0.0</v>
      </c>
      <c r="O90" s="49">
        <v>0.0</v>
      </c>
      <c r="Q90" s="57">
        <f t="shared" si="1"/>
        <v>0</v>
      </c>
      <c r="R90" s="55">
        <f t="shared" si="2"/>
        <v>0</v>
      </c>
      <c r="S90" s="55">
        <f t="shared" si="3"/>
        <v>0</v>
      </c>
      <c r="T90" s="55">
        <f t="shared" si="4"/>
        <v>0</v>
      </c>
      <c r="U90" s="58">
        <f t="shared" si="5"/>
        <v>0</v>
      </c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6.5" customHeight="1">
      <c r="A91" s="52" t="s">
        <v>24</v>
      </c>
      <c r="B91" s="53">
        <f t="shared" si="6"/>
        <v>46108</v>
      </c>
      <c r="C91" s="54">
        <v>4.1</v>
      </c>
      <c r="D91" s="55" t="s">
        <v>20</v>
      </c>
      <c r="E91" s="56">
        <v>1.0</v>
      </c>
      <c r="F91" s="56" t="s">
        <v>30</v>
      </c>
      <c r="G91" s="48">
        <v>0.0</v>
      </c>
      <c r="I91" s="49">
        <v>45.0</v>
      </c>
      <c r="K91" s="49">
        <v>45.0</v>
      </c>
      <c r="M91" s="49">
        <v>0.0</v>
      </c>
      <c r="O91" s="49">
        <v>30.0</v>
      </c>
      <c r="Q91" s="57">
        <f t="shared" si="1"/>
        <v>2595.2142</v>
      </c>
      <c r="R91" s="55">
        <f t="shared" si="2"/>
        <v>90</v>
      </c>
      <c r="S91" s="55">
        <f t="shared" si="3"/>
        <v>30</v>
      </c>
      <c r="T91" s="55">
        <f t="shared" si="4"/>
        <v>120</v>
      </c>
      <c r="U91" s="58">
        <f t="shared" si="5"/>
        <v>21.626785</v>
      </c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5.75" customHeight="1">
      <c r="A92" s="52" t="s">
        <v>25</v>
      </c>
      <c r="B92" s="53">
        <f t="shared" si="6"/>
        <v>46109</v>
      </c>
      <c r="C92" s="54">
        <v>4.1</v>
      </c>
      <c r="D92" s="55" t="s">
        <v>20</v>
      </c>
      <c r="E92" s="56">
        <v>1.0</v>
      </c>
      <c r="F92" s="56" t="s">
        <v>31</v>
      </c>
      <c r="G92" s="48">
        <v>45.0</v>
      </c>
      <c r="I92" s="49">
        <v>0.0</v>
      </c>
      <c r="K92" s="49">
        <v>45.0</v>
      </c>
      <c r="M92" s="49">
        <v>0.0</v>
      </c>
      <c r="O92" s="49">
        <v>0.0</v>
      </c>
      <c r="Q92" s="57">
        <f t="shared" si="1"/>
        <v>2335.8798</v>
      </c>
      <c r="R92" s="55">
        <f t="shared" si="2"/>
        <v>90</v>
      </c>
      <c r="S92" s="55">
        <f t="shared" si="3"/>
        <v>0</v>
      </c>
      <c r="T92" s="55">
        <f t="shared" si="4"/>
        <v>90</v>
      </c>
      <c r="U92" s="58">
        <f t="shared" si="5"/>
        <v>25.95422</v>
      </c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5.75" customHeight="1">
      <c r="A93" s="59" t="s">
        <v>26</v>
      </c>
      <c r="B93" s="60">
        <f t="shared" si="6"/>
        <v>46110</v>
      </c>
      <c r="C93" s="61">
        <v>4.1</v>
      </c>
      <c r="D93" s="62" t="s">
        <v>20</v>
      </c>
      <c r="E93" s="63">
        <v>1.0</v>
      </c>
      <c r="F93" s="63" t="s">
        <v>31</v>
      </c>
      <c r="G93" s="64">
        <v>45.0</v>
      </c>
      <c r="H93" s="6"/>
      <c r="I93" s="65">
        <v>0.0</v>
      </c>
      <c r="J93" s="6"/>
      <c r="K93" s="65">
        <v>45.0</v>
      </c>
      <c r="L93" s="6"/>
      <c r="M93" s="65">
        <v>0.0</v>
      </c>
      <c r="N93" s="6"/>
      <c r="O93" s="65">
        <v>0.0</v>
      </c>
      <c r="P93" s="6"/>
      <c r="Q93" s="66">
        <f t="shared" si="1"/>
        <v>2335.8798</v>
      </c>
      <c r="R93" s="62">
        <f t="shared" si="2"/>
        <v>90</v>
      </c>
      <c r="S93" s="62">
        <f t="shared" si="3"/>
        <v>0</v>
      </c>
      <c r="T93" s="62">
        <f t="shared" si="4"/>
        <v>90</v>
      </c>
      <c r="U93" s="67">
        <f t="shared" si="5"/>
        <v>25.95422</v>
      </c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5.75" customHeight="1">
      <c r="A94" s="43" t="s">
        <v>19</v>
      </c>
      <c r="B94" s="44">
        <f t="shared" si="6"/>
        <v>46111</v>
      </c>
      <c r="C94" s="45">
        <v>4.2</v>
      </c>
      <c r="D94" s="46" t="s">
        <v>27</v>
      </c>
      <c r="E94" s="47"/>
      <c r="F94" s="47" t="s">
        <v>32</v>
      </c>
      <c r="G94" s="48">
        <v>0.0</v>
      </c>
      <c r="I94" s="49">
        <v>0.0</v>
      </c>
      <c r="K94" s="49">
        <v>0.0</v>
      </c>
      <c r="M94" s="49">
        <v>0.0</v>
      </c>
      <c r="O94" s="49">
        <v>0.0</v>
      </c>
      <c r="Q94" s="50">
        <f t="shared" si="1"/>
        <v>0</v>
      </c>
      <c r="R94" s="46">
        <f t="shared" si="2"/>
        <v>0</v>
      </c>
      <c r="S94" s="46">
        <f t="shared" si="3"/>
        <v>0</v>
      </c>
      <c r="T94" s="46">
        <f t="shared" si="4"/>
        <v>0</v>
      </c>
      <c r="U94" s="51">
        <f t="shared" si="5"/>
        <v>0</v>
      </c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5.75" customHeight="1">
      <c r="A95" s="52" t="s">
        <v>21</v>
      </c>
      <c r="B95" s="53">
        <f t="shared" si="6"/>
        <v>46112</v>
      </c>
      <c r="C95" s="54">
        <v>4.2</v>
      </c>
      <c r="D95" s="55" t="s">
        <v>27</v>
      </c>
      <c r="E95" s="68">
        <v>2.0</v>
      </c>
      <c r="F95" s="56" t="s">
        <v>33</v>
      </c>
      <c r="G95" s="48">
        <v>0.0</v>
      </c>
      <c r="I95" s="49">
        <v>45.0</v>
      </c>
      <c r="K95" s="49">
        <v>45.0</v>
      </c>
      <c r="M95" s="49">
        <v>0.0</v>
      </c>
      <c r="O95" s="49">
        <v>30.0</v>
      </c>
      <c r="Q95" s="57">
        <f t="shared" si="1"/>
        <v>2595.2142</v>
      </c>
      <c r="R95" s="55">
        <f t="shared" si="2"/>
        <v>90</v>
      </c>
      <c r="S95" s="55">
        <f t="shared" si="3"/>
        <v>30</v>
      </c>
      <c r="T95" s="55">
        <f t="shared" si="4"/>
        <v>120</v>
      </c>
      <c r="U95" s="58">
        <f t="shared" si="5"/>
        <v>21.626785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5.75" customHeight="1">
      <c r="A96" s="52" t="s">
        <v>22</v>
      </c>
      <c r="B96" s="53">
        <f t="shared" si="6"/>
        <v>46113</v>
      </c>
      <c r="C96" s="54">
        <v>4.2</v>
      </c>
      <c r="D96" s="55" t="s">
        <v>27</v>
      </c>
      <c r="E96" s="68">
        <v>2.0</v>
      </c>
      <c r="F96" s="56" t="s">
        <v>31</v>
      </c>
      <c r="G96" s="48">
        <v>45.0</v>
      </c>
      <c r="I96" s="49">
        <v>0.0</v>
      </c>
      <c r="K96" s="49">
        <v>45.0</v>
      </c>
      <c r="M96" s="49">
        <v>0.0</v>
      </c>
      <c r="O96" s="49">
        <v>0.0</v>
      </c>
      <c r="Q96" s="57">
        <f t="shared" si="1"/>
        <v>2335.8798</v>
      </c>
      <c r="R96" s="55">
        <f t="shared" si="2"/>
        <v>90</v>
      </c>
      <c r="S96" s="55">
        <f t="shared" si="3"/>
        <v>0</v>
      </c>
      <c r="T96" s="55">
        <f t="shared" si="4"/>
        <v>90</v>
      </c>
      <c r="U96" s="58">
        <f t="shared" si="5"/>
        <v>25.95422</v>
      </c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5.75" customHeight="1">
      <c r="A97" s="52" t="s">
        <v>23</v>
      </c>
      <c r="B97" s="53">
        <f t="shared" si="6"/>
        <v>46114</v>
      </c>
      <c r="C97" s="54">
        <v>4.2</v>
      </c>
      <c r="D97" s="55" t="s">
        <v>27</v>
      </c>
      <c r="E97" s="68">
        <v>2.0</v>
      </c>
      <c r="F97" s="56" t="s">
        <v>33</v>
      </c>
      <c r="G97" s="48">
        <v>0.0</v>
      </c>
      <c r="I97" s="49">
        <v>45.0</v>
      </c>
      <c r="K97" s="49">
        <v>45.0</v>
      </c>
      <c r="M97" s="49">
        <v>0.0</v>
      </c>
      <c r="O97" s="49">
        <v>30.0</v>
      </c>
      <c r="Q97" s="57">
        <f t="shared" si="1"/>
        <v>2595.2142</v>
      </c>
      <c r="R97" s="55">
        <f t="shared" si="2"/>
        <v>90</v>
      </c>
      <c r="S97" s="55">
        <f t="shared" si="3"/>
        <v>30</v>
      </c>
      <c r="T97" s="55">
        <f t="shared" si="4"/>
        <v>120</v>
      </c>
      <c r="U97" s="58">
        <f t="shared" si="5"/>
        <v>21.626785</v>
      </c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5.75" customHeight="1">
      <c r="A98" s="52" t="s">
        <v>24</v>
      </c>
      <c r="B98" s="53">
        <f t="shared" si="6"/>
        <v>46115</v>
      </c>
      <c r="C98" s="54">
        <v>4.2</v>
      </c>
      <c r="D98" s="55" t="s">
        <v>27</v>
      </c>
      <c r="E98" s="68">
        <v>2.0</v>
      </c>
      <c r="F98" s="56" t="s">
        <v>33</v>
      </c>
      <c r="G98" s="48">
        <v>0.0</v>
      </c>
      <c r="I98" s="49">
        <v>45.0</v>
      </c>
      <c r="K98" s="49">
        <v>45.0</v>
      </c>
      <c r="M98" s="49">
        <v>0.0</v>
      </c>
      <c r="O98" s="49">
        <v>30.0</v>
      </c>
      <c r="Q98" s="57">
        <f t="shared" si="1"/>
        <v>2595.2142</v>
      </c>
      <c r="R98" s="55">
        <f t="shared" si="2"/>
        <v>90</v>
      </c>
      <c r="S98" s="55">
        <f t="shared" si="3"/>
        <v>30</v>
      </c>
      <c r="T98" s="55">
        <f t="shared" si="4"/>
        <v>120</v>
      </c>
      <c r="U98" s="58">
        <f t="shared" si="5"/>
        <v>21.626785</v>
      </c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5.75" customHeight="1">
      <c r="A99" s="52" t="s">
        <v>25</v>
      </c>
      <c r="B99" s="53">
        <f t="shared" si="6"/>
        <v>46116</v>
      </c>
      <c r="C99" s="54">
        <v>4.2</v>
      </c>
      <c r="D99" s="55" t="s">
        <v>27</v>
      </c>
      <c r="E99" s="68">
        <v>2.0</v>
      </c>
      <c r="F99" s="68" t="s">
        <v>31</v>
      </c>
      <c r="G99" s="48">
        <v>45.0</v>
      </c>
      <c r="I99" s="49">
        <v>0.0</v>
      </c>
      <c r="K99" s="49">
        <v>45.0</v>
      </c>
      <c r="M99" s="49">
        <v>0.0</v>
      </c>
      <c r="O99" s="49">
        <v>0.0</v>
      </c>
      <c r="Q99" s="57">
        <f t="shared" si="1"/>
        <v>2335.8798</v>
      </c>
      <c r="R99" s="55">
        <f t="shared" si="2"/>
        <v>90</v>
      </c>
      <c r="S99" s="55">
        <f t="shared" si="3"/>
        <v>0</v>
      </c>
      <c r="T99" s="55">
        <f t="shared" si="4"/>
        <v>90</v>
      </c>
      <c r="U99" s="58">
        <f t="shared" si="5"/>
        <v>25.95422</v>
      </c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5.75" customHeight="1">
      <c r="A100" s="59" t="s">
        <v>26</v>
      </c>
      <c r="B100" s="60">
        <f t="shared" si="6"/>
        <v>46117</v>
      </c>
      <c r="C100" s="61">
        <v>4.2</v>
      </c>
      <c r="D100" s="62" t="s">
        <v>27</v>
      </c>
      <c r="E100" s="69">
        <v>2.0</v>
      </c>
      <c r="F100" s="63" t="s">
        <v>31</v>
      </c>
      <c r="G100" s="64">
        <v>45.0</v>
      </c>
      <c r="H100" s="6"/>
      <c r="I100" s="65">
        <v>0.0</v>
      </c>
      <c r="J100" s="6"/>
      <c r="K100" s="65">
        <v>45.0</v>
      </c>
      <c r="L100" s="6"/>
      <c r="M100" s="65">
        <v>0.0</v>
      </c>
      <c r="N100" s="6"/>
      <c r="O100" s="65">
        <v>0.0</v>
      </c>
      <c r="P100" s="6"/>
      <c r="Q100" s="66">
        <f t="shared" si="1"/>
        <v>2335.8798</v>
      </c>
      <c r="R100" s="62">
        <f t="shared" si="2"/>
        <v>90</v>
      </c>
      <c r="S100" s="62">
        <f t="shared" si="3"/>
        <v>0</v>
      </c>
      <c r="T100" s="62">
        <f t="shared" si="4"/>
        <v>90</v>
      </c>
      <c r="U100" s="67">
        <f t="shared" si="5"/>
        <v>25.95422</v>
      </c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5.75" customHeight="1">
      <c r="A101" s="13" t="s">
        <v>19</v>
      </c>
      <c r="B101" s="37">
        <f t="shared" si="6"/>
        <v>46118</v>
      </c>
      <c r="C101" s="15">
        <v>4.3</v>
      </c>
      <c r="D101" s="16" t="s">
        <v>28</v>
      </c>
      <c r="E101" s="17"/>
      <c r="F101" s="17" t="s">
        <v>32</v>
      </c>
      <c r="G101" s="70">
        <v>0.0</v>
      </c>
      <c r="I101" s="71">
        <v>0.0</v>
      </c>
      <c r="K101" s="71">
        <v>0.0</v>
      </c>
      <c r="M101" s="71">
        <v>0.0</v>
      </c>
      <c r="O101" s="71">
        <v>0.0</v>
      </c>
      <c r="Q101" s="20">
        <f t="shared" si="1"/>
        <v>0</v>
      </c>
      <c r="R101" s="16">
        <f t="shared" si="2"/>
        <v>0</v>
      </c>
      <c r="S101" s="16">
        <f t="shared" si="3"/>
        <v>0</v>
      </c>
      <c r="T101" s="16">
        <f t="shared" si="4"/>
        <v>0</v>
      </c>
      <c r="U101" s="38">
        <f t="shared" si="5"/>
        <v>0</v>
      </c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5.75" customHeight="1">
      <c r="A102" s="22" t="s">
        <v>21</v>
      </c>
      <c r="B102" s="23">
        <f t="shared" si="6"/>
        <v>46119</v>
      </c>
      <c r="C102" s="24">
        <v>4.3</v>
      </c>
      <c r="D102" s="25" t="s">
        <v>28</v>
      </c>
      <c r="E102" s="21"/>
      <c r="F102" s="21" t="s">
        <v>32</v>
      </c>
      <c r="G102" s="70">
        <v>0.0</v>
      </c>
      <c r="I102" s="71">
        <v>0.0</v>
      </c>
      <c r="K102" s="71">
        <v>0.0</v>
      </c>
      <c r="M102" s="71">
        <v>0.0</v>
      </c>
      <c r="O102" s="71">
        <v>0.0</v>
      </c>
      <c r="Q102" s="26">
        <f t="shared" si="1"/>
        <v>0</v>
      </c>
      <c r="R102" s="25">
        <f t="shared" si="2"/>
        <v>0</v>
      </c>
      <c r="S102" s="25">
        <f t="shared" si="3"/>
        <v>0</v>
      </c>
      <c r="T102" s="25">
        <f t="shared" si="4"/>
        <v>0</v>
      </c>
      <c r="U102" s="27">
        <f t="shared" si="5"/>
        <v>0</v>
      </c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5.75" customHeight="1">
      <c r="A103" s="22" t="s">
        <v>22</v>
      </c>
      <c r="B103" s="23">
        <f t="shared" si="6"/>
        <v>46120</v>
      </c>
      <c r="C103" s="24">
        <v>4.3</v>
      </c>
      <c r="D103" s="25" t="s">
        <v>28</v>
      </c>
      <c r="E103" s="21"/>
      <c r="F103" s="21" t="s">
        <v>32</v>
      </c>
      <c r="G103" s="70">
        <v>0.0</v>
      </c>
      <c r="I103" s="71">
        <v>0.0</v>
      </c>
      <c r="K103" s="71">
        <v>0.0</v>
      </c>
      <c r="M103" s="71">
        <v>0.0</v>
      </c>
      <c r="O103" s="71">
        <v>0.0</v>
      </c>
      <c r="Q103" s="26">
        <f t="shared" si="1"/>
        <v>0</v>
      </c>
      <c r="R103" s="25">
        <f t="shared" si="2"/>
        <v>0</v>
      </c>
      <c r="S103" s="25">
        <f t="shared" si="3"/>
        <v>0</v>
      </c>
      <c r="T103" s="25">
        <f t="shared" si="4"/>
        <v>0</v>
      </c>
      <c r="U103" s="27">
        <f t="shared" si="5"/>
        <v>0</v>
      </c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5.75" customHeight="1">
      <c r="A104" s="22" t="s">
        <v>23</v>
      </c>
      <c r="B104" s="23">
        <f t="shared" si="6"/>
        <v>46121</v>
      </c>
      <c r="C104" s="24">
        <v>4.3</v>
      </c>
      <c r="D104" s="25" t="s">
        <v>28</v>
      </c>
      <c r="E104" s="21"/>
      <c r="F104" s="21" t="s">
        <v>32</v>
      </c>
      <c r="G104" s="70">
        <v>0.0</v>
      </c>
      <c r="I104" s="71">
        <v>0.0</v>
      </c>
      <c r="K104" s="71">
        <v>0.0</v>
      </c>
      <c r="M104" s="71">
        <v>0.0</v>
      </c>
      <c r="O104" s="71">
        <v>0.0</v>
      </c>
      <c r="Q104" s="26">
        <f t="shared" si="1"/>
        <v>0</v>
      </c>
      <c r="R104" s="25">
        <f t="shared" si="2"/>
        <v>0</v>
      </c>
      <c r="S104" s="25">
        <f t="shared" si="3"/>
        <v>0</v>
      </c>
      <c r="T104" s="25">
        <f t="shared" si="4"/>
        <v>0</v>
      </c>
      <c r="U104" s="27">
        <f t="shared" si="5"/>
        <v>0</v>
      </c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5.75" customHeight="1">
      <c r="A105" s="22" t="s">
        <v>24</v>
      </c>
      <c r="B105" s="23">
        <f t="shared" si="6"/>
        <v>46122</v>
      </c>
      <c r="C105" s="24">
        <v>4.3</v>
      </c>
      <c r="D105" s="25" t="s">
        <v>28</v>
      </c>
      <c r="E105" s="21"/>
      <c r="F105" s="21" t="s">
        <v>32</v>
      </c>
      <c r="G105" s="70">
        <v>0.0</v>
      </c>
      <c r="I105" s="71">
        <v>0.0</v>
      </c>
      <c r="K105" s="71">
        <v>0.0</v>
      </c>
      <c r="M105" s="71">
        <v>0.0</v>
      </c>
      <c r="O105" s="71">
        <v>0.0</v>
      </c>
      <c r="Q105" s="26">
        <f t="shared" si="1"/>
        <v>0</v>
      </c>
      <c r="R105" s="25">
        <f t="shared" si="2"/>
        <v>0</v>
      </c>
      <c r="S105" s="25">
        <f t="shared" si="3"/>
        <v>0</v>
      </c>
      <c r="T105" s="25">
        <f t="shared" si="4"/>
        <v>0</v>
      </c>
      <c r="U105" s="27">
        <f t="shared" si="5"/>
        <v>0</v>
      </c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5.75" customHeight="1">
      <c r="A106" s="22" t="s">
        <v>25</v>
      </c>
      <c r="B106" s="23">
        <f t="shared" si="6"/>
        <v>46123</v>
      </c>
      <c r="C106" s="24">
        <v>4.3</v>
      </c>
      <c r="D106" s="25" t="s">
        <v>28</v>
      </c>
      <c r="E106" s="21"/>
      <c r="F106" s="21" t="s">
        <v>32</v>
      </c>
      <c r="G106" s="70">
        <v>0.0</v>
      </c>
      <c r="I106" s="71">
        <v>0.0</v>
      </c>
      <c r="K106" s="71">
        <v>0.0</v>
      </c>
      <c r="M106" s="71">
        <v>0.0</v>
      </c>
      <c r="O106" s="71">
        <v>0.0</v>
      </c>
      <c r="Q106" s="26">
        <f t="shared" si="1"/>
        <v>0</v>
      </c>
      <c r="R106" s="25">
        <f t="shared" si="2"/>
        <v>0</v>
      </c>
      <c r="S106" s="25">
        <f t="shared" si="3"/>
        <v>0</v>
      </c>
      <c r="T106" s="25">
        <f t="shared" si="4"/>
        <v>0</v>
      </c>
      <c r="U106" s="27">
        <f t="shared" si="5"/>
        <v>0</v>
      </c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5.75" customHeight="1">
      <c r="A107" s="28" t="s">
        <v>26</v>
      </c>
      <c r="B107" s="29">
        <f t="shared" si="6"/>
        <v>46124</v>
      </c>
      <c r="C107" s="30">
        <v>4.3</v>
      </c>
      <c r="D107" s="31" t="s">
        <v>28</v>
      </c>
      <c r="E107" s="32"/>
      <c r="F107" s="32" t="s">
        <v>32</v>
      </c>
      <c r="G107" s="72">
        <v>0.0</v>
      </c>
      <c r="H107" s="6"/>
      <c r="I107" s="72">
        <v>0.0</v>
      </c>
      <c r="J107" s="6"/>
      <c r="K107" s="72">
        <v>0.0</v>
      </c>
      <c r="L107" s="6"/>
      <c r="M107" s="72">
        <v>0.0</v>
      </c>
      <c r="N107" s="6"/>
      <c r="O107" s="72">
        <v>0.0</v>
      </c>
      <c r="P107" s="6"/>
      <c r="Q107" s="35">
        <f t="shared" si="1"/>
        <v>0</v>
      </c>
      <c r="R107" s="31">
        <f t="shared" si="2"/>
        <v>0</v>
      </c>
      <c r="S107" s="31">
        <f t="shared" si="3"/>
        <v>0</v>
      </c>
      <c r="T107" s="31">
        <f t="shared" si="4"/>
        <v>0</v>
      </c>
      <c r="U107" s="36">
        <f t="shared" si="5"/>
        <v>0</v>
      </c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5.75" customHeight="1">
      <c r="A108" s="43" t="s">
        <v>19</v>
      </c>
      <c r="B108" s="44">
        <f t="shared" si="6"/>
        <v>46125</v>
      </c>
      <c r="C108" s="45">
        <v>4.4</v>
      </c>
      <c r="D108" s="46" t="s">
        <v>29</v>
      </c>
      <c r="E108" s="47"/>
      <c r="F108" s="47" t="s">
        <v>32</v>
      </c>
      <c r="G108" s="48">
        <v>0.0</v>
      </c>
      <c r="I108" s="49">
        <v>0.0</v>
      </c>
      <c r="K108" s="49">
        <v>0.0</v>
      </c>
      <c r="M108" s="49">
        <v>0.0</v>
      </c>
      <c r="O108" s="49">
        <v>0.0</v>
      </c>
      <c r="Q108" s="50">
        <f t="shared" si="1"/>
        <v>0</v>
      </c>
      <c r="R108" s="46">
        <f t="shared" si="2"/>
        <v>0</v>
      </c>
      <c r="S108" s="46">
        <f t="shared" si="3"/>
        <v>0</v>
      </c>
      <c r="T108" s="46">
        <f t="shared" si="4"/>
        <v>0</v>
      </c>
      <c r="U108" s="51">
        <f t="shared" si="5"/>
        <v>0</v>
      </c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5.75" customHeight="1">
      <c r="A109" s="52" t="s">
        <v>21</v>
      </c>
      <c r="B109" s="53">
        <f t="shared" si="6"/>
        <v>46126</v>
      </c>
      <c r="C109" s="54">
        <v>4.4</v>
      </c>
      <c r="D109" s="55" t="s">
        <v>29</v>
      </c>
      <c r="E109" s="68">
        <v>3.0</v>
      </c>
      <c r="F109" s="56" t="s">
        <v>33</v>
      </c>
      <c r="G109" s="48">
        <v>0.0</v>
      </c>
      <c r="I109" s="49">
        <v>45.0</v>
      </c>
      <c r="K109" s="49">
        <v>45.0</v>
      </c>
      <c r="M109" s="49">
        <v>0.0</v>
      </c>
      <c r="O109" s="49">
        <v>30.0</v>
      </c>
      <c r="Q109" s="57">
        <f t="shared" si="1"/>
        <v>2595.2142</v>
      </c>
      <c r="R109" s="55">
        <f t="shared" si="2"/>
        <v>90</v>
      </c>
      <c r="S109" s="55">
        <f t="shared" si="3"/>
        <v>30</v>
      </c>
      <c r="T109" s="55">
        <f t="shared" si="4"/>
        <v>120</v>
      </c>
      <c r="U109" s="58">
        <f t="shared" si="5"/>
        <v>21.626785</v>
      </c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5.75" customHeight="1">
      <c r="A110" s="52" t="s">
        <v>22</v>
      </c>
      <c r="B110" s="53">
        <f t="shared" si="6"/>
        <v>46127</v>
      </c>
      <c r="C110" s="54">
        <v>4.4</v>
      </c>
      <c r="D110" s="55" t="s">
        <v>29</v>
      </c>
      <c r="E110" s="68">
        <v>3.0</v>
      </c>
      <c r="F110" s="56" t="s">
        <v>31</v>
      </c>
      <c r="G110" s="48">
        <v>45.0</v>
      </c>
      <c r="I110" s="49">
        <v>0.0</v>
      </c>
      <c r="K110" s="49">
        <v>45.0</v>
      </c>
      <c r="M110" s="49">
        <v>0.0</v>
      </c>
      <c r="O110" s="49">
        <v>0.0</v>
      </c>
      <c r="Q110" s="57">
        <f t="shared" si="1"/>
        <v>2335.8798</v>
      </c>
      <c r="R110" s="55">
        <f t="shared" si="2"/>
        <v>90</v>
      </c>
      <c r="S110" s="55">
        <f t="shared" si="3"/>
        <v>0</v>
      </c>
      <c r="T110" s="55">
        <f t="shared" si="4"/>
        <v>90</v>
      </c>
      <c r="U110" s="58">
        <f t="shared" si="5"/>
        <v>25.95422</v>
      </c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5.75" customHeight="1">
      <c r="A111" s="52" t="s">
        <v>23</v>
      </c>
      <c r="B111" s="53">
        <f t="shared" si="6"/>
        <v>46128</v>
      </c>
      <c r="C111" s="54">
        <v>4.4</v>
      </c>
      <c r="D111" s="55" t="s">
        <v>29</v>
      </c>
      <c r="E111" s="68">
        <v>3.0</v>
      </c>
      <c r="F111" s="56" t="s">
        <v>33</v>
      </c>
      <c r="G111" s="48">
        <v>0.0</v>
      </c>
      <c r="I111" s="49">
        <v>45.0</v>
      </c>
      <c r="K111" s="49">
        <v>45.0</v>
      </c>
      <c r="M111" s="49">
        <v>0.0</v>
      </c>
      <c r="O111" s="49">
        <v>30.0</v>
      </c>
      <c r="Q111" s="57">
        <f t="shared" si="1"/>
        <v>2595.2142</v>
      </c>
      <c r="R111" s="55">
        <f t="shared" si="2"/>
        <v>90</v>
      </c>
      <c r="S111" s="55">
        <f t="shared" si="3"/>
        <v>30</v>
      </c>
      <c r="T111" s="55">
        <f t="shared" si="4"/>
        <v>120</v>
      </c>
      <c r="U111" s="58">
        <f t="shared" si="5"/>
        <v>21.626785</v>
      </c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5.75" customHeight="1">
      <c r="A112" s="52" t="s">
        <v>24</v>
      </c>
      <c r="B112" s="53">
        <f t="shared" si="6"/>
        <v>46129</v>
      </c>
      <c r="C112" s="54">
        <v>4.4</v>
      </c>
      <c r="D112" s="55" t="s">
        <v>29</v>
      </c>
      <c r="E112" s="68">
        <v>3.0</v>
      </c>
      <c r="F112" s="56" t="s">
        <v>33</v>
      </c>
      <c r="G112" s="48">
        <v>0.0</v>
      </c>
      <c r="I112" s="49">
        <v>45.0</v>
      </c>
      <c r="K112" s="49">
        <v>45.0</v>
      </c>
      <c r="M112" s="49">
        <v>0.0</v>
      </c>
      <c r="O112" s="49">
        <v>30.0</v>
      </c>
      <c r="Q112" s="57">
        <f t="shared" si="1"/>
        <v>2595.2142</v>
      </c>
      <c r="R112" s="55">
        <f t="shared" si="2"/>
        <v>90</v>
      </c>
      <c r="S112" s="55">
        <f t="shared" si="3"/>
        <v>30</v>
      </c>
      <c r="T112" s="55">
        <f t="shared" si="4"/>
        <v>120</v>
      </c>
      <c r="U112" s="58">
        <f t="shared" si="5"/>
        <v>21.626785</v>
      </c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5.75" customHeight="1">
      <c r="A113" s="52" t="s">
        <v>25</v>
      </c>
      <c r="B113" s="53">
        <f t="shared" si="6"/>
        <v>46130</v>
      </c>
      <c r="C113" s="54">
        <v>4.4</v>
      </c>
      <c r="D113" s="55" t="s">
        <v>29</v>
      </c>
      <c r="E113" s="68">
        <v>3.0</v>
      </c>
      <c r="F113" s="56" t="s">
        <v>33</v>
      </c>
      <c r="G113" s="48">
        <v>45.0</v>
      </c>
      <c r="I113" s="49">
        <v>0.0</v>
      </c>
      <c r="K113" s="49">
        <v>45.0</v>
      </c>
      <c r="M113" s="49">
        <v>0.0</v>
      </c>
      <c r="O113" s="49">
        <v>0.0</v>
      </c>
      <c r="Q113" s="57">
        <f t="shared" si="1"/>
        <v>2335.8798</v>
      </c>
      <c r="R113" s="55">
        <f t="shared" si="2"/>
        <v>90</v>
      </c>
      <c r="S113" s="55">
        <f t="shared" si="3"/>
        <v>0</v>
      </c>
      <c r="T113" s="55">
        <f t="shared" si="4"/>
        <v>90</v>
      </c>
      <c r="U113" s="58">
        <f t="shared" si="5"/>
        <v>25.95422</v>
      </c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5.75" customHeight="1">
      <c r="A114" s="59" t="s">
        <v>26</v>
      </c>
      <c r="B114" s="60">
        <f t="shared" si="6"/>
        <v>46131</v>
      </c>
      <c r="C114" s="61">
        <v>4.4</v>
      </c>
      <c r="D114" s="62" t="s">
        <v>29</v>
      </c>
      <c r="E114" s="69">
        <v>3.0</v>
      </c>
      <c r="F114" s="63" t="s">
        <v>31</v>
      </c>
      <c r="G114" s="64">
        <v>45.0</v>
      </c>
      <c r="H114" s="6"/>
      <c r="I114" s="65">
        <v>0.0</v>
      </c>
      <c r="J114" s="6"/>
      <c r="K114" s="65">
        <v>45.0</v>
      </c>
      <c r="L114" s="6"/>
      <c r="M114" s="65">
        <v>0.0</v>
      </c>
      <c r="N114" s="6"/>
      <c r="O114" s="65">
        <v>0.0</v>
      </c>
      <c r="P114" s="6"/>
      <c r="Q114" s="66">
        <f t="shared" si="1"/>
        <v>2335.8798</v>
      </c>
      <c r="R114" s="62">
        <f t="shared" si="2"/>
        <v>90</v>
      </c>
      <c r="S114" s="62">
        <f t="shared" si="3"/>
        <v>0</v>
      </c>
      <c r="T114" s="62">
        <f t="shared" si="4"/>
        <v>90</v>
      </c>
      <c r="U114" s="67">
        <f t="shared" si="5"/>
        <v>25.95422</v>
      </c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5.75" customHeight="1">
      <c r="A115" s="13" t="s">
        <v>19</v>
      </c>
      <c r="B115" s="37">
        <f t="shared" si="6"/>
        <v>46132</v>
      </c>
      <c r="C115" s="15">
        <v>5.1</v>
      </c>
      <c r="D115" s="16" t="s">
        <v>20</v>
      </c>
      <c r="E115" s="17"/>
      <c r="F115" s="17" t="s">
        <v>32</v>
      </c>
      <c r="G115" s="70">
        <v>0.0</v>
      </c>
      <c r="I115" s="71">
        <v>0.0</v>
      </c>
      <c r="K115" s="71">
        <v>0.0</v>
      </c>
      <c r="M115" s="71">
        <v>0.0</v>
      </c>
      <c r="O115" s="71">
        <v>0.0</v>
      </c>
      <c r="Q115" s="20">
        <f t="shared" si="1"/>
        <v>0</v>
      </c>
      <c r="R115" s="16">
        <f t="shared" si="2"/>
        <v>0</v>
      </c>
      <c r="S115" s="16">
        <f t="shared" si="3"/>
        <v>0</v>
      </c>
      <c r="T115" s="16">
        <f t="shared" si="4"/>
        <v>0</v>
      </c>
      <c r="U115" s="38">
        <f t="shared" si="5"/>
        <v>0</v>
      </c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5.75" customHeight="1">
      <c r="A116" s="22" t="s">
        <v>21</v>
      </c>
      <c r="B116" s="23">
        <f t="shared" si="6"/>
        <v>46133</v>
      </c>
      <c r="C116" s="24">
        <v>5.1</v>
      </c>
      <c r="D116" s="25" t="s">
        <v>20</v>
      </c>
      <c r="E116" s="21"/>
      <c r="F116" s="21" t="s">
        <v>32</v>
      </c>
      <c r="G116" s="70">
        <v>0.0</v>
      </c>
      <c r="I116" s="71">
        <v>0.0</v>
      </c>
      <c r="K116" s="71">
        <v>0.0</v>
      </c>
      <c r="M116" s="71">
        <v>0.0</v>
      </c>
      <c r="O116" s="71">
        <v>0.0</v>
      </c>
      <c r="Q116" s="26">
        <f t="shared" si="1"/>
        <v>0</v>
      </c>
      <c r="R116" s="25">
        <f t="shared" si="2"/>
        <v>0</v>
      </c>
      <c r="S116" s="25">
        <f t="shared" si="3"/>
        <v>0</v>
      </c>
      <c r="T116" s="25">
        <f t="shared" si="4"/>
        <v>0</v>
      </c>
      <c r="U116" s="27">
        <f t="shared" si="5"/>
        <v>0</v>
      </c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5.75" customHeight="1">
      <c r="A117" s="22" t="s">
        <v>22</v>
      </c>
      <c r="B117" s="23">
        <f t="shared" si="6"/>
        <v>46134</v>
      </c>
      <c r="C117" s="24">
        <v>5.1</v>
      </c>
      <c r="D117" s="25" t="s">
        <v>20</v>
      </c>
      <c r="E117" s="21"/>
      <c r="F117" s="21" t="s">
        <v>32</v>
      </c>
      <c r="G117" s="70">
        <v>0.0</v>
      </c>
      <c r="I117" s="71">
        <v>0.0</v>
      </c>
      <c r="K117" s="71">
        <v>0.0</v>
      </c>
      <c r="M117" s="71">
        <v>0.0</v>
      </c>
      <c r="O117" s="71">
        <v>0.0</v>
      </c>
      <c r="Q117" s="26">
        <f t="shared" si="1"/>
        <v>0</v>
      </c>
      <c r="R117" s="25">
        <f t="shared" si="2"/>
        <v>0</v>
      </c>
      <c r="S117" s="25">
        <f t="shared" si="3"/>
        <v>0</v>
      </c>
      <c r="T117" s="25">
        <f t="shared" si="4"/>
        <v>0</v>
      </c>
      <c r="U117" s="27">
        <f t="shared" si="5"/>
        <v>0</v>
      </c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5.75" customHeight="1">
      <c r="A118" s="22" t="s">
        <v>23</v>
      </c>
      <c r="B118" s="23">
        <f t="shared" si="6"/>
        <v>46135</v>
      </c>
      <c r="C118" s="24">
        <v>5.1</v>
      </c>
      <c r="D118" s="25" t="s">
        <v>20</v>
      </c>
      <c r="E118" s="21"/>
      <c r="F118" s="21" t="s">
        <v>32</v>
      </c>
      <c r="G118" s="70">
        <v>0.0</v>
      </c>
      <c r="I118" s="71">
        <v>0.0</v>
      </c>
      <c r="K118" s="71">
        <v>0.0</v>
      </c>
      <c r="M118" s="71">
        <v>0.0</v>
      </c>
      <c r="O118" s="71">
        <v>0.0</v>
      </c>
      <c r="Q118" s="26">
        <f t="shared" si="1"/>
        <v>0</v>
      </c>
      <c r="R118" s="25">
        <f t="shared" si="2"/>
        <v>0</v>
      </c>
      <c r="S118" s="25">
        <f t="shared" si="3"/>
        <v>0</v>
      </c>
      <c r="T118" s="25">
        <f t="shared" si="4"/>
        <v>0</v>
      </c>
      <c r="U118" s="27">
        <f t="shared" si="5"/>
        <v>0</v>
      </c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5.75" customHeight="1">
      <c r="A119" s="22" t="s">
        <v>24</v>
      </c>
      <c r="B119" s="23">
        <f t="shared" si="6"/>
        <v>46136</v>
      </c>
      <c r="C119" s="24">
        <v>5.1</v>
      </c>
      <c r="D119" s="25" t="s">
        <v>20</v>
      </c>
      <c r="E119" s="21"/>
      <c r="F119" s="21" t="s">
        <v>32</v>
      </c>
      <c r="G119" s="70">
        <v>0.0</v>
      </c>
      <c r="I119" s="71">
        <v>0.0</v>
      </c>
      <c r="K119" s="71">
        <v>0.0</v>
      </c>
      <c r="M119" s="71">
        <v>0.0</v>
      </c>
      <c r="O119" s="71">
        <v>0.0</v>
      </c>
      <c r="Q119" s="26">
        <f t="shared" si="1"/>
        <v>0</v>
      </c>
      <c r="R119" s="25">
        <f t="shared" si="2"/>
        <v>0</v>
      </c>
      <c r="S119" s="25">
        <f t="shared" si="3"/>
        <v>0</v>
      </c>
      <c r="T119" s="25">
        <f t="shared" si="4"/>
        <v>0</v>
      </c>
      <c r="U119" s="27">
        <f t="shared" si="5"/>
        <v>0</v>
      </c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5.75" customHeight="1">
      <c r="A120" s="22" t="s">
        <v>25</v>
      </c>
      <c r="B120" s="23">
        <f t="shared" si="6"/>
        <v>46137</v>
      </c>
      <c r="C120" s="24">
        <v>5.1</v>
      </c>
      <c r="D120" s="25" t="s">
        <v>20</v>
      </c>
      <c r="E120" s="21"/>
      <c r="F120" s="21" t="s">
        <v>32</v>
      </c>
      <c r="G120" s="70">
        <v>0.0</v>
      </c>
      <c r="I120" s="71">
        <v>0.0</v>
      </c>
      <c r="K120" s="71">
        <v>0.0</v>
      </c>
      <c r="M120" s="71">
        <v>0.0</v>
      </c>
      <c r="O120" s="71">
        <v>0.0</v>
      </c>
      <c r="Q120" s="26">
        <f t="shared" si="1"/>
        <v>0</v>
      </c>
      <c r="R120" s="25">
        <f t="shared" si="2"/>
        <v>0</v>
      </c>
      <c r="S120" s="25">
        <f t="shared" si="3"/>
        <v>0</v>
      </c>
      <c r="T120" s="25">
        <f t="shared" si="4"/>
        <v>0</v>
      </c>
      <c r="U120" s="27">
        <f t="shared" si="5"/>
        <v>0</v>
      </c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5.75" customHeight="1">
      <c r="A121" s="28" t="s">
        <v>26</v>
      </c>
      <c r="B121" s="29">
        <f t="shared" si="6"/>
        <v>46138</v>
      </c>
      <c r="C121" s="30">
        <v>5.1</v>
      </c>
      <c r="D121" s="31" t="s">
        <v>20</v>
      </c>
      <c r="E121" s="32"/>
      <c r="F121" s="32" t="s">
        <v>32</v>
      </c>
      <c r="G121" s="72">
        <v>0.0</v>
      </c>
      <c r="H121" s="6"/>
      <c r="I121" s="72">
        <v>0.0</v>
      </c>
      <c r="J121" s="6"/>
      <c r="K121" s="72">
        <v>0.0</v>
      </c>
      <c r="L121" s="6"/>
      <c r="M121" s="72">
        <v>0.0</v>
      </c>
      <c r="N121" s="6"/>
      <c r="O121" s="72">
        <v>0.0</v>
      </c>
      <c r="P121" s="6"/>
      <c r="Q121" s="35">
        <f t="shared" si="1"/>
        <v>0</v>
      </c>
      <c r="R121" s="31">
        <f t="shared" si="2"/>
        <v>0</v>
      </c>
      <c r="S121" s="31">
        <f t="shared" si="3"/>
        <v>0</v>
      </c>
      <c r="T121" s="31">
        <f t="shared" si="4"/>
        <v>0</v>
      </c>
      <c r="U121" s="36">
        <f t="shared" si="5"/>
        <v>0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5.75" customHeight="1">
      <c r="A122" s="13" t="s">
        <v>19</v>
      </c>
      <c r="B122" s="37">
        <f t="shared" si="6"/>
        <v>46139</v>
      </c>
      <c r="C122" s="15">
        <v>5.2</v>
      </c>
      <c r="D122" s="16" t="s">
        <v>27</v>
      </c>
      <c r="E122" s="17"/>
      <c r="F122" s="17" t="s">
        <v>32</v>
      </c>
      <c r="G122" s="70">
        <v>0.0</v>
      </c>
      <c r="I122" s="71">
        <v>0.0</v>
      </c>
      <c r="K122" s="71">
        <v>0.0</v>
      </c>
      <c r="M122" s="71">
        <v>0.0</v>
      </c>
      <c r="O122" s="71">
        <v>0.0</v>
      </c>
      <c r="Q122" s="20">
        <f t="shared" si="1"/>
        <v>0</v>
      </c>
      <c r="R122" s="16">
        <f t="shared" si="2"/>
        <v>0</v>
      </c>
      <c r="S122" s="16">
        <f t="shared" si="3"/>
        <v>0</v>
      </c>
      <c r="T122" s="16">
        <f t="shared" si="4"/>
        <v>0</v>
      </c>
      <c r="U122" s="38">
        <f t="shared" si="5"/>
        <v>0</v>
      </c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5.75" customHeight="1">
      <c r="A123" s="22" t="s">
        <v>21</v>
      </c>
      <c r="B123" s="23">
        <f t="shared" si="6"/>
        <v>46140</v>
      </c>
      <c r="C123" s="24">
        <v>5.2</v>
      </c>
      <c r="D123" s="25" t="s">
        <v>27</v>
      </c>
      <c r="E123" s="21"/>
      <c r="F123" s="21" t="s">
        <v>32</v>
      </c>
      <c r="G123" s="70">
        <v>0.0</v>
      </c>
      <c r="I123" s="71">
        <v>0.0</v>
      </c>
      <c r="K123" s="71">
        <v>0.0</v>
      </c>
      <c r="M123" s="71">
        <v>0.0</v>
      </c>
      <c r="O123" s="71">
        <v>0.0</v>
      </c>
      <c r="Q123" s="26">
        <f t="shared" si="1"/>
        <v>0</v>
      </c>
      <c r="R123" s="25">
        <f t="shared" si="2"/>
        <v>0</v>
      </c>
      <c r="S123" s="25">
        <f t="shared" si="3"/>
        <v>0</v>
      </c>
      <c r="T123" s="25">
        <f t="shared" si="4"/>
        <v>0</v>
      </c>
      <c r="U123" s="27">
        <f t="shared" si="5"/>
        <v>0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5.75" customHeight="1">
      <c r="A124" s="22" t="s">
        <v>22</v>
      </c>
      <c r="B124" s="23">
        <f t="shared" si="6"/>
        <v>46141</v>
      </c>
      <c r="C124" s="24">
        <v>5.2</v>
      </c>
      <c r="D124" s="25" t="s">
        <v>27</v>
      </c>
      <c r="E124" s="21"/>
      <c r="F124" s="21" t="s">
        <v>32</v>
      </c>
      <c r="G124" s="70">
        <v>0.0</v>
      </c>
      <c r="I124" s="71">
        <v>0.0</v>
      </c>
      <c r="K124" s="71">
        <v>0.0</v>
      </c>
      <c r="M124" s="71">
        <v>0.0</v>
      </c>
      <c r="O124" s="71">
        <v>0.0</v>
      </c>
      <c r="Q124" s="26">
        <f t="shared" si="1"/>
        <v>0</v>
      </c>
      <c r="R124" s="25">
        <f t="shared" si="2"/>
        <v>0</v>
      </c>
      <c r="S124" s="25">
        <f t="shared" si="3"/>
        <v>0</v>
      </c>
      <c r="T124" s="25">
        <f t="shared" si="4"/>
        <v>0</v>
      </c>
      <c r="U124" s="27">
        <f t="shared" si="5"/>
        <v>0</v>
      </c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5.75" customHeight="1">
      <c r="A125" s="22" t="s">
        <v>23</v>
      </c>
      <c r="B125" s="23">
        <f t="shared" si="6"/>
        <v>46142</v>
      </c>
      <c r="C125" s="24">
        <v>5.2</v>
      </c>
      <c r="D125" s="25" t="s">
        <v>27</v>
      </c>
      <c r="E125" s="21"/>
      <c r="F125" s="21" t="s">
        <v>32</v>
      </c>
      <c r="G125" s="70">
        <v>0.0</v>
      </c>
      <c r="I125" s="71">
        <v>0.0</v>
      </c>
      <c r="K125" s="71">
        <v>0.0</v>
      </c>
      <c r="M125" s="71">
        <v>0.0</v>
      </c>
      <c r="O125" s="71">
        <v>0.0</v>
      </c>
      <c r="Q125" s="26">
        <f t="shared" si="1"/>
        <v>0</v>
      </c>
      <c r="R125" s="25">
        <f t="shared" si="2"/>
        <v>0</v>
      </c>
      <c r="S125" s="25">
        <f t="shared" si="3"/>
        <v>0</v>
      </c>
      <c r="T125" s="25">
        <f t="shared" si="4"/>
        <v>0</v>
      </c>
      <c r="U125" s="27">
        <f t="shared" si="5"/>
        <v>0</v>
      </c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5.75" customHeight="1">
      <c r="A126" s="22" t="s">
        <v>24</v>
      </c>
      <c r="B126" s="23">
        <f t="shared" si="6"/>
        <v>46143</v>
      </c>
      <c r="C126" s="24">
        <v>5.2</v>
      </c>
      <c r="D126" s="25" t="s">
        <v>27</v>
      </c>
      <c r="E126" s="21"/>
      <c r="F126" s="21" t="s">
        <v>32</v>
      </c>
      <c r="G126" s="70">
        <v>0.0</v>
      </c>
      <c r="I126" s="71">
        <v>0.0</v>
      </c>
      <c r="K126" s="71">
        <v>0.0</v>
      </c>
      <c r="M126" s="71">
        <v>0.0</v>
      </c>
      <c r="O126" s="71">
        <v>0.0</v>
      </c>
      <c r="Q126" s="26">
        <f t="shared" si="1"/>
        <v>0</v>
      </c>
      <c r="R126" s="25">
        <f t="shared" si="2"/>
        <v>0</v>
      </c>
      <c r="S126" s="25">
        <f t="shared" si="3"/>
        <v>0</v>
      </c>
      <c r="T126" s="25">
        <f t="shared" si="4"/>
        <v>0</v>
      </c>
      <c r="U126" s="27">
        <f t="shared" si="5"/>
        <v>0</v>
      </c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5.75" customHeight="1">
      <c r="A127" s="22" t="s">
        <v>25</v>
      </c>
      <c r="B127" s="23">
        <f t="shared" si="6"/>
        <v>46144</v>
      </c>
      <c r="C127" s="24">
        <v>5.2</v>
      </c>
      <c r="D127" s="25" t="s">
        <v>27</v>
      </c>
      <c r="E127" s="21"/>
      <c r="F127" s="21" t="s">
        <v>32</v>
      </c>
      <c r="G127" s="70">
        <v>0.0</v>
      </c>
      <c r="I127" s="71">
        <v>0.0</v>
      </c>
      <c r="K127" s="71">
        <v>0.0</v>
      </c>
      <c r="M127" s="71">
        <v>0.0</v>
      </c>
      <c r="O127" s="71">
        <v>0.0</v>
      </c>
      <c r="Q127" s="26">
        <f t="shared" si="1"/>
        <v>0</v>
      </c>
      <c r="R127" s="25">
        <f t="shared" si="2"/>
        <v>0</v>
      </c>
      <c r="S127" s="25">
        <f t="shared" si="3"/>
        <v>0</v>
      </c>
      <c r="T127" s="25">
        <f t="shared" si="4"/>
        <v>0</v>
      </c>
      <c r="U127" s="27">
        <f t="shared" si="5"/>
        <v>0</v>
      </c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5.75" customHeight="1">
      <c r="A128" s="28" t="s">
        <v>26</v>
      </c>
      <c r="B128" s="29">
        <f t="shared" si="6"/>
        <v>46145</v>
      </c>
      <c r="C128" s="30">
        <v>5.2</v>
      </c>
      <c r="D128" s="31" t="s">
        <v>27</v>
      </c>
      <c r="E128" s="32"/>
      <c r="F128" s="32" t="s">
        <v>32</v>
      </c>
      <c r="G128" s="72">
        <v>0.0</v>
      </c>
      <c r="H128" s="6"/>
      <c r="I128" s="72">
        <v>0.0</v>
      </c>
      <c r="J128" s="6"/>
      <c r="K128" s="72">
        <v>0.0</v>
      </c>
      <c r="L128" s="6"/>
      <c r="M128" s="72">
        <v>0.0</v>
      </c>
      <c r="N128" s="6"/>
      <c r="O128" s="72">
        <v>0.0</v>
      </c>
      <c r="P128" s="6"/>
      <c r="Q128" s="35">
        <f t="shared" si="1"/>
        <v>0</v>
      </c>
      <c r="R128" s="31">
        <f t="shared" si="2"/>
        <v>0</v>
      </c>
      <c r="S128" s="31">
        <f t="shared" si="3"/>
        <v>0</v>
      </c>
      <c r="T128" s="31">
        <f t="shared" si="4"/>
        <v>0</v>
      </c>
      <c r="U128" s="36">
        <f t="shared" si="5"/>
        <v>0</v>
      </c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5.75" customHeight="1">
      <c r="A129" s="76" t="s">
        <v>19</v>
      </c>
      <c r="B129" s="77">
        <f t="shared" si="6"/>
        <v>46146</v>
      </c>
      <c r="C129" s="78">
        <v>5.3</v>
      </c>
      <c r="D129" s="79" t="s">
        <v>28</v>
      </c>
      <c r="E129" s="80"/>
      <c r="F129" s="80" t="s">
        <v>32</v>
      </c>
      <c r="G129" s="81">
        <v>0.0</v>
      </c>
      <c r="I129" s="82">
        <v>0.0</v>
      </c>
      <c r="K129" s="82">
        <v>0.0</v>
      </c>
      <c r="M129" s="82">
        <v>0.0</v>
      </c>
      <c r="O129" s="82">
        <v>0.0</v>
      </c>
      <c r="Q129" s="83">
        <f t="shared" si="1"/>
        <v>0</v>
      </c>
      <c r="R129" s="79">
        <f t="shared" si="2"/>
        <v>0</v>
      </c>
      <c r="S129" s="79">
        <f t="shared" si="3"/>
        <v>0</v>
      </c>
      <c r="T129" s="79">
        <f t="shared" si="4"/>
        <v>0</v>
      </c>
      <c r="U129" s="84">
        <f t="shared" si="5"/>
        <v>0</v>
      </c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5.75" customHeight="1">
      <c r="A130" s="85" t="s">
        <v>21</v>
      </c>
      <c r="B130" s="86">
        <f t="shared" si="6"/>
        <v>46147</v>
      </c>
      <c r="C130" s="87">
        <v>5.3</v>
      </c>
      <c r="D130" s="88" t="s">
        <v>28</v>
      </c>
      <c r="E130" s="89">
        <v>4.0</v>
      </c>
      <c r="F130" s="89" t="s">
        <v>33</v>
      </c>
      <c r="G130" s="81">
        <v>0.0</v>
      </c>
      <c r="I130" s="82">
        <v>45.0</v>
      </c>
      <c r="K130" s="82">
        <v>0.0</v>
      </c>
      <c r="M130" s="82">
        <v>0.0</v>
      </c>
      <c r="O130" s="82">
        <v>30.0</v>
      </c>
      <c r="Q130" s="90">
        <f t="shared" si="1"/>
        <v>1427.2743</v>
      </c>
      <c r="R130" s="88">
        <f t="shared" si="2"/>
        <v>45</v>
      </c>
      <c r="S130" s="88">
        <f t="shared" si="3"/>
        <v>30</v>
      </c>
      <c r="T130" s="88">
        <f t="shared" si="4"/>
        <v>75</v>
      </c>
      <c r="U130" s="91">
        <f t="shared" si="5"/>
        <v>19.030324</v>
      </c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5.75" customHeight="1">
      <c r="A131" s="85" t="s">
        <v>22</v>
      </c>
      <c r="B131" s="86">
        <f t="shared" si="6"/>
        <v>46148</v>
      </c>
      <c r="C131" s="87">
        <v>5.3</v>
      </c>
      <c r="D131" s="88" t="s">
        <v>28</v>
      </c>
      <c r="E131" s="89">
        <v>4.0</v>
      </c>
      <c r="F131" s="89" t="s">
        <v>31</v>
      </c>
      <c r="G131" s="81">
        <v>45.0</v>
      </c>
      <c r="I131" s="82">
        <v>0.0</v>
      </c>
      <c r="K131" s="82">
        <v>45.0</v>
      </c>
      <c r="M131" s="82">
        <v>0.0</v>
      </c>
      <c r="O131" s="82">
        <v>0.0</v>
      </c>
      <c r="Q131" s="90">
        <f t="shared" si="1"/>
        <v>2335.8798</v>
      </c>
      <c r="R131" s="88">
        <f t="shared" si="2"/>
        <v>90</v>
      </c>
      <c r="S131" s="88">
        <f t="shared" si="3"/>
        <v>0</v>
      </c>
      <c r="T131" s="88">
        <f t="shared" si="4"/>
        <v>90</v>
      </c>
      <c r="U131" s="91">
        <f t="shared" si="5"/>
        <v>25.95422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5.75" customHeight="1">
      <c r="A132" s="85" t="s">
        <v>23</v>
      </c>
      <c r="B132" s="86">
        <f t="shared" si="6"/>
        <v>46149</v>
      </c>
      <c r="C132" s="87">
        <v>5.3</v>
      </c>
      <c r="D132" s="88" t="s">
        <v>28</v>
      </c>
      <c r="E132" s="89">
        <v>4.0</v>
      </c>
      <c r="F132" s="89" t="s">
        <v>33</v>
      </c>
      <c r="G132" s="81">
        <v>0.0</v>
      </c>
      <c r="I132" s="82">
        <v>45.0</v>
      </c>
      <c r="K132" s="82">
        <v>45.0</v>
      </c>
      <c r="M132" s="82">
        <v>0.0</v>
      </c>
      <c r="O132" s="82">
        <v>30.0</v>
      </c>
      <c r="Q132" s="90">
        <f t="shared" si="1"/>
        <v>2595.2142</v>
      </c>
      <c r="R132" s="88">
        <f t="shared" si="2"/>
        <v>90</v>
      </c>
      <c r="S132" s="88">
        <f t="shared" si="3"/>
        <v>30</v>
      </c>
      <c r="T132" s="88">
        <f t="shared" si="4"/>
        <v>120</v>
      </c>
      <c r="U132" s="91">
        <f t="shared" si="5"/>
        <v>21.626785</v>
      </c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5.75" customHeight="1">
      <c r="A133" s="85" t="s">
        <v>24</v>
      </c>
      <c r="B133" s="86">
        <f t="shared" si="6"/>
        <v>46150</v>
      </c>
      <c r="C133" s="87">
        <v>5.3</v>
      </c>
      <c r="D133" s="88" t="s">
        <v>28</v>
      </c>
      <c r="E133" s="89">
        <v>4.0</v>
      </c>
      <c r="F133" s="89" t="s">
        <v>33</v>
      </c>
      <c r="G133" s="81">
        <v>0.0</v>
      </c>
      <c r="I133" s="82">
        <v>45.0</v>
      </c>
      <c r="K133" s="82">
        <v>45.0</v>
      </c>
      <c r="M133" s="82">
        <v>0.0</v>
      </c>
      <c r="O133" s="82">
        <v>30.0</v>
      </c>
      <c r="Q133" s="90">
        <f t="shared" si="1"/>
        <v>2595.2142</v>
      </c>
      <c r="R133" s="88">
        <f t="shared" si="2"/>
        <v>90</v>
      </c>
      <c r="S133" s="88">
        <f t="shared" si="3"/>
        <v>30</v>
      </c>
      <c r="T133" s="88">
        <f t="shared" si="4"/>
        <v>120</v>
      </c>
      <c r="U133" s="91">
        <f t="shared" si="5"/>
        <v>21.626785</v>
      </c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5.75" customHeight="1">
      <c r="A134" s="85" t="s">
        <v>25</v>
      </c>
      <c r="B134" s="86">
        <f t="shared" si="6"/>
        <v>46151</v>
      </c>
      <c r="C134" s="87">
        <v>5.3</v>
      </c>
      <c r="D134" s="88" t="s">
        <v>28</v>
      </c>
      <c r="E134" s="89">
        <v>4.0</v>
      </c>
      <c r="F134" s="89" t="s">
        <v>33</v>
      </c>
      <c r="G134" s="81">
        <v>0.0</v>
      </c>
      <c r="I134" s="82">
        <v>45.0</v>
      </c>
      <c r="K134" s="82">
        <v>45.0</v>
      </c>
      <c r="M134" s="82">
        <v>0.0</v>
      </c>
      <c r="O134" s="82">
        <v>30.0</v>
      </c>
      <c r="Q134" s="90">
        <f t="shared" si="1"/>
        <v>2595.2142</v>
      </c>
      <c r="R134" s="88">
        <f t="shared" si="2"/>
        <v>90</v>
      </c>
      <c r="S134" s="88">
        <f t="shared" si="3"/>
        <v>30</v>
      </c>
      <c r="T134" s="88">
        <f t="shared" si="4"/>
        <v>120</v>
      </c>
      <c r="U134" s="91">
        <f t="shared" si="5"/>
        <v>21.626785</v>
      </c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5.75" customHeight="1">
      <c r="A135" s="92" t="s">
        <v>26</v>
      </c>
      <c r="B135" s="93">
        <f t="shared" si="6"/>
        <v>46152</v>
      </c>
      <c r="C135" s="94">
        <v>5.3</v>
      </c>
      <c r="D135" s="95" t="s">
        <v>28</v>
      </c>
      <c r="E135" s="96">
        <v>4.0</v>
      </c>
      <c r="F135" s="96" t="s">
        <v>31</v>
      </c>
      <c r="G135" s="97">
        <v>45.0</v>
      </c>
      <c r="H135" s="6"/>
      <c r="I135" s="98">
        <v>0.0</v>
      </c>
      <c r="J135" s="6"/>
      <c r="K135" s="98">
        <v>45.0</v>
      </c>
      <c r="L135" s="6"/>
      <c r="M135" s="98">
        <v>0.0</v>
      </c>
      <c r="N135" s="6"/>
      <c r="O135" s="98">
        <v>0.0</v>
      </c>
      <c r="P135" s="6"/>
      <c r="Q135" s="99">
        <f t="shared" si="1"/>
        <v>2335.8798</v>
      </c>
      <c r="R135" s="95">
        <f t="shared" si="2"/>
        <v>90</v>
      </c>
      <c r="S135" s="95">
        <f t="shared" si="3"/>
        <v>0</v>
      </c>
      <c r="T135" s="95">
        <f t="shared" si="4"/>
        <v>90</v>
      </c>
      <c r="U135" s="100">
        <f t="shared" si="5"/>
        <v>25.95422</v>
      </c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5.75" customHeight="1">
      <c r="A136" s="76" t="s">
        <v>19</v>
      </c>
      <c r="B136" s="77">
        <f t="shared" si="6"/>
        <v>46153</v>
      </c>
      <c r="C136" s="78">
        <v>5.4</v>
      </c>
      <c r="D136" s="79" t="s">
        <v>29</v>
      </c>
      <c r="E136" s="80"/>
      <c r="F136" s="80" t="s">
        <v>32</v>
      </c>
      <c r="G136" s="81">
        <v>0.0</v>
      </c>
      <c r="I136" s="82">
        <v>0.0</v>
      </c>
      <c r="K136" s="82">
        <v>0.0</v>
      </c>
      <c r="M136" s="82">
        <v>0.0</v>
      </c>
      <c r="O136" s="82">
        <v>0.0</v>
      </c>
      <c r="Q136" s="83">
        <f t="shared" si="1"/>
        <v>0</v>
      </c>
      <c r="R136" s="79">
        <f t="shared" si="2"/>
        <v>0</v>
      </c>
      <c r="S136" s="79">
        <f t="shared" si="3"/>
        <v>0</v>
      </c>
      <c r="T136" s="79">
        <f t="shared" si="4"/>
        <v>0</v>
      </c>
      <c r="U136" s="84">
        <f t="shared" si="5"/>
        <v>0</v>
      </c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5.75" customHeight="1">
      <c r="A137" s="85" t="s">
        <v>21</v>
      </c>
      <c r="B137" s="86">
        <f t="shared" si="6"/>
        <v>46154</v>
      </c>
      <c r="C137" s="87">
        <v>5.4</v>
      </c>
      <c r="D137" s="88" t="s">
        <v>29</v>
      </c>
      <c r="E137" s="101">
        <v>5.0</v>
      </c>
      <c r="F137" s="89" t="s">
        <v>33</v>
      </c>
      <c r="G137" s="81">
        <v>0.0</v>
      </c>
      <c r="I137" s="82">
        <v>45.0</v>
      </c>
      <c r="K137" s="82">
        <v>45.0</v>
      </c>
      <c r="M137" s="82">
        <v>0.0</v>
      </c>
      <c r="O137" s="82">
        <v>30.0</v>
      </c>
      <c r="Q137" s="90">
        <f t="shared" si="1"/>
        <v>2595.2142</v>
      </c>
      <c r="R137" s="88">
        <f t="shared" si="2"/>
        <v>90</v>
      </c>
      <c r="S137" s="88">
        <f t="shared" si="3"/>
        <v>30</v>
      </c>
      <c r="T137" s="88">
        <f t="shared" si="4"/>
        <v>120</v>
      </c>
      <c r="U137" s="91">
        <f t="shared" si="5"/>
        <v>21.626785</v>
      </c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5.75" customHeight="1">
      <c r="A138" s="85" t="s">
        <v>22</v>
      </c>
      <c r="B138" s="86">
        <f t="shared" si="6"/>
        <v>46155</v>
      </c>
      <c r="C138" s="87">
        <v>5.4</v>
      </c>
      <c r="D138" s="88" t="s">
        <v>29</v>
      </c>
      <c r="E138" s="101">
        <v>5.0</v>
      </c>
      <c r="F138" s="89" t="s">
        <v>31</v>
      </c>
      <c r="G138" s="81">
        <v>45.0</v>
      </c>
      <c r="I138" s="82">
        <v>0.0</v>
      </c>
      <c r="K138" s="82">
        <v>45.0</v>
      </c>
      <c r="M138" s="82">
        <v>0.0</v>
      </c>
      <c r="O138" s="82">
        <v>0.0</v>
      </c>
      <c r="Q138" s="90">
        <f t="shared" si="1"/>
        <v>2335.8798</v>
      </c>
      <c r="R138" s="88">
        <f t="shared" si="2"/>
        <v>90</v>
      </c>
      <c r="S138" s="88">
        <f t="shared" si="3"/>
        <v>0</v>
      </c>
      <c r="T138" s="88">
        <f t="shared" si="4"/>
        <v>90</v>
      </c>
      <c r="U138" s="91">
        <f t="shared" si="5"/>
        <v>25.95422</v>
      </c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5.75" customHeight="1">
      <c r="A139" s="85" t="s">
        <v>23</v>
      </c>
      <c r="B139" s="86">
        <f t="shared" si="6"/>
        <v>46156</v>
      </c>
      <c r="C139" s="87">
        <v>5.4</v>
      </c>
      <c r="D139" s="88" t="s">
        <v>29</v>
      </c>
      <c r="E139" s="101">
        <v>5.0</v>
      </c>
      <c r="F139" s="89" t="s">
        <v>33</v>
      </c>
      <c r="G139" s="81">
        <v>0.0</v>
      </c>
      <c r="I139" s="82">
        <v>45.0</v>
      </c>
      <c r="K139" s="82">
        <v>45.0</v>
      </c>
      <c r="M139" s="82">
        <v>0.0</v>
      </c>
      <c r="O139" s="82">
        <v>30.0</v>
      </c>
      <c r="Q139" s="90">
        <f t="shared" si="1"/>
        <v>2595.2142</v>
      </c>
      <c r="R139" s="88">
        <f t="shared" si="2"/>
        <v>90</v>
      </c>
      <c r="S139" s="88">
        <f t="shared" si="3"/>
        <v>30</v>
      </c>
      <c r="T139" s="88">
        <f t="shared" si="4"/>
        <v>120</v>
      </c>
      <c r="U139" s="91">
        <f t="shared" si="5"/>
        <v>21.626785</v>
      </c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5.75" customHeight="1">
      <c r="A140" s="85" t="s">
        <v>24</v>
      </c>
      <c r="B140" s="86">
        <f t="shared" si="6"/>
        <v>46157</v>
      </c>
      <c r="C140" s="87">
        <v>5.4</v>
      </c>
      <c r="D140" s="88" t="s">
        <v>29</v>
      </c>
      <c r="E140" s="101">
        <v>5.0</v>
      </c>
      <c r="F140" s="89" t="s">
        <v>33</v>
      </c>
      <c r="G140" s="81">
        <v>0.0</v>
      </c>
      <c r="I140" s="82">
        <v>45.0</v>
      </c>
      <c r="K140" s="82">
        <v>45.0</v>
      </c>
      <c r="M140" s="82">
        <v>0.0</v>
      </c>
      <c r="O140" s="82">
        <v>30.0</v>
      </c>
      <c r="Q140" s="90">
        <f t="shared" si="1"/>
        <v>2595.2142</v>
      </c>
      <c r="R140" s="88">
        <f t="shared" si="2"/>
        <v>90</v>
      </c>
      <c r="S140" s="88">
        <f t="shared" si="3"/>
        <v>30</v>
      </c>
      <c r="T140" s="88">
        <f t="shared" si="4"/>
        <v>120</v>
      </c>
      <c r="U140" s="91">
        <f t="shared" si="5"/>
        <v>21.626785</v>
      </c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5.75" customHeight="1">
      <c r="A141" s="85" t="s">
        <v>25</v>
      </c>
      <c r="B141" s="86">
        <f t="shared" si="6"/>
        <v>46158</v>
      </c>
      <c r="C141" s="87">
        <v>5.4</v>
      </c>
      <c r="D141" s="88" t="s">
        <v>29</v>
      </c>
      <c r="E141" s="101">
        <v>5.0</v>
      </c>
      <c r="F141" s="89" t="s">
        <v>33</v>
      </c>
      <c r="G141" s="81">
        <v>0.0</v>
      </c>
      <c r="I141" s="82">
        <v>45.0</v>
      </c>
      <c r="K141" s="82">
        <v>45.0</v>
      </c>
      <c r="M141" s="82">
        <v>0.0</v>
      </c>
      <c r="O141" s="82">
        <v>30.0</v>
      </c>
      <c r="Q141" s="90">
        <f t="shared" si="1"/>
        <v>2595.2142</v>
      </c>
      <c r="R141" s="88">
        <f t="shared" si="2"/>
        <v>90</v>
      </c>
      <c r="S141" s="88">
        <f t="shared" si="3"/>
        <v>30</v>
      </c>
      <c r="T141" s="88">
        <f t="shared" si="4"/>
        <v>120</v>
      </c>
      <c r="U141" s="91">
        <f t="shared" si="5"/>
        <v>21.626785</v>
      </c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5.75" customHeight="1">
      <c r="A142" s="92" t="s">
        <v>26</v>
      </c>
      <c r="B142" s="93">
        <f t="shared" si="6"/>
        <v>46159</v>
      </c>
      <c r="C142" s="94">
        <v>5.4</v>
      </c>
      <c r="D142" s="95" t="s">
        <v>29</v>
      </c>
      <c r="E142" s="102">
        <v>5.0</v>
      </c>
      <c r="F142" s="96" t="s">
        <v>31</v>
      </c>
      <c r="G142" s="97">
        <v>45.0</v>
      </c>
      <c r="H142" s="6"/>
      <c r="I142" s="98">
        <v>0.0</v>
      </c>
      <c r="J142" s="6"/>
      <c r="K142" s="98">
        <v>45.0</v>
      </c>
      <c r="L142" s="6"/>
      <c r="M142" s="98">
        <v>0.0</v>
      </c>
      <c r="N142" s="6"/>
      <c r="O142" s="98">
        <v>0.0</v>
      </c>
      <c r="P142" s="6"/>
      <c r="Q142" s="99">
        <f t="shared" si="1"/>
        <v>2335.8798</v>
      </c>
      <c r="R142" s="95">
        <f t="shared" si="2"/>
        <v>90</v>
      </c>
      <c r="S142" s="95">
        <f t="shared" si="3"/>
        <v>0</v>
      </c>
      <c r="T142" s="95">
        <f t="shared" si="4"/>
        <v>90</v>
      </c>
      <c r="U142" s="100">
        <f t="shared" si="5"/>
        <v>25.95422</v>
      </c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5.75" customHeight="1">
      <c r="A143" s="13" t="s">
        <v>19</v>
      </c>
      <c r="B143" s="37">
        <f t="shared" si="6"/>
        <v>46160</v>
      </c>
      <c r="C143" s="15">
        <v>6.1</v>
      </c>
      <c r="D143" s="16" t="s">
        <v>20</v>
      </c>
      <c r="E143" s="17"/>
      <c r="F143" s="17" t="s">
        <v>32</v>
      </c>
      <c r="G143" s="70">
        <v>0.0</v>
      </c>
      <c r="I143" s="71">
        <v>0.0</v>
      </c>
      <c r="K143" s="71">
        <v>0.0</v>
      </c>
      <c r="M143" s="71">
        <v>0.0</v>
      </c>
      <c r="O143" s="71">
        <v>0.0</v>
      </c>
      <c r="Q143" s="20">
        <f t="shared" si="1"/>
        <v>0</v>
      </c>
      <c r="R143" s="16">
        <f t="shared" si="2"/>
        <v>0</v>
      </c>
      <c r="S143" s="16">
        <f t="shared" si="3"/>
        <v>0</v>
      </c>
      <c r="T143" s="16">
        <f t="shared" si="4"/>
        <v>0</v>
      </c>
      <c r="U143" s="38">
        <f t="shared" si="5"/>
        <v>0</v>
      </c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5.75" customHeight="1">
      <c r="A144" s="22" t="s">
        <v>21</v>
      </c>
      <c r="B144" s="23">
        <f t="shared" si="6"/>
        <v>46161</v>
      </c>
      <c r="C144" s="24">
        <v>6.1</v>
      </c>
      <c r="D144" s="25" t="s">
        <v>20</v>
      </c>
      <c r="E144" s="21"/>
      <c r="F144" s="21" t="s">
        <v>32</v>
      </c>
      <c r="G144" s="70">
        <v>0.0</v>
      </c>
      <c r="I144" s="71">
        <v>0.0</v>
      </c>
      <c r="K144" s="71">
        <v>0.0</v>
      </c>
      <c r="M144" s="71">
        <v>0.0</v>
      </c>
      <c r="O144" s="71">
        <v>0.0</v>
      </c>
      <c r="Q144" s="26">
        <f t="shared" si="1"/>
        <v>0</v>
      </c>
      <c r="R144" s="25">
        <f t="shared" si="2"/>
        <v>0</v>
      </c>
      <c r="S144" s="25">
        <f t="shared" si="3"/>
        <v>0</v>
      </c>
      <c r="T144" s="25">
        <f t="shared" si="4"/>
        <v>0</v>
      </c>
      <c r="U144" s="27">
        <f t="shared" si="5"/>
        <v>0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5.75" customHeight="1">
      <c r="A145" s="22" t="s">
        <v>22</v>
      </c>
      <c r="B145" s="23">
        <f t="shared" si="6"/>
        <v>46162</v>
      </c>
      <c r="C145" s="24">
        <v>6.1</v>
      </c>
      <c r="D145" s="25" t="s">
        <v>20</v>
      </c>
      <c r="E145" s="21"/>
      <c r="F145" s="21" t="s">
        <v>32</v>
      </c>
      <c r="G145" s="70">
        <v>0.0</v>
      </c>
      <c r="I145" s="71">
        <v>0.0</v>
      </c>
      <c r="K145" s="71">
        <v>0.0</v>
      </c>
      <c r="M145" s="71">
        <v>0.0</v>
      </c>
      <c r="O145" s="71">
        <v>0.0</v>
      </c>
      <c r="Q145" s="26">
        <f t="shared" si="1"/>
        <v>0</v>
      </c>
      <c r="R145" s="25">
        <f t="shared" si="2"/>
        <v>0</v>
      </c>
      <c r="S145" s="25">
        <f t="shared" si="3"/>
        <v>0</v>
      </c>
      <c r="T145" s="25">
        <f t="shared" si="4"/>
        <v>0</v>
      </c>
      <c r="U145" s="27">
        <f t="shared" si="5"/>
        <v>0</v>
      </c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5.75" customHeight="1">
      <c r="A146" s="22" t="s">
        <v>23</v>
      </c>
      <c r="B146" s="23">
        <f t="shared" si="6"/>
        <v>46163</v>
      </c>
      <c r="C146" s="24">
        <v>6.1</v>
      </c>
      <c r="D146" s="25" t="s">
        <v>20</v>
      </c>
      <c r="E146" s="21"/>
      <c r="F146" s="21" t="s">
        <v>32</v>
      </c>
      <c r="G146" s="70">
        <v>0.0</v>
      </c>
      <c r="I146" s="71">
        <v>0.0</v>
      </c>
      <c r="K146" s="71">
        <v>0.0</v>
      </c>
      <c r="M146" s="71">
        <v>0.0</v>
      </c>
      <c r="O146" s="71">
        <v>0.0</v>
      </c>
      <c r="Q146" s="26">
        <f t="shared" si="1"/>
        <v>0</v>
      </c>
      <c r="R146" s="25">
        <f t="shared" si="2"/>
        <v>0</v>
      </c>
      <c r="S146" s="25">
        <f t="shared" si="3"/>
        <v>0</v>
      </c>
      <c r="T146" s="25">
        <f t="shared" si="4"/>
        <v>0</v>
      </c>
      <c r="U146" s="27">
        <f t="shared" si="5"/>
        <v>0</v>
      </c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5.75" customHeight="1">
      <c r="A147" s="22" t="s">
        <v>24</v>
      </c>
      <c r="B147" s="23">
        <f t="shared" si="6"/>
        <v>46164</v>
      </c>
      <c r="C147" s="24">
        <v>6.1</v>
      </c>
      <c r="D147" s="25" t="s">
        <v>20</v>
      </c>
      <c r="E147" s="21"/>
      <c r="F147" s="21" t="s">
        <v>32</v>
      </c>
      <c r="G147" s="70">
        <v>0.0</v>
      </c>
      <c r="I147" s="71">
        <v>0.0</v>
      </c>
      <c r="K147" s="71">
        <v>0.0</v>
      </c>
      <c r="M147" s="71">
        <v>0.0</v>
      </c>
      <c r="O147" s="71">
        <v>0.0</v>
      </c>
      <c r="Q147" s="26">
        <f t="shared" si="1"/>
        <v>0</v>
      </c>
      <c r="R147" s="25">
        <f t="shared" si="2"/>
        <v>0</v>
      </c>
      <c r="S147" s="25">
        <f t="shared" si="3"/>
        <v>0</v>
      </c>
      <c r="T147" s="25">
        <f t="shared" si="4"/>
        <v>0</v>
      </c>
      <c r="U147" s="27">
        <f t="shared" si="5"/>
        <v>0</v>
      </c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5.75" customHeight="1">
      <c r="A148" s="22" t="s">
        <v>25</v>
      </c>
      <c r="B148" s="23">
        <f t="shared" si="6"/>
        <v>46165</v>
      </c>
      <c r="C148" s="24">
        <v>6.1</v>
      </c>
      <c r="D148" s="25" t="s">
        <v>20</v>
      </c>
      <c r="E148" s="21"/>
      <c r="F148" s="21" t="s">
        <v>32</v>
      </c>
      <c r="G148" s="70">
        <v>0.0</v>
      </c>
      <c r="I148" s="71">
        <v>0.0</v>
      </c>
      <c r="K148" s="71">
        <v>0.0</v>
      </c>
      <c r="M148" s="71">
        <v>0.0</v>
      </c>
      <c r="O148" s="71">
        <v>0.0</v>
      </c>
      <c r="Q148" s="26">
        <f t="shared" si="1"/>
        <v>0</v>
      </c>
      <c r="R148" s="25">
        <f t="shared" si="2"/>
        <v>0</v>
      </c>
      <c r="S148" s="25">
        <f t="shared" si="3"/>
        <v>0</v>
      </c>
      <c r="T148" s="25">
        <f t="shared" si="4"/>
        <v>0</v>
      </c>
      <c r="U148" s="27">
        <f t="shared" si="5"/>
        <v>0</v>
      </c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5.75" customHeight="1">
      <c r="A149" s="28" t="s">
        <v>26</v>
      </c>
      <c r="B149" s="29">
        <f t="shared" si="6"/>
        <v>46166</v>
      </c>
      <c r="C149" s="30">
        <v>6.1</v>
      </c>
      <c r="D149" s="31" t="s">
        <v>20</v>
      </c>
      <c r="E149" s="32"/>
      <c r="F149" s="32" t="s">
        <v>32</v>
      </c>
      <c r="G149" s="72">
        <v>0.0</v>
      </c>
      <c r="H149" s="6"/>
      <c r="I149" s="72">
        <v>0.0</v>
      </c>
      <c r="J149" s="6"/>
      <c r="K149" s="72">
        <v>0.0</v>
      </c>
      <c r="L149" s="6"/>
      <c r="M149" s="72">
        <v>0.0</v>
      </c>
      <c r="N149" s="6"/>
      <c r="O149" s="72">
        <v>0.0</v>
      </c>
      <c r="P149" s="6"/>
      <c r="Q149" s="35">
        <f t="shared" si="1"/>
        <v>0</v>
      </c>
      <c r="R149" s="31">
        <f t="shared" si="2"/>
        <v>0</v>
      </c>
      <c r="S149" s="31">
        <f t="shared" si="3"/>
        <v>0</v>
      </c>
      <c r="T149" s="31">
        <f t="shared" si="4"/>
        <v>0</v>
      </c>
      <c r="U149" s="36">
        <f t="shared" si="5"/>
        <v>0</v>
      </c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5.75" customHeight="1">
      <c r="A150" s="76" t="s">
        <v>19</v>
      </c>
      <c r="B150" s="77">
        <f t="shared" si="6"/>
        <v>46167</v>
      </c>
      <c r="C150" s="78">
        <v>6.2</v>
      </c>
      <c r="D150" s="79" t="s">
        <v>27</v>
      </c>
      <c r="E150" s="80"/>
      <c r="F150" s="80" t="s">
        <v>32</v>
      </c>
      <c r="G150" s="81">
        <v>0.0</v>
      </c>
      <c r="I150" s="82">
        <v>0.0</v>
      </c>
      <c r="K150" s="82">
        <v>0.0</v>
      </c>
      <c r="M150" s="82">
        <v>0.0</v>
      </c>
      <c r="O150" s="82">
        <v>0.0</v>
      </c>
      <c r="Q150" s="83">
        <f t="shared" si="1"/>
        <v>0</v>
      </c>
      <c r="R150" s="79">
        <f t="shared" si="2"/>
        <v>0</v>
      </c>
      <c r="S150" s="79">
        <f t="shared" si="3"/>
        <v>0</v>
      </c>
      <c r="T150" s="79">
        <f t="shared" si="4"/>
        <v>0</v>
      </c>
      <c r="U150" s="84">
        <f t="shared" si="5"/>
        <v>0</v>
      </c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5.75" customHeight="1">
      <c r="A151" s="85" t="s">
        <v>21</v>
      </c>
      <c r="B151" s="86">
        <f t="shared" si="6"/>
        <v>46168</v>
      </c>
      <c r="C151" s="87">
        <v>6.2</v>
      </c>
      <c r="D151" s="88" t="s">
        <v>27</v>
      </c>
      <c r="E151" s="101">
        <v>6.0</v>
      </c>
      <c r="F151" s="89" t="s">
        <v>33</v>
      </c>
      <c r="G151" s="81">
        <v>0.0</v>
      </c>
      <c r="I151" s="82">
        <v>45.0</v>
      </c>
      <c r="K151" s="82">
        <v>45.0</v>
      </c>
      <c r="M151" s="82">
        <v>0.0</v>
      </c>
      <c r="O151" s="82">
        <v>30.0</v>
      </c>
      <c r="Q151" s="90">
        <f t="shared" si="1"/>
        <v>2595.2142</v>
      </c>
      <c r="R151" s="88">
        <f t="shared" si="2"/>
        <v>90</v>
      </c>
      <c r="S151" s="88">
        <f t="shared" si="3"/>
        <v>30</v>
      </c>
      <c r="T151" s="88">
        <f t="shared" si="4"/>
        <v>120</v>
      </c>
      <c r="U151" s="91">
        <f t="shared" si="5"/>
        <v>21.626785</v>
      </c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5.75" customHeight="1">
      <c r="A152" s="85" t="s">
        <v>22</v>
      </c>
      <c r="B152" s="86">
        <f t="shared" si="6"/>
        <v>46169</v>
      </c>
      <c r="C152" s="87">
        <v>6.2</v>
      </c>
      <c r="D152" s="88" t="s">
        <v>27</v>
      </c>
      <c r="E152" s="101">
        <v>6.0</v>
      </c>
      <c r="F152" s="89" t="s">
        <v>31</v>
      </c>
      <c r="G152" s="81">
        <v>45.0</v>
      </c>
      <c r="I152" s="82">
        <v>0.0</v>
      </c>
      <c r="K152" s="82">
        <v>45.0</v>
      </c>
      <c r="M152" s="82">
        <v>0.0</v>
      </c>
      <c r="O152" s="82">
        <v>0.0</v>
      </c>
      <c r="Q152" s="90">
        <f t="shared" si="1"/>
        <v>2335.8798</v>
      </c>
      <c r="R152" s="88">
        <f t="shared" si="2"/>
        <v>90</v>
      </c>
      <c r="S152" s="88">
        <f t="shared" si="3"/>
        <v>0</v>
      </c>
      <c r="T152" s="88">
        <f t="shared" si="4"/>
        <v>90</v>
      </c>
      <c r="U152" s="91">
        <f t="shared" si="5"/>
        <v>25.95422</v>
      </c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5.75" customHeight="1">
      <c r="A153" s="85" t="s">
        <v>23</v>
      </c>
      <c r="B153" s="86">
        <f t="shared" si="6"/>
        <v>46170</v>
      </c>
      <c r="C153" s="87">
        <v>6.2</v>
      </c>
      <c r="D153" s="88" t="s">
        <v>27</v>
      </c>
      <c r="E153" s="101">
        <v>6.0</v>
      </c>
      <c r="F153" s="89" t="s">
        <v>33</v>
      </c>
      <c r="G153" s="81">
        <v>0.0</v>
      </c>
      <c r="I153" s="82">
        <v>45.0</v>
      </c>
      <c r="K153" s="82">
        <v>45.0</v>
      </c>
      <c r="M153" s="82">
        <v>0.0</v>
      </c>
      <c r="O153" s="82">
        <v>30.0</v>
      </c>
      <c r="Q153" s="90">
        <f t="shared" si="1"/>
        <v>2595.2142</v>
      </c>
      <c r="R153" s="88">
        <f t="shared" si="2"/>
        <v>90</v>
      </c>
      <c r="S153" s="88">
        <f t="shared" si="3"/>
        <v>30</v>
      </c>
      <c r="T153" s="88">
        <f t="shared" si="4"/>
        <v>120</v>
      </c>
      <c r="U153" s="91">
        <f t="shared" si="5"/>
        <v>21.626785</v>
      </c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5.75" customHeight="1">
      <c r="A154" s="85" t="s">
        <v>24</v>
      </c>
      <c r="B154" s="86">
        <f t="shared" si="6"/>
        <v>46171</v>
      </c>
      <c r="C154" s="87">
        <v>6.2</v>
      </c>
      <c r="D154" s="88" t="s">
        <v>27</v>
      </c>
      <c r="E154" s="101">
        <v>6.0</v>
      </c>
      <c r="F154" s="89" t="s">
        <v>33</v>
      </c>
      <c r="G154" s="81">
        <v>0.0</v>
      </c>
      <c r="I154" s="82">
        <v>45.0</v>
      </c>
      <c r="K154" s="82">
        <v>45.0</v>
      </c>
      <c r="M154" s="82">
        <v>0.0</v>
      </c>
      <c r="O154" s="82">
        <v>30.0</v>
      </c>
      <c r="Q154" s="90">
        <f t="shared" si="1"/>
        <v>2595.2142</v>
      </c>
      <c r="R154" s="88">
        <f t="shared" si="2"/>
        <v>90</v>
      </c>
      <c r="S154" s="88">
        <f t="shared" si="3"/>
        <v>30</v>
      </c>
      <c r="T154" s="88">
        <f t="shared" si="4"/>
        <v>120</v>
      </c>
      <c r="U154" s="91">
        <f t="shared" si="5"/>
        <v>21.626785</v>
      </c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5.75" customHeight="1">
      <c r="A155" s="85" t="s">
        <v>25</v>
      </c>
      <c r="B155" s="86">
        <f t="shared" si="6"/>
        <v>46172</v>
      </c>
      <c r="C155" s="87">
        <v>6.2</v>
      </c>
      <c r="D155" s="88" t="s">
        <v>27</v>
      </c>
      <c r="E155" s="101">
        <v>6.0</v>
      </c>
      <c r="F155" s="89" t="s">
        <v>33</v>
      </c>
      <c r="G155" s="81">
        <v>0.0</v>
      </c>
      <c r="I155" s="82">
        <v>45.0</v>
      </c>
      <c r="K155" s="82">
        <v>45.0</v>
      </c>
      <c r="M155" s="82">
        <v>0.0</v>
      </c>
      <c r="O155" s="82">
        <v>30.0</v>
      </c>
      <c r="Q155" s="90">
        <f t="shared" si="1"/>
        <v>2595.2142</v>
      </c>
      <c r="R155" s="88">
        <f t="shared" si="2"/>
        <v>90</v>
      </c>
      <c r="S155" s="88">
        <f t="shared" si="3"/>
        <v>30</v>
      </c>
      <c r="T155" s="88">
        <f t="shared" si="4"/>
        <v>120</v>
      </c>
      <c r="U155" s="91">
        <f t="shared" si="5"/>
        <v>21.626785</v>
      </c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5.75" customHeight="1">
      <c r="A156" s="92" t="s">
        <v>26</v>
      </c>
      <c r="B156" s="93">
        <f t="shared" si="6"/>
        <v>46173</v>
      </c>
      <c r="C156" s="94">
        <v>6.2</v>
      </c>
      <c r="D156" s="95" t="s">
        <v>27</v>
      </c>
      <c r="E156" s="102">
        <v>6.0</v>
      </c>
      <c r="F156" s="96" t="s">
        <v>31</v>
      </c>
      <c r="G156" s="97">
        <v>45.0</v>
      </c>
      <c r="H156" s="6"/>
      <c r="I156" s="98">
        <v>0.0</v>
      </c>
      <c r="J156" s="6"/>
      <c r="K156" s="98">
        <v>45.0</v>
      </c>
      <c r="L156" s="6"/>
      <c r="M156" s="98">
        <v>0.0</v>
      </c>
      <c r="N156" s="6"/>
      <c r="O156" s="98">
        <v>0.0</v>
      </c>
      <c r="P156" s="6"/>
      <c r="Q156" s="99">
        <f t="shared" si="1"/>
        <v>2335.8798</v>
      </c>
      <c r="R156" s="95">
        <f t="shared" si="2"/>
        <v>90</v>
      </c>
      <c r="S156" s="95">
        <f t="shared" si="3"/>
        <v>0</v>
      </c>
      <c r="T156" s="95">
        <f t="shared" si="4"/>
        <v>90</v>
      </c>
      <c r="U156" s="100">
        <f t="shared" si="5"/>
        <v>25.95422</v>
      </c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5.75" customHeight="1">
      <c r="A157" s="13" t="s">
        <v>19</v>
      </c>
      <c r="B157" s="37">
        <f t="shared" si="6"/>
        <v>46174</v>
      </c>
      <c r="C157" s="15">
        <v>6.3</v>
      </c>
      <c r="D157" s="16" t="s">
        <v>28</v>
      </c>
      <c r="E157" s="17"/>
      <c r="F157" s="17" t="s">
        <v>32</v>
      </c>
      <c r="G157" s="70">
        <v>0.0</v>
      </c>
      <c r="I157" s="71">
        <v>0.0</v>
      </c>
      <c r="K157" s="71">
        <v>0.0</v>
      </c>
      <c r="M157" s="71">
        <v>0.0</v>
      </c>
      <c r="O157" s="71">
        <v>0.0</v>
      </c>
      <c r="Q157" s="20">
        <f t="shared" si="1"/>
        <v>0</v>
      </c>
      <c r="R157" s="16">
        <f t="shared" si="2"/>
        <v>0</v>
      </c>
      <c r="S157" s="16">
        <f t="shared" si="3"/>
        <v>0</v>
      </c>
      <c r="T157" s="16">
        <f t="shared" si="4"/>
        <v>0</v>
      </c>
      <c r="U157" s="38">
        <f t="shared" si="5"/>
        <v>0</v>
      </c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5.75" customHeight="1">
      <c r="A158" s="22" t="s">
        <v>21</v>
      </c>
      <c r="B158" s="23">
        <f t="shared" si="6"/>
        <v>46175</v>
      </c>
      <c r="C158" s="24">
        <v>6.3</v>
      </c>
      <c r="D158" s="25" t="s">
        <v>28</v>
      </c>
      <c r="E158" s="21"/>
      <c r="F158" s="21" t="s">
        <v>32</v>
      </c>
      <c r="G158" s="70">
        <v>0.0</v>
      </c>
      <c r="I158" s="71">
        <v>0.0</v>
      </c>
      <c r="K158" s="71">
        <v>0.0</v>
      </c>
      <c r="M158" s="71">
        <v>0.0</v>
      </c>
      <c r="O158" s="71">
        <v>0.0</v>
      </c>
      <c r="Q158" s="26">
        <f t="shared" si="1"/>
        <v>0</v>
      </c>
      <c r="R158" s="25">
        <f t="shared" si="2"/>
        <v>0</v>
      </c>
      <c r="S158" s="25">
        <f t="shared" si="3"/>
        <v>0</v>
      </c>
      <c r="T158" s="25">
        <f t="shared" si="4"/>
        <v>0</v>
      </c>
      <c r="U158" s="27">
        <f t="shared" si="5"/>
        <v>0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5.75" customHeight="1">
      <c r="A159" s="22" t="s">
        <v>22</v>
      </c>
      <c r="B159" s="23">
        <f t="shared" si="6"/>
        <v>46176</v>
      </c>
      <c r="C159" s="24">
        <v>6.3</v>
      </c>
      <c r="D159" s="25" t="s">
        <v>28</v>
      </c>
      <c r="E159" s="21"/>
      <c r="F159" s="21" t="s">
        <v>32</v>
      </c>
      <c r="G159" s="70">
        <v>0.0</v>
      </c>
      <c r="I159" s="71">
        <v>0.0</v>
      </c>
      <c r="K159" s="71">
        <v>0.0</v>
      </c>
      <c r="M159" s="71">
        <v>0.0</v>
      </c>
      <c r="O159" s="71">
        <v>0.0</v>
      </c>
      <c r="Q159" s="26">
        <f t="shared" si="1"/>
        <v>0</v>
      </c>
      <c r="R159" s="25">
        <f t="shared" si="2"/>
        <v>0</v>
      </c>
      <c r="S159" s="25">
        <f t="shared" si="3"/>
        <v>0</v>
      </c>
      <c r="T159" s="25">
        <f t="shared" si="4"/>
        <v>0</v>
      </c>
      <c r="U159" s="27">
        <f t="shared" si="5"/>
        <v>0</v>
      </c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5.75" customHeight="1">
      <c r="A160" s="22" t="s">
        <v>23</v>
      </c>
      <c r="B160" s="23">
        <f t="shared" si="6"/>
        <v>46177</v>
      </c>
      <c r="C160" s="24">
        <v>6.3</v>
      </c>
      <c r="D160" s="25" t="s">
        <v>28</v>
      </c>
      <c r="E160" s="21"/>
      <c r="F160" s="21" t="s">
        <v>32</v>
      </c>
      <c r="G160" s="70">
        <v>0.0</v>
      </c>
      <c r="I160" s="71">
        <v>0.0</v>
      </c>
      <c r="K160" s="71">
        <v>0.0</v>
      </c>
      <c r="M160" s="71">
        <v>0.0</v>
      </c>
      <c r="O160" s="71">
        <v>0.0</v>
      </c>
      <c r="Q160" s="26">
        <f t="shared" si="1"/>
        <v>0</v>
      </c>
      <c r="R160" s="25">
        <f t="shared" si="2"/>
        <v>0</v>
      </c>
      <c r="S160" s="25">
        <f t="shared" si="3"/>
        <v>0</v>
      </c>
      <c r="T160" s="25">
        <f t="shared" si="4"/>
        <v>0</v>
      </c>
      <c r="U160" s="27">
        <f t="shared" si="5"/>
        <v>0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5.75" customHeight="1">
      <c r="A161" s="22" t="s">
        <v>24</v>
      </c>
      <c r="B161" s="23">
        <f t="shared" si="6"/>
        <v>46178</v>
      </c>
      <c r="C161" s="24">
        <v>6.3</v>
      </c>
      <c r="D161" s="25" t="s">
        <v>28</v>
      </c>
      <c r="E161" s="21"/>
      <c r="F161" s="21" t="s">
        <v>32</v>
      </c>
      <c r="G161" s="70">
        <v>0.0</v>
      </c>
      <c r="I161" s="71">
        <v>0.0</v>
      </c>
      <c r="K161" s="71">
        <v>0.0</v>
      </c>
      <c r="M161" s="71">
        <v>0.0</v>
      </c>
      <c r="O161" s="71">
        <v>0.0</v>
      </c>
      <c r="Q161" s="26">
        <f t="shared" si="1"/>
        <v>0</v>
      </c>
      <c r="R161" s="25">
        <f t="shared" si="2"/>
        <v>0</v>
      </c>
      <c r="S161" s="25">
        <f t="shared" si="3"/>
        <v>0</v>
      </c>
      <c r="T161" s="25">
        <f t="shared" si="4"/>
        <v>0</v>
      </c>
      <c r="U161" s="27">
        <f t="shared" si="5"/>
        <v>0</v>
      </c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5.75" customHeight="1">
      <c r="A162" s="22" t="s">
        <v>25</v>
      </c>
      <c r="B162" s="23">
        <f t="shared" si="6"/>
        <v>46179</v>
      </c>
      <c r="C162" s="24">
        <v>6.3</v>
      </c>
      <c r="D162" s="25" t="s">
        <v>28</v>
      </c>
      <c r="E162" s="21"/>
      <c r="F162" s="21" t="s">
        <v>32</v>
      </c>
      <c r="G162" s="70">
        <v>0.0</v>
      </c>
      <c r="I162" s="71">
        <v>0.0</v>
      </c>
      <c r="K162" s="71">
        <v>0.0</v>
      </c>
      <c r="M162" s="71">
        <v>0.0</v>
      </c>
      <c r="O162" s="71">
        <v>0.0</v>
      </c>
      <c r="Q162" s="26">
        <f t="shared" si="1"/>
        <v>0</v>
      </c>
      <c r="R162" s="25">
        <f t="shared" si="2"/>
        <v>0</v>
      </c>
      <c r="S162" s="25">
        <f t="shared" si="3"/>
        <v>0</v>
      </c>
      <c r="T162" s="25">
        <f t="shared" si="4"/>
        <v>0</v>
      </c>
      <c r="U162" s="27">
        <f t="shared" si="5"/>
        <v>0</v>
      </c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5.75" customHeight="1">
      <c r="A163" s="28" t="s">
        <v>26</v>
      </c>
      <c r="B163" s="29">
        <f t="shared" si="6"/>
        <v>46180</v>
      </c>
      <c r="C163" s="30">
        <v>6.3</v>
      </c>
      <c r="D163" s="31" t="s">
        <v>28</v>
      </c>
      <c r="E163" s="32"/>
      <c r="F163" s="32" t="s">
        <v>32</v>
      </c>
      <c r="G163" s="72">
        <v>0.0</v>
      </c>
      <c r="H163" s="6"/>
      <c r="I163" s="72">
        <v>0.0</v>
      </c>
      <c r="J163" s="6"/>
      <c r="K163" s="72">
        <v>0.0</v>
      </c>
      <c r="L163" s="6"/>
      <c r="M163" s="72">
        <v>0.0</v>
      </c>
      <c r="N163" s="6"/>
      <c r="O163" s="72">
        <v>0.0</v>
      </c>
      <c r="P163" s="6"/>
      <c r="Q163" s="35">
        <f t="shared" si="1"/>
        <v>0</v>
      </c>
      <c r="R163" s="31">
        <f t="shared" si="2"/>
        <v>0</v>
      </c>
      <c r="S163" s="31">
        <f t="shared" si="3"/>
        <v>0</v>
      </c>
      <c r="T163" s="31">
        <f t="shared" si="4"/>
        <v>0</v>
      </c>
      <c r="U163" s="36">
        <f t="shared" si="5"/>
        <v>0</v>
      </c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5.75" customHeight="1">
      <c r="A164" s="76" t="s">
        <v>19</v>
      </c>
      <c r="B164" s="77">
        <f t="shared" si="6"/>
        <v>46181</v>
      </c>
      <c r="C164" s="78">
        <v>6.4</v>
      </c>
      <c r="D164" s="79" t="s">
        <v>29</v>
      </c>
      <c r="E164" s="80"/>
      <c r="F164" s="80" t="s">
        <v>32</v>
      </c>
      <c r="G164" s="81">
        <v>0.0</v>
      </c>
      <c r="I164" s="82">
        <v>0.0</v>
      </c>
      <c r="K164" s="82">
        <v>0.0</v>
      </c>
      <c r="M164" s="82">
        <v>0.0</v>
      </c>
      <c r="O164" s="82">
        <v>0.0</v>
      </c>
      <c r="Q164" s="83">
        <f t="shared" si="1"/>
        <v>0</v>
      </c>
      <c r="R164" s="79">
        <f t="shared" si="2"/>
        <v>0</v>
      </c>
      <c r="S164" s="79">
        <f t="shared" si="3"/>
        <v>0</v>
      </c>
      <c r="T164" s="79">
        <f t="shared" si="4"/>
        <v>0</v>
      </c>
      <c r="U164" s="84">
        <f t="shared" si="5"/>
        <v>0</v>
      </c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5.75" customHeight="1">
      <c r="A165" s="85" t="s">
        <v>21</v>
      </c>
      <c r="B165" s="86">
        <f t="shared" si="6"/>
        <v>46182</v>
      </c>
      <c r="C165" s="87">
        <v>6.4</v>
      </c>
      <c r="D165" s="88" t="s">
        <v>29</v>
      </c>
      <c r="E165" s="101">
        <v>7.0</v>
      </c>
      <c r="F165" s="89" t="s">
        <v>33</v>
      </c>
      <c r="G165" s="81">
        <v>0.0</v>
      </c>
      <c r="I165" s="82">
        <v>45.0</v>
      </c>
      <c r="K165" s="82">
        <v>45.0</v>
      </c>
      <c r="M165" s="82">
        <v>0.0</v>
      </c>
      <c r="O165" s="82">
        <v>30.0</v>
      </c>
      <c r="Q165" s="90">
        <f t="shared" si="1"/>
        <v>2595.2142</v>
      </c>
      <c r="R165" s="88">
        <f t="shared" si="2"/>
        <v>90</v>
      </c>
      <c r="S165" s="88">
        <f t="shared" si="3"/>
        <v>30</v>
      </c>
      <c r="T165" s="88">
        <f t="shared" si="4"/>
        <v>120</v>
      </c>
      <c r="U165" s="91">
        <f t="shared" si="5"/>
        <v>21.626785</v>
      </c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5.75" customHeight="1">
      <c r="A166" s="85" t="s">
        <v>22</v>
      </c>
      <c r="B166" s="86">
        <f t="shared" si="6"/>
        <v>46183</v>
      </c>
      <c r="C166" s="87">
        <v>6.4</v>
      </c>
      <c r="D166" s="88" t="s">
        <v>29</v>
      </c>
      <c r="E166" s="101">
        <v>7.0</v>
      </c>
      <c r="F166" s="89" t="s">
        <v>31</v>
      </c>
      <c r="G166" s="81">
        <v>0.0</v>
      </c>
      <c r="I166" s="82">
        <v>45.0</v>
      </c>
      <c r="K166" s="82">
        <v>45.0</v>
      </c>
      <c r="M166" s="82">
        <v>0.0</v>
      </c>
      <c r="O166" s="82">
        <v>30.0</v>
      </c>
      <c r="Q166" s="90">
        <f t="shared" si="1"/>
        <v>2595.2142</v>
      </c>
      <c r="R166" s="88">
        <f t="shared" si="2"/>
        <v>90</v>
      </c>
      <c r="S166" s="88">
        <f t="shared" si="3"/>
        <v>30</v>
      </c>
      <c r="T166" s="88">
        <f t="shared" si="4"/>
        <v>120</v>
      </c>
      <c r="U166" s="91">
        <f t="shared" si="5"/>
        <v>21.626785</v>
      </c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5.75" customHeight="1">
      <c r="A167" s="85" t="s">
        <v>23</v>
      </c>
      <c r="B167" s="86">
        <f t="shared" si="6"/>
        <v>46184</v>
      </c>
      <c r="C167" s="87">
        <v>6.4</v>
      </c>
      <c r="D167" s="88" t="s">
        <v>29</v>
      </c>
      <c r="E167" s="101">
        <v>7.0</v>
      </c>
      <c r="F167" s="89" t="s">
        <v>33</v>
      </c>
      <c r="G167" s="81">
        <v>0.0</v>
      </c>
      <c r="I167" s="82">
        <v>45.0</v>
      </c>
      <c r="K167" s="82">
        <v>45.0</v>
      </c>
      <c r="M167" s="82">
        <v>0.0</v>
      </c>
      <c r="O167" s="82">
        <v>30.0</v>
      </c>
      <c r="Q167" s="90">
        <f t="shared" si="1"/>
        <v>2595.2142</v>
      </c>
      <c r="R167" s="88">
        <f t="shared" si="2"/>
        <v>90</v>
      </c>
      <c r="S167" s="88">
        <f t="shared" si="3"/>
        <v>30</v>
      </c>
      <c r="T167" s="88">
        <f t="shared" si="4"/>
        <v>120</v>
      </c>
      <c r="U167" s="91">
        <f t="shared" si="5"/>
        <v>21.626785</v>
      </c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5.75" customHeight="1">
      <c r="A168" s="85" t="s">
        <v>24</v>
      </c>
      <c r="B168" s="86">
        <f t="shared" si="6"/>
        <v>46185</v>
      </c>
      <c r="C168" s="87">
        <v>6.4</v>
      </c>
      <c r="D168" s="88" t="s">
        <v>29</v>
      </c>
      <c r="E168" s="101">
        <v>7.0</v>
      </c>
      <c r="F168" s="89" t="s">
        <v>33</v>
      </c>
      <c r="G168" s="81">
        <v>0.0</v>
      </c>
      <c r="I168" s="82">
        <v>45.0</v>
      </c>
      <c r="K168" s="82">
        <v>45.0</v>
      </c>
      <c r="M168" s="82">
        <v>0.0</v>
      </c>
      <c r="O168" s="82">
        <v>30.0</v>
      </c>
      <c r="Q168" s="90">
        <f t="shared" si="1"/>
        <v>2595.2142</v>
      </c>
      <c r="R168" s="88">
        <f t="shared" si="2"/>
        <v>90</v>
      </c>
      <c r="S168" s="88">
        <f t="shared" si="3"/>
        <v>30</v>
      </c>
      <c r="T168" s="88">
        <f t="shared" si="4"/>
        <v>120</v>
      </c>
      <c r="U168" s="91">
        <f t="shared" si="5"/>
        <v>21.626785</v>
      </c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5.75" customHeight="1">
      <c r="A169" s="85" t="s">
        <v>25</v>
      </c>
      <c r="B169" s="86">
        <f t="shared" si="6"/>
        <v>46186</v>
      </c>
      <c r="C169" s="87">
        <v>6.4</v>
      </c>
      <c r="D169" s="88" t="s">
        <v>29</v>
      </c>
      <c r="E169" s="101">
        <v>7.0</v>
      </c>
      <c r="F169" s="89" t="s">
        <v>33</v>
      </c>
      <c r="G169" s="81">
        <v>0.0</v>
      </c>
      <c r="I169" s="82">
        <v>45.0</v>
      </c>
      <c r="K169" s="82">
        <v>0.0</v>
      </c>
      <c r="M169" s="82">
        <v>0.0</v>
      </c>
      <c r="O169" s="82">
        <v>30.0</v>
      </c>
      <c r="Q169" s="90">
        <f t="shared" si="1"/>
        <v>1427.2743</v>
      </c>
      <c r="R169" s="88">
        <f t="shared" si="2"/>
        <v>45</v>
      </c>
      <c r="S169" s="88">
        <f t="shared" si="3"/>
        <v>30</v>
      </c>
      <c r="T169" s="88">
        <f t="shared" si="4"/>
        <v>75</v>
      </c>
      <c r="U169" s="91">
        <f t="shared" si="5"/>
        <v>19.030324</v>
      </c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5.75" customHeight="1">
      <c r="A170" s="92" t="s">
        <v>26</v>
      </c>
      <c r="B170" s="93">
        <f t="shared" si="6"/>
        <v>46187</v>
      </c>
      <c r="C170" s="94">
        <v>6.4</v>
      </c>
      <c r="D170" s="95" t="s">
        <v>29</v>
      </c>
      <c r="E170" s="102">
        <v>7.0</v>
      </c>
      <c r="F170" s="96" t="s">
        <v>31</v>
      </c>
      <c r="G170" s="97">
        <v>45.0</v>
      </c>
      <c r="H170" s="6"/>
      <c r="I170" s="98">
        <v>0.0</v>
      </c>
      <c r="J170" s="6"/>
      <c r="K170" s="98">
        <v>45.0</v>
      </c>
      <c r="L170" s="6"/>
      <c r="M170" s="98">
        <v>0.0</v>
      </c>
      <c r="N170" s="6"/>
      <c r="O170" s="98">
        <v>0.0</v>
      </c>
      <c r="P170" s="6"/>
      <c r="Q170" s="99">
        <f t="shared" si="1"/>
        <v>2335.8798</v>
      </c>
      <c r="R170" s="95">
        <f t="shared" si="2"/>
        <v>90</v>
      </c>
      <c r="S170" s="95">
        <f t="shared" si="3"/>
        <v>0</v>
      </c>
      <c r="T170" s="95">
        <f t="shared" si="4"/>
        <v>90</v>
      </c>
      <c r="U170" s="100">
        <f t="shared" si="5"/>
        <v>25.95422</v>
      </c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5.75" customHeight="1">
      <c r="A171" s="13" t="s">
        <v>19</v>
      </c>
      <c r="B171" s="37">
        <f t="shared" si="6"/>
        <v>46188</v>
      </c>
      <c r="C171" s="15">
        <v>7.1</v>
      </c>
      <c r="D171" s="16" t="s">
        <v>20</v>
      </c>
      <c r="E171" s="17"/>
      <c r="F171" s="17" t="s">
        <v>32</v>
      </c>
      <c r="G171" s="70">
        <v>0.0</v>
      </c>
      <c r="I171" s="71">
        <v>0.0</v>
      </c>
      <c r="K171" s="71">
        <v>0.0</v>
      </c>
      <c r="M171" s="71">
        <v>0.0</v>
      </c>
      <c r="O171" s="71">
        <v>0.0</v>
      </c>
      <c r="Q171" s="20">
        <f t="shared" si="1"/>
        <v>0</v>
      </c>
      <c r="R171" s="16">
        <f t="shared" si="2"/>
        <v>0</v>
      </c>
      <c r="S171" s="16">
        <f t="shared" si="3"/>
        <v>0</v>
      </c>
      <c r="T171" s="16">
        <f t="shared" si="4"/>
        <v>0</v>
      </c>
      <c r="U171" s="38">
        <f t="shared" si="5"/>
        <v>0</v>
      </c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5.75" customHeight="1">
      <c r="A172" s="22" t="s">
        <v>21</v>
      </c>
      <c r="B172" s="23">
        <f t="shared" si="6"/>
        <v>46189</v>
      </c>
      <c r="C172" s="24">
        <v>7.1</v>
      </c>
      <c r="D172" s="25" t="s">
        <v>20</v>
      </c>
      <c r="E172" s="21"/>
      <c r="F172" s="21" t="s">
        <v>32</v>
      </c>
      <c r="G172" s="70">
        <v>0.0</v>
      </c>
      <c r="I172" s="71">
        <v>0.0</v>
      </c>
      <c r="K172" s="71">
        <v>0.0</v>
      </c>
      <c r="M172" s="71">
        <v>0.0</v>
      </c>
      <c r="O172" s="71">
        <v>0.0</v>
      </c>
      <c r="Q172" s="26">
        <f t="shared" si="1"/>
        <v>0</v>
      </c>
      <c r="R172" s="25">
        <f t="shared" si="2"/>
        <v>0</v>
      </c>
      <c r="S172" s="25">
        <f t="shared" si="3"/>
        <v>0</v>
      </c>
      <c r="T172" s="25">
        <f t="shared" si="4"/>
        <v>0</v>
      </c>
      <c r="U172" s="27">
        <f t="shared" si="5"/>
        <v>0</v>
      </c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5.75" customHeight="1">
      <c r="A173" s="22" t="s">
        <v>22</v>
      </c>
      <c r="B173" s="23">
        <f t="shared" si="6"/>
        <v>46190</v>
      </c>
      <c r="C173" s="24">
        <v>7.1</v>
      </c>
      <c r="D173" s="25" t="s">
        <v>20</v>
      </c>
      <c r="E173" s="21"/>
      <c r="F173" s="21" t="s">
        <v>32</v>
      </c>
      <c r="G173" s="70">
        <v>0.0</v>
      </c>
      <c r="I173" s="71">
        <v>0.0</v>
      </c>
      <c r="K173" s="71">
        <v>0.0</v>
      </c>
      <c r="M173" s="71">
        <v>0.0</v>
      </c>
      <c r="O173" s="71">
        <v>0.0</v>
      </c>
      <c r="Q173" s="26">
        <f t="shared" si="1"/>
        <v>0</v>
      </c>
      <c r="R173" s="25">
        <f t="shared" si="2"/>
        <v>0</v>
      </c>
      <c r="S173" s="25">
        <f t="shared" si="3"/>
        <v>0</v>
      </c>
      <c r="T173" s="25">
        <f t="shared" si="4"/>
        <v>0</v>
      </c>
      <c r="U173" s="27">
        <f t="shared" si="5"/>
        <v>0</v>
      </c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5.75" customHeight="1">
      <c r="A174" s="22" t="s">
        <v>23</v>
      </c>
      <c r="B174" s="23">
        <f t="shared" si="6"/>
        <v>46191</v>
      </c>
      <c r="C174" s="24">
        <v>7.1</v>
      </c>
      <c r="D174" s="25" t="s">
        <v>20</v>
      </c>
      <c r="E174" s="21"/>
      <c r="F174" s="21" t="s">
        <v>32</v>
      </c>
      <c r="G174" s="70">
        <v>0.0</v>
      </c>
      <c r="I174" s="71">
        <v>0.0</v>
      </c>
      <c r="K174" s="71">
        <v>0.0</v>
      </c>
      <c r="M174" s="71">
        <v>0.0</v>
      </c>
      <c r="O174" s="71">
        <v>0.0</v>
      </c>
      <c r="Q174" s="26">
        <f t="shared" si="1"/>
        <v>0</v>
      </c>
      <c r="R174" s="25">
        <f t="shared" si="2"/>
        <v>0</v>
      </c>
      <c r="S174" s="25">
        <f t="shared" si="3"/>
        <v>0</v>
      </c>
      <c r="T174" s="25">
        <f t="shared" si="4"/>
        <v>0</v>
      </c>
      <c r="U174" s="27">
        <f t="shared" si="5"/>
        <v>0</v>
      </c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5.75" customHeight="1">
      <c r="A175" s="22" t="s">
        <v>24</v>
      </c>
      <c r="B175" s="23">
        <f t="shared" si="6"/>
        <v>46192</v>
      </c>
      <c r="C175" s="24">
        <v>7.1</v>
      </c>
      <c r="D175" s="25" t="s">
        <v>20</v>
      </c>
      <c r="E175" s="21"/>
      <c r="F175" s="21" t="s">
        <v>32</v>
      </c>
      <c r="G175" s="70">
        <v>0.0</v>
      </c>
      <c r="I175" s="71">
        <v>0.0</v>
      </c>
      <c r="K175" s="71">
        <v>0.0</v>
      </c>
      <c r="M175" s="71">
        <v>0.0</v>
      </c>
      <c r="O175" s="71">
        <v>0.0</v>
      </c>
      <c r="Q175" s="26">
        <f t="shared" si="1"/>
        <v>0</v>
      </c>
      <c r="R175" s="25">
        <f t="shared" si="2"/>
        <v>0</v>
      </c>
      <c r="S175" s="25">
        <f t="shared" si="3"/>
        <v>0</v>
      </c>
      <c r="T175" s="25">
        <f t="shared" si="4"/>
        <v>0</v>
      </c>
      <c r="U175" s="27">
        <f t="shared" si="5"/>
        <v>0</v>
      </c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5.75" customHeight="1">
      <c r="A176" s="22" t="s">
        <v>25</v>
      </c>
      <c r="B176" s="23">
        <f t="shared" si="6"/>
        <v>46193</v>
      </c>
      <c r="C176" s="24">
        <v>7.1</v>
      </c>
      <c r="D176" s="25" t="s">
        <v>20</v>
      </c>
      <c r="E176" s="21"/>
      <c r="F176" s="21" t="s">
        <v>32</v>
      </c>
      <c r="G176" s="70">
        <v>0.0</v>
      </c>
      <c r="I176" s="71">
        <v>0.0</v>
      </c>
      <c r="K176" s="71">
        <v>0.0</v>
      </c>
      <c r="M176" s="71">
        <v>0.0</v>
      </c>
      <c r="O176" s="71">
        <v>0.0</v>
      </c>
      <c r="Q176" s="26">
        <f t="shared" si="1"/>
        <v>0</v>
      </c>
      <c r="R176" s="25">
        <f t="shared" si="2"/>
        <v>0</v>
      </c>
      <c r="S176" s="25">
        <f t="shared" si="3"/>
        <v>0</v>
      </c>
      <c r="T176" s="25">
        <f t="shared" si="4"/>
        <v>0</v>
      </c>
      <c r="U176" s="27">
        <f t="shared" si="5"/>
        <v>0</v>
      </c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5.75" customHeight="1">
      <c r="A177" s="28" t="s">
        <v>26</v>
      </c>
      <c r="B177" s="29">
        <f t="shared" si="6"/>
        <v>46194</v>
      </c>
      <c r="C177" s="30">
        <v>7.1</v>
      </c>
      <c r="D177" s="31" t="s">
        <v>20</v>
      </c>
      <c r="E177" s="32"/>
      <c r="F177" s="32" t="s">
        <v>32</v>
      </c>
      <c r="G177" s="72">
        <v>0.0</v>
      </c>
      <c r="H177" s="6"/>
      <c r="I177" s="72">
        <v>0.0</v>
      </c>
      <c r="J177" s="6"/>
      <c r="K177" s="72">
        <v>0.0</v>
      </c>
      <c r="L177" s="6"/>
      <c r="M177" s="72">
        <v>0.0</v>
      </c>
      <c r="N177" s="6"/>
      <c r="O177" s="72">
        <v>0.0</v>
      </c>
      <c r="P177" s="6"/>
      <c r="Q177" s="35">
        <f t="shared" si="1"/>
        <v>0</v>
      </c>
      <c r="R177" s="31">
        <f t="shared" si="2"/>
        <v>0</v>
      </c>
      <c r="S177" s="31">
        <f t="shared" si="3"/>
        <v>0</v>
      </c>
      <c r="T177" s="31">
        <f t="shared" si="4"/>
        <v>0</v>
      </c>
      <c r="U177" s="36">
        <f t="shared" si="5"/>
        <v>0</v>
      </c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5.75" customHeight="1">
      <c r="A178" s="76" t="s">
        <v>19</v>
      </c>
      <c r="B178" s="77">
        <f t="shared" si="6"/>
        <v>46195</v>
      </c>
      <c r="C178" s="78">
        <v>7.2</v>
      </c>
      <c r="D178" s="79" t="s">
        <v>27</v>
      </c>
      <c r="E178" s="80"/>
      <c r="F178" s="80" t="s">
        <v>32</v>
      </c>
      <c r="G178" s="81">
        <v>0.0</v>
      </c>
      <c r="I178" s="82">
        <v>0.0</v>
      </c>
      <c r="K178" s="82">
        <v>0.0</v>
      </c>
      <c r="M178" s="82">
        <v>0.0</v>
      </c>
      <c r="O178" s="82">
        <v>0.0</v>
      </c>
      <c r="Q178" s="83">
        <f t="shared" si="1"/>
        <v>0</v>
      </c>
      <c r="R178" s="79">
        <f t="shared" si="2"/>
        <v>0</v>
      </c>
      <c r="S178" s="79">
        <f t="shared" si="3"/>
        <v>0</v>
      </c>
      <c r="T178" s="79">
        <f t="shared" si="4"/>
        <v>0</v>
      </c>
      <c r="U178" s="84">
        <f t="shared" si="5"/>
        <v>0</v>
      </c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5.75" customHeight="1">
      <c r="A179" s="85" t="s">
        <v>21</v>
      </c>
      <c r="B179" s="86">
        <f t="shared" si="6"/>
        <v>46196</v>
      </c>
      <c r="C179" s="87">
        <v>7.2</v>
      </c>
      <c r="D179" s="88" t="s">
        <v>27</v>
      </c>
      <c r="E179" s="101">
        <v>8.0</v>
      </c>
      <c r="F179" s="89" t="s">
        <v>33</v>
      </c>
      <c r="G179" s="81">
        <v>0.0</v>
      </c>
      <c r="I179" s="82">
        <v>45.0</v>
      </c>
      <c r="K179" s="82">
        <v>45.0</v>
      </c>
      <c r="M179" s="82">
        <v>0.0</v>
      </c>
      <c r="O179" s="82">
        <v>30.0</v>
      </c>
      <c r="Q179" s="90">
        <f t="shared" si="1"/>
        <v>2595.2142</v>
      </c>
      <c r="R179" s="88">
        <f t="shared" si="2"/>
        <v>90</v>
      </c>
      <c r="S179" s="88">
        <f t="shared" si="3"/>
        <v>30</v>
      </c>
      <c r="T179" s="88">
        <f t="shared" si="4"/>
        <v>120</v>
      </c>
      <c r="U179" s="91">
        <f t="shared" si="5"/>
        <v>21.626785</v>
      </c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5.75" customHeight="1">
      <c r="A180" s="85" t="s">
        <v>22</v>
      </c>
      <c r="B180" s="86">
        <f t="shared" si="6"/>
        <v>46197</v>
      </c>
      <c r="C180" s="87">
        <v>7.2</v>
      </c>
      <c r="D180" s="88" t="s">
        <v>27</v>
      </c>
      <c r="E180" s="101">
        <v>8.0</v>
      </c>
      <c r="F180" s="89" t="s">
        <v>31</v>
      </c>
      <c r="G180" s="81">
        <v>45.0</v>
      </c>
      <c r="I180" s="82">
        <v>0.0</v>
      </c>
      <c r="K180" s="82">
        <v>45.0</v>
      </c>
      <c r="M180" s="82">
        <v>0.0</v>
      </c>
      <c r="O180" s="82">
        <v>0.0</v>
      </c>
      <c r="Q180" s="90">
        <f t="shared" si="1"/>
        <v>2335.8798</v>
      </c>
      <c r="R180" s="88">
        <f t="shared" si="2"/>
        <v>90</v>
      </c>
      <c r="S180" s="88">
        <f t="shared" si="3"/>
        <v>0</v>
      </c>
      <c r="T180" s="88">
        <f t="shared" si="4"/>
        <v>90</v>
      </c>
      <c r="U180" s="91">
        <f t="shared" si="5"/>
        <v>25.95422</v>
      </c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5.75" customHeight="1">
      <c r="A181" s="85" t="s">
        <v>23</v>
      </c>
      <c r="B181" s="86">
        <f t="shared" si="6"/>
        <v>46198</v>
      </c>
      <c r="C181" s="87">
        <v>7.2</v>
      </c>
      <c r="D181" s="88" t="s">
        <v>27</v>
      </c>
      <c r="E181" s="101">
        <v>8.0</v>
      </c>
      <c r="F181" s="89" t="s">
        <v>33</v>
      </c>
      <c r="G181" s="81">
        <v>0.0</v>
      </c>
      <c r="I181" s="82">
        <v>45.0</v>
      </c>
      <c r="K181" s="82">
        <v>0.0</v>
      </c>
      <c r="M181" s="82">
        <v>0.0</v>
      </c>
      <c r="O181" s="82">
        <v>30.0</v>
      </c>
      <c r="Q181" s="90">
        <f t="shared" si="1"/>
        <v>1427.2743</v>
      </c>
      <c r="R181" s="88">
        <f t="shared" si="2"/>
        <v>45</v>
      </c>
      <c r="S181" s="88">
        <f t="shared" si="3"/>
        <v>30</v>
      </c>
      <c r="T181" s="88">
        <f t="shared" si="4"/>
        <v>75</v>
      </c>
      <c r="U181" s="91">
        <f t="shared" si="5"/>
        <v>19.030324</v>
      </c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5.75" customHeight="1">
      <c r="A182" s="85" t="s">
        <v>24</v>
      </c>
      <c r="B182" s="86">
        <f t="shared" si="6"/>
        <v>46199</v>
      </c>
      <c r="C182" s="87">
        <v>7.2</v>
      </c>
      <c r="D182" s="88" t="s">
        <v>27</v>
      </c>
      <c r="E182" s="101">
        <v>8.0</v>
      </c>
      <c r="F182" s="89" t="s">
        <v>33</v>
      </c>
      <c r="G182" s="81">
        <v>0.0</v>
      </c>
      <c r="I182" s="82">
        <v>45.0</v>
      </c>
      <c r="K182" s="82">
        <v>45.0</v>
      </c>
      <c r="M182" s="82">
        <v>0.0</v>
      </c>
      <c r="O182" s="82">
        <v>30.0</v>
      </c>
      <c r="Q182" s="90">
        <f t="shared" si="1"/>
        <v>2595.2142</v>
      </c>
      <c r="R182" s="88">
        <f t="shared" si="2"/>
        <v>90</v>
      </c>
      <c r="S182" s="88">
        <f t="shared" si="3"/>
        <v>30</v>
      </c>
      <c r="T182" s="88">
        <f t="shared" si="4"/>
        <v>120</v>
      </c>
      <c r="U182" s="91">
        <f t="shared" si="5"/>
        <v>21.626785</v>
      </c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5.75" customHeight="1">
      <c r="A183" s="85" t="s">
        <v>25</v>
      </c>
      <c r="B183" s="86">
        <f t="shared" si="6"/>
        <v>46200</v>
      </c>
      <c r="C183" s="87">
        <v>7.2</v>
      </c>
      <c r="D183" s="88" t="s">
        <v>27</v>
      </c>
      <c r="E183" s="101">
        <v>8.0</v>
      </c>
      <c r="F183" s="89" t="s">
        <v>33</v>
      </c>
      <c r="G183" s="81">
        <v>0.0</v>
      </c>
      <c r="I183" s="82">
        <v>45.0</v>
      </c>
      <c r="K183" s="82">
        <v>0.0</v>
      </c>
      <c r="M183" s="82">
        <v>0.0</v>
      </c>
      <c r="O183" s="82">
        <v>30.0</v>
      </c>
      <c r="Q183" s="90">
        <f t="shared" si="1"/>
        <v>1427.2743</v>
      </c>
      <c r="R183" s="88">
        <f t="shared" si="2"/>
        <v>45</v>
      </c>
      <c r="S183" s="88">
        <f t="shared" si="3"/>
        <v>30</v>
      </c>
      <c r="T183" s="88">
        <f t="shared" si="4"/>
        <v>75</v>
      </c>
      <c r="U183" s="91">
        <f t="shared" si="5"/>
        <v>19.030324</v>
      </c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5.75" customHeight="1">
      <c r="A184" s="92" t="s">
        <v>26</v>
      </c>
      <c r="B184" s="93">
        <f t="shared" si="6"/>
        <v>46201</v>
      </c>
      <c r="C184" s="94">
        <v>7.2</v>
      </c>
      <c r="D184" s="95" t="s">
        <v>27</v>
      </c>
      <c r="E184" s="102">
        <v>8.0</v>
      </c>
      <c r="F184" s="96" t="s">
        <v>31</v>
      </c>
      <c r="G184" s="97">
        <v>45.0</v>
      </c>
      <c r="H184" s="6"/>
      <c r="I184" s="98">
        <v>0.0</v>
      </c>
      <c r="J184" s="6"/>
      <c r="K184" s="98">
        <v>0.0</v>
      </c>
      <c r="L184" s="6"/>
      <c r="M184" s="98">
        <v>0.0</v>
      </c>
      <c r="N184" s="6"/>
      <c r="O184" s="98">
        <v>0.0</v>
      </c>
      <c r="P184" s="6"/>
      <c r="Q184" s="99">
        <f t="shared" si="1"/>
        <v>1167.9399</v>
      </c>
      <c r="R184" s="95">
        <f t="shared" si="2"/>
        <v>45</v>
      </c>
      <c r="S184" s="95">
        <f t="shared" si="3"/>
        <v>0</v>
      </c>
      <c r="T184" s="95">
        <f t="shared" si="4"/>
        <v>45</v>
      </c>
      <c r="U184" s="100">
        <f t="shared" si="5"/>
        <v>25.95422</v>
      </c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5.75" customHeight="1">
      <c r="A185" s="13" t="s">
        <v>19</v>
      </c>
      <c r="B185" s="37">
        <f t="shared" si="6"/>
        <v>46202</v>
      </c>
      <c r="C185" s="15">
        <v>7.3</v>
      </c>
      <c r="D185" s="16" t="s">
        <v>28</v>
      </c>
      <c r="E185" s="17"/>
      <c r="F185" s="17" t="s">
        <v>32</v>
      </c>
      <c r="G185" s="70">
        <v>0.0</v>
      </c>
      <c r="I185" s="71">
        <v>0.0</v>
      </c>
      <c r="K185" s="71">
        <v>0.0</v>
      </c>
      <c r="M185" s="71">
        <v>0.0</v>
      </c>
      <c r="O185" s="71">
        <v>0.0</v>
      </c>
      <c r="Q185" s="20">
        <f t="shared" si="1"/>
        <v>0</v>
      </c>
      <c r="R185" s="16">
        <f t="shared" si="2"/>
        <v>0</v>
      </c>
      <c r="S185" s="16">
        <f t="shared" si="3"/>
        <v>0</v>
      </c>
      <c r="T185" s="16">
        <f t="shared" si="4"/>
        <v>0</v>
      </c>
      <c r="U185" s="38">
        <f t="shared" si="5"/>
        <v>0</v>
      </c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5.75" customHeight="1">
      <c r="A186" s="22" t="s">
        <v>21</v>
      </c>
      <c r="B186" s="23">
        <f t="shared" si="6"/>
        <v>46203</v>
      </c>
      <c r="C186" s="24">
        <v>7.3</v>
      </c>
      <c r="D186" s="25" t="s">
        <v>28</v>
      </c>
      <c r="E186" s="21"/>
      <c r="F186" s="21" t="s">
        <v>32</v>
      </c>
      <c r="G186" s="70">
        <v>0.0</v>
      </c>
      <c r="I186" s="71">
        <v>0.0</v>
      </c>
      <c r="K186" s="71">
        <v>0.0</v>
      </c>
      <c r="M186" s="71">
        <v>0.0</v>
      </c>
      <c r="O186" s="71">
        <v>0.0</v>
      </c>
      <c r="Q186" s="26">
        <f t="shared" si="1"/>
        <v>0</v>
      </c>
      <c r="R186" s="25">
        <f t="shared" si="2"/>
        <v>0</v>
      </c>
      <c r="S186" s="25">
        <f t="shared" si="3"/>
        <v>0</v>
      </c>
      <c r="T186" s="25">
        <f t="shared" si="4"/>
        <v>0</v>
      </c>
      <c r="U186" s="27">
        <f t="shared" si="5"/>
        <v>0</v>
      </c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5.75" customHeight="1">
      <c r="A187" s="22" t="s">
        <v>22</v>
      </c>
      <c r="B187" s="23">
        <f t="shared" si="6"/>
        <v>46204</v>
      </c>
      <c r="C187" s="24">
        <v>7.3</v>
      </c>
      <c r="D187" s="25" t="s">
        <v>28</v>
      </c>
      <c r="E187" s="21"/>
      <c r="F187" s="21" t="s">
        <v>32</v>
      </c>
      <c r="G187" s="70">
        <v>0.0</v>
      </c>
      <c r="I187" s="71">
        <v>0.0</v>
      </c>
      <c r="K187" s="71">
        <v>0.0</v>
      </c>
      <c r="M187" s="71">
        <v>0.0</v>
      </c>
      <c r="O187" s="71">
        <v>0.0</v>
      </c>
      <c r="Q187" s="26">
        <f t="shared" si="1"/>
        <v>0</v>
      </c>
      <c r="R187" s="25">
        <f t="shared" si="2"/>
        <v>0</v>
      </c>
      <c r="S187" s="25">
        <f t="shared" si="3"/>
        <v>0</v>
      </c>
      <c r="T187" s="25">
        <f t="shared" si="4"/>
        <v>0</v>
      </c>
      <c r="U187" s="27">
        <f t="shared" si="5"/>
        <v>0</v>
      </c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5.75" customHeight="1">
      <c r="A188" s="22" t="s">
        <v>23</v>
      </c>
      <c r="B188" s="23">
        <f t="shared" si="6"/>
        <v>46205</v>
      </c>
      <c r="C188" s="24">
        <v>7.3</v>
      </c>
      <c r="D188" s="25" t="s">
        <v>28</v>
      </c>
      <c r="E188" s="21"/>
      <c r="F188" s="21" t="s">
        <v>32</v>
      </c>
      <c r="G188" s="70">
        <v>0.0</v>
      </c>
      <c r="I188" s="71">
        <v>0.0</v>
      </c>
      <c r="K188" s="71">
        <v>0.0</v>
      </c>
      <c r="M188" s="71">
        <v>0.0</v>
      </c>
      <c r="O188" s="71">
        <v>0.0</v>
      </c>
      <c r="Q188" s="26">
        <f t="shared" si="1"/>
        <v>0</v>
      </c>
      <c r="R188" s="25">
        <f t="shared" si="2"/>
        <v>0</v>
      </c>
      <c r="S188" s="25">
        <f t="shared" si="3"/>
        <v>0</v>
      </c>
      <c r="T188" s="25">
        <f t="shared" si="4"/>
        <v>0</v>
      </c>
      <c r="U188" s="27">
        <f t="shared" si="5"/>
        <v>0</v>
      </c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5.75" customHeight="1">
      <c r="A189" s="22" t="s">
        <v>24</v>
      </c>
      <c r="B189" s="23">
        <f t="shared" si="6"/>
        <v>46206</v>
      </c>
      <c r="C189" s="24">
        <v>7.3</v>
      </c>
      <c r="D189" s="25" t="s">
        <v>28</v>
      </c>
      <c r="E189" s="21"/>
      <c r="F189" s="21" t="s">
        <v>32</v>
      </c>
      <c r="G189" s="70">
        <v>0.0</v>
      </c>
      <c r="I189" s="71">
        <v>0.0</v>
      </c>
      <c r="K189" s="71">
        <v>0.0</v>
      </c>
      <c r="M189" s="71">
        <v>0.0</v>
      </c>
      <c r="O189" s="71">
        <v>0.0</v>
      </c>
      <c r="Q189" s="26">
        <f t="shared" si="1"/>
        <v>0</v>
      </c>
      <c r="R189" s="25">
        <f t="shared" si="2"/>
        <v>0</v>
      </c>
      <c r="S189" s="25">
        <f t="shared" si="3"/>
        <v>0</v>
      </c>
      <c r="T189" s="25">
        <f t="shared" si="4"/>
        <v>0</v>
      </c>
      <c r="U189" s="27">
        <f t="shared" si="5"/>
        <v>0</v>
      </c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5.75" customHeight="1">
      <c r="A190" s="22" t="s">
        <v>25</v>
      </c>
      <c r="B190" s="23">
        <f t="shared" si="6"/>
        <v>46207</v>
      </c>
      <c r="C190" s="24">
        <v>7.3</v>
      </c>
      <c r="D190" s="25" t="s">
        <v>28</v>
      </c>
      <c r="E190" s="21"/>
      <c r="F190" s="21" t="s">
        <v>32</v>
      </c>
      <c r="G190" s="70">
        <v>0.0</v>
      </c>
      <c r="I190" s="71">
        <v>0.0</v>
      </c>
      <c r="K190" s="71">
        <v>0.0</v>
      </c>
      <c r="M190" s="71">
        <v>0.0</v>
      </c>
      <c r="O190" s="71">
        <v>0.0</v>
      </c>
      <c r="Q190" s="26">
        <f t="shared" si="1"/>
        <v>0</v>
      </c>
      <c r="R190" s="25">
        <f t="shared" si="2"/>
        <v>0</v>
      </c>
      <c r="S190" s="25">
        <f t="shared" si="3"/>
        <v>0</v>
      </c>
      <c r="T190" s="25">
        <f t="shared" si="4"/>
        <v>0</v>
      </c>
      <c r="U190" s="27">
        <f t="shared" si="5"/>
        <v>0</v>
      </c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5.75" customHeight="1">
      <c r="A191" s="28" t="s">
        <v>26</v>
      </c>
      <c r="B191" s="29">
        <f t="shared" si="6"/>
        <v>46208</v>
      </c>
      <c r="C191" s="30">
        <v>7.3</v>
      </c>
      <c r="D191" s="31" t="s">
        <v>28</v>
      </c>
      <c r="E191" s="32"/>
      <c r="F191" s="32" t="s">
        <v>32</v>
      </c>
      <c r="G191" s="72">
        <v>0.0</v>
      </c>
      <c r="H191" s="6"/>
      <c r="I191" s="72">
        <v>0.0</v>
      </c>
      <c r="J191" s="6"/>
      <c r="K191" s="72">
        <v>0.0</v>
      </c>
      <c r="L191" s="6"/>
      <c r="M191" s="72">
        <v>0.0</v>
      </c>
      <c r="N191" s="6"/>
      <c r="O191" s="72">
        <v>0.0</v>
      </c>
      <c r="P191" s="6"/>
      <c r="Q191" s="35">
        <f t="shared" si="1"/>
        <v>0</v>
      </c>
      <c r="R191" s="31">
        <f t="shared" si="2"/>
        <v>0</v>
      </c>
      <c r="S191" s="31">
        <f t="shared" si="3"/>
        <v>0</v>
      </c>
      <c r="T191" s="31">
        <f t="shared" si="4"/>
        <v>0</v>
      </c>
      <c r="U191" s="36">
        <f t="shared" si="5"/>
        <v>0</v>
      </c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5.75" customHeight="1">
      <c r="A192" s="76" t="s">
        <v>19</v>
      </c>
      <c r="B192" s="77">
        <f t="shared" si="6"/>
        <v>46209</v>
      </c>
      <c r="C192" s="78">
        <v>7.4</v>
      </c>
      <c r="D192" s="79" t="s">
        <v>29</v>
      </c>
      <c r="E192" s="80"/>
      <c r="F192" s="80" t="s">
        <v>32</v>
      </c>
      <c r="G192" s="81">
        <v>0.0</v>
      </c>
      <c r="I192" s="82">
        <v>0.0</v>
      </c>
      <c r="K192" s="82">
        <v>0.0</v>
      </c>
      <c r="M192" s="82">
        <v>0.0</v>
      </c>
      <c r="O192" s="82">
        <v>0.0</v>
      </c>
      <c r="Q192" s="83">
        <f t="shared" si="1"/>
        <v>0</v>
      </c>
      <c r="R192" s="79">
        <f t="shared" si="2"/>
        <v>0</v>
      </c>
      <c r="S192" s="79">
        <f t="shared" si="3"/>
        <v>0</v>
      </c>
      <c r="T192" s="79">
        <f t="shared" si="4"/>
        <v>0</v>
      </c>
      <c r="U192" s="84">
        <f t="shared" si="5"/>
        <v>0</v>
      </c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5.75" customHeight="1">
      <c r="A193" s="85" t="s">
        <v>21</v>
      </c>
      <c r="B193" s="86">
        <f t="shared" si="6"/>
        <v>46210</v>
      </c>
      <c r="C193" s="87">
        <v>7.4</v>
      </c>
      <c r="D193" s="88" t="s">
        <v>29</v>
      </c>
      <c r="E193" s="101">
        <v>9.0</v>
      </c>
      <c r="F193" s="89" t="s">
        <v>33</v>
      </c>
      <c r="G193" s="81">
        <v>0.0</v>
      </c>
      <c r="I193" s="82">
        <v>45.0</v>
      </c>
      <c r="K193" s="82">
        <v>45.0</v>
      </c>
      <c r="M193" s="82">
        <v>0.0</v>
      </c>
      <c r="O193" s="82">
        <v>30.0</v>
      </c>
      <c r="Q193" s="90">
        <f t="shared" si="1"/>
        <v>2595.2142</v>
      </c>
      <c r="R193" s="88">
        <f t="shared" si="2"/>
        <v>90</v>
      </c>
      <c r="S193" s="88">
        <f t="shared" si="3"/>
        <v>30</v>
      </c>
      <c r="T193" s="88">
        <f t="shared" si="4"/>
        <v>120</v>
      </c>
      <c r="U193" s="91">
        <f t="shared" si="5"/>
        <v>21.626785</v>
      </c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5.75" customHeight="1">
      <c r="A194" s="85" t="s">
        <v>22</v>
      </c>
      <c r="B194" s="86">
        <f t="shared" si="6"/>
        <v>46211</v>
      </c>
      <c r="C194" s="87">
        <v>7.4</v>
      </c>
      <c r="D194" s="88" t="s">
        <v>29</v>
      </c>
      <c r="E194" s="101">
        <v>9.0</v>
      </c>
      <c r="F194" s="89" t="s">
        <v>31</v>
      </c>
      <c r="G194" s="81">
        <v>0.0</v>
      </c>
      <c r="I194" s="82">
        <v>45.0</v>
      </c>
      <c r="K194" s="82">
        <v>45.0</v>
      </c>
      <c r="M194" s="82">
        <v>0.0</v>
      </c>
      <c r="O194" s="82">
        <v>30.0</v>
      </c>
      <c r="Q194" s="90">
        <f t="shared" si="1"/>
        <v>2595.2142</v>
      </c>
      <c r="R194" s="88">
        <f t="shared" si="2"/>
        <v>90</v>
      </c>
      <c r="S194" s="88">
        <f t="shared" si="3"/>
        <v>30</v>
      </c>
      <c r="T194" s="88">
        <f t="shared" si="4"/>
        <v>120</v>
      </c>
      <c r="U194" s="91">
        <f t="shared" si="5"/>
        <v>21.626785</v>
      </c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5.75" customHeight="1">
      <c r="A195" s="85" t="s">
        <v>23</v>
      </c>
      <c r="B195" s="86">
        <f t="shared" si="6"/>
        <v>46212</v>
      </c>
      <c r="C195" s="87">
        <v>7.4</v>
      </c>
      <c r="D195" s="88" t="s">
        <v>29</v>
      </c>
      <c r="E195" s="101">
        <v>9.0</v>
      </c>
      <c r="F195" s="89" t="s">
        <v>33</v>
      </c>
      <c r="G195" s="81">
        <v>0.0</v>
      </c>
      <c r="I195" s="82">
        <v>0.0</v>
      </c>
      <c r="K195" s="82">
        <v>45.0</v>
      </c>
      <c r="M195" s="82">
        <v>0.0</v>
      </c>
      <c r="O195" s="82">
        <v>30.0</v>
      </c>
      <c r="Q195" s="90">
        <f t="shared" si="1"/>
        <v>1427.2743</v>
      </c>
      <c r="R195" s="88">
        <f t="shared" si="2"/>
        <v>45</v>
      </c>
      <c r="S195" s="88">
        <f t="shared" si="3"/>
        <v>30</v>
      </c>
      <c r="T195" s="88">
        <f t="shared" si="4"/>
        <v>75</v>
      </c>
      <c r="U195" s="91">
        <f t="shared" si="5"/>
        <v>19.030324</v>
      </c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5.75" customHeight="1">
      <c r="A196" s="85" t="s">
        <v>24</v>
      </c>
      <c r="B196" s="86">
        <f t="shared" si="6"/>
        <v>46213</v>
      </c>
      <c r="C196" s="87">
        <v>7.4</v>
      </c>
      <c r="D196" s="88" t="s">
        <v>29</v>
      </c>
      <c r="E196" s="101">
        <v>9.0</v>
      </c>
      <c r="F196" s="89" t="s">
        <v>33</v>
      </c>
      <c r="G196" s="81">
        <v>0.0</v>
      </c>
      <c r="I196" s="82">
        <v>45.0</v>
      </c>
      <c r="K196" s="82">
        <v>45.0</v>
      </c>
      <c r="M196" s="82">
        <v>0.0</v>
      </c>
      <c r="O196" s="82">
        <v>30.0</v>
      </c>
      <c r="Q196" s="90">
        <f t="shared" si="1"/>
        <v>2595.2142</v>
      </c>
      <c r="R196" s="88">
        <f t="shared" si="2"/>
        <v>90</v>
      </c>
      <c r="S196" s="88">
        <f t="shared" si="3"/>
        <v>30</v>
      </c>
      <c r="T196" s="88">
        <f t="shared" si="4"/>
        <v>120</v>
      </c>
      <c r="U196" s="91">
        <f t="shared" si="5"/>
        <v>21.626785</v>
      </c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5.75" customHeight="1">
      <c r="A197" s="85" t="s">
        <v>25</v>
      </c>
      <c r="B197" s="86">
        <f t="shared" si="6"/>
        <v>46214</v>
      </c>
      <c r="C197" s="87">
        <v>7.4</v>
      </c>
      <c r="D197" s="88" t="s">
        <v>29</v>
      </c>
      <c r="E197" s="101">
        <v>9.0</v>
      </c>
      <c r="F197" s="89" t="s">
        <v>33</v>
      </c>
      <c r="G197" s="81">
        <v>0.0</v>
      </c>
      <c r="I197" s="82">
        <v>45.0</v>
      </c>
      <c r="K197" s="82">
        <v>0.0</v>
      </c>
      <c r="M197" s="82">
        <v>0.0</v>
      </c>
      <c r="O197" s="82">
        <v>30.0</v>
      </c>
      <c r="Q197" s="90">
        <f t="shared" si="1"/>
        <v>1427.2743</v>
      </c>
      <c r="R197" s="88">
        <f t="shared" si="2"/>
        <v>45</v>
      </c>
      <c r="S197" s="88">
        <f t="shared" si="3"/>
        <v>30</v>
      </c>
      <c r="T197" s="88">
        <f t="shared" si="4"/>
        <v>75</v>
      </c>
      <c r="U197" s="91">
        <f t="shared" si="5"/>
        <v>19.030324</v>
      </c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5.75" customHeight="1">
      <c r="A198" s="92" t="s">
        <v>26</v>
      </c>
      <c r="B198" s="93">
        <f t="shared" si="6"/>
        <v>46215</v>
      </c>
      <c r="C198" s="94">
        <v>7.4</v>
      </c>
      <c r="D198" s="95" t="s">
        <v>29</v>
      </c>
      <c r="E198" s="102">
        <v>9.0</v>
      </c>
      <c r="F198" s="96" t="s">
        <v>31</v>
      </c>
      <c r="G198" s="97">
        <v>45.0</v>
      </c>
      <c r="H198" s="6"/>
      <c r="I198" s="98">
        <v>0.0</v>
      </c>
      <c r="J198" s="6"/>
      <c r="K198" s="98">
        <v>45.0</v>
      </c>
      <c r="L198" s="6"/>
      <c r="M198" s="98">
        <v>0.0</v>
      </c>
      <c r="N198" s="6"/>
      <c r="O198" s="98">
        <v>0.0</v>
      </c>
      <c r="P198" s="6"/>
      <c r="Q198" s="99">
        <f t="shared" si="1"/>
        <v>2335.8798</v>
      </c>
      <c r="R198" s="95">
        <f t="shared" si="2"/>
        <v>90</v>
      </c>
      <c r="S198" s="95">
        <f t="shared" si="3"/>
        <v>0</v>
      </c>
      <c r="T198" s="95">
        <f t="shared" si="4"/>
        <v>90</v>
      </c>
      <c r="U198" s="100">
        <f t="shared" si="5"/>
        <v>25.95422</v>
      </c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5.75" customHeight="1">
      <c r="A199" s="13" t="s">
        <v>19</v>
      </c>
      <c r="B199" s="37">
        <f t="shared" si="6"/>
        <v>46216</v>
      </c>
      <c r="C199" s="15">
        <v>8.1</v>
      </c>
      <c r="D199" s="16" t="s">
        <v>20</v>
      </c>
      <c r="E199" s="17"/>
      <c r="F199" s="17" t="s">
        <v>32</v>
      </c>
      <c r="G199" s="70">
        <v>0.0</v>
      </c>
      <c r="I199" s="71">
        <v>0.0</v>
      </c>
      <c r="K199" s="71">
        <v>0.0</v>
      </c>
      <c r="M199" s="71">
        <v>0.0</v>
      </c>
      <c r="O199" s="71">
        <v>0.0</v>
      </c>
      <c r="Q199" s="20">
        <f t="shared" si="1"/>
        <v>0</v>
      </c>
      <c r="R199" s="16">
        <f t="shared" si="2"/>
        <v>0</v>
      </c>
      <c r="S199" s="16">
        <f t="shared" si="3"/>
        <v>0</v>
      </c>
      <c r="T199" s="16">
        <f t="shared" si="4"/>
        <v>0</v>
      </c>
      <c r="U199" s="38">
        <f t="shared" si="5"/>
        <v>0</v>
      </c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5.75" customHeight="1">
      <c r="A200" s="22" t="s">
        <v>21</v>
      </c>
      <c r="B200" s="23">
        <f t="shared" si="6"/>
        <v>46217</v>
      </c>
      <c r="C200" s="24">
        <v>8.1</v>
      </c>
      <c r="D200" s="25" t="s">
        <v>20</v>
      </c>
      <c r="E200" s="21"/>
      <c r="F200" s="21" t="s">
        <v>32</v>
      </c>
      <c r="G200" s="70">
        <v>0.0</v>
      </c>
      <c r="I200" s="71">
        <v>0.0</v>
      </c>
      <c r="K200" s="71">
        <v>0.0</v>
      </c>
      <c r="M200" s="71">
        <v>0.0</v>
      </c>
      <c r="O200" s="71">
        <v>0.0</v>
      </c>
      <c r="Q200" s="26">
        <f t="shared" si="1"/>
        <v>0</v>
      </c>
      <c r="R200" s="25">
        <f t="shared" si="2"/>
        <v>0</v>
      </c>
      <c r="S200" s="25">
        <f t="shared" si="3"/>
        <v>0</v>
      </c>
      <c r="T200" s="25">
        <f t="shared" si="4"/>
        <v>0</v>
      </c>
      <c r="U200" s="27">
        <f t="shared" si="5"/>
        <v>0</v>
      </c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5.75" customHeight="1">
      <c r="A201" s="22" t="s">
        <v>22</v>
      </c>
      <c r="B201" s="23">
        <f t="shared" si="6"/>
        <v>46218</v>
      </c>
      <c r="C201" s="24">
        <v>8.1</v>
      </c>
      <c r="D201" s="25" t="s">
        <v>20</v>
      </c>
      <c r="E201" s="21"/>
      <c r="F201" s="21" t="s">
        <v>32</v>
      </c>
      <c r="G201" s="70">
        <v>0.0</v>
      </c>
      <c r="I201" s="71">
        <v>0.0</v>
      </c>
      <c r="K201" s="71">
        <v>0.0</v>
      </c>
      <c r="M201" s="71">
        <v>0.0</v>
      </c>
      <c r="O201" s="71">
        <v>0.0</v>
      </c>
      <c r="Q201" s="26">
        <f t="shared" si="1"/>
        <v>0</v>
      </c>
      <c r="R201" s="25">
        <f t="shared" si="2"/>
        <v>0</v>
      </c>
      <c r="S201" s="25">
        <f t="shared" si="3"/>
        <v>0</v>
      </c>
      <c r="T201" s="25">
        <f t="shared" si="4"/>
        <v>0</v>
      </c>
      <c r="U201" s="27">
        <f t="shared" si="5"/>
        <v>0</v>
      </c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5.75" customHeight="1">
      <c r="A202" s="22" t="s">
        <v>23</v>
      </c>
      <c r="B202" s="23">
        <f t="shared" si="6"/>
        <v>46219</v>
      </c>
      <c r="C202" s="24">
        <v>8.1</v>
      </c>
      <c r="D202" s="25" t="s">
        <v>20</v>
      </c>
      <c r="E202" s="21"/>
      <c r="F202" s="21" t="s">
        <v>32</v>
      </c>
      <c r="G202" s="70">
        <v>0.0</v>
      </c>
      <c r="I202" s="71">
        <v>0.0</v>
      </c>
      <c r="K202" s="71">
        <v>0.0</v>
      </c>
      <c r="M202" s="71">
        <v>0.0</v>
      </c>
      <c r="O202" s="71">
        <v>0.0</v>
      </c>
      <c r="Q202" s="26">
        <f t="shared" si="1"/>
        <v>0</v>
      </c>
      <c r="R202" s="25">
        <f t="shared" si="2"/>
        <v>0</v>
      </c>
      <c r="S202" s="25">
        <f t="shared" si="3"/>
        <v>0</v>
      </c>
      <c r="T202" s="25">
        <f t="shared" si="4"/>
        <v>0</v>
      </c>
      <c r="U202" s="27">
        <f t="shared" si="5"/>
        <v>0</v>
      </c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5.75" customHeight="1">
      <c r="A203" s="22" t="s">
        <v>24</v>
      </c>
      <c r="B203" s="23">
        <f t="shared" si="6"/>
        <v>46220</v>
      </c>
      <c r="C203" s="24">
        <v>8.1</v>
      </c>
      <c r="D203" s="25" t="s">
        <v>20</v>
      </c>
      <c r="E203" s="21"/>
      <c r="F203" s="21" t="s">
        <v>32</v>
      </c>
      <c r="G203" s="70">
        <v>0.0</v>
      </c>
      <c r="I203" s="71">
        <v>0.0</v>
      </c>
      <c r="K203" s="71">
        <v>0.0</v>
      </c>
      <c r="M203" s="71">
        <v>0.0</v>
      </c>
      <c r="O203" s="71">
        <v>0.0</v>
      </c>
      <c r="Q203" s="26">
        <f t="shared" si="1"/>
        <v>0</v>
      </c>
      <c r="R203" s="25">
        <f t="shared" si="2"/>
        <v>0</v>
      </c>
      <c r="S203" s="25">
        <f t="shared" si="3"/>
        <v>0</v>
      </c>
      <c r="T203" s="25">
        <f t="shared" si="4"/>
        <v>0</v>
      </c>
      <c r="U203" s="27">
        <f t="shared" si="5"/>
        <v>0</v>
      </c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5.75" customHeight="1">
      <c r="A204" s="22" t="s">
        <v>25</v>
      </c>
      <c r="B204" s="23">
        <f t="shared" si="6"/>
        <v>46221</v>
      </c>
      <c r="C204" s="24">
        <v>8.1</v>
      </c>
      <c r="D204" s="25" t="s">
        <v>20</v>
      </c>
      <c r="E204" s="21"/>
      <c r="F204" s="21" t="s">
        <v>32</v>
      </c>
      <c r="G204" s="70">
        <v>0.0</v>
      </c>
      <c r="I204" s="71">
        <v>0.0</v>
      </c>
      <c r="K204" s="71">
        <v>0.0</v>
      </c>
      <c r="M204" s="71">
        <v>0.0</v>
      </c>
      <c r="O204" s="71">
        <v>0.0</v>
      </c>
      <c r="Q204" s="26">
        <f t="shared" si="1"/>
        <v>0</v>
      </c>
      <c r="R204" s="25">
        <f t="shared" si="2"/>
        <v>0</v>
      </c>
      <c r="S204" s="25">
        <f t="shared" si="3"/>
        <v>0</v>
      </c>
      <c r="T204" s="25">
        <f t="shared" si="4"/>
        <v>0</v>
      </c>
      <c r="U204" s="27">
        <f t="shared" si="5"/>
        <v>0</v>
      </c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5.75" customHeight="1">
      <c r="A205" s="28" t="s">
        <v>26</v>
      </c>
      <c r="B205" s="29">
        <f t="shared" si="6"/>
        <v>46222</v>
      </c>
      <c r="C205" s="30">
        <v>8.1</v>
      </c>
      <c r="D205" s="31" t="s">
        <v>20</v>
      </c>
      <c r="E205" s="32"/>
      <c r="F205" s="32" t="s">
        <v>32</v>
      </c>
      <c r="G205" s="72">
        <v>0.0</v>
      </c>
      <c r="H205" s="6"/>
      <c r="I205" s="72">
        <v>0.0</v>
      </c>
      <c r="J205" s="6"/>
      <c r="K205" s="72">
        <v>0.0</v>
      </c>
      <c r="L205" s="6"/>
      <c r="M205" s="72">
        <v>0.0</v>
      </c>
      <c r="N205" s="6"/>
      <c r="O205" s="72">
        <v>0.0</v>
      </c>
      <c r="P205" s="6"/>
      <c r="Q205" s="35">
        <f t="shared" si="1"/>
        <v>0</v>
      </c>
      <c r="R205" s="31">
        <f t="shared" si="2"/>
        <v>0</v>
      </c>
      <c r="S205" s="31">
        <f t="shared" si="3"/>
        <v>0</v>
      </c>
      <c r="T205" s="31">
        <f t="shared" si="4"/>
        <v>0</v>
      </c>
      <c r="U205" s="36">
        <f t="shared" si="5"/>
        <v>0</v>
      </c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5.75" customHeight="1">
      <c r="A206" s="13" t="s">
        <v>19</v>
      </c>
      <c r="B206" s="37">
        <f t="shared" si="6"/>
        <v>46223</v>
      </c>
      <c r="C206" s="15">
        <v>8.2</v>
      </c>
      <c r="D206" s="16" t="s">
        <v>27</v>
      </c>
      <c r="E206" s="17"/>
      <c r="F206" s="17" t="s">
        <v>32</v>
      </c>
      <c r="G206" s="70">
        <v>0.0</v>
      </c>
      <c r="I206" s="71">
        <v>0.0</v>
      </c>
      <c r="K206" s="71">
        <v>0.0</v>
      </c>
      <c r="M206" s="71">
        <v>0.0</v>
      </c>
      <c r="O206" s="71">
        <v>0.0</v>
      </c>
      <c r="Q206" s="20">
        <f t="shared" si="1"/>
        <v>0</v>
      </c>
      <c r="R206" s="16">
        <f t="shared" si="2"/>
        <v>0</v>
      </c>
      <c r="S206" s="16">
        <f t="shared" si="3"/>
        <v>0</v>
      </c>
      <c r="T206" s="16">
        <f t="shared" si="4"/>
        <v>0</v>
      </c>
      <c r="U206" s="38">
        <f t="shared" si="5"/>
        <v>0</v>
      </c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5.75" customHeight="1">
      <c r="A207" s="22" t="s">
        <v>21</v>
      </c>
      <c r="B207" s="23">
        <f t="shared" si="6"/>
        <v>46224</v>
      </c>
      <c r="C207" s="24">
        <v>8.2</v>
      </c>
      <c r="D207" s="25" t="s">
        <v>27</v>
      </c>
      <c r="E207" s="21"/>
      <c r="F207" s="21" t="s">
        <v>32</v>
      </c>
      <c r="G207" s="70">
        <v>0.0</v>
      </c>
      <c r="I207" s="71">
        <v>0.0</v>
      </c>
      <c r="K207" s="71">
        <v>0.0</v>
      </c>
      <c r="M207" s="71">
        <v>0.0</v>
      </c>
      <c r="O207" s="71">
        <v>0.0</v>
      </c>
      <c r="Q207" s="26">
        <f t="shared" si="1"/>
        <v>0</v>
      </c>
      <c r="R207" s="25">
        <f t="shared" si="2"/>
        <v>0</v>
      </c>
      <c r="S207" s="25">
        <f t="shared" si="3"/>
        <v>0</v>
      </c>
      <c r="T207" s="25">
        <f t="shared" si="4"/>
        <v>0</v>
      </c>
      <c r="U207" s="27">
        <f t="shared" si="5"/>
        <v>0</v>
      </c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5.75" customHeight="1">
      <c r="A208" s="22" t="s">
        <v>22</v>
      </c>
      <c r="B208" s="23">
        <f t="shared" si="6"/>
        <v>46225</v>
      </c>
      <c r="C208" s="24">
        <v>8.2</v>
      </c>
      <c r="D208" s="25" t="s">
        <v>27</v>
      </c>
      <c r="E208" s="21"/>
      <c r="F208" s="21" t="s">
        <v>32</v>
      </c>
      <c r="G208" s="70">
        <v>0.0</v>
      </c>
      <c r="I208" s="71">
        <v>0.0</v>
      </c>
      <c r="K208" s="71">
        <v>0.0</v>
      </c>
      <c r="M208" s="71">
        <v>0.0</v>
      </c>
      <c r="O208" s="71">
        <v>0.0</v>
      </c>
      <c r="Q208" s="26">
        <f t="shared" si="1"/>
        <v>0</v>
      </c>
      <c r="R208" s="25">
        <f t="shared" si="2"/>
        <v>0</v>
      </c>
      <c r="S208" s="25">
        <f t="shared" si="3"/>
        <v>0</v>
      </c>
      <c r="T208" s="25">
        <f t="shared" si="4"/>
        <v>0</v>
      </c>
      <c r="U208" s="27">
        <f t="shared" si="5"/>
        <v>0</v>
      </c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5.75" customHeight="1">
      <c r="A209" s="22" t="s">
        <v>23</v>
      </c>
      <c r="B209" s="23">
        <f t="shared" si="6"/>
        <v>46226</v>
      </c>
      <c r="C209" s="24">
        <v>8.2</v>
      </c>
      <c r="D209" s="25" t="s">
        <v>27</v>
      </c>
      <c r="E209" s="21"/>
      <c r="F209" s="21" t="s">
        <v>32</v>
      </c>
      <c r="G209" s="70">
        <v>0.0</v>
      </c>
      <c r="I209" s="71">
        <v>0.0</v>
      </c>
      <c r="K209" s="71">
        <v>0.0</v>
      </c>
      <c r="M209" s="71">
        <v>0.0</v>
      </c>
      <c r="O209" s="71">
        <v>0.0</v>
      </c>
      <c r="Q209" s="26">
        <f t="shared" si="1"/>
        <v>0</v>
      </c>
      <c r="R209" s="25">
        <f t="shared" si="2"/>
        <v>0</v>
      </c>
      <c r="S209" s="25">
        <f t="shared" si="3"/>
        <v>0</v>
      </c>
      <c r="T209" s="25">
        <f t="shared" si="4"/>
        <v>0</v>
      </c>
      <c r="U209" s="27">
        <f t="shared" si="5"/>
        <v>0</v>
      </c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5.75" customHeight="1">
      <c r="A210" s="22" t="s">
        <v>24</v>
      </c>
      <c r="B210" s="23">
        <f t="shared" si="6"/>
        <v>46227</v>
      </c>
      <c r="C210" s="24">
        <v>8.2</v>
      </c>
      <c r="D210" s="25" t="s">
        <v>27</v>
      </c>
      <c r="E210" s="21"/>
      <c r="F210" s="21" t="s">
        <v>32</v>
      </c>
      <c r="G210" s="70">
        <v>0.0</v>
      </c>
      <c r="I210" s="71">
        <v>0.0</v>
      </c>
      <c r="K210" s="71">
        <v>0.0</v>
      </c>
      <c r="M210" s="71">
        <v>0.0</v>
      </c>
      <c r="O210" s="71">
        <v>0.0</v>
      </c>
      <c r="Q210" s="26">
        <f t="shared" si="1"/>
        <v>0</v>
      </c>
      <c r="R210" s="25">
        <f t="shared" si="2"/>
        <v>0</v>
      </c>
      <c r="S210" s="25">
        <f t="shared" si="3"/>
        <v>0</v>
      </c>
      <c r="T210" s="25">
        <f t="shared" si="4"/>
        <v>0</v>
      </c>
      <c r="U210" s="27">
        <f t="shared" si="5"/>
        <v>0</v>
      </c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5.75" customHeight="1">
      <c r="A211" s="22" t="s">
        <v>25</v>
      </c>
      <c r="B211" s="23">
        <f t="shared" si="6"/>
        <v>46228</v>
      </c>
      <c r="C211" s="24">
        <v>8.2</v>
      </c>
      <c r="D211" s="25" t="s">
        <v>27</v>
      </c>
      <c r="E211" s="21"/>
      <c r="F211" s="21" t="s">
        <v>32</v>
      </c>
      <c r="G211" s="70">
        <v>0.0</v>
      </c>
      <c r="I211" s="71">
        <v>0.0</v>
      </c>
      <c r="K211" s="71">
        <v>0.0</v>
      </c>
      <c r="M211" s="71">
        <v>0.0</v>
      </c>
      <c r="O211" s="71">
        <v>0.0</v>
      </c>
      <c r="Q211" s="26">
        <f t="shared" si="1"/>
        <v>0</v>
      </c>
      <c r="R211" s="25">
        <f t="shared" si="2"/>
        <v>0</v>
      </c>
      <c r="S211" s="25">
        <f t="shared" si="3"/>
        <v>0</v>
      </c>
      <c r="T211" s="25">
        <f t="shared" si="4"/>
        <v>0</v>
      </c>
      <c r="U211" s="27">
        <f t="shared" si="5"/>
        <v>0</v>
      </c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5.75" customHeight="1">
      <c r="A212" s="28" t="s">
        <v>26</v>
      </c>
      <c r="B212" s="29">
        <f t="shared" si="6"/>
        <v>46229</v>
      </c>
      <c r="C212" s="30">
        <v>8.2</v>
      </c>
      <c r="D212" s="31" t="s">
        <v>27</v>
      </c>
      <c r="E212" s="32"/>
      <c r="F212" s="32" t="s">
        <v>32</v>
      </c>
      <c r="G212" s="72">
        <v>0.0</v>
      </c>
      <c r="H212" s="6"/>
      <c r="I212" s="72">
        <v>0.0</v>
      </c>
      <c r="J212" s="6"/>
      <c r="K212" s="72">
        <v>0.0</v>
      </c>
      <c r="L212" s="6"/>
      <c r="M212" s="72">
        <v>0.0</v>
      </c>
      <c r="N212" s="6"/>
      <c r="O212" s="72">
        <v>0.0</v>
      </c>
      <c r="P212" s="6"/>
      <c r="Q212" s="35">
        <f t="shared" si="1"/>
        <v>0</v>
      </c>
      <c r="R212" s="31">
        <f t="shared" si="2"/>
        <v>0</v>
      </c>
      <c r="S212" s="31">
        <f t="shared" si="3"/>
        <v>0</v>
      </c>
      <c r="T212" s="31">
        <f t="shared" si="4"/>
        <v>0</v>
      </c>
      <c r="U212" s="36">
        <f t="shared" si="5"/>
        <v>0</v>
      </c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5.75" customHeight="1">
      <c r="A213" s="76" t="s">
        <v>19</v>
      </c>
      <c r="B213" s="77">
        <f t="shared" si="6"/>
        <v>46230</v>
      </c>
      <c r="C213" s="78">
        <v>8.3</v>
      </c>
      <c r="D213" s="79" t="s">
        <v>28</v>
      </c>
      <c r="E213" s="80"/>
      <c r="F213" s="80" t="s">
        <v>32</v>
      </c>
      <c r="G213" s="81">
        <v>0.0</v>
      </c>
      <c r="I213" s="82">
        <v>0.0</v>
      </c>
      <c r="K213" s="82">
        <v>0.0</v>
      </c>
      <c r="M213" s="82">
        <v>0.0</v>
      </c>
      <c r="O213" s="82">
        <v>0.0</v>
      </c>
      <c r="Q213" s="83">
        <f t="shared" si="1"/>
        <v>0</v>
      </c>
      <c r="R213" s="79">
        <f t="shared" si="2"/>
        <v>0</v>
      </c>
      <c r="S213" s="79">
        <f t="shared" si="3"/>
        <v>0</v>
      </c>
      <c r="T213" s="79">
        <f t="shared" si="4"/>
        <v>0</v>
      </c>
      <c r="U213" s="84">
        <f t="shared" si="5"/>
        <v>0</v>
      </c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5.75" customHeight="1">
      <c r="A214" s="85" t="s">
        <v>21</v>
      </c>
      <c r="B214" s="86">
        <f t="shared" si="6"/>
        <v>46231</v>
      </c>
      <c r="C214" s="87">
        <v>8.3</v>
      </c>
      <c r="D214" s="88" t="s">
        <v>28</v>
      </c>
      <c r="E214" s="101">
        <v>10.0</v>
      </c>
      <c r="F214" s="89" t="s">
        <v>33</v>
      </c>
      <c r="G214" s="81">
        <v>0.0</v>
      </c>
      <c r="I214" s="82">
        <v>45.0</v>
      </c>
      <c r="K214" s="82">
        <v>45.0</v>
      </c>
      <c r="M214" s="82">
        <v>0.0</v>
      </c>
      <c r="O214" s="82">
        <v>30.0</v>
      </c>
      <c r="Q214" s="90">
        <f t="shared" si="1"/>
        <v>2595.2142</v>
      </c>
      <c r="R214" s="88">
        <f t="shared" si="2"/>
        <v>90</v>
      </c>
      <c r="S214" s="88">
        <f t="shared" si="3"/>
        <v>30</v>
      </c>
      <c r="T214" s="88">
        <f t="shared" si="4"/>
        <v>120</v>
      </c>
      <c r="U214" s="91">
        <f t="shared" si="5"/>
        <v>21.626785</v>
      </c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5.75" customHeight="1">
      <c r="A215" s="85" t="s">
        <v>22</v>
      </c>
      <c r="B215" s="86">
        <f t="shared" si="6"/>
        <v>46232</v>
      </c>
      <c r="C215" s="87">
        <v>8.3</v>
      </c>
      <c r="D215" s="88" t="s">
        <v>28</v>
      </c>
      <c r="E215" s="101">
        <v>10.0</v>
      </c>
      <c r="F215" s="89" t="s">
        <v>31</v>
      </c>
      <c r="G215" s="81">
        <v>0.0</v>
      </c>
      <c r="I215" s="82">
        <v>45.0</v>
      </c>
      <c r="K215" s="82">
        <v>45.0</v>
      </c>
      <c r="M215" s="82">
        <v>0.0</v>
      </c>
      <c r="O215" s="82">
        <v>30.0</v>
      </c>
      <c r="Q215" s="90">
        <f t="shared" si="1"/>
        <v>2595.2142</v>
      </c>
      <c r="R215" s="88">
        <f t="shared" si="2"/>
        <v>90</v>
      </c>
      <c r="S215" s="88">
        <f t="shared" si="3"/>
        <v>30</v>
      </c>
      <c r="T215" s="88">
        <f t="shared" si="4"/>
        <v>120</v>
      </c>
      <c r="U215" s="91">
        <f t="shared" si="5"/>
        <v>21.626785</v>
      </c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5.75" customHeight="1">
      <c r="A216" s="85" t="s">
        <v>23</v>
      </c>
      <c r="B216" s="86">
        <f t="shared" si="6"/>
        <v>46233</v>
      </c>
      <c r="C216" s="87">
        <v>8.3</v>
      </c>
      <c r="D216" s="88" t="s">
        <v>28</v>
      </c>
      <c r="E216" s="101">
        <v>10.0</v>
      </c>
      <c r="F216" s="89" t="s">
        <v>33</v>
      </c>
      <c r="G216" s="81">
        <v>0.0</v>
      </c>
      <c r="I216" s="82">
        <v>45.0</v>
      </c>
      <c r="K216" s="82">
        <v>0.0</v>
      </c>
      <c r="M216" s="82">
        <v>0.0</v>
      </c>
      <c r="O216" s="82">
        <v>30.0</v>
      </c>
      <c r="Q216" s="90">
        <f t="shared" si="1"/>
        <v>1427.2743</v>
      </c>
      <c r="R216" s="88">
        <f t="shared" si="2"/>
        <v>45</v>
      </c>
      <c r="S216" s="88">
        <f t="shared" si="3"/>
        <v>30</v>
      </c>
      <c r="T216" s="88">
        <f t="shared" si="4"/>
        <v>75</v>
      </c>
      <c r="U216" s="91">
        <f t="shared" si="5"/>
        <v>19.030324</v>
      </c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5.75" customHeight="1">
      <c r="A217" s="85" t="s">
        <v>24</v>
      </c>
      <c r="B217" s="86">
        <f t="shared" si="6"/>
        <v>46234</v>
      </c>
      <c r="C217" s="87">
        <v>8.3</v>
      </c>
      <c r="D217" s="88" t="s">
        <v>28</v>
      </c>
      <c r="E217" s="101">
        <v>10.0</v>
      </c>
      <c r="F217" s="89" t="s">
        <v>33</v>
      </c>
      <c r="G217" s="81">
        <v>0.0</v>
      </c>
      <c r="I217" s="82">
        <v>45.0</v>
      </c>
      <c r="K217" s="82">
        <v>45.0</v>
      </c>
      <c r="M217" s="82">
        <v>0.0</v>
      </c>
      <c r="O217" s="82">
        <v>30.0</v>
      </c>
      <c r="Q217" s="90">
        <f t="shared" si="1"/>
        <v>2595.2142</v>
      </c>
      <c r="R217" s="88">
        <f t="shared" si="2"/>
        <v>90</v>
      </c>
      <c r="S217" s="88">
        <f t="shared" si="3"/>
        <v>30</v>
      </c>
      <c r="T217" s="88">
        <f t="shared" si="4"/>
        <v>120</v>
      </c>
      <c r="U217" s="91">
        <f t="shared" si="5"/>
        <v>21.626785</v>
      </c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5.75" customHeight="1">
      <c r="A218" s="85" t="s">
        <v>25</v>
      </c>
      <c r="B218" s="86">
        <f t="shared" si="6"/>
        <v>46235</v>
      </c>
      <c r="C218" s="87">
        <v>8.3</v>
      </c>
      <c r="D218" s="88" t="s">
        <v>28</v>
      </c>
      <c r="E218" s="101">
        <v>10.0</v>
      </c>
      <c r="F218" s="89" t="s">
        <v>33</v>
      </c>
      <c r="G218" s="81">
        <v>0.0</v>
      </c>
      <c r="I218" s="82">
        <v>45.0</v>
      </c>
      <c r="K218" s="82">
        <v>45.0</v>
      </c>
      <c r="M218" s="82">
        <v>0.0</v>
      </c>
      <c r="O218" s="82">
        <v>30.0</v>
      </c>
      <c r="Q218" s="90">
        <f t="shared" si="1"/>
        <v>2595.2142</v>
      </c>
      <c r="R218" s="88">
        <f t="shared" si="2"/>
        <v>90</v>
      </c>
      <c r="S218" s="88">
        <f t="shared" si="3"/>
        <v>30</v>
      </c>
      <c r="T218" s="88">
        <f t="shared" si="4"/>
        <v>120</v>
      </c>
      <c r="U218" s="91">
        <f t="shared" si="5"/>
        <v>21.626785</v>
      </c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5.75" customHeight="1">
      <c r="A219" s="92" t="s">
        <v>26</v>
      </c>
      <c r="B219" s="93">
        <f t="shared" si="6"/>
        <v>46236</v>
      </c>
      <c r="C219" s="94">
        <v>8.3</v>
      </c>
      <c r="D219" s="95" t="s">
        <v>28</v>
      </c>
      <c r="E219" s="102">
        <v>10.0</v>
      </c>
      <c r="F219" s="96" t="s">
        <v>31</v>
      </c>
      <c r="G219" s="97">
        <v>45.0</v>
      </c>
      <c r="H219" s="6"/>
      <c r="I219" s="98">
        <v>0.0</v>
      </c>
      <c r="J219" s="6"/>
      <c r="K219" s="98">
        <v>45.0</v>
      </c>
      <c r="L219" s="6"/>
      <c r="M219" s="98">
        <v>0.0</v>
      </c>
      <c r="N219" s="6"/>
      <c r="O219" s="98"/>
      <c r="P219" s="6"/>
      <c r="Q219" s="99">
        <f t="shared" si="1"/>
        <v>2335.8798</v>
      </c>
      <c r="R219" s="95">
        <f t="shared" si="2"/>
        <v>90</v>
      </c>
      <c r="S219" s="95">
        <f t="shared" si="3"/>
        <v>0</v>
      </c>
      <c r="T219" s="95">
        <f t="shared" si="4"/>
        <v>90</v>
      </c>
      <c r="U219" s="100">
        <f t="shared" si="5"/>
        <v>25.95422</v>
      </c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5.75" customHeight="1">
      <c r="A220" s="13" t="s">
        <v>19</v>
      </c>
      <c r="B220" s="37">
        <f t="shared" si="6"/>
        <v>46237</v>
      </c>
      <c r="C220" s="15">
        <v>8.4</v>
      </c>
      <c r="D220" s="16" t="s">
        <v>29</v>
      </c>
      <c r="E220" s="17"/>
      <c r="F220" s="17" t="s">
        <v>32</v>
      </c>
      <c r="G220" s="70">
        <v>0.0</v>
      </c>
      <c r="I220" s="71">
        <v>0.0</v>
      </c>
      <c r="K220" s="71">
        <v>0.0</v>
      </c>
      <c r="M220" s="71">
        <v>0.0</v>
      </c>
      <c r="O220" s="71">
        <v>0.0</v>
      </c>
      <c r="Q220" s="20">
        <f t="shared" si="1"/>
        <v>0</v>
      </c>
      <c r="R220" s="16">
        <f t="shared" si="2"/>
        <v>0</v>
      </c>
      <c r="S220" s="16">
        <f t="shared" si="3"/>
        <v>0</v>
      </c>
      <c r="T220" s="16">
        <f t="shared" si="4"/>
        <v>0</v>
      </c>
      <c r="U220" s="38">
        <f t="shared" si="5"/>
        <v>0</v>
      </c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5.75" customHeight="1">
      <c r="A221" s="22" t="s">
        <v>21</v>
      </c>
      <c r="B221" s="23">
        <f t="shared" si="6"/>
        <v>46238</v>
      </c>
      <c r="C221" s="24">
        <v>8.4</v>
      </c>
      <c r="D221" s="25" t="s">
        <v>29</v>
      </c>
      <c r="E221" s="21"/>
      <c r="F221" s="21" t="s">
        <v>32</v>
      </c>
      <c r="G221" s="70">
        <v>0.0</v>
      </c>
      <c r="I221" s="71">
        <v>0.0</v>
      </c>
      <c r="K221" s="71">
        <v>0.0</v>
      </c>
      <c r="M221" s="71">
        <v>0.0</v>
      </c>
      <c r="O221" s="71">
        <v>0.0</v>
      </c>
      <c r="Q221" s="26">
        <f t="shared" si="1"/>
        <v>0</v>
      </c>
      <c r="R221" s="25">
        <f t="shared" si="2"/>
        <v>0</v>
      </c>
      <c r="S221" s="25">
        <f t="shared" si="3"/>
        <v>0</v>
      </c>
      <c r="T221" s="25">
        <f t="shared" si="4"/>
        <v>0</v>
      </c>
      <c r="U221" s="27">
        <f t="shared" si="5"/>
        <v>0</v>
      </c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5.75" customHeight="1">
      <c r="A222" s="22" t="s">
        <v>22</v>
      </c>
      <c r="B222" s="23">
        <f t="shared" si="6"/>
        <v>46239</v>
      </c>
      <c r="C222" s="24">
        <v>8.4</v>
      </c>
      <c r="D222" s="25" t="s">
        <v>29</v>
      </c>
      <c r="E222" s="21"/>
      <c r="F222" s="21" t="s">
        <v>32</v>
      </c>
      <c r="G222" s="70">
        <v>0.0</v>
      </c>
      <c r="I222" s="71">
        <v>0.0</v>
      </c>
      <c r="K222" s="71">
        <v>0.0</v>
      </c>
      <c r="M222" s="71">
        <v>0.0</v>
      </c>
      <c r="O222" s="71">
        <v>0.0</v>
      </c>
      <c r="Q222" s="26">
        <f t="shared" si="1"/>
        <v>0</v>
      </c>
      <c r="R222" s="25">
        <f t="shared" si="2"/>
        <v>0</v>
      </c>
      <c r="S222" s="25">
        <f t="shared" si="3"/>
        <v>0</v>
      </c>
      <c r="T222" s="25">
        <f t="shared" si="4"/>
        <v>0</v>
      </c>
      <c r="U222" s="27">
        <f t="shared" si="5"/>
        <v>0</v>
      </c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5.75" customHeight="1">
      <c r="A223" s="22" t="s">
        <v>23</v>
      </c>
      <c r="B223" s="23">
        <f t="shared" si="6"/>
        <v>46240</v>
      </c>
      <c r="C223" s="24">
        <v>8.4</v>
      </c>
      <c r="D223" s="25" t="s">
        <v>29</v>
      </c>
      <c r="E223" s="21"/>
      <c r="F223" s="21" t="s">
        <v>32</v>
      </c>
      <c r="G223" s="70">
        <v>0.0</v>
      </c>
      <c r="I223" s="71">
        <v>0.0</v>
      </c>
      <c r="K223" s="71">
        <v>0.0</v>
      </c>
      <c r="M223" s="71">
        <v>0.0</v>
      </c>
      <c r="O223" s="71">
        <v>0.0</v>
      </c>
      <c r="Q223" s="26">
        <f t="shared" si="1"/>
        <v>0</v>
      </c>
      <c r="R223" s="25">
        <f t="shared" si="2"/>
        <v>0</v>
      </c>
      <c r="S223" s="25">
        <f t="shared" si="3"/>
        <v>0</v>
      </c>
      <c r="T223" s="25">
        <f t="shared" si="4"/>
        <v>0</v>
      </c>
      <c r="U223" s="27">
        <f t="shared" si="5"/>
        <v>0</v>
      </c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5.75" customHeight="1">
      <c r="A224" s="22" t="s">
        <v>24</v>
      </c>
      <c r="B224" s="23">
        <f t="shared" si="6"/>
        <v>46241</v>
      </c>
      <c r="C224" s="24">
        <v>8.4</v>
      </c>
      <c r="D224" s="25" t="s">
        <v>29</v>
      </c>
      <c r="E224" s="21"/>
      <c r="F224" s="21" t="s">
        <v>32</v>
      </c>
      <c r="G224" s="70">
        <v>0.0</v>
      </c>
      <c r="I224" s="71">
        <v>0.0</v>
      </c>
      <c r="K224" s="71">
        <v>0.0</v>
      </c>
      <c r="M224" s="71">
        <v>0.0</v>
      </c>
      <c r="O224" s="71">
        <v>0.0</v>
      </c>
      <c r="Q224" s="26">
        <f t="shared" si="1"/>
        <v>0</v>
      </c>
      <c r="R224" s="25">
        <f t="shared" si="2"/>
        <v>0</v>
      </c>
      <c r="S224" s="25">
        <f t="shared" si="3"/>
        <v>0</v>
      </c>
      <c r="T224" s="25">
        <f t="shared" si="4"/>
        <v>0</v>
      </c>
      <c r="U224" s="27">
        <f t="shared" si="5"/>
        <v>0</v>
      </c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5.75" customHeight="1">
      <c r="A225" s="22" t="s">
        <v>25</v>
      </c>
      <c r="B225" s="23">
        <f t="shared" si="6"/>
        <v>46242</v>
      </c>
      <c r="C225" s="24">
        <v>8.4</v>
      </c>
      <c r="D225" s="25" t="s">
        <v>29</v>
      </c>
      <c r="E225" s="21"/>
      <c r="F225" s="21" t="s">
        <v>32</v>
      </c>
      <c r="G225" s="70">
        <v>0.0</v>
      </c>
      <c r="I225" s="71">
        <v>0.0</v>
      </c>
      <c r="K225" s="71">
        <v>0.0</v>
      </c>
      <c r="M225" s="71">
        <v>0.0</v>
      </c>
      <c r="O225" s="71">
        <v>0.0</v>
      </c>
      <c r="Q225" s="26">
        <f t="shared" si="1"/>
        <v>0</v>
      </c>
      <c r="R225" s="25">
        <f t="shared" si="2"/>
        <v>0</v>
      </c>
      <c r="S225" s="25">
        <f t="shared" si="3"/>
        <v>0</v>
      </c>
      <c r="T225" s="25">
        <f t="shared" si="4"/>
        <v>0</v>
      </c>
      <c r="U225" s="27">
        <f t="shared" si="5"/>
        <v>0</v>
      </c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5.75" customHeight="1">
      <c r="A226" s="28" t="s">
        <v>26</v>
      </c>
      <c r="B226" s="29">
        <f t="shared" si="6"/>
        <v>46243</v>
      </c>
      <c r="C226" s="30">
        <v>8.4</v>
      </c>
      <c r="D226" s="31" t="s">
        <v>29</v>
      </c>
      <c r="E226" s="32"/>
      <c r="F226" s="32" t="s">
        <v>32</v>
      </c>
      <c r="G226" s="72">
        <v>0.0</v>
      </c>
      <c r="H226" s="6"/>
      <c r="I226" s="72">
        <v>0.0</v>
      </c>
      <c r="J226" s="6"/>
      <c r="K226" s="72">
        <v>0.0</v>
      </c>
      <c r="L226" s="6"/>
      <c r="M226" s="72">
        <v>0.0</v>
      </c>
      <c r="N226" s="6"/>
      <c r="O226" s="72">
        <v>0.0</v>
      </c>
      <c r="P226" s="6"/>
      <c r="Q226" s="35">
        <f t="shared" si="1"/>
        <v>0</v>
      </c>
      <c r="R226" s="31">
        <f t="shared" si="2"/>
        <v>0</v>
      </c>
      <c r="S226" s="31">
        <f t="shared" si="3"/>
        <v>0</v>
      </c>
      <c r="T226" s="31">
        <f t="shared" si="4"/>
        <v>0</v>
      </c>
      <c r="U226" s="36">
        <f t="shared" si="5"/>
        <v>0</v>
      </c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5.75" customHeight="1">
      <c r="A227" s="76" t="s">
        <v>19</v>
      </c>
      <c r="B227" s="77">
        <f t="shared" si="6"/>
        <v>46244</v>
      </c>
      <c r="C227" s="78">
        <v>9.1</v>
      </c>
      <c r="D227" s="79" t="s">
        <v>20</v>
      </c>
      <c r="E227" s="80"/>
      <c r="F227" s="80" t="s">
        <v>32</v>
      </c>
      <c r="G227" s="81">
        <v>0.0</v>
      </c>
      <c r="I227" s="82">
        <v>0.0</v>
      </c>
      <c r="K227" s="82">
        <v>0.0</v>
      </c>
      <c r="M227" s="82">
        <v>0.0</v>
      </c>
      <c r="O227" s="82">
        <v>0.0</v>
      </c>
      <c r="Q227" s="83">
        <f t="shared" si="1"/>
        <v>0</v>
      </c>
      <c r="R227" s="79">
        <f t="shared" si="2"/>
        <v>0</v>
      </c>
      <c r="S227" s="79">
        <f t="shared" si="3"/>
        <v>0</v>
      </c>
      <c r="T227" s="79">
        <f t="shared" si="4"/>
        <v>0</v>
      </c>
      <c r="U227" s="84">
        <f t="shared" si="5"/>
        <v>0</v>
      </c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5.75" customHeight="1">
      <c r="A228" s="85" t="s">
        <v>21</v>
      </c>
      <c r="B228" s="86">
        <f t="shared" si="6"/>
        <v>46245</v>
      </c>
      <c r="C228" s="87">
        <v>9.1</v>
      </c>
      <c r="D228" s="88" t="s">
        <v>20</v>
      </c>
      <c r="E228" s="101">
        <v>11.0</v>
      </c>
      <c r="F228" s="89" t="s">
        <v>33</v>
      </c>
      <c r="G228" s="81">
        <v>0.0</v>
      </c>
      <c r="I228" s="82">
        <v>45.0</v>
      </c>
      <c r="K228" s="82">
        <v>45.0</v>
      </c>
      <c r="M228" s="82">
        <v>0.0</v>
      </c>
      <c r="O228" s="82">
        <v>30.0</v>
      </c>
      <c r="Q228" s="90">
        <f t="shared" si="1"/>
        <v>2595.2142</v>
      </c>
      <c r="R228" s="88">
        <f t="shared" si="2"/>
        <v>90</v>
      </c>
      <c r="S228" s="88">
        <f t="shared" si="3"/>
        <v>30</v>
      </c>
      <c r="T228" s="88">
        <f t="shared" si="4"/>
        <v>120</v>
      </c>
      <c r="U228" s="91">
        <f t="shared" si="5"/>
        <v>21.626785</v>
      </c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5.75" customHeight="1">
      <c r="A229" s="85" t="s">
        <v>22</v>
      </c>
      <c r="B229" s="86">
        <f t="shared" si="6"/>
        <v>46246</v>
      </c>
      <c r="C229" s="87">
        <v>9.1</v>
      </c>
      <c r="D229" s="88" t="s">
        <v>20</v>
      </c>
      <c r="E229" s="101">
        <v>11.0</v>
      </c>
      <c r="F229" s="89" t="s">
        <v>31</v>
      </c>
      <c r="G229" s="81">
        <v>0.0</v>
      </c>
      <c r="I229" s="82">
        <v>45.0</v>
      </c>
      <c r="K229" s="82">
        <v>45.0</v>
      </c>
      <c r="M229" s="82">
        <v>0.0</v>
      </c>
      <c r="O229" s="82">
        <v>30.0</v>
      </c>
      <c r="Q229" s="90">
        <f t="shared" si="1"/>
        <v>2595.2142</v>
      </c>
      <c r="R229" s="88">
        <f t="shared" si="2"/>
        <v>90</v>
      </c>
      <c r="S229" s="88">
        <f t="shared" si="3"/>
        <v>30</v>
      </c>
      <c r="T229" s="88">
        <f t="shared" si="4"/>
        <v>120</v>
      </c>
      <c r="U229" s="91">
        <f t="shared" si="5"/>
        <v>21.626785</v>
      </c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5.75" customHeight="1">
      <c r="A230" s="85" t="s">
        <v>23</v>
      </c>
      <c r="B230" s="86">
        <f t="shared" si="6"/>
        <v>46247</v>
      </c>
      <c r="C230" s="87">
        <v>9.1</v>
      </c>
      <c r="D230" s="88" t="s">
        <v>20</v>
      </c>
      <c r="E230" s="101">
        <v>11.0</v>
      </c>
      <c r="F230" s="89" t="s">
        <v>33</v>
      </c>
      <c r="G230" s="81">
        <v>0.0</v>
      </c>
      <c r="I230" s="82">
        <v>45.0</v>
      </c>
      <c r="K230" s="82">
        <v>0.0</v>
      </c>
      <c r="M230" s="82">
        <v>0.0</v>
      </c>
      <c r="O230" s="82">
        <v>30.0</v>
      </c>
      <c r="Q230" s="90">
        <f t="shared" si="1"/>
        <v>1427.2743</v>
      </c>
      <c r="R230" s="88">
        <f t="shared" si="2"/>
        <v>45</v>
      </c>
      <c r="S230" s="88">
        <f t="shared" si="3"/>
        <v>30</v>
      </c>
      <c r="T230" s="88">
        <f t="shared" si="4"/>
        <v>75</v>
      </c>
      <c r="U230" s="91">
        <f t="shared" si="5"/>
        <v>19.030324</v>
      </c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5.75" customHeight="1">
      <c r="A231" s="85" t="s">
        <v>24</v>
      </c>
      <c r="B231" s="86">
        <f t="shared" si="6"/>
        <v>46248</v>
      </c>
      <c r="C231" s="87">
        <v>9.1</v>
      </c>
      <c r="D231" s="88" t="s">
        <v>20</v>
      </c>
      <c r="E231" s="101">
        <v>11.0</v>
      </c>
      <c r="F231" s="89" t="s">
        <v>33</v>
      </c>
      <c r="G231" s="81">
        <v>0.0</v>
      </c>
      <c r="I231" s="82">
        <v>45.0</v>
      </c>
      <c r="K231" s="82">
        <v>0.0</v>
      </c>
      <c r="M231" s="82">
        <v>0.0</v>
      </c>
      <c r="O231" s="82">
        <v>30.0</v>
      </c>
      <c r="Q231" s="90">
        <f t="shared" si="1"/>
        <v>1427.2743</v>
      </c>
      <c r="R231" s="88">
        <f t="shared" si="2"/>
        <v>45</v>
      </c>
      <c r="S231" s="88">
        <f t="shared" si="3"/>
        <v>30</v>
      </c>
      <c r="T231" s="88">
        <f t="shared" si="4"/>
        <v>75</v>
      </c>
      <c r="U231" s="91">
        <f t="shared" si="5"/>
        <v>19.030324</v>
      </c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5.75" customHeight="1">
      <c r="A232" s="85" t="s">
        <v>25</v>
      </c>
      <c r="B232" s="86">
        <f t="shared" si="6"/>
        <v>46249</v>
      </c>
      <c r="C232" s="87">
        <v>9.1</v>
      </c>
      <c r="D232" s="88" t="s">
        <v>20</v>
      </c>
      <c r="E232" s="101">
        <v>11.0</v>
      </c>
      <c r="F232" s="89" t="s">
        <v>33</v>
      </c>
      <c r="G232" s="81">
        <v>0.0</v>
      </c>
      <c r="I232" s="82">
        <v>45.0</v>
      </c>
      <c r="K232" s="82">
        <v>45.0</v>
      </c>
      <c r="M232" s="82">
        <v>0.0</v>
      </c>
      <c r="O232" s="82">
        <v>30.0</v>
      </c>
      <c r="Q232" s="90">
        <f t="shared" si="1"/>
        <v>2595.2142</v>
      </c>
      <c r="R232" s="88">
        <f t="shared" si="2"/>
        <v>90</v>
      </c>
      <c r="S232" s="88">
        <f t="shared" si="3"/>
        <v>30</v>
      </c>
      <c r="T232" s="88">
        <f t="shared" si="4"/>
        <v>120</v>
      </c>
      <c r="U232" s="91">
        <f t="shared" si="5"/>
        <v>21.626785</v>
      </c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5.75" customHeight="1">
      <c r="A233" s="92" t="s">
        <v>26</v>
      </c>
      <c r="B233" s="93">
        <f t="shared" si="6"/>
        <v>46250</v>
      </c>
      <c r="C233" s="94">
        <v>9.1</v>
      </c>
      <c r="D233" s="95" t="s">
        <v>20</v>
      </c>
      <c r="E233" s="102">
        <v>11.0</v>
      </c>
      <c r="F233" s="96" t="s">
        <v>31</v>
      </c>
      <c r="G233" s="97">
        <v>45.0</v>
      </c>
      <c r="H233" s="6"/>
      <c r="I233" s="98">
        <v>0.0</v>
      </c>
      <c r="J233" s="6"/>
      <c r="K233" s="98">
        <v>0.0</v>
      </c>
      <c r="L233" s="6"/>
      <c r="M233" s="98">
        <v>0.0</v>
      </c>
      <c r="N233" s="6"/>
      <c r="O233" s="98">
        <v>0.0</v>
      </c>
      <c r="P233" s="6"/>
      <c r="Q233" s="99">
        <f t="shared" si="1"/>
        <v>1167.9399</v>
      </c>
      <c r="R233" s="95">
        <f t="shared" si="2"/>
        <v>45</v>
      </c>
      <c r="S233" s="95">
        <f t="shared" si="3"/>
        <v>0</v>
      </c>
      <c r="T233" s="95">
        <f t="shared" si="4"/>
        <v>45</v>
      </c>
      <c r="U233" s="100">
        <f t="shared" si="5"/>
        <v>25.95422</v>
      </c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5.75" customHeight="1">
      <c r="A234" s="13" t="s">
        <v>19</v>
      </c>
      <c r="B234" s="37">
        <f t="shared" si="6"/>
        <v>46251</v>
      </c>
      <c r="C234" s="15">
        <v>9.2</v>
      </c>
      <c r="D234" s="16" t="s">
        <v>27</v>
      </c>
      <c r="E234" s="17"/>
      <c r="F234" s="17" t="s">
        <v>32</v>
      </c>
      <c r="G234" s="70">
        <v>0.0</v>
      </c>
      <c r="I234" s="71">
        <v>0.0</v>
      </c>
      <c r="K234" s="71">
        <v>0.0</v>
      </c>
      <c r="M234" s="71">
        <v>0.0</v>
      </c>
      <c r="O234" s="71">
        <v>0.0</v>
      </c>
      <c r="Q234" s="20">
        <f t="shared" si="1"/>
        <v>0</v>
      </c>
      <c r="R234" s="16">
        <f t="shared" si="2"/>
        <v>0</v>
      </c>
      <c r="S234" s="16">
        <f t="shared" si="3"/>
        <v>0</v>
      </c>
      <c r="T234" s="16">
        <f t="shared" si="4"/>
        <v>0</v>
      </c>
      <c r="U234" s="38">
        <f t="shared" si="5"/>
        <v>0</v>
      </c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5.75" customHeight="1">
      <c r="A235" s="22" t="s">
        <v>21</v>
      </c>
      <c r="B235" s="23">
        <f t="shared" si="6"/>
        <v>46252</v>
      </c>
      <c r="C235" s="24">
        <v>9.2</v>
      </c>
      <c r="D235" s="25" t="s">
        <v>27</v>
      </c>
      <c r="E235" s="21"/>
      <c r="F235" s="21" t="s">
        <v>32</v>
      </c>
      <c r="G235" s="70">
        <v>0.0</v>
      </c>
      <c r="I235" s="71">
        <v>0.0</v>
      </c>
      <c r="K235" s="71">
        <v>0.0</v>
      </c>
      <c r="M235" s="71">
        <v>0.0</v>
      </c>
      <c r="O235" s="71">
        <v>0.0</v>
      </c>
      <c r="Q235" s="26">
        <f t="shared" si="1"/>
        <v>0</v>
      </c>
      <c r="R235" s="25">
        <f t="shared" si="2"/>
        <v>0</v>
      </c>
      <c r="S235" s="25">
        <f t="shared" si="3"/>
        <v>0</v>
      </c>
      <c r="T235" s="25">
        <f t="shared" si="4"/>
        <v>0</v>
      </c>
      <c r="U235" s="27">
        <f t="shared" si="5"/>
        <v>0</v>
      </c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5.75" customHeight="1">
      <c r="A236" s="22" t="s">
        <v>22</v>
      </c>
      <c r="B236" s="23">
        <f t="shared" si="6"/>
        <v>46253</v>
      </c>
      <c r="C236" s="24">
        <v>9.2</v>
      </c>
      <c r="D236" s="25" t="s">
        <v>27</v>
      </c>
      <c r="E236" s="21"/>
      <c r="F236" s="21" t="s">
        <v>32</v>
      </c>
      <c r="G236" s="70">
        <v>0.0</v>
      </c>
      <c r="I236" s="71">
        <v>0.0</v>
      </c>
      <c r="K236" s="71">
        <v>0.0</v>
      </c>
      <c r="M236" s="71">
        <v>0.0</v>
      </c>
      <c r="O236" s="71">
        <v>0.0</v>
      </c>
      <c r="Q236" s="26">
        <f t="shared" si="1"/>
        <v>0</v>
      </c>
      <c r="R236" s="25">
        <f t="shared" si="2"/>
        <v>0</v>
      </c>
      <c r="S236" s="25">
        <f t="shared" si="3"/>
        <v>0</v>
      </c>
      <c r="T236" s="25">
        <f t="shared" si="4"/>
        <v>0</v>
      </c>
      <c r="U236" s="27">
        <f t="shared" si="5"/>
        <v>0</v>
      </c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5.75" customHeight="1">
      <c r="A237" s="22" t="s">
        <v>23</v>
      </c>
      <c r="B237" s="23">
        <f t="shared" si="6"/>
        <v>46254</v>
      </c>
      <c r="C237" s="24">
        <v>9.2</v>
      </c>
      <c r="D237" s="25" t="s">
        <v>27</v>
      </c>
      <c r="E237" s="21"/>
      <c r="F237" s="21" t="s">
        <v>32</v>
      </c>
      <c r="G237" s="70">
        <v>0.0</v>
      </c>
      <c r="I237" s="71">
        <v>0.0</v>
      </c>
      <c r="K237" s="71">
        <v>0.0</v>
      </c>
      <c r="M237" s="71">
        <v>0.0</v>
      </c>
      <c r="O237" s="71">
        <v>0.0</v>
      </c>
      <c r="Q237" s="26">
        <f t="shared" si="1"/>
        <v>0</v>
      </c>
      <c r="R237" s="25">
        <f t="shared" si="2"/>
        <v>0</v>
      </c>
      <c r="S237" s="25">
        <f t="shared" si="3"/>
        <v>0</v>
      </c>
      <c r="T237" s="25">
        <f t="shared" si="4"/>
        <v>0</v>
      </c>
      <c r="U237" s="27">
        <f t="shared" si="5"/>
        <v>0</v>
      </c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5.75" customHeight="1">
      <c r="A238" s="22" t="s">
        <v>24</v>
      </c>
      <c r="B238" s="23">
        <f t="shared" si="6"/>
        <v>46255</v>
      </c>
      <c r="C238" s="24">
        <v>9.2</v>
      </c>
      <c r="D238" s="25" t="s">
        <v>27</v>
      </c>
      <c r="E238" s="21"/>
      <c r="F238" s="21" t="s">
        <v>32</v>
      </c>
      <c r="G238" s="70">
        <v>0.0</v>
      </c>
      <c r="I238" s="71">
        <v>0.0</v>
      </c>
      <c r="K238" s="71">
        <v>0.0</v>
      </c>
      <c r="M238" s="71">
        <v>0.0</v>
      </c>
      <c r="O238" s="71">
        <v>0.0</v>
      </c>
      <c r="Q238" s="26">
        <f t="shared" si="1"/>
        <v>0</v>
      </c>
      <c r="R238" s="25">
        <f t="shared" si="2"/>
        <v>0</v>
      </c>
      <c r="S238" s="25">
        <f t="shared" si="3"/>
        <v>0</v>
      </c>
      <c r="T238" s="25">
        <f t="shared" si="4"/>
        <v>0</v>
      </c>
      <c r="U238" s="27">
        <f t="shared" si="5"/>
        <v>0</v>
      </c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5.75" customHeight="1">
      <c r="A239" s="22" t="s">
        <v>25</v>
      </c>
      <c r="B239" s="23">
        <f t="shared" si="6"/>
        <v>46256</v>
      </c>
      <c r="C239" s="24">
        <v>9.2</v>
      </c>
      <c r="D239" s="25" t="s">
        <v>27</v>
      </c>
      <c r="E239" s="21"/>
      <c r="F239" s="21" t="s">
        <v>32</v>
      </c>
      <c r="G239" s="70">
        <v>0.0</v>
      </c>
      <c r="I239" s="71">
        <v>0.0</v>
      </c>
      <c r="K239" s="71">
        <v>0.0</v>
      </c>
      <c r="M239" s="71">
        <v>0.0</v>
      </c>
      <c r="O239" s="71">
        <v>0.0</v>
      </c>
      <c r="Q239" s="26">
        <f t="shared" si="1"/>
        <v>0</v>
      </c>
      <c r="R239" s="25">
        <f t="shared" si="2"/>
        <v>0</v>
      </c>
      <c r="S239" s="25">
        <f t="shared" si="3"/>
        <v>0</v>
      </c>
      <c r="T239" s="25">
        <f t="shared" si="4"/>
        <v>0</v>
      </c>
      <c r="U239" s="27">
        <f t="shared" si="5"/>
        <v>0</v>
      </c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5.75" customHeight="1">
      <c r="A240" s="28" t="s">
        <v>26</v>
      </c>
      <c r="B240" s="29">
        <f t="shared" si="6"/>
        <v>46257</v>
      </c>
      <c r="C240" s="30">
        <v>9.2</v>
      </c>
      <c r="D240" s="31" t="s">
        <v>27</v>
      </c>
      <c r="E240" s="32"/>
      <c r="F240" s="32" t="s">
        <v>32</v>
      </c>
      <c r="G240" s="72">
        <v>0.0</v>
      </c>
      <c r="H240" s="6"/>
      <c r="I240" s="72">
        <v>0.0</v>
      </c>
      <c r="J240" s="6"/>
      <c r="K240" s="72">
        <v>0.0</v>
      </c>
      <c r="L240" s="6"/>
      <c r="M240" s="72">
        <v>0.0</v>
      </c>
      <c r="N240" s="6"/>
      <c r="O240" s="72">
        <v>0.0</v>
      </c>
      <c r="P240" s="6"/>
      <c r="Q240" s="35">
        <f t="shared" si="1"/>
        <v>0</v>
      </c>
      <c r="R240" s="31">
        <f t="shared" si="2"/>
        <v>0</v>
      </c>
      <c r="S240" s="31">
        <f t="shared" si="3"/>
        <v>0</v>
      </c>
      <c r="T240" s="31">
        <f t="shared" si="4"/>
        <v>0</v>
      </c>
      <c r="U240" s="36">
        <f t="shared" si="5"/>
        <v>0</v>
      </c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5.75" customHeight="1">
      <c r="A241" s="76" t="s">
        <v>19</v>
      </c>
      <c r="B241" s="77">
        <f t="shared" si="6"/>
        <v>46258</v>
      </c>
      <c r="C241" s="78">
        <v>9.3</v>
      </c>
      <c r="D241" s="79" t="s">
        <v>28</v>
      </c>
      <c r="E241" s="80"/>
      <c r="F241" s="80" t="s">
        <v>32</v>
      </c>
      <c r="G241" s="81">
        <v>0.0</v>
      </c>
      <c r="I241" s="82">
        <v>0.0</v>
      </c>
      <c r="K241" s="82">
        <v>0.0</v>
      </c>
      <c r="M241" s="82">
        <v>0.0</v>
      </c>
      <c r="O241" s="82">
        <v>0.0</v>
      </c>
      <c r="Q241" s="83">
        <f t="shared" si="1"/>
        <v>0</v>
      </c>
      <c r="R241" s="79">
        <f t="shared" si="2"/>
        <v>0</v>
      </c>
      <c r="S241" s="79">
        <f t="shared" si="3"/>
        <v>0</v>
      </c>
      <c r="T241" s="79">
        <f t="shared" si="4"/>
        <v>0</v>
      </c>
      <c r="U241" s="84">
        <f t="shared" si="5"/>
        <v>0</v>
      </c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5.75" customHeight="1">
      <c r="A242" s="85" t="s">
        <v>21</v>
      </c>
      <c r="B242" s="86">
        <f t="shared" si="6"/>
        <v>46259</v>
      </c>
      <c r="C242" s="87">
        <v>9.3</v>
      </c>
      <c r="D242" s="88" t="s">
        <v>28</v>
      </c>
      <c r="E242" s="101">
        <v>12.0</v>
      </c>
      <c r="F242" s="89" t="s">
        <v>33</v>
      </c>
      <c r="G242" s="81">
        <v>0.0</v>
      </c>
      <c r="I242" s="82">
        <v>45.0</v>
      </c>
      <c r="K242" s="82">
        <v>45.0</v>
      </c>
      <c r="M242" s="82">
        <v>0.0</v>
      </c>
      <c r="O242" s="82">
        <v>30.0</v>
      </c>
      <c r="Q242" s="90">
        <f t="shared" si="1"/>
        <v>2595.2142</v>
      </c>
      <c r="R242" s="88">
        <f t="shared" si="2"/>
        <v>90</v>
      </c>
      <c r="S242" s="88">
        <f t="shared" si="3"/>
        <v>30</v>
      </c>
      <c r="T242" s="88">
        <f t="shared" si="4"/>
        <v>120</v>
      </c>
      <c r="U242" s="91">
        <f t="shared" si="5"/>
        <v>21.626785</v>
      </c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5.75" customHeight="1">
      <c r="A243" s="85" t="s">
        <v>22</v>
      </c>
      <c r="B243" s="86">
        <f t="shared" si="6"/>
        <v>46260</v>
      </c>
      <c r="C243" s="87">
        <v>9.3</v>
      </c>
      <c r="D243" s="88" t="s">
        <v>28</v>
      </c>
      <c r="E243" s="101">
        <v>12.0</v>
      </c>
      <c r="F243" s="89" t="s">
        <v>31</v>
      </c>
      <c r="G243" s="81">
        <v>0.0</v>
      </c>
      <c r="I243" s="82">
        <v>45.0</v>
      </c>
      <c r="K243" s="82">
        <v>45.0</v>
      </c>
      <c r="M243" s="82">
        <v>0.0</v>
      </c>
      <c r="O243" s="82">
        <v>30.0</v>
      </c>
      <c r="Q243" s="90">
        <f t="shared" si="1"/>
        <v>2595.2142</v>
      </c>
      <c r="R243" s="88">
        <f t="shared" si="2"/>
        <v>90</v>
      </c>
      <c r="S243" s="88">
        <f t="shared" si="3"/>
        <v>30</v>
      </c>
      <c r="T243" s="88">
        <f t="shared" si="4"/>
        <v>120</v>
      </c>
      <c r="U243" s="91">
        <f t="shared" si="5"/>
        <v>21.626785</v>
      </c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5.75" customHeight="1">
      <c r="A244" s="85" t="s">
        <v>23</v>
      </c>
      <c r="B244" s="86">
        <f t="shared" si="6"/>
        <v>46261</v>
      </c>
      <c r="C244" s="87">
        <v>9.3</v>
      </c>
      <c r="D244" s="88" t="s">
        <v>28</v>
      </c>
      <c r="E244" s="101">
        <v>12.0</v>
      </c>
      <c r="F244" s="89" t="s">
        <v>33</v>
      </c>
      <c r="G244" s="81">
        <v>0.0</v>
      </c>
      <c r="I244" s="82">
        <v>45.0</v>
      </c>
      <c r="K244" s="82">
        <v>45.0</v>
      </c>
      <c r="M244" s="82">
        <v>0.0</v>
      </c>
      <c r="O244" s="82">
        <v>30.0</v>
      </c>
      <c r="Q244" s="90">
        <f t="shared" si="1"/>
        <v>2595.2142</v>
      </c>
      <c r="R244" s="88">
        <f t="shared" si="2"/>
        <v>90</v>
      </c>
      <c r="S244" s="88">
        <f t="shared" si="3"/>
        <v>30</v>
      </c>
      <c r="T244" s="88">
        <f t="shared" si="4"/>
        <v>120</v>
      </c>
      <c r="U244" s="91">
        <f t="shared" si="5"/>
        <v>21.626785</v>
      </c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5.75" customHeight="1">
      <c r="A245" s="85" t="s">
        <v>24</v>
      </c>
      <c r="B245" s="86">
        <f t="shared" si="6"/>
        <v>46262</v>
      </c>
      <c r="C245" s="87">
        <v>9.3</v>
      </c>
      <c r="D245" s="88" t="s">
        <v>28</v>
      </c>
      <c r="E245" s="101">
        <v>12.0</v>
      </c>
      <c r="F245" s="89" t="s">
        <v>33</v>
      </c>
      <c r="G245" s="81">
        <v>0.0</v>
      </c>
      <c r="I245" s="82">
        <v>45.0</v>
      </c>
      <c r="K245" s="82">
        <v>45.0</v>
      </c>
      <c r="M245" s="82">
        <v>0.0</v>
      </c>
      <c r="O245" s="82">
        <v>30.0</v>
      </c>
      <c r="Q245" s="90">
        <f t="shared" si="1"/>
        <v>2595.2142</v>
      </c>
      <c r="R245" s="88">
        <f t="shared" si="2"/>
        <v>90</v>
      </c>
      <c r="S245" s="88">
        <f t="shared" si="3"/>
        <v>30</v>
      </c>
      <c r="T245" s="88">
        <f t="shared" si="4"/>
        <v>120</v>
      </c>
      <c r="U245" s="91">
        <f t="shared" si="5"/>
        <v>21.626785</v>
      </c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5.75" customHeight="1">
      <c r="A246" s="85" t="s">
        <v>25</v>
      </c>
      <c r="B246" s="86">
        <f t="shared" si="6"/>
        <v>46263</v>
      </c>
      <c r="C246" s="87">
        <v>9.3</v>
      </c>
      <c r="D246" s="88" t="s">
        <v>28</v>
      </c>
      <c r="E246" s="101">
        <v>12.0</v>
      </c>
      <c r="F246" s="89" t="s">
        <v>33</v>
      </c>
      <c r="G246" s="81">
        <v>0.0</v>
      </c>
      <c r="I246" s="82">
        <v>45.0</v>
      </c>
      <c r="K246" s="82">
        <v>45.0</v>
      </c>
      <c r="M246" s="82">
        <v>0.0</v>
      </c>
      <c r="O246" s="82">
        <v>30.0</v>
      </c>
      <c r="Q246" s="90">
        <f t="shared" si="1"/>
        <v>2595.2142</v>
      </c>
      <c r="R246" s="88">
        <f t="shared" si="2"/>
        <v>90</v>
      </c>
      <c r="S246" s="88">
        <f t="shared" si="3"/>
        <v>30</v>
      </c>
      <c r="T246" s="88">
        <f t="shared" si="4"/>
        <v>120</v>
      </c>
      <c r="U246" s="91">
        <f t="shared" si="5"/>
        <v>21.626785</v>
      </c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5.75" customHeight="1">
      <c r="A247" s="92" t="s">
        <v>26</v>
      </c>
      <c r="B247" s="93">
        <f t="shared" si="6"/>
        <v>46264</v>
      </c>
      <c r="C247" s="94">
        <v>9.3</v>
      </c>
      <c r="D247" s="95" t="s">
        <v>28</v>
      </c>
      <c r="E247" s="102">
        <v>12.0</v>
      </c>
      <c r="F247" s="96" t="s">
        <v>31</v>
      </c>
      <c r="G247" s="97">
        <v>45.0</v>
      </c>
      <c r="H247" s="6"/>
      <c r="I247" s="98">
        <v>0.0</v>
      </c>
      <c r="J247" s="6"/>
      <c r="K247" s="98">
        <v>45.0</v>
      </c>
      <c r="L247" s="6"/>
      <c r="M247" s="98">
        <v>0.0</v>
      </c>
      <c r="N247" s="6"/>
      <c r="O247" s="98">
        <v>0.0</v>
      </c>
      <c r="P247" s="6"/>
      <c r="Q247" s="99">
        <f t="shared" si="1"/>
        <v>2335.8798</v>
      </c>
      <c r="R247" s="95">
        <f t="shared" si="2"/>
        <v>90</v>
      </c>
      <c r="S247" s="95">
        <f t="shared" si="3"/>
        <v>0</v>
      </c>
      <c r="T247" s="95">
        <f t="shared" si="4"/>
        <v>90</v>
      </c>
      <c r="U247" s="100">
        <f t="shared" si="5"/>
        <v>25.95422</v>
      </c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5.75" customHeight="1">
      <c r="A248" s="13" t="s">
        <v>19</v>
      </c>
      <c r="B248" s="37">
        <f t="shared" si="6"/>
        <v>46265</v>
      </c>
      <c r="C248" s="15">
        <v>9.4</v>
      </c>
      <c r="D248" s="16" t="s">
        <v>29</v>
      </c>
      <c r="E248" s="17"/>
      <c r="F248" s="17" t="s">
        <v>32</v>
      </c>
      <c r="G248" s="70">
        <v>0.0</v>
      </c>
      <c r="I248" s="71">
        <v>0.0</v>
      </c>
      <c r="K248" s="71">
        <v>0.0</v>
      </c>
      <c r="M248" s="71">
        <v>0.0</v>
      </c>
      <c r="O248" s="71">
        <v>0.0</v>
      </c>
      <c r="Q248" s="20">
        <f t="shared" si="1"/>
        <v>0</v>
      </c>
      <c r="R248" s="16">
        <f t="shared" si="2"/>
        <v>0</v>
      </c>
      <c r="S248" s="16">
        <f t="shared" si="3"/>
        <v>0</v>
      </c>
      <c r="T248" s="16">
        <f t="shared" si="4"/>
        <v>0</v>
      </c>
      <c r="U248" s="38">
        <f t="shared" si="5"/>
        <v>0</v>
      </c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5.75" customHeight="1">
      <c r="A249" s="22" t="s">
        <v>21</v>
      </c>
      <c r="B249" s="23">
        <f t="shared" si="6"/>
        <v>46266</v>
      </c>
      <c r="C249" s="24">
        <v>9.4</v>
      </c>
      <c r="D249" s="25" t="s">
        <v>29</v>
      </c>
      <c r="E249" s="21"/>
      <c r="F249" s="21" t="s">
        <v>32</v>
      </c>
      <c r="G249" s="70">
        <v>0.0</v>
      </c>
      <c r="I249" s="71">
        <v>0.0</v>
      </c>
      <c r="K249" s="71">
        <v>0.0</v>
      </c>
      <c r="M249" s="71">
        <v>0.0</v>
      </c>
      <c r="O249" s="71">
        <v>0.0</v>
      </c>
      <c r="Q249" s="26">
        <f t="shared" si="1"/>
        <v>0</v>
      </c>
      <c r="R249" s="25">
        <f t="shared" si="2"/>
        <v>0</v>
      </c>
      <c r="S249" s="25">
        <f t="shared" si="3"/>
        <v>0</v>
      </c>
      <c r="T249" s="25">
        <f t="shared" si="4"/>
        <v>0</v>
      </c>
      <c r="U249" s="27">
        <f t="shared" si="5"/>
        <v>0</v>
      </c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5.75" customHeight="1">
      <c r="A250" s="22" t="s">
        <v>22</v>
      </c>
      <c r="B250" s="23">
        <f t="shared" si="6"/>
        <v>46267</v>
      </c>
      <c r="C250" s="24">
        <v>9.4</v>
      </c>
      <c r="D250" s="25" t="s">
        <v>29</v>
      </c>
      <c r="E250" s="21"/>
      <c r="F250" s="21" t="s">
        <v>32</v>
      </c>
      <c r="G250" s="70">
        <v>0.0</v>
      </c>
      <c r="I250" s="71">
        <v>0.0</v>
      </c>
      <c r="K250" s="71">
        <v>0.0</v>
      </c>
      <c r="M250" s="71">
        <v>0.0</v>
      </c>
      <c r="O250" s="71">
        <v>0.0</v>
      </c>
      <c r="Q250" s="26">
        <f t="shared" si="1"/>
        <v>0</v>
      </c>
      <c r="R250" s="25">
        <f t="shared" si="2"/>
        <v>0</v>
      </c>
      <c r="S250" s="25">
        <f t="shared" si="3"/>
        <v>0</v>
      </c>
      <c r="T250" s="25">
        <f t="shared" si="4"/>
        <v>0</v>
      </c>
      <c r="U250" s="27">
        <f t="shared" si="5"/>
        <v>0</v>
      </c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5.75" customHeight="1">
      <c r="A251" s="22" t="s">
        <v>23</v>
      </c>
      <c r="B251" s="23">
        <f t="shared" si="6"/>
        <v>46268</v>
      </c>
      <c r="C251" s="24">
        <v>9.4</v>
      </c>
      <c r="D251" s="25" t="s">
        <v>29</v>
      </c>
      <c r="E251" s="21"/>
      <c r="F251" s="21" t="s">
        <v>32</v>
      </c>
      <c r="G251" s="70">
        <v>0.0</v>
      </c>
      <c r="I251" s="71">
        <v>0.0</v>
      </c>
      <c r="K251" s="71">
        <v>0.0</v>
      </c>
      <c r="M251" s="71">
        <v>0.0</v>
      </c>
      <c r="O251" s="71">
        <v>0.0</v>
      </c>
      <c r="Q251" s="26">
        <f t="shared" si="1"/>
        <v>0</v>
      </c>
      <c r="R251" s="25">
        <f t="shared" si="2"/>
        <v>0</v>
      </c>
      <c r="S251" s="25">
        <f t="shared" si="3"/>
        <v>0</v>
      </c>
      <c r="T251" s="25">
        <f t="shared" si="4"/>
        <v>0</v>
      </c>
      <c r="U251" s="27">
        <f t="shared" si="5"/>
        <v>0</v>
      </c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5.75" customHeight="1">
      <c r="A252" s="22" t="s">
        <v>24</v>
      </c>
      <c r="B252" s="23">
        <f t="shared" si="6"/>
        <v>46269</v>
      </c>
      <c r="C252" s="24">
        <v>9.4</v>
      </c>
      <c r="D252" s="25" t="s">
        <v>29</v>
      </c>
      <c r="E252" s="21"/>
      <c r="F252" s="21" t="s">
        <v>32</v>
      </c>
      <c r="G252" s="70">
        <v>0.0</v>
      </c>
      <c r="I252" s="71">
        <v>0.0</v>
      </c>
      <c r="K252" s="71">
        <v>0.0</v>
      </c>
      <c r="M252" s="71">
        <v>0.0</v>
      </c>
      <c r="O252" s="71">
        <v>0.0</v>
      </c>
      <c r="Q252" s="26">
        <f t="shared" si="1"/>
        <v>0</v>
      </c>
      <c r="R252" s="25">
        <f t="shared" si="2"/>
        <v>0</v>
      </c>
      <c r="S252" s="25">
        <f t="shared" si="3"/>
        <v>0</v>
      </c>
      <c r="T252" s="25">
        <f t="shared" si="4"/>
        <v>0</v>
      </c>
      <c r="U252" s="27">
        <f t="shared" si="5"/>
        <v>0</v>
      </c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5.75" customHeight="1">
      <c r="A253" s="22" t="s">
        <v>25</v>
      </c>
      <c r="B253" s="23">
        <f t="shared" si="6"/>
        <v>46270</v>
      </c>
      <c r="C253" s="24">
        <v>9.4</v>
      </c>
      <c r="D253" s="25" t="s">
        <v>29</v>
      </c>
      <c r="E253" s="21"/>
      <c r="F253" s="21" t="s">
        <v>32</v>
      </c>
      <c r="G253" s="70">
        <v>0.0</v>
      </c>
      <c r="I253" s="71">
        <v>0.0</v>
      </c>
      <c r="K253" s="71">
        <v>0.0</v>
      </c>
      <c r="M253" s="71">
        <v>0.0</v>
      </c>
      <c r="O253" s="71">
        <v>0.0</v>
      </c>
      <c r="Q253" s="26">
        <f t="shared" si="1"/>
        <v>0</v>
      </c>
      <c r="R253" s="25">
        <f t="shared" si="2"/>
        <v>0</v>
      </c>
      <c r="S253" s="25">
        <f t="shared" si="3"/>
        <v>0</v>
      </c>
      <c r="T253" s="25">
        <f t="shared" si="4"/>
        <v>0</v>
      </c>
      <c r="U253" s="27">
        <f t="shared" si="5"/>
        <v>0</v>
      </c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5.75" customHeight="1">
      <c r="A254" s="28" t="s">
        <v>26</v>
      </c>
      <c r="B254" s="29">
        <f t="shared" si="6"/>
        <v>46271</v>
      </c>
      <c r="C254" s="30">
        <v>9.4</v>
      </c>
      <c r="D254" s="31" t="s">
        <v>29</v>
      </c>
      <c r="E254" s="32"/>
      <c r="F254" s="32" t="s">
        <v>32</v>
      </c>
      <c r="G254" s="72">
        <v>0.0</v>
      </c>
      <c r="H254" s="6"/>
      <c r="I254" s="72">
        <v>0.0</v>
      </c>
      <c r="J254" s="6"/>
      <c r="K254" s="72">
        <v>0.0</v>
      </c>
      <c r="L254" s="6"/>
      <c r="M254" s="72">
        <v>0.0</v>
      </c>
      <c r="N254" s="6"/>
      <c r="O254" s="72">
        <v>0.0</v>
      </c>
      <c r="P254" s="6"/>
      <c r="Q254" s="35">
        <f t="shared" si="1"/>
        <v>0</v>
      </c>
      <c r="R254" s="31">
        <f t="shared" si="2"/>
        <v>0</v>
      </c>
      <c r="S254" s="31">
        <f t="shared" si="3"/>
        <v>0</v>
      </c>
      <c r="T254" s="31">
        <f t="shared" si="4"/>
        <v>0</v>
      </c>
      <c r="U254" s="36">
        <f t="shared" si="5"/>
        <v>0</v>
      </c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5.75" customHeight="1">
      <c r="A255" s="13" t="s">
        <v>19</v>
      </c>
      <c r="B255" s="37">
        <f t="shared" si="6"/>
        <v>46272</v>
      </c>
      <c r="C255" s="15">
        <v>10.1</v>
      </c>
      <c r="D255" s="16" t="s">
        <v>20</v>
      </c>
      <c r="E255" s="17"/>
      <c r="F255" s="17" t="s">
        <v>32</v>
      </c>
      <c r="G255" s="70">
        <v>0.0</v>
      </c>
      <c r="I255" s="71">
        <v>0.0</v>
      </c>
      <c r="K255" s="71">
        <v>0.0</v>
      </c>
      <c r="M255" s="71">
        <v>0.0</v>
      </c>
      <c r="O255" s="71">
        <v>0.0</v>
      </c>
      <c r="Q255" s="20">
        <f t="shared" si="1"/>
        <v>0</v>
      </c>
      <c r="R255" s="16">
        <f t="shared" si="2"/>
        <v>0</v>
      </c>
      <c r="S255" s="16">
        <f t="shared" si="3"/>
        <v>0</v>
      </c>
      <c r="T255" s="16">
        <f t="shared" si="4"/>
        <v>0</v>
      </c>
      <c r="U255" s="38">
        <f t="shared" si="5"/>
        <v>0</v>
      </c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5.75" customHeight="1">
      <c r="A256" s="22" t="s">
        <v>21</v>
      </c>
      <c r="B256" s="23">
        <f t="shared" si="6"/>
        <v>46273</v>
      </c>
      <c r="C256" s="24">
        <v>10.1</v>
      </c>
      <c r="D256" s="25" t="s">
        <v>20</v>
      </c>
      <c r="E256" s="73">
        <v>13.0</v>
      </c>
      <c r="F256" s="21" t="s">
        <v>33</v>
      </c>
      <c r="G256" s="70">
        <v>0.0</v>
      </c>
      <c r="I256" s="71">
        <v>45.0</v>
      </c>
      <c r="K256" s="71">
        <v>45.0</v>
      </c>
      <c r="M256" s="71">
        <v>0.0</v>
      </c>
      <c r="O256" s="71">
        <v>30.0</v>
      </c>
      <c r="Q256" s="26">
        <f t="shared" si="1"/>
        <v>2595.2142</v>
      </c>
      <c r="R256" s="25">
        <f t="shared" si="2"/>
        <v>90</v>
      </c>
      <c r="S256" s="25">
        <f t="shared" si="3"/>
        <v>30</v>
      </c>
      <c r="T256" s="25">
        <f t="shared" si="4"/>
        <v>120</v>
      </c>
      <c r="U256" s="27">
        <f t="shared" si="5"/>
        <v>21.626785</v>
      </c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5.75" customHeight="1">
      <c r="A257" s="22" t="s">
        <v>22</v>
      </c>
      <c r="B257" s="23">
        <f t="shared" si="6"/>
        <v>46274</v>
      </c>
      <c r="C257" s="24">
        <v>10.1</v>
      </c>
      <c r="D257" s="25" t="s">
        <v>20</v>
      </c>
      <c r="E257" s="73">
        <v>13.0</v>
      </c>
      <c r="F257" s="21" t="s">
        <v>31</v>
      </c>
      <c r="G257" s="70">
        <v>45.0</v>
      </c>
      <c r="I257" s="71">
        <v>0.0</v>
      </c>
      <c r="K257" s="71">
        <v>45.0</v>
      </c>
      <c r="M257" s="71">
        <v>0.0</v>
      </c>
      <c r="O257" s="71">
        <v>0.0</v>
      </c>
      <c r="Q257" s="26">
        <f t="shared" si="1"/>
        <v>2335.8798</v>
      </c>
      <c r="R257" s="25">
        <f t="shared" si="2"/>
        <v>90</v>
      </c>
      <c r="S257" s="25">
        <f t="shared" si="3"/>
        <v>0</v>
      </c>
      <c r="T257" s="25">
        <f t="shared" si="4"/>
        <v>90</v>
      </c>
      <c r="U257" s="27">
        <f t="shared" si="5"/>
        <v>25.95422</v>
      </c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5.75" customHeight="1">
      <c r="A258" s="22" t="s">
        <v>23</v>
      </c>
      <c r="B258" s="23">
        <f t="shared" si="6"/>
        <v>46275</v>
      </c>
      <c r="C258" s="24">
        <v>10.1</v>
      </c>
      <c r="D258" s="25" t="s">
        <v>20</v>
      </c>
      <c r="E258" s="73">
        <v>13.0</v>
      </c>
      <c r="F258" s="21" t="s">
        <v>33</v>
      </c>
      <c r="G258" s="70">
        <v>0.0</v>
      </c>
      <c r="I258" s="71">
        <v>45.0</v>
      </c>
      <c r="K258" s="71">
        <v>45.0</v>
      </c>
      <c r="M258" s="71">
        <v>0.0</v>
      </c>
      <c r="O258" s="71">
        <v>30.0</v>
      </c>
      <c r="Q258" s="26">
        <f t="shared" si="1"/>
        <v>2595.2142</v>
      </c>
      <c r="R258" s="25">
        <f t="shared" si="2"/>
        <v>90</v>
      </c>
      <c r="S258" s="25">
        <f t="shared" si="3"/>
        <v>30</v>
      </c>
      <c r="T258" s="25">
        <f t="shared" si="4"/>
        <v>120</v>
      </c>
      <c r="U258" s="27">
        <f t="shared" si="5"/>
        <v>21.626785</v>
      </c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5.75" customHeight="1">
      <c r="A259" s="22" t="s">
        <v>24</v>
      </c>
      <c r="B259" s="23">
        <f t="shared" si="6"/>
        <v>46276</v>
      </c>
      <c r="C259" s="24">
        <v>10.1</v>
      </c>
      <c r="D259" s="25" t="s">
        <v>20</v>
      </c>
      <c r="E259" s="73">
        <v>13.0</v>
      </c>
      <c r="F259" s="21" t="s">
        <v>33</v>
      </c>
      <c r="G259" s="70">
        <v>0.0</v>
      </c>
      <c r="I259" s="71">
        <v>45.0</v>
      </c>
      <c r="K259" s="71">
        <v>45.0</v>
      </c>
      <c r="M259" s="71">
        <v>0.0</v>
      </c>
      <c r="O259" s="71">
        <v>30.0</v>
      </c>
      <c r="Q259" s="26">
        <f t="shared" si="1"/>
        <v>2595.2142</v>
      </c>
      <c r="R259" s="25">
        <f t="shared" si="2"/>
        <v>90</v>
      </c>
      <c r="S259" s="25">
        <f t="shared" si="3"/>
        <v>30</v>
      </c>
      <c r="T259" s="25">
        <f t="shared" si="4"/>
        <v>120</v>
      </c>
      <c r="U259" s="27">
        <f t="shared" si="5"/>
        <v>21.626785</v>
      </c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5.75" customHeight="1">
      <c r="A260" s="22" t="s">
        <v>25</v>
      </c>
      <c r="B260" s="23">
        <f t="shared" si="6"/>
        <v>46277</v>
      </c>
      <c r="C260" s="24">
        <v>10.1</v>
      </c>
      <c r="D260" s="25" t="s">
        <v>20</v>
      </c>
      <c r="E260" s="73">
        <v>13.0</v>
      </c>
      <c r="F260" s="21" t="s">
        <v>33</v>
      </c>
      <c r="G260" s="70">
        <v>0.0</v>
      </c>
      <c r="I260" s="71">
        <v>45.0</v>
      </c>
      <c r="K260" s="71">
        <v>45.0</v>
      </c>
      <c r="M260" s="71">
        <v>0.0</v>
      </c>
      <c r="O260" s="71">
        <v>30.0</v>
      </c>
      <c r="Q260" s="26">
        <f t="shared" si="1"/>
        <v>2595.2142</v>
      </c>
      <c r="R260" s="25">
        <f t="shared" si="2"/>
        <v>90</v>
      </c>
      <c r="S260" s="25">
        <f t="shared" si="3"/>
        <v>30</v>
      </c>
      <c r="T260" s="25">
        <f t="shared" si="4"/>
        <v>120</v>
      </c>
      <c r="U260" s="27">
        <f t="shared" si="5"/>
        <v>21.626785</v>
      </c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5.75" customHeight="1">
      <c r="A261" s="28" t="s">
        <v>26</v>
      </c>
      <c r="B261" s="29">
        <f t="shared" si="6"/>
        <v>46278</v>
      </c>
      <c r="C261" s="30">
        <v>10.1</v>
      </c>
      <c r="D261" s="31" t="s">
        <v>20</v>
      </c>
      <c r="E261" s="74">
        <v>13.0</v>
      </c>
      <c r="F261" s="32" t="s">
        <v>31</v>
      </c>
      <c r="G261" s="103">
        <v>45.0</v>
      </c>
      <c r="H261" s="6"/>
      <c r="I261" s="72">
        <v>0.0</v>
      </c>
      <c r="J261" s="6"/>
      <c r="K261" s="72">
        <v>45.0</v>
      </c>
      <c r="L261" s="6"/>
      <c r="M261" s="72">
        <v>0.0</v>
      </c>
      <c r="N261" s="6"/>
      <c r="O261" s="72">
        <v>0.0</v>
      </c>
      <c r="P261" s="6"/>
      <c r="Q261" s="35">
        <f t="shared" si="1"/>
        <v>2335.8798</v>
      </c>
      <c r="R261" s="31">
        <f t="shared" si="2"/>
        <v>90</v>
      </c>
      <c r="S261" s="31">
        <f t="shared" si="3"/>
        <v>0</v>
      </c>
      <c r="T261" s="31">
        <f t="shared" si="4"/>
        <v>90</v>
      </c>
      <c r="U261" s="36">
        <f t="shared" si="5"/>
        <v>25.95422</v>
      </c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5.75" customHeight="1">
      <c r="A262" s="13" t="s">
        <v>19</v>
      </c>
      <c r="B262" s="37">
        <f t="shared" si="6"/>
        <v>46279</v>
      </c>
      <c r="C262" s="15">
        <v>10.2</v>
      </c>
      <c r="D262" s="16" t="s">
        <v>27</v>
      </c>
      <c r="E262" s="17"/>
      <c r="F262" s="17" t="s">
        <v>32</v>
      </c>
      <c r="G262" s="70">
        <v>0.0</v>
      </c>
      <c r="I262" s="71">
        <v>0.0</v>
      </c>
      <c r="K262" s="71">
        <v>0.0</v>
      </c>
      <c r="M262" s="71">
        <v>0.0</v>
      </c>
      <c r="O262" s="71">
        <v>0.0</v>
      </c>
      <c r="Q262" s="20">
        <f t="shared" si="1"/>
        <v>0</v>
      </c>
      <c r="R262" s="16">
        <f t="shared" si="2"/>
        <v>0</v>
      </c>
      <c r="S262" s="16">
        <f t="shared" si="3"/>
        <v>0</v>
      </c>
      <c r="T262" s="16">
        <f t="shared" si="4"/>
        <v>0</v>
      </c>
      <c r="U262" s="38">
        <f t="shared" si="5"/>
        <v>0</v>
      </c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5.75" customHeight="1">
      <c r="A263" s="22" t="s">
        <v>21</v>
      </c>
      <c r="B263" s="23">
        <f t="shared" si="6"/>
        <v>46280</v>
      </c>
      <c r="C263" s="24">
        <v>10.2</v>
      </c>
      <c r="D263" s="25" t="s">
        <v>27</v>
      </c>
      <c r="E263" s="21"/>
      <c r="F263" s="21" t="s">
        <v>32</v>
      </c>
      <c r="G263" s="70">
        <v>0.0</v>
      </c>
      <c r="I263" s="71">
        <v>0.0</v>
      </c>
      <c r="K263" s="71">
        <v>0.0</v>
      </c>
      <c r="M263" s="71">
        <v>0.0</v>
      </c>
      <c r="O263" s="71">
        <v>0.0</v>
      </c>
      <c r="Q263" s="26">
        <f t="shared" si="1"/>
        <v>0</v>
      </c>
      <c r="R263" s="25">
        <f t="shared" si="2"/>
        <v>0</v>
      </c>
      <c r="S263" s="25">
        <f t="shared" si="3"/>
        <v>0</v>
      </c>
      <c r="T263" s="25">
        <f t="shared" si="4"/>
        <v>0</v>
      </c>
      <c r="U263" s="27">
        <f t="shared" si="5"/>
        <v>0</v>
      </c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5.75" customHeight="1">
      <c r="A264" s="22" t="s">
        <v>22</v>
      </c>
      <c r="B264" s="23">
        <f t="shared" si="6"/>
        <v>46281</v>
      </c>
      <c r="C264" s="24">
        <v>10.2</v>
      </c>
      <c r="D264" s="25" t="s">
        <v>27</v>
      </c>
      <c r="E264" s="21"/>
      <c r="F264" s="21" t="s">
        <v>32</v>
      </c>
      <c r="G264" s="70">
        <v>0.0</v>
      </c>
      <c r="I264" s="71">
        <v>0.0</v>
      </c>
      <c r="K264" s="71">
        <v>0.0</v>
      </c>
      <c r="M264" s="71">
        <v>0.0</v>
      </c>
      <c r="O264" s="71">
        <v>0.0</v>
      </c>
      <c r="Q264" s="26">
        <f t="shared" si="1"/>
        <v>0</v>
      </c>
      <c r="R264" s="25">
        <f t="shared" si="2"/>
        <v>0</v>
      </c>
      <c r="S264" s="25">
        <f t="shared" si="3"/>
        <v>0</v>
      </c>
      <c r="T264" s="25">
        <f t="shared" si="4"/>
        <v>0</v>
      </c>
      <c r="U264" s="27">
        <f t="shared" si="5"/>
        <v>0</v>
      </c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5.75" customHeight="1">
      <c r="A265" s="22" t="s">
        <v>23</v>
      </c>
      <c r="B265" s="23">
        <f t="shared" si="6"/>
        <v>46282</v>
      </c>
      <c r="C265" s="24">
        <v>10.2</v>
      </c>
      <c r="D265" s="25" t="s">
        <v>27</v>
      </c>
      <c r="E265" s="21"/>
      <c r="F265" s="21" t="s">
        <v>32</v>
      </c>
      <c r="G265" s="70">
        <v>0.0</v>
      </c>
      <c r="I265" s="71">
        <v>0.0</v>
      </c>
      <c r="K265" s="71">
        <v>0.0</v>
      </c>
      <c r="M265" s="71">
        <v>0.0</v>
      </c>
      <c r="O265" s="71">
        <v>0.0</v>
      </c>
      <c r="Q265" s="26">
        <f t="shared" si="1"/>
        <v>0</v>
      </c>
      <c r="R265" s="25">
        <f t="shared" si="2"/>
        <v>0</v>
      </c>
      <c r="S265" s="25">
        <f t="shared" si="3"/>
        <v>0</v>
      </c>
      <c r="T265" s="25">
        <f t="shared" si="4"/>
        <v>0</v>
      </c>
      <c r="U265" s="27">
        <f t="shared" si="5"/>
        <v>0</v>
      </c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5.75" customHeight="1">
      <c r="A266" s="22" t="s">
        <v>24</v>
      </c>
      <c r="B266" s="23">
        <f t="shared" si="6"/>
        <v>46283</v>
      </c>
      <c r="C266" s="24">
        <v>10.2</v>
      </c>
      <c r="D266" s="25" t="s">
        <v>27</v>
      </c>
      <c r="E266" s="21"/>
      <c r="F266" s="21" t="s">
        <v>32</v>
      </c>
      <c r="G266" s="70">
        <v>0.0</v>
      </c>
      <c r="I266" s="71">
        <v>0.0</v>
      </c>
      <c r="K266" s="71">
        <v>0.0</v>
      </c>
      <c r="M266" s="71">
        <v>0.0</v>
      </c>
      <c r="O266" s="71">
        <v>0.0</v>
      </c>
      <c r="Q266" s="26">
        <f t="shared" si="1"/>
        <v>0</v>
      </c>
      <c r="R266" s="25">
        <f t="shared" si="2"/>
        <v>0</v>
      </c>
      <c r="S266" s="25">
        <f t="shared" si="3"/>
        <v>0</v>
      </c>
      <c r="T266" s="25">
        <f t="shared" si="4"/>
        <v>0</v>
      </c>
      <c r="U266" s="27">
        <f t="shared" si="5"/>
        <v>0</v>
      </c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5.75" customHeight="1">
      <c r="A267" s="22" t="s">
        <v>25</v>
      </c>
      <c r="B267" s="23">
        <f t="shared" si="6"/>
        <v>46284</v>
      </c>
      <c r="C267" s="24">
        <v>10.2</v>
      </c>
      <c r="D267" s="25" t="s">
        <v>27</v>
      </c>
      <c r="E267" s="21"/>
      <c r="F267" s="21" t="s">
        <v>32</v>
      </c>
      <c r="G267" s="70">
        <v>0.0</v>
      </c>
      <c r="I267" s="71">
        <v>0.0</v>
      </c>
      <c r="K267" s="71">
        <v>0.0</v>
      </c>
      <c r="M267" s="71">
        <v>0.0</v>
      </c>
      <c r="O267" s="71">
        <v>0.0</v>
      </c>
      <c r="Q267" s="26">
        <f t="shared" si="1"/>
        <v>0</v>
      </c>
      <c r="R267" s="25">
        <f t="shared" si="2"/>
        <v>0</v>
      </c>
      <c r="S267" s="25">
        <f t="shared" si="3"/>
        <v>0</v>
      </c>
      <c r="T267" s="25">
        <f t="shared" si="4"/>
        <v>0</v>
      </c>
      <c r="U267" s="27">
        <f t="shared" si="5"/>
        <v>0</v>
      </c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5.75" customHeight="1">
      <c r="A268" s="28" t="s">
        <v>26</v>
      </c>
      <c r="B268" s="29">
        <f t="shared" si="6"/>
        <v>46285</v>
      </c>
      <c r="C268" s="30">
        <v>10.2</v>
      </c>
      <c r="D268" s="31" t="s">
        <v>27</v>
      </c>
      <c r="E268" s="32"/>
      <c r="F268" s="32" t="s">
        <v>32</v>
      </c>
      <c r="G268" s="72">
        <v>0.0</v>
      </c>
      <c r="H268" s="6"/>
      <c r="I268" s="72">
        <v>0.0</v>
      </c>
      <c r="J268" s="6"/>
      <c r="K268" s="72">
        <v>0.0</v>
      </c>
      <c r="L268" s="6"/>
      <c r="M268" s="72">
        <v>0.0</v>
      </c>
      <c r="N268" s="6"/>
      <c r="O268" s="72">
        <v>0.0</v>
      </c>
      <c r="P268" s="6"/>
      <c r="Q268" s="35">
        <f t="shared" si="1"/>
        <v>0</v>
      </c>
      <c r="R268" s="31">
        <f t="shared" si="2"/>
        <v>0</v>
      </c>
      <c r="S268" s="31">
        <f t="shared" si="3"/>
        <v>0</v>
      </c>
      <c r="T268" s="31">
        <f t="shared" si="4"/>
        <v>0</v>
      </c>
      <c r="U268" s="36">
        <f t="shared" si="5"/>
        <v>0</v>
      </c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5.75" customHeight="1">
      <c r="A269" s="13" t="s">
        <v>19</v>
      </c>
      <c r="B269" s="37">
        <f t="shared" si="6"/>
        <v>46286</v>
      </c>
      <c r="C269" s="15">
        <v>10.3</v>
      </c>
      <c r="D269" s="16" t="s">
        <v>28</v>
      </c>
      <c r="E269" s="17"/>
      <c r="F269" s="17" t="s">
        <v>32</v>
      </c>
      <c r="G269" s="70">
        <v>0.0</v>
      </c>
      <c r="I269" s="71">
        <v>0.0</v>
      </c>
      <c r="K269" s="71">
        <v>0.0</v>
      </c>
      <c r="M269" s="71">
        <v>0.0</v>
      </c>
      <c r="O269" s="71">
        <v>0.0</v>
      </c>
      <c r="Q269" s="20">
        <f t="shared" si="1"/>
        <v>0</v>
      </c>
      <c r="R269" s="16">
        <f t="shared" si="2"/>
        <v>0</v>
      </c>
      <c r="S269" s="16">
        <f t="shared" si="3"/>
        <v>0</v>
      </c>
      <c r="T269" s="16">
        <f t="shared" si="4"/>
        <v>0</v>
      </c>
      <c r="U269" s="38">
        <f t="shared" si="5"/>
        <v>0</v>
      </c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5.75" customHeight="1">
      <c r="A270" s="22" t="s">
        <v>21</v>
      </c>
      <c r="B270" s="23">
        <f t="shared" si="6"/>
        <v>46287</v>
      </c>
      <c r="C270" s="24">
        <v>10.3</v>
      </c>
      <c r="D270" s="25" t="s">
        <v>28</v>
      </c>
      <c r="E270" s="21"/>
      <c r="F270" s="21" t="s">
        <v>32</v>
      </c>
      <c r="G270" s="39"/>
      <c r="I270" s="40"/>
      <c r="K270" s="40"/>
      <c r="M270" s="40"/>
      <c r="O270" s="40"/>
      <c r="Q270" s="26">
        <f t="shared" si="1"/>
        <v>0</v>
      </c>
      <c r="R270" s="25">
        <f t="shared" si="2"/>
        <v>0</v>
      </c>
      <c r="S270" s="25">
        <f t="shared" si="3"/>
        <v>0</v>
      </c>
      <c r="T270" s="25">
        <f t="shared" si="4"/>
        <v>0</v>
      </c>
      <c r="U270" s="27">
        <f t="shared" si="5"/>
        <v>0</v>
      </c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5.75" customHeight="1">
      <c r="A271" s="22" t="s">
        <v>22</v>
      </c>
      <c r="B271" s="23">
        <f t="shared" si="6"/>
        <v>46288</v>
      </c>
      <c r="C271" s="24">
        <v>10.3</v>
      </c>
      <c r="D271" s="25" t="s">
        <v>28</v>
      </c>
      <c r="E271" s="21"/>
      <c r="F271" s="21" t="s">
        <v>32</v>
      </c>
      <c r="G271" s="39"/>
      <c r="I271" s="40"/>
      <c r="K271" s="40"/>
      <c r="M271" s="40"/>
      <c r="O271" s="40"/>
      <c r="Q271" s="26">
        <f t="shared" si="1"/>
        <v>0</v>
      </c>
      <c r="R271" s="25">
        <f t="shared" si="2"/>
        <v>0</v>
      </c>
      <c r="S271" s="25">
        <f t="shared" si="3"/>
        <v>0</v>
      </c>
      <c r="T271" s="25">
        <f t="shared" si="4"/>
        <v>0</v>
      </c>
      <c r="U271" s="27">
        <f t="shared" si="5"/>
        <v>0</v>
      </c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5.75" customHeight="1">
      <c r="A272" s="22" t="s">
        <v>23</v>
      </c>
      <c r="B272" s="23">
        <f t="shared" si="6"/>
        <v>46289</v>
      </c>
      <c r="C272" s="24">
        <v>10.3</v>
      </c>
      <c r="D272" s="25" t="s">
        <v>28</v>
      </c>
      <c r="E272" s="21"/>
      <c r="F272" s="21" t="s">
        <v>32</v>
      </c>
      <c r="G272" s="39"/>
      <c r="I272" s="40"/>
      <c r="K272" s="40"/>
      <c r="M272" s="40"/>
      <c r="O272" s="40"/>
      <c r="Q272" s="26">
        <f t="shared" si="1"/>
        <v>0</v>
      </c>
      <c r="R272" s="25">
        <f t="shared" si="2"/>
        <v>0</v>
      </c>
      <c r="S272" s="25">
        <f t="shared" si="3"/>
        <v>0</v>
      </c>
      <c r="T272" s="25">
        <f t="shared" si="4"/>
        <v>0</v>
      </c>
      <c r="U272" s="27">
        <f t="shared" si="5"/>
        <v>0</v>
      </c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5.75" customHeight="1">
      <c r="A273" s="22" t="s">
        <v>24</v>
      </c>
      <c r="B273" s="23">
        <f t="shared" si="6"/>
        <v>46290</v>
      </c>
      <c r="C273" s="24">
        <v>10.3</v>
      </c>
      <c r="D273" s="25" t="s">
        <v>28</v>
      </c>
      <c r="E273" s="21"/>
      <c r="F273" s="21" t="s">
        <v>32</v>
      </c>
      <c r="G273" s="39"/>
      <c r="I273" s="40"/>
      <c r="K273" s="40"/>
      <c r="M273" s="40"/>
      <c r="O273" s="40"/>
      <c r="Q273" s="26">
        <f t="shared" si="1"/>
        <v>0</v>
      </c>
      <c r="R273" s="25">
        <f t="shared" si="2"/>
        <v>0</v>
      </c>
      <c r="S273" s="25">
        <f t="shared" si="3"/>
        <v>0</v>
      </c>
      <c r="T273" s="25">
        <f t="shared" si="4"/>
        <v>0</v>
      </c>
      <c r="U273" s="27">
        <f t="shared" si="5"/>
        <v>0</v>
      </c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5.75" customHeight="1">
      <c r="A274" s="22" t="s">
        <v>25</v>
      </c>
      <c r="B274" s="23">
        <f t="shared" si="6"/>
        <v>46291</v>
      </c>
      <c r="C274" s="24">
        <v>10.3</v>
      </c>
      <c r="D274" s="25" t="s">
        <v>28</v>
      </c>
      <c r="E274" s="21"/>
      <c r="F274" s="21" t="s">
        <v>32</v>
      </c>
      <c r="G274" s="39"/>
      <c r="I274" s="40"/>
      <c r="K274" s="40"/>
      <c r="M274" s="40"/>
      <c r="O274" s="40"/>
      <c r="Q274" s="26">
        <f t="shared" si="1"/>
        <v>0</v>
      </c>
      <c r="R274" s="25">
        <f t="shared" si="2"/>
        <v>0</v>
      </c>
      <c r="S274" s="25">
        <f t="shared" si="3"/>
        <v>0</v>
      </c>
      <c r="T274" s="25">
        <f t="shared" si="4"/>
        <v>0</v>
      </c>
      <c r="U274" s="27">
        <f t="shared" si="5"/>
        <v>0</v>
      </c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5.75" customHeight="1">
      <c r="A275" s="28" t="s">
        <v>26</v>
      </c>
      <c r="B275" s="29">
        <f t="shared" si="6"/>
        <v>46292</v>
      </c>
      <c r="C275" s="30">
        <v>10.3</v>
      </c>
      <c r="D275" s="31" t="s">
        <v>28</v>
      </c>
      <c r="E275" s="32"/>
      <c r="F275" s="32" t="s">
        <v>32</v>
      </c>
      <c r="G275" s="42"/>
      <c r="H275" s="6"/>
      <c r="I275" s="42"/>
      <c r="J275" s="6"/>
      <c r="K275" s="42"/>
      <c r="L275" s="6"/>
      <c r="M275" s="42"/>
      <c r="N275" s="6"/>
      <c r="O275" s="42"/>
      <c r="P275" s="6"/>
      <c r="Q275" s="35">
        <f t="shared" si="1"/>
        <v>0</v>
      </c>
      <c r="R275" s="31">
        <f t="shared" si="2"/>
        <v>0</v>
      </c>
      <c r="S275" s="31">
        <f t="shared" si="3"/>
        <v>0</v>
      </c>
      <c r="T275" s="31">
        <f t="shared" si="4"/>
        <v>0</v>
      </c>
      <c r="U275" s="36">
        <f t="shared" si="5"/>
        <v>0</v>
      </c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5.75" customHeight="1">
      <c r="A276" s="13" t="s">
        <v>19</v>
      </c>
      <c r="B276" s="37">
        <f t="shared" si="6"/>
        <v>46293</v>
      </c>
      <c r="C276" s="15">
        <v>10.4</v>
      </c>
      <c r="D276" s="16" t="s">
        <v>29</v>
      </c>
      <c r="E276" s="17"/>
      <c r="F276" s="17"/>
      <c r="G276" s="39"/>
      <c r="I276" s="40"/>
      <c r="K276" s="40"/>
      <c r="M276" s="40"/>
      <c r="O276" s="40"/>
      <c r="Q276" s="20">
        <f t="shared" si="1"/>
        <v>0</v>
      </c>
      <c r="R276" s="16">
        <f t="shared" si="2"/>
        <v>0</v>
      </c>
      <c r="S276" s="16">
        <f t="shared" si="3"/>
        <v>0</v>
      </c>
      <c r="T276" s="16">
        <f t="shared" si="4"/>
        <v>0</v>
      </c>
      <c r="U276" s="38">
        <f t="shared" si="5"/>
        <v>0</v>
      </c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5.75" customHeight="1">
      <c r="A277" s="22" t="s">
        <v>21</v>
      </c>
      <c r="B277" s="23">
        <f t="shared" si="6"/>
        <v>46294</v>
      </c>
      <c r="C277" s="24">
        <v>10.4</v>
      </c>
      <c r="D277" s="25" t="s">
        <v>29</v>
      </c>
      <c r="E277" s="21"/>
      <c r="F277" s="21"/>
      <c r="G277" s="39"/>
      <c r="I277" s="40"/>
      <c r="K277" s="40"/>
      <c r="M277" s="40"/>
      <c r="O277" s="40"/>
      <c r="Q277" s="26">
        <f t="shared" si="1"/>
        <v>0</v>
      </c>
      <c r="R277" s="25">
        <f t="shared" si="2"/>
        <v>0</v>
      </c>
      <c r="S277" s="25">
        <f t="shared" si="3"/>
        <v>0</v>
      </c>
      <c r="T277" s="25">
        <f t="shared" si="4"/>
        <v>0</v>
      </c>
      <c r="U277" s="27">
        <f t="shared" si="5"/>
        <v>0</v>
      </c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5.75" customHeight="1">
      <c r="A278" s="22" t="s">
        <v>22</v>
      </c>
      <c r="B278" s="23">
        <f t="shared" si="6"/>
        <v>46295</v>
      </c>
      <c r="C278" s="24">
        <v>10.4</v>
      </c>
      <c r="D278" s="25" t="s">
        <v>29</v>
      </c>
      <c r="E278" s="21"/>
      <c r="F278" s="21"/>
      <c r="G278" s="39"/>
      <c r="I278" s="40"/>
      <c r="K278" s="40"/>
      <c r="M278" s="40"/>
      <c r="O278" s="40"/>
      <c r="Q278" s="26">
        <f t="shared" si="1"/>
        <v>0</v>
      </c>
      <c r="R278" s="25">
        <f t="shared" si="2"/>
        <v>0</v>
      </c>
      <c r="S278" s="25">
        <f t="shared" si="3"/>
        <v>0</v>
      </c>
      <c r="T278" s="25">
        <f t="shared" si="4"/>
        <v>0</v>
      </c>
      <c r="U278" s="27">
        <f t="shared" si="5"/>
        <v>0</v>
      </c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5.75" customHeight="1">
      <c r="A279" s="22" t="s">
        <v>23</v>
      </c>
      <c r="B279" s="23">
        <f t="shared" si="6"/>
        <v>46296</v>
      </c>
      <c r="C279" s="24">
        <v>10.4</v>
      </c>
      <c r="D279" s="25" t="s">
        <v>29</v>
      </c>
      <c r="E279" s="21"/>
      <c r="F279" s="21"/>
      <c r="G279" s="39"/>
      <c r="I279" s="40"/>
      <c r="K279" s="40"/>
      <c r="M279" s="40"/>
      <c r="O279" s="40"/>
      <c r="Q279" s="26">
        <f t="shared" si="1"/>
        <v>0</v>
      </c>
      <c r="R279" s="25">
        <f t="shared" si="2"/>
        <v>0</v>
      </c>
      <c r="S279" s="25">
        <f t="shared" si="3"/>
        <v>0</v>
      </c>
      <c r="T279" s="25">
        <f t="shared" si="4"/>
        <v>0</v>
      </c>
      <c r="U279" s="27">
        <f t="shared" si="5"/>
        <v>0</v>
      </c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5.75" customHeight="1">
      <c r="A280" s="22" t="s">
        <v>24</v>
      </c>
      <c r="B280" s="23">
        <f t="shared" si="6"/>
        <v>46297</v>
      </c>
      <c r="C280" s="24">
        <v>10.4</v>
      </c>
      <c r="D280" s="25" t="s">
        <v>29</v>
      </c>
      <c r="E280" s="21"/>
      <c r="F280" s="21"/>
      <c r="G280" s="39"/>
      <c r="I280" s="40"/>
      <c r="K280" s="40"/>
      <c r="M280" s="40"/>
      <c r="O280" s="40"/>
      <c r="Q280" s="26">
        <f t="shared" si="1"/>
        <v>0</v>
      </c>
      <c r="R280" s="25">
        <f t="shared" si="2"/>
        <v>0</v>
      </c>
      <c r="S280" s="25">
        <f t="shared" si="3"/>
        <v>0</v>
      </c>
      <c r="T280" s="25">
        <f t="shared" si="4"/>
        <v>0</v>
      </c>
      <c r="U280" s="27">
        <f t="shared" si="5"/>
        <v>0</v>
      </c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5.75" customHeight="1">
      <c r="A281" s="22" t="s">
        <v>25</v>
      </c>
      <c r="B281" s="23">
        <f t="shared" si="6"/>
        <v>46298</v>
      </c>
      <c r="C281" s="24">
        <v>10.4</v>
      </c>
      <c r="D281" s="25" t="s">
        <v>29</v>
      </c>
      <c r="E281" s="21"/>
      <c r="F281" s="21"/>
      <c r="G281" s="39"/>
      <c r="I281" s="40"/>
      <c r="K281" s="40"/>
      <c r="M281" s="40"/>
      <c r="O281" s="40"/>
      <c r="Q281" s="26">
        <f t="shared" si="1"/>
        <v>0</v>
      </c>
      <c r="R281" s="25">
        <f t="shared" si="2"/>
        <v>0</v>
      </c>
      <c r="S281" s="25">
        <f t="shared" si="3"/>
        <v>0</v>
      </c>
      <c r="T281" s="25">
        <f t="shared" si="4"/>
        <v>0</v>
      </c>
      <c r="U281" s="27">
        <f t="shared" si="5"/>
        <v>0</v>
      </c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5.75" customHeight="1">
      <c r="A282" s="28" t="s">
        <v>26</v>
      </c>
      <c r="B282" s="29">
        <f t="shared" si="6"/>
        <v>46299</v>
      </c>
      <c r="C282" s="30">
        <v>10.4</v>
      </c>
      <c r="D282" s="31" t="s">
        <v>29</v>
      </c>
      <c r="E282" s="32"/>
      <c r="F282" s="32"/>
      <c r="G282" s="41"/>
      <c r="H282" s="6"/>
      <c r="I282" s="42"/>
      <c r="J282" s="6"/>
      <c r="K282" s="42"/>
      <c r="L282" s="6"/>
      <c r="M282" s="42"/>
      <c r="N282" s="6"/>
      <c r="O282" s="42"/>
      <c r="P282" s="6"/>
      <c r="Q282" s="35">
        <f t="shared" si="1"/>
        <v>0</v>
      </c>
      <c r="R282" s="31">
        <f t="shared" si="2"/>
        <v>0</v>
      </c>
      <c r="S282" s="31">
        <f t="shared" si="3"/>
        <v>0</v>
      </c>
      <c r="T282" s="31">
        <f t="shared" si="4"/>
        <v>0</v>
      </c>
      <c r="U282" s="36">
        <f t="shared" si="5"/>
        <v>0</v>
      </c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5.75" customHeight="1">
      <c r="A283" s="13" t="s">
        <v>19</v>
      </c>
      <c r="B283" s="37">
        <f t="shared" si="6"/>
        <v>46300</v>
      </c>
      <c r="C283" s="15">
        <v>11.1</v>
      </c>
      <c r="D283" s="16" t="s">
        <v>20</v>
      </c>
      <c r="E283" s="17"/>
      <c r="F283" s="17"/>
      <c r="G283" s="18"/>
      <c r="I283" s="19"/>
      <c r="K283" s="19"/>
      <c r="M283" s="19"/>
      <c r="O283" s="19"/>
      <c r="Q283" s="20">
        <f t="shared" si="1"/>
        <v>0</v>
      </c>
      <c r="R283" s="16">
        <f t="shared" si="2"/>
        <v>0</v>
      </c>
      <c r="S283" s="16">
        <f t="shared" si="3"/>
        <v>0</v>
      </c>
      <c r="T283" s="16">
        <f t="shared" si="4"/>
        <v>0</v>
      </c>
      <c r="U283" s="38">
        <f t="shared" si="5"/>
        <v>0</v>
      </c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5.75" customHeight="1">
      <c r="A284" s="22" t="s">
        <v>21</v>
      </c>
      <c r="B284" s="23">
        <f t="shared" si="6"/>
        <v>46301</v>
      </c>
      <c r="C284" s="24">
        <v>11.1</v>
      </c>
      <c r="D284" s="25" t="s">
        <v>20</v>
      </c>
      <c r="E284" s="21"/>
      <c r="F284" s="21"/>
      <c r="G284" s="18"/>
      <c r="I284" s="19"/>
      <c r="K284" s="19"/>
      <c r="M284" s="19"/>
      <c r="O284" s="19"/>
      <c r="Q284" s="26">
        <f t="shared" si="1"/>
        <v>0</v>
      </c>
      <c r="R284" s="25">
        <f t="shared" si="2"/>
        <v>0</v>
      </c>
      <c r="S284" s="25">
        <f t="shared" si="3"/>
        <v>0</v>
      </c>
      <c r="T284" s="25">
        <f t="shared" si="4"/>
        <v>0</v>
      </c>
      <c r="U284" s="27">
        <f t="shared" si="5"/>
        <v>0</v>
      </c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5.75" customHeight="1">
      <c r="A285" s="22" t="s">
        <v>22</v>
      </c>
      <c r="B285" s="23">
        <f t="shared" si="6"/>
        <v>46302</v>
      </c>
      <c r="C285" s="24">
        <v>11.1</v>
      </c>
      <c r="D285" s="25" t="s">
        <v>20</v>
      </c>
      <c r="E285" s="21"/>
      <c r="F285" s="21"/>
      <c r="G285" s="18"/>
      <c r="I285" s="19"/>
      <c r="K285" s="19"/>
      <c r="M285" s="19"/>
      <c r="O285" s="19"/>
      <c r="Q285" s="26">
        <f t="shared" si="1"/>
        <v>0</v>
      </c>
      <c r="R285" s="25">
        <f t="shared" si="2"/>
        <v>0</v>
      </c>
      <c r="S285" s="25">
        <f t="shared" si="3"/>
        <v>0</v>
      </c>
      <c r="T285" s="25">
        <f t="shared" si="4"/>
        <v>0</v>
      </c>
      <c r="U285" s="27">
        <f t="shared" si="5"/>
        <v>0</v>
      </c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5.75" customHeight="1">
      <c r="A286" s="22" t="s">
        <v>23</v>
      </c>
      <c r="B286" s="23">
        <f t="shared" si="6"/>
        <v>46303</v>
      </c>
      <c r="C286" s="24">
        <v>11.1</v>
      </c>
      <c r="D286" s="25" t="s">
        <v>20</v>
      </c>
      <c r="E286" s="21"/>
      <c r="F286" s="21"/>
      <c r="G286" s="18"/>
      <c r="I286" s="19"/>
      <c r="K286" s="19"/>
      <c r="M286" s="19"/>
      <c r="O286" s="19"/>
      <c r="Q286" s="26">
        <f t="shared" si="1"/>
        <v>0</v>
      </c>
      <c r="R286" s="25">
        <f t="shared" si="2"/>
        <v>0</v>
      </c>
      <c r="S286" s="25">
        <f t="shared" si="3"/>
        <v>0</v>
      </c>
      <c r="T286" s="25">
        <f t="shared" si="4"/>
        <v>0</v>
      </c>
      <c r="U286" s="27">
        <f t="shared" si="5"/>
        <v>0</v>
      </c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5.75" customHeight="1">
      <c r="A287" s="22" t="s">
        <v>24</v>
      </c>
      <c r="B287" s="23">
        <f t="shared" si="6"/>
        <v>46304</v>
      </c>
      <c r="C287" s="24">
        <v>11.1</v>
      </c>
      <c r="D287" s="25" t="s">
        <v>20</v>
      </c>
      <c r="E287" s="21"/>
      <c r="F287" s="21"/>
      <c r="G287" s="18"/>
      <c r="I287" s="19"/>
      <c r="K287" s="19"/>
      <c r="M287" s="19"/>
      <c r="O287" s="19"/>
      <c r="Q287" s="26">
        <f t="shared" si="1"/>
        <v>0</v>
      </c>
      <c r="R287" s="25">
        <f t="shared" si="2"/>
        <v>0</v>
      </c>
      <c r="S287" s="25">
        <f t="shared" si="3"/>
        <v>0</v>
      </c>
      <c r="T287" s="25">
        <f t="shared" si="4"/>
        <v>0</v>
      </c>
      <c r="U287" s="27">
        <f t="shared" si="5"/>
        <v>0</v>
      </c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5.75" customHeight="1">
      <c r="A288" s="22" t="s">
        <v>25</v>
      </c>
      <c r="B288" s="23">
        <f t="shared" si="6"/>
        <v>46305</v>
      </c>
      <c r="C288" s="24">
        <v>11.1</v>
      </c>
      <c r="D288" s="25" t="s">
        <v>20</v>
      </c>
      <c r="E288" s="21"/>
      <c r="F288" s="21"/>
      <c r="G288" s="18"/>
      <c r="I288" s="19"/>
      <c r="K288" s="19"/>
      <c r="M288" s="19"/>
      <c r="O288" s="19"/>
      <c r="Q288" s="26">
        <f t="shared" si="1"/>
        <v>0</v>
      </c>
      <c r="R288" s="25">
        <f t="shared" si="2"/>
        <v>0</v>
      </c>
      <c r="S288" s="25">
        <f t="shared" si="3"/>
        <v>0</v>
      </c>
      <c r="T288" s="25">
        <f t="shared" si="4"/>
        <v>0</v>
      </c>
      <c r="U288" s="27">
        <f t="shared" si="5"/>
        <v>0</v>
      </c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5.75" customHeight="1">
      <c r="A289" s="28" t="s">
        <v>26</v>
      </c>
      <c r="B289" s="29">
        <f t="shared" si="6"/>
        <v>46306</v>
      </c>
      <c r="C289" s="30">
        <v>11.1</v>
      </c>
      <c r="D289" s="31" t="s">
        <v>20</v>
      </c>
      <c r="E289" s="32"/>
      <c r="F289" s="32"/>
      <c r="G289" s="33"/>
      <c r="H289" s="6"/>
      <c r="I289" s="34"/>
      <c r="J289" s="6"/>
      <c r="K289" s="34"/>
      <c r="L289" s="6"/>
      <c r="M289" s="34"/>
      <c r="N289" s="6"/>
      <c r="O289" s="34"/>
      <c r="P289" s="6"/>
      <c r="Q289" s="35">
        <f t="shared" si="1"/>
        <v>0</v>
      </c>
      <c r="R289" s="31">
        <f t="shared" si="2"/>
        <v>0</v>
      </c>
      <c r="S289" s="31">
        <f t="shared" si="3"/>
        <v>0</v>
      </c>
      <c r="T289" s="31">
        <f t="shared" si="4"/>
        <v>0</v>
      </c>
      <c r="U289" s="36">
        <f t="shared" si="5"/>
        <v>0</v>
      </c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5.75" customHeight="1">
      <c r="A290" s="13" t="s">
        <v>19</v>
      </c>
      <c r="B290" s="37">
        <f t="shared" si="6"/>
        <v>46307</v>
      </c>
      <c r="C290" s="15">
        <v>11.2</v>
      </c>
      <c r="D290" s="16" t="s">
        <v>27</v>
      </c>
      <c r="E290" s="17"/>
      <c r="F290" s="17"/>
      <c r="G290" s="18"/>
      <c r="I290" s="19"/>
      <c r="K290" s="19"/>
      <c r="M290" s="19"/>
      <c r="O290" s="19"/>
      <c r="Q290" s="20">
        <f t="shared" si="1"/>
        <v>0</v>
      </c>
      <c r="R290" s="16">
        <f t="shared" si="2"/>
        <v>0</v>
      </c>
      <c r="S290" s="16">
        <f t="shared" si="3"/>
        <v>0</v>
      </c>
      <c r="T290" s="16">
        <f t="shared" si="4"/>
        <v>0</v>
      </c>
      <c r="U290" s="38">
        <f t="shared" si="5"/>
        <v>0</v>
      </c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5.75" customHeight="1">
      <c r="A291" s="22" t="s">
        <v>21</v>
      </c>
      <c r="B291" s="23">
        <f t="shared" si="6"/>
        <v>46308</v>
      </c>
      <c r="C291" s="24">
        <v>11.2</v>
      </c>
      <c r="D291" s="25" t="s">
        <v>27</v>
      </c>
      <c r="E291" s="21"/>
      <c r="F291" s="21"/>
      <c r="G291" s="18"/>
      <c r="I291" s="19"/>
      <c r="K291" s="19"/>
      <c r="M291" s="19"/>
      <c r="O291" s="19"/>
      <c r="Q291" s="26">
        <f t="shared" si="1"/>
        <v>0</v>
      </c>
      <c r="R291" s="25">
        <f t="shared" si="2"/>
        <v>0</v>
      </c>
      <c r="S291" s="25">
        <f t="shared" si="3"/>
        <v>0</v>
      </c>
      <c r="T291" s="25">
        <f t="shared" si="4"/>
        <v>0</v>
      </c>
      <c r="U291" s="27">
        <f t="shared" si="5"/>
        <v>0</v>
      </c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5.75" customHeight="1">
      <c r="A292" s="22" t="s">
        <v>22</v>
      </c>
      <c r="B292" s="23">
        <f t="shared" si="6"/>
        <v>46309</v>
      </c>
      <c r="C292" s="24">
        <v>11.2</v>
      </c>
      <c r="D292" s="25" t="s">
        <v>27</v>
      </c>
      <c r="E292" s="21"/>
      <c r="F292" s="21"/>
      <c r="G292" s="18"/>
      <c r="I292" s="19"/>
      <c r="K292" s="19"/>
      <c r="M292" s="19"/>
      <c r="O292" s="19"/>
      <c r="Q292" s="26">
        <f t="shared" si="1"/>
        <v>0</v>
      </c>
      <c r="R292" s="25">
        <f t="shared" si="2"/>
        <v>0</v>
      </c>
      <c r="S292" s="25">
        <f t="shared" si="3"/>
        <v>0</v>
      </c>
      <c r="T292" s="25">
        <f t="shared" si="4"/>
        <v>0</v>
      </c>
      <c r="U292" s="27">
        <f t="shared" si="5"/>
        <v>0</v>
      </c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5.75" customHeight="1">
      <c r="A293" s="22" t="s">
        <v>23</v>
      </c>
      <c r="B293" s="23">
        <f t="shared" si="6"/>
        <v>46310</v>
      </c>
      <c r="C293" s="24">
        <v>11.2</v>
      </c>
      <c r="D293" s="25" t="s">
        <v>27</v>
      </c>
      <c r="E293" s="21"/>
      <c r="F293" s="21"/>
      <c r="G293" s="18"/>
      <c r="I293" s="19"/>
      <c r="K293" s="19"/>
      <c r="M293" s="19"/>
      <c r="O293" s="19"/>
      <c r="Q293" s="26">
        <f t="shared" si="1"/>
        <v>0</v>
      </c>
      <c r="R293" s="25">
        <f t="shared" si="2"/>
        <v>0</v>
      </c>
      <c r="S293" s="25">
        <f t="shared" si="3"/>
        <v>0</v>
      </c>
      <c r="T293" s="25">
        <f t="shared" si="4"/>
        <v>0</v>
      </c>
      <c r="U293" s="27">
        <f t="shared" si="5"/>
        <v>0</v>
      </c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5.75" customHeight="1">
      <c r="A294" s="22" t="s">
        <v>24</v>
      </c>
      <c r="B294" s="23">
        <f t="shared" si="6"/>
        <v>46311</v>
      </c>
      <c r="C294" s="24">
        <v>11.2</v>
      </c>
      <c r="D294" s="25" t="s">
        <v>27</v>
      </c>
      <c r="E294" s="21"/>
      <c r="F294" s="21"/>
      <c r="G294" s="18"/>
      <c r="I294" s="19"/>
      <c r="K294" s="19"/>
      <c r="M294" s="19"/>
      <c r="O294" s="19"/>
      <c r="Q294" s="26">
        <f t="shared" si="1"/>
        <v>0</v>
      </c>
      <c r="R294" s="25">
        <f t="shared" si="2"/>
        <v>0</v>
      </c>
      <c r="S294" s="25">
        <f t="shared" si="3"/>
        <v>0</v>
      </c>
      <c r="T294" s="25">
        <f t="shared" si="4"/>
        <v>0</v>
      </c>
      <c r="U294" s="27">
        <f t="shared" si="5"/>
        <v>0</v>
      </c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5.75" customHeight="1">
      <c r="A295" s="22" t="s">
        <v>25</v>
      </c>
      <c r="B295" s="23">
        <f t="shared" si="6"/>
        <v>46312</v>
      </c>
      <c r="C295" s="24">
        <v>11.2</v>
      </c>
      <c r="D295" s="25" t="s">
        <v>27</v>
      </c>
      <c r="E295" s="21"/>
      <c r="F295" s="21"/>
      <c r="G295" s="18"/>
      <c r="I295" s="19"/>
      <c r="K295" s="19"/>
      <c r="M295" s="19"/>
      <c r="O295" s="19"/>
      <c r="Q295" s="26">
        <f t="shared" si="1"/>
        <v>0</v>
      </c>
      <c r="R295" s="25">
        <f t="shared" si="2"/>
        <v>0</v>
      </c>
      <c r="S295" s="25">
        <f t="shared" si="3"/>
        <v>0</v>
      </c>
      <c r="T295" s="25">
        <f t="shared" si="4"/>
        <v>0</v>
      </c>
      <c r="U295" s="27">
        <f t="shared" si="5"/>
        <v>0</v>
      </c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5.75" customHeight="1">
      <c r="A296" s="28" t="s">
        <v>26</v>
      </c>
      <c r="B296" s="29">
        <f t="shared" si="6"/>
        <v>46313</v>
      </c>
      <c r="C296" s="30">
        <v>11.2</v>
      </c>
      <c r="D296" s="31" t="s">
        <v>27</v>
      </c>
      <c r="E296" s="32"/>
      <c r="F296" s="32"/>
      <c r="G296" s="33"/>
      <c r="H296" s="6"/>
      <c r="I296" s="34"/>
      <c r="J296" s="6"/>
      <c r="K296" s="34"/>
      <c r="L296" s="6"/>
      <c r="M296" s="34"/>
      <c r="N296" s="6"/>
      <c r="O296" s="34"/>
      <c r="P296" s="6"/>
      <c r="Q296" s="35">
        <f t="shared" si="1"/>
        <v>0</v>
      </c>
      <c r="R296" s="31">
        <f t="shared" si="2"/>
        <v>0</v>
      </c>
      <c r="S296" s="31">
        <f t="shared" si="3"/>
        <v>0</v>
      </c>
      <c r="T296" s="31">
        <f t="shared" si="4"/>
        <v>0</v>
      </c>
      <c r="U296" s="36">
        <f t="shared" si="5"/>
        <v>0</v>
      </c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5.75" customHeight="1">
      <c r="A297" s="13" t="s">
        <v>19</v>
      </c>
      <c r="B297" s="37">
        <f t="shared" si="6"/>
        <v>46314</v>
      </c>
      <c r="C297" s="15">
        <v>11.3</v>
      </c>
      <c r="D297" s="16" t="s">
        <v>28</v>
      </c>
      <c r="E297" s="17"/>
      <c r="F297" s="17"/>
      <c r="G297" s="18"/>
      <c r="I297" s="19"/>
      <c r="K297" s="19"/>
      <c r="M297" s="19"/>
      <c r="O297" s="19"/>
      <c r="Q297" s="20">
        <f t="shared" si="1"/>
        <v>0</v>
      </c>
      <c r="R297" s="16">
        <f t="shared" si="2"/>
        <v>0</v>
      </c>
      <c r="S297" s="16">
        <f t="shared" si="3"/>
        <v>0</v>
      </c>
      <c r="T297" s="16">
        <f t="shared" si="4"/>
        <v>0</v>
      </c>
      <c r="U297" s="38">
        <f t="shared" si="5"/>
        <v>0</v>
      </c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5.75" customHeight="1">
      <c r="A298" s="22" t="s">
        <v>21</v>
      </c>
      <c r="B298" s="23">
        <f t="shared" si="6"/>
        <v>46315</v>
      </c>
      <c r="C298" s="24">
        <v>11.3</v>
      </c>
      <c r="D298" s="25" t="s">
        <v>28</v>
      </c>
      <c r="E298" s="21"/>
      <c r="F298" s="21"/>
      <c r="G298" s="18"/>
      <c r="I298" s="19"/>
      <c r="K298" s="19"/>
      <c r="M298" s="19"/>
      <c r="O298" s="19"/>
      <c r="Q298" s="26">
        <f t="shared" si="1"/>
        <v>0</v>
      </c>
      <c r="R298" s="25">
        <f t="shared" si="2"/>
        <v>0</v>
      </c>
      <c r="S298" s="25">
        <f t="shared" si="3"/>
        <v>0</v>
      </c>
      <c r="T298" s="25">
        <f t="shared" si="4"/>
        <v>0</v>
      </c>
      <c r="U298" s="27">
        <f t="shared" si="5"/>
        <v>0</v>
      </c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5.75" customHeight="1">
      <c r="A299" s="22" t="s">
        <v>22</v>
      </c>
      <c r="B299" s="23">
        <f t="shared" si="6"/>
        <v>46316</v>
      </c>
      <c r="C299" s="24">
        <v>11.3</v>
      </c>
      <c r="D299" s="25" t="s">
        <v>28</v>
      </c>
      <c r="E299" s="21"/>
      <c r="F299" s="21"/>
      <c r="G299" s="18"/>
      <c r="I299" s="19"/>
      <c r="K299" s="19"/>
      <c r="M299" s="19"/>
      <c r="O299" s="19"/>
      <c r="Q299" s="26">
        <f t="shared" si="1"/>
        <v>0</v>
      </c>
      <c r="R299" s="25">
        <f t="shared" si="2"/>
        <v>0</v>
      </c>
      <c r="S299" s="25">
        <f t="shared" si="3"/>
        <v>0</v>
      </c>
      <c r="T299" s="25">
        <f t="shared" si="4"/>
        <v>0</v>
      </c>
      <c r="U299" s="27">
        <f t="shared" si="5"/>
        <v>0</v>
      </c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5.75" customHeight="1">
      <c r="A300" s="22" t="s">
        <v>23</v>
      </c>
      <c r="B300" s="23">
        <f t="shared" si="6"/>
        <v>46317</v>
      </c>
      <c r="C300" s="24">
        <v>11.3</v>
      </c>
      <c r="D300" s="25" t="s">
        <v>28</v>
      </c>
      <c r="E300" s="21"/>
      <c r="F300" s="21"/>
      <c r="G300" s="18"/>
      <c r="I300" s="19"/>
      <c r="K300" s="19"/>
      <c r="M300" s="19"/>
      <c r="O300" s="19"/>
      <c r="Q300" s="26">
        <f t="shared" si="1"/>
        <v>0</v>
      </c>
      <c r="R300" s="25">
        <f t="shared" si="2"/>
        <v>0</v>
      </c>
      <c r="S300" s="25">
        <f t="shared" si="3"/>
        <v>0</v>
      </c>
      <c r="T300" s="25">
        <f t="shared" si="4"/>
        <v>0</v>
      </c>
      <c r="U300" s="27">
        <f t="shared" si="5"/>
        <v>0</v>
      </c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5.75" customHeight="1">
      <c r="A301" s="22" t="s">
        <v>24</v>
      </c>
      <c r="B301" s="23">
        <f t="shared" si="6"/>
        <v>46318</v>
      </c>
      <c r="C301" s="24">
        <v>11.3</v>
      </c>
      <c r="D301" s="25" t="s">
        <v>28</v>
      </c>
      <c r="E301" s="21"/>
      <c r="F301" s="21"/>
      <c r="G301" s="18"/>
      <c r="I301" s="19"/>
      <c r="K301" s="19"/>
      <c r="M301" s="19"/>
      <c r="O301" s="19"/>
      <c r="Q301" s="26">
        <f t="shared" si="1"/>
        <v>0</v>
      </c>
      <c r="R301" s="25">
        <f t="shared" si="2"/>
        <v>0</v>
      </c>
      <c r="S301" s="25">
        <f t="shared" si="3"/>
        <v>0</v>
      </c>
      <c r="T301" s="25">
        <f t="shared" si="4"/>
        <v>0</v>
      </c>
      <c r="U301" s="27">
        <f t="shared" si="5"/>
        <v>0</v>
      </c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5.75" customHeight="1">
      <c r="A302" s="22" t="s">
        <v>25</v>
      </c>
      <c r="B302" s="23">
        <f t="shared" si="6"/>
        <v>46319</v>
      </c>
      <c r="C302" s="24">
        <v>11.3</v>
      </c>
      <c r="D302" s="25" t="s">
        <v>28</v>
      </c>
      <c r="E302" s="21"/>
      <c r="F302" s="21"/>
      <c r="G302" s="18"/>
      <c r="I302" s="19"/>
      <c r="K302" s="19"/>
      <c r="M302" s="19"/>
      <c r="O302" s="19"/>
      <c r="Q302" s="26">
        <f t="shared" si="1"/>
        <v>0</v>
      </c>
      <c r="R302" s="25">
        <f t="shared" si="2"/>
        <v>0</v>
      </c>
      <c r="S302" s="25">
        <f t="shared" si="3"/>
        <v>0</v>
      </c>
      <c r="T302" s="25">
        <f t="shared" si="4"/>
        <v>0</v>
      </c>
      <c r="U302" s="27">
        <f t="shared" si="5"/>
        <v>0</v>
      </c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5.75" customHeight="1">
      <c r="A303" s="28" t="s">
        <v>26</v>
      </c>
      <c r="B303" s="29">
        <f t="shared" si="6"/>
        <v>46320</v>
      </c>
      <c r="C303" s="30">
        <v>11.3</v>
      </c>
      <c r="D303" s="31" t="s">
        <v>28</v>
      </c>
      <c r="E303" s="32"/>
      <c r="F303" s="32"/>
      <c r="G303" s="33"/>
      <c r="H303" s="6"/>
      <c r="I303" s="34"/>
      <c r="J303" s="6"/>
      <c r="K303" s="34"/>
      <c r="L303" s="6"/>
      <c r="M303" s="34"/>
      <c r="N303" s="6"/>
      <c r="O303" s="34"/>
      <c r="P303" s="6"/>
      <c r="Q303" s="35">
        <f t="shared" si="1"/>
        <v>0</v>
      </c>
      <c r="R303" s="31">
        <f t="shared" si="2"/>
        <v>0</v>
      </c>
      <c r="S303" s="31">
        <f t="shared" si="3"/>
        <v>0</v>
      </c>
      <c r="T303" s="31">
        <f t="shared" si="4"/>
        <v>0</v>
      </c>
      <c r="U303" s="36">
        <f t="shared" si="5"/>
        <v>0</v>
      </c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5.75" customHeight="1">
      <c r="A304" s="13" t="s">
        <v>19</v>
      </c>
      <c r="B304" s="37">
        <f t="shared" si="6"/>
        <v>46321</v>
      </c>
      <c r="C304" s="15">
        <v>11.4</v>
      </c>
      <c r="D304" s="16" t="s">
        <v>29</v>
      </c>
      <c r="E304" s="17"/>
      <c r="F304" s="17"/>
      <c r="G304" s="18"/>
      <c r="I304" s="19"/>
      <c r="K304" s="19"/>
      <c r="M304" s="19"/>
      <c r="O304" s="19"/>
      <c r="Q304" s="20">
        <f t="shared" si="1"/>
        <v>0</v>
      </c>
      <c r="R304" s="16">
        <f t="shared" si="2"/>
        <v>0</v>
      </c>
      <c r="S304" s="16">
        <f t="shared" si="3"/>
        <v>0</v>
      </c>
      <c r="T304" s="16">
        <f t="shared" si="4"/>
        <v>0</v>
      </c>
      <c r="U304" s="38">
        <f t="shared" si="5"/>
        <v>0</v>
      </c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5.75" customHeight="1">
      <c r="A305" s="22" t="s">
        <v>21</v>
      </c>
      <c r="B305" s="23">
        <f t="shared" si="6"/>
        <v>46322</v>
      </c>
      <c r="C305" s="24">
        <v>11.4</v>
      </c>
      <c r="D305" s="25" t="s">
        <v>29</v>
      </c>
      <c r="E305" s="21"/>
      <c r="F305" s="21"/>
      <c r="G305" s="18"/>
      <c r="I305" s="19"/>
      <c r="K305" s="19"/>
      <c r="M305" s="19"/>
      <c r="O305" s="19"/>
      <c r="Q305" s="26">
        <f t="shared" si="1"/>
        <v>0</v>
      </c>
      <c r="R305" s="25">
        <f t="shared" si="2"/>
        <v>0</v>
      </c>
      <c r="S305" s="25">
        <f t="shared" si="3"/>
        <v>0</v>
      </c>
      <c r="T305" s="25">
        <f t="shared" si="4"/>
        <v>0</v>
      </c>
      <c r="U305" s="27">
        <f t="shared" si="5"/>
        <v>0</v>
      </c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5.75" customHeight="1">
      <c r="A306" s="22" t="s">
        <v>22</v>
      </c>
      <c r="B306" s="23">
        <f t="shared" si="6"/>
        <v>46323</v>
      </c>
      <c r="C306" s="24">
        <v>11.4</v>
      </c>
      <c r="D306" s="25" t="s">
        <v>29</v>
      </c>
      <c r="E306" s="21"/>
      <c r="F306" s="21"/>
      <c r="G306" s="18"/>
      <c r="I306" s="19"/>
      <c r="K306" s="19"/>
      <c r="M306" s="19"/>
      <c r="O306" s="19"/>
      <c r="Q306" s="26">
        <f t="shared" si="1"/>
        <v>0</v>
      </c>
      <c r="R306" s="25">
        <f t="shared" si="2"/>
        <v>0</v>
      </c>
      <c r="S306" s="25">
        <f t="shared" si="3"/>
        <v>0</v>
      </c>
      <c r="T306" s="25">
        <f t="shared" si="4"/>
        <v>0</v>
      </c>
      <c r="U306" s="27">
        <f t="shared" si="5"/>
        <v>0</v>
      </c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5.75" customHeight="1">
      <c r="A307" s="22" t="s">
        <v>23</v>
      </c>
      <c r="B307" s="23">
        <f t="shared" si="6"/>
        <v>46324</v>
      </c>
      <c r="C307" s="24">
        <v>11.4</v>
      </c>
      <c r="D307" s="25" t="s">
        <v>29</v>
      </c>
      <c r="E307" s="21"/>
      <c r="F307" s="21"/>
      <c r="G307" s="18"/>
      <c r="I307" s="19"/>
      <c r="K307" s="19"/>
      <c r="M307" s="19"/>
      <c r="O307" s="19"/>
      <c r="Q307" s="26">
        <f t="shared" si="1"/>
        <v>0</v>
      </c>
      <c r="R307" s="25">
        <f t="shared" si="2"/>
        <v>0</v>
      </c>
      <c r="S307" s="25">
        <f t="shared" si="3"/>
        <v>0</v>
      </c>
      <c r="T307" s="25">
        <f t="shared" si="4"/>
        <v>0</v>
      </c>
      <c r="U307" s="27">
        <f t="shared" si="5"/>
        <v>0</v>
      </c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5.75" customHeight="1">
      <c r="A308" s="22" t="s">
        <v>24</v>
      </c>
      <c r="B308" s="23">
        <f t="shared" si="6"/>
        <v>46325</v>
      </c>
      <c r="C308" s="24">
        <v>11.4</v>
      </c>
      <c r="D308" s="25" t="s">
        <v>29</v>
      </c>
      <c r="E308" s="21"/>
      <c r="F308" s="21"/>
      <c r="G308" s="18"/>
      <c r="I308" s="19"/>
      <c r="K308" s="19"/>
      <c r="M308" s="19"/>
      <c r="O308" s="19"/>
      <c r="Q308" s="26">
        <f t="shared" si="1"/>
        <v>0</v>
      </c>
      <c r="R308" s="25">
        <f t="shared" si="2"/>
        <v>0</v>
      </c>
      <c r="S308" s="25">
        <f t="shared" si="3"/>
        <v>0</v>
      </c>
      <c r="T308" s="25">
        <f t="shared" si="4"/>
        <v>0</v>
      </c>
      <c r="U308" s="27">
        <f t="shared" si="5"/>
        <v>0</v>
      </c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5.75" customHeight="1">
      <c r="A309" s="22" t="s">
        <v>25</v>
      </c>
      <c r="B309" s="23">
        <f t="shared" si="6"/>
        <v>46326</v>
      </c>
      <c r="C309" s="24">
        <v>11.4</v>
      </c>
      <c r="D309" s="25" t="s">
        <v>29</v>
      </c>
      <c r="E309" s="21"/>
      <c r="F309" s="21"/>
      <c r="G309" s="18"/>
      <c r="I309" s="19"/>
      <c r="K309" s="19"/>
      <c r="M309" s="19"/>
      <c r="O309" s="19"/>
      <c r="Q309" s="26">
        <f t="shared" si="1"/>
        <v>0</v>
      </c>
      <c r="R309" s="25">
        <f t="shared" si="2"/>
        <v>0</v>
      </c>
      <c r="S309" s="25">
        <f t="shared" si="3"/>
        <v>0</v>
      </c>
      <c r="T309" s="25">
        <f t="shared" si="4"/>
        <v>0</v>
      </c>
      <c r="U309" s="27">
        <f t="shared" si="5"/>
        <v>0</v>
      </c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5.75" customHeight="1">
      <c r="A310" s="28" t="s">
        <v>26</v>
      </c>
      <c r="B310" s="29">
        <f t="shared" si="6"/>
        <v>46327</v>
      </c>
      <c r="C310" s="30">
        <v>11.4</v>
      </c>
      <c r="D310" s="31" t="s">
        <v>29</v>
      </c>
      <c r="E310" s="32"/>
      <c r="F310" s="32"/>
      <c r="G310" s="33"/>
      <c r="H310" s="6"/>
      <c r="I310" s="34"/>
      <c r="J310" s="6"/>
      <c r="K310" s="34"/>
      <c r="L310" s="6"/>
      <c r="M310" s="34"/>
      <c r="N310" s="6"/>
      <c r="O310" s="34"/>
      <c r="P310" s="6"/>
      <c r="Q310" s="35">
        <f t="shared" si="1"/>
        <v>0</v>
      </c>
      <c r="R310" s="31">
        <f t="shared" si="2"/>
        <v>0</v>
      </c>
      <c r="S310" s="31">
        <f t="shared" si="3"/>
        <v>0</v>
      </c>
      <c r="T310" s="31">
        <f t="shared" si="4"/>
        <v>0</v>
      </c>
      <c r="U310" s="36">
        <f t="shared" si="5"/>
        <v>0</v>
      </c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5.75" customHeight="1">
      <c r="A311" s="13" t="s">
        <v>19</v>
      </c>
      <c r="B311" s="37">
        <f t="shared" si="6"/>
        <v>46328</v>
      </c>
      <c r="C311" s="15">
        <v>12.1</v>
      </c>
      <c r="D311" s="16" t="s">
        <v>20</v>
      </c>
      <c r="E311" s="17"/>
      <c r="F311" s="17"/>
      <c r="G311" s="18"/>
      <c r="I311" s="19"/>
      <c r="K311" s="19"/>
      <c r="M311" s="19"/>
      <c r="O311" s="19"/>
      <c r="Q311" s="20">
        <f t="shared" si="1"/>
        <v>0</v>
      </c>
      <c r="R311" s="16">
        <f t="shared" si="2"/>
        <v>0</v>
      </c>
      <c r="S311" s="16">
        <f t="shared" si="3"/>
        <v>0</v>
      </c>
      <c r="T311" s="16">
        <f t="shared" si="4"/>
        <v>0</v>
      </c>
      <c r="U311" s="38">
        <f t="shared" si="5"/>
        <v>0</v>
      </c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5.75" customHeight="1">
      <c r="A312" s="22" t="s">
        <v>21</v>
      </c>
      <c r="B312" s="23">
        <f t="shared" si="6"/>
        <v>46329</v>
      </c>
      <c r="C312" s="24">
        <v>12.1</v>
      </c>
      <c r="D312" s="25" t="s">
        <v>20</v>
      </c>
      <c r="E312" s="21"/>
      <c r="F312" s="21"/>
      <c r="G312" s="18"/>
      <c r="I312" s="19"/>
      <c r="K312" s="19"/>
      <c r="M312" s="19"/>
      <c r="O312" s="19"/>
      <c r="Q312" s="26">
        <f t="shared" si="1"/>
        <v>0</v>
      </c>
      <c r="R312" s="25">
        <f t="shared" si="2"/>
        <v>0</v>
      </c>
      <c r="S312" s="25">
        <f t="shared" si="3"/>
        <v>0</v>
      </c>
      <c r="T312" s="25">
        <f t="shared" si="4"/>
        <v>0</v>
      </c>
      <c r="U312" s="27">
        <f t="shared" si="5"/>
        <v>0</v>
      </c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5.75" customHeight="1">
      <c r="A313" s="22" t="s">
        <v>22</v>
      </c>
      <c r="B313" s="23">
        <f t="shared" si="6"/>
        <v>46330</v>
      </c>
      <c r="C313" s="24">
        <v>12.1</v>
      </c>
      <c r="D313" s="25" t="s">
        <v>20</v>
      </c>
      <c r="E313" s="21"/>
      <c r="F313" s="21"/>
      <c r="G313" s="104"/>
      <c r="H313" s="105"/>
      <c r="I313" s="106"/>
      <c r="J313" s="105"/>
      <c r="K313" s="106"/>
      <c r="L313" s="105"/>
      <c r="M313" s="106"/>
      <c r="N313" s="105"/>
      <c r="O313" s="106"/>
      <c r="P313" s="105"/>
      <c r="Q313" s="107">
        <f t="shared" si="1"/>
        <v>0</v>
      </c>
      <c r="R313" s="108">
        <f t="shared" si="2"/>
        <v>0</v>
      </c>
      <c r="S313" s="25">
        <f t="shared" si="3"/>
        <v>0</v>
      </c>
      <c r="T313" s="25">
        <f t="shared" si="4"/>
        <v>0</v>
      </c>
      <c r="U313" s="27">
        <f t="shared" si="5"/>
        <v>0</v>
      </c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5.75" customHeight="1">
      <c r="A314" s="22" t="s">
        <v>23</v>
      </c>
      <c r="B314" s="23">
        <f t="shared" si="6"/>
        <v>46331</v>
      </c>
      <c r="C314" s="24">
        <v>12.1</v>
      </c>
      <c r="D314" s="25" t="s">
        <v>20</v>
      </c>
      <c r="E314" s="21"/>
      <c r="F314" s="21"/>
      <c r="G314" s="104"/>
      <c r="H314" s="105"/>
      <c r="I314" s="106"/>
      <c r="J314" s="105"/>
      <c r="K314" s="106"/>
      <c r="L314" s="105"/>
      <c r="M314" s="106"/>
      <c r="N314" s="105"/>
      <c r="O314" s="106"/>
      <c r="P314" s="105"/>
      <c r="Q314" s="107">
        <f t="shared" si="1"/>
        <v>0</v>
      </c>
      <c r="R314" s="108">
        <f t="shared" si="2"/>
        <v>0</v>
      </c>
      <c r="S314" s="25">
        <f t="shared" si="3"/>
        <v>0</v>
      </c>
      <c r="T314" s="25">
        <f t="shared" si="4"/>
        <v>0</v>
      </c>
      <c r="U314" s="27">
        <f t="shared" si="5"/>
        <v>0</v>
      </c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5.75" customHeight="1">
      <c r="A315" s="22" t="s">
        <v>24</v>
      </c>
      <c r="B315" s="23">
        <f t="shared" si="6"/>
        <v>46332</v>
      </c>
      <c r="C315" s="24">
        <v>12.1</v>
      </c>
      <c r="D315" s="25" t="s">
        <v>20</v>
      </c>
      <c r="E315" s="21"/>
      <c r="F315" s="21"/>
      <c r="G315" s="104"/>
      <c r="H315" s="105"/>
      <c r="I315" s="106"/>
      <c r="J315" s="105"/>
      <c r="K315" s="106"/>
      <c r="L315" s="105"/>
      <c r="M315" s="106"/>
      <c r="N315" s="105"/>
      <c r="O315" s="106"/>
      <c r="P315" s="105"/>
      <c r="Q315" s="107">
        <f t="shared" si="1"/>
        <v>0</v>
      </c>
      <c r="R315" s="108">
        <f t="shared" si="2"/>
        <v>0</v>
      </c>
      <c r="S315" s="25">
        <f t="shared" si="3"/>
        <v>0</v>
      </c>
      <c r="T315" s="25">
        <f t="shared" si="4"/>
        <v>0</v>
      </c>
      <c r="U315" s="27">
        <f t="shared" si="5"/>
        <v>0</v>
      </c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5.75" customHeight="1">
      <c r="A316" s="22" t="s">
        <v>25</v>
      </c>
      <c r="B316" s="23">
        <f t="shared" si="6"/>
        <v>46333</v>
      </c>
      <c r="C316" s="24">
        <v>12.1</v>
      </c>
      <c r="D316" s="25" t="s">
        <v>20</v>
      </c>
      <c r="E316" s="21"/>
      <c r="F316" s="21"/>
      <c r="G316" s="104"/>
      <c r="H316" s="105"/>
      <c r="I316" s="106"/>
      <c r="J316" s="105"/>
      <c r="K316" s="106"/>
      <c r="L316" s="105"/>
      <c r="M316" s="106"/>
      <c r="N316" s="105"/>
      <c r="O316" s="106"/>
      <c r="P316" s="105"/>
      <c r="Q316" s="107">
        <f t="shared" si="1"/>
        <v>0</v>
      </c>
      <c r="R316" s="108">
        <f t="shared" si="2"/>
        <v>0</v>
      </c>
      <c r="S316" s="25">
        <f t="shared" si="3"/>
        <v>0</v>
      </c>
      <c r="T316" s="25">
        <f t="shared" si="4"/>
        <v>0</v>
      </c>
      <c r="U316" s="27">
        <f t="shared" si="5"/>
        <v>0</v>
      </c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5.75" customHeight="1">
      <c r="A317" s="28" t="s">
        <v>26</v>
      </c>
      <c r="B317" s="29">
        <f t="shared" si="6"/>
        <v>46334</v>
      </c>
      <c r="C317" s="30">
        <v>12.1</v>
      </c>
      <c r="D317" s="31" t="s">
        <v>20</v>
      </c>
      <c r="E317" s="32"/>
      <c r="F317" s="32"/>
      <c r="G317" s="109"/>
      <c r="H317" s="110"/>
      <c r="I317" s="111"/>
      <c r="J317" s="110"/>
      <c r="K317" s="111"/>
      <c r="L317" s="110"/>
      <c r="M317" s="111"/>
      <c r="N317" s="110"/>
      <c r="O317" s="111"/>
      <c r="P317" s="110"/>
      <c r="Q317" s="112">
        <f t="shared" si="1"/>
        <v>0</v>
      </c>
      <c r="R317" s="113">
        <f t="shared" si="2"/>
        <v>0</v>
      </c>
      <c r="S317" s="31">
        <f t="shared" si="3"/>
        <v>0</v>
      </c>
      <c r="T317" s="31">
        <f t="shared" si="4"/>
        <v>0</v>
      </c>
      <c r="U317" s="36">
        <f t="shared" si="5"/>
        <v>0</v>
      </c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5.75" customHeight="1">
      <c r="A318" s="13" t="s">
        <v>19</v>
      </c>
      <c r="B318" s="37">
        <f t="shared" si="6"/>
        <v>46335</v>
      </c>
      <c r="C318" s="15">
        <v>12.2</v>
      </c>
      <c r="D318" s="16" t="s">
        <v>27</v>
      </c>
      <c r="E318" s="17"/>
      <c r="F318" s="17"/>
      <c r="G318" s="104"/>
      <c r="H318" s="105"/>
      <c r="I318" s="106"/>
      <c r="J318" s="105"/>
      <c r="K318" s="106"/>
      <c r="L318" s="105"/>
      <c r="M318" s="106"/>
      <c r="N318" s="105"/>
      <c r="O318" s="106"/>
      <c r="P318" s="105"/>
      <c r="Q318" s="114">
        <f t="shared" si="1"/>
        <v>0</v>
      </c>
      <c r="R318" s="115">
        <f t="shared" si="2"/>
        <v>0</v>
      </c>
      <c r="S318" s="16">
        <f t="shared" si="3"/>
        <v>0</v>
      </c>
      <c r="T318" s="16">
        <f t="shared" si="4"/>
        <v>0</v>
      </c>
      <c r="U318" s="38">
        <f t="shared" si="5"/>
        <v>0</v>
      </c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5.75" customHeight="1">
      <c r="A319" s="22" t="s">
        <v>21</v>
      </c>
      <c r="B319" s="23">
        <f t="shared" si="6"/>
        <v>46336</v>
      </c>
      <c r="C319" s="24">
        <v>12.2</v>
      </c>
      <c r="D319" s="25" t="s">
        <v>27</v>
      </c>
      <c r="E319" s="21"/>
      <c r="F319" s="21"/>
      <c r="G319" s="104"/>
      <c r="H319" s="105"/>
      <c r="I319" s="106"/>
      <c r="J319" s="105"/>
      <c r="K319" s="106"/>
      <c r="L319" s="105"/>
      <c r="M319" s="106"/>
      <c r="N319" s="105"/>
      <c r="O319" s="106"/>
      <c r="P319" s="105"/>
      <c r="Q319" s="107">
        <f t="shared" si="1"/>
        <v>0</v>
      </c>
      <c r="R319" s="108">
        <f t="shared" si="2"/>
        <v>0</v>
      </c>
      <c r="S319" s="25">
        <f t="shared" si="3"/>
        <v>0</v>
      </c>
      <c r="T319" s="25">
        <f t="shared" si="4"/>
        <v>0</v>
      </c>
      <c r="U319" s="27">
        <f t="shared" si="5"/>
        <v>0</v>
      </c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5.75" customHeight="1">
      <c r="A320" s="22" t="s">
        <v>22</v>
      </c>
      <c r="B320" s="23">
        <f t="shared" si="6"/>
        <v>46337</v>
      </c>
      <c r="C320" s="24">
        <v>12.2</v>
      </c>
      <c r="D320" s="25" t="s">
        <v>27</v>
      </c>
      <c r="E320" s="21"/>
      <c r="F320" s="21"/>
      <c r="G320" s="104"/>
      <c r="H320" s="105"/>
      <c r="I320" s="106"/>
      <c r="J320" s="105"/>
      <c r="K320" s="106"/>
      <c r="L320" s="105"/>
      <c r="M320" s="106"/>
      <c r="N320" s="105"/>
      <c r="O320" s="106"/>
      <c r="P320" s="105"/>
      <c r="Q320" s="107">
        <f t="shared" si="1"/>
        <v>0</v>
      </c>
      <c r="R320" s="108">
        <f t="shared" si="2"/>
        <v>0</v>
      </c>
      <c r="S320" s="25">
        <f t="shared" si="3"/>
        <v>0</v>
      </c>
      <c r="T320" s="25">
        <f t="shared" si="4"/>
        <v>0</v>
      </c>
      <c r="U320" s="27">
        <f t="shared" si="5"/>
        <v>0</v>
      </c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5.75" customHeight="1">
      <c r="A321" s="22" t="s">
        <v>23</v>
      </c>
      <c r="B321" s="23">
        <f t="shared" si="6"/>
        <v>46338</v>
      </c>
      <c r="C321" s="24">
        <v>12.2</v>
      </c>
      <c r="D321" s="25" t="s">
        <v>27</v>
      </c>
      <c r="E321" s="21"/>
      <c r="F321" s="21"/>
      <c r="G321" s="104"/>
      <c r="H321" s="105"/>
      <c r="I321" s="106"/>
      <c r="J321" s="105"/>
      <c r="K321" s="106"/>
      <c r="L321" s="105"/>
      <c r="M321" s="106"/>
      <c r="N321" s="105"/>
      <c r="O321" s="106"/>
      <c r="P321" s="105"/>
      <c r="Q321" s="107">
        <f t="shared" si="1"/>
        <v>0</v>
      </c>
      <c r="R321" s="108">
        <f t="shared" si="2"/>
        <v>0</v>
      </c>
      <c r="S321" s="25">
        <f t="shared" si="3"/>
        <v>0</v>
      </c>
      <c r="T321" s="25">
        <f t="shared" si="4"/>
        <v>0</v>
      </c>
      <c r="U321" s="27">
        <f t="shared" si="5"/>
        <v>0</v>
      </c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5.75" customHeight="1">
      <c r="A322" s="22" t="s">
        <v>24</v>
      </c>
      <c r="B322" s="23">
        <f t="shared" si="6"/>
        <v>46339</v>
      </c>
      <c r="C322" s="24">
        <v>12.2</v>
      </c>
      <c r="D322" s="25" t="s">
        <v>27</v>
      </c>
      <c r="E322" s="21"/>
      <c r="F322" s="21"/>
      <c r="G322" s="104"/>
      <c r="H322" s="105"/>
      <c r="I322" s="106"/>
      <c r="J322" s="105"/>
      <c r="K322" s="106"/>
      <c r="L322" s="105"/>
      <c r="M322" s="106"/>
      <c r="N322" s="105"/>
      <c r="O322" s="106"/>
      <c r="P322" s="105"/>
      <c r="Q322" s="107">
        <f t="shared" si="1"/>
        <v>0</v>
      </c>
      <c r="R322" s="108">
        <f t="shared" si="2"/>
        <v>0</v>
      </c>
      <c r="S322" s="25">
        <f t="shared" si="3"/>
        <v>0</v>
      </c>
      <c r="T322" s="25">
        <f t="shared" si="4"/>
        <v>0</v>
      </c>
      <c r="U322" s="27">
        <f t="shared" si="5"/>
        <v>0</v>
      </c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5.75" customHeight="1">
      <c r="A323" s="22" t="s">
        <v>25</v>
      </c>
      <c r="B323" s="23">
        <f t="shared" si="6"/>
        <v>46340</v>
      </c>
      <c r="C323" s="24">
        <v>12.2</v>
      </c>
      <c r="D323" s="25" t="s">
        <v>27</v>
      </c>
      <c r="E323" s="21"/>
      <c r="F323" s="21"/>
      <c r="G323" s="104"/>
      <c r="H323" s="105"/>
      <c r="I323" s="106"/>
      <c r="J323" s="105"/>
      <c r="K323" s="106"/>
      <c r="L323" s="105"/>
      <c r="M323" s="106"/>
      <c r="N323" s="105"/>
      <c r="O323" s="106"/>
      <c r="P323" s="105"/>
      <c r="Q323" s="107">
        <f t="shared" si="1"/>
        <v>0</v>
      </c>
      <c r="R323" s="108">
        <f t="shared" si="2"/>
        <v>0</v>
      </c>
      <c r="S323" s="25">
        <f t="shared" si="3"/>
        <v>0</v>
      </c>
      <c r="T323" s="25">
        <f t="shared" si="4"/>
        <v>0</v>
      </c>
      <c r="U323" s="27">
        <f t="shared" si="5"/>
        <v>0</v>
      </c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5.75" customHeight="1">
      <c r="A324" s="28" t="s">
        <v>26</v>
      </c>
      <c r="B324" s="29">
        <f t="shared" si="6"/>
        <v>46341</v>
      </c>
      <c r="C324" s="30">
        <v>12.2</v>
      </c>
      <c r="D324" s="31" t="s">
        <v>27</v>
      </c>
      <c r="E324" s="32"/>
      <c r="F324" s="32"/>
      <c r="G324" s="109"/>
      <c r="H324" s="110"/>
      <c r="I324" s="111"/>
      <c r="J324" s="110"/>
      <c r="K324" s="111"/>
      <c r="L324" s="110"/>
      <c r="M324" s="111"/>
      <c r="N324" s="110"/>
      <c r="O324" s="111"/>
      <c r="P324" s="110"/>
      <c r="Q324" s="112">
        <f t="shared" si="1"/>
        <v>0</v>
      </c>
      <c r="R324" s="113">
        <f t="shared" si="2"/>
        <v>0</v>
      </c>
      <c r="S324" s="31">
        <f t="shared" si="3"/>
        <v>0</v>
      </c>
      <c r="T324" s="31">
        <f t="shared" si="4"/>
        <v>0</v>
      </c>
      <c r="U324" s="36">
        <f t="shared" si="5"/>
        <v>0</v>
      </c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5.75" customHeight="1">
      <c r="A325" s="13" t="s">
        <v>19</v>
      </c>
      <c r="B325" s="37">
        <f t="shared" si="6"/>
        <v>46342</v>
      </c>
      <c r="C325" s="15">
        <v>12.3</v>
      </c>
      <c r="D325" s="16" t="s">
        <v>28</v>
      </c>
      <c r="E325" s="17"/>
      <c r="F325" s="17"/>
      <c r="G325" s="104"/>
      <c r="H325" s="105"/>
      <c r="I325" s="106"/>
      <c r="J325" s="105"/>
      <c r="K325" s="106"/>
      <c r="L325" s="105"/>
      <c r="M325" s="106"/>
      <c r="N325" s="105"/>
      <c r="O325" s="106"/>
      <c r="P325" s="105"/>
      <c r="Q325" s="114">
        <f t="shared" si="1"/>
        <v>0</v>
      </c>
      <c r="R325" s="115">
        <f t="shared" si="2"/>
        <v>0</v>
      </c>
      <c r="S325" s="16">
        <f t="shared" si="3"/>
        <v>0</v>
      </c>
      <c r="T325" s="16">
        <f t="shared" si="4"/>
        <v>0</v>
      </c>
      <c r="U325" s="38">
        <f t="shared" si="5"/>
        <v>0</v>
      </c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5.75" customHeight="1">
      <c r="A326" s="22" t="s">
        <v>21</v>
      </c>
      <c r="B326" s="23">
        <f t="shared" si="6"/>
        <v>46343</v>
      </c>
      <c r="C326" s="24">
        <v>12.3</v>
      </c>
      <c r="D326" s="25" t="s">
        <v>28</v>
      </c>
      <c r="E326" s="21"/>
      <c r="F326" s="21"/>
      <c r="G326" s="104"/>
      <c r="H326" s="105"/>
      <c r="I326" s="106"/>
      <c r="J326" s="105"/>
      <c r="K326" s="106"/>
      <c r="L326" s="105"/>
      <c r="M326" s="106"/>
      <c r="N326" s="105"/>
      <c r="O326" s="106"/>
      <c r="P326" s="105"/>
      <c r="Q326" s="107">
        <f t="shared" si="1"/>
        <v>0</v>
      </c>
      <c r="R326" s="108">
        <f t="shared" si="2"/>
        <v>0</v>
      </c>
      <c r="S326" s="25">
        <f t="shared" si="3"/>
        <v>0</v>
      </c>
      <c r="T326" s="25">
        <f t="shared" si="4"/>
        <v>0</v>
      </c>
      <c r="U326" s="27">
        <f t="shared" si="5"/>
        <v>0</v>
      </c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5.75" customHeight="1">
      <c r="A327" s="22" t="s">
        <v>22</v>
      </c>
      <c r="B327" s="23">
        <f t="shared" si="6"/>
        <v>46344</v>
      </c>
      <c r="C327" s="24">
        <v>12.3</v>
      </c>
      <c r="D327" s="25" t="s">
        <v>28</v>
      </c>
      <c r="E327" s="21"/>
      <c r="F327" s="21"/>
      <c r="G327" s="104"/>
      <c r="H327" s="105"/>
      <c r="I327" s="106"/>
      <c r="J327" s="105"/>
      <c r="K327" s="106"/>
      <c r="L327" s="105"/>
      <c r="M327" s="106"/>
      <c r="N327" s="105"/>
      <c r="O327" s="106"/>
      <c r="P327" s="105"/>
      <c r="Q327" s="107">
        <f t="shared" si="1"/>
        <v>0</v>
      </c>
      <c r="R327" s="108">
        <f t="shared" si="2"/>
        <v>0</v>
      </c>
      <c r="S327" s="25">
        <f t="shared" si="3"/>
        <v>0</v>
      </c>
      <c r="T327" s="25">
        <f t="shared" si="4"/>
        <v>0</v>
      </c>
      <c r="U327" s="27">
        <f t="shared" si="5"/>
        <v>0</v>
      </c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5.75" customHeight="1">
      <c r="A328" s="22" t="s">
        <v>23</v>
      </c>
      <c r="B328" s="23">
        <f t="shared" si="6"/>
        <v>46345</v>
      </c>
      <c r="C328" s="24">
        <v>12.3</v>
      </c>
      <c r="D328" s="25" t="s">
        <v>28</v>
      </c>
      <c r="E328" s="21"/>
      <c r="F328" s="21"/>
      <c r="G328" s="18"/>
      <c r="I328" s="19"/>
      <c r="K328" s="19"/>
      <c r="M328" s="19"/>
      <c r="O328" s="19"/>
      <c r="Q328" s="26">
        <f t="shared" si="1"/>
        <v>0</v>
      </c>
      <c r="R328" s="25">
        <f t="shared" si="2"/>
        <v>0</v>
      </c>
      <c r="S328" s="25">
        <f t="shared" si="3"/>
        <v>0</v>
      </c>
      <c r="T328" s="25">
        <f t="shared" si="4"/>
        <v>0</v>
      </c>
      <c r="U328" s="27">
        <f t="shared" si="5"/>
        <v>0</v>
      </c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5.75" customHeight="1">
      <c r="A329" s="22" t="s">
        <v>24</v>
      </c>
      <c r="B329" s="23">
        <f t="shared" si="6"/>
        <v>46346</v>
      </c>
      <c r="C329" s="24">
        <v>12.3</v>
      </c>
      <c r="D329" s="25" t="s">
        <v>28</v>
      </c>
      <c r="E329" s="21"/>
      <c r="F329" s="21"/>
      <c r="G329" s="18"/>
      <c r="I329" s="19"/>
      <c r="K329" s="19"/>
      <c r="M329" s="19"/>
      <c r="O329" s="19"/>
      <c r="Q329" s="26">
        <f t="shared" si="1"/>
        <v>0</v>
      </c>
      <c r="R329" s="25">
        <f t="shared" si="2"/>
        <v>0</v>
      </c>
      <c r="S329" s="25">
        <f t="shared" si="3"/>
        <v>0</v>
      </c>
      <c r="T329" s="25">
        <f t="shared" si="4"/>
        <v>0</v>
      </c>
      <c r="U329" s="27">
        <f t="shared" si="5"/>
        <v>0</v>
      </c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5.75" customHeight="1">
      <c r="A330" s="22" t="s">
        <v>25</v>
      </c>
      <c r="B330" s="23">
        <f t="shared" si="6"/>
        <v>46347</v>
      </c>
      <c r="C330" s="24">
        <v>12.3</v>
      </c>
      <c r="D330" s="25" t="s">
        <v>28</v>
      </c>
      <c r="E330" s="21"/>
      <c r="F330" s="21"/>
      <c r="G330" s="18"/>
      <c r="I330" s="19"/>
      <c r="K330" s="19"/>
      <c r="M330" s="19"/>
      <c r="O330" s="19"/>
      <c r="Q330" s="26">
        <f t="shared" si="1"/>
        <v>0</v>
      </c>
      <c r="R330" s="25">
        <f t="shared" si="2"/>
        <v>0</v>
      </c>
      <c r="S330" s="25">
        <f t="shared" si="3"/>
        <v>0</v>
      </c>
      <c r="T330" s="25">
        <f t="shared" si="4"/>
        <v>0</v>
      </c>
      <c r="U330" s="27">
        <f t="shared" si="5"/>
        <v>0</v>
      </c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5.75" customHeight="1">
      <c r="A331" s="28" t="s">
        <v>26</v>
      </c>
      <c r="B331" s="29">
        <f t="shared" si="6"/>
        <v>46348</v>
      </c>
      <c r="C331" s="30">
        <v>12.3</v>
      </c>
      <c r="D331" s="31" t="s">
        <v>28</v>
      </c>
      <c r="E331" s="32"/>
      <c r="F331" s="32"/>
      <c r="G331" s="33"/>
      <c r="H331" s="6"/>
      <c r="I331" s="34"/>
      <c r="J331" s="6"/>
      <c r="K331" s="34"/>
      <c r="L331" s="6"/>
      <c r="M331" s="34"/>
      <c r="N331" s="6"/>
      <c r="O331" s="34"/>
      <c r="P331" s="6"/>
      <c r="Q331" s="35">
        <f t="shared" si="1"/>
        <v>0</v>
      </c>
      <c r="R331" s="31">
        <f t="shared" si="2"/>
        <v>0</v>
      </c>
      <c r="S331" s="31">
        <f t="shared" si="3"/>
        <v>0</v>
      </c>
      <c r="T331" s="31">
        <f t="shared" si="4"/>
        <v>0</v>
      </c>
      <c r="U331" s="36">
        <f t="shared" si="5"/>
        <v>0</v>
      </c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5.75" customHeight="1">
      <c r="A332" s="13" t="s">
        <v>19</v>
      </c>
      <c r="B332" s="37">
        <f t="shared" si="6"/>
        <v>46349</v>
      </c>
      <c r="C332" s="15">
        <v>12.4</v>
      </c>
      <c r="D332" s="16" t="s">
        <v>29</v>
      </c>
      <c r="E332" s="17"/>
      <c r="F332" s="17"/>
      <c r="G332" s="18"/>
      <c r="I332" s="19"/>
      <c r="K332" s="19"/>
      <c r="M332" s="19"/>
      <c r="O332" s="19"/>
      <c r="Q332" s="20">
        <f t="shared" si="1"/>
        <v>0</v>
      </c>
      <c r="R332" s="16">
        <f t="shared" si="2"/>
        <v>0</v>
      </c>
      <c r="S332" s="16">
        <f t="shared" si="3"/>
        <v>0</v>
      </c>
      <c r="T332" s="16">
        <f t="shared" si="4"/>
        <v>0</v>
      </c>
      <c r="U332" s="38">
        <f t="shared" si="5"/>
        <v>0</v>
      </c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5.75" customHeight="1">
      <c r="A333" s="22" t="s">
        <v>21</v>
      </c>
      <c r="B333" s="23">
        <f t="shared" si="6"/>
        <v>46350</v>
      </c>
      <c r="C333" s="24">
        <v>12.4</v>
      </c>
      <c r="D333" s="25" t="s">
        <v>29</v>
      </c>
      <c r="E333" s="21"/>
      <c r="F333" s="21"/>
      <c r="G333" s="18"/>
      <c r="I333" s="19"/>
      <c r="K333" s="19"/>
      <c r="M333" s="19"/>
      <c r="O333" s="19"/>
      <c r="Q333" s="26">
        <f t="shared" si="1"/>
        <v>0</v>
      </c>
      <c r="R333" s="25">
        <f t="shared" si="2"/>
        <v>0</v>
      </c>
      <c r="S333" s="25">
        <f t="shared" si="3"/>
        <v>0</v>
      </c>
      <c r="T333" s="25">
        <f t="shared" si="4"/>
        <v>0</v>
      </c>
      <c r="U333" s="27">
        <f t="shared" si="5"/>
        <v>0</v>
      </c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5.75" customHeight="1">
      <c r="A334" s="22" t="s">
        <v>22</v>
      </c>
      <c r="B334" s="23">
        <f t="shared" si="6"/>
        <v>46351</v>
      </c>
      <c r="C334" s="24">
        <v>12.4</v>
      </c>
      <c r="D334" s="25" t="s">
        <v>29</v>
      </c>
      <c r="E334" s="21"/>
      <c r="F334" s="21"/>
      <c r="G334" s="18"/>
      <c r="I334" s="19"/>
      <c r="K334" s="19"/>
      <c r="M334" s="19"/>
      <c r="O334" s="19"/>
      <c r="Q334" s="26">
        <f t="shared" si="1"/>
        <v>0</v>
      </c>
      <c r="R334" s="25">
        <f t="shared" si="2"/>
        <v>0</v>
      </c>
      <c r="S334" s="25">
        <f t="shared" si="3"/>
        <v>0</v>
      </c>
      <c r="T334" s="25">
        <f t="shared" si="4"/>
        <v>0</v>
      </c>
      <c r="U334" s="27">
        <f t="shared" si="5"/>
        <v>0</v>
      </c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5.75" customHeight="1">
      <c r="A335" s="22" t="s">
        <v>23</v>
      </c>
      <c r="B335" s="23">
        <f t="shared" si="6"/>
        <v>46352</v>
      </c>
      <c r="C335" s="24">
        <v>12.4</v>
      </c>
      <c r="D335" s="25" t="s">
        <v>29</v>
      </c>
      <c r="E335" s="21"/>
      <c r="F335" s="21"/>
      <c r="G335" s="18"/>
      <c r="I335" s="19"/>
      <c r="K335" s="19"/>
      <c r="M335" s="19"/>
      <c r="O335" s="19"/>
      <c r="Q335" s="26">
        <f t="shared" si="1"/>
        <v>0</v>
      </c>
      <c r="R335" s="25">
        <f t="shared" si="2"/>
        <v>0</v>
      </c>
      <c r="S335" s="25">
        <f t="shared" si="3"/>
        <v>0</v>
      </c>
      <c r="T335" s="25">
        <f t="shared" si="4"/>
        <v>0</v>
      </c>
      <c r="U335" s="27">
        <f t="shared" si="5"/>
        <v>0</v>
      </c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5.75" customHeight="1">
      <c r="A336" s="22" t="s">
        <v>24</v>
      </c>
      <c r="B336" s="23">
        <f t="shared" si="6"/>
        <v>46353</v>
      </c>
      <c r="C336" s="24">
        <v>12.4</v>
      </c>
      <c r="D336" s="25" t="s">
        <v>29</v>
      </c>
      <c r="E336" s="21"/>
      <c r="F336" s="21"/>
      <c r="G336" s="18"/>
      <c r="I336" s="19"/>
      <c r="K336" s="19"/>
      <c r="M336" s="19"/>
      <c r="O336" s="19"/>
      <c r="Q336" s="26">
        <f t="shared" si="1"/>
        <v>0</v>
      </c>
      <c r="R336" s="25">
        <f t="shared" si="2"/>
        <v>0</v>
      </c>
      <c r="S336" s="25">
        <f t="shared" si="3"/>
        <v>0</v>
      </c>
      <c r="T336" s="25">
        <f t="shared" si="4"/>
        <v>0</v>
      </c>
      <c r="U336" s="27">
        <f t="shared" si="5"/>
        <v>0</v>
      </c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5.75" customHeight="1">
      <c r="A337" s="22" t="s">
        <v>25</v>
      </c>
      <c r="B337" s="23">
        <f t="shared" si="6"/>
        <v>46354</v>
      </c>
      <c r="C337" s="24">
        <v>12.4</v>
      </c>
      <c r="D337" s="25" t="s">
        <v>29</v>
      </c>
      <c r="E337" s="21"/>
      <c r="F337" s="21"/>
      <c r="G337" s="18"/>
      <c r="I337" s="19"/>
      <c r="K337" s="19"/>
      <c r="M337" s="19"/>
      <c r="O337" s="19"/>
      <c r="Q337" s="26">
        <f t="shared" si="1"/>
        <v>0</v>
      </c>
      <c r="R337" s="25">
        <f t="shared" si="2"/>
        <v>0</v>
      </c>
      <c r="S337" s="25">
        <f t="shared" si="3"/>
        <v>0</v>
      </c>
      <c r="T337" s="25">
        <f t="shared" si="4"/>
        <v>0</v>
      </c>
      <c r="U337" s="27">
        <f t="shared" si="5"/>
        <v>0</v>
      </c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5.75" customHeight="1">
      <c r="A338" s="28" t="s">
        <v>26</v>
      </c>
      <c r="B338" s="29">
        <f t="shared" si="6"/>
        <v>46355</v>
      </c>
      <c r="C338" s="30">
        <v>12.4</v>
      </c>
      <c r="D338" s="31" t="s">
        <v>29</v>
      </c>
      <c r="E338" s="32"/>
      <c r="F338" s="32"/>
      <c r="G338" s="33"/>
      <c r="H338" s="6"/>
      <c r="I338" s="34"/>
      <c r="J338" s="6"/>
      <c r="K338" s="34"/>
      <c r="L338" s="6"/>
      <c r="M338" s="34"/>
      <c r="N338" s="6"/>
      <c r="O338" s="34"/>
      <c r="P338" s="6"/>
      <c r="Q338" s="35">
        <f t="shared" si="1"/>
        <v>0</v>
      </c>
      <c r="R338" s="31">
        <f t="shared" si="2"/>
        <v>0</v>
      </c>
      <c r="S338" s="31">
        <f t="shared" si="3"/>
        <v>0</v>
      </c>
      <c r="T338" s="31">
        <f t="shared" si="4"/>
        <v>0</v>
      </c>
      <c r="U338" s="36">
        <f t="shared" si="5"/>
        <v>0</v>
      </c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5.75" customHeight="1">
      <c r="A339" s="13" t="s">
        <v>19</v>
      </c>
      <c r="B339" s="37">
        <f t="shared" si="6"/>
        <v>46356</v>
      </c>
      <c r="C339" s="15">
        <v>13.1</v>
      </c>
      <c r="D339" s="16" t="s">
        <v>27</v>
      </c>
      <c r="E339" s="17"/>
      <c r="F339" s="17"/>
      <c r="G339" s="18"/>
      <c r="I339" s="19"/>
      <c r="K339" s="19"/>
      <c r="M339" s="19"/>
      <c r="O339" s="19"/>
      <c r="Q339" s="20">
        <f t="shared" si="1"/>
        <v>0</v>
      </c>
      <c r="R339" s="16">
        <f t="shared" si="2"/>
        <v>0</v>
      </c>
      <c r="S339" s="16">
        <f t="shared" si="3"/>
        <v>0</v>
      </c>
      <c r="T339" s="16">
        <f t="shared" si="4"/>
        <v>0</v>
      </c>
      <c r="U339" s="38">
        <f t="shared" si="5"/>
        <v>0</v>
      </c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5.75" customHeight="1">
      <c r="A340" s="22" t="s">
        <v>21</v>
      </c>
      <c r="B340" s="23">
        <f t="shared" si="6"/>
        <v>46357</v>
      </c>
      <c r="C340" s="24">
        <v>13.1</v>
      </c>
      <c r="D340" s="25" t="s">
        <v>27</v>
      </c>
      <c r="E340" s="21"/>
      <c r="F340" s="21"/>
      <c r="G340" s="18"/>
      <c r="I340" s="19"/>
      <c r="K340" s="19"/>
      <c r="M340" s="19"/>
      <c r="O340" s="19"/>
      <c r="Q340" s="26">
        <f t="shared" si="1"/>
        <v>0</v>
      </c>
      <c r="R340" s="25">
        <f t="shared" si="2"/>
        <v>0</v>
      </c>
      <c r="S340" s="25">
        <f t="shared" si="3"/>
        <v>0</v>
      </c>
      <c r="T340" s="25">
        <f t="shared" si="4"/>
        <v>0</v>
      </c>
      <c r="U340" s="27">
        <f t="shared" si="5"/>
        <v>0</v>
      </c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5.75" customHeight="1">
      <c r="A341" s="22" t="s">
        <v>22</v>
      </c>
      <c r="B341" s="23">
        <f t="shared" si="6"/>
        <v>46358</v>
      </c>
      <c r="C341" s="24">
        <v>13.1</v>
      </c>
      <c r="D341" s="25" t="s">
        <v>27</v>
      </c>
      <c r="E341" s="21"/>
      <c r="F341" s="21"/>
      <c r="G341" s="18"/>
      <c r="I341" s="19"/>
      <c r="K341" s="19"/>
      <c r="M341" s="19"/>
      <c r="O341" s="19"/>
      <c r="Q341" s="26">
        <f t="shared" si="1"/>
        <v>0</v>
      </c>
      <c r="R341" s="25">
        <f t="shared" si="2"/>
        <v>0</v>
      </c>
      <c r="S341" s="25">
        <f t="shared" si="3"/>
        <v>0</v>
      </c>
      <c r="T341" s="25">
        <f t="shared" si="4"/>
        <v>0</v>
      </c>
      <c r="U341" s="27">
        <f t="shared" si="5"/>
        <v>0</v>
      </c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5.75" customHeight="1">
      <c r="A342" s="22" t="s">
        <v>23</v>
      </c>
      <c r="B342" s="23">
        <f t="shared" si="6"/>
        <v>46359</v>
      </c>
      <c r="C342" s="24">
        <v>13.1</v>
      </c>
      <c r="D342" s="25" t="s">
        <v>27</v>
      </c>
      <c r="E342" s="21"/>
      <c r="F342" s="21"/>
      <c r="G342" s="18"/>
      <c r="I342" s="19"/>
      <c r="K342" s="19"/>
      <c r="M342" s="19"/>
      <c r="O342" s="19"/>
      <c r="Q342" s="26">
        <f t="shared" si="1"/>
        <v>0</v>
      </c>
      <c r="R342" s="25">
        <f t="shared" si="2"/>
        <v>0</v>
      </c>
      <c r="S342" s="25">
        <f t="shared" si="3"/>
        <v>0</v>
      </c>
      <c r="T342" s="25">
        <f t="shared" si="4"/>
        <v>0</v>
      </c>
      <c r="U342" s="27">
        <f t="shared" si="5"/>
        <v>0</v>
      </c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5.75" customHeight="1">
      <c r="A343" s="22" t="s">
        <v>24</v>
      </c>
      <c r="B343" s="23">
        <f t="shared" si="6"/>
        <v>46360</v>
      </c>
      <c r="C343" s="24">
        <v>13.1</v>
      </c>
      <c r="D343" s="25" t="s">
        <v>27</v>
      </c>
      <c r="E343" s="21"/>
      <c r="F343" s="21"/>
      <c r="G343" s="18"/>
      <c r="I343" s="19"/>
      <c r="K343" s="19"/>
      <c r="M343" s="19"/>
      <c r="O343" s="19"/>
      <c r="Q343" s="26">
        <f t="shared" si="1"/>
        <v>0</v>
      </c>
      <c r="R343" s="25">
        <f t="shared" si="2"/>
        <v>0</v>
      </c>
      <c r="S343" s="25">
        <f t="shared" si="3"/>
        <v>0</v>
      </c>
      <c r="T343" s="25">
        <f t="shared" si="4"/>
        <v>0</v>
      </c>
      <c r="U343" s="27">
        <f t="shared" si="5"/>
        <v>0</v>
      </c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5.75" customHeight="1">
      <c r="A344" s="22" t="s">
        <v>25</v>
      </c>
      <c r="B344" s="23">
        <f t="shared" si="6"/>
        <v>46361</v>
      </c>
      <c r="C344" s="24">
        <v>13.1</v>
      </c>
      <c r="D344" s="25" t="s">
        <v>27</v>
      </c>
      <c r="E344" s="21"/>
      <c r="F344" s="21"/>
      <c r="G344" s="18"/>
      <c r="I344" s="19"/>
      <c r="K344" s="19"/>
      <c r="M344" s="19"/>
      <c r="O344" s="19"/>
      <c r="Q344" s="26">
        <f t="shared" si="1"/>
        <v>0</v>
      </c>
      <c r="R344" s="25">
        <f t="shared" si="2"/>
        <v>0</v>
      </c>
      <c r="S344" s="25">
        <f t="shared" si="3"/>
        <v>0</v>
      </c>
      <c r="T344" s="25">
        <f t="shared" si="4"/>
        <v>0</v>
      </c>
      <c r="U344" s="27">
        <f t="shared" si="5"/>
        <v>0</v>
      </c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5.75" customHeight="1">
      <c r="A345" s="28" t="s">
        <v>26</v>
      </c>
      <c r="B345" s="29">
        <f t="shared" si="6"/>
        <v>46362</v>
      </c>
      <c r="C345" s="30">
        <v>13.1</v>
      </c>
      <c r="D345" s="31" t="s">
        <v>27</v>
      </c>
      <c r="E345" s="32"/>
      <c r="F345" s="32"/>
      <c r="G345" s="33"/>
      <c r="H345" s="6"/>
      <c r="I345" s="34"/>
      <c r="J345" s="6"/>
      <c r="K345" s="34"/>
      <c r="L345" s="6"/>
      <c r="M345" s="34"/>
      <c r="N345" s="6"/>
      <c r="O345" s="34"/>
      <c r="P345" s="6"/>
      <c r="Q345" s="35">
        <f t="shared" si="1"/>
        <v>0</v>
      </c>
      <c r="R345" s="31">
        <f t="shared" si="2"/>
        <v>0</v>
      </c>
      <c r="S345" s="31">
        <f t="shared" si="3"/>
        <v>0</v>
      </c>
      <c r="T345" s="31">
        <f t="shared" si="4"/>
        <v>0</v>
      </c>
      <c r="U345" s="36">
        <f t="shared" si="5"/>
        <v>0</v>
      </c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5.75" customHeight="1">
      <c r="A346" s="13" t="s">
        <v>19</v>
      </c>
      <c r="B346" s="37">
        <f t="shared" si="6"/>
        <v>46363</v>
      </c>
      <c r="C346" s="15">
        <v>13.2</v>
      </c>
      <c r="D346" s="16" t="s">
        <v>28</v>
      </c>
      <c r="E346" s="17"/>
      <c r="F346" s="17"/>
      <c r="G346" s="18"/>
      <c r="I346" s="19"/>
      <c r="K346" s="19"/>
      <c r="M346" s="19"/>
      <c r="O346" s="19"/>
      <c r="Q346" s="20">
        <f t="shared" si="1"/>
        <v>0</v>
      </c>
      <c r="R346" s="16">
        <f t="shared" si="2"/>
        <v>0</v>
      </c>
      <c r="S346" s="16">
        <f t="shared" si="3"/>
        <v>0</v>
      </c>
      <c r="T346" s="16">
        <f t="shared" si="4"/>
        <v>0</v>
      </c>
      <c r="U346" s="38">
        <f t="shared" si="5"/>
        <v>0</v>
      </c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5.75" customHeight="1">
      <c r="A347" s="22" t="s">
        <v>21</v>
      </c>
      <c r="B347" s="23">
        <f t="shared" si="6"/>
        <v>46364</v>
      </c>
      <c r="C347" s="24">
        <v>13.2</v>
      </c>
      <c r="D347" s="25" t="s">
        <v>28</v>
      </c>
      <c r="E347" s="21"/>
      <c r="F347" s="21"/>
      <c r="G347" s="18"/>
      <c r="I347" s="19"/>
      <c r="K347" s="19"/>
      <c r="M347" s="19"/>
      <c r="O347" s="19"/>
      <c r="Q347" s="26">
        <f t="shared" si="1"/>
        <v>0</v>
      </c>
      <c r="R347" s="25">
        <f t="shared" si="2"/>
        <v>0</v>
      </c>
      <c r="S347" s="25">
        <f t="shared" si="3"/>
        <v>0</v>
      </c>
      <c r="T347" s="25">
        <f t="shared" si="4"/>
        <v>0</v>
      </c>
      <c r="U347" s="27">
        <f t="shared" si="5"/>
        <v>0</v>
      </c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5.75" customHeight="1">
      <c r="A348" s="22" t="s">
        <v>22</v>
      </c>
      <c r="B348" s="23">
        <f t="shared" si="6"/>
        <v>46365</v>
      </c>
      <c r="C348" s="24">
        <v>13.2</v>
      </c>
      <c r="D348" s="25" t="s">
        <v>28</v>
      </c>
      <c r="E348" s="21"/>
      <c r="F348" s="21"/>
      <c r="G348" s="18"/>
      <c r="I348" s="19"/>
      <c r="K348" s="19"/>
      <c r="M348" s="19"/>
      <c r="O348" s="19"/>
      <c r="Q348" s="26">
        <f t="shared" si="1"/>
        <v>0</v>
      </c>
      <c r="R348" s="25">
        <f t="shared" si="2"/>
        <v>0</v>
      </c>
      <c r="S348" s="25">
        <f t="shared" si="3"/>
        <v>0</v>
      </c>
      <c r="T348" s="25">
        <f t="shared" si="4"/>
        <v>0</v>
      </c>
      <c r="U348" s="27">
        <f t="shared" si="5"/>
        <v>0</v>
      </c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5.75" customHeight="1">
      <c r="A349" s="22" t="s">
        <v>23</v>
      </c>
      <c r="B349" s="23">
        <f t="shared" si="6"/>
        <v>46366</v>
      </c>
      <c r="C349" s="24">
        <v>13.2</v>
      </c>
      <c r="D349" s="25" t="s">
        <v>28</v>
      </c>
      <c r="E349" s="21"/>
      <c r="F349" s="21"/>
      <c r="G349" s="18"/>
      <c r="I349" s="19"/>
      <c r="K349" s="19"/>
      <c r="M349" s="19"/>
      <c r="O349" s="19"/>
      <c r="Q349" s="26">
        <f t="shared" si="1"/>
        <v>0</v>
      </c>
      <c r="R349" s="25">
        <f t="shared" si="2"/>
        <v>0</v>
      </c>
      <c r="S349" s="25">
        <f t="shared" si="3"/>
        <v>0</v>
      </c>
      <c r="T349" s="25">
        <f t="shared" si="4"/>
        <v>0</v>
      </c>
      <c r="U349" s="27">
        <f t="shared" si="5"/>
        <v>0</v>
      </c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5.75" customHeight="1">
      <c r="A350" s="22" t="s">
        <v>24</v>
      </c>
      <c r="B350" s="23">
        <f t="shared" si="6"/>
        <v>46367</v>
      </c>
      <c r="C350" s="24">
        <v>13.2</v>
      </c>
      <c r="D350" s="25" t="s">
        <v>28</v>
      </c>
      <c r="E350" s="21"/>
      <c r="F350" s="21"/>
      <c r="G350" s="18"/>
      <c r="I350" s="19"/>
      <c r="K350" s="19"/>
      <c r="M350" s="19"/>
      <c r="O350" s="19"/>
      <c r="Q350" s="26">
        <f t="shared" si="1"/>
        <v>0</v>
      </c>
      <c r="R350" s="25">
        <f t="shared" si="2"/>
        <v>0</v>
      </c>
      <c r="S350" s="25">
        <f t="shared" si="3"/>
        <v>0</v>
      </c>
      <c r="T350" s="25">
        <f t="shared" si="4"/>
        <v>0</v>
      </c>
      <c r="U350" s="27">
        <f t="shared" si="5"/>
        <v>0</v>
      </c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5.75" customHeight="1">
      <c r="A351" s="22" t="s">
        <v>25</v>
      </c>
      <c r="B351" s="23">
        <f t="shared" si="6"/>
        <v>46368</v>
      </c>
      <c r="C351" s="24">
        <v>13.2</v>
      </c>
      <c r="D351" s="25" t="s">
        <v>28</v>
      </c>
      <c r="E351" s="21"/>
      <c r="F351" s="21"/>
      <c r="G351" s="18"/>
      <c r="I351" s="19"/>
      <c r="K351" s="19"/>
      <c r="M351" s="19"/>
      <c r="O351" s="19"/>
      <c r="Q351" s="26">
        <f t="shared" si="1"/>
        <v>0</v>
      </c>
      <c r="R351" s="25">
        <f t="shared" si="2"/>
        <v>0</v>
      </c>
      <c r="S351" s="25">
        <f t="shared" si="3"/>
        <v>0</v>
      </c>
      <c r="T351" s="25">
        <f t="shared" si="4"/>
        <v>0</v>
      </c>
      <c r="U351" s="27">
        <f t="shared" si="5"/>
        <v>0</v>
      </c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5.75" customHeight="1">
      <c r="A352" s="28" t="s">
        <v>26</v>
      </c>
      <c r="B352" s="29">
        <f t="shared" si="6"/>
        <v>46369</v>
      </c>
      <c r="C352" s="30">
        <v>13.2</v>
      </c>
      <c r="D352" s="31" t="s">
        <v>28</v>
      </c>
      <c r="E352" s="32"/>
      <c r="F352" s="32"/>
      <c r="G352" s="33"/>
      <c r="H352" s="6"/>
      <c r="I352" s="34"/>
      <c r="J352" s="6"/>
      <c r="K352" s="34"/>
      <c r="L352" s="6"/>
      <c r="M352" s="34"/>
      <c r="N352" s="6"/>
      <c r="O352" s="34"/>
      <c r="P352" s="6"/>
      <c r="Q352" s="35">
        <f t="shared" si="1"/>
        <v>0</v>
      </c>
      <c r="R352" s="31">
        <f t="shared" si="2"/>
        <v>0</v>
      </c>
      <c r="S352" s="31">
        <f t="shared" si="3"/>
        <v>0</v>
      </c>
      <c r="T352" s="31">
        <f t="shared" si="4"/>
        <v>0</v>
      </c>
      <c r="U352" s="36">
        <f t="shared" si="5"/>
        <v>0</v>
      </c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5.75" customHeight="1">
      <c r="A353" s="13" t="s">
        <v>19</v>
      </c>
      <c r="B353" s="37">
        <f t="shared" si="6"/>
        <v>46370</v>
      </c>
      <c r="C353" s="15">
        <v>13.3</v>
      </c>
      <c r="D353" s="16" t="s">
        <v>29</v>
      </c>
      <c r="E353" s="17"/>
      <c r="F353" s="17"/>
      <c r="G353" s="18"/>
      <c r="I353" s="19"/>
      <c r="K353" s="19"/>
      <c r="M353" s="19"/>
      <c r="O353" s="19"/>
      <c r="Q353" s="20">
        <f t="shared" si="1"/>
        <v>0</v>
      </c>
      <c r="R353" s="16">
        <f t="shared" si="2"/>
        <v>0</v>
      </c>
      <c r="S353" s="16">
        <f t="shared" si="3"/>
        <v>0</v>
      </c>
      <c r="T353" s="16">
        <f t="shared" si="4"/>
        <v>0</v>
      </c>
      <c r="U353" s="38">
        <f t="shared" si="5"/>
        <v>0</v>
      </c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5.75" customHeight="1">
      <c r="A354" s="22" t="s">
        <v>21</v>
      </c>
      <c r="B354" s="23">
        <f t="shared" si="6"/>
        <v>46371</v>
      </c>
      <c r="C354" s="24">
        <v>13.3</v>
      </c>
      <c r="D354" s="25" t="s">
        <v>29</v>
      </c>
      <c r="E354" s="21"/>
      <c r="F354" s="21"/>
      <c r="G354" s="18"/>
      <c r="I354" s="19"/>
      <c r="K354" s="19"/>
      <c r="M354" s="19"/>
      <c r="O354" s="19"/>
      <c r="Q354" s="26">
        <f t="shared" si="1"/>
        <v>0</v>
      </c>
      <c r="R354" s="25">
        <f t="shared" si="2"/>
        <v>0</v>
      </c>
      <c r="S354" s="25">
        <f t="shared" si="3"/>
        <v>0</v>
      </c>
      <c r="T354" s="25">
        <f t="shared" si="4"/>
        <v>0</v>
      </c>
      <c r="U354" s="27">
        <f t="shared" si="5"/>
        <v>0</v>
      </c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5.75" customHeight="1">
      <c r="A355" s="22" t="s">
        <v>22</v>
      </c>
      <c r="B355" s="23">
        <f t="shared" si="6"/>
        <v>46372</v>
      </c>
      <c r="C355" s="24">
        <v>13.3</v>
      </c>
      <c r="D355" s="25" t="s">
        <v>29</v>
      </c>
      <c r="E355" s="21"/>
      <c r="F355" s="21"/>
      <c r="G355" s="18"/>
      <c r="I355" s="19"/>
      <c r="K355" s="19"/>
      <c r="M355" s="19"/>
      <c r="O355" s="19"/>
      <c r="Q355" s="26">
        <f t="shared" si="1"/>
        <v>0</v>
      </c>
      <c r="R355" s="25">
        <f t="shared" si="2"/>
        <v>0</v>
      </c>
      <c r="S355" s="25">
        <f t="shared" si="3"/>
        <v>0</v>
      </c>
      <c r="T355" s="25">
        <f t="shared" si="4"/>
        <v>0</v>
      </c>
      <c r="U355" s="27">
        <f t="shared" si="5"/>
        <v>0</v>
      </c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5.75" customHeight="1">
      <c r="A356" s="22" t="s">
        <v>23</v>
      </c>
      <c r="B356" s="23">
        <f t="shared" si="6"/>
        <v>46373</v>
      </c>
      <c r="C356" s="24">
        <v>13.3</v>
      </c>
      <c r="D356" s="25" t="s">
        <v>29</v>
      </c>
      <c r="E356" s="21"/>
      <c r="F356" s="21"/>
      <c r="G356" s="18"/>
      <c r="I356" s="19"/>
      <c r="K356" s="19"/>
      <c r="M356" s="19"/>
      <c r="O356" s="19"/>
      <c r="Q356" s="26">
        <f t="shared" si="1"/>
        <v>0</v>
      </c>
      <c r="R356" s="25">
        <f t="shared" si="2"/>
        <v>0</v>
      </c>
      <c r="S356" s="25">
        <f t="shared" si="3"/>
        <v>0</v>
      </c>
      <c r="T356" s="25">
        <f t="shared" si="4"/>
        <v>0</v>
      </c>
      <c r="U356" s="27">
        <f t="shared" si="5"/>
        <v>0</v>
      </c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5.75" customHeight="1">
      <c r="A357" s="22" t="s">
        <v>24</v>
      </c>
      <c r="B357" s="23">
        <f t="shared" si="6"/>
        <v>46374</v>
      </c>
      <c r="C357" s="24">
        <v>13.3</v>
      </c>
      <c r="D357" s="25" t="s">
        <v>29</v>
      </c>
      <c r="E357" s="21"/>
      <c r="F357" s="21"/>
      <c r="G357" s="18"/>
      <c r="I357" s="19"/>
      <c r="K357" s="19"/>
      <c r="M357" s="19"/>
      <c r="O357" s="19"/>
      <c r="Q357" s="26">
        <f t="shared" si="1"/>
        <v>0</v>
      </c>
      <c r="R357" s="25">
        <f t="shared" si="2"/>
        <v>0</v>
      </c>
      <c r="S357" s="25">
        <f t="shared" si="3"/>
        <v>0</v>
      </c>
      <c r="T357" s="25">
        <f t="shared" si="4"/>
        <v>0</v>
      </c>
      <c r="U357" s="27">
        <f t="shared" si="5"/>
        <v>0</v>
      </c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5.75" customHeight="1">
      <c r="A358" s="22" t="s">
        <v>25</v>
      </c>
      <c r="B358" s="23">
        <f t="shared" si="6"/>
        <v>46375</v>
      </c>
      <c r="C358" s="24">
        <v>13.3</v>
      </c>
      <c r="D358" s="25" t="s">
        <v>29</v>
      </c>
      <c r="E358" s="21"/>
      <c r="F358" s="21"/>
      <c r="G358" s="18"/>
      <c r="I358" s="19"/>
      <c r="K358" s="19"/>
      <c r="M358" s="19"/>
      <c r="O358" s="19"/>
      <c r="Q358" s="26">
        <f t="shared" si="1"/>
        <v>0</v>
      </c>
      <c r="R358" s="25">
        <f t="shared" si="2"/>
        <v>0</v>
      </c>
      <c r="S358" s="25">
        <f t="shared" si="3"/>
        <v>0</v>
      </c>
      <c r="T358" s="25">
        <f t="shared" si="4"/>
        <v>0</v>
      </c>
      <c r="U358" s="27">
        <f t="shared" si="5"/>
        <v>0</v>
      </c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5.75" customHeight="1">
      <c r="A359" s="28" t="s">
        <v>26</v>
      </c>
      <c r="B359" s="29">
        <f t="shared" si="6"/>
        <v>46376</v>
      </c>
      <c r="C359" s="30">
        <v>13.3</v>
      </c>
      <c r="D359" s="31" t="s">
        <v>29</v>
      </c>
      <c r="E359" s="32"/>
      <c r="F359" s="32"/>
      <c r="G359" s="33"/>
      <c r="H359" s="6"/>
      <c r="I359" s="34"/>
      <c r="J359" s="6"/>
      <c r="K359" s="34"/>
      <c r="L359" s="6"/>
      <c r="M359" s="34"/>
      <c r="N359" s="6"/>
      <c r="O359" s="34"/>
      <c r="P359" s="6"/>
      <c r="Q359" s="35">
        <f t="shared" si="1"/>
        <v>0</v>
      </c>
      <c r="R359" s="31">
        <f t="shared" si="2"/>
        <v>0</v>
      </c>
      <c r="S359" s="31">
        <f t="shared" si="3"/>
        <v>0</v>
      </c>
      <c r="T359" s="31">
        <f t="shared" si="4"/>
        <v>0</v>
      </c>
      <c r="U359" s="36">
        <f t="shared" si="5"/>
        <v>0</v>
      </c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5.75" customHeight="1">
      <c r="A360" s="116"/>
      <c r="B360" s="117"/>
      <c r="C360" s="19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9" t="s">
        <v>34</v>
      </c>
      <c r="W360" s="119">
        <v>1.0</v>
      </c>
      <c r="X360" s="119">
        <v>2.0</v>
      </c>
      <c r="Y360" s="119">
        <v>3.0</v>
      </c>
      <c r="Z360" s="119">
        <v>4.0</v>
      </c>
      <c r="AA360" s="119">
        <v>5.0</v>
      </c>
      <c r="AB360" s="119">
        <v>6.0</v>
      </c>
      <c r="AC360" s="119">
        <v>7.0</v>
      </c>
      <c r="AD360" s="119">
        <v>8.0</v>
      </c>
      <c r="AE360" s="119">
        <v>9.0</v>
      </c>
      <c r="AF360" s="119">
        <v>10.0</v>
      </c>
      <c r="AG360" s="119">
        <v>11.0</v>
      </c>
      <c r="AH360" s="119">
        <v>12.0</v>
      </c>
      <c r="AI360" s="119">
        <v>13.0</v>
      </c>
      <c r="AJ360" s="119" t="s">
        <v>35</v>
      </c>
      <c r="AK360" s="120"/>
    </row>
    <row r="361" ht="15.75" customHeight="1">
      <c r="A361" s="116"/>
      <c r="B361" s="117"/>
      <c r="C361" s="19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21">
        <f>SUM(Q3:Q359)</f>
        <v>175829.0349</v>
      </c>
      <c r="R361" s="118"/>
      <c r="S361" s="118"/>
      <c r="T361" s="122">
        <f>SUM(T3:T359)</f>
        <v>7815</v>
      </c>
      <c r="U361" s="118"/>
      <c r="V361" s="119" t="s">
        <v>36</v>
      </c>
      <c r="W361" s="120">
        <f t="shared" ref="W361:AI361" si="7">SUMIF($C$3:$C$359, W360, $T$3:$T$359)</f>
        <v>0</v>
      </c>
      <c r="X361" s="120">
        <f t="shared" si="7"/>
        <v>0</v>
      </c>
      <c r="Y361" s="120">
        <f t="shared" si="7"/>
        <v>0</v>
      </c>
      <c r="Z361" s="120">
        <f t="shared" si="7"/>
        <v>0</v>
      </c>
      <c r="AA361" s="120">
        <f t="shared" si="7"/>
        <v>0</v>
      </c>
      <c r="AB361" s="120">
        <f t="shared" si="7"/>
        <v>0</v>
      </c>
      <c r="AC361" s="120">
        <f t="shared" si="7"/>
        <v>0</v>
      </c>
      <c r="AD361" s="120">
        <f t="shared" si="7"/>
        <v>0</v>
      </c>
      <c r="AE361" s="120">
        <f t="shared" si="7"/>
        <v>0</v>
      </c>
      <c r="AF361" s="120">
        <f t="shared" si="7"/>
        <v>0</v>
      </c>
      <c r="AG361" s="120">
        <f t="shared" si="7"/>
        <v>0</v>
      </c>
      <c r="AH361" s="120">
        <f t="shared" si="7"/>
        <v>0</v>
      </c>
      <c r="AI361" s="120">
        <f t="shared" si="7"/>
        <v>0</v>
      </c>
      <c r="AJ361" s="119">
        <f>SUM(W361:AI361)</f>
        <v>0</v>
      </c>
      <c r="AK361" s="120"/>
    </row>
    <row r="362" ht="15.75" customHeight="1">
      <c r="A362" s="116"/>
      <c r="B362" s="117"/>
      <c r="C362" s="19"/>
      <c r="D362" s="118"/>
      <c r="E362" s="123"/>
      <c r="F362" s="123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9"/>
      <c r="W362" s="120"/>
      <c r="X362" s="120"/>
      <c r="Y362" s="120"/>
      <c r="Z362" s="120"/>
      <c r="AA362" s="120"/>
      <c r="AB362" s="120"/>
      <c r="AC362" s="120"/>
      <c r="AD362" s="120"/>
      <c r="AE362" s="120"/>
      <c r="AF362" s="120"/>
      <c r="AG362" s="120"/>
      <c r="AH362" s="120"/>
      <c r="AI362" s="120"/>
      <c r="AJ362" s="119"/>
      <c r="AK362" s="120"/>
    </row>
    <row r="363" ht="15.75" customHeight="1">
      <c r="A363" s="116"/>
      <c r="B363" s="117"/>
      <c r="C363" s="19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9"/>
      <c r="W363" s="120"/>
      <c r="X363" s="120"/>
      <c r="Y363" s="120"/>
      <c r="Z363" s="120"/>
      <c r="AA363" s="120"/>
      <c r="AB363" s="120"/>
      <c r="AC363" s="120"/>
      <c r="AD363" s="120"/>
      <c r="AE363" s="120"/>
      <c r="AF363" s="120"/>
      <c r="AG363" s="120"/>
      <c r="AH363" s="120"/>
      <c r="AI363" s="120"/>
      <c r="AJ363" s="119"/>
      <c r="AK363" s="120"/>
    </row>
    <row r="364" ht="15.75" customHeight="1">
      <c r="A364" s="116"/>
      <c r="B364" s="117"/>
      <c r="C364" s="19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9" t="s">
        <v>37</v>
      </c>
      <c r="W364" s="124">
        <f t="shared" ref="W364:AI364" si="8">SUMIF($C$3:$C$359, W360, $Q$3:$Q$359)</f>
        <v>0</v>
      </c>
      <c r="X364" s="124">
        <f t="shared" si="8"/>
        <v>0</v>
      </c>
      <c r="Y364" s="124">
        <f t="shared" si="8"/>
        <v>0</v>
      </c>
      <c r="Z364" s="124">
        <f t="shared" si="8"/>
        <v>0</v>
      </c>
      <c r="AA364" s="124">
        <f t="shared" si="8"/>
        <v>0</v>
      </c>
      <c r="AB364" s="124">
        <f t="shared" si="8"/>
        <v>0</v>
      </c>
      <c r="AC364" s="124">
        <f t="shared" si="8"/>
        <v>0</v>
      </c>
      <c r="AD364" s="124">
        <f t="shared" si="8"/>
        <v>0</v>
      </c>
      <c r="AE364" s="124">
        <f t="shared" si="8"/>
        <v>0</v>
      </c>
      <c r="AF364" s="124">
        <f t="shared" si="8"/>
        <v>0</v>
      </c>
      <c r="AG364" s="124">
        <f t="shared" si="8"/>
        <v>0</v>
      </c>
      <c r="AH364" s="124">
        <f t="shared" si="8"/>
        <v>0</v>
      </c>
      <c r="AI364" s="124">
        <f t="shared" si="8"/>
        <v>0</v>
      </c>
      <c r="AJ364" s="125">
        <f>SUM(W364:AI364)</f>
        <v>0</v>
      </c>
      <c r="AK364" s="120"/>
    </row>
    <row r="365" ht="15.75" customHeight="1">
      <c r="A365" s="116"/>
      <c r="B365" s="117"/>
      <c r="C365" s="19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9"/>
      <c r="W365" s="124"/>
      <c r="X365" s="124"/>
      <c r="Y365" s="124"/>
      <c r="Z365" s="124"/>
      <c r="AA365" s="124"/>
      <c r="AB365" s="124"/>
      <c r="AC365" s="124"/>
      <c r="AD365" s="124"/>
      <c r="AE365" s="124"/>
      <c r="AF365" s="124"/>
      <c r="AG365" s="124"/>
      <c r="AH365" s="124"/>
      <c r="AI365" s="124"/>
      <c r="AJ365" s="125"/>
      <c r="AK365" s="120"/>
    </row>
    <row r="366" ht="15.75" customHeight="1">
      <c r="A366" s="126"/>
      <c r="B366" s="118"/>
      <c r="C366" s="19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9"/>
      <c r="W366" s="124"/>
      <c r="X366" s="124"/>
      <c r="Y366" s="124"/>
      <c r="Z366" s="124"/>
      <c r="AA366" s="124"/>
      <c r="AB366" s="124"/>
      <c r="AC366" s="124"/>
      <c r="AD366" s="124"/>
      <c r="AE366" s="124"/>
      <c r="AF366" s="124"/>
      <c r="AG366" s="124"/>
      <c r="AH366" s="124"/>
      <c r="AI366" s="124"/>
      <c r="AJ366" s="125"/>
      <c r="AK366" s="120"/>
    </row>
    <row r="367" ht="15.75" customHeight="1">
      <c r="A367" s="126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9"/>
      <c r="W367" s="120"/>
      <c r="X367" s="120"/>
      <c r="Y367" s="120"/>
      <c r="Z367" s="120"/>
      <c r="AA367" s="120"/>
      <c r="AB367" s="120"/>
      <c r="AC367" s="120"/>
      <c r="AD367" s="120"/>
      <c r="AE367" s="120"/>
      <c r="AF367" s="120"/>
      <c r="AG367" s="120"/>
      <c r="AH367" s="120"/>
      <c r="AI367" s="120"/>
      <c r="AJ367" s="125"/>
      <c r="AK367" s="120"/>
    </row>
    <row r="368" ht="15.75" customHeight="1">
      <c r="A368" s="126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9"/>
      <c r="W368" s="120"/>
      <c r="X368" s="120"/>
      <c r="Y368" s="120"/>
      <c r="Z368" s="120"/>
      <c r="AA368" s="120"/>
      <c r="AB368" s="120"/>
      <c r="AC368" s="120"/>
      <c r="AD368" s="120"/>
      <c r="AE368" s="120"/>
      <c r="AF368" s="120"/>
      <c r="AG368" s="120"/>
      <c r="AH368" s="120"/>
      <c r="AI368" s="120"/>
      <c r="AJ368" s="125"/>
      <c r="AK368" s="120"/>
    </row>
    <row r="369" ht="15.75" customHeight="1">
      <c r="A369" s="126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27" t="s">
        <v>38</v>
      </c>
      <c r="W369" s="128">
        <v>0.26</v>
      </c>
      <c r="X369" s="120"/>
      <c r="Y369" s="120"/>
      <c r="Z369" s="120"/>
      <c r="AA369" s="120"/>
      <c r="AB369" s="120"/>
      <c r="AC369" s="120"/>
      <c r="AD369" s="120"/>
      <c r="AE369" s="120"/>
      <c r="AF369" s="120"/>
      <c r="AG369" s="120"/>
      <c r="AH369" s="120"/>
      <c r="AI369" s="120"/>
      <c r="AJ369" s="125"/>
      <c r="AK369" s="120"/>
    </row>
    <row r="370" ht="15.75" customHeight="1">
      <c r="A370" s="126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9"/>
      <c r="W370" s="124">
        <f t="shared" ref="W370:AI370" si="9">SUM(W364:W366)*$W$369</f>
        <v>0</v>
      </c>
      <c r="X370" s="124">
        <f t="shared" si="9"/>
        <v>0</v>
      </c>
      <c r="Y370" s="124">
        <f t="shared" si="9"/>
        <v>0</v>
      </c>
      <c r="Z370" s="124">
        <f t="shared" si="9"/>
        <v>0</v>
      </c>
      <c r="AA370" s="124">
        <f t="shared" si="9"/>
        <v>0</v>
      </c>
      <c r="AB370" s="124">
        <f t="shared" si="9"/>
        <v>0</v>
      </c>
      <c r="AC370" s="124">
        <f t="shared" si="9"/>
        <v>0</v>
      </c>
      <c r="AD370" s="124">
        <f t="shared" si="9"/>
        <v>0</v>
      </c>
      <c r="AE370" s="124">
        <f t="shared" si="9"/>
        <v>0</v>
      </c>
      <c r="AF370" s="124">
        <f t="shared" si="9"/>
        <v>0</v>
      </c>
      <c r="AG370" s="124">
        <f t="shared" si="9"/>
        <v>0</v>
      </c>
      <c r="AH370" s="124">
        <f t="shared" si="9"/>
        <v>0</v>
      </c>
      <c r="AI370" s="124">
        <f t="shared" si="9"/>
        <v>0</v>
      </c>
      <c r="AJ370" s="125">
        <f>SUM(W370:AI370)</f>
        <v>0</v>
      </c>
      <c r="AK370" s="129" t="str">
        <f>AJ370/AJ364</f>
        <v>#DIV/0!</v>
      </c>
    </row>
    <row r="371" ht="15.75" customHeight="1">
      <c r="A371" s="126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9"/>
      <c r="W371" s="120"/>
      <c r="X371" s="120"/>
      <c r="Y371" s="120"/>
      <c r="Z371" s="120"/>
      <c r="AA371" s="120"/>
      <c r="AB371" s="120"/>
      <c r="AC371" s="120"/>
      <c r="AD371" s="120"/>
      <c r="AE371" s="120"/>
      <c r="AF371" s="120"/>
      <c r="AG371" s="120"/>
      <c r="AH371" s="120"/>
      <c r="AI371" s="120"/>
      <c r="AJ371" s="125"/>
      <c r="AK371" s="120"/>
    </row>
    <row r="372" ht="15.75" customHeight="1">
      <c r="A372" s="126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27" t="s">
        <v>39</v>
      </c>
      <c r="W372" s="128">
        <v>0.0</v>
      </c>
      <c r="X372" s="120"/>
      <c r="Y372" s="120"/>
      <c r="Z372" s="120"/>
      <c r="AA372" s="120"/>
      <c r="AB372" s="120"/>
      <c r="AC372" s="120"/>
      <c r="AD372" s="120"/>
      <c r="AE372" s="120"/>
      <c r="AF372" s="120"/>
      <c r="AG372" s="120"/>
      <c r="AH372" s="120"/>
      <c r="AI372" s="120"/>
      <c r="AJ372" s="125"/>
      <c r="AK372" s="120"/>
    </row>
    <row r="373" ht="15.75" customHeight="1">
      <c r="A373" s="126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9"/>
      <c r="W373" s="124">
        <f t="shared" ref="W373:AI373" si="10">$AO$372*SUM(W364:W366)</f>
        <v>0</v>
      </c>
      <c r="X373" s="124">
        <f t="shared" si="10"/>
        <v>0</v>
      </c>
      <c r="Y373" s="124">
        <f t="shared" si="10"/>
        <v>0</v>
      </c>
      <c r="Z373" s="124">
        <f t="shared" si="10"/>
        <v>0</v>
      </c>
      <c r="AA373" s="124">
        <f t="shared" si="10"/>
        <v>0</v>
      </c>
      <c r="AB373" s="124">
        <f t="shared" si="10"/>
        <v>0</v>
      </c>
      <c r="AC373" s="124">
        <f t="shared" si="10"/>
        <v>0</v>
      </c>
      <c r="AD373" s="124">
        <f t="shared" si="10"/>
        <v>0</v>
      </c>
      <c r="AE373" s="124">
        <f t="shared" si="10"/>
        <v>0</v>
      </c>
      <c r="AF373" s="124">
        <f t="shared" si="10"/>
        <v>0</v>
      </c>
      <c r="AG373" s="124">
        <f t="shared" si="10"/>
        <v>0</v>
      </c>
      <c r="AH373" s="124">
        <f t="shared" si="10"/>
        <v>0</v>
      </c>
      <c r="AI373" s="124">
        <f t="shared" si="10"/>
        <v>0</v>
      </c>
      <c r="AJ373" s="125">
        <f>SUM(W373:AI373)</f>
        <v>0</v>
      </c>
      <c r="AK373" s="120"/>
    </row>
    <row r="374" ht="15.75" customHeight="1">
      <c r="A374" s="126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9"/>
      <c r="W374" s="124"/>
      <c r="X374" s="124"/>
      <c r="Y374" s="124"/>
      <c r="Z374" s="124"/>
      <c r="AA374" s="124"/>
      <c r="AB374" s="124"/>
      <c r="AC374" s="124"/>
      <c r="AD374" s="124"/>
      <c r="AE374" s="124"/>
      <c r="AF374" s="124"/>
      <c r="AG374" s="124"/>
      <c r="AH374" s="124"/>
      <c r="AI374" s="124"/>
      <c r="AJ374" s="125"/>
      <c r="AK374" s="120"/>
    </row>
    <row r="375" ht="15.75" customHeight="1">
      <c r="A375" s="126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9" t="s">
        <v>40</v>
      </c>
      <c r="W375" s="124">
        <f>SUM(W376:W378)</f>
        <v>42000</v>
      </c>
      <c r="X375" s="130" t="s">
        <v>41</v>
      </c>
      <c r="Y375" s="131">
        <f>SUM(W376:W378)/SUM(Z376:Z378)-1</f>
        <v>0.05</v>
      </c>
      <c r="Z375" s="132" t="s">
        <v>42</v>
      </c>
      <c r="AA375" s="120"/>
      <c r="AB375" s="120"/>
      <c r="AC375" s="120"/>
      <c r="AD375" s="120"/>
      <c r="AE375" s="120"/>
      <c r="AF375" s="120"/>
      <c r="AG375" s="120"/>
      <c r="AH375" s="120"/>
      <c r="AI375" s="120"/>
      <c r="AJ375" s="125"/>
      <c r="AK375" s="120"/>
    </row>
    <row r="376" ht="15.75" customHeight="1">
      <c r="A376" s="126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9" t="s">
        <v>43</v>
      </c>
      <c r="W376" s="124">
        <v>42000.0</v>
      </c>
      <c r="X376" s="120"/>
      <c r="Y376" s="120"/>
      <c r="Z376" s="124">
        <v>40000.0</v>
      </c>
      <c r="AA376" s="120"/>
      <c r="AB376" s="120"/>
      <c r="AC376" s="120"/>
      <c r="AD376" s="120"/>
      <c r="AE376" s="120"/>
      <c r="AF376" s="120"/>
      <c r="AG376" s="120"/>
      <c r="AH376" s="120"/>
      <c r="AI376" s="120"/>
      <c r="AJ376" s="125"/>
      <c r="AK376" s="120"/>
    </row>
    <row r="377" ht="15.75" customHeight="1">
      <c r="A377" s="126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9" t="s">
        <v>44</v>
      </c>
      <c r="W377" s="124">
        <v>0.0</v>
      </c>
      <c r="X377" s="120"/>
      <c r="Y377" s="120"/>
      <c r="Z377" s="124">
        <v>0.0</v>
      </c>
      <c r="AA377" s="120"/>
      <c r="AB377" s="120"/>
      <c r="AC377" s="120"/>
      <c r="AD377" s="120"/>
      <c r="AE377" s="120"/>
      <c r="AF377" s="120"/>
      <c r="AG377" s="120"/>
      <c r="AH377" s="120"/>
      <c r="AI377" s="120"/>
      <c r="AJ377" s="125"/>
      <c r="AK377" s="120"/>
    </row>
    <row r="378" ht="15.75" customHeight="1">
      <c r="A378" s="126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9" t="s">
        <v>45</v>
      </c>
      <c r="W378" s="124">
        <v>0.0</v>
      </c>
      <c r="X378" s="120"/>
      <c r="Y378" s="120"/>
      <c r="Z378" s="124">
        <v>0.0</v>
      </c>
      <c r="AA378" s="120"/>
      <c r="AB378" s="120"/>
      <c r="AC378" s="120"/>
      <c r="AD378" s="120"/>
      <c r="AE378" s="120"/>
      <c r="AF378" s="120"/>
      <c r="AG378" s="120"/>
      <c r="AH378" s="120"/>
      <c r="AI378" s="120"/>
      <c r="AJ378" s="125"/>
      <c r="AK378" s="120"/>
    </row>
    <row r="379" ht="15.75" customHeight="1">
      <c r="A379" s="126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9"/>
      <c r="W379" s="120"/>
      <c r="X379" s="120"/>
      <c r="Y379" s="120"/>
      <c r="Z379" s="120"/>
      <c r="AA379" s="120"/>
      <c r="AB379" s="120"/>
      <c r="AC379" s="120"/>
      <c r="AD379" s="120"/>
      <c r="AE379" s="120"/>
      <c r="AF379" s="120"/>
      <c r="AG379" s="120"/>
      <c r="AH379" s="120"/>
      <c r="AI379" s="120"/>
      <c r="AJ379" s="125"/>
      <c r="AK379" s="120"/>
    </row>
    <row r="380" ht="15.75" customHeight="1">
      <c r="A380" s="126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33" t="s">
        <v>46</v>
      </c>
      <c r="W380" s="134">
        <v>0.025</v>
      </c>
      <c r="X380" s="120"/>
      <c r="Y380" s="120"/>
      <c r="Z380" s="120"/>
      <c r="AA380" s="120"/>
      <c r="AB380" s="120"/>
      <c r="AC380" s="120"/>
      <c r="AD380" s="120"/>
      <c r="AE380" s="120"/>
      <c r="AF380" s="120"/>
      <c r="AG380" s="120"/>
      <c r="AH380" s="120"/>
      <c r="AI380" s="120"/>
      <c r="AJ380" s="125"/>
      <c r="AK380" s="120"/>
    </row>
    <row r="381" ht="15.75" customHeight="1">
      <c r="A381" s="126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33"/>
      <c r="W381" s="124">
        <f t="shared" ref="W381:AI381" si="11">$W$380 * W364</f>
        <v>0</v>
      </c>
      <c r="X381" s="124">
        <f t="shared" si="11"/>
        <v>0</v>
      </c>
      <c r="Y381" s="124">
        <f t="shared" si="11"/>
        <v>0</v>
      </c>
      <c r="Z381" s="124">
        <f t="shared" si="11"/>
        <v>0</v>
      </c>
      <c r="AA381" s="124">
        <f t="shared" si="11"/>
        <v>0</v>
      </c>
      <c r="AB381" s="124">
        <f t="shared" si="11"/>
        <v>0</v>
      </c>
      <c r="AC381" s="124">
        <f t="shared" si="11"/>
        <v>0</v>
      </c>
      <c r="AD381" s="124">
        <f t="shared" si="11"/>
        <v>0</v>
      </c>
      <c r="AE381" s="124">
        <f t="shared" si="11"/>
        <v>0</v>
      </c>
      <c r="AF381" s="124">
        <f t="shared" si="11"/>
        <v>0</v>
      </c>
      <c r="AG381" s="124">
        <f t="shared" si="11"/>
        <v>0</v>
      </c>
      <c r="AH381" s="124">
        <f t="shared" si="11"/>
        <v>0</v>
      </c>
      <c r="AI381" s="124">
        <f t="shared" si="11"/>
        <v>0</v>
      </c>
      <c r="AJ381" s="125">
        <f>SUM(W381:AI381)</f>
        <v>0</v>
      </c>
      <c r="AK381" s="120"/>
    </row>
    <row r="382" ht="15.75" customHeight="1">
      <c r="A382" s="126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9"/>
      <c r="W382" s="120"/>
      <c r="X382" s="120"/>
      <c r="Y382" s="120"/>
      <c r="Z382" s="120"/>
      <c r="AA382" s="120"/>
      <c r="AB382" s="120"/>
      <c r="AC382" s="120"/>
      <c r="AD382" s="120"/>
      <c r="AE382" s="120"/>
      <c r="AF382" s="120"/>
      <c r="AG382" s="120"/>
      <c r="AH382" s="120"/>
      <c r="AI382" s="120"/>
      <c r="AJ382" s="119"/>
      <c r="AK382" s="120"/>
    </row>
    <row r="383" ht="15.75" customHeight="1">
      <c r="A383" s="126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33" t="s">
        <v>47</v>
      </c>
      <c r="W383" s="134">
        <v>0.015</v>
      </c>
      <c r="X383" s="120"/>
      <c r="Y383" s="120"/>
      <c r="Z383" s="120"/>
      <c r="AA383" s="120"/>
      <c r="AB383" s="120"/>
      <c r="AC383" s="120"/>
      <c r="AD383" s="120"/>
      <c r="AE383" s="120"/>
      <c r="AF383" s="120"/>
      <c r="AG383" s="120"/>
      <c r="AH383" s="120"/>
      <c r="AI383" s="120"/>
      <c r="AJ383" s="125"/>
      <c r="AK383" s="120"/>
    </row>
    <row r="384" ht="15.75" customHeight="1">
      <c r="A384" s="126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9"/>
      <c r="W384" s="124">
        <f t="shared" ref="W384:AI384" si="12">$W$383 * W364</f>
        <v>0</v>
      </c>
      <c r="X384" s="124">
        <f t="shared" si="12"/>
        <v>0</v>
      </c>
      <c r="Y384" s="124">
        <f t="shared" si="12"/>
        <v>0</v>
      </c>
      <c r="Z384" s="124">
        <f t="shared" si="12"/>
        <v>0</v>
      </c>
      <c r="AA384" s="124">
        <f t="shared" si="12"/>
        <v>0</v>
      </c>
      <c r="AB384" s="124">
        <f t="shared" si="12"/>
        <v>0</v>
      </c>
      <c r="AC384" s="124">
        <f t="shared" si="12"/>
        <v>0</v>
      </c>
      <c r="AD384" s="124">
        <f t="shared" si="12"/>
        <v>0</v>
      </c>
      <c r="AE384" s="124">
        <f t="shared" si="12"/>
        <v>0</v>
      </c>
      <c r="AF384" s="124">
        <f t="shared" si="12"/>
        <v>0</v>
      </c>
      <c r="AG384" s="124">
        <f t="shared" si="12"/>
        <v>0</v>
      </c>
      <c r="AH384" s="124">
        <f t="shared" si="12"/>
        <v>0</v>
      </c>
      <c r="AI384" s="124">
        <f t="shared" si="12"/>
        <v>0</v>
      </c>
      <c r="AJ384" s="125">
        <f>SUM(W384:AI384)</f>
        <v>0</v>
      </c>
      <c r="AK384" s="120"/>
    </row>
    <row r="385" ht="15.75" customHeight="1">
      <c r="A385" s="126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9"/>
      <c r="W385" s="120"/>
      <c r="X385" s="120"/>
      <c r="Y385" s="120"/>
      <c r="Z385" s="120"/>
      <c r="AA385" s="120"/>
      <c r="AB385" s="120"/>
      <c r="AC385" s="120"/>
      <c r="AD385" s="120"/>
      <c r="AE385" s="120"/>
      <c r="AF385" s="120"/>
      <c r="AG385" s="120"/>
      <c r="AH385" s="120"/>
      <c r="AI385" s="120"/>
      <c r="AJ385" s="119"/>
      <c r="AK385" s="120"/>
    </row>
    <row r="386" ht="15.75" customHeight="1">
      <c r="A386" s="126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9" t="s">
        <v>48</v>
      </c>
      <c r="W386" s="124">
        <v>0.0</v>
      </c>
      <c r="X386" s="124">
        <v>0.0</v>
      </c>
      <c r="Y386" s="124">
        <v>0.0</v>
      </c>
      <c r="Z386" s="124">
        <v>500.0</v>
      </c>
      <c r="AA386" s="124">
        <v>20.0</v>
      </c>
      <c r="AB386" s="124">
        <v>20.0</v>
      </c>
      <c r="AC386" s="124">
        <v>20.0</v>
      </c>
      <c r="AD386" s="124">
        <v>20.0</v>
      </c>
      <c r="AE386" s="124">
        <v>20.0</v>
      </c>
      <c r="AF386" s="124">
        <v>20.0</v>
      </c>
      <c r="AG386" s="124">
        <v>0.0</v>
      </c>
      <c r="AH386" s="124">
        <v>0.0</v>
      </c>
      <c r="AI386" s="124">
        <v>0.0</v>
      </c>
      <c r="AJ386" s="125">
        <f>SUM(W386:AI386)</f>
        <v>620</v>
      </c>
      <c r="AK386" s="120"/>
    </row>
    <row r="387" ht="15.75" customHeight="1">
      <c r="A387" s="126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20"/>
      <c r="W387" s="120"/>
      <c r="X387" s="120"/>
      <c r="Y387" s="120"/>
      <c r="Z387" s="120"/>
      <c r="AA387" s="120"/>
      <c r="AB387" s="120"/>
      <c r="AC387" s="120"/>
      <c r="AD387" s="120"/>
      <c r="AE387" s="120"/>
      <c r="AF387" s="120"/>
      <c r="AG387" s="120"/>
      <c r="AH387" s="120"/>
      <c r="AI387" s="120"/>
      <c r="AJ387" s="125"/>
      <c r="AK387" s="120"/>
    </row>
    <row r="388" ht="15.75" customHeight="1">
      <c r="A388" s="126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35" t="s">
        <v>49</v>
      </c>
      <c r="W388" s="136"/>
      <c r="X388" s="136"/>
      <c r="Y388" s="137"/>
      <c r="Z388" s="120"/>
      <c r="AA388" s="120"/>
      <c r="AB388" s="120"/>
      <c r="AC388" s="120"/>
      <c r="AD388" s="120"/>
      <c r="AE388" s="120"/>
      <c r="AF388" s="120"/>
      <c r="AG388" s="120"/>
      <c r="AH388" s="120"/>
      <c r="AI388" s="120"/>
      <c r="AJ388" s="125"/>
      <c r="AK388" s="120"/>
    </row>
    <row r="389" ht="15.75" customHeight="1">
      <c r="A389" s="126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38" t="s">
        <v>50</v>
      </c>
      <c r="W389" s="120"/>
      <c r="X389" s="120"/>
      <c r="Y389" s="139">
        <v>1000.0</v>
      </c>
      <c r="Z389" s="120"/>
      <c r="AA389" s="120"/>
      <c r="AB389" s="120"/>
      <c r="AC389" s="120"/>
      <c r="AD389" s="120"/>
      <c r="AE389" s="120"/>
      <c r="AF389" s="120"/>
      <c r="AG389" s="120"/>
      <c r="AH389" s="120"/>
      <c r="AI389" s="120"/>
      <c r="AJ389" s="125"/>
      <c r="AK389" s="120"/>
    </row>
    <row r="390" ht="15.75" customHeight="1">
      <c r="A390" s="126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40" t="s">
        <v>51</v>
      </c>
      <c r="W390" s="120"/>
      <c r="X390" s="120"/>
      <c r="Y390" s="139">
        <v>5000.0</v>
      </c>
      <c r="Z390" s="120"/>
      <c r="AA390" s="120"/>
      <c r="AB390" s="120"/>
      <c r="AC390" s="120"/>
      <c r="AD390" s="120"/>
      <c r="AE390" s="120"/>
      <c r="AF390" s="120"/>
      <c r="AG390" s="120"/>
      <c r="AH390" s="120"/>
      <c r="AI390" s="120"/>
      <c r="AJ390" s="125"/>
      <c r="AK390" s="120"/>
    </row>
    <row r="391" ht="15.75" customHeight="1">
      <c r="A391" s="126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41" t="s">
        <v>52</v>
      </c>
      <c r="W391" s="120"/>
      <c r="X391" s="120"/>
      <c r="Y391" s="142"/>
      <c r="Z391" s="120"/>
      <c r="AA391" s="120"/>
      <c r="AB391" s="120"/>
      <c r="AC391" s="120"/>
      <c r="AD391" s="120"/>
      <c r="AE391" s="120"/>
      <c r="AF391" s="120"/>
      <c r="AG391" s="120"/>
      <c r="AH391" s="120"/>
      <c r="AI391" s="120"/>
      <c r="AJ391" s="125"/>
      <c r="AK391" s="120"/>
    </row>
    <row r="392" ht="15.75" customHeight="1">
      <c r="A392" s="126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38"/>
      <c r="W392" s="120"/>
      <c r="X392" s="120"/>
      <c r="Y392" s="143"/>
      <c r="Z392" s="120"/>
      <c r="AA392" s="120"/>
      <c r="AB392" s="120"/>
      <c r="AC392" s="120"/>
      <c r="AD392" s="120"/>
      <c r="AE392" s="120"/>
      <c r="AF392" s="120"/>
      <c r="AG392" s="120"/>
      <c r="AH392" s="120"/>
      <c r="AI392" s="120"/>
      <c r="AJ392" s="125"/>
      <c r="AK392" s="120"/>
    </row>
    <row r="393" ht="15.75" customHeight="1">
      <c r="A393" s="126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35" t="s">
        <v>53</v>
      </c>
      <c r="W393" s="120"/>
      <c r="X393" s="120"/>
      <c r="Y393" s="143"/>
      <c r="Z393" s="120"/>
      <c r="AA393" s="120"/>
      <c r="AB393" s="120"/>
      <c r="AC393" s="120"/>
      <c r="AD393" s="120"/>
      <c r="AE393" s="120"/>
      <c r="AF393" s="120"/>
      <c r="AG393" s="120"/>
      <c r="AH393" s="120"/>
      <c r="AI393" s="120"/>
      <c r="AJ393" s="125"/>
      <c r="AK393" s="120"/>
    </row>
    <row r="394" ht="15.75" customHeight="1">
      <c r="A394" s="126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38" t="s">
        <v>54</v>
      </c>
      <c r="W394" s="120"/>
      <c r="X394" s="120"/>
      <c r="Y394" s="139"/>
      <c r="Z394" s="120"/>
      <c r="AA394" s="120" t="s">
        <v>55</v>
      </c>
      <c r="AB394" s="134">
        <v>0.05</v>
      </c>
      <c r="AC394" s="120"/>
      <c r="AD394" s="120"/>
      <c r="AE394" s="120"/>
      <c r="AF394" s="120"/>
      <c r="AG394" s="120"/>
      <c r="AH394" s="120"/>
      <c r="AI394" s="120"/>
      <c r="AJ394" s="125"/>
      <c r="AK394" s="120"/>
    </row>
    <row r="395" ht="15.75" customHeight="1">
      <c r="A395" s="126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40" t="s">
        <v>56</v>
      </c>
      <c r="W395" s="120"/>
      <c r="X395" s="120"/>
      <c r="Y395" s="139"/>
      <c r="Z395" s="120"/>
      <c r="AA395" s="120" t="s">
        <v>57</v>
      </c>
      <c r="AB395" s="134">
        <v>0.072</v>
      </c>
      <c r="AC395" s="120"/>
      <c r="AD395" s="120"/>
      <c r="AE395" s="120"/>
      <c r="AF395" s="120"/>
      <c r="AG395" s="120"/>
      <c r="AH395" s="120"/>
      <c r="AI395" s="120"/>
      <c r="AJ395" s="119"/>
      <c r="AK395" s="120"/>
    </row>
    <row r="396" ht="15.75" customHeight="1">
      <c r="A396" s="126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41" t="s">
        <v>58</v>
      </c>
      <c r="W396" s="120"/>
      <c r="X396" s="120"/>
      <c r="Y396" s="142"/>
      <c r="Z396" s="120"/>
      <c r="AA396" s="120"/>
      <c r="AB396" s="120"/>
      <c r="AC396" s="120"/>
      <c r="AD396" s="120"/>
      <c r="AE396" s="120"/>
      <c r="AF396" s="120"/>
      <c r="AG396" s="120"/>
      <c r="AH396" s="120"/>
      <c r="AI396" s="120"/>
      <c r="AJ396" s="119"/>
      <c r="AK396" s="120"/>
    </row>
    <row r="397" ht="15.75" customHeight="1">
      <c r="A397" s="126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38"/>
      <c r="W397" s="120"/>
      <c r="X397" s="120"/>
      <c r="Y397" s="143"/>
      <c r="Z397" s="120"/>
      <c r="AA397" s="120"/>
      <c r="AB397" s="120"/>
      <c r="AC397" s="120"/>
      <c r="AD397" s="120"/>
      <c r="AE397" s="120"/>
      <c r="AF397" s="120"/>
      <c r="AG397" s="120"/>
      <c r="AH397" s="120"/>
      <c r="AI397" s="120"/>
      <c r="AJ397" s="119"/>
      <c r="AK397" s="120"/>
    </row>
    <row r="398" ht="15.75" customHeight="1">
      <c r="A398" s="126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35" t="s">
        <v>59</v>
      </c>
      <c r="W398" s="120"/>
      <c r="X398" s="120"/>
      <c r="Y398" s="143"/>
      <c r="Z398" s="120"/>
      <c r="AA398" s="120"/>
      <c r="AB398" s="120"/>
      <c r="AC398" s="120"/>
      <c r="AD398" s="120"/>
      <c r="AE398" s="120"/>
      <c r="AF398" s="120"/>
      <c r="AG398" s="120"/>
      <c r="AH398" s="120"/>
      <c r="AI398" s="120"/>
      <c r="AJ398" s="119"/>
      <c r="AK398" s="120"/>
    </row>
    <row r="399" ht="15.75" customHeight="1">
      <c r="A399" s="126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38" t="s">
        <v>60</v>
      </c>
      <c r="W399" s="120"/>
      <c r="X399" s="120"/>
      <c r="Y399" s="139">
        <v>12000.0</v>
      </c>
      <c r="Z399" s="120"/>
      <c r="AA399" s="120"/>
      <c r="AB399" s="120"/>
      <c r="AC399" s="120"/>
      <c r="AD399" s="120"/>
      <c r="AE399" s="120"/>
      <c r="AF399" s="120"/>
      <c r="AG399" s="120"/>
      <c r="AH399" s="120"/>
      <c r="AI399" s="120"/>
      <c r="AJ399" s="119"/>
      <c r="AK399" s="120"/>
    </row>
    <row r="400" ht="15.75" customHeight="1">
      <c r="A400" s="126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40" t="s">
        <v>61</v>
      </c>
      <c r="W400" s="120"/>
      <c r="X400" s="120"/>
      <c r="Y400" s="139">
        <v>0.0</v>
      </c>
      <c r="Z400" s="120"/>
      <c r="AA400" s="120"/>
      <c r="AB400" s="120"/>
      <c r="AC400" s="120"/>
      <c r="AD400" s="120"/>
      <c r="AE400" s="120"/>
      <c r="AF400" s="120"/>
      <c r="AG400" s="120"/>
      <c r="AH400" s="120"/>
      <c r="AI400" s="120"/>
      <c r="AJ400" s="119"/>
      <c r="AK400" s="120"/>
    </row>
    <row r="401" ht="15.75" customHeight="1">
      <c r="A401" s="126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41" t="s">
        <v>62</v>
      </c>
      <c r="W401" s="120"/>
      <c r="X401" s="120"/>
      <c r="Y401" s="142"/>
      <c r="Z401" s="120"/>
      <c r="AA401" s="120"/>
      <c r="AB401" s="120"/>
      <c r="AC401" s="120"/>
      <c r="AD401" s="120"/>
      <c r="AE401" s="120"/>
      <c r="AF401" s="120"/>
      <c r="AG401" s="120"/>
      <c r="AH401" s="120"/>
      <c r="AI401" s="120"/>
      <c r="AJ401" s="119"/>
      <c r="AK401" s="120"/>
    </row>
    <row r="402" ht="15.75" customHeight="1">
      <c r="A402" s="126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38"/>
      <c r="W402" s="120"/>
      <c r="X402" s="120"/>
      <c r="Y402" s="143"/>
      <c r="Z402" s="120"/>
      <c r="AA402" s="120"/>
      <c r="AB402" s="120"/>
      <c r="AC402" s="120"/>
      <c r="AD402" s="120"/>
      <c r="AE402" s="120"/>
      <c r="AF402" s="120"/>
      <c r="AG402" s="120"/>
      <c r="AH402" s="120"/>
      <c r="AI402" s="120"/>
      <c r="AJ402" s="119"/>
      <c r="AK402" s="120"/>
    </row>
    <row r="403" ht="15.75" customHeight="1">
      <c r="A403" s="126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35" t="s">
        <v>63</v>
      </c>
      <c r="W403" s="120"/>
      <c r="X403" s="120"/>
      <c r="Y403" s="144"/>
      <c r="Z403" s="120"/>
      <c r="AA403" s="120"/>
      <c r="AB403" s="120"/>
      <c r="AC403" s="120"/>
      <c r="AD403" s="120"/>
      <c r="AE403" s="120"/>
      <c r="AF403" s="120"/>
      <c r="AG403" s="120"/>
      <c r="AH403" s="120"/>
      <c r="AI403" s="120"/>
      <c r="AJ403" s="119"/>
      <c r="AK403" s="120"/>
    </row>
    <row r="404" ht="15.75" customHeight="1">
      <c r="A404" s="126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38" t="s">
        <v>64</v>
      </c>
      <c r="W404" s="120"/>
      <c r="X404" s="120"/>
      <c r="Y404" s="139">
        <f>60*7</f>
        <v>420</v>
      </c>
      <c r="Z404" s="120"/>
      <c r="AA404" s="120"/>
      <c r="AB404" s="120"/>
      <c r="AC404" s="120"/>
      <c r="AD404" s="120"/>
      <c r="AE404" s="120"/>
      <c r="AF404" s="120"/>
      <c r="AG404" s="120"/>
      <c r="AH404" s="120"/>
      <c r="AI404" s="120"/>
      <c r="AJ404" s="119"/>
      <c r="AK404" s="120"/>
    </row>
    <row r="405" ht="15.75" customHeight="1">
      <c r="A405" s="126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38" t="s">
        <v>65</v>
      </c>
      <c r="W405" s="120"/>
      <c r="X405" s="120"/>
      <c r="Y405" s="139">
        <v>0.0</v>
      </c>
      <c r="Z405" s="120"/>
      <c r="AA405" s="120"/>
      <c r="AB405" s="120"/>
      <c r="AC405" s="120"/>
      <c r="AD405" s="120"/>
      <c r="AE405" s="120"/>
      <c r="AF405" s="120"/>
      <c r="AG405" s="120"/>
      <c r="AH405" s="120"/>
      <c r="AI405" s="120"/>
      <c r="AJ405" s="119"/>
      <c r="AK405" s="120"/>
    </row>
    <row r="406" ht="15.75" customHeight="1">
      <c r="A406" s="126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40" t="s">
        <v>66</v>
      </c>
      <c r="W406" s="120"/>
      <c r="X406" s="120"/>
      <c r="Y406" s="139">
        <v>0.0</v>
      </c>
      <c r="Z406" s="120"/>
      <c r="AA406" s="120"/>
      <c r="AB406" s="120"/>
      <c r="AC406" s="120"/>
      <c r="AD406" s="120"/>
      <c r="AE406" s="120"/>
      <c r="AF406" s="120"/>
      <c r="AG406" s="120"/>
      <c r="AH406" s="120"/>
      <c r="AI406" s="120"/>
      <c r="AJ406" s="119"/>
      <c r="AK406" s="120"/>
    </row>
    <row r="407" ht="15.75" customHeight="1">
      <c r="A407" s="126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41" t="s">
        <v>67</v>
      </c>
      <c r="W407" s="120"/>
      <c r="X407" s="120"/>
      <c r="Y407" s="142">
        <v>0.0</v>
      </c>
      <c r="Z407" s="120"/>
      <c r="AA407" s="120"/>
      <c r="AB407" s="120"/>
      <c r="AC407" s="120"/>
      <c r="AD407" s="120"/>
      <c r="AE407" s="120"/>
      <c r="AF407" s="120"/>
      <c r="AG407" s="120"/>
      <c r="AH407" s="120"/>
      <c r="AI407" s="120"/>
      <c r="AJ407" s="119"/>
      <c r="AK407" s="120"/>
    </row>
    <row r="408" ht="15.75" customHeight="1">
      <c r="A408" s="126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38"/>
      <c r="W408" s="120"/>
      <c r="X408" s="120"/>
      <c r="Y408" s="143"/>
      <c r="Z408" s="120"/>
      <c r="AA408" s="120"/>
      <c r="AB408" s="120"/>
      <c r="AC408" s="120"/>
      <c r="AD408" s="120"/>
      <c r="AE408" s="120"/>
      <c r="AF408" s="120"/>
      <c r="AG408" s="120"/>
      <c r="AH408" s="120"/>
      <c r="AI408" s="120"/>
      <c r="AJ408" s="119"/>
      <c r="AK408" s="120"/>
    </row>
    <row r="409" ht="15.75" customHeight="1">
      <c r="A409" s="126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35" t="s">
        <v>68</v>
      </c>
      <c r="W409" s="120"/>
      <c r="X409" s="120"/>
      <c r="Y409" s="139">
        <v>0.0</v>
      </c>
      <c r="Z409" s="120"/>
      <c r="AA409" s="120"/>
      <c r="AB409" s="120"/>
      <c r="AC409" s="120"/>
      <c r="AD409" s="120"/>
      <c r="AE409" s="120"/>
      <c r="AF409" s="120"/>
      <c r="AG409" s="120"/>
      <c r="AH409" s="120"/>
      <c r="AI409" s="120"/>
      <c r="AJ409" s="119"/>
      <c r="AK409" s="120"/>
    </row>
    <row r="410" ht="15.75" customHeight="1">
      <c r="A410" s="126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38" t="s">
        <v>69</v>
      </c>
      <c r="W410" s="120"/>
      <c r="X410" s="120"/>
      <c r="Y410" s="139">
        <v>2600.0</v>
      </c>
      <c r="Z410" s="120"/>
      <c r="AA410" s="120"/>
      <c r="AB410" s="120"/>
      <c r="AC410" s="120"/>
      <c r="AD410" s="120"/>
      <c r="AE410" s="120"/>
      <c r="AF410" s="120"/>
      <c r="AG410" s="120"/>
      <c r="AH410" s="120"/>
      <c r="AI410" s="120"/>
      <c r="AJ410" s="119"/>
      <c r="AK410" s="120"/>
    </row>
    <row r="411" ht="15.75" customHeight="1">
      <c r="A411" s="126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40" t="s">
        <v>70</v>
      </c>
      <c r="W411" s="120"/>
      <c r="X411" s="120"/>
      <c r="Y411" s="139">
        <v>7500.0</v>
      </c>
      <c r="Z411" s="120"/>
      <c r="AA411" s="120"/>
      <c r="AB411" s="120"/>
      <c r="AC411" s="120"/>
      <c r="AD411" s="120"/>
      <c r="AE411" s="120"/>
      <c r="AF411" s="120"/>
      <c r="AG411" s="120"/>
      <c r="AH411" s="120"/>
      <c r="AI411" s="120"/>
      <c r="AJ411" s="119"/>
      <c r="AK411" s="120"/>
    </row>
    <row r="412" ht="15.75" customHeight="1">
      <c r="A412" s="126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41" t="s">
        <v>71</v>
      </c>
      <c r="W412" s="120"/>
      <c r="X412" s="120"/>
      <c r="Y412" s="139">
        <v>0.0</v>
      </c>
      <c r="Z412" s="120"/>
      <c r="AA412" s="120"/>
      <c r="AB412" s="120"/>
      <c r="AC412" s="120"/>
      <c r="AD412" s="120"/>
      <c r="AE412" s="120"/>
      <c r="AF412" s="120"/>
      <c r="AG412" s="120"/>
      <c r="AH412" s="120"/>
      <c r="AI412" s="120"/>
      <c r="AJ412" s="119"/>
      <c r="AK412" s="120"/>
    </row>
    <row r="413" ht="15.75" customHeight="1">
      <c r="A413" s="126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38"/>
      <c r="W413" s="120"/>
      <c r="X413" s="120"/>
      <c r="Y413" s="142">
        <v>0.0</v>
      </c>
      <c r="Z413" s="120"/>
      <c r="AA413" s="120"/>
      <c r="AB413" s="120"/>
      <c r="AC413" s="120"/>
      <c r="AD413" s="120"/>
      <c r="AE413" s="120"/>
      <c r="AF413" s="120"/>
      <c r="AG413" s="120"/>
      <c r="AH413" s="120"/>
      <c r="AI413" s="120"/>
      <c r="AJ413" s="119"/>
      <c r="AK413" s="120"/>
    </row>
    <row r="414" ht="15.75" customHeight="1">
      <c r="A414" s="126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35" t="s">
        <v>72</v>
      </c>
      <c r="W414" s="120"/>
      <c r="X414" s="120"/>
      <c r="Y414" s="143"/>
      <c r="Z414" s="120"/>
      <c r="AA414" s="120"/>
      <c r="AB414" s="120"/>
      <c r="AC414" s="120"/>
      <c r="AD414" s="120"/>
      <c r="AE414" s="120"/>
      <c r="AF414" s="120"/>
      <c r="AG414" s="120"/>
      <c r="AH414" s="120"/>
      <c r="AI414" s="120"/>
      <c r="AJ414" s="119"/>
      <c r="AK414" s="120"/>
    </row>
    <row r="415" ht="15.75" customHeight="1">
      <c r="A415" s="126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38" t="s">
        <v>73</v>
      </c>
      <c r="W415" s="120"/>
      <c r="X415" s="120"/>
      <c r="Y415" s="139">
        <v>0.0</v>
      </c>
      <c r="Z415" s="120"/>
      <c r="AA415" s="120"/>
      <c r="AB415" s="120"/>
      <c r="AC415" s="120"/>
      <c r="AD415" s="120"/>
      <c r="AE415" s="120"/>
      <c r="AF415" s="120"/>
      <c r="AG415" s="120"/>
      <c r="AH415" s="120"/>
      <c r="AI415" s="120"/>
      <c r="AJ415" s="119"/>
      <c r="AK415" s="120"/>
    </row>
    <row r="416" ht="15.75" customHeight="1">
      <c r="A416" s="126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40" t="s">
        <v>74</v>
      </c>
      <c r="W416" s="120"/>
      <c r="X416" s="120"/>
      <c r="Y416" s="139">
        <v>500.0</v>
      </c>
      <c r="Z416" s="120"/>
      <c r="AA416" s="120"/>
      <c r="AB416" s="120"/>
      <c r="AC416" s="120"/>
      <c r="AD416" s="120"/>
      <c r="AE416" s="120"/>
      <c r="AF416" s="120"/>
      <c r="AG416" s="120"/>
      <c r="AH416" s="120"/>
      <c r="AI416" s="120"/>
      <c r="AJ416" s="119"/>
      <c r="AK416" s="120"/>
    </row>
    <row r="417" ht="15.75" customHeight="1">
      <c r="A417" s="126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41" t="s">
        <v>75</v>
      </c>
      <c r="W417" s="120"/>
      <c r="X417" s="120"/>
      <c r="Y417" s="142"/>
      <c r="Z417" s="120"/>
      <c r="AA417" s="120"/>
      <c r="AB417" s="120"/>
      <c r="AC417" s="120"/>
      <c r="AD417" s="120"/>
      <c r="AE417" s="120"/>
      <c r="AF417" s="120"/>
      <c r="AG417" s="120"/>
      <c r="AH417" s="120"/>
      <c r="AI417" s="120"/>
      <c r="AJ417" s="119"/>
      <c r="AK417" s="120"/>
    </row>
    <row r="418" ht="15.75" customHeight="1">
      <c r="A418" s="126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38"/>
      <c r="W418" s="120"/>
      <c r="X418" s="120"/>
      <c r="Y418" s="144"/>
      <c r="Z418" s="120"/>
      <c r="AA418" s="120"/>
      <c r="AB418" s="120"/>
      <c r="AC418" s="120"/>
      <c r="AD418" s="120"/>
      <c r="AE418" s="120"/>
      <c r="AF418" s="120"/>
      <c r="AG418" s="120"/>
      <c r="AH418" s="120"/>
      <c r="AI418" s="120"/>
      <c r="AJ418" s="119"/>
      <c r="AK418" s="120"/>
    </row>
    <row r="419" ht="15.75" customHeight="1">
      <c r="A419" s="126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35" t="s">
        <v>76</v>
      </c>
      <c r="W419" s="120"/>
      <c r="X419" s="120"/>
      <c r="Y419" s="139">
        <v>0.0</v>
      </c>
      <c r="Z419" s="120"/>
      <c r="AA419" s="120"/>
      <c r="AB419" s="120"/>
      <c r="AC419" s="120"/>
      <c r="AD419" s="120"/>
      <c r="AE419" s="120"/>
      <c r="AF419" s="120"/>
      <c r="AG419" s="120"/>
      <c r="AH419" s="120"/>
      <c r="AI419" s="120"/>
      <c r="AJ419" s="119"/>
      <c r="AK419" s="120"/>
    </row>
    <row r="420" ht="15.75" customHeight="1">
      <c r="A420" s="126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38" t="s">
        <v>77</v>
      </c>
      <c r="W420" s="120"/>
      <c r="X420" s="120"/>
      <c r="Y420" s="139">
        <v>350.0</v>
      </c>
      <c r="Z420" s="120"/>
      <c r="AA420" s="120"/>
      <c r="AB420" s="120"/>
      <c r="AC420" s="120"/>
      <c r="AD420" s="120"/>
      <c r="AE420" s="120"/>
      <c r="AF420" s="120"/>
      <c r="AG420" s="120"/>
      <c r="AH420" s="120"/>
      <c r="AI420" s="120"/>
      <c r="AJ420" s="119"/>
      <c r="AK420" s="120"/>
    </row>
    <row r="421" ht="15.75" customHeight="1">
      <c r="A421" s="126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38" t="s">
        <v>78</v>
      </c>
      <c r="W421" s="120"/>
      <c r="X421" s="120"/>
      <c r="Y421" s="139">
        <v>350.0</v>
      </c>
      <c r="Z421" s="120"/>
      <c r="AA421" s="120"/>
      <c r="AB421" s="120"/>
      <c r="AC421" s="120"/>
      <c r="AD421" s="120"/>
      <c r="AE421" s="120"/>
      <c r="AF421" s="120"/>
      <c r="AG421" s="120"/>
      <c r="AH421" s="120"/>
      <c r="AI421" s="120"/>
      <c r="AJ421" s="119"/>
      <c r="AK421" s="120"/>
    </row>
    <row r="422" ht="15.75" customHeight="1">
      <c r="A422" s="126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40" t="s">
        <v>79</v>
      </c>
      <c r="W422" s="120"/>
      <c r="X422" s="120"/>
      <c r="Y422" s="139">
        <v>0.0</v>
      </c>
      <c r="Z422" s="120"/>
      <c r="AA422" s="120"/>
      <c r="AB422" s="120"/>
      <c r="AC422" s="120"/>
      <c r="AD422" s="120"/>
      <c r="AE422" s="120"/>
      <c r="AF422" s="120"/>
      <c r="AG422" s="120"/>
      <c r="AH422" s="120"/>
      <c r="AI422" s="120"/>
      <c r="AJ422" s="119"/>
      <c r="AK422" s="120"/>
    </row>
    <row r="423" ht="15.75" customHeight="1">
      <c r="A423" s="126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41" t="s">
        <v>80</v>
      </c>
      <c r="W423" s="120"/>
      <c r="X423" s="120"/>
      <c r="Y423" s="139">
        <v>0.0</v>
      </c>
      <c r="Z423" s="120"/>
      <c r="AA423" s="120"/>
      <c r="AB423" s="120"/>
      <c r="AC423" s="120"/>
      <c r="AD423" s="120"/>
      <c r="AE423" s="120"/>
      <c r="AF423" s="120"/>
      <c r="AG423" s="120"/>
      <c r="AH423" s="120"/>
      <c r="AI423" s="120"/>
      <c r="AJ423" s="119"/>
      <c r="AK423" s="120"/>
    </row>
    <row r="424" ht="15.75" customHeight="1">
      <c r="A424" s="126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38"/>
      <c r="W424" s="120"/>
      <c r="X424" s="120"/>
      <c r="Y424" s="139"/>
      <c r="Z424" s="120"/>
      <c r="AA424" s="120"/>
      <c r="AB424" s="120"/>
      <c r="AC424" s="120"/>
      <c r="AD424" s="120"/>
      <c r="AE424" s="120"/>
      <c r="AF424" s="120"/>
      <c r="AG424" s="120"/>
      <c r="AH424" s="120"/>
      <c r="AI424" s="120"/>
      <c r="AJ424" s="119"/>
      <c r="AK424" s="120"/>
    </row>
    <row r="425" ht="15.75" customHeight="1">
      <c r="A425" s="126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45" t="s">
        <v>81</v>
      </c>
      <c r="W425" s="120"/>
      <c r="X425" s="120"/>
      <c r="Y425" s="142"/>
      <c r="Z425" s="120"/>
      <c r="AA425" s="120"/>
      <c r="AB425" s="120"/>
      <c r="AC425" s="120"/>
      <c r="AD425" s="120"/>
      <c r="AE425" s="120"/>
      <c r="AF425" s="120"/>
      <c r="AG425" s="120"/>
      <c r="AH425" s="120"/>
      <c r="AI425" s="120"/>
      <c r="AJ425" s="119"/>
      <c r="AK425" s="120"/>
    </row>
    <row r="426" ht="15.75" customHeight="1">
      <c r="A426" s="126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46"/>
      <c r="W426" s="120"/>
      <c r="X426" s="120"/>
      <c r="Y426" s="143"/>
      <c r="Z426" s="120"/>
      <c r="AA426" s="120"/>
      <c r="AB426" s="120"/>
      <c r="AC426" s="120"/>
      <c r="AD426" s="120"/>
      <c r="AE426" s="120"/>
      <c r="AF426" s="120"/>
      <c r="AG426" s="120"/>
      <c r="AH426" s="120"/>
      <c r="AI426" s="120"/>
      <c r="AJ426" s="119"/>
      <c r="AK426" s="120"/>
    </row>
    <row r="427" ht="15.75" customHeight="1">
      <c r="A427" s="126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47"/>
      <c r="W427" s="120"/>
      <c r="X427" s="120"/>
      <c r="Y427" s="142"/>
      <c r="Z427" s="120"/>
      <c r="AA427" s="120"/>
      <c r="AB427" s="120"/>
      <c r="AC427" s="120"/>
      <c r="AD427" s="120"/>
      <c r="AE427" s="120"/>
      <c r="AF427" s="120"/>
      <c r="AG427" s="120"/>
      <c r="AH427" s="120"/>
      <c r="AI427" s="120"/>
      <c r="AJ427" s="119"/>
      <c r="AK427" s="120"/>
    </row>
    <row r="428" ht="15.75" customHeight="1">
      <c r="A428" s="126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48"/>
      <c r="W428" s="120"/>
      <c r="X428" s="120"/>
      <c r="Y428" s="144"/>
      <c r="Z428" s="120"/>
      <c r="AA428" s="120"/>
      <c r="AB428" s="120"/>
      <c r="AC428" s="120"/>
      <c r="AD428" s="120"/>
      <c r="AE428" s="120"/>
      <c r="AF428" s="120"/>
      <c r="AG428" s="120"/>
      <c r="AH428" s="120"/>
      <c r="AI428" s="120"/>
      <c r="AJ428" s="119"/>
      <c r="AK428" s="120"/>
    </row>
    <row r="429" ht="15.75" customHeight="1">
      <c r="A429" s="126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49"/>
      <c r="W429" s="150"/>
      <c r="X429" s="150"/>
      <c r="Y429" s="151"/>
      <c r="Z429" s="120"/>
      <c r="AA429" s="120"/>
      <c r="AB429" s="120"/>
      <c r="AC429" s="120"/>
      <c r="AD429" s="120"/>
      <c r="AE429" s="120"/>
      <c r="AF429" s="120"/>
      <c r="AG429" s="120"/>
      <c r="AH429" s="120"/>
      <c r="AI429" s="120"/>
      <c r="AJ429" s="119"/>
      <c r="AK429" s="120"/>
    </row>
    <row r="430" ht="15.75" customHeight="1">
      <c r="A430" s="126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5.75" customHeight="1">
      <c r="A431" s="126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5.75" customHeight="1">
      <c r="A432" s="126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5.75" customHeight="1">
      <c r="A433" s="126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5.75" customHeight="1">
      <c r="A434" s="126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5.75" customHeight="1">
      <c r="A435" s="126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5.75" customHeight="1">
      <c r="A436" s="126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5.75" customHeight="1">
      <c r="A437" s="126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5.75" customHeight="1">
      <c r="A438" s="126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5.75" customHeight="1">
      <c r="A439" s="126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5.75" customHeight="1">
      <c r="A440" s="126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5.75" customHeight="1">
      <c r="A441" s="126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5.75" customHeight="1">
      <c r="A442" s="126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5.75" customHeight="1">
      <c r="A443" s="126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5.75" customHeight="1">
      <c r="A444" s="126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5.75" customHeight="1">
      <c r="A445" s="126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5.75" customHeight="1">
      <c r="A446" s="126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5.75" customHeight="1">
      <c r="A447" s="126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5.75" customHeight="1">
      <c r="A448" s="126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5.75" customHeight="1">
      <c r="A449" s="126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5.75" customHeight="1">
      <c r="A450" s="126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5.75" customHeight="1">
      <c r="A451" s="126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5.75" customHeight="1">
      <c r="A452" s="126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5.75" customHeight="1">
      <c r="A453" s="126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5.75" customHeight="1">
      <c r="A454" s="126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5.75" customHeight="1">
      <c r="A455" s="126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5.75" customHeight="1">
      <c r="A456" s="126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5.75" customHeight="1">
      <c r="A457" s="126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5.75" customHeight="1">
      <c r="A458" s="126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5.75" customHeight="1">
      <c r="A459" s="126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5.75" customHeight="1">
      <c r="A460" s="126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5.75" customHeight="1">
      <c r="A461" s="126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5.75" customHeight="1">
      <c r="A462" s="126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5.75" customHeight="1">
      <c r="A463" s="126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5.75" customHeight="1">
      <c r="A464" s="126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5.75" customHeight="1">
      <c r="A465" s="126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5.75" customHeight="1">
      <c r="A466" s="126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5.75" customHeight="1">
      <c r="A467" s="126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5.75" customHeight="1">
      <c r="A468" s="126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5.75" customHeight="1">
      <c r="A469" s="126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5.75" customHeight="1">
      <c r="A470" s="126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5.75" customHeight="1">
      <c r="A471" s="126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5.75" customHeight="1">
      <c r="A472" s="126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5.75" customHeight="1">
      <c r="A473" s="126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5.75" customHeight="1">
      <c r="A474" s="126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5.75" customHeight="1">
      <c r="A475" s="126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5.75" customHeight="1">
      <c r="A476" s="126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5.75" customHeight="1">
      <c r="A477" s="126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5.75" customHeight="1">
      <c r="A478" s="126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5.75" customHeight="1">
      <c r="A479" s="126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5.75" customHeight="1">
      <c r="A480" s="126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5.75" customHeight="1">
      <c r="A481" s="126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5.75" customHeight="1">
      <c r="A482" s="126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5.75" customHeight="1">
      <c r="A483" s="126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5.75" customHeight="1">
      <c r="A484" s="126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5.75" customHeight="1">
      <c r="A485" s="126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5.75" customHeight="1">
      <c r="A486" s="126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5.75" customHeight="1">
      <c r="A487" s="126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5.75" customHeight="1">
      <c r="A488" s="126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5.75" customHeight="1">
      <c r="A489" s="126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5.75" customHeight="1">
      <c r="A490" s="126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5.75" customHeight="1">
      <c r="A491" s="126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5.75" customHeight="1">
      <c r="A492" s="126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5.75" customHeight="1">
      <c r="A493" s="126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5.75" customHeight="1">
      <c r="A494" s="126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5.75" customHeight="1">
      <c r="A495" s="126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5.75" customHeight="1">
      <c r="A496" s="126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5.75" customHeight="1">
      <c r="A497" s="126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5.75" customHeight="1">
      <c r="A498" s="126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5.75" customHeight="1">
      <c r="A499" s="126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5.75" customHeight="1">
      <c r="A500" s="126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5.75" customHeight="1">
      <c r="A501" s="126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5.75" customHeight="1">
      <c r="A502" s="126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5.75" customHeight="1">
      <c r="A503" s="126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5.75" customHeight="1">
      <c r="A504" s="126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5.75" customHeight="1">
      <c r="A505" s="126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5.75" customHeight="1">
      <c r="A506" s="126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5.75" customHeight="1">
      <c r="A507" s="126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5.75" customHeight="1">
      <c r="A508" s="126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5.75" customHeight="1">
      <c r="A509" s="126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5.75" customHeight="1">
      <c r="A510" s="126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5.75" customHeight="1">
      <c r="A511" s="126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5.75" customHeight="1">
      <c r="A512" s="126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5.75" customHeight="1">
      <c r="A513" s="126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5.75" customHeight="1">
      <c r="A514" s="126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5.75" customHeight="1">
      <c r="A515" s="126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5.75" customHeight="1">
      <c r="A516" s="126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5.75" customHeight="1">
      <c r="A517" s="126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5.75" customHeight="1">
      <c r="A518" s="126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5.75" customHeight="1">
      <c r="A519" s="126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5.75" customHeight="1">
      <c r="A520" s="126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5.75" customHeight="1">
      <c r="A521" s="126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5.75" customHeight="1">
      <c r="A522" s="126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5.75" customHeight="1">
      <c r="A523" s="126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5.75" customHeight="1">
      <c r="A524" s="126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5.75" customHeight="1">
      <c r="A525" s="126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5.75" customHeight="1">
      <c r="A526" s="126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5.75" customHeight="1">
      <c r="A527" s="126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5.75" customHeight="1">
      <c r="A528" s="126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5.75" customHeight="1">
      <c r="A529" s="126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5.75" customHeight="1">
      <c r="A530" s="126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5.75" customHeight="1">
      <c r="A531" s="126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5.75" customHeight="1">
      <c r="A532" s="126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5.75" customHeight="1">
      <c r="A533" s="126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5.75" customHeight="1">
      <c r="A534" s="126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5.75" customHeight="1">
      <c r="A535" s="126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5.75" customHeight="1">
      <c r="A536" s="126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5.75" customHeight="1">
      <c r="A537" s="126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5.75" customHeight="1">
      <c r="A538" s="126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5.75" customHeight="1">
      <c r="A539" s="126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5.75" customHeight="1">
      <c r="A540" s="126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5.75" customHeight="1">
      <c r="A541" s="126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5.75" customHeight="1">
      <c r="A542" s="126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5.75" customHeight="1">
      <c r="A543" s="126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5.75" customHeight="1">
      <c r="A544" s="126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5.75" customHeight="1">
      <c r="A545" s="126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5.75" customHeight="1">
      <c r="A546" s="126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5.75" customHeight="1">
      <c r="A547" s="126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5.75" customHeight="1">
      <c r="A548" s="126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5.75" customHeight="1">
      <c r="A549" s="126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5.75" customHeight="1">
      <c r="A550" s="126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5.75" customHeight="1">
      <c r="A551" s="126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5.75" customHeight="1">
      <c r="A552" s="126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5.75" customHeight="1">
      <c r="A553" s="126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5.75" customHeight="1">
      <c r="A554" s="126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5.75" customHeight="1">
      <c r="A555" s="126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5.75" customHeight="1">
      <c r="A556" s="126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5.75" customHeight="1">
      <c r="A557" s="126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5.75" customHeight="1">
      <c r="A558" s="126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5.75" customHeight="1">
      <c r="A559" s="126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5.75" customHeight="1">
      <c r="A560" s="126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5.75" customHeight="1">
      <c r="A561" s="126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5.75" customHeight="1">
      <c r="A562" s="126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5.75" customHeight="1">
      <c r="A563" s="126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5.75" customHeight="1">
      <c r="A564" s="126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5.75" customHeight="1">
      <c r="A565" s="126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5.75" customHeight="1">
      <c r="A566" s="126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5.75" customHeight="1">
      <c r="A567" s="126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5.75" customHeight="1">
      <c r="A568" s="126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5.75" customHeight="1">
      <c r="A569" s="126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5.75" customHeight="1">
      <c r="A570" s="126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5.75" customHeight="1">
      <c r="A571" s="126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5.75" customHeight="1">
      <c r="A572" s="126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5.75" customHeight="1">
      <c r="A573" s="126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5.75" customHeight="1">
      <c r="A574" s="126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5.75" customHeight="1">
      <c r="A575" s="126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5.75" customHeight="1">
      <c r="A576" s="126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5.75" customHeight="1">
      <c r="A577" s="126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5.75" customHeight="1">
      <c r="A578" s="126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5.75" customHeight="1">
      <c r="A579" s="126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5.75" customHeight="1">
      <c r="A580" s="126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5.75" customHeight="1">
      <c r="A581" s="126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5.75" customHeight="1">
      <c r="A582" s="126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5.75" customHeight="1">
      <c r="A583" s="126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5.75" customHeight="1">
      <c r="A584" s="126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5.75" customHeight="1">
      <c r="A585" s="126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5.75" customHeight="1">
      <c r="A586" s="126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5.75" customHeight="1">
      <c r="A587" s="126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5.75" customHeight="1">
      <c r="A588" s="126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5.75" customHeight="1">
      <c r="A589" s="126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5.75" customHeight="1">
      <c r="A590" s="126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5.75" customHeight="1">
      <c r="A591" s="126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5.75" customHeight="1">
      <c r="A592" s="126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5.75" customHeight="1">
      <c r="A593" s="126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5.75" customHeight="1">
      <c r="A594" s="126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5.75" customHeight="1">
      <c r="A595" s="126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5.75" customHeight="1">
      <c r="A596" s="126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5.75" customHeight="1">
      <c r="A597" s="126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5.75" customHeight="1">
      <c r="A598" s="126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5.75" customHeight="1">
      <c r="A599" s="126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5.75" customHeight="1">
      <c r="A600" s="126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5.75" customHeight="1">
      <c r="A601" s="126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5.75" customHeight="1">
      <c r="A602" s="126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5.75" customHeight="1">
      <c r="A603" s="126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5.75" customHeight="1">
      <c r="A604" s="126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5.75" customHeight="1">
      <c r="A605" s="126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5.75" customHeight="1">
      <c r="A606" s="126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5.75" customHeight="1">
      <c r="A607" s="126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5.75" customHeight="1">
      <c r="A608" s="126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5.75" customHeight="1">
      <c r="A609" s="126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5.75" customHeight="1">
      <c r="A610" s="126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5.75" customHeight="1">
      <c r="A611" s="126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5.75" customHeight="1">
      <c r="A612" s="126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5.75" customHeight="1">
      <c r="A613" s="126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5.75" customHeight="1">
      <c r="A614" s="126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5.75" customHeight="1">
      <c r="A615" s="126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5.75" customHeight="1">
      <c r="A616" s="126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5.75" customHeight="1">
      <c r="A617" s="126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5.75" customHeight="1">
      <c r="A618" s="126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5.75" customHeight="1">
      <c r="A619" s="126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5.75" customHeight="1">
      <c r="A620" s="126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5.75" customHeight="1">
      <c r="A621" s="126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5.75" customHeight="1">
      <c r="A622" s="126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5.75" customHeight="1">
      <c r="A623" s="126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5.75" customHeight="1">
      <c r="A624" s="126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5.75" customHeight="1">
      <c r="A625" s="126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</sheetData>
  <mergeCells count="1788">
    <mergeCell ref="A1:F1"/>
    <mergeCell ref="G1:P1"/>
    <mergeCell ref="Q1:U1"/>
    <mergeCell ref="I3:J3"/>
    <mergeCell ref="K3:L3"/>
    <mergeCell ref="M3:N3"/>
    <mergeCell ref="O3:P3"/>
    <mergeCell ref="M5:N5"/>
    <mergeCell ref="O5:P5"/>
    <mergeCell ref="M6:N6"/>
    <mergeCell ref="O6:P6"/>
    <mergeCell ref="M7:N7"/>
    <mergeCell ref="O7:P7"/>
    <mergeCell ref="G3:H3"/>
    <mergeCell ref="G4:H4"/>
    <mergeCell ref="I4:J4"/>
    <mergeCell ref="K4:L4"/>
    <mergeCell ref="M4:N4"/>
    <mergeCell ref="O4:P4"/>
    <mergeCell ref="G5:H5"/>
    <mergeCell ref="I5:J5"/>
    <mergeCell ref="K5:L5"/>
    <mergeCell ref="G6:H6"/>
    <mergeCell ref="I6:J6"/>
    <mergeCell ref="K6:L6"/>
    <mergeCell ref="I7:J7"/>
    <mergeCell ref="K7:L7"/>
    <mergeCell ref="M9:N9"/>
    <mergeCell ref="O9:P9"/>
    <mergeCell ref="M10:N10"/>
    <mergeCell ref="O10:P10"/>
    <mergeCell ref="M11:N11"/>
    <mergeCell ref="O11:P11"/>
    <mergeCell ref="G7:H7"/>
    <mergeCell ref="G8:H8"/>
    <mergeCell ref="I8:J8"/>
    <mergeCell ref="K8:L8"/>
    <mergeCell ref="M8:N8"/>
    <mergeCell ref="O8:P8"/>
    <mergeCell ref="G9:H9"/>
    <mergeCell ref="I9:J9"/>
    <mergeCell ref="K9:L9"/>
    <mergeCell ref="G10:H10"/>
    <mergeCell ref="I10:J10"/>
    <mergeCell ref="K10:L10"/>
    <mergeCell ref="I11:J11"/>
    <mergeCell ref="K11:L11"/>
    <mergeCell ref="M21:N21"/>
    <mergeCell ref="O21:P21"/>
    <mergeCell ref="G19:H19"/>
    <mergeCell ref="G20:H20"/>
    <mergeCell ref="I20:J20"/>
    <mergeCell ref="K20:L20"/>
    <mergeCell ref="M20:N20"/>
    <mergeCell ref="O20:P20"/>
    <mergeCell ref="G21:H21"/>
    <mergeCell ref="M13:N13"/>
    <mergeCell ref="O13:P13"/>
    <mergeCell ref="M14:N14"/>
    <mergeCell ref="O14:P14"/>
    <mergeCell ref="M15:N15"/>
    <mergeCell ref="O15:P15"/>
    <mergeCell ref="G11:H11"/>
    <mergeCell ref="G12:H12"/>
    <mergeCell ref="I12:J12"/>
    <mergeCell ref="K12:L12"/>
    <mergeCell ref="M12:N12"/>
    <mergeCell ref="O12:P12"/>
    <mergeCell ref="G13:H13"/>
    <mergeCell ref="I13:J13"/>
    <mergeCell ref="K13:L13"/>
    <mergeCell ref="G14:H14"/>
    <mergeCell ref="I14:J14"/>
    <mergeCell ref="K14:L14"/>
    <mergeCell ref="I15:J15"/>
    <mergeCell ref="K15:L15"/>
    <mergeCell ref="M17:N17"/>
    <mergeCell ref="O17:P17"/>
    <mergeCell ref="M18:N18"/>
    <mergeCell ref="O18:P18"/>
    <mergeCell ref="M19:N19"/>
    <mergeCell ref="O19:P19"/>
    <mergeCell ref="G15:H15"/>
    <mergeCell ref="G16:H16"/>
    <mergeCell ref="I16:J16"/>
    <mergeCell ref="K16:L16"/>
    <mergeCell ref="M16:N16"/>
    <mergeCell ref="O16:P16"/>
    <mergeCell ref="G17:H17"/>
    <mergeCell ref="I17:J17"/>
    <mergeCell ref="K17:L17"/>
    <mergeCell ref="G18:H18"/>
    <mergeCell ref="I18:J18"/>
    <mergeCell ref="K18:L18"/>
    <mergeCell ref="I19:J19"/>
    <mergeCell ref="K19:L19"/>
    <mergeCell ref="I21:J21"/>
    <mergeCell ref="K21:L21"/>
    <mergeCell ref="G22:H22"/>
    <mergeCell ref="I22:J22"/>
    <mergeCell ref="K22:L22"/>
    <mergeCell ref="M22:N22"/>
    <mergeCell ref="O22:P22"/>
    <mergeCell ref="M30:N30"/>
    <mergeCell ref="O30:P30"/>
    <mergeCell ref="M31:N31"/>
    <mergeCell ref="O31:P31"/>
    <mergeCell ref="M32:N32"/>
    <mergeCell ref="O32:P32"/>
    <mergeCell ref="I30:J30"/>
    <mergeCell ref="K30:L30"/>
    <mergeCell ref="G31:H31"/>
    <mergeCell ref="I31:J31"/>
    <mergeCell ref="K31:L31"/>
    <mergeCell ref="I32:J32"/>
    <mergeCell ref="K32:L32"/>
    <mergeCell ref="M34:N34"/>
    <mergeCell ref="O34:P34"/>
    <mergeCell ref="G32:H32"/>
    <mergeCell ref="G33:H33"/>
    <mergeCell ref="I33:J33"/>
    <mergeCell ref="K33:L33"/>
    <mergeCell ref="M33:N33"/>
    <mergeCell ref="O33:P33"/>
    <mergeCell ref="G34:H34"/>
    <mergeCell ref="K24:L24"/>
    <mergeCell ref="M24:N24"/>
    <mergeCell ref="G23:H23"/>
    <mergeCell ref="I23:J23"/>
    <mergeCell ref="K23:L23"/>
    <mergeCell ref="M23:N23"/>
    <mergeCell ref="O23:P23"/>
    <mergeCell ref="I24:J24"/>
    <mergeCell ref="O24:P24"/>
    <mergeCell ref="M26:N26"/>
    <mergeCell ref="O26:P26"/>
    <mergeCell ref="M27:N27"/>
    <mergeCell ref="O27:P27"/>
    <mergeCell ref="M28:N28"/>
    <mergeCell ref="O28:P28"/>
    <mergeCell ref="G24:H24"/>
    <mergeCell ref="G25:H25"/>
    <mergeCell ref="I25:J25"/>
    <mergeCell ref="K25:L25"/>
    <mergeCell ref="M25:N25"/>
    <mergeCell ref="O25:P25"/>
    <mergeCell ref="G26:H26"/>
    <mergeCell ref="I26:J26"/>
    <mergeCell ref="K26:L26"/>
    <mergeCell ref="G27:H27"/>
    <mergeCell ref="I27:J27"/>
    <mergeCell ref="K27:L27"/>
    <mergeCell ref="I28:J28"/>
    <mergeCell ref="K28:L28"/>
    <mergeCell ref="G28:H28"/>
    <mergeCell ref="G29:H29"/>
    <mergeCell ref="I29:J29"/>
    <mergeCell ref="K29:L29"/>
    <mergeCell ref="M29:N29"/>
    <mergeCell ref="O29:P29"/>
    <mergeCell ref="G30:H30"/>
    <mergeCell ref="I34:J34"/>
    <mergeCell ref="K34:L34"/>
    <mergeCell ref="G35:H35"/>
    <mergeCell ref="I35:J35"/>
    <mergeCell ref="K35:L35"/>
    <mergeCell ref="M35:N35"/>
    <mergeCell ref="O35:P35"/>
    <mergeCell ref="M43:N43"/>
    <mergeCell ref="O43:P43"/>
    <mergeCell ref="M44:N44"/>
    <mergeCell ref="O44:P44"/>
    <mergeCell ref="M45:N45"/>
    <mergeCell ref="O45:P45"/>
    <mergeCell ref="I43:J43"/>
    <mergeCell ref="K43:L43"/>
    <mergeCell ref="G44:H44"/>
    <mergeCell ref="I44:J44"/>
    <mergeCell ref="K44:L44"/>
    <mergeCell ref="I45:J45"/>
    <mergeCell ref="K45:L45"/>
    <mergeCell ref="M73:N73"/>
    <mergeCell ref="O73:P73"/>
    <mergeCell ref="G71:H71"/>
    <mergeCell ref="G72:H72"/>
    <mergeCell ref="I72:J72"/>
    <mergeCell ref="K72:L72"/>
    <mergeCell ref="M72:N72"/>
    <mergeCell ref="O72:P72"/>
    <mergeCell ref="G73:H73"/>
    <mergeCell ref="K63:L63"/>
    <mergeCell ref="M63:N63"/>
    <mergeCell ref="G62:H62"/>
    <mergeCell ref="I62:J62"/>
    <mergeCell ref="K62:L62"/>
    <mergeCell ref="M62:N62"/>
    <mergeCell ref="O62:P62"/>
    <mergeCell ref="I63:J63"/>
    <mergeCell ref="O63:P63"/>
    <mergeCell ref="M65:N65"/>
    <mergeCell ref="O65:P65"/>
    <mergeCell ref="M66:N66"/>
    <mergeCell ref="O66:P66"/>
    <mergeCell ref="M67:N67"/>
    <mergeCell ref="O67:P67"/>
    <mergeCell ref="G63:H63"/>
    <mergeCell ref="G64:H64"/>
    <mergeCell ref="I64:J64"/>
    <mergeCell ref="K64:L64"/>
    <mergeCell ref="M64:N64"/>
    <mergeCell ref="O64:P64"/>
    <mergeCell ref="G65:H65"/>
    <mergeCell ref="I65:J65"/>
    <mergeCell ref="K65:L65"/>
    <mergeCell ref="G66:H66"/>
    <mergeCell ref="I66:J66"/>
    <mergeCell ref="K66:L66"/>
    <mergeCell ref="I67:J67"/>
    <mergeCell ref="K67:L67"/>
    <mergeCell ref="G67:H67"/>
    <mergeCell ref="G68:H68"/>
    <mergeCell ref="I68:J68"/>
    <mergeCell ref="K68:L68"/>
    <mergeCell ref="M68:N68"/>
    <mergeCell ref="O68:P68"/>
    <mergeCell ref="G69:H69"/>
    <mergeCell ref="I73:J73"/>
    <mergeCell ref="K73:L73"/>
    <mergeCell ref="G74:H74"/>
    <mergeCell ref="I74:J74"/>
    <mergeCell ref="K74:L74"/>
    <mergeCell ref="M74:N74"/>
    <mergeCell ref="O74:P74"/>
    <mergeCell ref="M47:N47"/>
    <mergeCell ref="O47:P47"/>
    <mergeCell ref="G45:H45"/>
    <mergeCell ref="G46:H46"/>
    <mergeCell ref="I46:J46"/>
    <mergeCell ref="K46:L46"/>
    <mergeCell ref="M46:N46"/>
    <mergeCell ref="O46:P46"/>
    <mergeCell ref="G47:H47"/>
    <mergeCell ref="K37:L37"/>
    <mergeCell ref="M37:N37"/>
    <mergeCell ref="G36:H36"/>
    <mergeCell ref="I36:J36"/>
    <mergeCell ref="K36:L36"/>
    <mergeCell ref="M36:N36"/>
    <mergeCell ref="O36:P36"/>
    <mergeCell ref="I37:J37"/>
    <mergeCell ref="O37:P37"/>
    <mergeCell ref="M39:N39"/>
    <mergeCell ref="O39:P39"/>
    <mergeCell ref="M40:N40"/>
    <mergeCell ref="O40:P40"/>
    <mergeCell ref="M41:N41"/>
    <mergeCell ref="O41:P41"/>
    <mergeCell ref="G37:H37"/>
    <mergeCell ref="G38:H38"/>
    <mergeCell ref="I38:J38"/>
    <mergeCell ref="K38:L38"/>
    <mergeCell ref="M38:N38"/>
    <mergeCell ref="O38:P38"/>
    <mergeCell ref="G39:H39"/>
    <mergeCell ref="I39:J39"/>
    <mergeCell ref="K39:L39"/>
    <mergeCell ref="G40:H40"/>
    <mergeCell ref="I40:J40"/>
    <mergeCell ref="K40:L40"/>
    <mergeCell ref="I41:J41"/>
    <mergeCell ref="K41:L41"/>
    <mergeCell ref="G41:H41"/>
    <mergeCell ref="G42:H42"/>
    <mergeCell ref="I42:J42"/>
    <mergeCell ref="K42:L42"/>
    <mergeCell ref="M42:N42"/>
    <mergeCell ref="O42:P42"/>
    <mergeCell ref="G43:H43"/>
    <mergeCell ref="I47:J47"/>
    <mergeCell ref="K47:L47"/>
    <mergeCell ref="G48:H48"/>
    <mergeCell ref="I48:J48"/>
    <mergeCell ref="K48:L48"/>
    <mergeCell ref="M48:N48"/>
    <mergeCell ref="O48:P48"/>
    <mergeCell ref="M56:N56"/>
    <mergeCell ref="O56:P56"/>
    <mergeCell ref="M57:N57"/>
    <mergeCell ref="O57:P57"/>
    <mergeCell ref="M58:N58"/>
    <mergeCell ref="O58:P58"/>
    <mergeCell ref="I56:J56"/>
    <mergeCell ref="K56:L56"/>
    <mergeCell ref="G57:H57"/>
    <mergeCell ref="I57:J57"/>
    <mergeCell ref="K57:L57"/>
    <mergeCell ref="I58:J58"/>
    <mergeCell ref="K58:L58"/>
    <mergeCell ref="M60:N60"/>
    <mergeCell ref="O60:P60"/>
    <mergeCell ref="G58:H58"/>
    <mergeCell ref="G59:H59"/>
    <mergeCell ref="I59:J59"/>
    <mergeCell ref="K59:L59"/>
    <mergeCell ref="M59:N59"/>
    <mergeCell ref="O59:P59"/>
    <mergeCell ref="G60:H60"/>
    <mergeCell ref="K50:L50"/>
    <mergeCell ref="M50:N50"/>
    <mergeCell ref="G49:H49"/>
    <mergeCell ref="I49:J49"/>
    <mergeCell ref="K49:L49"/>
    <mergeCell ref="M49:N49"/>
    <mergeCell ref="O49:P49"/>
    <mergeCell ref="I50:J50"/>
    <mergeCell ref="O50:P50"/>
    <mergeCell ref="M52:N52"/>
    <mergeCell ref="O52:P52"/>
    <mergeCell ref="M53:N53"/>
    <mergeCell ref="O53:P53"/>
    <mergeCell ref="M54:N54"/>
    <mergeCell ref="O54:P54"/>
    <mergeCell ref="G50:H50"/>
    <mergeCell ref="G51:H51"/>
    <mergeCell ref="I51:J51"/>
    <mergeCell ref="K51:L51"/>
    <mergeCell ref="M51:N51"/>
    <mergeCell ref="O51:P51"/>
    <mergeCell ref="G52:H52"/>
    <mergeCell ref="I52:J52"/>
    <mergeCell ref="K52:L52"/>
    <mergeCell ref="G53:H53"/>
    <mergeCell ref="I53:J53"/>
    <mergeCell ref="K53:L53"/>
    <mergeCell ref="I54:J54"/>
    <mergeCell ref="K54:L54"/>
    <mergeCell ref="G54:H54"/>
    <mergeCell ref="G55:H55"/>
    <mergeCell ref="I55:J55"/>
    <mergeCell ref="K55:L55"/>
    <mergeCell ref="M55:N55"/>
    <mergeCell ref="O55:P55"/>
    <mergeCell ref="G56:H56"/>
    <mergeCell ref="I60:J60"/>
    <mergeCell ref="K60:L60"/>
    <mergeCell ref="G61:H61"/>
    <mergeCell ref="I61:J61"/>
    <mergeCell ref="K61:L61"/>
    <mergeCell ref="M61:N61"/>
    <mergeCell ref="O61:P61"/>
    <mergeCell ref="M69:N69"/>
    <mergeCell ref="O69:P69"/>
    <mergeCell ref="M70:N70"/>
    <mergeCell ref="O70:P70"/>
    <mergeCell ref="M71:N71"/>
    <mergeCell ref="O71:P71"/>
    <mergeCell ref="I69:J69"/>
    <mergeCell ref="K69:L69"/>
    <mergeCell ref="G70:H70"/>
    <mergeCell ref="I70:J70"/>
    <mergeCell ref="K70:L70"/>
    <mergeCell ref="I71:J71"/>
    <mergeCell ref="K71:L71"/>
    <mergeCell ref="M82:N82"/>
    <mergeCell ref="O82:P82"/>
    <mergeCell ref="M83:N83"/>
    <mergeCell ref="O83:P83"/>
    <mergeCell ref="M84:N84"/>
    <mergeCell ref="O84:P84"/>
    <mergeCell ref="I82:J82"/>
    <mergeCell ref="K82:L82"/>
    <mergeCell ref="G83:H83"/>
    <mergeCell ref="I83:J83"/>
    <mergeCell ref="K83:L83"/>
    <mergeCell ref="I84:J84"/>
    <mergeCell ref="K84:L84"/>
    <mergeCell ref="M112:N112"/>
    <mergeCell ref="O112:P112"/>
    <mergeCell ref="G110:H110"/>
    <mergeCell ref="G111:H111"/>
    <mergeCell ref="I111:J111"/>
    <mergeCell ref="K111:L111"/>
    <mergeCell ref="M111:N111"/>
    <mergeCell ref="O111:P111"/>
    <mergeCell ref="G112:H112"/>
    <mergeCell ref="K102:L102"/>
    <mergeCell ref="M102:N102"/>
    <mergeCell ref="G101:H101"/>
    <mergeCell ref="I101:J101"/>
    <mergeCell ref="K101:L101"/>
    <mergeCell ref="M101:N101"/>
    <mergeCell ref="O101:P101"/>
    <mergeCell ref="I102:J102"/>
    <mergeCell ref="O102:P102"/>
    <mergeCell ref="M104:N104"/>
    <mergeCell ref="O104:P104"/>
    <mergeCell ref="M105:N105"/>
    <mergeCell ref="O105:P105"/>
    <mergeCell ref="M106:N106"/>
    <mergeCell ref="O106:P106"/>
    <mergeCell ref="G102:H102"/>
    <mergeCell ref="G103:H103"/>
    <mergeCell ref="I103:J103"/>
    <mergeCell ref="K103:L103"/>
    <mergeCell ref="M103:N103"/>
    <mergeCell ref="O103:P103"/>
    <mergeCell ref="G104:H104"/>
    <mergeCell ref="I104:J104"/>
    <mergeCell ref="K104:L104"/>
    <mergeCell ref="G105:H105"/>
    <mergeCell ref="I105:J105"/>
    <mergeCell ref="K105:L105"/>
    <mergeCell ref="I106:J106"/>
    <mergeCell ref="K106:L106"/>
    <mergeCell ref="G106:H106"/>
    <mergeCell ref="G107:H107"/>
    <mergeCell ref="I107:J107"/>
    <mergeCell ref="K107:L107"/>
    <mergeCell ref="M107:N107"/>
    <mergeCell ref="O107:P107"/>
    <mergeCell ref="G108:H108"/>
    <mergeCell ref="I112:J112"/>
    <mergeCell ref="K112:L112"/>
    <mergeCell ref="G113:H113"/>
    <mergeCell ref="I113:J113"/>
    <mergeCell ref="K113:L113"/>
    <mergeCell ref="M113:N113"/>
    <mergeCell ref="O113:P113"/>
    <mergeCell ref="M86:N86"/>
    <mergeCell ref="O86:P86"/>
    <mergeCell ref="G84:H84"/>
    <mergeCell ref="G85:H85"/>
    <mergeCell ref="I85:J85"/>
    <mergeCell ref="K85:L85"/>
    <mergeCell ref="M85:N85"/>
    <mergeCell ref="O85:P85"/>
    <mergeCell ref="G86:H86"/>
    <mergeCell ref="K76:L76"/>
    <mergeCell ref="M76:N76"/>
    <mergeCell ref="G75:H75"/>
    <mergeCell ref="I75:J75"/>
    <mergeCell ref="K75:L75"/>
    <mergeCell ref="M75:N75"/>
    <mergeCell ref="O75:P75"/>
    <mergeCell ref="I76:J76"/>
    <mergeCell ref="O76:P76"/>
    <mergeCell ref="M78:N78"/>
    <mergeCell ref="O78:P78"/>
    <mergeCell ref="M79:N79"/>
    <mergeCell ref="O79:P79"/>
    <mergeCell ref="M80:N80"/>
    <mergeCell ref="O80:P80"/>
    <mergeCell ref="G76:H76"/>
    <mergeCell ref="G77:H77"/>
    <mergeCell ref="I77:J77"/>
    <mergeCell ref="K77:L77"/>
    <mergeCell ref="M77:N77"/>
    <mergeCell ref="O77:P77"/>
    <mergeCell ref="G78:H78"/>
    <mergeCell ref="I78:J78"/>
    <mergeCell ref="K78:L78"/>
    <mergeCell ref="G79:H79"/>
    <mergeCell ref="I79:J79"/>
    <mergeCell ref="K79:L79"/>
    <mergeCell ref="I80:J80"/>
    <mergeCell ref="K80:L80"/>
    <mergeCell ref="G80:H80"/>
    <mergeCell ref="G81:H81"/>
    <mergeCell ref="I81:J81"/>
    <mergeCell ref="K81:L81"/>
    <mergeCell ref="M81:N81"/>
    <mergeCell ref="O81:P81"/>
    <mergeCell ref="G82:H82"/>
    <mergeCell ref="I86:J86"/>
    <mergeCell ref="K86:L86"/>
    <mergeCell ref="G87:H87"/>
    <mergeCell ref="I87:J87"/>
    <mergeCell ref="K87:L87"/>
    <mergeCell ref="M87:N87"/>
    <mergeCell ref="O87:P87"/>
    <mergeCell ref="M95:N95"/>
    <mergeCell ref="O95:P95"/>
    <mergeCell ref="M96:N96"/>
    <mergeCell ref="O96:P96"/>
    <mergeCell ref="M97:N97"/>
    <mergeCell ref="O97:P97"/>
    <mergeCell ref="I95:J95"/>
    <mergeCell ref="K95:L95"/>
    <mergeCell ref="G96:H96"/>
    <mergeCell ref="I96:J96"/>
    <mergeCell ref="K96:L96"/>
    <mergeCell ref="I97:J97"/>
    <mergeCell ref="K97:L97"/>
    <mergeCell ref="M99:N99"/>
    <mergeCell ref="O99:P99"/>
    <mergeCell ref="G97:H97"/>
    <mergeCell ref="G98:H98"/>
    <mergeCell ref="I98:J98"/>
    <mergeCell ref="K98:L98"/>
    <mergeCell ref="M98:N98"/>
    <mergeCell ref="O98:P98"/>
    <mergeCell ref="G99:H99"/>
    <mergeCell ref="K89:L89"/>
    <mergeCell ref="M89:N89"/>
    <mergeCell ref="G88:H88"/>
    <mergeCell ref="I88:J88"/>
    <mergeCell ref="K88:L88"/>
    <mergeCell ref="M88:N88"/>
    <mergeCell ref="O88:P88"/>
    <mergeCell ref="I89:J89"/>
    <mergeCell ref="O89:P89"/>
    <mergeCell ref="M91:N91"/>
    <mergeCell ref="O91:P91"/>
    <mergeCell ref="M92:N92"/>
    <mergeCell ref="O92:P92"/>
    <mergeCell ref="M93:N93"/>
    <mergeCell ref="O93:P93"/>
    <mergeCell ref="G89:H89"/>
    <mergeCell ref="G90:H90"/>
    <mergeCell ref="I90:J90"/>
    <mergeCell ref="K90:L90"/>
    <mergeCell ref="M90:N90"/>
    <mergeCell ref="O90:P90"/>
    <mergeCell ref="G91:H91"/>
    <mergeCell ref="I91:J91"/>
    <mergeCell ref="K91:L91"/>
    <mergeCell ref="G92:H92"/>
    <mergeCell ref="I92:J92"/>
    <mergeCell ref="K92:L92"/>
    <mergeCell ref="I93:J93"/>
    <mergeCell ref="K93:L93"/>
    <mergeCell ref="G93:H93"/>
    <mergeCell ref="G94:H94"/>
    <mergeCell ref="I94:J94"/>
    <mergeCell ref="K94:L94"/>
    <mergeCell ref="M94:N94"/>
    <mergeCell ref="O94:P94"/>
    <mergeCell ref="G95:H95"/>
    <mergeCell ref="I99:J99"/>
    <mergeCell ref="K99:L99"/>
    <mergeCell ref="G100:H100"/>
    <mergeCell ref="I100:J100"/>
    <mergeCell ref="K100:L100"/>
    <mergeCell ref="M100:N100"/>
    <mergeCell ref="O100:P100"/>
    <mergeCell ref="M108:N108"/>
    <mergeCell ref="O108:P108"/>
    <mergeCell ref="M109:N109"/>
    <mergeCell ref="O109:P109"/>
    <mergeCell ref="M110:N110"/>
    <mergeCell ref="O110:P110"/>
    <mergeCell ref="I108:J108"/>
    <mergeCell ref="K108:L108"/>
    <mergeCell ref="G109:H109"/>
    <mergeCell ref="I109:J109"/>
    <mergeCell ref="K109:L109"/>
    <mergeCell ref="I110:J110"/>
    <mergeCell ref="K110:L110"/>
    <mergeCell ref="M121:N121"/>
    <mergeCell ref="O121:P121"/>
    <mergeCell ref="M122:N122"/>
    <mergeCell ref="O122:P122"/>
    <mergeCell ref="M123:N123"/>
    <mergeCell ref="O123:P123"/>
    <mergeCell ref="I121:J121"/>
    <mergeCell ref="K121:L121"/>
    <mergeCell ref="G122:H122"/>
    <mergeCell ref="I122:J122"/>
    <mergeCell ref="K122:L122"/>
    <mergeCell ref="I123:J123"/>
    <mergeCell ref="K123:L123"/>
    <mergeCell ref="M151:N151"/>
    <mergeCell ref="O151:P151"/>
    <mergeCell ref="G149:H149"/>
    <mergeCell ref="G150:H150"/>
    <mergeCell ref="I150:J150"/>
    <mergeCell ref="K150:L150"/>
    <mergeCell ref="M150:N150"/>
    <mergeCell ref="O150:P150"/>
    <mergeCell ref="G151:H151"/>
    <mergeCell ref="K141:L141"/>
    <mergeCell ref="M141:N141"/>
    <mergeCell ref="G140:H140"/>
    <mergeCell ref="I140:J140"/>
    <mergeCell ref="K140:L140"/>
    <mergeCell ref="M140:N140"/>
    <mergeCell ref="O140:P140"/>
    <mergeCell ref="I141:J141"/>
    <mergeCell ref="O141:P141"/>
    <mergeCell ref="M143:N143"/>
    <mergeCell ref="O143:P143"/>
    <mergeCell ref="M144:N144"/>
    <mergeCell ref="O144:P144"/>
    <mergeCell ref="M145:N145"/>
    <mergeCell ref="O145:P145"/>
    <mergeCell ref="G141:H141"/>
    <mergeCell ref="G142:H142"/>
    <mergeCell ref="I142:J142"/>
    <mergeCell ref="K142:L142"/>
    <mergeCell ref="M142:N142"/>
    <mergeCell ref="O142:P142"/>
    <mergeCell ref="G143:H143"/>
    <mergeCell ref="I143:J143"/>
    <mergeCell ref="K143:L143"/>
    <mergeCell ref="G144:H144"/>
    <mergeCell ref="I144:J144"/>
    <mergeCell ref="K144:L144"/>
    <mergeCell ref="I145:J145"/>
    <mergeCell ref="K145:L145"/>
    <mergeCell ref="G145:H145"/>
    <mergeCell ref="G146:H146"/>
    <mergeCell ref="I146:J146"/>
    <mergeCell ref="K146:L146"/>
    <mergeCell ref="M146:N146"/>
    <mergeCell ref="O146:P146"/>
    <mergeCell ref="G147:H147"/>
    <mergeCell ref="I151:J151"/>
    <mergeCell ref="K151:L151"/>
    <mergeCell ref="G152:H152"/>
    <mergeCell ref="I152:J152"/>
    <mergeCell ref="K152:L152"/>
    <mergeCell ref="M152:N152"/>
    <mergeCell ref="O152:P152"/>
    <mergeCell ref="M125:N125"/>
    <mergeCell ref="O125:P125"/>
    <mergeCell ref="G123:H123"/>
    <mergeCell ref="G124:H124"/>
    <mergeCell ref="I124:J124"/>
    <mergeCell ref="K124:L124"/>
    <mergeCell ref="M124:N124"/>
    <mergeCell ref="O124:P124"/>
    <mergeCell ref="G125:H125"/>
    <mergeCell ref="K115:L115"/>
    <mergeCell ref="M115:N115"/>
    <mergeCell ref="G114:H114"/>
    <mergeCell ref="I114:J114"/>
    <mergeCell ref="K114:L114"/>
    <mergeCell ref="M114:N114"/>
    <mergeCell ref="O114:P114"/>
    <mergeCell ref="I115:J115"/>
    <mergeCell ref="O115:P115"/>
    <mergeCell ref="M117:N117"/>
    <mergeCell ref="O117:P117"/>
    <mergeCell ref="M118:N118"/>
    <mergeCell ref="O118:P118"/>
    <mergeCell ref="M119:N119"/>
    <mergeCell ref="O119:P119"/>
    <mergeCell ref="G115:H115"/>
    <mergeCell ref="G116:H116"/>
    <mergeCell ref="I116:J116"/>
    <mergeCell ref="K116:L116"/>
    <mergeCell ref="M116:N116"/>
    <mergeCell ref="O116:P116"/>
    <mergeCell ref="G117:H117"/>
    <mergeCell ref="I117:J117"/>
    <mergeCell ref="K117:L117"/>
    <mergeCell ref="G118:H118"/>
    <mergeCell ref="I118:J118"/>
    <mergeCell ref="K118:L118"/>
    <mergeCell ref="I119:J119"/>
    <mergeCell ref="K119:L119"/>
    <mergeCell ref="G119:H119"/>
    <mergeCell ref="G120:H120"/>
    <mergeCell ref="I120:J120"/>
    <mergeCell ref="K120:L120"/>
    <mergeCell ref="M120:N120"/>
    <mergeCell ref="O120:P120"/>
    <mergeCell ref="G121:H121"/>
    <mergeCell ref="I125:J125"/>
    <mergeCell ref="K125:L125"/>
    <mergeCell ref="G126:H126"/>
    <mergeCell ref="I126:J126"/>
    <mergeCell ref="K126:L126"/>
    <mergeCell ref="M126:N126"/>
    <mergeCell ref="O126:P126"/>
    <mergeCell ref="M134:N134"/>
    <mergeCell ref="O134:P134"/>
    <mergeCell ref="M135:N135"/>
    <mergeCell ref="O135:P135"/>
    <mergeCell ref="M136:N136"/>
    <mergeCell ref="O136:P136"/>
    <mergeCell ref="I134:J134"/>
    <mergeCell ref="K134:L134"/>
    <mergeCell ref="G135:H135"/>
    <mergeCell ref="I135:J135"/>
    <mergeCell ref="K135:L135"/>
    <mergeCell ref="I136:J136"/>
    <mergeCell ref="K136:L136"/>
    <mergeCell ref="M138:N138"/>
    <mergeCell ref="O138:P138"/>
    <mergeCell ref="G136:H136"/>
    <mergeCell ref="G137:H137"/>
    <mergeCell ref="I137:J137"/>
    <mergeCell ref="K137:L137"/>
    <mergeCell ref="M137:N137"/>
    <mergeCell ref="O137:P137"/>
    <mergeCell ref="G138:H138"/>
    <mergeCell ref="K128:L128"/>
    <mergeCell ref="M128:N128"/>
    <mergeCell ref="G127:H127"/>
    <mergeCell ref="I127:J127"/>
    <mergeCell ref="K127:L127"/>
    <mergeCell ref="M127:N127"/>
    <mergeCell ref="O127:P127"/>
    <mergeCell ref="I128:J128"/>
    <mergeCell ref="O128:P128"/>
    <mergeCell ref="M130:N130"/>
    <mergeCell ref="O130:P130"/>
    <mergeCell ref="M131:N131"/>
    <mergeCell ref="O131:P131"/>
    <mergeCell ref="M132:N132"/>
    <mergeCell ref="O132:P132"/>
    <mergeCell ref="G128:H128"/>
    <mergeCell ref="G129:H129"/>
    <mergeCell ref="I129:J129"/>
    <mergeCell ref="K129:L129"/>
    <mergeCell ref="M129:N129"/>
    <mergeCell ref="O129:P129"/>
    <mergeCell ref="G130:H130"/>
    <mergeCell ref="I130:J130"/>
    <mergeCell ref="K130:L130"/>
    <mergeCell ref="G131:H131"/>
    <mergeCell ref="I131:J131"/>
    <mergeCell ref="K131:L131"/>
    <mergeCell ref="I132:J132"/>
    <mergeCell ref="K132:L132"/>
    <mergeCell ref="G132:H132"/>
    <mergeCell ref="G133:H133"/>
    <mergeCell ref="I133:J133"/>
    <mergeCell ref="K133:L133"/>
    <mergeCell ref="M133:N133"/>
    <mergeCell ref="O133:P133"/>
    <mergeCell ref="G134:H134"/>
    <mergeCell ref="I138:J138"/>
    <mergeCell ref="K138:L138"/>
    <mergeCell ref="G139:H139"/>
    <mergeCell ref="I139:J139"/>
    <mergeCell ref="K139:L139"/>
    <mergeCell ref="M139:N139"/>
    <mergeCell ref="O139:P139"/>
    <mergeCell ref="M147:N147"/>
    <mergeCell ref="O147:P147"/>
    <mergeCell ref="M148:N148"/>
    <mergeCell ref="O148:P148"/>
    <mergeCell ref="M149:N149"/>
    <mergeCell ref="O149:P149"/>
    <mergeCell ref="I147:J147"/>
    <mergeCell ref="K147:L147"/>
    <mergeCell ref="G148:H148"/>
    <mergeCell ref="I148:J148"/>
    <mergeCell ref="K148:L148"/>
    <mergeCell ref="I149:J149"/>
    <mergeCell ref="K149:L149"/>
    <mergeCell ref="M160:N160"/>
    <mergeCell ref="O160:P160"/>
    <mergeCell ref="M161:N161"/>
    <mergeCell ref="O161:P161"/>
    <mergeCell ref="M162:N162"/>
    <mergeCell ref="O162:P162"/>
    <mergeCell ref="I160:J160"/>
    <mergeCell ref="K160:L160"/>
    <mergeCell ref="G161:H161"/>
    <mergeCell ref="I161:J161"/>
    <mergeCell ref="K161:L161"/>
    <mergeCell ref="I162:J162"/>
    <mergeCell ref="K162:L162"/>
    <mergeCell ref="M307:N307"/>
    <mergeCell ref="O307:P307"/>
    <mergeCell ref="G305:H305"/>
    <mergeCell ref="G306:H306"/>
    <mergeCell ref="I306:J306"/>
    <mergeCell ref="K306:L306"/>
    <mergeCell ref="M306:N306"/>
    <mergeCell ref="O306:P306"/>
    <mergeCell ref="G307:H307"/>
    <mergeCell ref="K297:L297"/>
    <mergeCell ref="M297:N297"/>
    <mergeCell ref="G296:H296"/>
    <mergeCell ref="I296:J296"/>
    <mergeCell ref="K296:L296"/>
    <mergeCell ref="M296:N296"/>
    <mergeCell ref="O296:P296"/>
    <mergeCell ref="I297:J297"/>
    <mergeCell ref="O297:P297"/>
    <mergeCell ref="M299:N299"/>
    <mergeCell ref="O299:P299"/>
    <mergeCell ref="M300:N300"/>
    <mergeCell ref="O300:P300"/>
    <mergeCell ref="M301:N301"/>
    <mergeCell ref="O301:P301"/>
    <mergeCell ref="G297:H297"/>
    <mergeCell ref="G298:H298"/>
    <mergeCell ref="I298:J298"/>
    <mergeCell ref="K298:L298"/>
    <mergeCell ref="M298:N298"/>
    <mergeCell ref="O298:P298"/>
    <mergeCell ref="G299:H299"/>
    <mergeCell ref="I299:J299"/>
    <mergeCell ref="K299:L299"/>
    <mergeCell ref="G300:H300"/>
    <mergeCell ref="I300:J300"/>
    <mergeCell ref="K300:L300"/>
    <mergeCell ref="I301:J301"/>
    <mergeCell ref="K301:L301"/>
    <mergeCell ref="G301:H301"/>
    <mergeCell ref="G302:H302"/>
    <mergeCell ref="I302:J302"/>
    <mergeCell ref="K302:L302"/>
    <mergeCell ref="M302:N302"/>
    <mergeCell ref="O302:P302"/>
    <mergeCell ref="G303:H303"/>
    <mergeCell ref="I307:J307"/>
    <mergeCell ref="K307:L307"/>
    <mergeCell ref="G308:H308"/>
    <mergeCell ref="I308:J308"/>
    <mergeCell ref="K308:L308"/>
    <mergeCell ref="M308:N308"/>
    <mergeCell ref="O308:P308"/>
    <mergeCell ref="M281:N281"/>
    <mergeCell ref="O281:P281"/>
    <mergeCell ref="G279:H279"/>
    <mergeCell ref="G280:H280"/>
    <mergeCell ref="I280:J280"/>
    <mergeCell ref="K280:L280"/>
    <mergeCell ref="M280:N280"/>
    <mergeCell ref="O280:P280"/>
    <mergeCell ref="G281:H281"/>
    <mergeCell ref="K271:L271"/>
    <mergeCell ref="M271:N271"/>
    <mergeCell ref="G270:H270"/>
    <mergeCell ref="I270:J270"/>
    <mergeCell ref="K270:L270"/>
    <mergeCell ref="M270:N270"/>
    <mergeCell ref="O270:P270"/>
    <mergeCell ref="I271:J271"/>
    <mergeCell ref="O271:P271"/>
    <mergeCell ref="M273:N273"/>
    <mergeCell ref="O273:P273"/>
    <mergeCell ref="M274:N274"/>
    <mergeCell ref="O274:P274"/>
    <mergeCell ref="M275:N275"/>
    <mergeCell ref="O275:P275"/>
    <mergeCell ref="G271:H271"/>
    <mergeCell ref="G272:H272"/>
    <mergeCell ref="I272:J272"/>
    <mergeCell ref="K272:L272"/>
    <mergeCell ref="M272:N272"/>
    <mergeCell ref="O272:P272"/>
    <mergeCell ref="G273:H273"/>
    <mergeCell ref="I273:J273"/>
    <mergeCell ref="K273:L273"/>
    <mergeCell ref="G274:H274"/>
    <mergeCell ref="I274:J274"/>
    <mergeCell ref="K274:L274"/>
    <mergeCell ref="I275:J275"/>
    <mergeCell ref="K275:L275"/>
    <mergeCell ref="G275:H275"/>
    <mergeCell ref="G276:H276"/>
    <mergeCell ref="I276:J276"/>
    <mergeCell ref="K276:L276"/>
    <mergeCell ref="M276:N276"/>
    <mergeCell ref="O276:P276"/>
    <mergeCell ref="G277:H277"/>
    <mergeCell ref="I281:J281"/>
    <mergeCell ref="K281:L281"/>
    <mergeCell ref="G282:H282"/>
    <mergeCell ref="I282:J282"/>
    <mergeCell ref="K282:L282"/>
    <mergeCell ref="M282:N282"/>
    <mergeCell ref="O282:P282"/>
    <mergeCell ref="M290:N290"/>
    <mergeCell ref="O290:P290"/>
    <mergeCell ref="M291:N291"/>
    <mergeCell ref="O291:P291"/>
    <mergeCell ref="M292:N292"/>
    <mergeCell ref="O292:P292"/>
    <mergeCell ref="I290:J290"/>
    <mergeCell ref="K290:L290"/>
    <mergeCell ref="G291:H291"/>
    <mergeCell ref="I291:J291"/>
    <mergeCell ref="K291:L291"/>
    <mergeCell ref="I292:J292"/>
    <mergeCell ref="K292:L292"/>
    <mergeCell ref="M294:N294"/>
    <mergeCell ref="O294:P294"/>
    <mergeCell ref="G292:H292"/>
    <mergeCell ref="G293:H293"/>
    <mergeCell ref="I293:J293"/>
    <mergeCell ref="K293:L293"/>
    <mergeCell ref="M293:N293"/>
    <mergeCell ref="O293:P293"/>
    <mergeCell ref="G294:H294"/>
    <mergeCell ref="K284:L284"/>
    <mergeCell ref="M284:N284"/>
    <mergeCell ref="G283:H283"/>
    <mergeCell ref="I283:J283"/>
    <mergeCell ref="K283:L283"/>
    <mergeCell ref="M283:N283"/>
    <mergeCell ref="O283:P283"/>
    <mergeCell ref="I284:J284"/>
    <mergeCell ref="O284:P284"/>
    <mergeCell ref="M286:N286"/>
    <mergeCell ref="O286:P286"/>
    <mergeCell ref="M287:N287"/>
    <mergeCell ref="O287:P287"/>
    <mergeCell ref="M288:N288"/>
    <mergeCell ref="O288:P288"/>
    <mergeCell ref="G284:H284"/>
    <mergeCell ref="G285:H285"/>
    <mergeCell ref="I285:J285"/>
    <mergeCell ref="K285:L285"/>
    <mergeCell ref="M285:N285"/>
    <mergeCell ref="O285:P285"/>
    <mergeCell ref="G286:H286"/>
    <mergeCell ref="I286:J286"/>
    <mergeCell ref="K286:L286"/>
    <mergeCell ref="G287:H287"/>
    <mergeCell ref="I287:J287"/>
    <mergeCell ref="K287:L287"/>
    <mergeCell ref="I288:J288"/>
    <mergeCell ref="K288:L288"/>
    <mergeCell ref="G288:H288"/>
    <mergeCell ref="G289:H289"/>
    <mergeCell ref="I289:J289"/>
    <mergeCell ref="K289:L289"/>
    <mergeCell ref="M289:N289"/>
    <mergeCell ref="O289:P289"/>
    <mergeCell ref="G290:H290"/>
    <mergeCell ref="I294:J294"/>
    <mergeCell ref="K294:L294"/>
    <mergeCell ref="G295:H295"/>
    <mergeCell ref="I295:J295"/>
    <mergeCell ref="K295:L295"/>
    <mergeCell ref="M295:N295"/>
    <mergeCell ref="O295:P295"/>
    <mergeCell ref="M303:N303"/>
    <mergeCell ref="O303:P303"/>
    <mergeCell ref="M304:N304"/>
    <mergeCell ref="O304:P304"/>
    <mergeCell ref="M305:N305"/>
    <mergeCell ref="O305:P305"/>
    <mergeCell ref="I303:J303"/>
    <mergeCell ref="K303:L303"/>
    <mergeCell ref="G304:H304"/>
    <mergeCell ref="I304:J304"/>
    <mergeCell ref="K304:L304"/>
    <mergeCell ref="I305:J305"/>
    <mergeCell ref="K305:L305"/>
    <mergeCell ref="M316:N316"/>
    <mergeCell ref="O316:P316"/>
    <mergeCell ref="M317:N317"/>
    <mergeCell ref="O317:P317"/>
    <mergeCell ref="M318:N318"/>
    <mergeCell ref="O318:P318"/>
    <mergeCell ref="I316:J316"/>
    <mergeCell ref="K316:L316"/>
    <mergeCell ref="G317:H317"/>
    <mergeCell ref="I317:J317"/>
    <mergeCell ref="K317:L317"/>
    <mergeCell ref="I318:J318"/>
    <mergeCell ref="K318:L318"/>
    <mergeCell ref="M346:N346"/>
    <mergeCell ref="O346:P346"/>
    <mergeCell ref="G344:H344"/>
    <mergeCell ref="G345:H345"/>
    <mergeCell ref="I345:J345"/>
    <mergeCell ref="K345:L345"/>
    <mergeCell ref="M345:N345"/>
    <mergeCell ref="O345:P345"/>
    <mergeCell ref="G346:H346"/>
    <mergeCell ref="K336:L336"/>
    <mergeCell ref="M336:N336"/>
    <mergeCell ref="G335:H335"/>
    <mergeCell ref="I335:J335"/>
    <mergeCell ref="K335:L335"/>
    <mergeCell ref="M335:N335"/>
    <mergeCell ref="O335:P335"/>
    <mergeCell ref="I336:J336"/>
    <mergeCell ref="O336:P336"/>
    <mergeCell ref="M338:N338"/>
    <mergeCell ref="O338:P338"/>
    <mergeCell ref="M339:N339"/>
    <mergeCell ref="O339:P339"/>
    <mergeCell ref="M340:N340"/>
    <mergeCell ref="O340:P340"/>
    <mergeCell ref="G336:H336"/>
    <mergeCell ref="G337:H337"/>
    <mergeCell ref="I337:J337"/>
    <mergeCell ref="K337:L337"/>
    <mergeCell ref="M337:N337"/>
    <mergeCell ref="O337:P337"/>
    <mergeCell ref="G338:H338"/>
    <mergeCell ref="I338:J338"/>
    <mergeCell ref="K338:L338"/>
    <mergeCell ref="G339:H339"/>
    <mergeCell ref="I339:J339"/>
    <mergeCell ref="K339:L339"/>
    <mergeCell ref="I340:J340"/>
    <mergeCell ref="K340:L340"/>
    <mergeCell ref="G340:H340"/>
    <mergeCell ref="G341:H341"/>
    <mergeCell ref="I341:J341"/>
    <mergeCell ref="K341:L341"/>
    <mergeCell ref="M341:N341"/>
    <mergeCell ref="O341:P341"/>
    <mergeCell ref="G342:H342"/>
    <mergeCell ref="I346:J346"/>
    <mergeCell ref="K346:L346"/>
    <mergeCell ref="G347:H347"/>
    <mergeCell ref="I347:J347"/>
    <mergeCell ref="K347:L347"/>
    <mergeCell ref="M347:N347"/>
    <mergeCell ref="O347:P347"/>
    <mergeCell ref="M320:N320"/>
    <mergeCell ref="O320:P320"/>
    <mergeCell ref="G318:H318"/>
    <mergeCell ref="G319:H319"/>
    <mergeCell ref="I319:J319"/>
    <mergeCell ref="K319:L319"/>
    <mergeCell ref="M319:N319"/>
    <mergeCell ref="O319:P319"/>
    <mergeCell ref="G320:H320"/>
    <mergeCell ref="K310:L310"/>
    <mergeCell ref="M310:N310"/>
    <mergeCell ref="G309:H309"/>
    <mergeCell ref="I309:J309"/>
    <mergeCell ref="K309:L309"/>
    <mergeCell ref="M309:N309"/>
    <mergeCell ref="O309:P309"/>
    <mergeCell ref="I310:J310"/>
    <mergeCell ref="O310:P310"/>
    <mergeCell ref="M312:N312"/>
    <mergeCell ref="O312:P312"/>
    <mergeCell ref="M313:N313"/>
    <mergeCell ref="O313:P313"/>
    <mergeCell ref="M314:N314"/>
    <mergeCell ref="O314:P314"/>
    <mergeCell ref="G310:H310"/>
    <mergeCell ref="G311:H311"/>
    <mergeCell ref="I311:J311"/>
    <mergeCell ref="K311:L311"/>
    <mergeCell ref="M311:N311"/>
    <mergeCell ref="O311:P311"/>
    <mergeCell ref="G312:H312"/>
    <mergeCell ref="I312:J312"/>
    <mergeCell ref="K312:L312"/>
    <mergeCell ref="G313:H313"/>
    <mergeCell ref="I313:J313"/>
    <mergeCell ref="K313:L313"/>
    <mergeCell ref="I314:J314"/>
    <mergeCell ref="K314:L314"/>
    <mergeCell ref="G314:H314"/>
    <mergeCell ref="G315:H315"/>
    <mergeCell ref="I315:J315"/>
    <mergeCell ref="K315:L315"/>
    <mergeCell ref="M315:N315"/>
    <mergeCell ref="O315:P315"/>
    <mergeCell ref="G316:H316"/>
    <mergeCell ref="I320:J320"/>
    <mergeCell ref="K320:L320"/>
    <mergeCell ref="G321:H321"/>
    <mergeCell ref="I321:J321"/>
    <mergeCell ref="K321:L321"/>
    <mergeCell ref="M321:N321"/>
    <mergeCell ref="O321:P321"/>
    <mergeCell ref="M329:N329"/>
    <mergeCell ref="O329:P329"/>
    <mergeCell ref="M330:N330"/>
    <mergeCell ref="O330:P330"/>
    <mergeCell ref="M331:N331"/>
    <mergeCell ref="O331:P331"/>
    <mergeCell ref="I329:J329"/>
    <mergeCell ref="K329:L329"/>
    <mergeCell ref="G330:H330"/>
    <mergeCell ref="I330:J330"/>
    <mergeCell ref="K330:L330"/>
    <mergeCell ref="I331:J331"/>
    <mergeCell ref="K331:L331"/>
    <mergeCell ref="M333:N333"/>
    <mergeCell ref="O333:P333"/>
    <mergeCell ref="G331:H331"/>
    <mergeCell ref="G332:H332"/>
    <mergeCell ref="I332:J332"/>
    <mergeCell ref="K332:L332"/>
    <mergeCell ref="M332:N332"/>
    <mergeCell ref="O332:P332"/>
    <mergeCell ref="G333:H333"/>
    <mergeCell ref="K323:L323"/>
    <mergeCell ref="M323:N323"/>
    <mergeCell ref="G322:H322"/>
    <mergeCell ref="I322:J322"/>
    <mergeCell ref="K322:L322"/>
    <mergeCell ref="M322:N322"/>
    <mergeCell ref="O322:P322"/>
    <mergeCell ref="I323:J323"/>
    <mergeCell ref="O323:P323"/>
    <mergeCell ref="M325:N325"/>
    <mergeCell ref="O325:P325"/>
    <mergeCell ref="M326:N326"/>
    <mergeCell ref="O326:P326"/>
    <mergeCell ref="M327:N327"/>
    <mergeCell ref="O327:P327"/>
    <mergeCell ref="G323:H323"/>
    <mergeCell ref="G324:H324"/>
    <mergeCell ref="I324:J324"/>
    <mergeCell ref="K324:L324"/>
    <mergeCell ref="M324:N324"/>
    <mergeCell ref="O324:P324"/>
    <mergeCell ref="G325:H325"/>
    <mergeCell ref="I325:J325"/>
    <mergeCell ref="K325:L325"/>
    <mergeCell ref="G326:H326"/>
    <mergeCell ref="I326:J326"/>
    <mergeCell ref="K326:L326"/>
    <mergeCell ref="I327:J327"/>
    <mergeCell ref="K327:L327"/>
    <mergeCell ref="G327:H327"/>
    <mergeCell ref="G328:H328"/>
    <mergeCell ref="I328:J328"/>
    <mergeCell ref="K328:L328"/>
    <mergeCell ref="M328:N328"/>
    <mergeCell ref="O328:P328"/>
    <mergeCell ref="G329:H329"/>
    <mergeCell ref="I333:J333"/>
    <mergeCell ref="K333:L333"/>
    <mergeCell ref="G334:H334"/>
    <mergeCell ref="I334:J334"/>
    <mergeCell ref="K334:L334"/>
    <mergeCell ref="M334:N334"/>
    <mergeCell ref="O334:P334"/>
    <mergeCell ref="M342:N342"/>
    <mergeCell ref="O342:P342"/>
    <mergeCell ref="M343:N343"/>
    <mergeCell ref="O343:P343"/>
    <mergeCell ref="M344:N344"/>
    <mergeCell ref="O344:P344"/>
    <mergeCell ref="I342:J342"/>
    <mergeCell ref="K342:L342"/>
    <mergeCell ref="G343:H343"/>
    <mergeCell ref="I343:J343"/>
    <mergeCell ref="K343:L343"/>
    <mergeCell ref="I344:J344"/>
    <mergeCell ref="K344:L344"/>
    <mergeCell ref="M355:N355"/>
    <mergeCell ref="O355:P355"/>
    <mergeCell ref="M356:N356"/>
    <mergeCell ref="O356:P356"/>
    <mergeCell ref="M357:N357"/>
    <mergeCell ref="O357:P357"/>
    <mergeCell ref="I355:J355"/>
    <mergeCell ref="K355:L355"/>
    <mergeCell ref="G356:H356"/>
    <mergeCell ref="I356:J356"/>
    <mergeCell ref="K356:L356"/>
    <mergeCell ref="I357:J357"/>
    <mergeCell ref="K357:L357"/>
    <mergeCell ref="M190:N190"/>
    <mergeCell ref="O190:P190"/>
    <mergeCell ref="G188:H188"/>
    <mergeCell ref="G189:H189"/>
    <mergeCell ref="I189:J189"/>
    <mergeCell ref="K189:L189"/>
    <mergeCell ref="M189:N189"/>
    <mergeCell ref="O189:P189"/>
    <mergeCell ref="G190:H190"/>
    <mergeCell ref="K180:L180"/>
    <mergeCell ref="M180:N180"/>
    <mergeCell ref="G179:H179"/>
    <mergeCell ref="I179:J179"/>
    <mergeCell ref="K179:L179"/>
    <mergeCell ref="M179:N179"/>
    <mergeCell ref="O179:P179"/>
    <mergeCell ref="I180:J180"/>
    <mergeCell ref="O180:P180"/>
    <mergeCell ref="M182:N182"/>
    <mergeCell ref="O182:P182"/>
    <mergeCell ref="M183:N183"/>
    <mergeCell ref="O183:P183"/>
    <mergeCell ref="M184:N184"/>
    <mergeCell ref="O184:P184"/>
    <mergeCell ref="G180:H180"/>
    <mergeCell ref="G181:H181"/>
    <mergeCell ref="I181:J181"/>
    <mergeCell ref="K181:L181"/>
    <mergeCell ref="M181:N181"/>
    <mergeCell ref="O181:P181"/>
    <mergeCell ref="G182:H182"/>
    <mergeCell ref="I182:J182"/>
    <mergeCell ref="K182:L182"/>
    <mergeCell ref="G183:H183"/>
    <mergeCell ref="I183:J183"/>
    <mergeCell ref="K183:L183"/>
    <mergeCell ref="I184:J184"/>
    <mergeCell ref="K184:L184"/>
    <mergeCell ref="G184:H184"/>
    <mergeCell ref="G185:H185"/>
    <mergeCell ref="I185:J185"/>
    <mergeCell ref="K185:L185"/>
    <mergeCell ref="M185:N185"/>
    <mergeCell ref="O185:P185"/>
    <mergeCell ref="G186:H186"/>
    <mergeCell ref="I190:J190"/>
    <mergeCell ref="K190:L190"/>
    <mergeCell ref="G191:H191"/>
    <mergeCell ref="I191:J191"/>
    <mergeCell ref="K191:L191"/>
    <mergeCell ref="M191:N191"/>
    <mergeCell ref="O191:P191"/>
    <mergeCell ref="M164:N164"/>
    <mergeCell ref="O164:P164"/>
    <mergeCell ref="G162:H162"/>
    <mergeCell ref="G163:H163"/>
    <mergeCell ref="I163:J163"/>
    <mergeCell ref="K163:L163"/>
    <mergeCell ref="M163:N163"/>
    <mergeCell ref="O163:P163"/>
    <mergeCell ref="G164:H164"/>
    <mergeCell ref="K154:L154"/>
    <mergeCell ref="M154:N154"/>
    <mergeCell ref="G153:H153"/>
    <mergeCell ref="I153:J153"/>
    <mergeCell ref="K153:L153"/>
    <mergeCell ref="M153:N153"/>
    <mergeCell ref="O153:P153"/>
    <mergeCell ref="I154:J154"/>
    <mergeCell ref="O154:P154"/>
    <mergeCell ref="M156:N156"/>
    <mergeCell ref="O156:P156"/>
    <mergeCell ref="M157:N157"/>
    <mergeCell ref="O157:P157"/>
    <mergeCell ref="M158:N158"/>
    <mergeCell ref="O158:P158"/>
    <mergeCell ref="G154:H154"/>
    <mergeCell ref="G155:H155"/>
    <mergeCell ref="I155:J155"/>
    <mergeCell ref="K155:L155"/>
    <mergeCell ref="M155:N155"/>
    <mergeCell ref="O155:P155"/>
    <mergeCell ref="G156:H156"/>
    <mergeCell ref="I156:J156"/>
    <mergeCell ref="K156:L156"/>
    <mergeCell ref="G157:H157"/>
    <mergeCell ref="I157:J157"/>
    <mergeCell ref="K157:L157"/>
    <mergeCell ref="I158:J158"/>
    <mergeCell ref="K158:L158"/>
    <mergeCell ref="G158:H158"/>
    <mergeCell ref="G159:H159"/>
    <mergeCell ref="I159:J159"/>
    <mergeCell ref="K159:L159"/>
    <mergeCell ref="M159:N159"/>
    <mergeCell ref="O159:P159"/>
    <mergeCell ref="G160:H160"/>
    <mergeCell ref="I164:J164"/>
    <mergeCell ref="K164:L164"/>
    <mergeCell ref="G165:H165"/>
    <mergeCell ref="I165:J165"/>
    <mergeCell ref="K165:L165"/>
    <mergeCell ref="M165:N165"/>
    <mergeCell ref="O165:P165"/>
    <mergeCell ref="M173:N173"/>
    <mergeCell ref="O173:P173"/>
    <mergeCell ref="M174:N174"/>
    <mergeCell ref="O174:P174"/>
    <mergeCell ref="M175:N175"/>
    <mergeCell ref="O175:P175"/>
    <mergeCell ref="I173:J173"/>
    <mergeCell ref="K173:L173"/>
    <mergeCell ref="G174:H174"/>
    <mergeCell ref="I174:J174"/>
    <mergeCell ref="K174:L174"/>
    <mergeCell ref="I175:J175"/>
    <mergeCell ref="K175:L175"/>
    <mergeCell ref="M177:N177"/>
    <mergeCell ref="O177:P177"/>
    <mergeCell ref="G175:H175"/>
    <mergeCell ref="G176:H176"/>
    <mergeCell ref="I176:J176"/>
    <mergeCell ref="K176:L176"/>
    <mergeCell ref="M176:N176"/>
    <mergeCell ref="O176:P176"/>
    <mergeCell ref="G177:H177"/>
    <mergeCell ref="K167:L167"/>
    <mergeCell ref="M167:N167"/>
    <mergeCell ref="G166:H166"/>
    <mergeCell ref="I166:J166"/>
    <mergeCell ref="K166:L166"/>
    <mergeCell ref="M166:N166"/>
    <mergeCell ref="O166:P166"/>
    <mergeCell ref="I167:J167"/>
    <mergeCell ref="O167:P167"/>
    <mergeCell ref="M169:N169"/>
    <mergeCell ref="O169:P169"/>
    <mergeCell ref="M170:N170"/>
    <mergeCell ref="O170:P170"/>
    <mergeCell ref="M171:N171"/>
    <mergeCell ref="O171:P171"/>
    <mergeCell ref="G167:H167"/>
    <mergeCell ref="G168:H168"/>
    <mergeCell ref="I168:J168"/>
    <mergeCell ref="K168:L168"/>
    <mergeCell ref="M168:N168"/>
    <mergeCell ref="O168:P168"/>
    <mergeCell ref="G169:H169"/>
    <mergeCell ref="I169:J169"/>
    <mergeCell ref="K169:L169"/>
    <mergeCell ref="G170:H170"/>
    <mergeCell ref="I170:J170"/>
    <mergeCell ref="K170:L170"/>
    <mergeCell ref="I171:J171"/>
    <mergeCell ref="K171:L171"/>
    <mergeCell ref="G171:H171"/>
    <mergeCell ref="G172:H172"/>
    <mergeCell ref="I172:J172"/>
    <mergeCell ref="K172:L172"/>
    <mergeCell ref="M172:N172"/>
    <mergeCell ref="O172:P172"/>
    <mergeCell ref="G173:H173"/>
    <mergeCell ref="I177:J177"/>
    <mergeCell ref="K177:L177"/>
    <mergeCell ref="G178:H178"/>
    <mergeCell ref="I178:J178"/>
    <mergeCell ref="K178:L178"/>
    <mergeCell ref="M178:N178"/>
    <mergeCell ref="O178:P178"/>
    <mergeCell ref="M186:N186"/>
    <mergeCell ref="O186:P186"/>
    <mergeCell ref="M187:N187"/>
    <mergeCell ref="O187:P187"/>
    <mergeCell ref="M188:N188"/>
    <mergeCell ref="O188:P188"/>
    <mergeCell ref="I186:J186"/>
    <mergeCell ref="K186:L186"/>
    <mergeCell ref="G187:H187"/>
    <mergeCell ref="I187:J187"/>
    <mergeCell ref="K187:L187"/>
    <mergeCell ref="I188:J188"/>
    <mergeCell ref="K188:L188"/>
    <mergeCell ref="M199:N199"/>
    <mergeCell ref="O199:P199"/>
    <mergeCell ref="M200:N200"/>
    <mergeCell ref="O200:P200"/>
    <mergeCell ref="M201:N201"/>
    <mergeCell ref="O201:P201"/>
    <mergeCell ref="I199:J199"/>
    <mergeCell ref="K199:L199"/>
    <mergeCell ref="G200:H200"/>
    <mergeCell ref="I200:J200"/>
    <mergeCell ref="K200:L200"/>
    <mergeCell ref="I201:J201"/>
    <mergeCell ref="K201:L201"/>
    <mergeCell ref="M229:N229"/>
    <mergeCell ref="O229:P229"/>
    <mergeCell ref="G227:H227"/>
    <mergeCell ref="G228:H228"/>
    <mergeCell ref="I228:J228"/>
    <mergeCell ref="K228:L228"/>
    <mergeCell ref="M228:N228"/>
    <mergeCell ref="O228:P228"/>
    <mergeCell ref="G229:H229"/>
    <mergeCell ref="K219:L219"/>
    <mergeCell ref="M219:N219"/>
    <mergeCell ref="G218:H218"/>
    <mergeCell ref="I218:J218"/>
    <mergeCell ref="K218:L218"/>
    <mergeCell ref="M218:N218"/>
    <mergeCell ref="O218:P218"/>
    <mergeCell ref="I219:J219"/>
    <mergeCell ref="O219:P219"/>
    <mergeCell ref="M221:N221"/>
    <mergeCell ref="O221:P221"/>
    <mergeCell ref="M222:N222"/>
    <mergeCell ref="O222:P222"/>
    <mergeCell ref="M223:N223"/>
    <mergeCell ref="O223:P223"/>
    <mergeCell ref="G219:H219"/>
    <mergeCell ref="G220:H220"/>
    <mergeCell ref="I220:J220"/>
    <mergeCell ref="K220:L220"/>
    <mergeCell ref="M220:N220"/>
    <mergeCell ref="O220:P220"/>
    <mergeCell ref="G221:H221"/>
    <mergeCell ref="I221:J221"/>
    <mergeCell ref="K221:L221"/>
    <mergeCell ref="G222:H222"/>
    <mergeCell ref="I222:J222"/>
    <mergeCell ref="K222:L222"/>
    <mergeCell ref="I223:J223"/>
    <mergeCell ref="K223:L223"/>
    <mergeCell ref="G223:H223"/>
    <mergeCell ref="G224:H224"/>
    <mergeCell ref="I224:J224"/>
    <mergeCell ref="K224:L224"/>
    <mergeCell ref="M224:N224"/>
    <mergeCell ref="O224:P224"/>
    <mergeCell ref="G225:H225"/>
    <mergeCell ref="I229:J229"/>
    <mergeCell ref="K229:L229"/>
    <mergeCell ref="G230:H230"/>
    <mergeCell ref="I230:J230"/>
    <mergeCell ref="K230:L230"/>
    <mergeCell ref="M230:N230"/>
    <mergeCell ref="O230:P230"/>
    <mergeCell ref="M203:N203"/>
    <mergeCell ref="O203:P203"/>
    <mergeCell ref="G201:H201"/>
    <mergeCell ref="G202:H202"/>
    <mergeCell ref="I202:J202"/>
    <mergeCell ref="K202:L202"/>
    <mergeCell ref="M202:N202"/>
    <mergeCell ref="O202:P202"/>
    <mergeCell ref="G203:H203"/>
    <mergeCell ref="K193:L193"/>
    <mergeCell ref="M193:N193"/>
    <mergeCell ref="G192:H192"/>
    <mergeCell ref="I192:J192"/>
    <mergeCell ref="K192:L192"/>
    <mergeCell ref="M192:N192"/>
    <mergeCell ref="O192:P192"/>
    <mergeCell ref="I193:J193"/>
    <mergeCell ref="O193:P193"/>
    <mergeCell ref="M195:N195"/>
    <mergeCell ref="O195:P195"/>
    <mergeCell ref="M196:N196"/>
    <mergeCell ref="O196:P196"/>
    <mergeCell ref="M197:N197"/>
    <mergeCell ref="O197:P197"/>
    <mergeCell ref="G193:H193"/>
    <mergeCell ref="G194:H194"/>
    <mergeCell ref="I194:J194"/>
    <mergeCell ref="K194:L194"/>
    <mergeCell ref="M194:N194"/>
    <mergeCell ref="O194:P194"/>
    <mergeCell ref="G195:H195"/>
    <mergeCell ref="I195:J195"/>
    <mergeCell ref="K195:L195"/>
    <mergeCell ref="G196:H196"/>
    <mergeCell ref="I196:J196"/>
    <mergeCell ref="K196:L196"/>
    <mergeCell ref="I197:J197"/>
    <mergeCell ref="K197:L197"/>
    <mergeCell ref="G197:H197"/>
    <mergeCell ref="G198:H198"/>
    <mergeCell ref="I198:J198"/>
    <mergeCell ref="K198:L198"/>
    <mergeCell ref="M198:N198"/>
    <mergeCell ref="O198:P198"/>
    <mergeCell ref="G199:H199"/>
    <mergeCell ref="I203:J203"/>
    <mergeCell ref="K203:L203"/>
    <mergeCell ref="G204:H204"/>
    <mergeCell ref="I204:J204"/>
    <mergeCell ref="K204:L204"/>
    <mergeCell ref="M204:N204"/>
    <mergeCell ref="O204:P204"/>
    <mergeCell ref="M212:N212"/>
    <mergeCell ref="O212:P212"/>
    <mergeCell ref="M213:N213"/>
    <mergeCell ref="O213:P213"/>
    <mergeCell ref="M214:N214"/>
    <mergeCell ref="O214:P214"/>
    <mergeCell ref="I212:J212"/>
    <mergeCell ref="K212:L212"/>
    <mergeCell ref="G213:H213"/>
    <mergeCell ref="I213:J213"/>
    <mergeCell ref="K213:L213"/>
    <mergeCell ref="I214:J214"/>
    <mergeCell ref="K214:L214"/>
    <mergeCell ref="M216:N216"/>
    <mergeCell ref="O216:P216"/>
    <mergeCell ref="G214:H214"/>
    <mergeCell ref="G215:H215"/>
    <mergeCell ref="I215:J215"/>
    <mergeCell ref="K215:L215"/>
    <mergeCell ref="M215:N215"/>
    <mergeCell ref="O215:P215"/>
    <mergeCell ref="G216:H216"/>
    <mergeCell ref="K206:L206"/>
    <mergeCell ref="M206:N206"/>
    <mergeCell ref="G205:H205"/>
    <mergeCell ref="I205:J205"/>
    <mergeCell ref="K205:L205"/>
    <mergeCell ref="M205:N205"/>
    <mergeCell ref="O205:P205"/>
    <mergeCell ref="I206:J206"/>
    <mergeCell ref="O206:P206"/>
    <mergeCell ref="M208:N208"/>
    <mergeCell ref="O208:P208"/>
    <mergeCell ref="M209:N209"/>
    <mergeCell ref="O209:P209"/>
    <mergeCell ref="M210:N210"/>
    <mergeCell ref="O210:P210"/>
    <mergeCell ref="G206:H206"/>
    <mergeCell ref="G207:H207"/>
    <mergeCell ref="I207:J207"/>
    <mergeCell ref="K207:L207"/>
    <mergeCell ref="M207:N207"/>
    <mergeCell ref="O207:P207"/>
    <mergeCell ref="G208:H208"/>
    <mergeCell ref="I208:J208"/>
    <mergeCell ref="K208:L208"/>
    <mergeCell ref="G209:H209"/>
    <mergeCell ref="I209:J209"/>
    <mergeCell ref="K209:L209"/>
    <mergeCell ref="I210:J210"/>
    <mergeCell ref="K210:L210"/>
    <mergeCell ref="G210:H210"/>
    <mergeCell ref="G211:H211"/>
    <mergeCell ref="I211:J211"/>
    <mergeCell ref="K211:L211"/>
    <mergeCell ref="M211:N211"/>
    <mergeCell ref="O211:P211"/>
    <mergeCell ref="G212:H212"/>
    <mergeCell ref="I216:J216"/>
    <mergeCell ref="K216:L216"/>
    <mergeCell ref="G217:H217"/>
    <mergeCell ref="I217:J217"/>
    <mergeCell ref="K217:L217"/>
    <mergeCell ref="M217:N217"/>
    <mergeCell ref="O217:P217"/>
    <mergeCell ref="M225:N225"/>
    <mergeCell ref="O225:P225"/>
    <mergeCell ref="M226:N226"/>
    <mergeCell ref="O226:P226"/>
    <mergeCell ref="M227:N227"/>
    <mergeCell ref="O227:P227"/>
    <mergeCell ref="I225:J225"/>
    <mergeCell ref="K225:L225"/>
    <mergeCell ref="G226:H226"/>
    <mergeCell ref="I226:J226"/>
    <mergeCell ref="K226:L226"/>
    <mergeCell ref="I227:J227"/>
    <mergeCell ref="K227:L227"/>
    <mergeCell ref="M238:N238"/>
    <mergeCell ref="O238:P238"/>
    <mergeCell ref="M239:N239"/>
    <mergeCell ref="O239:P239"/>
    <mergeCell ref="M240:N240"/>
    <mergeCell ref="O240:P240"/>
    <mergeCell ref="I238:J238"/>
    <mergeCell ref="K238:L238"/>
    <mergeCell ref="G239:H239"/>
    <mergeCell ref="I239:J239"/>
    <mergeCell ref="K239:L239"/>
    <mergeCell ref="I240:J240"/>
    <mergeCell ref="K240:L240"/>
    <mergeCell ref="M268:N268"/>
    <mergeCell ref="O268:P268"/>
    <mergeCell ref="G266:H266"/>
    <mergeCell ref="G267:H267"/>
    <mergeCell ref="I267:J267"/>
    <mergeCell ref="K267:L267"/>
    <mergeCell ref="M267:N267"/>
    <mergeCell ref="O267:P267"/>
    <mergeCell ref="G268:H268"/>
    <mergeCell ref="K258:L258"/>
    <mergeCell ref="M258:N258"/>
    <mergeCell ref="G257:H257"/>
    <mergeCell ref="I257:J257"/>
    <mergeCell ref="K257:L257"/>
    <mergeCell ref="M257:N257"/>
    <mergeCell ref="O257:P257"/>
    <mergeCell ref="I258:J258"/>
    <mergeCell ref="O258:P258"/>
    <mergeCell ref="M260:N260"/>
    <mergeCell ref="O260:P260"/>
    <mergeCell ref="M261:N261"/>
    <mergeCell ref="O261:P261"/>
    <mergeCell ref="M262:N262"/>
    <mergeCell ref="O262:P262"/>
    <mergeCell ref="G258:H258"/>
    <mergeCell ref="G259:H259"/>
    <mergeCell ref="I259:J259"/>
    <mergeCell ref="K259:L259"/>
    <mergeCell ref="M259:N259"/>
    <mergeCell ref="O259:P259"/>
    <mergeCell ref="G260:H260"/>
    <mergeCell ref="I260:J260"/>
    <mergeCell ref="K260:L260"/>
    <mergeCell ref="G261:H261"/>
    <mergeCell ref="I261:J261"/>
    <mergeCell ref="K261:L261"/>
    <mergeCell ref="I262:J262"/>
    <mergeCell ref="K262:L262"/>
    <mergeCell ref="G262:H262"/>
    <mergeCell ref="G263:H263"/>
    <mergeCell ref="I263:J263"/>
    <mergeCell ref="K263:L263"/>
    <mergeCell ref="M263:N263"/>
    <mergeCell ref="O263:P263"/>
    <mergeCell ref="G264:H264"/>
    <mergeCell ref="I268:J268"/>
    <mergeCell ref="K268:L268"/>
    <mergeCell ref="G269:H269"/>
    <mergeCell ref="I269:J269"/>
    <mergeCell ref="K269:L269"/>
    <mergeCell ref="M269:N269"/>
    <mergeCell ref="O269:P269"/>
    <mergeCell ref="M242:N242"/>
    <mergeCell ref="O242:P242"/>
    <mergeCell ref="G240:H240"/>
    <mergeCell ref="G241:H241"/>
    <mergeCell ref="I241:J241"/>
    <mergeCell ref="K241:L241"/>
    <mergeCell ref="M241:N241"/>
    <mergeCell ref="O241:P241"/>
    <mergeCell ref="G242:H242"/>
    <mergeCell ref="K232:L232"/>
    <mergeCell ref="M232:N232"/>
    <mergeCell ref="G231:H231"/>
    <mergeCell ref="I231:J231"/>
    <mergeCell ref="K231:L231"/>
    <mergeCell ref="M231:N231"/>
    <mergeCell ref="O231:P231"/>
    <mergeCell ref="I232:J232"/>
    <mergeCell ref="O232:P232"/>
    <mergeCell ref="M234:N234"/>
    <mergeCell ref="O234:P234"/>
    <mergeCell ref="M235:N235"/>
    <mergeCell ref="O235:P235"/>
    <mergeCell ref="M236:N236"/>
    <mergeCell ref="O236:P236"/>
    <mergeCell ref="G232:H232"/>
    <mergeCell ref="G233:H233"/>
    <mergeCell ref="I233:J233"/>
    <mergeCell ref="K233:L233"/>
    <mergeCell ref="M233:N233"/>
    <mergeCell ref="O233:P233"/>
    <mergeCell ref="G234:H234"/>
    <mergeCell ref="I234:J234"/>
    <mergeCell ref="K234:L234"/>
    <mergeCell ref="G235:H235"/>
    <mergeCell ref="I235:J235"/>
    <mergeCell ref="K235:L235"/>
    <mergeCell ref="I236:J236"/>
    <mergeCell ref="K236:L236"/>
    <mergeCell ref="G236:H236"/>
    <mergeCell ref="G237:H237"/>
    <mergeCell ref="I237:J237"/>
    <mergeCell ref="K237:L237"/>
    <mergeCell ref="M237:N237"/>
    <mergeCell ref="O237:P237"/>
    <mergeCell ref="G238:H238"/>
    <mergeCell ref="I242:J242"/>
    <mergeCell ref="K242:L242"/>
    <mergeCell ref="G243:H243"/>
    <mergeCell ref="I243:J243"/>
    <mergeCell ref="K243:L243"/>
    <mergeCell ref="M243:N243"/>
    <mergeCell ref="O243:P243"/>
    <mergeCell ref="M251:N251"/>
    <mergeCell ref="O251:P251"/>
    <mergeCell ref="M252:N252"/>
    <mergeCell ref="O252:P252"/>
    <mergeCell ref="M253:N253"/>
    <mergeCell ref="O253:P253"/>
    <mergeCell ref="I251:J251"/>
    <mergeCell ref="K251:L251"/>
    <mergeCell ref="G252:H252"/>
    <mergeCell ref="I252:J252"/>
    <mergeCell ref="K252:L252"/>
    <mergeCell ref="I253:J253"/>
    <mergeCell ref="K253:L253"/>
    <mergeCell ref="M255:N255"/>
    <mergeCell ref="O255:P255"/>
    <mergeCell ref="G253:H253"/>
    <mergeCell ref="G254:H254"/>
    <mergeCell ref="I254:J254"/>
    <mergeCell ref="K254:L254"/>
    <mergeCell ref="M254:N254"/>
    <mergeCell ref="O254:P254"/>
    <mergeCell ref="G255:H255"/>
    <mergeCell ref="K245:L245"/>
    <mergeCell ref="M245:N245"/>
    <mergeCell ref="G244:H244"/>
    <mergeCell ref="I244:J244"/>
    <mergeCell ref="K244:L244"/>
    <mergeCell ref="M244:N244"/>
    <mergeCell ref="O244:P244"/>
    <mergeCell ref="I245:J245"/>
    <mergeCell ref="O245:P245"/>
    <mergeCell ref="M247:N247"/>
    <mergeCell ref="O247:P247"/>
    <mergeCell ref="M248:N248"/>
    <mergeCell ref="O248:P248"/>
    <mergeCell ref="M249:N249"/>
    <mergeCell ref="O249:P249"/>
    <mergeCell ref="G245:H245"/>
    <mergeCell ref="G246:H246"/>
    <mergeCell ref="I246:J246"/>
    <mergeCell ref="K246:L246"/>
    <mergeCell ref="M246:N246"/>
    <mergeCell ref="O246:P246"/>
    <mergeCell ref="G247:H247"/>
    <mergeCell ref="I247:J247"/>
    <mergeCell ref="K247:L247"/>
    <mergeCell ref="G248:H248"/>
    <mergeCell ref="I248:J248"/>
    <mergeCell ref="K248:L248"/>
    <mergeCell ref="I249:J249"/>
    <mergeCell ref="K249:L249"/>
    <mergeCell ref="G249:H249"/>
    <mergeCell ref="G250:H250"/>
    <mergeCell ref="I250:J250"/>
    <mergeCell ref="K250:L250"/>
    <mergeCell ref="M250:N250"/>
    <mergeCell ref="O250:P250"/>
    <mergeCell ref="G251:H251"/>
    <mergeCell ref="I255:J255"/>
    <mergeCell ref="K255:L255"/>
    <mergeCell ref="G256:H256"/>
    <mergeCell ref="I256:J256"/>
    <mergeCell ref="K256:L256"/>
    <mergeCell ref="M256:N256"/>
    <mergeCell ref="O256:P256"/>
    <mergeCell ref="M264:N264"/>
    <mergeCell ref="O264:P264"/>
    <mergeCell ref="M265:N265"/>
    <mergeCell ref="O265:P265"/>
    <mergeCell ref="M266:N266"/>
    <mergeCell ref="O266:P266"/>
    <mergeCell ref="I264:J264"/>
    <mergeCell ref="K264:L264"/>
    <mergeCell ref="G265:H265"/>
    <mergeCell ref="I265:J265"/>
    <mergeCell ref="K265:L265"/>
    <mergeCell ref="I266:J266"/>
    <mergeCell ref="K266:L266"/>
    <mergeCell ref="M277:N277"/>
    <mergeCell ref="O277:P277"/>
    <mergeCell ref="M278:N278"/>
    <mergeCell ref="O278:P278"/>
    <mergeCell ref="M279:N279"/>
    <mergeCell ref="O279:P279"/>
    <mergeCell ref="I277:J277"/>
    <mergeCell ref="K277:L277"/>
    <mergeCell ref="G278:H278"/>
    <mergeCell ref="I278:J278"/>
    <mergeCell ref="K278:L278"/>
    <mergeCell ref="I279:J279"/>
    <mergeCell ref="K279:L279"/>
    <mergeCell ref="M359:N359"/>
    <mergeCell ref="O359:P359"/>
    <mergeCell ref="G357:H357"/>
    <mergeCell ref="G358:H358"/>
    <mergeCell ref="I358:J358"/>
    <mergeCell ref="K358:L358"/>
    <mergeCell ref="M358:N358"/>
    <mergeCell ref="O358:P358"/>
    <mergeCell ref="G359:H359"/>
    <mergeCell ref="K349:L349"/>
    <mergeCell ref="M349:N349"/>
    <mergeCell ref="G348:H348"/>
    <mergeCell ref="I348:J348"/>
    <mergeCell ref="K348:L348"/>
    <mergeCell ref="M348:N348"/>
    <mergeCell ref="O348:P348"/>
    <mergeCell ref="I349:J349"/>
    <mergeCell ref="O349:P349"/>
    <mergeCell ref="M351:N351"/>
    <mergeCell ref="O351:P351"/>
    <mergeCell ref="M352:N352"/>
    <mergeCell ref="O352:P352"/>
    <mergeCell ref="M353:N353"/>
    <mergeCell ref="O353:P353"/>
    <mergeCell ref="G349:H349"/>
    <mergeCell ref="G350:H350"/>
    <mergeCell ref="I350:J350"/>
    <mergeCell ref="K350:L350"/>
    <mergeCell ref="M350:N350"/>
    <mergeCell ref="O350:P350"/>
    <mergeCell ref="G351:H351"/>
    <mergeCell ref="I351:J351"/>
    <mergeCell ref="K351:L351"/>
    <mergeCell ref="G352:H352"/>
    <mergeCell ref="I352:J352"/>
    <mergeCell ref="K352:L352"/>
    <mergeCell ref="I353:J353"/>
    <mergeCell ref="K353:L353"/>
    <mergeCell ref="G353:H353"/>
    <mergeCell ref="G354:H354"/>
    <mergeCell ref="I354:J354"/>
    <mergeCell ref="K354:L354"/>
    <mergeCell ref="M354:N354"/>
    <mergeCell ref="O354:P354"/>
    <mergeCell ref="G355:H355"/>
    <mergeCell ref="I359:J359"/>
    <mergeCell ref="K359:L359"/>
  </mergeCells>
  <printOptions/>
  <pageMargins bottom="0.75" footer="0.0" header="0.0" left="0.7" right="0.7" top="0.75"/>
  <pageSetup fitToHeight="0" orientation="portrait"/>
  <drawing r:id="rId1"/>
</worksheet>
</file>