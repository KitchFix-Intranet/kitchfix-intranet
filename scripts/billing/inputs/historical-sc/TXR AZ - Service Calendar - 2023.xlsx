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3" sheetId="1" r:id="rId5"/>
    <sheet state="visible" name="Actuals - 2023" sheetId="2" r:id="rId6"/>
    <sheet state="visible" name="Projections - 2024" sheetId="3" r:id="rId7"/>
    <sheet state="visible" name="Clicker Counts - 2023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tc={3cab8f02-9b0c-4df4-a3bd-f5f75c65cd5c}</author>
    <author>tc={6cb100a0-0578-4c15-96e6-87b05bc2e068}</author>
    <author>tc={b7cd9ed6-3d44-4167-973a-89a9e514cbb0}</author>
  </authors>
  <commentList>
    <comment authorId="0" ref="AB312">
      <text>
        <t xml:space="preserve">Mimi and Courtney- Fruit for smootie class. Frozen fruit, fresh banana, cups
</t>
      </text>
    </comment>
    <comment authorId="0" ref="V209">
      <text>
        <t xml:space="preserve">Rehab player buying post game Chipotle for everyone-we are not required to provide dinner per Stosh
</t>
      </text>
    </comment>
    <comment authorId="0" ref="R42">
      <text>
        <t xml:space="preserve">Per JMo, lowered breakfast amount to 120, raised lunch to 160</t>
      </text>
    </comment>
    <comment authorId="0" ref="V172">
      <text>
        <t xml:space="preserve">Distant away game-Rangers catering dinner
</t>
      </text>
    </comment>
    <comment authorId="0" ref="AB265">
      <text>
        <t xml:space="preserve">refuel number went up 10</t>
      </text>
    </comment>
    <comment authorId="0" ref="R319">
      <text>
        <t xml:space="preserve">additional 6 people from outside per Mimi</t>
      </text>
    </comment>
    <comment authorId="0" ref="X67">
      <text>
        <t xml:space="preserve">smoothes &amp; sandwiches for refuel
</t>
      </text>
    </comment>
    <comment authorId="0" ref="R187">
      <text>
        <t xml:space="preserve">25 boxed meals for rehab per Kai-ok'd with Stosh
</t>
      </text>
    </comment>
    <comment authorId="0" ref="V158">
      <text>
        <t xml:space="preserve">no dinner service-distant game, Ranger's are catering.
</t>
      </text>
    </comment>
    <comment authorId="0" ref="R185">
      <text>
        <t xml:space="preserve">20 rehab meals per Kai-ok'd with Stosh
</t>
      </text>
    </comment>
    <comment authorId="0" ref="T187">
      <text>
        <t xml:space="preserve">Stosh verbally lowered numbers from 120 to 100 for breakfast, lunch and dinner services
</t>
      </text>
    </comment>
    <comment authorId="0" ref="AB195">
      <text>
        <t xml:space="preserve">bunches of bananas
</t>
      </text>
    </comment>
    <comment authorId="0" ref="R249">
      <text>
        <t xml:space="preserve">drop to 110 per Stosh</t>
      </text>
    </comment>
    <comment authorId="0" ref="T185">
      <text>
        <t xml:space="preserve">Distant away game-Rangers catered dinner</t>
      </text>
    </comment>
    <comment authorId="0" ref="AB125">
      <text>
        <t xml:space="preserve">Smoothies, uncrustables &amp; cold brew keg
</t>
      </text>
    </comment>
    <comment authorId="0" ref="AB59">
      <text>
        <t xml:space="preserve">smoothies, bananas and cuties
</t>
      </text>
    </comment>
    <comment authorId="0" ref="AB90">
      <text>
        <t xml:space="preserve">2 kegs of cold brew for coaches office
</t>
      </text>
    </comment>
    <comment authorId="0" ref="R208">
      <text>
        <t xml:space="preserve">boxed meals for rehab
</t>
      </text>
    </comment>
    <comment authorId="0" ref="T272">
      <text>
        <t xml:space="preserve">limited service-player brought in Chipotle for hot food, we provided grab n go, salad/fruit bar</t>
      </text>
    </comment>
    <comment authorId="0" ref="AB55">
      <text>
        <t xml:space="preserve">PB&amp;J &amp; Turkey Sandwiches
</t>
      </text>
    </comment>
    <comment authorId="0" ref="V208">
      <text>
        <t xml:space="preserve">distant away game-Rangers catering
</t>
      </text>
    </comment>
    <comment authorId="0" ref="R41">
      <text>
        <t xml:space="preserve">Per JMo, up number to 140 for the remaining part of the week
</t>
      </text>
    </comment>
    <comment authorId="0" ref="T138">
      <text>
        <t xml:space="preserve">no lunch service-coach had lunch at village
</t>
      </text>
    </comment>
    <comment authorId="0" ref="AB274">
      <text>
        <t xml:space="preserve">no refuel today
</t>
      </text>
    </comment>
    <comment authorId="0" ref="V231">
      <text>
        <t xml:space="preserve">rehab boxed dinners
</t>
      </text>
    </comment>
    <comment authorId="0" ref="R312">
      <text>
        <t xml:space="preserve">lower number per stosh</t>
      </text>
    </comment>
    <comment authorId="1" xr:uid="{3cab8f02-9b0c-4df4-a3bd-f5f75c65cd5c}" ref="A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smoothies &amp; sandwiches for refuel
</t>
      </text>
    </comment>
    <comment authorId="2" xr:uid="{6cb100a0-0578-4c15-96e6-87b05bc2e068}" ref="T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additional amount (of 45 people) for 2 kegs of cold brew purchased or coaches
Reply:
	Did we confirm this is how Stosh wants this invoiced, vs. separately?
</t>
      </text>
    </comment>
    <comment authorId="3" xr:uid="{b7cd9ed6-3d44-4167-973a-89a9e514cbb0}" ref="V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dinner service due to far away game, Rangers catering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18">
      <text>
        <t xml:space="preserve">Player bought Chic-filet for players, lower than normal number 
</t>
      </text>
    </comment>
  </commentList>
</comments>
</file>

<file path=xl/sharedStrings.xml><?xml version="1.0" encoding="utf-8"?>
<sst xmlns="http://schemas.openxmlformats.org/spreadsheetml/2006/main" count="4442" uniqueCount="51">
  <si>
    <t>\</t>
  </si>
  <si>
    <t xml:space="preserve">Major League </t>
  </si>
  <si>
    <t>Minor League</t>
  </si>
  <si>
    <t>Texas Rangers @ Surprise, AZ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</si>
  <si>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</si>
  <si>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</si>
  <si>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</si>
  <si>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</si>
  <si>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</si>
  <si>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</si>
  <si>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</si>
  <si>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</si>
  <si>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 xml:space="preserve"> </t>
  </si>
  <si>
    <t>Lunch</t>
  </si>
  <si>
    <t>Dinner</t>
  </si>
  <si>
    <t>Blank</t>
  </si>
  <si>
    <t>Continental Breakfast</t>
  </si>
  <si>
    <t>Pre-Game Hot Snack</t>
  </si>
  <si>
    <t>Regular Snack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</si>
  <si>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</si>
  <si>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</si>
  <si>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</si>
  <si>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</si>
  <si>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</si>
  <si>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</si>
  <si>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</si>
  <si>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Staff/Rehab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</si>
  <si>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</si>
  <si>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</si>
  <si>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</si>
  <si>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</si>
  <si>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</si>
  <si>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</si>
  <si>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</si>
  <si>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</si>
  <si>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</si>
  <si>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FC</t>
  </si>
  <si>
    <t>MLB ST</t>
  </si>
  <si>
    <t>LC</t>
  </si>
  <si>
    <t>Extended</t>
  </si>
  <si>
    <t>ACL</t>
  </si>
  <si>
    <t>.</t>
  </si>
  <si>
    <t>Instructs</t>
  </si>
  <si>
    <t>OFF</t>
  </si>
  <si>
    <t>Pre-service fee sum</t>
  </si>
  <si>
    <t>Post-service fee sum</t>
  </si>
  <si>
    <t>Breakdown Per Period:</t>
  </si>
  <si>
    <t>Rev</t>
  </si>
  <si>
    <t>MiLB</t>
  </si>
  <si>
    <t>MLB</t>
  </si>
  <si>
    <t>Sum inclusive of service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</si>
</sst>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10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theme="0"/>
      <name val="Arial"/>
    </font>
    <font>
      <sz val="16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sz val="12.0"/>
      <color rgb="FF000000"/>
      <name val="Arial"/>
    </font>
    <font>
      <i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164" xfId="0" applyAlignment="1" applyBorder="1" applyFont="1" applyNumberFormat="1">
      <alignment textRotation="90"/>
    </xf>
    <xf borderId="7" fillId="0" fontId="5" numFmtId="164" xfId="0" applyAlignment="1" applyBorder="1" applyFont="1" applyNumberFormat="1">
      <alignment readingOrder="0" textRotation="90"/>
    </xf>
    <xf borderId="7" fillId="0" fontId="1" numFmtId="0" xfId="0" applyAlignment="1" applyBorder="1" applyFont="1">
      <alignment readingOrder="0"/>
    </xf>
    <xf borderId="7" fillId="0" fontId="5" numFmtId="164" xfId="0" applyAlignment="1" applyBorder="1" applyFont="1" applyNumberFormat="1">
      <alignment textRotation="90"/>
    </xf>
    <xf borderId="7" fillId="5" fontId="3" numFmtId="0" xfId="0" applyAlignment="1" applyBorder="1" applyFill="1" applyFont="1">
      <alignment shrinkToFit="0" textRotation="90" wrapText="1"/>
    </xf>
    <xf borderId="0" fillId="0" fontId="3" numFmtId="0" xfId="0" applyAlignment="1" applyFont="1">
      <alignment shrinkToFit="0" textRotation="90" wrapText="1"/>
    </xf>
    <xf borderId="0" fillId="0" fontId="4" numFmtId="0" xfId="0" applyAlignment="1" applyFont="1">
      <alignment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0" fillId="0" fontId="6" numFmtId="0" xfId="0" applyBorder="1" applyFont="1"/>
    <xf borderId="0" fillId="0" fontId="6" numFmtId="0" xfId="0" applyFont="1"/>
    <xf borderId="10" fillId="0" fontId="6" numFmtId="0" xfId="0" applyAlignment="1" applyBorder="1" applyFont="1">
      <alignment readingOrder="0"/>
    </xf>
    <xf borderId="11" fillId="0" fontId="2" numFmtId="0" xfId="0" applyBorder="1" applyFont="1"/>
    <xf borderId="10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10" fillId="6" fontId="6" numFmtId="0" xfId="0" applyBorder="1" applyFill="1" applyFont="1"/>
    <xf borderId="0" fillId="6" fontId="6" numFmtId="0" xfId="0" applyFill="1" applyFont="1"/>
    <xf borderId="12" fillId="0" fontId="6" numFmtId="165" xfId="0" applyBorder="1" applyFont="1" applyNumberFormat="1"/>
    <xf borderId="9" fillId="0" fontId="6" numFmtId="165" xfId="0" applyBorder="1" applyFont="1" applyNumberFormat="1"/>
    <xf borderId="0" fillId="0" fontId="6" numFmtId="165" xfId="0" applyFont="1" applyNumberFormat="1"/>
    <xf borderId="12" fillId="6" fontId="6" numFmtId="165" xfId="0" applyBorder="1" applyFill="1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3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8" fillId="6" fontId="6" numFmtId="0" xfId="0" applyBorder="1" applyFill="1" applyFont="1"/>
    <xf borderId="10" fillId="0" fontId="6" numFmtId="165" xfId="0" applyBorder="1" applyFont="1" applyNumberFormat="1"/>
    <xf borderId="11" fillId="0" fontId="6" numFmtId="165" xfId="0" applyBorder="1" applyFont="1" applyNumberFormat="1"/>
    <xf borderId="10" fillId="6" fontId="6" numFmtId="165" xfId="0" applyBorder="1" applyFill="1" applyFont="1" applyNumberFormat="1"/>
    <xf borderId="13" fillId="6" fontId="6" numFmtId="0" xfId="0" applyBorder="1" applyFill="1" applyFont="1"/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4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6" fillId="0" fontId="6" numFmtId="0" xfId="0" applyBorder="1" applyFont="1"/>
    <xf borderId="17" fillId="0" fontId="2" numFmtId="0" xfId="0" applyBorder="1" applyFont="1"/>
    <xf borderId="17" fillId="0" fontId="6" numFmtId="0" xfId="0" applyBorder="1" applyFont="1"/>
    <xf borderId="16" fillId="0" fontId="6" numFmtId="0" xfId="0" applyAlignment="1" applyBorder="1" applyFont="1">
      <alignment readingOrder="0"/>
    </xf>
    <xf borderId="15" fillId="0" fontId="2" numFmtId="0" xfId="0" applyBorder="1" applyFont="1"/>
    <xf borderId="17" fillId="0" fontId="6" numFmtId="0" xfId="0" applyAlignment="1" applyBorder="1" applyFont="1">
      <alignment readingOrder="0"/>
    </xf>
    <xf borderId="16" fillId="0" fontId="6" numFmtId="165" xfId="0" applyBorder="1" applyFont="1" applyNumberFormat="1"/>
    <xf borderId="15" fillId="0" fontId="6" numFmtId="165" xfId="0" applyBorder="1" applyFont="1" applyNumberFormat="1"/>
    <xf borderId="8" fillId="0" fontId="6" numFmtId="14" xfId="0" applyBorder="1" applyFont="1" applyNumberFormat="1"/>
    <xf borderId="9" fillId="0" fontId="6" numFmtId="0" xfId="0" applyAlignment="1" applyBorder="1" applyFont="1">
      <alignment readingOrder="0"/>
    </xf>
    <xf borderId="16" fillId="6" fontId="6" numFmtId="0" xfId="0" applyAlignment="1" applyBorder="1" applyFill="1" applyFont="1">
      <alignment readingOrder="0"/>
    </xf>
    <xf borderId="17" fillId="6" fontId="6" numFmtId="0" xfId="0" applyAlignment="1" applyBorder="1" applyFill="1" applyFont="1">
      <alignment readingOrder="0"/>
    </xf>
    <xf borderId="16" fillId="6" fontId="6" numFmtId="0" xfId="0" applyBorder="1" applyFill="1" applyFont="1"/>
    <xf borderId="17" fillId="6" fontId="6" numFmtId="0" xfId="0" applyBorder="1" applyFill="1" applyFont="1"/>
    <xf borderId="16" fillId="6" fontId="6" numFmtId="165" xfId="0" applyBorder="1" applyFill="1" applyFont="1" applyNumberFormat="1"/>
    <xf borderId="14" fillId="6" fontId="6" numFmtId="0" xfId="0" applyBorder="1" applyFill="1" applyFont="1"/>
    <xf borderId="0" fillId="0" fontId="6" numFmtId="165" xfId="0" applyAlignment="1" applyFont="1" applyNumberFormat="1">
      <alignment readingOrder="0"/>
    </xf>
    <xf borderId="10" fillId="6" fontId="6" numFmtId="165" xfId="0" applyAlignment="1" applyBorder="1" applyFill="1" applyFont="1" applyNumberFormat="1">
      <alignment readingOrder="0"/>
    </xf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7" numFmtId="0" xfId="0" applyFont="1"/>
    <xf borderId="0" fillId="0" fontId="5" numFmtId="165" xfId="0" applyFont="1" applyNumberFormat="1"/>
    <xf borderId="0" fillId="0" fontId="7" numFmtId="0" xfId="0" applyAlignment="1" applyFont="1">
      <alignment horizontal="left" readingOrder="0"/>
    </xf>
    <xf borderId="0" fillId="0" fontId="5" numFmtId="3" xfId="0" applyFont="1" applyNumberFormat="1"/>
    <xf borderId="0" fillId="0" fontId="7" numFmtId="166" xfId="0" applyFont="1" applyNumberForma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Font="1"/>
    <xf borderId="0" fillId="0" fontId="8" numFmtId="166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/>
    </xf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seph Lessard" id="{33da95ba-0193-4076-be25-db6a693ec757}" providerId="google-sheets"/>
  <x18tc:person displayName="Liz Randall" id="{9737fc43-a9ff-4070-b10c-14db9809dce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71" dT="2023-06-19T18:38:00.00" personId="{9737fc43-a9ff-4070-b10c-14db9809dce6}" id="{b7cd9ed6-3d44-4167-973a-89a9e514cbb0}" done="0">
    <x18tc:text xml:space="preserve">no dinner service due to far away game, Rangers catering</x18tc:text>
  </x18tc:threadedComment>
  <x18tc:threadedComment ref="T141" dT="2023-05-20T13:40:16.00" personId="{9737fc43-a9ff-4070-b10c-14db9809dce6}" id="{6cb100a0-0578-4c15-96e6-87b05bc2e068}" done="0">
    <x18tc:text xml:space="preserve">additional amount (of 45 people) for 2 kegs of cold brew purchased or coaches</x18tc:text>
  </x18tc:threadedComment>
  <x18tc:threadedComment ref="T141" dT="2023-05-21T13:58:32.00" personId="{33da95ba-0193-4076-be25-db6a693ec757}" id="{7bb9af32-682c-495f-a890-b393d079f5b0}" parentId="{6cb100a0-0578-4c15-96e6-87b05bc2e068}">
    <x18tc:text xml:space="preserve">Did we confirm this is how Stosh wants this invoiced, vs. separately?</x18tc:text>
  </x18tc:threadedComment>
  <x18tc:threadedComment ref="AB60" dT="2023-02-28T17:04:20.00" personId="{9737fc43-a9ff-4070-b10c-14db9809dce6}" id="{3cab8f02-9b0c-4df4-a3bd-f5f75c65cd5c}" done="0">
    <x18tc:text xml:space="preserve">smoothies &amp; sandwiches for refuel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9" width="3.89"/>
  </cols>
  <sheetData>
    <row r="1" ht="15.75" customHeight="1">
      <c r="A1" s="1" t="s">
        <v>3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4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5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4" t="s">
        <v>11</v>
      </c>
      <c r="G2" s="15">
        <v>34.0</v>
      </c>
      <c r="H2" s="14" t="s">
        <v>13</v>
      </c>
      <c r="I2" s="15">
        <v>34.0</v>
      </c>
      <c r="J2" s="14" t="s">
        <v>14</v>
      </c>
      <c r="K2" s="15">
        <v>34.0</v>
      </c>
      <c r="L2" s="17" t="s">
        <v>15</v>
      </c>
      <c r="M2" s="17">
        <v>0.0</v>
      </c>
      <c r="N2" s="17" t="s">
        <v>15</v>
      </c>
      <c r="O2" s="17">
        <v>0.0</v>
      </c>
      <c r="P2" s="17" t="s">
        <v>15</v>
      </c>
      <c r="Q2" s="17">
        <v>0.0</v>
      </c>
      <c r="R2" s="14" t="s">
        <v>11</v>
      </c>
      <c r="S2" s="15">
        <v>17.0</v>
      </c>
      <c r="T2" s="14" t="s">
        <v>13</v>
      </c>
      <c r="U2" s="15">
        <v>17.0</v>
      </c>
      <c r="V2" s="14" t="s">
        <v>14</v>
      </c>
      <c r="W2" s="15">
        <v>17.0</v>
      </c>
      <c r="X2" s="14" t="s">
        <v>16</v>
      </c>
      <c r="Y2" s="15">
        <v>8.0</v>
      </c>
      <c r="Z2" s="14" t="s">
        <v>17</v>
      </c>
      <c r="AA2" s="15">
        <v>13.0</v>
      </c>
      <c r="AB2" s="14" t="s">
        <v>18</v>
      </c>
      <c r="AC2" s="15">
        <v>7.0</v>
      </c>
      <c r="AD2" s="17" t="s">
        <v>15</v>
      </c>
      <c r="AE2" s="17">
        <v>0.0</v>
      </c>
      <c r="AF2" s="17" t="s">
        <v>15</v>
      </c>
      <c r="AG2" s="17">
        <v>0.0</v>
      </c>
      <c r="AH2" s="17" t="s">
        <v>15</v>
      </c>
      <c r="AI2" s="17">
        <v>0.0</v>
      </c>
      <c r="AJ2" s="17" t="s">
        <v>15</v>
      </c>
      <c r="AK2" s="17">
        <v>0.0</v>
      </c>
      <c r="AL2" s="17" t="s">
        <v>15</v>
      </c>
      <c r="AM2" s="17">
        <v>0.0</v>
      </c>
      <c r="AN2" s="17" t="s">
        <v>15</v>
      </c>
      <c r="AO2" s="17">
        <v>0.0</v>
      </c>
      <c r="AP2" s="18" t="s">
        <v>19</v>
      </c>
      <c r="AQ2" s="18" t="s">
        <v>20</v>
      </c>
      <c r="AR2" s="18" t="s">
        <v>21</v>
      </c>
      <c r="AS2" s="18" t="s">
        <v>22</v>
      </c>
      <c r="AT2" s="18" t="s">
        <v>23</v>
      </c>
      <c r="AU2" s="19"/>
      <c r="AV2" s="20"/>
      <c r="AW2" s="20"/>
    </row>
    <row r="3" ht="15.75" customHeight="1">
      <c r="A3" s="21" t="s">
        <v>24</v>
      </c>
      <c r="B3" s="22">
        <v>44563.0</v>
      </c>
      <c r="C3" s="23">
        <v>1.0</v>
      </c>
      <c r="D3" s="24" t="s">
        <v>25</v>
      </c>
      <c r="E3" s="25" t="s">
        <v>26</v>
      </c>
      <c r="F3" s="26"/>
      <c r="H3" s="27"/>
      <c r="J3" s="27"/>
      <c r="L3" s="27"/>
      <c r="N3" s="27"/>
      <c r="P3" s="27"/>
      <c r="Q3" s="29"/>
      <c r="R3" s="26"/>
      <c r="T3" s="27"/>
      <c r="V3" s="27"/>
      <c r="X3" s="27"/>
      <c r="Z3" s="27"/>
      <c r="AB3" s="27"/>
      <c r="AC3" s="29"/>
      <c r="AD3" s="26"/>
      <c r="AF3" s="27"/>
      <c r="AH3" s="27"/>
      <c r="AJ3" s="27"/>
      <c r="AL3" s="27"/>
      <c r="AN3" s="27"/>
      <c r="AO3" s="29"/>
      <c r="AP3" s="35">
        <f t="shared" ref="AP3:AP359" si="1">(F3*G$2)+(H3*I$2)+(J3*K$2)+(L3*M$2)+(N3*O$2)+(P3*Q$2)+(R3*S$2)+(T3*U$2)+(V3*W$2)+(X3*Y$2)+(Z3*AA$2)+(AB3*AC$2)+(AD3*AE$2)+(AF3*AG$2)+(AH3*AI$2)+(AJ3*AK$2)+(AL3*AM$2)+(AN3*AO$2)</f>
        <v>0</v>
      </c>
      <c r="AQ3" s="23">
        <f t="shared" ref="AQ3:AQ359" si="2">sum(F3,H3,J3,L3,N3,P3,R3,T3,V3,X3,Z3)</f>
        <v>0</v>
      </c>
      <c r="AR3" s="23">
        <f t="shared" ref="AR3:AR359" si="3">sum(AB3)</f>
        <v>0</v>
      </c>
      <c r="AS3" s="23">
        <f t="shared" ref="AS3:AS359" si="4">sum(F3:AO3)</f>
        <v>0</v>
      </c>
      <c r="AT3" s="36" t="str">
        <f t="shared" ref="AT3:AT359" si="5">iferror(AP3/AS3,"")</f>
        <v/>
      </c>
      <c r="AU3" s="37"/>
      <c r="AV3" s="37"/>
      <c r="AW3" s="37"/>
    </row>
    <row r="4" ht="15.75" customHeight="1">
      <c r="A4" s="39" t="s">
        <v>27</v>
      </c>
      <c r="B4" s="40">
        <f t="shared" ref="B4:B359" si="6">B3+1</f>
        <v>44564</v>
      </c>
      <c r="C4" s="41">
        <v>1.0</v>
      </c>
      <c r="D4" s="42" t="s">
        <v>25</v>
      </c>
      <c r="E4" s="43" t="s">
        <v>26</v>
      </c>
      <c r="F4" s="26"/>
      <c r="H4" s="27"/>
      <c r="J4" s="27"/>
      <c r="L4" s="27"/>
      <c r="N4" s="27"/>
      <c r="P4" s="27"/>
      <c r="Q4" s="29"/>
      <c r="R4" s="26"/>
      <c r="T4" s="27"/>
      <c r="V4" s="27"/>
      <c r="X4" s="27"/>
      <c r="Z4" s="27"/>
      <c r="AB4" s="27"/>
      <c r="AC4" s="29"/>
      <c r="AD4" s="26"/>
      <c r="AF4" s="27"/>
      <c r="AH4" s="27"/>
      <c r="AJ4" s="27"/>
      <c r="AL4" s="27"/>
      <c r="AN4" s="27"/>
      <c r="AO4" s="29"/>
      <c r="AP4" s="45">
        <f t="shared" si="1"/>
        <v>0</v>
      </c>
      <c r="AQ4" s="41">
        <f t="shared" si="2"/>
        <v>0</v>
      </c>
      <c r="AR4" s="41">
        <f t="shared" si="3"/>
        <v>0</v>
      </c>
      <c r="AS4" s="41">
        <f t="shared" si="4"/>
        <v>0</v>
      </c>
      <c r="AT4" s="46" t="str">
        <f t="shared" si="5"/>
        <v/>
      </c>
      <c r="AU4" s="37"/>
      <c r="AV4" s="37"/>
      <c r="AW4" s="37"/>
    </row>
    <row r="5" ht="15.75" customHeight="1">
      <c r="A5" s="39" t="s">
        <v>28</v>
      </c>
      <c r="B5" s="40">
        <f t="shared" si="6"/>
        <v>44565</v>
      </c>
      <c r="C5" s="41">
        <v>1.0</v>
      </c>
      <c r="D5" s="42" t="s">
        <v>25</v>
      </c>
      <c r="E5" s="43" t="s">
        <v>26</v>
      </c>
      <c r="F5" s="26"/>
      <c r="H5" s="27"/>
      <c r="J5" s="27"/>
      <c r="L5" s="27"/>
      <c r="N5" s="27"/>
      <c r="P5" s="27"/>
      <c r="Q5" s="29"/>
      <c r="R5" s="26"/>
      <c r="T5" s="27"/>
      <c r="V5" s="27"/>
      <c r="X5" s="27"/>
      <c r="Z5" s="27"/>
      <c r="AB5" s="27"/>
      <c r="AC5" s="29"/>
      <c r="AD5" s="26"/>
      <c r="AF5" s="27"/>
      <c r="AH5" s="27"/>
      <c r="AJ5" s="27"/>
      <c r="AL5" s="27"/>
      <c r="AN5" s="27"/>
      <c r="AO5" s="29"/>
      <c r="AP5" s="45">
        <f t="shared" si="1"/>
        <v>0</v>
      </c>
      <c r="AQ5" s="41">
        <f t="shared" si="2"/>
        <v>0</v>
      </c>
      <c r="AR5" s="41">
        <f t="shared" si="3"/>
        <v>0</v>
      </c>
      <c r="AS5" s="41">
        <f t="shared" si="4"/>
        <v>0</v>
      </c>
      <c r="AT5" s="46" t="str">
        <f t="shared" si="5"/>
        <v/>
      </c>
      <c r="AU5" s="37"/>
      <c r="AV5" s="37"/>
      <c r="AW5" s="37"/>
    </row>
    <row r="6" ht="15.75" customHeight="1">
      <c r="A6" s="39" t="s">
        <v>29</v>
      </c>
      <c r="B6" s="40">
        <f t="shared" si="6"/>
        <v>44566</v>
      </c>
      <c r="C6" s="41">
        <v>1.0</v>
      </c>
      <c r="D6" s="42" t="s">
        <v>25</v>
      </c>
      <c r="E6" s="43" t="s">
        <v>26</v>
      </c>
      <c r="F6" s="26"/>
      <c r="H6" s="27"/>
      <c r="J6" s="27"/>
      <c r="L6" s="27"/>
      <c r="N6" s="27"/>
      <c r="P6" s="27"/>
      <c r="Q6" s="29"/>
      <c r="R6" s="26"/>
      <c r="T6" s="27"/>
      <c r="V6" s="27"/>
      <c r="X6" s="27"/>
      <c r="Z6" s="27"/>
      <c r="AB6" s="27"/>
      <c r="AC6" s="29"/>
      <c r="AD6" s="26"/>
      <c r="AF6" s="27"/>
      <c r="AH6" s="27"/>
      <c r="AJ6" s="27"/>
      <c r="AL6" s="27"/>
      <c r="AN6" s="27"/>
      <c r="AO6" s="29"/>
      <c r="AP6" s="45">
        <f t="shared" si="1"/>
        <v>0</v>
      </c>
      <c r="AQ6" s="41">
        <f t="shared" si="2"/>
        <v>0</v>
      </c>
      <c r="AR6" s="41">
        <f t="shared" si="3"/>
        <v>0</v>
      </c>
      <c r="AS6" s="41">
        <f t="shared" si="4"/>
        <v>0</v>
      </c>
      <c r="AT6" s="46" t="str">
        <f t="shared" si="5"/>
        <v/>
      </c>
      <c r="AU6" s="37"/>
      <c r="AV6" s="37"/>
      <c r="AW6" s="37"/>
    </row>
    <row r="7" ht="15.75" customHeight="1">
      <c r="A7" s="39" t="s">
        <v>30</v>
      </c>
      <c r="B7" s="40">
        <f t="shared" si="6"/>
        <v>44567</v>
      </c>
      <c r="C7" s="41">
        <v>1.0</v>
      </c>
      <c r="D7" s="42" t="s">
        <v>25</v>
      </c>
      <c r="E7" s="43" t="s">
        <v>26</v>
      </c>
      <c r="F7" s="26"/>
      <c r="H7" s="27"/>
      <c r="J7" s="27"/>
      <c r="L7" s="27"/>
      <c r="N7" s="27"/>
      <c r="P7" s="27"/>
      <c r="Q7" s="29"/>
      <c r="R7" s="26"/>
      <c r="T7" s="27"/>
      <c r="V7" s="27"/>
      <c r="X7" s="27"/>
      <c r="Z7" s="27"/>
      <c r="AB7" s="27"/>
      <c r="AC7" s="29"/>
      <c r="AD7" s="26"/>
      <c r="AF7" s="27"/>
      <c r="AH7" s="27"/>
      <c r="AJ7" s="27"/>
      <c r="AL7" s="27"/>
      <c r="AN7" s="27"/>
      <c r="AO7" s="29"/>
      <c r="AP7" s="45">
        <f t="shared" si="1"/>
        <v>0</v>
      </c>
      <c r="AQ7" s="41">
        <f t="shared" si="2"/>
        <v>0</v>
      </c>
      <c r="AR7" s="41">
        <f t="shared" si="3"/>
        <v>0</v>
      </c>
      <c r="AS7" s="41">
        <f t="shared" si="4"/>
        <v>0</v>
      </c>
      <c r="AT7" s="46" t="str">
        <f t="shared" si="5"/>
        <v/>
      </c>
      <c r="AU7" s="37"/>
      <c r="AV7" s="37"/>
      <c r="AW7" s="37"/>
    </row>
    <row r="8" ht="15.75" customHeight="1">
      <c r="A8" s="39" t="s">
        <v>31</v>
      </c>
      <c r="B8" s="40">
        <f t="shared" si="6"/>
        <v>44568</v>
      </c>
      <c r="C8" s="41">
        <v>1.0</v>
      </c>
      <c r="D8" s="42" t="s">
        <v>25</v>
      </c>
      <c r="E8" s="43" t="s">
        <v>26</v>
      </c>
      <c r="F8" s="26"/>
      <c r="H8" s="27"/>
      <c r="J8" s="27"/>
      <c r="L8" s="27"/>
      <c r="N8" s="27"/>
      <c r="P8" s="27"/>
      <c r="Q8" s="29"/>
      <c r="R8" s="26"/>
      <c r="T8" s="27"/>
      <c r="V8" s="27"/>
      <c r="X8" s="27"/>
      <c r="Z8" s="27"/>
      <c r="AB8" s="27"/>
      <c r="AC8" s="29"/>
      <c r="AD8" s="26"/>
      <c r="AF8" s="27"/>
      <c r="AH8" s="27"/>
      <c r="AJ8" s="27"/>
      <c r="AL8" s="27"/>
      <c r="AN8" s="27"/>
      <c r="AO8" s="29"/>
      <c r="AP8" s="45">
        <f t="shared" si="1"/>
        <v>0</v>
      </c>
      <c r="AQ8" s="41">
        <f t="shared" si="2"/>
        <v>0</v>
      </c>
      <c r="AR8" s="41">
        <f t="shared" si="3"/>
        <v>0</v>
      </c>
      <c r="AS8" s="41">
        <f t="shared" si="4"/>
        <v>0</v>
      </c>
      <c r="AT8" s="46" t="str">
        <f t="shared" si="5"/>
        <v/>
      </c>
      <c r="AU8" s="37"/>
      <c r="AV8" s="37"/>
      <c r="AW8" s="37"/>
    </row>
    <row r="9" ht="15.75" customHeight="1">
      <c r="A9" s="49" t="s">
        <v>32</v>
      </c>
      <c r="B9" s="50">
        <f t="shared" si="6"/>
        <v>44569</v>
      </c>
      <c r="C9" s="51">
        <v>1.0</v>
      </c>
      <c r="D9" s="52" t="s">
        <v>25</v>
      </c>
      <c r="E9" s="53" t="s">
        <v>26</v>
      </c>
      <c r="F9" s="54"/>
      <c r="G9" s="55"/>
      <c r="H9" s="56"/>
      <c r="I9" s="55"/>
      <c r="J9" s="56"/>
      <c r="K9" s="55"/>
      <c r="L9" s="56"/>
      <c r="M9" s="55"/>
      <c r="N9" s="56"/>
      <c r="O9" s="55"/>
      <c r="P9" s="56"/>
      <c r="Q9" s="58"/>
      <c r="R9" s="54"/>
      <c r="S9" s="55"/>
      <c r="T9" s="56"/>
      <c r="U9" s="55"/>
      <c r="V9" s="56"/>
      <c r="W9" s="55"/>
      <c r="X9" s="56"/>
      <c r="Y9" s="55"/>
      <c r="Z9" s="56"/>
      <c r="AA9" s="55"/>
      <c r="AB9" s="56"/>
      <c r="AC9" s="58"/>
      <c r="AD9" s="54"/>
      <c r="AE9" s="55"/>
      <c r="AF9" s="56"/>
      <c r="AG9" s="55"/>
      <c r="AH9" s="56"/>
      <c r="AI9" s="55"/>
      <c r="AJ9" s="56"/>
      <c r="AK9" s="55"/>
      <c r="AL9" s="56"/>
      <c r="AM9" s="55"/>
      <c r="AN9" s="56"/>
      <c r="AO9" s="58"/>
      <c r="AP9" s="60">
        <f t="shared" si="1"/>
        <v>0</v>
      </c>
      <c r="AQ9" s="51">
        <f t="shared" si="2"/>
        <v>0</v>
      </c>
      <c r="AR9" s="51">
        <f t="shared" si="3"/>
        <v>0</v>
      </c>
      <c r="AS9" s="51">
        <f t="shared" si="4"/>
        <v>0</v>
      </c>
      <c r="AT9" s="61" t="str">
        <f t="shared" si="5"/>
        <v/>
      </c>
      <c r="AU9" s="37"/>
      <c r="AV9" s="37"/>
      <c r="AW9" s="37"/>
    </row>
    <row r="10" ht="15.75" customHeight="1">
      <c r="A10" s="21" t="s">
        <v>24</v>
      </c>
      <c r="B10" s="62">
        <f t="shared" si="6"/>
        <v>44570</v>
      </c>
      <c r="C10" s="23">
        <v>1.0</v>
      </c>
      <c r="D10" s="23" t="s">
        <v>33</v>
      </c>
      <c r="E10" s="63" t="s">
        <v>26</v>
      </c>
      <c r="F10" s="26"/>
      <c r="H10" s="27"/>
      <c r="J10" s="27"/>
      <c r="L10" s="27"/>
      <c r="N10" s="27"/>
      <c r="P10" s="27"/>
      <c r="Q10" s="29"/>
      <c r="R10" s="28">
        <v>60.0</v>
      </c>
      <c r="T10" s="32">
        <v>60.0</v>
      </c>
      <c r="V10" s="27">
        <v>0.0</v>
      </c>
      <c r="X10" s="27">
        <v>0.0</v>
      </c>
      <c r="Z10" s="27">
        <v>0.0</v>
      </c>
      <c r="AB10" s="27">
        <v>0.0</v>
      </c>
      <c r="AC10" s="29"/>
      <c r="AD10" s="26"/>
      <c r="AF10" s="27"/>
      <c r="AH10" s="27"/>
      <c r="AJ10" s="27"/>
      <c r="AL10" s="27"/>
      <c r="AN10" s="27"/>
      <c r="AO10" s="29"/>
      <c r="AP10" s="35">
        <f t="shared" si="1"/>
        <v>2040</v>
      </c>
      <c r="AQ10" s="23">
        <f t="shared" si="2"/>
        <v>120</v>
      </c>
      <c r="AR10" s="23">
        <f t="shared" si="3"/>
        <v>0</v>
      </c>
      <c r="AS10" s="23">
        <f t="shared" si="4"/>
        <v>120</v>
      </c>
      <c r="AT10" s="36">
        <f t="shared" si="5"/>
        <v>17</v>
      </c>
      <c r="AU10" s="37"/>
      <c r="AV10" s="37"/>
      <c r="AW10" s="37"/>
    </row>
    <row r="11" ht="15.75" customHeight="1">
      <c r="A11" s="39" t="s">
        <v>27</v>
      </c>
      <c r="B11" s="40">
        <f t="shared" si="6"/>
        <v>44571</v>
      </c>
      <c r="C11" s="41">
        <v>1.0</v>
      </c>
      <c r="D11" s="41" t="s">
        <v>33</v>
      </c>
      <c r="E11" s="43" t="s">
        <v>26</v>
      </c>
      <c r="F11" s="26"/>
      <c r="H11" s="27"/>
      <c r="J11" s="27"/>
      <c r="L11" s="27"/>
      <c r="N11" s="27"/>
      <c r="P11" s="27"/>
      <c r="Q11" s="29"/>
      <c r="R11" s="28">
        <v>60.0</v>
      </c>
      <c r="T11" s="32">
        <v>60.0</v>
      </c>
      <c r="V11" s="27">
        <v>0.0</v>
      </c>
      <c r="X11" s="27">
        <v>0.0</v>
      </c>
      <c r="Z11" s="27">
        <v>0.0</v>
      </c>
      <c r="AB11" s="27">
        <v>0.0</v>
      </c>
      <c r="AC11" s="29"/>
      <c r="AD11" s="26"/>
      <c r="AF11" s="27"/>
      <c r="AH11" s="27"/>
      <c r="AJ11" s="27"/>
      <c r="AL11" s="27"/>
      <c r="AN11" s="27"/>
      <c r="AO11" s="29"/>
      <c r="AP11" s="45">
        <f t="shared" si="1"/>
        <v>2040</v>
      </c>
      <c r="AQ11" s="41">
        <f t="shared" si="2"/>
        <v>120</v>
      </c>
      <c r="AR11" s="41">
        <f t="shared" si="3"/>
        <v>0</v>
      </c>
      <c r="AS11" s="41">
        <f t="shared" si="4"/>
        <v>120</v>
      </c>
      <c r="AT11" s="46">
        <f t="shared" si="5"/>
        <v>17</v>
      </c>
      <c r="AU11" s="37"/>
      <c r="AV11" s="37"/>
      <c r="AW11" s="37"/>
    </row>
    <row r="12" ht="15.75" customHeight="1">
      <c r="A12" s="39" t="s">
        <v>28</v>
      </c>
      <c r="B12" s="40">
        <f t="shared" si="6"/>
        <v>44572</v>
      </c>
      <c r="C12" s="41">
        <v>1.0</v>
      </c>
      <c r="D12" s="41" t="s">
        <v>33</v>
      </c>
      <c r="E12" s="43" t="s">
        <v>26</v>
      </c>
      <c r="F12" s="26"/>
      <c r="H12" s="27"/>
      <c r="J12" s="27"/>
      <c r="L12" s="27"/>
      <c r="N12" s="27"/>
      <c r="P12" s="27"/>
      <c r="Q12" s="29"/>
      <c r="R12" s="28">
        <v>60.0</v>
      </c>
      <c r="T12" s="32">
        <v>60.0</v>
      </c>
      <c r="V12" s="27">
        <v>0.0</v>
      </c>
      <c r="X12" s="27">
        <v>0.0</v>
      </c>
      <c r="Z12" s="27">
        <v>0.0</v>
      </c>
      <c r="AB12" s="27">
        <v>0.0</v>
      </c>
      <c r="AC12" s="29"/>
      <c r="AD12" s="26"/>
      <c r="AF12" s="27"/>
      <c r="AH12" s="27"/>
      <c r="AJ12" s="27"/>
      <c r="AL12" s="27"/>
      <c r="AN12" s="27"/>
      <c r="AO12" s="29"/>
      <c r="AP12" s="45">
        <f t="shared" si="1"/>
        <v>2040</v>
      </c>
      <c r="AQ12" s="41">
        <f t="shared" si="2"/>
        <v>120</v>
      </c>
      <c r="AR12" s="41">
        <f t="shared" si="3"/>
        <v>0</v>
      </c>
      <c r="AS12" s="41">
        <f t="shared" si="4"/>
        <v>120</v>
      </c>
      <c r="AT12" s="46">
        <f t="shared" si="5"/>
        <v>17</v>
      </c>
      <c r="AU12" s="37"/>
      <c r="AV12" s="37"/>
      <c r="AW12" s="37"/>
    </row>
    <row r="13" ht="15.75" customHeight="1">
      <c r="A13" s="39" t="s">
        <v>29</v>
      </c>
      <c r="B13" s="40">
        <f t="shared" si="6"/>
        <v>44573</v>
      </c>
      <c r="C13" s="41">
        <v>1.0</v>
      </c>
      <c r="D13" s="41" t="s">
        <v>33</v>
      </c>
      <c r="E13" s="43" t="s">
        <v>26</v>
      </c>
      <c r="F13" s="26"/>
      <c r="H13" s="27"/>
      <c r="J13" s="27"/>
      <c r="L13" s="27"/>
      <c r="N13" s="27"/>
      <c r="P13" s="27"/>
      <c r="Q13" s="29"/>
      <c r="R13" s="28">
        <v>80.0</v>
      </c>
      <c r="T13" s="32">
        <v>80.0</v>
      </c>
      <c r="V13" s="27">
        <v>0.0</v>
      </c>
      <c r="X13" s="27">
        <v>0.0</v>
      </c>
      <c r="Z13" s="27">
        <v>0.0</v>
      </c>
      <c r="AB13" s="27">
        <v>0.0</v>
      </c>
      <c r="AC13" s="29"/>
      <c r="AD13" s="26"/>
      <c r="AF13" s="27"/>
      <c r="AH13" s="27"/>
      <c r="AJ13" s="27"/>
      <c r="AL13" s="27"/>
      <c r="AN13" s="27"/>
      <c r="AO13" s="29"/>
      <c r="AP13" s="45">
        <f t="shared" si="1"/>
        <v>2720</v>
      </c>
      <c r="AQ13" s="41">
        <f t="shared" si="2"/>
        <v>160</v>
      </c>
      <c r="AR13" s="41">
        <f t="shared" si="3"/>
        <v>0</v>
      </c>
      <c r="AS13" s="41">
        <f t="shared" si="4"/>
        <v>160</v>
      </c>
      <c r="AT13" s="46">
        <f t="shared" si="5"/>
        <v>17</v>
      </c>
      <c r="AU13" s="37"/>
      <c r="AV13" s="37"/>
      <c r="AW13" s="37"/>
    </row>
    <row r="14" ht="15.75" customHeight="1">
      <c r="A14" s="39" t="s">
        <v>30</v>
      </c>
      <c r="B14" s="40">
        <f t="shared" si="6"/>
        <v>44574</v>
      </c>
      <c r="C14" s="41">
        <v>1.0</v>
      </c>
      <c r="D14" s="41" t="s">
        <v>33</v>
      </c>
      <c r="E14" s="43" t="s">
        <v>26</v>
      </c>
      <c r="F14" s="26"/>
      <c r="H14" s="27"/>
      <c r="J14" s="27"/>
      <c r="L14" s="27"/>
      <c r="N14" s="27"/>
      <c r="P14" s="27"/>
      <c r="Q14" s="29"/>
      <c r="R14" s="28">
        <v>80.0</v>
      </c>
      <c r="T14" s="32">
        <v>80.0</v>
      </c>
      <c r="V14" s="27">
        <v>0.0</v>
      </c>
      <c r="X14" s="27">
        <v>0.0</v>
      </c>
      <c r="Z14" s="27">
        <v>0.0</v>
      </c>
      <c r="AB14" s="27">
        <v>0.0</v>
      </c>
      <c r="AC14" s="29"/>
      <c r="AD14" s="26"/>
      <c r="AF14" s="27"/>
      <c r="AH14" s="27"/>
      <c r="AJ14" s="27"/>
      <c r="AL14" s="27"/>
      <c r="AN14" s="27"/>
      <c r="AO14" s="29"/>
      <c r="AP14" s="45">
        <f t="shared" si="1"/>
        <v>2720</v>
      </c>
      <c r="AQ14" s="41">
        <f t="shared" si="2"/>
        <v>160</v>
      </c>
      <c r="AR14" s="41">
        <f t="shared" si="3"/>
        <v>0</v>
      </c>
      <c r="AS14" s="41">
        <f t="shared" si="4"/>
        <v>160</v>
      </c>
      <c r="AT14" s="46">
        <f t="shared" si="5"/>
        <v>17</v>
      </c>
      <c r="AU14" s="37"/>
      <c r="AV14" s="37"/>
      <c r="AW14" s="37"/>
    </row>
    <row r="15" ht="15.75" customHeight="1">
      <c r="A15" s="39" t="s">
        <v>31</v>
      </c>
      <c r="B15" s="40">
        <f t="shared" si="6"/>
        <v>44575</v>
      </c>
      <c r="C15" s="41">
        <v>1.0</v>
      </c>
      <c r="D15" s="41" t="s">
        <v>33</v>
      </c>
      <c r="E15" s="43" t="s">
        <v>26</v>
      </c>
      <c r="F15" s="26"/>
      <c r="H15" s="27"/>
      <c r="J15" s="27"/>
      <c r="L15" s="27"/>
      <c r="N15" s="27"/>
      <c r="P15" s="27"/>
      <c r="Q15" s="29"/>
      <c r="R15" s="28">
        <v>80.0</v>
      </c>
      <c r="T15" s="32">
        <v>80.0</v>
      </c>
      <c r="V15" s="27"/>
      <c r="X15" s="27"/>
      <c r="Z15" s="27"/>
      <c r="AB15" s="27"/>
      <c r="AC15" s="29"/>
      <c r="AD15" s="26"/>
      <c r="AF15" s="27"/>
      <c r="AH15" s="27"/>
      <c r="AJ15" s="27"/>
      <c r="AL15" s="27"/>
      <c r="AN15" s="27"/>
      <c r="AO15" s="29"/>
      <c r="AP15" s="45">
        <f t="shared" si="1"/>
        <v>2720</v>
      </c>
      <c r="AQ15" s="41">
        <f t="shared" si="2"/>
        <v>160</v>
      </c>
      <c r="AR15" s="41">
        <f t="shared" si="3"/>
        <v>0</v>
      </c>
      <c r="AS15" s="41">
        <f t="shared" si="4"/>
        <v>160</v>
      </c>
      <c r="AT15" s="46">
        <f t="shared" si="5"/>
        <v>17</v>
      </c>
      <c r="AU15" s="37"/>
      <c r="AV15" s="37"/>
      <c r="AW15" s="37"/>
    </row>
    <row r="16" ht="15.75" customHeight="1">
      <c r="A16" s="49" t="s">
        <v>32</v>
      </c>
      <c r="B16" s="50">
        <f t="shared" si="6"/>
        <v>44576</v>
      </c>
      <c r="C16" s="51">
        <v>1.0</v>
      </c>
      <c r="D16" s="51" t="s">
        <v>33</v>
      </c>
      <c r="E16" s="53" t="s">
        <v>26</v>
      </c>
      <c r="F16" s="54"/>
      <c r="G16" s="55"/>
      <c r="H16" s="56"/>
      <c r="I16" s="55"/>
      <c r="J16" s="56"/>
      <c r="K16" s="55"/>
      <c r="L16" s="56"/>
      <c r="M16" s="55"/>
      <c r="N16" s="56"/>
      <c r="O16" s="55"/>
      <c r="P16" s="56"/>
      <c r="Q16" s="58"/>
      <c r="R16" s="54"/>
      <c r="S16" s="55"/>
      <c r="T16" s="56"/>
      <c r="U16" s="55"/>
      <c r="V16" s="56"/>
      <c r="W16" s="55"/>
      <c r="X16" s="56"/>
      <c r="Y16" s="55"/>
      <c r="Z16" s="56"/>
      <c r="AA16" s="55"/>
      <c r="AB16" s="56"/>
      <c r="AC16" s="58"/>
      <c r="AD16" s="54"/>
      <c r="AE16" s="55"/>
      <c r="AF16" s="56"/>
      <c r="AG16" s="55"/>
      <c r="AH16" s="56"/>
      <c r="AI16" s="55"/>
      <c r="AJ16" s="56"/>
      <c r="AK16" s="55"/>
      <c r="AL16" s="56"/>
      <c r="AM16" s="55"/>
      <c r="AN16" s="56"/>
      <c r="AO16" s="58"/>
      <c r="AP16" s="60">
        <f t="shared" si="1"/>
        <v>0</v>
      </c>
      <c r="AQ16" s="51">
        <f t="shared" si="2"/>
        <v>0</v>
      </c>
      <c r="AR16" s="51">
        <f t="shared" si="3"/>
        <v>0</v>
      </c>
      <c r="AS16" s="51">
        <f t="shared" si="4"/>
        <v>0</v>
      </c>
      <c r="AT16" s="61" t="str">
        <f t="shared" si="5"/>
        <v/>
      </c>
      <c r="AU16" s="37"/>
      <c r="AV16" s="37"/>
      <c r="AW16" s="37"/>
    </row>
    <row r="17" ht="15.75" customHeight="1">
      <c r="A17" s="21" t="s">
        <v>24</v>
      </c>
      <c r="B17" s="62">
        <f t="shared" si="6"/>
        <v>44577</v>
      </c>
      <c r="C17" s="23">
        <v>1.0</v>
      </c>
      <c r="D17" s="23" t="s">
        <v>34</v>
      </c>
      <c r="E17" s="63" t="s">
        <v>26</v>
      </c>
      <c r="F17" s="26"/>
      <c r="H17" s="27"/>
      <c r="J17" s="27"/>
      <c r="L17" s="27"/>
      <c r="N17" s="27"/>
      <c r="P17" s="27"/>
      <c r="Q17" s="29"/>
      <c r="R17" s="28">
        <v>60.0</v>
      </c>
      <c r="T17" s="32">
        <v>60.0</v>
      </c>
      <c r="V17" s="27">
        <v>0.0</v>
      </c>
      <c r="X17" s="27">
        <v>0.0</v>
      </c>
      <c r="Z17" s="27">
        <v>0.0</v>
      </c>
      <c r="AB17" s="27">
        <v>0.0</v>
      </c>
      <c r="AC17" s="29"/>
      <c r="AD17" s="26"/>
      <c r="AF17" s="27"/>
      <c r="AH17" s="27"/>
      <c r="AJ17" s="27"/>
      <c r="AL17" s="27"/>
      <c r="AN17" s="27"/>
      <c r="AO17" s="29"/>
      <c r="AP17" s="35">
        <f t="shared" si="1"/>
        <v>2040</v>
      </c>
      <c r="AQ17" s="23">
        <f t="shared" si="2"/>
        <v>120</v>
      </c>
      <c r="AR17" s="23">
        <f t="shared" si="3"/>
        <v>0</v>
      </c>
      <c r="AS17" s="23">
        <f t="shared" si="4"/>
        <v>120</v>
      </c>
      <c r="AT17" s="36">
        <f t="shared" si="5"/>
        <v>17</v>
      </c>
      <c r="AU17" s="37"/>
      <c r="AV17" s="37"/>
      <c r="AW17" s="37"/>
    </row>
    <row r="18" ht="15.75" customHeight="1">
      <c r="A18" s="39" t="s">
        <v>27</v>
      </c>
      <c r="B18" s="40">
        <f t="shared" si="6"/>
        <v>44578</v>
      </c>
      <c r="C18" s="41">
        <v>1.0</v>
      </c>
      <c r="D18" s="41" t="s">
        <v>34</v>
      </c>
      <c r="E18" s="43" t="s">
        <v>26</v>
      </c>
      <c r="F18" s="26"/>
      <c r="H18" s="27"/>
      <c r="J18" s="27"/>
      <c r="L18" s="27"/>
      <c r="N18" s="27"/>
      <c r="P18" s="27"/>
      <c r="Q18" s="29"/>
      <c r="R18" s="28">
        <v>60.0</v>
      </c>
      <c r="T18" s="32">
        <v>60.0</v>
      </c>
      <c r="V18" s="27">
        <v>0.0</v>
      </c>
      <c r="X18" s="27">
        <v>0.0</v>
      </c>
      <c r="Z18" s="27">
        <v>0.0</v>
      </c>
      <c r="AB18" s="27">
        <v>0.0</v>
      </c>
      <c r="AC18" s="29"/>
      <c r="AD18" s="26"/>
      <c r="AF18" s="27"/>
      <c r="AH18" s="27"/>
      <c r="AJ18" s="27"/>
      <c r="AL18" s="27"/>
      <c r="AN18" s="27"/>
      <c r="AO18" s="29"/>
      <c r="AP18" s="45">
        <f t="shared" si="1"/>
        <v>2040</v>
      </c>
      <c r="AQ18" s="41">
        <f t="shared" si="2"/>
        <v>120</v>
      </c>
      <c r="AR18" s="41">
        <f t="shared" si="3"/>
        <v>0</v>
      </c>
      <c r="AS18" s="41">
        <f t="shared" si="4"/>
        <v>120</v>
      </c>
      <c r="AT18" s="46">
        <f t="shared" si="5"/>
        <v>17</v>
      </c>
      <c r="AU18" s="37"/>
      <c r="AV18" s="37"/>
      <c r="AW18" s="37"/>
    </row>
    <row r="19" ht="15.75" customHeight="1">
      <c r="A19" s="39" t="s">
        <v>28</v>
      </c>
      <c r="B19" s="40">
        <f t="shared" si="6"/>
        <v>44579</v>
      </c>
      <c r="C19" s="41">
        <v>1.0</v>
      </c>
      <c r="D19" s="41" t="s">
        <v>34</v>
      </c>
      <c r="E19" s="43" t="s">
        <v>26</v>
      </c>
      <c r="F19" s="26"/>
      <c r="H19" s="27"/>
      <c r="J19" s="27"/>
      <c r="L19" s="27"/>
      <c r="N19" s="27"/>
      <c r="P19" s="27"/>
      <c r="Q19" s="29"/>
      <c r="R19" s="28">
        <v>60.0</v>
      </c>
      <c r="T19" s="32">
        <v>60.0</v>
      </c>
      <c r="V19" s="27">
        <v>0.0</v>
      </c>
      <c r="X19" s="27">
        <v>0.0</v>
      </c>
      <c r="Z19" s="27">
        <v>0.0</v>
      </c>
      <c r="AB19" s="27">
        <v>0.0</v>
      </c>
      <c r="AC19" s="29"/>
      <c r="AD19" s="26"/>
      <c r="AF19" s="27"/>
      <c r="AH19" s="27"/>
      <c r="AJ19" s="27"/>
      <c r="AL19" s="27"/>
      <c r="AN19" s="27"/>
      <c r="AO19" s="29"/>
      <c r="AP19" s="45">
        <f t="shared" si="1"/>
        <v>2040</v>
      </c>
      <c r="AQ19" s="41">
        <f t="shared" si="2"/>
        <v>120</v>
      </c>
      <c r="AR19" s="41">
        <f t="shared" si="3"/>
        <v>0</v>
      </c>
      <c r="AS19" s="41">
        <f t="shared" si="4"/>
        <v>120</v>
      </c>
      <c r="AT19" s="46">
        <f t="shared" si="5"/>
        <v>17</v>
      </c>
      <c r="AU19" s="37"/>
      <c r="AV19" s="37"/>
      <c r="AW19" s="37"/>
    </row>
    <row r="20" ht="15.75" customHeight="1">
      <c r="A20" s="39" t="s">
        <v>29</v>
      </c>
      <c r="B20" s="40">
        <f t="shared" si="6"/>
        <v>44580</v>
      </c>
      <c r="C20" s="41">
        <v>1.0</v>
      </c>
      <c r="D20" s="41" t="s">
        <v>34</v>
      </c>
      <c r="E20" s="43" t="s">
        <v>26</v>
      </c>
      <c r="F20" s="26"/>
      <c r="H20" s="27"/>
      <c r="J20" s="27"/>
      <c r="L20" s="27"/>
      <c r="N20" s="27"/>
      <c r="P20" s="27"/>
      <c r="Q20" s="29"/>
      <c r="R20" s="28">
        <v>60.0</v>
      </c>
      <c r="T20" s="32">
        <v>60.0</v>
      </c>
      <c r="V20" s="27">
        <v>0.0</v>
      </c>
      <c r="X20" s="27">
        <v>0.0</v>
      </c>
      <c r="Z20" s="27">
        <v>0.0</v>
      </c>
      <c r="AB20" s="27">
        <v>0.0</v>
      </c>
      <c r="AC20" s="29"/>
      <c r="AD20" s="26"/>
      <c r="AF20" s="27"/>
      <c r="AH20" s="27"/>
      <c r="AJ20" s="27"/>
      <c r="AL20" s="27"/>
      <c r="AN20" s="27"/>
      <c r="AO20" s="29"/>
      <c r="AP20" s="45">
        <f t="shared" si="1"/>
        <v>2040</v>
      </c>
      <c r="AQ20" s="41">
        <f t="shared" si="2"/>
        <v>120</v>
      </c>
      <c r="AR20" s="41">
        <f t="shared" si="3"/>
        <v>0</v>
      </c>
      <c r="AS20" s="41">
        <f t="shared" si="4"/>
        <v>120</v>
      </c>
      <c r="AT20" s="46">
        <f t="shared" si="5"/>
        <v>17</v>
      </c>
      <c r="AU20" s="37"/>
      <c r="AV20" s="37"/>
      <c r="AW20" s="37"/>
    </row>
    <row r="21" ht="15.75" customHeight="1">
      <c r="A21" s="39" t="s">
        <v>30</v>
      </c>
      <c r="B21" s="40">
        <f t="shared" si="6"/>
        <v>44581</v>
      </c>
      <c r="C21" s="41">
        <v>1.0</v>
      </c>
      <c r="D21" s="41" t="s">
        <v>34</v>
      </c>
      <c r="E21" s="43" t="s">
        <v>26</v>
      </c>
      <c r="F21" s="26"/>
      <c r="H21" s="27"/>
      <c r="J21" s="27"/>
      <c r="L21" s="27"/>
      <c r="N21" s="27"/>
      <c r="P21" s="27"/>
      <c r="Q21" s="29"/>
      <c r="R21" s="28">
        <v>60.0</v>
      </c>
      <c r="T21" s="32">
        <v>60.0</v>
      </c>
      <c r="V21" s="27">
        <v>0.0</v>
      </c>
      <c r="X21" s="27">
        <v>0.0</v>
      </c>
      <c r="Z21" s="27">
        <v>0.0</v>
      </c>
      <c r="AB21" s="27">
        <v>0.0</v>
      </c>
      <c r="AC21" s="29"/>
      <c r="AD21" s="26"/>
      <c r="AF21" s="27"/>
      <c r="AH21" s="27"/>
      <c r="AJ21" s="27"/>
      <c r="AL21" s="27"/>
      <c r="AN21" s="27"/>
      <c r="AO21" s="29"/>
      <c r="AP21" s="45">
        <f t="shared" si="1"/>
        <v>2040</v>
      </c>
      <c r="AQ21" s="41">
        <f t="shared" si="2"/>
        <v>120</v>
      </c>
      <c r="AR21" s="41">
        <f t="shared" si="3"/>
        <v>0</v>
      </c>
      <c r="AS21" s="41">
        <f t="shared" si="4"/>
        <v>120</v>
      </c>
      <c r="AT21" s="46">
        <f t="shared" si="5"/>
        <v>17</v>
      </c>
      <c r="AU21" s="37"/>
      <c r="AV21" s="37"/>
      <c r="AW21" s="37"/>
    </row>
    <row r="22" ht="15.75" customHeight="1">
      <c r="A22" s="39" t="s">
        <v>31</v>
      </c>
      <c r="B22" s="40">
        <f t="shared" si="6"/>
        <v>44582</v>
      </c>
      <c r="C22" s="41">
        <v>1.0</v>
      </c>
      <c r="D22" s="41" t="s">
        <v>34</v>
      </c>
      <c r="E22" s="43" t="s">
        <v>26</v>
      </c>
      <c r="F22" s="26"/>
      <c r="H22" s="27"/>
      <c r="J22" s="27"/>
      <c r="L22" s="27"/>
      <c r="N22" s="27"/>
      <c r="P22" s="27"/>
      <c r="Q22" s="29"/>
      <c r="R22" s="26"/>
      <c r="T22" s="27"/>
      <c r="V22" s="27"/>
      <c r="X22" s="27"/>
      <c r="Z22" s="27"/>
      <c r="AB22" s="27"/>
      <c r="AC22" s="29"/>
      <c r="AD22" s="26"/>
      <c r="AF22" s="27"/>
      <c r="AH22" s="27"/>
      <c r="AJ22" s="27"/>
      <c r="AL22" s="27"/>
      <c r="AN22" s="27"/>
      <c r="AO22" s="29"/>
      <c r="AP22" s="45">
        <f t="shared" si="1"/>
        <v>0</v>
      </c>
      <c r="AQ22" s="41">
        <f t="shared" si="2"/>
        <v>0</v>
      </c>
      <c r="AR22" s="41">
        <f t="shared" si="3"/>
        <v>0</v>
      </c>
      <c r="AS22" s="41">
        <f t="shared" si="4"/>
        <v>0</v>
      </c>
      <c r="AT22" s="46" t="str">
        <f t="shared" si="5"/>
        <v/>
      </c>
      <c r="AU22" s="37"/>
      <c r="AV22" s="37"/>
      <c r="AW22" s="37"/>
    </row>
    <row r="23" ht="15.75" customHeight="1">
      <c r="A23" s="49" t="s">
        <v>32</v>
      </c>
      <c r="B23" s="50">
        <f t="shared" si="6"/>
        <v>44583</v>
      </c>
      <c r="C23" s="51">
        <v>1.0</v>
      </c>
      <c r="D23" s="51" t="s">
        <v>34</v>
      </c>
      <c r="E23" s="53" t="s">
        <v>26</v>
      </c>
      <c r="F23" s="54"/>
      <c r="G23" s="55"/>
      <c r="H23" s="56"/>
      <c r="I23" s="55"/>
      <c r="J23" s="56"/>
      <c r="K23" s="55"/>
      <c r="L23" s="56"/>
      <c r="M23" s="55"/>
      <c r="N23" s="56"/>
      <c r="O23" s="55"/>
      <c r="P23" s="56"/>
      <c r="Q23" s="58"/>
      <c r="R23" s="54"/>
      <c r="S23" s="55"/>
      <c r="T23" s="56"/>
      <c r="U23" s="55"/>
      <c r="V23" s="56"/>
      <c r="W23" s="55"/>
      <c r="X23" s="56"/>
      <c r="Y23" s="55"/>
      <c r="Z23" s="56"/>
      <c r="AA23" s="55"/>
      <c r="AB23" s="56"/>
      <c r="AC23" s="58"/>
      <c r="AD23" s="54"/>
      <c r="AE23" s="55"/>
      <c r="AF23" s="56"/>
      <c r="AG23" s="55"/>
      <c r="AH23" s="56"/>
      <c r="AI23" s="55"/>
      <c r="AJ23" s="56"/>
      <c r="AK23" s="55"/>
      <c r="AL23" s="56"/>
      <c r="AM23" s="55"/>
      <c r="AN23" s="56"/>
      <c r="AO23" s="58"/>
      <c r="AP23" s="60">
        <f t="shared" si="1"/>
        <v>0</v>
      </c>
      <c r="AQ23" s="51">
        <f t="shared" si="2"/>
        <v>0</v>
      </c>
      <c r="AR23" s="51">
        <f t="shared" si="3"/>
        <v>0</v>
      </c>
      <c r="AS23" s="51">
        <f t="shared" si="4"/>
        <v>0</v>
      </c>
      <c r="AT23" s="61" t="str">
        <f t="shared" si="5"/>
        <v/>
      </c>
      <c r="AU23" s="37"/>
      <c r="AV23" s="37"/>
      <c r="AW23" s="37"/>
    </row>
    <row r="24" ht="15.75" customHeight="1">
      <c r="A24" s="21" t="s">
        <v>24</v>
      </c>
      <c r="B24" s="62">
        <f t="shared" si="6"/>
        <v>44584</v>
      </c>
      <c r="C24" s="23">
        <v>1.0</v>
      </c>
      <c r="D24" s="23" t="s">
        <v>35</v>
      </c>
      <c r="E24" s="63" t="s">
        <v>26</v>
      </c>
      <c r="F24" s="26"/>
      <c r="H24" s="27"/>
      <c r="J24" s="27"/>
      <c r="L24" s="27"/>
      <c r="N24" s="27"/>
      <c r="P24" s="27"/>
      <c r="Q24" s="29"/>
      <c r="R24" s="26">
        <v>50.0</v>
      </c>
      <c r="T24" s="27">
        <v>50.0</v>
      </c>
      <c r="V24" s="27">
        <v>0.0</v>
      </c>
      <c r="X24" s="27">
        <v>0.0</v>
      </c>
      <c r="Z24" s="27">
        <v>0.0</v>
      </c>
      <c r="AB24" s="27">
        <v>0.0</v>
      </c>
      <c r="AC24" s="29"/>
      <c r="AD24" s="26"/>
      <c r="AF24" s="27"/>
      <c r="AH24" s="27"/>
      <c r="AJ24" s="27"/>
      <c r="AL24" s="27"/>
      <c r="AN24" s="27"/>
      <c r="AO24" s="29"/>
      <c r="AP24" s="35">
        <f t="shared" si="1"/>
        <v>1700</v>
      </c>
      <c r="AQ24" s="23">
        <f t="shared" si="2"/>
        <v>100</v>
      </c>
      <c r="AR24" s="23">
        <f t="shared" si="3"/>
        <v>0</v>
      </c>
      <c r="AS24" s="23">
        <f t="shared" si="4"/>
        <v>100</v>
      </c>
      <c r="AT24" s="36">
        <f t="shared" si="5"/>
        <v>17</v>
      </c>
      <c r="AU24" s="37"/>
      <c r="AV24" s="37"/>
      <c r="AW24" s="37"/>
    </row>
    <row r="25" ht="15.75" customHeight="1">
      <c r="A25" s="39" t="s">
        <v>27</v>
      </c>
      <c r="B25" s="40">
        <f t="shared" si="6"/>
        <v>44585</v>
      </c>
      <c r="C25" s="41">
        <v>1.0</v>
      </c>
      <c r="D25" s="41" t="s">
        <v>35</v>
      </c>
      <c r="E25" s="43" t="s">
        <v>26</v>
      </c>
      <c r="F25" s="26"/>
      <c r="H25" s="27"/>
      <c r="J25" s="27"/>
      <c r="L25" s="27"/>
      <c r="N25" s="27"/>
      <c r="P25" s="27"/>
      <c r="Q25" s="29"/>
      <c r="R25" s="26">
        <v>50.0</v>
      </c>
      <c r="T25" s="27">
        <v>50.0</v>
      </c>
      <c r="V25" s="27">
        <v>0.0</v>
      </c>
      <c r="X25" s="27">
        <v>0.0</v>
      </c>
      <c r="Z25" s="27">
        <v>0.0</v>
      </c>
      <c r="AB25" s="27">
        <v>0.0</v>
      </c>
      <c r="AC25" s="29"/>
      <c r="AD25" s="26"/>
      <c r="AF25" s="27"/>
      <c r="AH25" s="27"/>
      <c r="AJ25" s="27"/>
      <c r="AL25" s="27"/>
      <c r="AN25" s="27"/>
      <c r="AO25" s="29"/>
      <c r="AP25" s="45">
        <f t="shared" si="1"/>
        <v>1700</v>
      </c>
      <c r="AQ25" s="41">
        <f t="shared" si="2"/>
        <v>100</v>
      </c>
      <c r="AR25" s="41">
        <f t="shared" si="3"/>
        <v>0</v>
      </c>
      <c r="AS25" s="41">
        <f t="shared" si="4"/>
        <v>100</v>
      </c>
      <c r="AT25" s="46">
        <f t="shared" si="5"/>
        <v>17</v>
      </c>
      <c r="AU25" s="37"/>
      <c r="AV25" s="37"/>
      <c r="AW25" s="37"/>
    </row>
    <row r="26" ht="15.75" customHeight="1">
      <c r="A26" s="39" t="s">
        <v>28</v>
      </c>
      <c r="B26" s="40">
        <f t="shared" si="6"/>
        <v>44586</v>
      </c>
      <c r="C26" s="41">
        <v>1.0</v>
      </c>
      <c r="D26" s="41" t="s">
        <v>35</v>
      </c>
      <c r="E26" s="43" t="s">
        <v>26</v>
      </c>
      <c r="F26" s="26"/>
      <c r="H26" s="27"/>
      <c r="J26" s="27"/>
      <c r="L26" s="27"/>
      <c r="N26" s="27"/>
      <c r="P26" s="27"/>
      <c r="Q26" s="29"/>
      <c r="R26" s="26">
        <v>50.0</v>
      </c>
      <c r="T26" s="27">
        <v>50.0</v>
      </c>
      <c r="V26" s="27">
        <v>0.0</v>
      </c>
      <c r="X26" s="27">
        <v>0.0</v>
      </c>
      <c r="Z26" s="27">
        <v>0.0</v>
      </c>
      <c r="AB26" s="27">
        <v>0.0</v>
      </c>
      <c r="AC26" s="29"/>
      <c r="AD26" s="26"/>
      <c r="AF26" s="27"/>
      <c r="AH26" s="27"/>
      <c r="AJ26" s="27"/>
      <c r="AL26" s="27"/>
      <c r="AN26" s="27"/>
      <c r="AO26" s="29"/>
      <c r="AP26" s="45">
        <f t="shared" si="1"/>
        <v>1700</v>
      </c>
      <c r="AQ26" s="41">
        <f t="shared" si="2"/>
        <v>100</v>
      </c>
      <c r="AR26" s="41">
        <f t="shared" si="3"/>
        <v>0</v>
      </c>
      <c r="AS26" s="41">
        <f t="shared" si="4"/>
        <v>100</v>
      </c>
      <c r="AT26" s="46">
        <f t="shared" si="5"/>
        <v>17</v>
      </c>
      <c r="AU26" s="37"/>
      <c r="AV26" s="37"/>
      <c r="AW26" s="37"/>
    </row>
    <row r="27" ht="15.75" customHeight="1">
      <c r="A27" s="39" t="s">
        <v>29</v>
      </c>
      <c r="B27" s="40">
        <f t="shared" si="6"/>
        <v>44587</v>
      </c>
      <c r="C27" s="41">
        <v>1.0</v>
      </c>
      <c r="D27" s="41" t="s">
        <v>35</v>
      </c>
      <c r="E27" s="43" t="s">
        <v>26</v>
      </c>
      <c r="F27" s="26"/>
      <c r="H27" s="27"/>
      <c r="J27" s="27"/>
      <c r="L27" s="27"/>
      <c r="N27" s="27"/>
      <c r="P27" s="27"/>
      <c r="Q27" s="29"/>
      <c r="R27" s="26">
        <v>50.0</v>
      </c>
      <c r="T27" s="27">
        <v>50.0</v>
      </c>
      <c r="V27" s="27">
        <v>0.0</v>
      </c>
      <c r="X27" s="27">
        <v>0.0</v>
      </c>
      <c r="Z27" s="27">
        <v>0.0</v>
      </c>
      <c r="AB27" s="27">
        <v>0.0</v>
      </c>
      <c r="AC27" s="29"/>
      <c r="AD27" s="26"/>
      <c r="AF27" s="27"/>
      <c r="AH27" s="27"/>
      <c r="AJ27" s="27"/>
      <c r="AL27" s="27"/>
      <c r="AN27" s="27"/>
      <c r="AO27" s="29"/>
      <c r="AP27" s="45">
        <f t="shared" si="1"/>
        <v>1700</v>
      </c>
      <c r="AQ27" s="41">
        <f t="shared" si="2"/>
        <v>100</v>
      </c>
      <c r="AR27" s="41">
        <f t="shared" si="3"/>
        <v>0</v>
      </c>
      <c r="AS27" s="41">
        <f t="shared" si="4"/>
        <v>100</v>
      </c>
      <c r="AT27" s="46">
        <f t="shared" si="5"/>
        <v>17</v>
      </c>
      <c r="AU27" s="37"/>
      <c r="AV27" s="37"/>
      <c r="AW27" s="37"/>
    </row>
    <row r="28" ht="15.75" customHeight="1">
      <c r="A28" s="39" t="s">
        <v>30</v>
      </c>
      <c r="B28" s="40">
        <f t="shared" si="6"/>
        <v>44588</v>
      </c>
      <c r="C28" s="41">
        <v>1.0</v>
      </c>
      <c r="D28" s="41" t="s">
        <v>35</v>
      </c>
      <c r="E28" s="43" t="s">
        <v>26</v>
      </c>
      <c r="F28" s="26"/>
      <c r="H28" s="27"/>
      <c r="J28" s="27"/>
      <c r="L28" s="27"/>
      <c r="N28" s="27"/>
      <c r="P28" s="27"/>
      <c r="Q28" s="29"/>
      <c r="R28" s="26">
        <v>50.0</v>
      </c>
      <c r="T28" s="27">
        <v>50.0</v>
      </c>
      <c r="V28" s="27">
        <v>0.0</v>
      </c>
      <c r="X28" s="27">
        <v>0.0</v>
      </c>
      <c r="Z28" s="27">
        <v>0.0</v>
      </c>
      <c r="AB28" s="27">
        <v>0.0</v>
      </c>
      <c r="AC28" s="29"/>
      <c r="AD28" s="26"/>
      <c r="AF28" s="27"/>
      <c r="AH28" s="27"/>
      <c r="AJ28" s="27"/>
      <c r="AL28" s="27"/>
      <c r="AN28" s="27"/>
      <c r="AO28" s="29"/>
      <c r="AP28" s="45">
        <f t="shared" si="1"/>
        <v>1700</v>
      </c>
      <c r="AQ28" s="41">
        <f t="shared" si="2"/>
        <v>100</v>
      </c>
      <c r="AR28" s="41">
        <f t="shared" si="3"/>
        <v>0</v>
      </c>
      <c r="AS28" s="41">
        <f t="shared" si="4"/>
        <v>100</v>
      </c>
      <c r="AT28" s="46">
        <f t="shared" si="5"/>
        <v>17</v>
      </c>
      <c r="AU28" s="37"/>
      <c r="AV28" s="37"/>
      <c r="AW28" s="37"/>
    </row>
    <row r="29" ht="15.75" customHeight="1">
      <c r="A29" s="39" t="s">
        <v>31</v>
      </c>
      <c r="B29" s="40">
        <f t="shared" si="6"/>
        <v>44589</v>
      </c>
      <c r="C29" s="41">
        <v>1.0</v>
      </c>
      <c r="D29" s="41" t="s">
        <v>35</v>
      </c>
      <c r="E29" s="43" t="s">
        <v>26</v>
      </c>
      <c r="F29" s="26"/>
      <c r="H29" s="27"/>
      <c r="J29" s="27"/>
      <c r="L29" s="27"/>
      <c r="N29" s="27"/>
      <c r="P29" s="27"/>
      <c r="Q29" s="29"/>
      <c r="R29" s="26"/>
      <c r="T29" s="27"/>
      <c r="V29" s="27"/>
      <c r="X29" s="27"/>
      <c r="Z29" s="27"/>
      <c r="AB29" s="27"/>
      <c r="AC29" s="29"/>
      <c r="AD29" s="26"/>
      <c r="AF29" s="27"/>
      <c r="AH29" s="27"/>
      <c r="AJ29" s="27"/>
      <c r="AL29" s="27"/>
      <c r="AN29" s="27"/>
      <c r="AO29" s="29"/>
      <c r="AP29" s="45">
        <f t="shared" si="1"/>
        <v>0</v>
      </c>
      <c r="AQ29" s="41">
        <f t="shared" si="2"/>
        <v>0</v>
      </c>
      <c r="AR29" s="41">
        <f t="shared" si="3"/>
        <v>0</v>
      </c>
      <c r="AS29" s="41">
        <f t="shared" si="4"/>
        <v>0</v>
      </c>
      <c r="AT29" s="46" t="str">
        <f t="shared" si="5"/>
        <v/>
      </c>
      <c r="AU29" s="37"/>
      <c r="AV29" s="37"/>
      <c r="AW29" s="37"/>
    </row>
    <row r="30" ht="15.75" customHeight="1">
      <c r="A30" s="49" t="s">
        <v>32</v>
      </c>
      <c r="B30" s="50">
        <f t="shared" si="6"/>
        <v>44590</v>
      </c>
      <c r="C30" s="51">
        <v>1.0</v>
      </c>
      <c r="D30" s="51" t="s">
        <v>35</v>
      </c>
      <c r="E30" s="53" t="s">
        <v>26</v>
      </c>
      <c r="F30" s="54"/>
      <c r="G30" s="55"/>
      <c r="H30" s="56"/>
      <c r="I30" s="55"/>
      <c r="J30" s="56"/>
      <c r="K30" s="55"/>
      <c r="L30" s="56"/>
      <c r="M30" s="55"/>
      <c r="N30" s="56"/>
      <c r="O30" s="55"/>
      <c r="P30" s="56"/>
      <c r="Q30" s="58"/>
      <c r="R30" s="54"/>
      <c r="S30" s="55"/>
      <c r="T30" s="56"/>
      <c r="U30" s="55"/>
      <c r="V30" s="56"/>
      <c r="W30" s="55"/>
      <c r="X30" s="56"/>
      <c r="Y30" s="55"/>
      <c r="Z30" s="56"/>
      <c r="AA30" s="55"/>
      <c r="AB30" s="56"/>
      <c r="AC30" s="58"/>
      <c r="AD30" s="54"/>
      <c r="AE30" s="55"/>
      <c r="AF30" s="56"/>
      <c r="AG30" s="55"/>
      <c r="AH30" s="56"/>
      <c r="AI30" s="55"/>
      <c r="AJ30" s="56"/>
      <c r="AK30" s="55"/>
      <c r="AL30" s="56"/>
      <c r="AM30" s="55"/>
      <c r="AN30" s="56"/>
      <c r="AO30" s="58"/>
      <c r="AP30" s="60">
        <f t="shared" si="1"/>
        <v>0</v>
      </c>
      <c r="AQ30" s="51">
        <f t="shared" si="2"/>
        <v>0</v>
      </c>
      <c r="AR30" s="51">
        <f t="shared" si="3"/>
        <v>0</v>
      </c>
      <c r="AS30" s="51">
        <f t="shared" si="4"/>
        <v>0</v>
      </c>
      <c r="AT30" s="61" t="str">
        <f t="shared" si="5"/>
        <v/>
      </c>
      <c r="AU30" s="37"/>
      <c r="AV30" s="37"/>
      <c r="AW30" s="37"/>
    </row>
    <row r="31" ht="15.75" customHeight="1">
      <c r="A31" s="21" t="s">
        <v>24</v>
      </c>
      <c r="B31" s="62">
        <f t="shared" si="6"/>
        <v>44591</v>
      </c>
      <c r="C31" s="23">
        <v>2.0</v>
      </c>
      <c r="D31" s="23" t="s">
        <v>25</v>
      </c>
      <c r="E31" s="63" t="s">
        <v>26</v>
      </c>
      <c r="F31" s="26"/>
      <c r="H31" s="27"/>
      <c r="J31" s="27"/>
      <c r="L31" s="27"/>
      <c r="N31" s="27"/>
      <c r="P31" s="27"/>
      <c r="Q31" s="29"/>
      <c r="R31" s="26">
        <v>60.0</v>
      </c>
      <c r="T31" s="27">
        <v>60.0</v>
      </c>
      <c r="V31" s="27">
        <v>0.0</v>
      </c>
      <c r="X31" s="27">
        <v>0.0</v>
      </c>
      <c r="Z31" s="27">
        <v>0.0</v>
      </c>
      <c r="AB31" s="27">
        <v>0.0</v>
      </c>
      <c r="AC31" s="29"/>
      <c r="AD31" s="26"/>
      <c r="AF31" s="27"/>
      <c r="AH31" s="27"/>
      <c r="AJ31" s="27"/>
      <c r="AL31" s="27"/>
      <c r="AN31" s="27"/>
      <c r="AO31" s="29"/>
      <c r="AP31" s="35">
        <f t="shared" si="1"/>
        <v>2040</v>
      </c>
      <c r="AQ31" s="23">
        <f t="shared" si="2"/>
        <v>120</v>
      </c>
      <c r="AR31" s="23">
        <f t="shared" si="3"/>
        <v>0</v>
      </c>
      <c r="AS31" s="23">
        <f t="shared" si="4"/>
        <v>120</v>
      </c>
      <c r="AT31" s="36">
        <f t="shared" si="5"/>
        <v>17</v>
      </c>
      <c r="AU31" s="37"/>
      <c r="AV31" s="37"/>
      <c r="AW31" s="37"/>
    </row>
    <row r="32" ht="15.75" customHeight="1">
      <c r="A32" s="39" t="s">
        <v>27</v>
      </c>
      <c r="B32" s="40">
        <f t="shared" si="6"/>
        <v>44592</v>
      </c>
      <c r="C32" s="41">
        <v>2.0</v>
      </c>
      <c r="D32" s="41" t="s">
        <v>25</v>
      </c>
      <c r="E32" s="43" t="s">
        <v>26</v>
      </c>
      <c r="F32" s="26"/>
      <c r="H32" s="27"/>
      <c r="J32" s="27"/>
      <c r="L32" s="27"/>
      <c r="N32" s="27"/>
      <c r="P32" s="27"/>
      <c r="Q32" s="29"/>
      <c r="R32" s="26">
        <v>60.0</v>
      </c>
      <c r="T32" s="27">
        <v>60.0</v>
      </c>
      <c r="V32" s="27">
        <v>0.0</v>
      </c>
      <c r="X32" s="27">
        <v>0.0</v>
      </c>
      <c r="Z32" s="27">
        <v>0.0</v>
      </c>
      <c r="AB32" s="27">
        <v>0.0</v>
      </c>
      <c r="AC32" s="29"/>
      <c r="AD32" s="26"/>
      <c r="AF32" s="27"/>
      <c r="AH32" s="27"/>
      <c r="AJ32" s="27"/>
      <c r="AL32" s="27"/>
      <c r="AN32" s="27"/>
      <c r="AO32" s="29"/>
      <c r="AP32" s="45">
        <f t="shared" si="1"/>
        <v>2040</v>
      </c>
      <c r="AQ32" s="41">
        <f t="shared" si="2"/>
        <v>120</v>
      </c>
      <c r="AR32" s="41">
        <f t="shared" si="3"/>
        <v>0</v>
      </c>
      <c r="AS32" s="41">
        <f t="shared" si="4"/>
        <v>120</v>
      </c>
      <c r="AT32" s="46">
        <f t="shared" si="5"/>
        <v>17</v>
      </c>
      <c r="AU32" s="37"/>
      <c r="AV32" s="37"/>
      <c r="AW32" s="37"/>
    </row>
    <row r="33" ht="15.75" customHeight="1">
      <c r="A33" s="39" t="s">
        <v>28</v>
      </c>
      <c r="B33" s="40">
        <f t="shared" si="6"/>
        <v>44593</v>
      </c>
      <c r="C33" s="41">
        <v>2.0</v>
      </c>
      <c r="D33" s="41" t="s">
        <v>25</v>
      </c>
      <c r="E33" s="43" t="s">
        <v>26</v>
      </c>
      <c r="F33" s="26"/>
      <c r="H33" s="27"/>
      <c r="J33" s="27"/>
      <c r="L33" s="27"/>
      <c r="N33" s="27"/>
      <c r="P33" s="27"/>
      <c r="Q33" s="29"/>
      <c r="R33" s="26">
        <v>60.0</v>
      </c>
      <c r="T33" s="27">
        <v>60.0</v>
      </c>
      <c r="V33" s="27">
        <v>0.0</v>
      </c>
      <c r="X33" s="27">
        <v>0.0</v>
      </c>
      <c r="Z33" s="27">
        <v>0.0</v>
      </c>
      <c r="AB33" s="27">
        <v>0.0</v>
      </c>
      <c r="AC33" s="29"/>
      <c r="AD33" s="26"/>
      <c r="AF33" s="27"/>
      <c r="AH33" s="27"/>
      <c r="AJ33" s="27"/>
      <c r="AL33" s="27"/>
      <c r="AN33" s="27"/>
      <c r="AO33" s="29"/>
      <c r="AP33" s="45">
        <f t="shared" si="1"/>
        <v>2040</v>
      </c>
      <c r="AQ33" s="41">
        <f t="shared" si="2"/>
        <v>120</v>
      </c>
      <c r="AR33" s="41">
        <f t="shared" si="3"/>
        <v>0</v>
      </c>
      <c r="AS33" s="41">
        <f t="shared" si="4"/>
        <v>120</v>
      </c>
      <c r="AT33" s="46">
        <f t="shared" si="5"/>
        <v>17</v>
      </c>
      <c r="AU33" s="37"/>
      <c r="AV33" s="37"/>
      <c r="AW33" s="37"/>
    </row>
    <row r="34" ht="15.75" customHeight="1">
      <c r="A34" s="39" t="s">
        <v>29</v>
      </c>
      <c r="B34" s="40">
        <f t="shared" si="6"/>
        <v>44594</v>
      </c>
      <c r="C34" s="41">
        <v>2.0</v>
      </c>
      <c r="D34" s="41" t="s">
        <v>25</v>
      </c>
      <c r="E34" s="43" t="s">
        <v>26</v>
      </c>
      <c r="F34" s="26"/>
      <c r="H34" s="27"/>
      <c r="J34" s="27"/>
      <c r="L34" s="27"/>
      <c r="N34" s="27"/>
      <c r="P34" s="27"/>
      <c r="Q34" s="29"/>
      <c r="R34" s="26">
        <v>60.0</v>
      </c>
      <c r="T34" s="27">
        <v>60.0</v>
      </c>
      <c r="V34" s="27">
        <v>0.0</v>
      </c>
      <c r="X34" s="27">
        <v>0.0</v>
      </c>
      <c r="Z34" s="27">
        <v>0.0</v>
      </c>
      <c r="AB34" s="27">
        <v>0.0</v>
      </c>
      <c r="AC34" s="29"/>
      <c r="AD34" s="26"/>
      <c r="AF34" s="27"/>
      <c r="AH34" s="27"/>
      <c r="AJ34" s="27"/>
      <c r="AL34" s="27"/>
      <c r="AN34" s="27"/>
      <c r="AO34" s="29"/>
      <c r="AP34" s="45">
        <f t="shared" si="1"/>
        <v>2040</v>
      </c>
      <c r="AQ34" s="41">
        <f t="shared" si="2"/>
        <v>120</v>
      </c>
      <c r="AR34" s="41">
        <f t="shared" si="3"/>
        <v>0</v>
      </c>
      <c r="AS34" s="41">
        <f t="shared" si="4"/>
        <v>120</v>
      </c>
      <c r="AT34" s="46">
        <f t="shared" si="5"/>
        <v>17</v>
      </c>
      <c r="AU34" s="37"/>
      <c r="AV34" s="37"/>
      <c r="AW34" s="37"/>
    </row>
    <row r="35" ht="15.75" customHeight="1">
      <c r="A35" s="39" t="s">
        <v>30</v>
      </c>
      <c r="B35" s="40">
        <f t="shared" si="6"/>
        <v>44595</v>
      </c>
      <c r="C35" s="41">
        <v>2.0</v>
      </c>
      <c r="D35" s="41" t="s">
        <v>25</v>
      </c>
      <c r="E35" s="43" t="s">
        <v>26</v>
      </c>
      <c r="F35" s="26"/>
      <c r="H35" s="27"/>
      <c r="J35" s="27"/>
      <c r="L35" s="27"/>
      <c r="N35" s="27"/>
      <c r="P35" s="27"/>
      <c r="Q35" s="29"/>
      <c r="R35" s="26">
        <v>60.0</v>
      </c>
      <c r="T35" s="27">
        <v>60.0</v>
      </c>
      <c r="V35" s="27">
        <v>0.0</v>
      </c>
      <c r="X35" s="27">
        <v>0.0</v>
      </c>
      <c r="Z35" s="27">
        <v>0.0</v>
      </c>
      <c r="AB35" s="27">
        <v>0.0</v>
      </c>
      <c r="AC35" s="29"/>
      <c r="AD35" s="26"/>
      <c r="AF35" s="27"/>
      <c r="AH35" s="27"/>
      <c r="AJ35" s="27"/>
      <c r="AL35" s="27"/>
      <c r="AN35" s="27"/>
      <c r="AO35" s="29"/>
      <c r="AP35" s="45">
        <f t="shared" si="1"/>
        <v>2040</v>
      </c>
      <c r="AQ35" s="41">
        <f t="shared" si="2"/>
        <v>120</v>
      </c>
      <c r="AR35" s="41">
        <f t="shared" si="3"/>
        <v>0</v>
      </c>
      <c r="AS35" s="41">
        <f t="shared" si="4"/>
        <v>120</v>
      </c>
      <c r="AT35" s="46">
        <f t="shared" si="5"/>
        <v>17</v>
      </c>
      <c r="AU35" s="37"/>
      <c r="AV35" s="37"/>
      <c r="AW35" s="37"/>
    </row>
    <row r="36" ht="15.75" customHeight="1">
      <c r="A36" s="39" t="s">
        <v>31</v>
      </c>
      <c r="B36" s="40">
        <f t="shared" si="6"/>
        <v>44596</v>
      </c>
      <c r="C36" s="41">
        <v>2.0</v>
      </c>
      <c r="D36" s="41" t="s">
        <v>25</v>
      </c>
      <c r="E36" s="43" t="s">
        <v>26</v>
      </c>
      <c r="F36" s="26"/>
      <c r="H36" s="27"/>
      <c r="J36" s="27"/>
      <c r="L36" s="27"/>
      <c r="N36" s="27"/>
      <c r="P36" s="27"/>
      <c r="Q36" s="29"/>
      <c r="R36" s="26"/>
      <c r="T36" s="27"/>
      <c r="V36" s="27"/>
      <c r="X36" s="27"/>
      <c r="Z36" s="27"/>
      <c r="AB36" s="27"/>
      <c r="AC36" s="29"/>
      <c r="AD36" s="26"/>
      <c r="AF36" s="27"/>
      <c r="AH36" s="27"/>
      <c r="AJ36" s="27"/>
      <c r="AL36" s="27"/>
      <c r="AN36" s="27"/>
      <c r="AO36" s="29"/>
      <c r="AP36" s="45">
        <f t="shared" si="1"/>
        <v>0</v>
      </c>
      <c r="AQ36" s="41">
        <f t="shared" si="2"/>
        <v>0</v>
      </c>
      <c r="AR36" s="41">
        <f t="shared" si="3"/>
        <v>0</v>
      </c>
      <c r="AS36" s="41">
        <f t="shared" si="4"/>
        <v>0</v>
      </c>
      <c r="AT36" s="46" t="str">
        <f t="shared" si="5"/>
        <v/>
      </c>
      <c r="AU36" s="37"/>
      <c r="AV36" s="37"/>
      <c r="AW36" s="37"/>
    </row>
    <row r="37" ht="15.75" customHeight="1">
      <c r="A37" s="49" t="s">
        <v>32</v>
      </c>
      <c r="B37" s="50">
        <f t="shared" si="6"/>
        <v>44597</v>
      </c>
      <c r="C37" s="51">
        <v>2.0</v>
      </c>
      <c r="D37" s="51" t="s">
        <v>25</v>
      </c>
      <c r="E37" s="53" t="s">
        <v>26</v>
      </c>
      <c r="F37" s="54"/>
      <c r="G37" s="55"/>
      <c r="H37" s="56"/>
      <c r="I37" s="55"/>
      <c r="J37" s="56"/>
      <c r="K37" s="55"/>
      <c r="L37" s="56"/>
      <c r="M37" s="55"/>
      <c r="N37" s="56"/>
      <c r="O37" s="55"/>
      <c r="P37" s="56"/>
      <c r="Q37" s="58"/>
      <c r="R37" s="54"/>
      <c r="S37" s="55"/>
      <c r="T37" s="56"/>
      <c r="U37" s="55"/>
      <c r="V37" s="56"/>
      <c r="W37" s="55"/>
      <c r="X37" s="56"/>
      <c r="Y37" s="55"/>
      <c r="Z37" s="56"/>
      <c r="AA37" s="55"/>
      <c r="AB37" s="56"/>
      <c r="AC37" s="58"/>
      <c r="AD37" s="54"/>
      <c r="AE37" s="55"/>
      <c r="AF37" s="56"/>
      <c r="AG37" s="55"/>
      <c r="AH37" s="56"/>
      <c r="AI37" s="55"/>
      <c r="AJ37" s="56"/>
      <c r="AK37" s="55"/>
      <c r="AL37" s="56"/>
      <c r="AM37" s="55"/>
      <c r="AN37" s="56"/>
      <c r="AO37" s="58"/>
      <c r="AP37" s="60">
        <f t="shared" si="1"/>
        <v>0</v>
      </c>
      <c r="AQ37" s="51">
        <f t="shared" si="2"/>
        <v>0</v>
      </c>
      <c r="AR37" s="51">
        <f t="shared" si="3"/>
        <v>0</v>
      </c>
      <c r="AS37" s="51">
        <f t="shared" si="4"/>
        <v>0</v>
      </c>
      <c r="AT37" s="61" t="str">
        <f t="shared" si="5"/>
        <v/>
      </c>
      <c r="AU37" s="37"/>
      <c r="AV37" s="37"/>
      <c r="AW37" s="37"/>
    </row>
    <row r="38" ht="15.75" customHeight="1">
      <c r="A38" s="21" t="s">
        <v>24</v>
      </c>
      <c r="B38" s="62">
        <f t="shared" si="6"/>
        <v>44598</v>
      </c>
      <c r="C38" s="23">
        <v>2.0</v>
      </c>
      <c r="D38" s="23" t="s">
        <v>33</v>
      </c>
      <c r="E38" s="63" t="s">
        <v>26</v>
      </c>
      <c r="F38" s="26"/>
      <c r="H38" s="27"/>
      <c r="J38" s="27"/>
      <c r="L38" s="27"/>
      <c r="N38" s="27"/>
      <c r="P38" s="27"/>
      <c r="Q38" s="29"/>
      <c r="R38" s="26">
        <v>70.0</v>
      </c>
      <c r="T38" s="27">
        <v>70.0</v>
      </c>
      <c r="V38" s="27">
        <v>0.0</v>
      </c>
      <c r="X38" s="27">
        <v>0.0</v>
      </c>
      <c r="Z38" s="27">
        <v>0.0</v>
      </c>
      <c r="AB38" s="27">
        <v>0.0</v>
      </c>
      <c r="AC38" s="29"/>
      <c r="AD38" s="26"/>
      <c r="AF38" s="27"/>
      <c r="AH38" s="27"/>
      <c r="AJ38" s="27"/>
      <c r="AL38" s="27"/>
      <c r="AN38" s="27"/>
      <c r="AO38" s="29"/>
      <c r="AP38" s="35">
        <f t="shared" si="1"/>
        <v>2380</v>
      </c>
      <c r="AQ38" s="23">
        <f t="shared" si="2"/>
        <v>140</v>
      </c>
      <c r="AR38" s="23">
        <f t="shared" si="3"/>
        <v>0</v>
      </c>
      <c r="AS38" s="23">
        <f t="shared" si="4"/>
        <v>140</v>
      </c>
      <c r="AT38" s="36">
        <f t="shared" si="5"/>
        <v>17</v>
      </c>
      <c r="AU38" s="37"/>
      <c r="AV38" s="37"/>
      <c r="AW38" s="37"/>
    </row>
    <row r="39" ht="15.75" customHeight="1">
      <c r="A39" s="39" t="s">
        <v>27</v>
      </c>
      <c r="B39" s="40">
        <f t="shared" si="6"/>
        <v>44599</v>
      </c>
      <c r="C39" s="41">
        <v>2.0</v>
      </c>
      <c r="D39" s="41" t="s">
        <v>33</v>
      </c>
      <c r="E39" s="43" t="s">
        <v>26</v>
      </c>
      <c r="F39" s="26"/>
      <c r="H39" s="27"/>
      <c r="J39" s="27"/>
      <c r="L39" s="27"/>
      <c r="N39" s="27"/>
      <c r="P39" s="27"/>
      <c r="Q39" s="29"/>
      <c r="R39" s="26">
        <v>70.0</v>
      </c>
      <c r="T39" s="27">
        <v>70.0</v>
      </c>
      <c r="V39" s="27">
        <v>0.0</v>
      </c>
      <c r="X39" s="27">
        <v>0.0</v>
      </c>
      <c r="Z39" s="27">
        <v>0.0</v>
      </c>
      <c r="AB39" s="27">
        <v>0.0</v>
      </c>
      <c r="AC39" s="29"/>
      <c r="AD39" s="26"/>
      <c r="AF39" s="27"/>
      <c r="AH39" s="27"/>
      <c r="AJ39" s="27"/>
      <c r="AL39" s="27"/>
      <c r="AN39" s="27"/>
      <c r="AO39" s="29"/>
      <c r="AP39" s="45">
        <f t="shared" si="1"/>
        <v>2380</v>
      </c>
      <c r="AQ39" s="41">
        <f t="shared" si="2"/>
        <v>140</v>
      </c>
      <c r="AR39" s="41">
        <f t="shared" si="3"/>
        <v>0</v>
      </c>
      <c r="AS39" s="41">
        <f t="shared" si="4"/>
        <v>140</v>
      </c>
      <c r="AT39" s="46">
        <f t="shared" si="5"/>
        <v>17</v>
      </c>
      <c r="AU39" s="37"/>
      <c r="AV39" s="37"/>
      <c r="AW39" s="37"/>
    </row>
    <row r="40" ht="15.75" customHeight="1">
      <c r="A40" s="39" t="s">
        <v>28</v>
      </c>
      <c r="B40" s="40">
        <f t="shared" si="6"/>
        <v>44600</v>
      </c>
      <c r="C40" s="41">
        <v>2.0</v>
      </c>
      <c r="D40" s="41" t="s">
        <v>33</v>
      </c>
      <c r="E40" s="43" t="s">
        <v>26</v>
      </c>
      <c r="F40" s="26"/>
      <c r="H40" s="27"/>
      <c r="J40" s="27"/>
      <c r="L40" s="27"/>
      <c r="N40" s="27"/>
      <c r="P40" s="27"/>
      <c r="Q40" s="29"/>
      <c r="R40" s="26">
        <v>70.0</v>
      </c>
      <c r="T40" s="27">
        <v>70.0</v>
      </c>
      <c r="V40" s="27">
        <v>0.0</v>
      </c>
      <c r="X40" s="27">
        <v>0.0</v>
      </c>
      <c r="Z40" s="27">
        <v>0.0</v>
      </c>
      <c r="AB40" s="27">
        <v>0.0</v>
      </c>
      <c r="AC40" s="29"/>
      <c r="AD40" s="26"/>
      <c r="AF40" s="27"/>
      <c r="AH40" s="27"/>
      <c r="AJ40" s="27"/>
      <c r="AL40" s="27"/>
      <c r="AN40" s="27"/>
      <c r="AO40" s="29"/>
      <c r="AP40" s="45">
        <f t="shared" si="1"/>
        <v>2380</v>
      </c>
      <c r="AQ40" s="41">
        <f t="shared" si="2"/>
        <v>140</v>
      </c>
      <c r="AR40" s="41">
        <f t="shared" si="3"/>
        <v>0</v>
      </c>
      <c r="AS40" s="41">
        <f t="shared" si="4"/>
        <v>140</v>
      </c>
      <c r="AT40" s="46">
        <f t="shared" si="5"/>
        <v>17</v>
      </c>
      <c r="AU40" s="37"/>
      <c r="AV40" s="37"/>
      <c r="AW40" s="37"/>
    </row>
    <row r="41" ht="15.75" customHeight="1">
      <c r="A41" s="39" t="s">
        <v>29</v>
      </c>
      <c r="B41" s="40">
        <f t="shared" si="6"/>
        <v>44601</v>
      </c>
      <c r="C41" s="41">
        <v>2.0</v>
      </c>
      <c r="D41" s="41" t="s">
        <v>33</v>
      </c>
      <c r="E41" s="43" t="s">
        <v>26</v>
      </c>
      <c r="F41" s="26"/>
      <c r="H41" s="27"/>
      <c r="J41" s="27"/>
      <c r="L41" s="27"/>
      <c r="N41" s="27"/>
      <c r="P41" s="27"/>
      <c r="Q41" s="29"/>
      <c r="R41" s="26">
        <v>70.0</v>
      </c>
      <c r="T41" s="27">
        <v>70.0</v>
      </c>
      <c r="V41" s="27">
        <v>0.0</v>
      </c>
      <c r="X41" s="27">
        <v>0.0</v>
      </c>
      <c r="Z41" s="27">
        <v>0.0</v>
      </c>
      <c r="AB41" s="27">
        <v>0.0</v>
      </c>
      <c r="AC41" s="29"/>
      <c r="AD41" s="26"/>
      <c r="AF41" s="27"/>
      <c r="AH41" s="27"/>
      <c r="AJ41" s="27"/>
      <c r="AL41" s="27"/>
      <c r="AN41" s="27"/>
      <c r="AO41" s="29"/>
      <c r="AP41" s="45">
        <f t="shared" si="1"/>
        <v>2380</v>
      </c>
      <c r="AQ41" s="41">
        <f t="shared" si="2"/>
        <v>140</v>
      </c>
      <c r="AR41" s="41">
        <f t="shared" si="3"/>
        <v>0</v>
      </c>
      <c r="AS41" s="41">
        <f t="shared" si="4"/>
        <v>140</v>
      </c>
      <c r="AT41" s="46">
        <f t="shared" si="5"/>
        <v>17</v>
      </c>
      <c r="AU41" s="37"/>
      <c r="AV41" s="37"/>
      <c r="AW41" s="37"/>
    </row>
    <row r="42" ht="15.75" customHeight="1">
      <c r="A42" s="39" t="s">
        <v>30</v>
      </c>
      <c r="B42" s="40">
        <f t="shared" si="6"/>
        <v>44602</v>
      </c>
      <c r="C42" s="41">
        <v>2.0</v>
      </c>
      <c r="D42" s="41" t="s">
        <v>33</v>
      </c>
      <c r="E42" s="43" t="s">
        <v>26</v>
      </c>
      <c r="F42" s="26"/>
      <c r="H42" s="27"/>
      <c r="J42" s="27"/>
      <c r="L42" s="27"/>
      <c r="N42" s="27"/>
      <c r="P42" s="27"/>
      <c r="Q42" s="29"/>
      <c r="R42" s="26">
        <v>70.0</v>
      </c>
      <c r="T42" s="27">
        <v>70.0</v>
      </c>
      <c r="V42" s="27">
        <v>0.0</v>
      </c>
      <c r="X42" s="27">
        <v>0.0</v>
      </c>
      <c r="Z42" s="27">
        <v>0.0</v>
      </c>
      <c r="AB42" s="27">
        <v>0.0</v>
      </c>
      <c r="AC42" s="29"/>
      <c r="AD42" s="26"/>
      <c r="AF42" s="27"/>
      <c r="AH42" s="27"/>
      <c r="AJ42" s="27"/>
      <c r="AL42" s="27"/>
      <c r="AN42" s="27"/>
      <c r="AO42" s="29"/>
      <c r="AP42" s="45">
        <f t="shared" si="1"/>
        <v>2380</v>
      </c>
      <c r="AQ42" s="41">
        <f t="shared" si="2"/>
        <v>140</v>
      </c>
      <c r="AR42" s="41">
        <f t="shared" si="3"/>
        <v>0</v>
      </c>
      <c r="AS42" s="41">
        <f t="shared" si="4"/>
        <v>140</v>
      </c>
      <c r="AT42" s="46">
        <f t="shared" si="5"/>
        <v>17</v>
      </c>
      <c r="AU42" s="37"/>
      <c r="AV42" s="37"/>
      <c r="AW42" s="37"/>
    </row>
    <row r="43" ht="15.75" customHeight="1">
      <c r="A43" s="39" t="s">
        <v>31</v>
      </c>
      <c r="B43" s="40">
        <f t="shared" si="6"/>
        <v>44603</v>
      </c>
      <c r="C43" s="41">
        <v>2.0</v>
      </c>
      <c r="D43" s="41" t="s">
        <v>33</v>
      </c>
      <c r="E43" s="43" t="s">
        <v>26</v>
      </c>
      <c r="F43" s="26"/>
      <c r="H43" s="27"/>
      <c r="J43" s="27"/>
      <c r="L43" s="27"/>
      <c r="N43" s="27"/>
      <c r="P43" s="27"/>
      <c r="Q43" s="29"/>
      <c r="R43" s="26"/>
      <c r="T43" s="27"/>
      <c r="V43" s="27"/>
      <c r="X43" s="27"/>
      <c r="Z43" s="27"/>
      <c r="AB43" s="27"/>
      <c r="AC43" s="29"/>
      <c r="AD43" s="26"/>
      <c r="AF43" s="27"/>
      <c r="AH43" s="27"/>
      <c r="AJ43" s="27"/>
      <c r="AL43" s="27"/>
      <c r="AN43" s="27"/>
      <c r="AO43" s="29"/>
      <c r="AP43" s="45">
        <f t="shared" si="1"/>
        <v>0</v>
      </c>
      <c r="AQ43" s="41">
        <f t="shared" si="2"/>
        <v>0</v>
      </c>
      <c r="AR43" s="41">
        <f t="shared" si="3"/>
        <v>0</v>
      </c>
      <c r="AS43" s="41">
        <f t="shared" si="4"/>
        <v>0</v>
      </c>
      <c r="AT43" s="46" t="str">
        <f t="shared" si="5"/>
        <v/>
      </c>
      <c r="AU43" s="37"/>
      <c r="AV43" s="37"/>
      <c r="AW43" s="37"/>
    </row>
    <row r="44" ht="15.75" customHeight="1">
      <c r="A44" s="49" t="s">
        <v>32</v>
      </c>
      <c r="B44" s="50">
        <f t="shared" si="6"/>
        <v>44604</v>
      </c>
      <c r="C44" s="51">
        <v>2.0</v>
      </c>
      <c r="D44" s="51" t="s">
        <v>33</v>
      </c>
      <c r="E44" s="53" t="s">
        <v>26</v>
      </c>
      <c r="F44" s="54"/>
      <c r="G44" s="55"/>
      <c r="H44" s="56"/>
      <c r="I44" s="55"/>
      <c r="J44" s="56"/>
      <c r="K44" s="55"/>
      <c r="L44" s="56"/>
      <c r="M44" s="55"/>
      <c r="N44" s="56"/>
      <c r="O44" s="55"/>
      <c r="P44" s="56"/>
      <c r="Q44" s="58"/>
      <c r="R44" s="54"/>
      <c r="S44" s="55"/>
      <c r="T44" s="56"/>
      <c r="U44" s="55"/>
      <c r="V44" s="56"/>
      <c r="W44" s="55"/>
      <c r="X44" s="56"/>
      <c r="Y44" s="55"/>
      <c r="Z44" s="56"/>
      <c r="AA44" s="55"/>
      <c r="AB44" s="56"/>
      <c r="AC44" s="58"/>
      <c r="AD44" s="54"/>
      <c r="AE44" s="55"/>
      <c r="AF44" s="56"/>
      <c r="AG44" s="55"/>
      <c r="AH44" s="56"/>
      <c r="AI44" s="55"/>
      <c r="AJ44" s="56"/>
      <c r="AK44" s="55"/>
      <c r="AL44" s="56"/>
      <c r="AM44" s="55"/>
      <c r="AN44" s="56"/>
      <c r="AO44" s="58"/>
      <c r="AP44" s="60">
        <f t="shared" si="1"/>
        <v>0</v>
      </c>
      <c r="AQ44" s="51">
        <f t="shared" si="2"/>
        <v>0</v>
      </c>
      <c r="AR44" s="51">
        <f t="shared" si="3"/>
        <v>0</v>
      </c>
      <c r="AS44" s="51">
        <f t="shared" si="4"/>
        <v>0</v>
      </c>
      <c r="AT44" s="61" t="str">
        <f t="shared" si="5"/>
        <v/>
      </c>
      <c r="AU44" s="37"/>
      <c r="AV44" s="37"/>
      <c r="AW44" s="37"/>
    </row>
    <row r="45" ht="15.75" customHeight="1">
      <c r="A45" s="21" t="s">
        <v>24</v>
      </c>
      <c r="B45" s="62">
        <f t="shared" si="6"/>
        <v>44605</v>
      </c>
      <c r="C45" s="23">
        <v>2.0</v>
      </c>
      <c r="D45" s="23" t="s">
        <v>34</v>
      </c>
      <c r="E45" s="25" t="s">
        <v>37</v>
      </c>
      <c r="F45" s="28">
        <v>50.0</v>
      </c>
      <c r="H45" s="32">
        <v>50.0</v>
      </c>
      <c r="J45" s="27">
        <v>0.0</v>
      </c>
      <c r="L45" s="27"/>
      <c r="N45" s="27"/>
      <c r="P45" s="27"/>
      <c r="Q45" s="29"/>
      <c r="R45" s="26">
        <v>75.0</v>
      </c>
      <c r="T45" s="27">
        <v>75.0</v>
      </c>
      <c r="V45" s="27">
        <v>0.0</v>
      </c>
      <c r="X45" s="27">
        <v>0.0</v>
      </c>
      <c r="Z45" s="27">
        <v>0.0</v>
      </c>
      <c r="AB45" s="27">
        <v>0.0</v>
      </c>
      <c r="AC45" s="29"/>
      <c r="AD45" s="26"/>
      <c r="AF45" s="27"/>
      <c r="AH45" s="27"/>
      <c r="AJ45" s="27"/>
      <c r="AL45" s="27"/>
      <c r="AN45" s="27"/>
      <c r="AO45" s="29"/>
      <c r="AP45" s="35">
        <f t="shared" si="1"/>
        <v>5950</v>
      </c>
      <c r="AQ45" s="23">
        <f t="shared" si="2"/>
        <v>250</v>
      </c>
      <c r="AR45" s="23">
        <f t="shared" si="3"/>
        <v>0</v>
      </c>
      <c r="AS45" s="23">
        <f t="shared" si="4"/>
        <v>250</v>
      </c>
      <c r="AT45" s="36">
        <f t="shared" si="5"/>
        <v>23.8</v>
      </c>
      <c r="AU45" s="37"/>
      <c r="AV45" s="37"/>
      <c r="AW45" s="37"/>
    </row>
    <row r="46" ht="15.75" customHeight="1">
      <c r="A46" s="39" t="s">
        <v>27</v>
      </c>
      <c r="B46" s="40">
        <f t="shared" si="6"/>
        <v>44606</v>
      </c>
      <c r="C46" s="41">
        <v>2.0</v>
      </c>
      <c r="D46" s="41" t="s">
        <v>34</v>
      </c>
      <c r="E46" s="43" t="s">
        <v>37</v>
      </c>
      <c r="F46" s="28">
        <v>50.0</v>
      </c>
      <c r="H46" s="32">
        <v>50.0</v>
      </c>
      <c r="J46" s="27">
        <v>0.0</v>
      </c>
      <c r="L46" s="27"/>
      <c r="N46" s="27"/>
      <c r="P46" s="27"/>
      <c r="Q46" s="29"/>
      <c r="R46" s="26">
        <v>75.0</v>
      </c>
      <c r="T46" s="27">
        <v>75.0</v>
      </c>
      <c r="V46" s="27">
        <v>0.0</v>
      </c>
      <c r="X46" s="27">
        <v>0.0</v>
      </c>
      <c r="Z46" s="27">
        <v>0.0</v>
      </c>
      <c r="AB46" s="27">
        <v>0.0</v>
      </c>
      <c r="AC46" s="29"/>
      <c r="AD46" s="26"/>
      <c r="AF46" s="27"/>
      <c r="AH46" s="27"/>
      <c r="AJ46" s="27"/>
      <c r="AL46" s="27"/>
      <c r="AN46" s="27"/>
      <c r="AO46" s="29"/>
      <c r="AP46" s="45">
        <f t="shared" si="1"/>
        <v>5950</v>
      </c>
      <c r="AQ46" s="41">
        <f t="shared" si="2"/>
        <v>250</v>
      </c>
      <c r="AR46" s="41">
        <f t="shared" si="3"/>
        <v>0</v>
      </c>
      <c r="AS46" s="41">
        <f t="shared" si="4"/>
        <v>250</v>
      </c>
      <c r="AT46" s="46">
        <f t="shared" si="5"/>
        <v>23.8</v>
      </c>
      <c r="AU46" s="37"/>
      <c r="AV46" s="37"/>
      <c r="AW46" s="37"/>
    </row>
    <row r="47" ht="15.75" customHeight="1">
      <c r="A47" s="39" t="s">
        <v>28</v>
      </c>
      <c r="B47" s="40">
        <f t="shared" si="6"/>
        <v>44607</v>
      </c>
      <c r="C47" s="41">
        <v>2.0</v>
      </c>
      <c r="D47" s="41" t="s">
        <v>34</v>
      </c>
      <c r="E47" s="43" t="s">
        <v>37</v>
      </c>
      <c r="F47" s="26">
        <v>100.0</v>
      </c>
      <c r="H47" s="27">
        <v>100.0</v>
      </c>
      <c r="J47" s="27">
        <v>0.0</v>
      </c>
      <c r="L47" s="27"/>
      <c r="N47" s="27"/>
      <c r="P47" s="27"/>
      <c r="Q47" s="29"/>
      <c r="R47" s="26">
        <v>75.0</v>
      </c>
      <c r="T47" s="27">
        <v>75.0</v>
      </c>
      <c r="V47" s="27">
        <v>0.0</v>
      </c>
      <c r="X47" s="27">
        <v>0.0</v>
      </c>
      <c r="Z47" s="27">
        <v>0.0</v>
      </c>
      <c r="AB47" s="27">
        <v>0.0</v>
      </c>
      <c r="AC47" s="29"/>
      <c r="AD47" s="26"/>
      <c r="AF47" s="27"/>
      <c r="AH47" s="27"/>
      <c r="AJ47" s="27"/>
      <c r="AL47" s="27"/>
      <c r="AN47" s="27"/>
      <c r="AO47" s="29"/>
      <c r="AP47" s="45">
        <f t="shared" si="1"/>
        <v>9350</v>
      </c>
      <c r="AQ47" s="41">
        <f t="shared" si="2"/>
        <v>350</v>
      </c>
      <c r="AR47" s="41">
        <f t="shared" si="3"/>
        <v>0</v>
      </c>
      <c r="AS47" s="41">
        <f t="shared" si="4"/>
        <v>350</v>
      </c>
      <c r="AT47" s="46">
        <f t="shared" si="5"/>
        <v>26.71428571</v>
      </c>
      <c r="AU47" s="37"/>
      <c r="AV47" s="37"/>
      <c r="AW47" s="37"/>
    </row>
    <row r="48" ht="15.75" customHeight="1">
      <c r="A48" s="39" t="s">
        <v>29</v>
      </c>
      <c r="B48" s="40">
        <f t="shared" si="6"/>
        <v>44608</v>
      </c>
      <c r="C48" s="41">
        <v>2.0</v>
      </c>
      <c r="D48" s="41" t="s">
        <v>34</v>
      </c>
      <c r="E48" s="43" t="s">
        <v>37</v>
      </c>
      <c r="F48" s="26">
        <v>100.0</v>
      </c>
      <c r="H48" s="27">
        <v>100.0</v>
      </c>
      <c r="J48" s="27">
        <v>0.0</v>
      </c>
      <c r="L48" s="27"/>
      <c r="N48" s="27"/>
      <c r="P48" s="27"/>
      <c r="Q48" s="29"/>
      <c r="R48" s="26">
        <v>75.0</v>
      </c>
      <c r="T48" s="27">
        <v>75.0</v>
      </c>
      <c r="V48" s="27">
        <v>0.0</v>
      </c>
      <c r="X48" s="27">
        <v>0.0</v>
      </c>
      <c r="Z48" s="27">
        <v>0.0</v>
      </c>
      <c r="AB48" s="27">
        <v>0.0</v>
      </c>
      <c r="AC48" s="29"/>
      <c r="AD48" s="26"/>
      <c r="AF48" s="27"/>
      <c r="AH48" s="27"/>
      <c r="AJ48" s="27"/>
      <c r="AL48" s="27"/>
      <c r="AN48" s="27"/>
      <c r="AO48" s="29"/>
      <c r="AP48" s="45">
        <f t="shared" si="1"/>
        <v>9350</v>
      </c>
      <c r="AQ48" s="41">
        <f t="shared" si="2"/>
        <v>350</v>
      </c>
      <c r="AR48" s="41">
        <f t="shared" si="3"/>
        <v>0</v>
      </c>
      <c r="AS48" s="41">
        <f t="shared" si="4"/>
        <v>350</v>
      </c>
      <c r="AT48" s="46">
        <f t="shared" si="5"/>
        <v>26.71428571</v>
      </c>
      <c r="AU48" s="37"/>
      <c r="AV48" s="37"/>
      <c r="AW48" s="37"/>
    </row>
    <row r="49" ht="15.75" customHeight="1">
      <c r="A49" s="39" t="s">
        <v>30</v>
      </c>
      <c r="B49" s="40">
        <f t="shared" si="6"/>
        <v>44609</v>
      </c>
      <c r="C49" s="41">
        <v>2.0</v>
      </c>
      <c r="D49" s="41" t="s">
        <v>34</v>
      </c>
      <c r="E49" s="43" t="s">
        <v>37</v>
      </c>
      <c r="F49" s="26">
        <v>100.0</v>
      </c>
      <c r="H49" s="27">
        <v>100.0</v>
      </c>
      <c r="J49" s="27">
        <v>0.0</v>
      </c>
      <c r="L49" s="27"/>
      <c r="N49" s="27"/>
      <c r="P49" s="27"/>
      <c r="Q49" s="29"/>
      <c r="R49" s="26">
        <v>75.0</v>
      </c>
      <c r="T49" s="27">
        <v>75.0</v>
      </c>
      <c r="V49" s="27">
        <v>0.0</v>
      </c>
      <c r="X49" s="27">
        <v>0.0</v>
      </c>
      <c r="Z49" s="27">
        <v>0.0</v>
      </c>
      <c r="AB49" s="27">
        <v>0.0</v>
      </c>
      <c r="AC49" s="29"/>
      <c r="AD49" s="26"/>
      <c r="AF49" s="27"/>
      <c r="AH49" s="27"/>
      <c r="AJ49" s="27"/>
      <c r="AL49" s="27"/>
      <c r="AN49" s="27"/>
      <c r="AO49" s="29"/>
      <c r="AP49" s="45">
        <f t="shared" si="1"/>
        <v>9350</v>
      </c>
      <c r="AQ49" s="41">
        <f t="shared" si="2"/>
        <v>350</v>
      </c>
      <c r="AR49" s="41">
        <f t="shared" si="3"/>
        <v>0</v>
      </c>
      <c r="AS49" s="41">
        <f t="shared" si="4"/>
        <v>350</v>
      </c>
      <c r="AT49" s="46">
        <f t="shared" si="5"/>
        <v>26.71428571</v>
      </c>
      <c r="AU49" s="37"/>
      <c r="AV49" s="37"/>
      <c r="AW49" s="37"/>
    </row>
    <row r="50" ht="15.75" customHeight="1">
      <c r="A50" s="39" t="s">
        <v>31</v>
      </c>
      <c r="B50" s="40">
        <f t="shared" si="6"/>
        <v>44610</v>
      </c>
      <c r="C50" s="41">
        <v>2.0</v>
      </c>
      <c r="D50" s="41" t="s">
        <v>34</v>
      </c>
      <c r="E50" s="43" t="s">
        <v>37</v>
      </c>
      <c r="F50" s="26">
        <v>100.0</v>
      </c>
      <c r="H50" s="27">
        <v>100.0</v>
      </c>
      <c r="J50" s="27">
        <v>0.0</v>
      </c>
      <c r="L50" s="27"/>
      <c r="N50" s="27"/>
      <c r="P50" s="27"/>
      <c r="Q50" s="29"/>
      <c r="R50" s="26">
        <v>75.0</v>
      </c>
      <c r="T50" s="27">
        <v>75.0</v>
      </c>
      <c r="V50" s="27">
        <v>0.0</v>
      </c>
      <c r="X50" s="27">
        <v>0.0</v>
      </c>
      <c r="Z50" s="27">
        <v>0.0</v>
      </c>
      <c r="AB50" s="27">
        <v>0.0</v>
      </c>
      <c r="AC50" s="29"/>
      <c r="AD50" s="26"/>
      <c r="AF50" s="27"/>
      <c r="AH50" s="27"/>
      <c r="AJ50" s="27"/>
      <c r="AL50" s="27"/>
      <c r="AN50" s="27"/>
      <c r="AO50" s="29"/>
      <c r="AP50" s="45">
        <f t="shared" si="1"/>
        <v>9350</v>
      </c>
      <c r="AQ50" s="41">
        <f t="shared" si="2"/>
        <v>350</v>
      </c>
      <c r="AR50" s="41">
        <f t="shared" si="3"/>
        <v>0</v>
      </c>
      <c r="AS50" s="41">
        <f t="shared" si="4"/>
        <v>350</v>
      </c>
      <c r="AT50" s="46">
        <f t="shared" si="5"/>
        <v>26.71428571</v>
      </c>
      <c r="AU50" s="37"/>
      <c r="AV50" s="37"/>
      <c r="AW50" s="37"/>
    </row>
    <row r="51" ht="15.75" customHeight="1">
      <c r="A51" s="49" t="s">
        <v>32</v>
      </c>
      <c r="B51" s="50">
        <f t="shared" si="6"/>
        <v>44611</v>
      </c>
      <c r="C51" s="51">
        <v>2.0</v>
      </c>
      <c r="D51" s="51" t="s">
        <v>34</v>
      </c>
      <c r="E51" s="53" t="s">
        <v>37</v>
      </c>
      <c r="F51" s="54">
        <v>100.0</v>
      </c>
      <c r="G51" s="55"/>
      <c r="H51" s="56">
        <v>100.0</v>
      </c>
      <c r="I51" s="55"/>
      <c r="J51" s="56">
        <v>0.0</v>
      </c>
      <c r="K51" s="55"/>
      <c r="L51" s="56"/>
      <c r="M51" s="55"/>
      <c r="N51" s="56"/>
      <c r="O51" s="55"/>
      <c r="P51" s="56"/>
      <c r="Q51" s="58"/>
      <c r="R51" s="54">
        <v>75.0</v>
      </c>
      <c r="S51" s="55"/>
      <c r="T51" s="56">
        <v>75.0</v>
      </c>
      <c r="U51" s="55"/>
      <c r="V51" s="56">
        <v>0.0</v>
      </c>
      <c r="W51" s="55"/>
      <c r="X51" s="56">
        <v>0.0</v>
      </c>
      <c r="Y51" s="55"/>
      <c r="Z51" s="56">
        <v>0.0</v>
      </c>
      <c r="AA51" s="55"/>
      <c r="AB51" s="56">
        <v>0.0</v>
      </c>
      <c r="AC51" s="58"/>
      <c r="AD51" s="54"/>
      <c r="AE51" s="55"/>
      <c r="AF51" s="56"/>
      <c r="AG51" s="55"/>
      <c r="AH51" s="56"/>
      <c r="AI51" s="55"/>
      <c r="AJ51" s="56"/>
      <c r="AK51" s="55"/>
      <c r="AL51" s="56"/>
      <c r="AM51" s="55"/>
      <c r="AN51" s="56"/>
      <c r="AO51" s="58"/>
      <c r="AP51" s="60">
        <f t="shared" si="1"/>
        <v>9350</v>
      </c>
      <c r="AQ51" s="51">
        <f t="shared" si="2"/>
        <v>350</v>
      </c>
      <c r="AR51" s="51">
        <f t="shared" si="3"/>
        <v>0</v>
      </c>
      <c r="AS51" s="51">
        <f t="shared" si="4"/>
        <v>350</v>
      </c>
      <c r="AT51" s="61">
        <f t="shared" si="5"/>
        <v>26.71428571</v>
      </c>
      <c r="AU51" s="37"/>
      <c r="AV51" s="37"/>
      <c r="AW51" s="37"/>
    </row>
    <row r="52" ht="15.75" customHeight="1">
      <c r="A52" s="21" t="s">
        <v>24</v>
      </c>
      <c r="B52" s="62">
        <f t="shared" si="6"/>
        <v>44612</v>
      </c>
      <c r="C52" s="23">
        <v>2.0</v>
      </c>
      <c r="D52" s="23" t="s">
        <v>35</v>
      </c>
      <c r="E52" s="63" t="s">
        <v>37</v>
      </c>
      <c r="F52" s="28">
        <v>150.0</v>
      </c>
      <c r="H52" s="32">
        <v>150.0</v>
      </c>
      <c r="J52" s="27">
        <v>0.0</v>
      </c>
      <c r="L52" s="27"/>
      <c r="N52" s="27"/>
      <c r="P52" s="27"/>
      <c r="Q52" s="29"/>
      <c r="R52" s="26">
        <v>100.0</v>
      </c>
      <c r="T52" s="27">
        <v>100.0</v>
      </c>
      <c r="V52" s="27">
        <v>0.0</v>
      </c>
      <c r="X52" s="27">
        <v>0.0</v>
      </c>
      <c r="Z52" s="27">
        <v>0.0</v>
      </c>
      <c r="AB52" s="27">
        <v>0.0</v>
      </c>
      <c r="AC52" s="29"/>
      <c r="AD52" s="26"/>
      <c r="AF52" s="27"/>
      <c r="AH52" s="27"/>
      <c r="AJ52" s="27"/>
      <c r="AL52" s="27"/>
      <c r="AN52" s="27"/>
      <c r="AO52" s="29"/>
      <c r="AP52" s="35">
        <f t="shared" si="1"/>
        <v>13600</v>
      </c>
      <c r="AQ52" s="23">
        <f t="shared" si="2"/>
        <v>500</v>
      </c>
      <c r="AR52" s="23">
        <f t="shared" si="3"/>
        <v>0</v>
      </c>
      <c r="AS52" s="23">
        <f t="shared" si="4"/>
        <v>500</v>
      </c>
      <c r="AT52" s="36">
        <f t="shared" si="5"/>
        <v>27.2</v>
      </c>
      <c r="AU52" s="37"/>
      <c r="AV52" s="37"/>
      <c r="AW52" s="37"/>
    </row>
    <row r="53" ht="15.75" customHeight="1">
      <c r="A53" s="39" t="s">
        <v>27</v>
      </c>
      <c r="B53" s="40">
        <f t="shared" si="6"/>
        <v>44613</v>
      </c>
      <c r="C53" s="41">
        <v>2.0</v>
      </c>
      <c r="D53" s="41" t="s">
        <v>35</v>
      </c>
      <c r="E53" s="43" t="s">
        <v>37</v>
      </c>
      <c r="F53" s="28">
        <v>150.0</v>
      </c>
      <c r="H53" s="32">
        <v>150.0</v>
      </c>
      <c r="J53" s="27">
        <v>0.0</v>
      </c>
      <c r="L53" s="27"/>
      <c r="N53" s="27"/>
      <c r="P53" s="27"/>
      <c r="Q53" s="29"/>
      <c r="R53" s="26">
        <v>100.0</v>
      </c>
      <c r="T53" s="27">
        <v>100.0</v>
      </c>
      <c r="V53" s="27">
        <v>0.0</v>
      </c>
      <c r="X53" s="27">
        <v>0.0</v>
      </c>
      <c r="Z53" s="27">
        <v>0.0</v>
      </c>
      <c r="AB53" s="27">
        <v>0.0</v>
      </c>
      <c r="AC53" s="29"/>
      <c r="AD53" s="26"/>
      <c r="AF53" s="27"/>
      <c r="AH53" s="27"/>
      <c r="AJ53" s="27"/>
      <c r="AL53" s="27"/>
      <c r="AN53" s="27"/>
      <c r="AO53" s="29"/>
      <c r="AP53" s="45">
        <f t="shared" si="1"/>
        <v>13600</v>
      </c>
      <c r="AQ53" s="41">
        <f t="shared" si="2"/>
        <v>500</v>
      </c>
      <c r="AR53" s="41">
        <f t="shared" si="3"/>
        <v>0</v>
      </c>
      <c r="AS53" s="41">
        <f t="shared" si="4"/>
        <v>500</v>
      </c>
      <c r="AT53" s="46">
        <f t="shared" si="5"/>
        <v>27.2</v>
      </c>
      <c r="AU53" s="37"/>
      <c r="AV53" s="37"/>
      <c r="AW53" s="37"/>
    </row>
    <row r="54" ht="15.75" customHeight="1">
      <c r="A54" s="39" t="s">
        <v>28</v>
      </c>
      <c r="B54" s="40">
        <f t="shared" si="6"/>
        <v>44614</v>
      </c>
      <c r="C54" s="41">
        <v>2.0</v>
      </c>
      <c r="D54" s="41" t="s">
        <v>35</v>
      </c>
      <c r="E54" s="43" t="s">
        <v>37</v>
      </c>
      <c r="F54" s="28">
        <v>150.0</v>
      </c>
      <c r="H54" s="32">
        <v>150.0</v>
      </c>
      <c r="J54" s="27">
        <v>0.0</v>
      </c>
      <c r="L54" s="27"/>
      <c r="N54" s="27"/>
      <c r="P54" s="27"/>
      <c r="Q54" s="29"/>
      <c r="R54" s="26">
        <v>100.0</v>
      </c>
      <c r="T54" s="27">
        <v>100.0</v>
      </c>
      <c r="V54" s="27">
        <v>0.0</v>
      </c>
      <c r="X54" s="27">
        <v>0.0</v>
      </c>
      <c r="Z54" s="27">
        <v>0.0</v>
      </c>
      <c r="AB54" s="27">
        <v>0.0</v>
      </c>
      <c r="AC54" s="29"/>
      <c r="AD54" s="26"/>
      <c r="AF54" s="27"/>
      <c r="AH54" s="27"/>
      <c r="AJ54" s="27"/>
      <c r="AL54" s="27"/>
      <c r="AN54" s="27"/>
      <c r="AO54" s="29"/>
      <c r="AP54" s="45">
        <f t="shared" si="1"/>
        <v>13600</v>
      </c>
      <c r="AQ54" s="41">
        <f t="shared" si="2"/>
        <v>500</v>
      </c>
      <c r="AR54" s="41">
        <f t="shared" si="3"/>
        <v>0</v>
      </c>
      <c r="AS54" s="41">
        <f t="shared" si="4"/>
        <v>500</v>
      </c>
      <c r="AT54" s="46">
        <f t="shared" si="5"/>
        <v>27.2</v>
      </c>
      <c r="AU54" s="37"/>
      <c r="AV54" s="37"/>
      <c r="AW54" s="37"/>
    </row>
    <row r="55" ht="15.75" customHeight="1">
      <c r="A55" s="39" t="s">
        <v>29</v>
      </c>
      <c r="B55" s="40">
        <f t="shared" si="6"/>
        <v>44615</v>
      </c>
      <c r="C55" s="41">
        <v>2.0</v>
      </c>
      <c r="D55" s="41" t="s">
        <v>35</v>
      </c>
      <c r="E55" s="43" t="s">
        <v>37</v>
      </c>
      <c r="F55" s="28">
        <v>150.0</v>
      </c>
      <c r="H55" s="32">
        <v>150.0</v>
      </c>
      <c r="J55" s="27">
        <v>0.0</v>
      </c>
      <c r="L55" s="27"/>
      <c r="N55" s="27"/>
      <c r="P55" s="27"/>
      <c r="Q55" s="29"/>
      <c r="R55" s="26">
        <v>100.0</v>
      </c>
      <c r="T55" s="27">
        <v>100.0</v>
      </c>
      <c r="V55" s="27">
        <v>0.0</v>
      </c>
      <c r="X55" s="27">
        <v>0.0</v>
      </c>
      <c r="Z55" s="27">
        <v>0.0</v>
      </c>
      <c r="AB55" s="27">
        <v>0.0</v>
      </c>
      <c r="AC55" s="29"/>
      <c r="AD55" s="26"/>
      <c r="AF55" s="27"/>
      <c r="AH55" s="27"/>
      <c r="AJ55" s="27"/>
      <c r="AL55" s="27"/>
      <c r="AN55" s="27"/>
      <c r="AO55" s="29"/>
      <c r="AP55" s="45">
        <f t="shared" si="1"/>
        <v>13600</v>
      </c>
      <c r="AQ55" s="41">
        <f t="shared" si="2"/>
        <v>500</v>
      </c>
      <c r="AR55" s="41">
        <f t="shared" si="3"/>
        <v>0</v>
      </c>
      <c r="AS55" s="41">
        <f t="shared" si="4"/>
        <v>500</v>
      </c>
      <c r="AT55" s="46">
        <f t="shared" si="5"/>
        <v>27.2</v>
      </c>
      <c r="AU55" s="37"/>
      <c r="AV55" s="37"/>
      <c r="AW55" s="37"/>
    </row>
    <row r="56" ht="15.75" customHeight="1">
      <c r="A56" s="39" t="s">
        <v>30</v>
      </c>
      <c r="B56" s="40">
        <f t="shared" si="6"/>
        <v>44616</v>
      </c>
      <c r="C56" s="41">
        <v>2.0</v>
      </c>
      <c r="D56" s="41" t="s">
        <v>35</v>
      </c>
      <c r="E56" s="43" t="s">
        <v>37</v>
      </c>
      <c r="F56" s="28">
        <v>150.0</v>
      </c>
      <c r="H56" s="32">
        <v>150.0</v>
      </c>
      <c r="J56" s="27">
        <v>0.0</v>
      </c>
      <c r="L56" s="27"/>
      <c r="N56" s="27"/>
      <c r="P56" s="27"/>
      <c r="Q56" s="29"/>
      <c r="R56" s="26">
        <v>100.0</v>
      </c>
      <c r="T56" s="27">
        <v>100.0</v>
      </c>
      <c r="V56" s="27">
        <v>0.0</v>
      </c>
      <c r="X56" s="27">
        <v>0.0</v>
      </c>
      <c r="Z56" s="27">
        <v>0.0</v>
      </c>
      <c r="AB56" s="27">
        <v>0.0</v>
      </c>
      <c r="AC56" s="29"/>
      <c r="AD56" s="26"/>
      <c r="AF56" s="27"/>
      <c r="AH56" s="27"/>
      <c r="AJ56" s="27"/>
      <c r="AL56" s="27"/>
      <c r="AN56" s="27"/>
      <c r="AO56" s="29"/>
      <c r="AP56" s="45">
        <f t="shared" si="1"/>
        <v>13600</v>
      </c>
      <c r="AQ56" s="41">
        <f t="shared" si="2"/>
        <v>500</v>
      </c>
      <c r="AR56" s="41">
        <f t="shared" si="3"/>
        <v>0</v>
      </c>
      <c r="AS56" s="41">
        <f t="shared" si="4"/>
        <v>500</v>
      </c>
      <c r="AT56" s="46">
        <f t="shared" si="5"/>
        <v>27.2</v>
      </c>
      <c r="AU56" s="37"/>
      <c r="AV56" s="37"/>
      <c r="AW56" s="37"/>
    </row>
    <row r="57" ht="15.75" customHeight="1">
      <c r="A57" s="39" t="s">
        <v>31</v>
      </c>
      <c r="B57" s="40">
        <f t="shared" si="6"/>
        <v>44617</v>
      </c>
      <c r="C57" s="41">
        <v>2.0</v>
      </c>
      <c r="D57" s="41" t="s">
        <v>35</v>
      </c>
      <c r="E57" s="43" t="s">
        <v>37</v>
      </c>
      <c r="F57" s="28">
        <v>150.0</v>
      </c>
      <c r="H57" s="32">
        <v>150.0</v>
      </c>
      <c r="J57" s="27">
        <v>0.0</v>
      </c>
      <c r="L57" s="27"/>
      <c r="N57" s="27"/>
      <c r="P57" s="27"/>
      <c r="Q57" s="29"/>
      <c r="R57" s="26">
        <v>100.0</v>
      </c>
      <c r="T57" s="27">
        <v>100.0</v>
      </c>
      <c r="V57" s="27">
        <v>0.0</v>
      </c>
      <c r="X57" s="27">
        <v>0.0</v>
      </c>
      <c r="Z57" s="27">
        <v>0.0</v>
      </c>
      <c r="AB57" s="27">
        <v>0.0</v>
      </c>
      <c r="AC57" s="29"/>
      <c r="AD57" s="26"/>
      <c r="AF57" s="27"/>
      <c r="AH57" s="27"/>
      <c r="AJ57" s="27"/>
      <c r="AL57" s="27"/>
      <c r="AN57" s="27"/>
      <c r="AO57" s="29"/>
      <c r="AP57" s="45">
        <f t="shared" si="1"/>
        <v>13600</v>
      </c>
      <c r="AQ57" s="41">
        <f t="shared" si="2"/>
        <v>500</v>
      </c>
      <c r="AR57" s="41">
        <f t="shared" si="3"/>
        <v>0</v>
      </c>
      <c r="AS57" s="41">
        <f t="shared" si="4"/>
        <v>500</v>
      </c>
      <c r="AT57" s="46">
        <f t="shared" si="5"/>
        <v>27.2</v>
      </c>
      <c r="AU57" s="37"/>
      <c r="AV57" s="37"/>
      <c r="AW57" s="37"/>
    </row>
    <row r="58" ht="15.75" customHeight="1">
      <c r="A58" s="49" t="s">
        <v>32</v>
      </c>
      <c r="B58" s="50">
        <f t="shared" si="6"/>
        <v>44618</v>
      </c>
      <c r="C58" s="51">
        <v>2.0</v>
      </c>
      <c r="D58" s="51" t="s">
        <v>35</v>
      </c>
      <c r="E58" s="53" t="s">
        <v>37</v>
      </c>
      <c r="F58" s="57">
        <v>150.0</v>
      </c>
      <c r="G58" s="55"/>
      <c r="H58" s="59">
        <v>150.0</v>
      </c>
      <c r="I58" s="55"/>
      <c r="J58" s="56">
        <v>0.0</v>
      </c>
      <c r="K58" s="55"/>
      <c r="L58" s="56"/>
      <c r="M58" s="55"/>
      <c r="N58" s="56"/>
      <c r="O58" s="55"/>
      <c r="P58" s="56"/>
      <c r="Q58" s="58"/>
      <c r="R58" s="54">
        <v>100.0</v>
      </c>
      <c r="S58" s="55"/>
      <c r="T58" s="56">
        <v>100.0</v>
      </c>
      <c r="U58" s="55"/>
      <c r="V58" s="56">
        <v>0.0</v>
      </c>
      <c r="W58" s="55"/>
      <c r="X58" s="56">
        <v>0.0</v>
      </c>
      <c r="Y58" s="55"/>
      <c r="Z58" s="56">
        <v>0.0</v>
      </c>
      <c r="AA58" s="55"/>
      <c r="AB58" s="56">
        <v>0.0</v>
      </c>
      <c r="AC58" s="58"/>
      <c r="AD58" s="54"/>
      <c r="AE58" s="55"/>
      <c r="AF58" s="56"/>
      <c r="AG58" s="55"/>
      <c r="AH58" s="56"/>
      <c r="AI58" s="55"/>
      <c r="AJ58" s="56"/>
      <c r="AK58" s="55"/>
      <c r="AL58" s="56"/>
      <c r="AM58" s="55"/>
      <c r="AN58" s="56"/>
      <c r="AO58" s="58"/>
      <c r="AP58" s="60">
        <f t="shared" si="1"/>
        <v>13600</v>
      </c>
      <c r="AQ58" s="51">
        <f t="shared" si="2"/>
        <v>500</v>
      </c>
      <c r="AR58" s="51">
        <f t="shared" si="3"/>
        <v>0</v>
      </c>
      <c r="AS58" s="51">
        <f t="shared" si="4"/>
        <v>500</v>
      </c>
      <c r="AT58" s="61">
        <f t="shared" si="5"/>
        <v>27.2</v>
      </c>
      <c r="AU58" s="37"/>
      <c r="AV58" s="37"/>
      <c r="AW58" s="37"/>
    </row>
    <row r="59" ht="15.75" customHeight="1">
      <c r="A59" s="21" t="s">
        <v>24</v>
      </c>
      <c r="B59" s="62">
        <f t="shared" si="6"/>
        <v>44619</v>
      </c>
      <c r="C59" s="23">
        <v>3.0</v>
      </c>
      <c r="D59" s="23" t="s">
        <v>25</v>
      </c>
      <c r="E59" s="63" t="s">
        <v>37</v>
      </c>
      <c r="F59" s="28">
        <v>150.0</v>
      </c>
      <c r="H59" s="32">
        <v>150.0</v>
      </c>
      <c r="J59" s="27">
        <v>0.0</v>
      </c>
      <c r="L59" s="27"/>
      <c r="N59" s="27"/>
      <c r="P59" s="27"/>
      <c r="Q59" s="29"/>
      <c r="R59" s="26">
        <v>150.0</v>
      </c>
      <c r="T59" s="27">
        <v>150.0</v>
      </c>
      <c r="V59" s="27">
        <v>0.0</v>
      </c>
      <c r="X59" s="27">
        <v>0.0</v>
      </c>
      <c r="Z59" s="27">
        <v>0.0</v>
      </c>
      <c r="AB59" s="27">
        <v>0.0</v>
      </c>
      <c r="AC59" s="29"/>
      <c r="AD59" s="26"/>
      <c r="AF59" s="27"/>
      <c r="AH59" s="27"/>
      <c r="AJ59" s="27"/>
      <c r="AL59" s="27"/>
      <c r="AN59" s="27"/>
      <c r="AO59" s="29"/>
      <c r="AP59" s="35">
        <f t="shared" si="1"/>
        <v>15300</v>
      </c>
      <c r="AQ59" s="23">
        <f t="shared" si="2"/>
        <v>600</v>
      </c>
      <c r="AR59" s="23">
        <f t="shared" si="3"/>
        <v>0</v>
      </c>
      <c r="AS59" s="23">
        <f t="shared" si="4"/>
        <v>600</v>
      </c>
      <c r="AT59" s="36">
        <f t="shared" si="5"/>
        <v>25.5</v>
      </c>
      <c r="AU59" s="37"/>
      <c r="AV59" s="37"/>
      <c r="AW59" s="37"/>
    </row>
    <row r="60" ht="15.75" customHeight="1">
      <c r="A60" s="39" t="s">
        <v>27</v>
      </c>
      <c r="B60" s="40">
        <f t="shared" si="6"/>
        <v>44620</v>
      </c>
      <c r="C60" s="41">
        <v>3.0</v>
      </c>
      <c r="D60" s="41" t="s">
        <v>25</v>
      </c>
      <c r="E60" s="43" t="s">
        <v>37</v>
      </c>
      <c r="F60" s="28">
        <v>150.0</v>
      </c>
      <c r="H60" s="32">
        <v>150.0</v>
      </c>
      <c r="J60" s="27">
        <v>0.0</v>
      </c>
      <c r="L60" s="27"/>
      <c r="N60" s="27"/>
      <c r="P60" s="27"/>
      <c r="Q60" s="29"/>
      <c r="R60" s="26">
        <v>150.0</v>
      </c>
      <c r="T60" s="27">
        <v>150.0</v>
      </c>
      <c r="V60" s="27">
        <v>0.0</v>
      </c>
      <c r="X60" s="27">
        <v>0.0</v>
      </c>
      <c r="Z60" s="27">
        <v>0.0</v>
      </c>
      <c r="AB60" s="27">
        <v>0.0</v>
      </c>
      <c r="AC60" s="29"/>
      <c r="AD60" s="26"/>
      <c r="AF60" s="27"/>
      <c r="AH60" s="27"/>
      <c r="AJ60" s="27"/>
      <c r="AL60" s="27"/>
      <c r="AN60" s="27"/>
      <c r="AO60" s="29"/>
      <c r="AP60" s="45">
        <f t="shared" si="1"/>
        <v>15300</v>
      </c>
      <c r="AQ60" s="41">
        <f t="shared" si="2"/>
        <v>600</v>
      </c>
      <c r="AR60" s="41">
        <f t="shared" si="3"/>
        <v>0</v>
      </c>
      <c r="AS60" s="41">
        <f t="shared" si="4"/>
        <v>600</v>
      </c>
      <c r="AT60" s="46">
        <f t="shared" si="5"/>
        <v>25.5</v>
      </c>
      <c r="AU60" s="37"/>
      <c r="AV60" s="37"/>
      <c r="AW60" s="37"/>
    </row>
    <row r="61" ht="15.75" customHeight="1">
      <c r="A61" s="39" t="s">
        <v>28</v>
      </c>
      <c r="B61" s="40">
        <f t="shared" si="6"/>
        <v>44621</v>
      </c>
      <c r="C61" s="41">
        <v>3.0</v>
      </c>
      <c r="D61" s="41" t="s">
        <v>25</v>
      </c>
      <c r="E61" s="43" t="s">
        <v>37</v>
      </c>
      <c r="F61" s="28">
        <v>150.0</v>
      </c>
      <c r="H61" s="32">
        <v>150.0</v>
      </c>
      <c r="J61" s="27">
        <v>0.0</v>
      </c>
      <c r="L61" s="27"/>
      <c r="N61" s="27"/>
      <c r="P61" s="27"/>
      <c r="Q61" s="29"/>
      <c r="R61" s="26">
        <v>150.0</v>
      </c>
      <c r="T61" s="27">
        <v>150.0</v>
      </c>
      <c r="V61" s="27">
        <v>0.0</v>
      </c>
      <c r="X61" s="27">
        <v>0.0</v>
      </c>
      <c r="Z61" s="27">
        <v>0.0</v>
      </c>
      <c r="AB61" s="27">
        <v>0.0</v>
      </c>
      <c r="AC61" s="29"/>
      <c r="AD61" s="26"/>
      <c r="AF61" s="27"/>
      <c r="AH61" s="27"/>
      <c r="AJ61" s="27"/>
      <c r="AL61" s="27"/>
      <c r="AN61" s="27"/>
      <c r="AO61" s="29"/>
      <c r="AP61" s="45">
        <f t="shared" si="1"/>
        <v>15300</v>
      </c>
      <c r="AQ61" s="41">
        <f t="shared" si="2"/>
        <v>600</v>
      </c>
      <c r="AR61" s="41">
        <f t="shared" si="3"/>
        <v>0</v>
      </c>
      <c r="AS61" s="41">
        <f t="shared" si="4"/>
        <v>600</v>
      </c>
      <c r="AT61" s="46">
        <f t="shared" si="5"/>
        <v>25.5</v>
      </c>
      <c r="AU61" s="37"/>
      <c r="AV61" s="37"/>
      <c r="AW61" s="37"/>
    </row>
    <row r="62" ht="15.75" customHeight="1">
      <c r="A62" s="39" t="s">
        <v>29</v>
      </c>
      <c r="B62" s="40">
        <f t="shared" si="6"/>
        <v>44622</v>
      </c>
      <c r="C62" s="41">
        <v>3.0</v>
      </c>
      <c r="D62" s="41" t="s">
        <v>25</v>
      </c>
      <c r="E62" s="43" t="s">
        <v>37</v>
      </c>
      <c r="F62" s="28">
        <v>150.0</v>
      </c>
      <c r="H62" s="32">
        <v>150.0</v>
      </c>
      <c r="J62" s="27">
        <v>0.0</v>
      </c>
      <c r="L62" s="27"/>
      <c r="N62" s="27"/>
      <c r="P62" s="27"/>
      <c r="Q62" s="29"/>
      <c r="R62" s="26">
        <v>150.0</v>
      </c>
      <c r="T62" s="27">
        <v>150.0</v>
      </c>
      <c r="V62" s="27">
        <v>0.0</v>
      </c>
      <c r="X62" s="27">
        <v>0.0</v>
      </c>
      <c r="Z62" s="27">
        <v>0.0</v>
      </c>
      <c r="AB62" s="27">
        <v>0.0</v>
      </c>
      <c r="AC62" s="29"/>
      <c r="AD62" s="26"/>
      <c r="AF62" s="27"/>
      <c r="AH62" s="27"/>
      <c r="AJ62" s="27"/>
      <c r="AL62" s="27"/>
      <c r="AN62" s="27"/>
      <c r="AO62" s="29"/>
      <c r="AP62" s="45">
        <f t="shared" si="1"/>
        <v>15300</v>
      </c>
      <c r="AQ62" s="41">
        <f t="shared" si="2"/>
        <v>600</v>
      </c>
      <c r="AR62" s="41">
        <f t="shared" si="3"/>
        <v>0</v>
      </c>
      <c r="AS62" s="41">
        <f t="shared" si="4"/>
        <v>600</v>
      </c>
      <c r="AT62" s="46">
        <f t="shared" si="5"/>
        <v>25.5</v>
      </c>
      <c r="AU62" s="37"/>
      <c r="AV62" s="37"/>
      <c r="AW62" s="37"/>
    </row>
    <row r="63" ht="15.75" customHeight="1">
      <c r="A63" s="39" t="s">
        <v>30</v>
      </c>
      <c r="B63" s="40">
        <f t="shared" si="6"/>
        <v>44623</v>
      </c>
      <c r="C63" s="41">
        <v>3.0</v>
      </c>
      <c r="D63" s="41" t="s">
        <v>25</v>
      </c>
      <c r="E63" s="43" t="s">
        <v>37</v>
      </c>
      <c r="F63" s="28">
        <v>150.0</v>
      </c>
      <c r="H63" s="32">
        <v>150.0</v>
      </c>
      <c r="J63" s="27">
        <v>0.0</v>
      </c>
      <c r="L63" s="27"/>
      <c r="N63" s="27"/>
      <c r="P63" s="27"/>
      <c r="Q63" s="29"/>
      <c r="R63" s="26">
        <v>150.0</v>
      </c>
      <c r="T63" s="27">
        <v>150.0</v>
      </c>
      <c r="V63" s="27">
        <v>0.0</v>
      </c>
      <c r="X63" s="27">
        <v>0.0</v>
      </c>
      <c r="Z63" s="27">
        <v>0.0</v>
      </c>
      <c r="AB63" s="27">
        <v>0.0</v>
      </c>
      <c r="AC63" s="29"/>
      <c r="AD63" s="26"/>
      <c r="AF63" s="27"/>
      <c r="AH63" s="27"/>
      <c r="AJ63" s="27"/>
      <c r="AL63" s="27"/>
      <c r="AN63" s="27"/>
      <c r="AO63" s="29"/>
      <c r="AP63" s="45">
        <f t="shared" si="1"/>
        <v>15300</v>
      </c>
      <c r="AQ63" s="41">
        <f t="shared" si="2"/>
        <v>600</v>
      </c>
      <c r="AR63" s="41">
        <f t="shared" si="3"/>
        <v>0</v>
      </c>
      <c r="AS63" s="41">
        <f t="shared" si="4"/>
        <v>600</v>
      </c>
      <c r="AT63" s="46">
        <f t="shared" si="5"/>
        <v>25.5</v>
      </c>
      <c r="AU63" s="37"/>
      <c r="AV63" s="37"/>
      <c r="AW63" s="37"/>
    </row>
    <row r="64" ht="15.75" customHeight="1">
      <c r="A64" s="39" t="s">
        <v>31</v>
      </c>
      <c r="B64" s="40">
        <f t="shared" si="6"/>
        <v>44624</v>
      </c>
      <c r="C64" s="41">
        <v>3.0</v>
      </c>
      <c r="D64" s="41" t="s">
        <v>25</v>
      </c>
      <c r="E64" s="43" t="s">
        <v>37</v>
      </c>
      <c r="F64" s="28">
        <v>150.0</v>
      </c>
      <c r="H64" s="32">
        <v>150.0</v>
      </c>
      <c r="J64" s="27">
        <v>0.0</v>
      </c>
      <c r="L64" s="27"/>
      <c r="N64" s="27"/>
      <c r="P64" s="27"/>
      <c r="Q64" s="29"/>
      <c r="R64" s="26">
        <v>150.0</v>
      </c>
      <c r="T64" s="27">
        <v>150.0</v>
      </c>
      <c r="V64" s="27">
        <v>0.0</v>
      </c>
      <c r="X64" s="27">
        <v>0.0</v>
      </c>
      <c r="Z64" s="27">
        <v>0.0</v>
      </c>
      <c r="AB64" s="27">
        <v>0.0</v>
      </c>
      <c r="AC64" s="29"/>
      <c r="AD64" s="26"/>
      <c r="AF64" s="27"/>
      <c r="AH64" s="27"/>
      <c r="AJ64" s="27"/>
      <c r="AL64" s="27"/>
      <c r="AN64" s="27"/>
      <c r="AO64" s="29"/>
      <c r="AP64" s="45">
        <f t="shared" si="1"/>
        <v>15300</v>
      </c>
      <c r="AQ64" s="41">
        <f t="shared" si="2"/>
        <v>600</v>
      </c>
      <c r="AR64" s="41">
        <f t="shared" si="3"/>
        <v>0</v>
      </c>
      <c r="AS64" s="41">
        <f t="shared" si="4"/>
        <v>600</v>
      </c>
      <c r="AT64" s="46">
        <f t="shared" si="5"/>
        <v>25.5</v>
      </c>
      <c r="AU64" s="37"/>
      <c r="AV64" s="37"/>
      <c r="AW64" s="37"/>
    </row>
    <row r="65" ht="15.75" customHeight="1">
      <c r="A65" s="49" t="s">
        <v>32</v>
      </c>
      <c r="B65" s="50">
        <f t="shared" si="6"/>
        <v>44625</v>
      </c>
      <c r="C65" s="51">
        <v>3.0</v>
      </c>
      <c r="D65" s="51" t="s">
        <v>25</v>
      </c>
      <c r="E65" s="53" t="s">
        <v>37</v>
      </c>
      <c r="F65" s="57">
        <v>150.0</v>
      </c>
      <c r="G65" s="55"/>
      <c r="H65" s="59">
        <v>150.0</v>
      </c>
      <c r="I65" s="55"/>
      <c r="J65" s="56">
        <v>0.0</v>
      </c>
      <c r="K65" s="55"/>
      <c r="L65" s="56"/>
      <c r="M65" s="55"/>
      <c r="N65" s="56"/>
      <c r="O65" s="55"/>
      <c r="P65" s="56"/>
      <c r="Q65" s="58"/>
      <c r="R65" s="54">
        <v>150.0</v>
      </c>
      <c r="S65" s="55"/>
      <c r="T65" s="56">
        <v>150.0</v>
      </c>
      <c r="U65" s="55"/>
      <c r="V65" s="56">
        <v>0.0</v>
      </c>
      <c r="W65" s="55"/>
      <c r="X65" s="56">
        <v>0.0</v>
      </c>
      <c r="Y65" s="55"/>
      <c r="Z65" s="56">
        <v>0.0</v>
      </c>
      <c r="AA65" s="55"/>
      <c r="AB65" s="56">
        <v>0.0</v>
      </c>
      <c r="AC65" s="58"/>
      <c r="AD65" s="54"/>
      <c r="AE65" s="55"/>
      <c r="AF65" s="56"/>
      <c r="AG65" s="55"/>
      <c r="AH65" s="56"/>
      <c r="AI65" s="55"/>
      <c r="AJ65" s="56"/>
      <c r="AK65" s="55"/>
      <c r="AL65" s="56"/>
      <c r="AM65" s="55"/>
      <c r="AN65" s="56"/>
      <c r="AO65" s="58"/>
      <c r="AP65" s="60">
        <f t="shared" si="1"/>
        <v>15300</v>
      </c>
      <c r="AQ65" s="51">
        <f t="shared" si="2"/>
        <v>600</v>
      </c>
      <c r="AR65" s="51">
        <f t="shared" si="3"/>
        <v>0</v>
      </c>
      <c r="AS65" s="51">
        <f t="shared" si="4"/>
        <v>600</v>
      </c>
      <c r="AT65" s="61">
        <f t="shared" si="5"/>
        <v>25.5</v>
      </c>
      <c r="AU65" s="37"/>
      <c r="AV65" s="37"/>
      <c r="AW65" s="37"/>
    </row>
    <row r="66" ht="15.75" customHeight="1">
      <c r="A66" s="21" t="s">
        <v>24</v>
      </c>
      <c r="B66" s="62">
        <f t="shared" si="6"/>
        <v>44626</v>
      </c>
      <c r="C66" s="23">
        <v>3.0</v>
      </c>
      <c r="D66" s="23" t="s">
        <v>33</v>
      </c>
      <c r="E66" s="63" t="s">
        <v>37</v>
      </c>
      <c r="F66" s="28">
        <v>150.0</v>
      </c>
      <c r="H66" s="32">
        <v>150.0</v>
      </c>
      <c r="J66" s="27">
        <v>0.0</v>
      </c>
      <c r="L66" s="27"/>
      <c r="N66" s="27"/>
      <c r="P66" s="27"/>
      <c r="Q66" s="29"/>
      <c r="R66" s="26">
        <v>200.0</v>
      </c>
      <c r="T66" s="27">
        <v>200.0</v>
      </c>
      <c r="V66" s="27">
        <v>0.0</v>
      </c>
      <c r="X66" s="27">
        <v>0.0</v>
      </c>
      <c r="Z66" s="27">
        <v>0.0</v>
      </c>
      <c r="AB66" s="27">
        <v>0.0</v>
      </c>
      <c r="AC66" s="29"/>
      <c r="AD66" s="26"/>
      <c r="AF66" s="27"/>
      <c r="AH66" s="27"/>
      <c r="AJ66" s="27"/>
      <c r="AL66" s="27"/>
      <c r="AN66" s="27"/>
      <c r="AO66" s="29"/>
      <c r="AP66" s="35">
        <f t="shared" si="1"/>
        <v>17000</v>
      </c>
      <c r="AQ66" s="23">
        <f t="shared" si="2"/>
        <v>700</v>
      </c>
      <c r="AR66" s="23">
        <f t="shared" si="3"/>
        <v>0</v>
      </c>
      <c r="AS66" s="23">
        <f t="shared" si="4"/>
        <v>700</v>
      </c>
      <c r="AT66" s="36">
        <f t="shared" si="5"/>
        <v>24.28571429</v>
      </c>
      <c r="AU66" s="37"/>
      <c r="AV66" s="37"/>
      <c r="AW66" s="37"/>
    </row>
    <row r="67" ht="15.75" customHeight="1">
      <c r="A67" s="39" t="s">
        <v>27</v>
      </c>
      <c r="B67" s="40">
        <f t="shared" si="6"/>
        <v>44627</v>
      </c>
      <c r="C67" s="41">
        <v>3.0</v>
      </c>
      <c r="D67" s="41" t="s">
        <v>33</v>
      </c>
      <c r="E67" s="43" t="s">
        <v>37</v>
      </c>
      <c r="F67" s="28">
        <v>150.0</v>
      </c>
      <c r="H67" s="32">
        <v>150.0</v>
      </c>
      <c r="J67" s="27">
        <v>0.0</v>
      </c>
      <c r="L67" s="27"/>
      <c r="N67" s="27"/>
      <c r="P67" s="27"/>
      <c r="Q67" s="29"/>
      <c r="R67" s="26">
        <v>200.0</v>
      </c>
      <c r="T67" s="27">
        <v>200.0</v>
      </c>
      <c r="V67" s="27">
        <v>0.0</v>
      </c>
      <c r="X67" s="27">
        <v>0.0</v>
      </c>
      <c r="Z67" s="27">
        <v>0.0</v>
      </c>
      <c r="AB67" s="27">
        <v>0.0</v>
      </c>
      <c r="AC67" s="29"/>
      <c r="AD67" s="26"/>
      <c r="AF67" s="27"/>
      <c r="AH67" s="27"/>
      <c r="AJ67" s="27"/>
      <c r="AL67" s="27"/>
      <c r="AN67" s="27"/>
      <c r="AO67" s="29"/>
      <c r="AP67" s="45">
        <f t="shared" si="1"/>
        <v>17000</v>
      </c>
      <c r="AQ67" s="41">
        <f t="shared" si="2"/>
        <v>700</v>
      </c>
      <c r="AR67" s="41">
        <f t="shared" si="3"/>
        <v>0</v>
      </c>
      <c r="AS67" s="41">
        <f t="shared" si="4"/>
        <v>700</v>
      </c>
      <c r="AT67" s="46">
        <f t="shared" si="5"/>
        <v>24.28571429</v>
      </c>
      <c r="AU67" s="37"/>
      <c r="AV67" s="37"/>
      <c r="AW67" s="37"/>
    </row>
    <row r="68" ht="15.75" customHeight="1">
      <c r="A68" s="39" t="s">
        <v>28</v>
      </c>
      <c r="B68" s="40">
        <f t="shared" si="6"/>
        <v>44628</v>
      </c>
      <c r="C68" s="41">
        <v>3.0</v>
      </c>
      <c r="D68" s="41" t="s">
        <v>33</v>
      </c>
      <c r="E68" s="43" t="s">
        <v>37</v>
      </c>
      <c r="F68" s="28">
        <v>150.0</v>
      </c>
      <c r="H68" s="32">
        <v>150.0</v>
      </c>
      <c r="J68" s="27">
        <v>0.0</v>
      </c>
      <c r="L68" s="27"/>
      <c r="N68" s="27"/>
      <c r="P68" s="27"/>
      <c r="Q68" s="29"/>
      <c r="R68" s="26">
        <v>200.0</v>
      </c>
      <c r="T68" s="27">
        <v>200.0</v>
      </c>
      <c r="V68" s="27">
        <v>0.0</v>
      </c>
      <c r="X68" s="27">
        <v>0.0</v>
      </c>
      <c r="Z68" s="27">
        <v>0.0</v>
      </c>
      <c r="AB68" s="27">
        <v>0.0</v>
      </c>
      <c r="AC68" s="29"/>
      <c r="AD68" s="26"/>
      <c r="AF68" s="27"/>
      <c r="AH68" s="27"/>
      <c r="AJ68" s="27"/>
      <c r="AL68" s="27"/>
      <c r="AN68" s="27"/>
      <c r="AO68" s="29"/>
      <c r="AP68" s="45">
        <f t="shared" si="1"/>
        <v>17000</v>
      </c>
      <c r="AQ68" s="41">
        <f t="shared" si="2"/>
        <v>700</v>
      </c>
      <c r="AR68" s="41">
        <f t="shared" si="3"/>
        <v>0</v>
      </c>
      <c r="AS68" s="41">
        <f t="shared" si="4"/>
        <v>700</v>
      </c>
      <c r="AT68" s="46">
        <f t="shared" si="5"/>
        <v>24.28571429</v>
      </c>
      <c r="AU68" s="37"/>
      <c r="AV68" s="37"/>
      <c r="AW68" s="37"/>
    </row>
    <row r="69" ht="15.75" customHeight="1">
      <c r="A69" s="39" t="s">
        <v>29</v>
      </c>
      <c r="B69" s="40">
        <f t="shared" si="6"/>
        <v>44629</v>
      </c>
      <c r="C69" s="41">
        <v>3.0</v>
      </c>
      <c r="D69" s="41" t="s">
        <v>33</v>
      </c>
      <c r="E69" s="43" t="s">
        <v>37</v>
      </c>
      <c r="F69" s="28">
        <v>150.0</v>
      </c>
      <c r="H69" s="32">
        <v>150.0</v>
      </c>
      <c r="J69" s="27">
        <v>0.0</v>
      </c>
      <c r="L69" s="27"/>
      <c r="N69" s="27"/>
      <c r="P69" s="27"/>
      <c r="Q69" s="29"/>
      <c r="R69" s="26">
        <v>200.0</v>
      </c>
      <c r="T69" s="27">
        <v>200.0</v>
      </c>
      <c r="V69" s="27">
        <v>0.0</v>
      </c>
      <c r="X69" s="27">
        <v>0.0</v>
      </c>
      <c r="Z69" s="27">
        <v>0.0</v>
      </c>
      <c r="AB69" s="27">
        <v>0.0</v>
      </c>
      <c r="AC69" s="29"/>
      <c r="AD69" s="26"/>
      <c r="AF69" s="27"/>
      <c r="AH69" s="27"/>
      <c r="AJ69" s="27"/>
      <c r="AL69" s="27"/>
      <c r="AN69" s="27"/>
      <c r="AO69" s="29"/>
      <c r="AP69" s="45">
        <f t="shared" si="1"/>
        <v>17000</v>
      </c>
      <c r="AQ69" s="41">
        <f t="shared" si="2"/>
        <v>700</v>
      </c>
      <c r="AR69" s="41">
        <f t="shared" si="3"/>
        <v>0</v>
      </c>
      <c r="AS69" s="41">
        <f t="shared" si="4"/>
        <v>700</v>
      </c>
      <c r="AT69" s="46">
        <f t="shared" si="5"/>
        <v>24.28571429</v>
      </c>
      <c r="AU69" s="37"/>
      <c r="AV69" s="37"/>
      <c r="AW69" s="37"/>
    </row>
    <row r="70" ht="15.75" customHeight="1">
      <c r="A70" s="39" t="s">
        <v>30</v>
      </c>
      <c r="B70" s="40">
        <f t="shared" si="6"/>
        <v>44630</v>
      </c>
      <c r="C70" s="41">
        <v>3.0</v>
      </c>
      <c r="D70" s="41" t="s">
        <v>33</v>
      </c>
      <c r="E70" s="43" t="s">
        <v>37</v>
      </c>
      <c r="F70" s="28">
        <v>150.0</v>
      </c>
      <c r="H70" s="32">
        <v>150.0</v>
      </c>
      <c r="J70" s="27">
        <v>0.0</v>
      </c>
      <c r="L70" s="27"/>
      <c r="N70" s="27"/>
      <c r="P70" s="27"/>
      <c r="Q70" s="29"/>
      <c r="R70" s="26">
        <v>200.0</v>
      </c>
      <c r="T70" s="27">
        <v>200.0</v>
      </c>
      <c r="V70" s="27">
        <v>0.0</v>
      </c>
      <c r="X70" s="27">
        <v>0.0</v>
      </c>
      <c r="Z70" s="27">
        <v>0.0</v>
      </c>
      <c r="AB70" s="27">
        <v>0.0</v>
      </c>
      <c r="AC70" s="29"/>
      <c r="AD70" s="26"/>
      <c r="AF70" s="27"/>
      <c r="AH70" s="27"/>
      <c r="AJ70" s="27"/>
      <c r="AL70" s="27"/>
      <c r="AN70" s="27"/>
      <c r="AO70" s="29"/>
      <c r="AP70" s="45">
        <f t="shared" si="1"/>
        <v>17000</v>
      </c>
      <c r="AQ70" s="41">
        <f t="shared" si="2"/>
        <v>700</v>
      </c>
      <c r="AR70" s="41">
        <f t="shared" si="3"/>
        <v>0</v>
      </c>
      <c r="AS70" s="41">
        <f t="shared" si="4"/>
        <v>700</v>
      </c>
      <c r="AT70" s="46">
        <f t="shared" si="5"/>
        <v>24.28571429</v>
      </c>
      <c r="AU70" s="37"/>
      <c r="AV70" s="37"/>
      <c r="AW70" s="37"/>
    </row>
    <row r="71" ht="15.75" customHeight="1">
      <c r="A71" s="39" t="s">
        <v>31</v>
      </c>
      <c r="B71" s="40">
        <f t="shared" si="6"/>
        <v>44631</v>
      </c>
      <c r="C71" s="41">
        <v>3.0</v>
      </c>
      <c r="D71" s="41" t="s">
        <v>33</v>
      </c>
      <c r="E71" s="43" t="s">
        <v>37</v>
      </c>
      <c r="F71" s="28">
        <v>150.0</v>
      </c>
      <c r="H71" s="32">
        <v>150.0</v>
      </c>
      <c r="J71" s="27">
        <v>0.0</v>
      </c>
      <c r="L71" s="27"/>
      <c r="N71" s="27"/>
      <c r="P71" s="27"/>
      <c r="Q71" s="29"/>
      <c r="R71" s="26">
        <v>200.0</v>
      </c>
      <c r="T71" s="27">
        <v>200.0</v>
      </c>
      <c r="V71" s="27">
        <v>0.0</v>
      </c>
      <c r="X71" s="27">
        <v>0.0</v>
      </c>
      <c r="Z71" s="27">
        <v>0.0</v>
      </c>
      <c r="AB71" s="27">
        <v>0.0</v>
      </c>
      <c r="AC71" s="29"/>
      <c r="AD71" s="26"/>
      <c r="AF71" s="27"/>
      <c r="AH71" s="27"/>
      <c r="AJ71" s="27"/>
      <c r="AL71" s="27"/>
      <c r="AN71" s="27"/>
      <c r="AO71" s="29"/>
      <c r="AP71" s="45">
        <f t="shared" si="1"/>
        <v>17000</v>
      </c>
      <c r="AQ71" s="41">
        <f t="shared" si="2"/>
        <v>700</v>
      </c>
      <c r="AR71" s="41">
        <f t="shared" si="3"/>
        <v>0</v>
      </c>
      <c r="AS71" s="41">
        <f t="shared" si="4"/>
        <v>700</v>
      </c>
      <c r="AT71" s="46">
        <f t="shared" si="5"/>
        <v>24.28571429</v>
      </c>
      <c r="AU71" s="37"/>
      <c r="AV71" s="37"/>
      <c r="AW71" s="37"/>
    </row>
    <row r="72" ht="15.75" customHeight="1">
      <c r="A72" s="49" t="s">
        <v>32</v>
      </c>
      <c r="B72" s="50">
        <f t="shared" si="6"/>
        <v>44632</v>
      </c>
      <c r="C72" s="51">
        <v>3.0</v>
      </c>
      <c r="D72" s="51" t="s">
        <v>33</v>
      </c>
      <c r="E72" s="53" t="s">
        <v>37</v>
      </c>
      <c r="F72" s="57">
        <v>150.0</v>
      </c>
      <c r="G72" s="55"/>
      <c r="H72" s="59">
        <v>150.0</v>
      </c>
      <c r="I72" s="55"/>
      <c r="J72" s="56">
        <v>0.0</v>
      </c>
      <c r="K72" s="55"/>
      <c r="L72" s="56"/>
      <c r="M72" s="55"/>
      <c r="N72" s="56"/>
      <c r="O72" s="55"/>
      <c r="P72" s="56"/>
      <c r="Q72" s="58"/>
      <c r="R72" s="54">
        <v>200.0</v>
      </c>
      <c r="S72" s="55"/>
      <c r="T72" s="56">
        <v>200.0</v>
      </c>
      <c r="U72" s="55"/>
      <c r="V72" s="56">
        <v>0.0</v>
      </c>
      <c r="W72" s="55"/>
      <c r="X72" s="56">
        <v>0.0</v>
      </c>
      <c r="Y72" s="55"/>
      <c r="Z72" s="56">
        <v>0.0</v>
      </c>
      <c r="AA72" s="55"/>
      <c r="AB72" s="56">
        <v>0.0</v>
      </c>
      <c r="AC72" s="58"/>
      <c r="AD72" s="54"/>
      <c r="AE72" s="55"/>
      <c r="AF72" s="56"/>
      <c r="AG72" s="55"/>
      <c r="AH72" s="56"/>
      <c r="AI72" s="55"/>
      <c r="AJ72" s="56"/>
      <c r="AK72" s="55"/>
      <c r="AL72" s="56"/>
      <c r="AM72" s="55"/>
      <c r="AN72" s="56"/>
      <c r="AO72" s="58"/>
      <c r="AP72" s="60">
        <f t="shared" si="1"/>
        <v>17000</v>
      </c>
      <c r="AQ72" s="51">
        <f t="shared" si="2"/>
        <v>700</v>
      </c>
      <c r="AR72" s="51">
        <f t="shared" si="3"/>
        <v>0</v>
      </c>
      <c r="AS72" s="51">
        <f t="shared" si="4"/>
        <v>700</v>
      </c>
      <c r="AT72" s="61">
        <f t="shared" si="5"/>
        <v>24.28571429</v>
      </c>
      <c r="AU72" s="37"/>
      <c r="AV72" s="37"/>
      <c r="AW72" s="37"/>
    </row>
    <row r="73" ht="15.75" customHeight="1">
      <c r="A73" s="21" t="s">
        <v>24</v>
      </c>
      <c r="B73" s="62">
        <f t="shared" si="6"/>
        <v>44633</v>
      </c>
      <c r="C73" s="23">
        <v>3.0</v>
      </c>
      <c r="D73" s="23" t="s">
        <v>34</v>
      </c>
      <c r="E73" s="63" t="s">
        <v>37</v>
      </c>
      <c r="F73" s="28">
        <v>150.0</v>
      </c>
      <c r="H73" s="32">
        <v>150.0</v>
      </c>
      <c r="J73" s="27">
        <v>0.0</v>
      </c>
      <c r="L73" s="27"/>
      <c r="N73" s="27"/>
      <c r="P73" s="27"/>
      <c r="Q73" s="29"/>
      <c r="R73" s="26">
        <v>200.0</v>
      </c>
      <c r="T73" s="27">
        <v>200.0</v>
      </c>
      <c r="V73" s="27">
        <v>0.0</v>
      </c>
      <c r="X73" s="27">
        <v>0.0</v>
      </c>
      <c r="Z73" s="27">
        <v>0.0</v>
      </c>
      <c r="AB73" s="27">
        <v>0.0</v>
      </c>
      <c r="AC73" s="29"/>
      <c r="AD73" s="26"/>
      <c r="AF73" s="27"/>
      <c r="AH73" s="27"/>
      <c r="AJ73" s="27"/>
      <c r="AL73" s="27"/>
      <c r="AN73" s="27"/>
      <c r="AO73" s="29"/>
      <c r="AP73" s="35">
        <f t="shared" si="1"/>
        <v>17000</v>
      </c>
      <c r="AQ73" s="23">
        <f t="shared" si="2"/>
        <v>700</v>
      </c>
      <c r="AR73" s="23">
        <f t="shared" si="3"/>
        <v>0</v>
      </c>
      <c r="AS73" s="23">
        <f t="shared" si="4"/>
        <v>700</v>
      </c>
      <c r="AT73" s="36">
        <f t="shared" si="5"/>
        <v>24.28571429</v>
      </c>
      <c r="AU73" s="37"/>
      <c r="AV73" s="37"/>
      <c r="AW73" s="37"/>
    </row>
    <row r="74" ht="15.75" customHeight="1">
      <c r="A74" s="39" t="s">
        <v>27</v>
      </c>
      <c r="B74" s="40">
        <f t="shared" si="6"/>
        <v>44634</v>
      </c>
      <c r="C74" s="41">
        <v>3.0</v>
      </c>
      <c r="D74" s="41" t="s">
        <v>34</v>
      </c>
      <c r="E74" s="43" t="s">
        <v>37</v>
      </c>
      <c r="F74" s="28">
        <v>150.0</v>
      </c>
      <c r="H74" s="32">
        <v>150.0</v>
      </c>
      <c r="J74" s="27">
        <v>0.0</v>
      </c>
      <c r="L74" s="27"/>
      <c r="N74" s="27"/>
      <c r="P74" s="27"/>
      <c r="Q74" s="29"/>
      <c r="R74" s="26">
        <v>200.0</v>
      </c>
      <c r="T74" s="27">
        <v>200.0</v>
      </c>
      <c r="V74" s="27">
        <v>0.0</v>
      </c>
      <c r="X74" s="27">
        <v>0.0</v>
      </c>
      <c r="Z74" s="27">
        <v>0.0</v>
      </c>
      <c r="AB74" s="27">
        <v>0.0</v>
      </c>
      <c r="AC74" s="29"/>
      <c r="AD74" s="26"/>
      <c r="AF74" s="27"/>
      <c r="AH74" s="27"/>
      <c r="AJ74" s="27"/>
      <c r="AL74" s="27"/>
      <c r="AN74" s="27"/>
      <c r="AO74" s="29"/>
      <c r="AP74" s="45">
        <f t="shared" si="1"/>
        <v>17000</v>
      </c>
      <c r="AQ74" s="41">
        <f t="shared" si="2"/>
        <v>700</v>
      </c>
      <c r="AR74" s="41">
        <f t="shared" si="3"/>
        <v>0</v>
      </c>
      <c r="AS74" s="41">
        <f t="shared" si="4"/>
        <v>700</v>
      </c>
      <c r="AT74" s="46">
        <f t="shared" si="5"/>
        <v>24.28571429</v>
      </c>
      <c r="AU74" s="37"/>
      <c r="AV74" s="37"/>
      <c r="AW74" s="37"/>
    </row>
    <row r="75" ht="15.75" customHeight="1">
      <c r="A75" s="39" t="s">
        <v>28</v>
      </c>
      <c r="B75" s="40">
        <f t="shared" si="6"/>
        <v>44635</v>
      </c>
      <c r="C75" s="41">
        <v>3.0</v>
      </c>
      <c r="D75" s="41" t="s">
        <v>34</v>
      </c>
      <c r="E75" s="43" t="s">
        <v>37</v>
      </c>
      <c r="F75" s="28">
        <v>150.0</v>
      </c>
      <c r="H75" s="32">
        <v>150.0</v>
      </c>
      <c r="J75" s="27">
        <v>0.0</v>
      </c>
      <c r="L75" s="27"/>
      <c r="N75" s="27"/>
      <c r="P75" s="27"/>
      <c r="Q75" s="29"/>
      <c r="R75" s="26">
        <v>200.0</v>
      </c>
      <c r="T75" s="27">
        <v>200.0</v>
      </c>
      <c r="V75" s="27">
        <v>0.0</v>
      </c>
      <c r="X75" s="27">
        <v>0.0</v>
      </c>
      <c r="Z75" s="27">
        <v>0.0</v>
      </c>
      <c r="AB75" s="27">
        <v>0.0</v>
      </c>
      <c r="AC75" s="29"/>
      <c r="AD75" s="26"/>
      <c r="AF75" s="27"/>
      <c r="AH75" s="27"/>
      <c r="AJ75" s="27"/>
      <c r="AL75" s="27"/>
      <c r="AN75" s="27"/>
      <c r="AO75" s="29"/>
      <c r="AP75" s="45">
        <f t="shared" si="1"/>
        <v>17000</v>
      </c>
      <c r="AQ75" s="41">
        <f t="shared" si="2"/>
        <v>700</v>
      </c>
      <c r="AR75" s="41">
        <f t="shared" si="3"/>
        <v>0</v>
      </c>
      <c r="AS75" s="41">
        <f t="shared" si="4"/>
        <v>700</v>
      </c>
      <c r="AT75" s="46">
        <f t="shared" si="5"/>
        <v>24.28571429</v>
      </c>
      <c r="AU75" s="37"/>
      <c r="AV75" s="37"/>
      <c r="AW75" s="37"/>
    </row>
    <row r="76" ht="15.75" customHeight="1">
      <c r="A76" s="39" t="s">
        <v>29</v>
      </c>
      <c r="B76" s="40">
        <f t="shared" si="6"/>
        <v>44636</v>
      </c>
      <c r="C76" s="41">
        <v>3.0</v>
      </c>
      <c r="D76" s="41" t="s">
        <v>34</v>
      </c>
      <c r="E76" s="43" t="s">
        <v>37</v>
      </c>
      <c r="F76" s="28">
        <v>150.0</v>
      </c>
      <c r="H76" s="32">
        <v>150.0</v>
      </c>
      <c r="J76" s="27">
        <v>0.0</v>
      </c>
      <c r="L76" s="27"/>
      <c r="N76" s="27"/>
      <c r="P76" s="27"/>
      <c r="Q76" s="29"/>
      <c r="R76" s="26">
        <v>200.0</v>
      </c>
      <c r="T76" s="27">
        <v>200.0</v>
      </c>
      <c r="V76" s="27">
        <v>0.0</v>
      </c>
      <c r="X76" s="27">
        <v>0.0</v>
      </c>
      <c r="Z76" s="27">
        <v>0.0</v>
      </c>
      <c r="AB76" s="27">
        <v>0.0</v>
      </c>
      <c r="AC76" s="29"/>
      <c r="AD76" s="26"/>
      <c r="AF76" s="27"/>
      <c r="AH76" s="27"/>
      <c r="AJ76" s="27"/>
      <c r="AL76" s="27"/>
      <c r="AN76" s="27"/>
      <c r="AO76" s="29"/>
      <c r="AP76" s="45">
        <f t="shared" si="1"/>
        <v>17000</v>
      </c>
      <c r="AQ76" s="41">
        <f t="shared" si="2"/>
        <v>700</v>
      </c>
      <c r="AR76" s="41">
        <f t="shared" si="3"/>
        <v>0</v>
      </c>
      <c r="AS76" s="41">
        <f t="shared" si="4"/>
        <v>700</v>
      </c>
      <c r="AT76" s="46">
        <f t="shared" si="5"/>
        <v>24.28571429</v>
      </c>
      <c r="AU76" s="37"/>
      <c r="AV76" s="37"/>
      <c r="AW76" s="37"/>
    </row>
    <row r="77" ht="15.75" customHeight="1">
      <c r="A77" s="39" t="s">
        <v>30</v>
      </c>
      <c r="B77" s="40">
        <f t="shared" si="6"/>
        <v>44637</v>
      </c>
      <c r="C77" s="41">
        <v>3.0</v>
      </c>
      <c r="D77" s="41" t="s">
        <v>34</v>
      </c>
      <c r="E77" s="43" t="s">
        <v>37</v>
      </c>
      <c r="F77" s="28">
        <v>150.0</v>
      </c>
      <c r="H77" s="32">
        <v>150.0</v>
      </c>
      <c r="J77" s="27">
        <v>0.0</v>
      </c>
      <c r="L77" s="27"/>
      <c r="N77" s="27"/>
      <c r="P77" s="27"/>
      <c r="Q77" s="29"/>
      <c r="R77" s="26">
        <v>200.0</v>
      </c>
      <c r="T77" s="27">
        <v>200.0</v>
      </c>
      <c r="V77" s="27">
        <v>0.0</v>
      </c>
      <c r="X77" s="27">
        <v>0.0</v>
      </c>
      <c r="Z77" s="27">
        <v>0.0</v>
      </c>
      <c r="AB77" s="27">
        <v>0.0</v>
      </c>
      <c r="AC77" s="29"/>
      <c r="AD77" s="26"/>
      <c r="AF77" s="27"/>
      <c r="AH77" s="27"/>
      <c r="AJ77" s="27"/>
      <c r="AL77" s="27"/>
      <c r="AN77" s="27"/>
      <c r="AO77" s="29"/>
      <c r="AP77" s="45">
        <f t="shared" si="1"/>
        <v>17000</v>
      </c>
      <c r="AQ77" s="41">
        <f t="shared" si="2"/>
        <v>700</v>
      </c>
      <c r="AR77" s="41">
        <f t="shared" si="3"/>
        <v>0</v>
      </c>
      <c r="AS77" s="41">
        <f t="shared" si="4"/>
        <v>700</v>
      </c>
      <c r="AT77" s="46">
        <f t="shared" si="5"/>
        <v>24.28571429</v>
      </c>
      <c r="AU77" s="37"/>
      <c r="AV77" s="37"/>
      <c r="AW77" s="37"/>
    </row>
    <row r="78" ht="15.75" customHeight="1">
      <c r="A78" s="39" t="s">
        <v>31</v>
      </c>
      <c r="B78" s="40">
        <f t="shared" si="6"/>
        <v>44638</v>
      </c>
      <c r="C78" s="41">
        <v>3.0</v>
      </c>
      <c r="D78" s="41" t="s">
        <v>34</v>
      </c>
      <c r="E78" s="43" t="s">
        <v>37</v>
      </c>
      <c r="F78" s="28">
        <v>150.0</v>
      </c>
      <c r="H78" s="32">
        <v>150.0</v>
      </c>
      <c r="J78" s="27">
        <v>0.0</v>
      </c>
      <c r="L78" s="27"/>
      <c r="N78" s="27"/>
      <c r="P78" s="27"/>
      <c r="Q78" s="29"/>
      <c r="R78" s="26">
        <v>200.0</v>
      </c>
      <c r="T78" s="27">
        <v>200.0</v>
      </c>
      <c r="V78" s="27">
        <v>0.0</v>
      </c>
      <c r="X78" s="27">
        <v>0.0</v>
      </c>
      <c r="Z78" s="27">
        <v>0.0</v>
      </c>
      <c r="AB78" s="27">
        <v>0.0</v>
      </c>
      <c r="AC78" s="29"/>
      <c r="AD78" s="26"/>
      <c r="AF78" s="27"/>
      <c r="AH78" s="27"/>
      <c r="AJ78" s="27"/>
      <c r="AL78" s="27"/>
      <c r="AN78" s="27"/>
      <c r="AO78" s="29"/>
      <c r="AP78" s="45">
        <f t="shared" si="1"/>
        <v>17000</v>
      </c>
      <c r="AQ78" s="41">
        <f t="shared" si="2"/>
        <v>700</v>
      </c>
      <c r="AR78" s="41">
        <f t="shared" si="3"/>
        <v>0</v>
      </c>
      <c r="AS78" s="41">
        <f t="shared" si="4"/>
        <v>700</v>
      </c>
      <c r="AT78" s="46">
        <f t="shared" si="5"/>
        <v>24.28571429</v>
      </c>
      <c r="AU78" s="37"/>
      <c r="AV78" s="37"/>
      <c r="AW78" s="37"/>
    </row>
    <row r="79" ht="15.75" customHeight="1">
      <c r="A79" s="49" t="s">
        <v>32</v>
      </c>
      <c r="B79" s="50">
        <f t="shared" si="6"/>
        <v>44639</v>
      </c>
      <c r="C79" s="51">
        <v>3.0</v>
      </c>
      <c r="D79" s="51" t="s">
        <v>34</v>
      </c>
      <c r="E79" s="53" t="s">
        <v>37</v>
      </c>
      <c r="F79" s="57">
        <v>150.0</v>
      </c>
      <c r="G79" s="55"/>
      <c r="H79" s="59">
        <v>150.0</v>
      </c>
      <c r="I79" s="55"/>
      <c r="J79" s="56">
        <v>0.0</v>
      </c>
      <c r="K79" s="55"/>
      <c r="L79" s="56"/>
      <c r="M79" s="55"/>
      <c r="N79" s="56"/>
      <c r="O79" s="55"/>
      <c r="P79" s="56"/>
      <c r="Q79" s="58"/>
      <c r="R79" s="54">
        <v>200.0</v>
      </c>
      <c r="S79" s="55"/>
      <c r="T79" s="56">
        <v>200.0</v>
      </c>
      <c r="U79" s="55"/>
      <c r="V79" s="56">
        <v>0.0</v>
      </c>
      <c r="W79" s="55"/>
      <c r="X79" s="56">
        <v>0.0</v>
      </c>
      <c r="Y79" s="55"/>
      <c r="Z79" s="56">
        <v>0.0</v>
      </c>
      <c r="AA79" s="55"/>
      <c r="AB79" s="56">
        <v>0.0</v>
      </c>
      <c r="AC79" s="58"/>
      <c r="AD79" s="54"/>
      <c r="AE79" s="55"/>
      <c r="AF79" s="56"/>
      <c r="AG79" s="55"/>
      <c r="AH79" s="56"/>
      <c r="AI79" s="55"/>
      <c r="AJ79" s="56"/>
      <c r="AK79" s="55"/>
      <c r="AL79" s="56"/>
      <c r="AM79" s="55"/>
      <c r="AN79" s="56"/>
      <c r="AO79" s="58"/>
      <c r="AP79" s="60">
        <f t="shared" si="1"/>
        <v>17000</v>
      </c>
      <c r="AQ79" s="51">
        <f t="shared" si="2"/>
        <v>700</v>
      </c>
      <c r="AR79" s="51">
        <f t="shared" si="3"/>
        <v>0</v>
      </c>
      <c r="AS79" s="51">
        <f t="shared" si="4"/>
        <v>700</v>
      </c>
      <c r="AT79" s="61">
        <f t="shared" si="5"/>
        <v>24.28571429</v>
      </c>
      <c r="AU79" s="37"/>
      <c r="AV79" s="37"/>
      <c r="AW79" s="37"/>
    </row>
    <row r="80" ht="15.75" customHeight="1">
      <c r="A80" s="21" t="s">
        <v>24</v>
      </c>
      <c r="B80" s="62">
        <f t="shared" si="6"/>
        <v>44640</v>
      </c>
      <c r="C80" s="23">
        <v>3.0</v>
      </c>
      <c r="D80" s="23" t="s">
        <v>35</v>
      </c>
      <c r="E80" s="63" t="s">
        <v>37</v>
      </c>
      <c r="F80" s="28">
        <v>150.0</v>
      </c>
      <c r="H80" s="32">
        <v>150.0</v>
      </c>
      <c r="J80" s="27">
        <v>0.0</v>
      </c>
      <c r="L80" s="27"/>
      <c r="N80" s="27"/>
      <c r="P80" s="27"/>
      <c r="Q80" s="29"/>
      <c r="R80" s="26">
        <v>200.0</v>
      </c>
      <c r="T80" s="27">
        <v>200.0</v>
      </c>
      <c r="V80" s="27">
        <v>0.0</v>
      </c>
      <c r="X80" s="27">
        <v>0.0</v>
      </c>
      <c r="Z80" s="27">
        <v>0.0</v>
      </c>
      <c r="AB80" s="27">
        <v>0.0</v>
      </c>
      <c r="AC80" s="29"/>
      <c r="AD80" s="26"/>
      <c r="AF80" s="27"/>
      <c r="AH80" s="27"/>
      <c r="AJ80" s="27"/>
      <c r="AL80" s="27"/>
      <c r="AN80" s="27"/>
      <c r="AO80" s="29"/>
      <c r="AP80" s="35">
        <f t="shared" si="1"/>
        <v>17000</v>
      </c>
      <c r="AQ80" s="23">
        <f t="shared" si="2"/>
        <v>700</v>
      </c>
      <c r="AR80" s="23">
        <f t="shared" si="3"/>
        <v>0</v>
      </c>
      <c r="AS80" s="23">
        <f t="shared" si="4"/>
        <v>700</v>
      </c>
      <c r="AT80" s="36">
        <f t="shared" si="5"/>
        <v>24.28571429</v>
      </c>
      <c r="AU80" s="37"/>
      <c r="AV80" s="37"/>
      <c r="AW80" s="37"/>
    </row>
    <row r="81" ht="15.75" customHeight="1">
      <c r="A81" s="39" t="s">
        <v>27</v>
      </c>
      <c r="B81" s="40">
        <f t="shared" si="6"/>
        <v>44641</v>
      </c>
      <c r="C81" s="41">
        <v>3.0</v>
      </c>
      <c r="D81" s="41" t="s">
        <v>35</v>
      </c>
      <c r="E81" s="43" t="s">
        <v>37</v>
      </c>
      <c r="F81" s="28">
        <v>150.0</v>
      </c>
      <c r="H81" s="32">
        <v>150.0</v>
      </c>
      <c r="J81" s="27">
        <v>0.0</v>
      </c>
      <c r="L81" s="27"/>
      <c r="N81" s="27"/>
      <c r="P81" s="27"/>
      <c r="Q81" s="29"/>
      <c r="R81" s="26">
        <v>200.0</v>
      </c>
      <c r="T81" s="27">
        <v>200.0</v>
      </c>
      <c r="V81" s="27">
        <v>0.0</v>
      </c>
      <c r="X81" s="27">
        <v>0.0</v>
      </c>
      <c r="Z81" s="27">
        <v>0.0</v>
      </c>
      <c r="AB81" s="27">
        <v>0.0</v>
      </c>
      <c r="AC81" s="29"/>
      <c r="AD81" s="26"/>
      <c r="AF81" s="27"/>
      <c r="AH81" s="27"/>
      <c r="AJ81" s="27"/>
      <c r="AL81" s="27"/>
      <c r="AN81" s="27"/>
      <c r="AO81" s="29"/>
      <c r="AP81" s="45">
        <f t="shared" si="1"/>
        <v>17000</v>
      </c>
      <c r="AQ81" s="41">
        <f t="shared" si="2"/>
        <v>700</v>
      </c>
      <c r="AR81" s="41">
        <f t="shared" si="3"/>
        <v>0</v>
      </c>
      <c r="AS81" s="41">
        <f t="shared" si="4"/>
        <v>700</v>
      </c>
      <c r="AT81" s="46">
        <f t="shared" si="5"/>
        <v>24.28571429</v>
      </c>
      <c r="AU81" s="37"/>
      <c r="AV81" s="37"/>
      <c r="AW81" s="37"/>
    </row>
    <row r="82" ht="15.75" customHeight="1">
      <c r="A82" s="39" t="s">
        <v>28</v>
      </c>
      <c r="B82" s="40">
        <f t="shared" si="6"/>
        <v>44642</v>
      </c>
      <c r="C82" s="41">
        <v>3.0</v>
      </c>
      <c r="D82" s="41" t="s">
        <v>35</v>
      </c>
      <c r="E82" s="43" t="s">
        <v>37</v>
      </c>
      <c r="F82" s="28">
        <v>150.0</v>
      </c>
      <c r="H82" s="32">
        <v>150.0</v>
      </c>
      <c r="J82" s="27">
        <v>0.0</v>
      </c>
      <c r="L82" s="27"/>
      <c r="N82" s="27"/>
      <c r="P82" s="27"/>
      <c r="Q82" s="29"/>
      <c r="R82" s="26">
        <v>200.0</v>
      </c>
      <c r="T82" s="27">
        <v>200.0</v>
      </c>
      <c r="V82" s="27">
        <v>0.0</v>
      </c>
      <c r="X82" s="27">
        <v>0.0</v>
      </c>
      <c r="Z82" s="27">
        <v>0.0</v>
      </c>
      <c r="AB82" s="27">
        <v>0.0</v>
      </c>
      <c r="AC82" s="29"/>
      <c r="AD82" s="26"/>
      <c r="AF82" s="27"/>
      <c r="AH82" s="27"/>
      <c r="AJ82" s="27"/>
      <c r="AL82" s="27"/>
      <c r="AN82" s="27"/>
      <c r="AO82" s="29"/>
      <c r="AP82" s="45">
        <f t="shared" si="1"/>
        <v>17000</v>
      </c>
      <c r="AQ82" s="41">
        <f t="shared" si="2"/>
        <v>700</v>
      </c>
      <c r="AR82" s="41">
        <f t="shared" si="3"/>
        <v>0</v>
      </c>
      <c r="AS82" s="41">
        <f t="shared" si="4"/>
        <v>700</v>
      </c>
      <c r="AT82" s="46">
        <f t="shared" si="5"/>
        <v>24.28571429</v>
      </c>
      <c r="AU82" s="37"/>
      <c r="AV82" s="37"/>
      <c r="AW82" s="37"/>
    </row>
    <row r="83" ht="15.75" customHeight="1">
      <c r="A83" s="39" t="s">
        <v>29</v>
      </c>
      <c r="B83" s="40">
        <f t="shared" si="6"/>
        <v>44643</v>
      </c>
      <c r="C83" s="41">
        <v>3.0</v>
      </c>
      <c r="D83" s="41" t="s">
        <v>35</v>
      </c>
      <c r="E83" s="43" t="s">
        <v>37</v>
      </c>
      <c r="F83" s="28">
        <v>150.0</v>
      </c>
      <c r="H83" s="32">
        <v>150.0</v>
      </c>
      <c r="J83" s="27">
        <v>0.0</v>
      </c>
      <c r="L83" s="27"/>
      <c r="N83" s="27"/>
      <c r="P83" s="27"/>
      <c r="Q83" s="29"/>
      <c r="R83" s="26">
        <v>200.0</v>
      </c>
      <c r="T83" s="27">
        <v>200.0</v>
      </c>
      <c r="V83" s="27">
        <v>0.0</v>
      </c>
      <c r="X83" s="27">
        <v>0.0</v>
      </c>
      <c r="Z83" s="27">
        <v>0.0</v>
      </c>
      <c r="AB83" s="27">
        <v>0.0</v>
      </c>
      <c r="AC83" s="29"/>
      <c r="AD83" s="26"/>
      <c r="AF83" s="27"/>
      <c r="AH83" s="27"/>
      <c r="AJ83" s="27"/>
      <c r="AL83" s="27"/>
      <c r="AN83" s="27"/>
      <c r="AO83" s="29"/>
      <c r="AP83" s="45">
        <f t="shared" si="1"/>
        <v>17000</v>
      </c>
      <c r="AQ83" s="41">
        <f t="shared" si="2"/>
        <v>700</v>
      </c>
      <c r="AR83" s="41">
        <f t="shared" si="3"/>
        <v>0</v>
      </c>
      <c r="AS83" s="41">
        <f t="shared" si="4"/>
        <v>700</v>
      </c>
      <c r="AT83" s="46">
        <f t="shared" si="5"/>
        <v>24.28571429</v>
      </c>
      <c r="AU83" s="37"/>
      <c r="AV83" s="37"/>
      <c r="AW83" s="37"/>
    </row>
    <row r="84" ht="15.75" customHeight="1">
      <c r="A84" s="39" t="s">
        <v>30</v>
      </c>
      <c r="B84" s="40">
        <f t="shared" si="6"/>
        <v>44644</v>
      </c>
      <c r="C84" s="41">
        <v>3.0</v>
      </c>
      <c r="D84" s="41" t="s">
        <v>35</v>
      </c>
      <c r="E84" s="43" t="s">
        <v>37</v>
      </c>
      <c r="F84" s="28">
        <v>150.0</v>
      </c>
      <c r="H84" s="32">
        <v>150.0</v>
      </c>
      <c r="J84" s="27">
        <v>0.0</v>
      </c>
      <c r="L84" s="27"/>
      <c r="N84" s="27"/>
      <c r="P84" s="27"/>
      <c r="Q84" s="29"/>
      <c r="R84" s="26">
        <v>200.0</v>
      </c>
      <c r="T84" s="27">
        <v>200.0</v>
      </c>
      <c r="V84" s="27">
        <v>0.0</v>
      </c>
      <c r="X84" s="27">
        <v>0.0</v>
      </c>
      <c r="Z84" s="27">
        <v>0.0</v>
      </c>
      <c r="AB84" s="27">
        <v>0.0</v>
      </c>
      <c r="AC84" s="29"/>
      <c r="AD84" s="26"/>
      <c r="AF84" s="27"/>
      <c r="AH84" s="27"/>
      <c r="AJ84" s="27"/>
      <c r="AL84" s="27"/>
      <c r="AN84" s="27"/>
      <c r="AO84" s="29"/>
      <c r="AP84" s="45">
        <f t="shared" si="1"/>
        <v>17000</v>
      </c>
      <c r="AQ84" s="41">
        <f t="shared" si="2"/>
        <v>700</v>
      </c>
      <c r="AR84" s="41">
        <f t="shared" si="3"/>
        <v>0</v>
      </c>
      <c r="AS84" s="41">
        <f t="shared" si="4"/>
        <v>700</v>
      </c>
      <c r="AT84" s="46">
        <f t="shared" si="5"/>
        <v>24.28571429</v>
      </c>
      <c r="AU84" s="37"/>
      <c r="AV84" s="37"/>
      <c r="AW84" s="37"/>
    </row>
    <row r="85" ht="15.75" customHeight="1">
      <c r="A85" s="39" t="s">
        <v>31</v>
      </c>
      <c r="B85" s="40">
        <f t="shared" si="6"/>
        <v>44645</v>
      </c>
      <c r="C85" s="41">
        <v>3.0</v>
      </c>
      <c r="D85" s="41" t="s">
        <v>35</v>
      </c>
      <c r="E85" s="43" t="s">
        <v>37</v>
      </c>
      <c r="F85" s="28">
        <v>150.0</v>
      </c>
      <c r="H85" s="32">
        <v>150.0</v>
      </c>
      <c r="J85" s="27">
        <v>0.0</v>
      </c>
      <c r="L85" s="27"/>
      <c r="N85" s="27"/>
      <c r="P85" s="27"/>
      <c r="Q85" s="29"/>
      <c r="R85" s="26">
        <v>200.0</v>
      </c>
      <c r="T85" s="27">
        <v>200.0</v>
      </c>
      <c r="V85" s="27">
        <v>0.0</v>
      </c>
      <c r="X85" s="27">
        <v>0.0</v>
      </c>
      <c r="Z85" s="27">
        <v>0.0</v>
      </c>
      <c r="AB85" s="27">
        <v>0.0</v>
      </c>
      <c r="AC85" s="29"/>
      <c r="AD85" s="26"/>
      <c r="AF85" s="27"/>
      <c r="AH85" s="27"/>
      <c r="AJ85" s="27"/>
      <c r="AL85" s="27"/>
      <c r="AN85" s="27"/>
      <c r="AO85" s="29"/>
      <c r="AP85" s="45">
        <f t="shared" si="1"/>
        <v>17000</v>
      </c>
      <c r="AQ85" s="41">
        <f t="shared" si="2"/>
        <v>700</v>
      </c>
      <c r="AR85" s="41">
        <f t="shared" si="3"/>
        <v>0</v>
      </c>
      <c r="AS85" s="41">
        <f t="shared" si="4"/>
        <v>700</v>
      </c>
      <c r="AT85" s="46">
        <f t="shared" si="5"/>
        <v>24.28571429</v>
      </c>
      <c r="AU85" s="37"/>
      <c r="AV85" s="37"/>
      <c r="AW85" s="37"/>
    </row>
    <row r="86" ht="15.75" customHeight="1">
      <c r="A86" s="49" t="s">
        <v>32</v>
      </c>
      <c r="B86" s="50">
        <f t="shared" si="6"/>
        <v>44646</v>
      </c>
      <c r="C86" s="51">
        <v>3.0</v>
      </c>
      <c r="D86" s="51" t="s">
        <v>35</v>
      </c>
      <c r="E86" s="53" t="s">
        <v>37</v>
      </c>
      <c r="F86" s="57">
        <v>150.0</v>
      </c>
      <c r="G86" s="55"/>
      <c r="H86" s="59">
        <v>150.0</v>
      </c>
      <c r="I86" s="55"/>
      <c r="J86" s="56">
        <v>0.0</v>
      </c>
      <c r="K86" s="55"/>
      <c r="L86" s="56"/>
      <c r="M86" s="55"/>
      <c r="N86" s="56"/>
      <c r="O86" s="55"/>
      <c r="P86" s="56"/>
      <c r="Q86" s="58"/>
      <c r="R86" s="54">
        <v>200.0</v>
      </c>
      <c r="S86" s="55"/>
      <c r="T86" s="56">
        <v>200.0</v>
      </c>
      <c r="U86" s="55"/>
      <c r="V86" s="56">
        <v>0.0</v>
      </c>
      <c r="W86" s="55"/>
      <c r="X86" s="56">
        <v>0.0</v>
      </c>
      <c r="Y86" s="55"/>
      <c r="Z86" s="56">
        <v>0.0</v>
      </c>
      <c r="AA86" s="55"/>
      <c r="AB86" s="56">
        <v>0.0</v>
      </c>
      <c r="AC86" s="58"/>
      <c r="AD86" s="54"/>
      <c r="AE86" s="55"/>
      <c r="AF86" s="56"/>
      <c r="AG86" s="55"/>
      <c r="AH86" s="56"/>
      <c r="AI86" s="55"/>
      <c r="AJ86" s="56"/>
      <c r="AK86" s="55"/>
      <c r="AL86" s="56"/>
      <c r="AM86" s="55"/>
      <c r="AN86" s="56"/>
      <c r="AO86" s="58"/>
      <c r="AP86" s="60">
        <f t="shared" si="1"/>
        <v>17000</v>
      </c>
      <c r="AQ86" s="51">
        <f t="shared" si="2"/>
        <v>700</v>
      </c>
      <c r="AR86" s="51">
        <f t="shared" si="3"/>
        <v>0</v>
      </c>
      <c r="AS86" s="51">
        <f t="shared" si="4"/>
        <v>700</v>
      </c>
      <c r="AT86" s="61">
        <f t="shared" si="5"/>
        <v>24.28571429</v>
      </c>
      <c r="AU86" s="37"/>
      <c r="AV86" s="37"/>
      <c r="AW86" s="37"/>
    </row>
    <row r="87" ht="15.75" customHeight="1">
      <c r="A87" s="21" t="s">
        <v>24</v>
      </c>
      <c r="B87" s="62">
        <f t="shared" si="6"/>
        <v>44647</v>
      </c>
      <c r="C87" s="23">
        <v>4.0</v>
      </c>
      <c r="D87" s="23" t="s">
        <v>25</v>
      </c>
      <c r="E87" s="25" t="s">
        <v>39</v>
      </c>
      <c r="F87" s="26"/>
      <c r="H87" s="27"/>
      <c r="J87" s="27"/>
      <c r="L87" s="27"/>
      <c r="N87" s="27"/>
      <c r="P87" s="27"/>
      <c r="Q87" s="29"/>
      <c r="R87" s="26">
        <v>100.0</v>
      </c>
      <c r="T87" s="27">
        <v>100.0</v>
      </c>
      <c r="V87" s="27">
        <v>0.0</v>
      </c>
      <c r="X87" s="27">
        <v>0.0</v>
      </c>
      <c r="Z87" s="27">
        <v>0.0</v>
      </c>
      <c r="AB87" s="27">
        <v>100.0</v>
      </c>
      <c r="AC87" s="29"/>
      <c r="AD87" s="26"/>
      <c r="AF87" s="27"/>
      <c r="AH87" s="27"/>
      <c r="AJ87" s="27"/>
      <c r="AL87" s="27"/>
      <c r="AN87" s="27"/>
      <c r="AO87" s="29"/>
      <c r="AP87" s="35">
        <f t="shared" si="1"/>
        <v>4100</v>
      </c>
      <c r="AQ87" s="23">
        <f t="shared" si="2"/>
        <v>200</v>
      </c>
      <c r="AR87" s="23">
        <f t="shared" si="3"/>
        <v>100</v>
      </c>
      <c r="AS87" s="23">
        <f t="shared" si="4"/>
        <v>300</v>
      </c>
      <c r="AT87" s="36">
        <f t="shared" si="5"/>
        <v>13.66666667</v>
      </c>
      <c r="AU87" s="37"/>
      <c r="AV87" s="37"/>
      <c r="AW87" s="37"/>
    </row>
    <row r="88" ht="15.75" customHeight="1">
      <c r="A88" s="39" t="s">
        <v>27</v>
      </c>
      <c r="B88" s="40">
        <f t="shared" si="6"/>
        <v>44648</v>
      </c>
      <c r="C88" s="41">
        <v>4.0</v>
      </c>
      <c r="D88" s="41" t="s">
        <v>25</v>
      </c>
      <c r="E88" s="43" t="s">
        <v>39</v>
      </c>
      <c r="F88" s="26"/>
      <c r="H88" s="27"/>
      <c r="J88" s="27"/>
      <c r="L88" s="27"/>
      <c r="N88" s="27"/>
      <c r="P88" s="27"/>
      <c r="Q88" s="29"/>
      <c r="R88" s="26">
        <v>100.0</v>
      </c>
      <c r="T88" s="27">
        <v>100.0</v>
      </c>
      <c r="V88" s="27">
        <v>0.0</v>
      </c>
      <c r="X88" s="27">
        <v>0.0</v>
      </c>
      <c r="Z88" s="27">
        <v>0.0</v>
      </c>
      <c r="AB88" s="27">
        <v>100.0</v>
      </c>
      <c r="AC88" s="29"/>
      <c r="AD88" s="26"/>
      <c r="AF88" s="27"/>
      <c r="AH88" s="27"/>
      <c r="AJ88" s="27"/>
      <c r="AL88" s="27"/>
      <c r="AN88" s="27"/>
      <c r="AO88" s="29"/>
      <c r="AP88" s="45">
        <f t="shared" si="1"/>
        <v>4100</v>
      </c>
      <c r="AQ88" s="41">
        <f t="shared" si="2"/>
        <v>200</v>
      </c>
      <c r="AR88" s="41">
        <f t="shared" si="3"/>
        <v>100</v>
      </c>
      <c r="AS88" s="41">
        <f t="shared" si="4"/>
        <v>300</v>
      </c>
      <c r="AT88" s="46">
        <f t="shared" si="5"/>
        <v>13.66666667</v>
      </c>
      <c r="AU88" s="37"/>
      <c r="AV88" s="37"/>
      <c r="AW88" s="37"/>
    </row>
    <row r="89" ht="15.75" customHeight="1">
      <c r="A89" s="39" t="s">
        <v>28</v>
      </c>
      <c r="B89" s="40">
        <f t="shared" si="6"/>
        <v>44649</v>
      </c>
      <c r="C89" s="41">
        <v>4.0</v>
      </c>
      <c r="D89" s="41" t="s">
        <v>25</v>
      </c>
      <c r="E89" s="43" t="s">
        <v>39</v>
      </c>
      <c r="F89" s="26"/>
      <c r="H89" s="27"/>
      <c r="J89" s="27"/>
      <c r="L89" s="27"/>
      <c r="N89" s="27"/>
      <c r="P89" s="27"/>
      <c r="Q89" s="29"/>
      <c r="R89" s="26">
        <v>100.0</v>
      </c>
      <c r="T89" s="27">
        <v>100.0</v>
      </c>
      <c r="V89" s="27">
        <v>0.0</v>
      </c>
      <c r="X89" s="27">
        <v>0.0</v>
      </c>
      <c r="Z89" s="27">
        <v>0.0</v>
      </c>
      <c r="AB89" s="27">
        <v>100.0</v>
      </c>
      <c r="AC89" s="29"/>
      <c r="AD89" s="26"/>
      <c r="AF89" s="27"/>
      <c r="AH89" s="27"/>
      <c r="AJ89" s="27"/>
      <c r="AL89" s="27"/>
      <c r="AN89" s="27"/>
      <c r="AO89" s="29"/>
      <c r="AP89" s="45">
        <f t="shared" si="1"/>
        <v>4100</v>
      </c>
      <c r="AQ89" s="41">
        <f t="shared" si="2"/>
        <v>200</v>
      </c>
      <c r="AR89" s="41">
        <f t="shared" si="3"/>
        <v>100</v>
      </c>
      <c r="AS89" s="41">
        <f t="shared" si="4"/>
        <v>300</v>
      </c>
      <c r="AT89" s="46">
        <f t="shared" si="5"/>
        <v>13.66666667</v>
      </c>
      <c r="AU89" s="37"/>
      <c r="AV89" s="37"/>
      <c r="AW89" s="37"/>
    </row>
    <row r="90" ht="15.75" customHeight="1">
      <c r="A90" s="39" t="s">
        <v>29</v>
      </c>
      <c r="B90" s="40">
        <f t="shared" si="6"/>
        <v>44650</v>
      </c>
      <c r="C90" s="41">
        <v>4.0</v>
      </c>
      <c r="D90" s="41" t="s">
        <v>25</v>
      </c>
      <c r="E90" s="43" t="s">
        <v>39</v>
      </c>
      <c r="F90" s="26"/>
      <c r="H90" s="27"/>
      <c r="J90" s="27"/>
      <c r="L90" s="27"/>
      <c r="N90" s="27"/>
      <c r="P90" s="27"/>
      <c r="Q90" s="29"/>
      <c r="R90" s="26">
        <v>100.0</v>
      </c>
      <c r="T90" s="27">
        <v>100.0</v>
      </c>
      <c r="V90" s="27">
        <v>0.0</v>
      </c>
      <c r="X90" s="27">
        <v>0.0</v>
      </c>
      <c r="Z90" s="27">
        <v>0.0</v>
      </c>
      <c r="AB90" s="27">
        <v>100.0</v>
      </c>
      <c r="AC90" s="29"/>
      <c r="AD90" s="26"/>
      <c r="AF90" s="27"/>
      <c r="AH90" s="27"/>
      <c r="AJ90" s="27"/>
      <c r="AL90" s="27"/>
      <c r="AN90" s="27"/>
      <c r="AO90" s="29"/>
      <c r="AP90" s="45">
        <f t="shared" si="1"/>
        <v>4100</v>
      </c>
      <c r="AQ90" s="41">
        <f t="shared" si="2"/>
        <v>200</v>
      </c>
      <c r="AR90" s="41">
        <f t="shared" si="3"/>
        <v>100</v>
      </c>
      <c r="AS90" s="41">
        <f t="shared" si="4"/>
        <v>300</v>
      </c>
      <c r="AT90" s="46">
        <f t="shared" si="5"/>
        <v>13.66666667</v>
      </c>
      <c r="AU90" s="37"/>
      <c r="AV90" s="37"/>
      <c r="AW90" s="37"/>
    </row>
    <row r="91" ht="15.75" customHeight="1">
      <c r="A91" s="39" t="s">
        <v>30</v>
      </c>
      <c r="B91" s="40">
        <f t="shared" si="6"/>
        <v>44651</v>
      </c>
      <c r="C91" s="41">
        <v>4.0</v>
      </c>
      <c r="D91" s="41" t="s">
        <v>25</v>
      </c>
      <c r="E91" s="43" t="s">
        <v>39</v>
      </c>
      <c r="F91" s="26"/>
      <c r="H91" s="27"/>
      <c r="J91" s="27"/>
      <c r="L91" s="27"/>
      <c r="N91" s="27"/>
      <c r="P91" s="27"/>
      <c r="Q91" s="29"/>
      <c r="R91" s="26">
        <v>100.0</v>
      </c>
      <c r="T91" s="27">
        <v>100.0</v>
      </c>
      <c r="V91" s="27">
        <v>0.0</v>
      </c>
      <c r="X91" s="27">
        <v>0.0</v>
      </c>
      <c r="Z91" s="27">
        <v>0.0</v>
      </c>
      <c r="AB91" s="27">
        <v>100.0</v>
      </c>
      <c r="AC91" s="29"/>
      <c r="AD91" s="26"/>
      <c r="AF91" s="27"/>
      <c r="AH91" s="27"/>
      <c r="AJ91" s="27"/>
      <c r="AL91" s="27"/>
      <c r="AN91" s="27"/>
      <c r="AO91" s="29"/>
      <c r="AP91" s="45">
        <f t="shared" si="1"/>
        <v>4100</v>
      </c>
      <c r="AQ91" s="41">
        <f t="shared" si="2"/>
        <v>200</v>
      </c>
      <c r="AR91" s="41">
        <f t="shared" si="3"/>
        <v>100</v>
      </c>
      <c r="AS91" s="41">
        <f t="shared" si="4"/>
        <v>300</v>
      </c>
      <c r="AT91" s="46">
        <f t="shared" si="5"/>
        <v>13.66666667</v>
      </c>
      <c r="AU91" s="37"/>
      <c r="AV91" s="37"/>
      <c r="AW91" s="37"/>
    </row>
    <row r="92" ht="15.75" customHeight="1">
      <c r="A92" s="39" t="s">
        <v>31</v>
      </c>
      <c r="B92" s="40">
        <f t="shared" si="6"/>
        <v>44652</v>
      </c>
      <c r="C92" s="41">
        <v>4.0</v>
      </c>
      <c r="D92" s="41" t="s">
        <v>25</v>
      </c>
      <c r="E92" s="43" t="s">
        <v>39</v>
      </c>
      <c r="F92" s="26"/>
      <c r="H92" s="27"/>
      <c r="J92" s="27"/>
      <c r="L92" s="27"/>
      <c r="N92" s="27"/>
      <c r="P92" s="27"/>
      <c r="Q92" s="29"/>
      <c r="R92" s="26">
        <v>100.0</v>
      </c>
      <c r="T92" s="27">
        <v>100.0</v>
      </c>
      <c r="V92" s="27">
        <v>0.0</v>
      </c>
      <c r="X92" s="27">
        <v>0.0</v>
      </c>
      <c r="Z92" s="27">
        <v>0.0</v>
      </c>
      <c r="AB92" s="27">
        <v>100.0</v>
      </c>
      <c r="AC92" s="29"/>
      <c r="AD92" s="26"/>
      <c r="AF92" s="27"/>
      <c r="AH92" s="27"/>
      <c r="AJ92" s="27"/>
      <c r="AL92" s="27"/>
      <c r="AN92" s="27"/>
      <c r="AO92" s="29"/>
      <c r="AP92" s="45">
        <f t="shared" si="1"/>
        <v>4100</v>
      </c>
      <c r="AQ92" s="41">
        <f t="shared" si="2"/>
        <v>200</v>
      </c>
      <c r="AR92" s="41">
        <f t="shared" si="3"/>
        <v>100</v>
      </c>
      <c r="AS92" s="41">
        <f t="shared" si="4"/>
        <v>300</v>
      </c>
      <c r="AT92" s="46">
        <f t="shared" si="5"/>
        <v>13.66666667</v>
      </c>
      <c r="AU92" s="37"/>
      <c r="AV92" s="37"/>
      <c r="AW92" s="37"/>
    </row>
    <row r="93" ht="15.75" customHeight="1">
      <c r="A93" s="49" t="s">
        <v>32</v>
      </c>
      <c r="B93" s="50">
        <f t="shared" si="6"/>
        <v>44653</v>
      </c>
      <c r="C93" s="51">
        <v>4.0</v>
      </c>
      <c r="D93" s="51" t="s">
        <v>25</v>
      </c>
      <c r="E93" s="53" t="s">
        <v>39</v>
      </c>
      <c r="F93" s="54"/>
      <c r="G93" s="55"/>
      <c r="H93" s="56"/>
      <c r="I93" s="55"/>
      <c r="J93" s="56"/>
      <c r="K93" s="55"/>
      <c r="L93" s="56"/>
      <c r="M93" s="55"/>
      <c r="N93" s="56"/>
      <c r="O93" s="55"/>
      <c r="P93" s="56"/>
      <c r="Q93" s="58"/>
      <c r="R93" s="54">
        <v>0.0</v>
      </c>
      <c r="S93" s="55"/>
      <c r="T93" s="56">
        <v>0.0</v>
      </c>
      <c r="U93" s="55"/>
      <c r="V93" s="56">
        <v>0.0</v>
      </c>
      <c r="W93" s="55"/>
      <c r="X93" s="56">
        <v>0.0</v>
      </c>
      <c r="Y93" s="55"/>
      <c r="Z93" s="56">
        <v>0.0</v>
      </c>
      <c r="AA93" s="55"/>
      <c r="AB93" s="56">
        <v>0.0</v>
      </c>
      <c r="AC93" s="58"/>
      <c r="AD93" s="54"/>
      <c r="AE93" s="55"/>
      <c r="AF93" s="56"/>
      <c r="AG93" s="55"/>
      <c r="AH93" s="56"/>
      <c r="AI93" s="55"/>
      <c r="AJ93" s="56"/>
      <c r="AK93" s="55"/>
      <c r="AL93" s="56"/>
      <c r="AM93" s="55"/>
      <c r="AN93" s="56"/>
      <c r="AO93" s="58"/>
      <c r="AP93" s="60">
        <f t="shared" si="1"/>
        <v>0</v>
      </c>
      <c r="AQ93" s="51">
        <f t="shared" si="2"/>
        <v>0</v>
      </c>
      <c r="AR93" s="51">
        <f t="shared" si="3"/>
        <v>0</v>
      </c>
      <c r="AS93" s="51">
        <f t="shared" si="4"/>
        <v>0</v>
      </c>
      <c r="AT93" s="61" t="str">
        <f t="shared" si="5"/>
        <v/>
      </c>
      <c r="AU93" s="37"/>
      <c r="AV93" s="37"/>
      <c r="AW93" s="37"/>
    </row>
    <row r="94" ht="15.75" customHeight="1">
      <c r="A94" s="21" t="s">
        <v>24</v>
      </c>
      <c r="B94" s="62">
        <f t="shared" si="6"/>
        <v>44654</v>
      </c>
      <c r="C94" s="23">
        <v>4.0</v>
      </c>
      <c r="D94" s="23" t="s">
        <v>33</v>
      </c>
      <c r="E94" s="63" t="s">
        <v>39</v>
      </c>
      <c r="F94" s="26"/>
      <c r="H94" s="27"/>
      <c r="J94" s="27"/>
      <c r="L94" s="27"/>
      <c r="N94" s="27"/>
      <c r="P94" s="27"/>
      <c r="Q94" s="29"/>
      <c r="R94" s="26">
        <v>100.0</v>
      </c>
      <c r="T94" s="27">
        <v>100.0</v>
      </c>
      <c r="V94" s="27">
        <v>0.0</v>
      </c>
      <c r="X94" s="27">
        <v>0.0</v>
      </c>
      <c r="Z94" s="27">
        <v>0.0</v>
      </c>
      <c r="AB94" s="27">
        <v>100.0</v>
      </c>
      <c r="AC94" s="29"/>
      <c r="AD94" s="26"/>
      <c r="AF94" s="27"/>
      <c r="AH94" s="27"/>
      <c r="AJ94" s="27"/>
      <c r="AL94" s="27"/>
      <c r="AN94" s="27"/>
      <c r="AO94" s="29"/>
      <c r="AP94" s="35">
        <f t="shared" si="1"/>
        <v>4100</v>
      </c>
      <c r="AQ94" s="23">
        <f t="shared" si="2"/>
        <v>200</v>
      </c>
      <c r="AR94" s="23">
        <f t="shared" si="3"/>
        <v>100</v>
      </c>
      <c r="AS94" s="23">
        <f t="shared" si="4"/>
        <v>300</v>
      </c>
      <c r="AT94" s="36">
        <f t="shared" si="5"/>
        <v>13.66666667</v>
      </c>
      <c r="AU94" s="37"/>
      <c r="AV94" s="37"/>
      <c r="AW94" s="37"/>
    </row>
    <row r="95" ht="15.75" customHeight="1">
      <c r="A95" s="39" t="s">
        <v>27</v>
      </c>
      <c r="B95" s="40">
        <f t="shared" si="6"/>
        <v>44655</v>
      </c>
      <c r="C95" s="41">
        <v>4.0</v>
      </c>
      <c r="D95" s="41" t="s">
        <v>33</v>
      </c>
      <c r="E95" s="43" t="s">
        <v>39</v>
      </c>
      <c r="F95" s="26"/>
      <c r="H95" s="27"/>
      <c r="J95" s="27"/>
      <c r="L95" s="27"/>
      <c r="N95" s="27"/>
      <c r="P95" s="27"/>
      <c r="Q95" s="29"/>
      <c r="R95" s="26">
        <v>100.0</v>
      </c>
      <c r="T95" s="27">
        <v>100.0</v>
      </c>
      <c r="V95" s="27">
        <v>0.0</v>
      </c>
      <c r="X95" s="27">
        <v>0.0</v>
      </c>
      <c r="Z95" s="27">
        <v>0.0</v>
      </c>
      <c r="AB95" s="27">
        <v>100.0</v>
      </c>
      <c r="AC95" s="29"/>
      <c r="AD95" s="26"/>
      <c r="AF95" s="27"/>
      <c r="AH95" s="27"/>
      <c r="AJ95" s="27"/>
      <c r="AL95" s="27"/>
      <c r="AN95" s="27"/>
      <c r="AO95" s="29"/>
      <c r="AP95" s="45">
        <f t="shared" si="1"/>
        <v>4100</v>
      </c>
      <c r="AQ95" s="41">
        <f t="shared" si="2"/>
        <v>200</v>
      </c>
      <c r="AR95" s="41">
        <f t="shared" si="3"/>
        <v>100</v>
      </c>
      <c r="AS95" s="41">
        <f t="shared" si="4"/>
        <v>300</v>
      </c>
      <c r="AT95" s="46">
        <f t="shared" si="5"/>
        <v>13.66666667</v>
      </c>
      <c r="AU95" s="37"/>
      <c r="AV95" s="37"/>
      <c r="AW95" s="37"/>
    </row>
    <row r="96" ht="15.75" customHeight="1">
      <c r="A96" s="39" t="s">
        <v>28</v>
      </c>
      <c r="B96" s="40">
        <f t="shared" si="6"/>
        <v>44656</v>
      </c>
      <c r="C96" s="41">
        <v>4.0</v>
      </c>
      <c r="D96" s="41" t="s">
        <v>33</v>
      </c>
      <c r="E96" s="43" t="s">
        <v>39</v>
      </c>
      <c r="F96" s="26"/>
      <c r="H96" s="27"/>
      <c r="J96" s="27"/>
      <c r="L96" s="27"/>
      <c r="N96" s="27"/>
      <c r="P96" s="27"/>
      <c r="Q96" s="29"/>
      <c r="R96" s="26">
        <v>100.0</v>
      </c>
      <c r="T96" s="27">
        <v>100.0</v>
      </c>
      <c r="V96" s="27">
        <v>0.0</v>
      </c>
      <c r="X96" s="27">
        <v>0.0</v>
      </c>
      <c r="Z96" s="27">
        <v>0.0</v>
      </c>
      <c r="AB96" s="27">
        <v>100.0</v>
      </c>
      <c r="AC96" s="29"/>
      <c r="AD96" s="26"/>
      <c r="AF96" s="27"/>
      <c r="AH96" s="27"/>
      <c r="AJ96" s="27"/>
      <c r="AL96" s="27"/>
      <c r="AN96" s="27"/>
      <c r="AO96" s="29"/>
      <c r="AP96" s="45">
        <f t="shared" si="1"/>
        <v>4100</v>
      </c>
      <c r="AQ96" s="41">
        <f t="shared" si="2"/>
        <v>200</v>
      </c>
      <c r="AR96" s="41">
        <f t="shared" si="3"/>
        <v>100</v>
      </c>
      <c r="AS96" s="41">
        <f t="shared" si="4"/>
        <v>300</v>
      </c>
      <c r="AT96" s="46">
        <f t="shared" si="5"/>
        <v>13.66666667</v>
      </c>
      <c r="AU96" s="37"/>
      <c r="AV96" s="37"/>
      <c r="AW96" s="37"/>
    </row>
    <row r="97" ht="15.75" customHeight="1">
      <c r="A97" s="39" t="s">
        <v>29</v>
      </c>
      <c r="B97" s="40">
        <f t="shared" si="6"/>
        <v>44657</v>
      </c>
      <c r="C97" s="41">
        <v>4.0</v>
      </c>
      <c r="D97" s="41" t="s">
        <v>33</v>
      </c>
      <c r="E97" s="43" t="s">
        <v>39</v>
      </c>
      <c r="F97" s="26"/>
      <c r="H97" s="27"/>
      <c r="J97" s="27"/>
      <c r="L97" s="27"/>
      <c r="N97" s="27"/>
      <c r="P97" s="27"/>
      <c r="Q97" s="29"/>
      <c r="R97" s="26">
        <v>100.0</v>
      </c>
      <c r="T97" s="27">
        <v>100.0</v>
      </c>
      <c r="V97" s="27">
        <v>0.0</v>
      </c>
      <c r="X97" s="27">
        <v>0.0</v>
      </c>
      <c r="Z97" s="27">
        <v>0.0</v>
      </c>
      <c r="AB97" s="27">
        <v>100.0</v>
      </c>
      <c r="AC97" s="29"/>
      <c r="AD97" s="26"/>
      <c r="AF97" s="27"/>
      <c r="AH97" s="27"/>
      <c r="AJ97" s="27"/>
      <c r="AL97" s="27"/>
      <c r="AN97" s="27"/>
      <c r="AO97" s="29"/>
      <c r="AP97" s="45">
        <f t="shared" si="1"/>
        <v>4100</v>
      </c>
      <c r="AQ97" s="41">
        <f t="shared" si="2"/>
        <v>200</v>
      </c>
      <c r="AR97" s="41">
        <f t="shared" si="3"/>
        <v>100</v>
      </c>
      <c r="AS97" s="41">
        <f t="shared" si="4"/>
        <v>300</v>
      </c>
      <c r="AT97" s="46">
        <f t="shared" si="5"/>
        <v>13.66666667</v>
      </c>
      <c r="AU97" s="37"/>
      <c r="AV97" s="37"/>
      <c r="AW97" s="37"/>
    </row>
    <row r="98" ht="15.75" customHeight="1">
      <c r="A98" s="39" t="s">
        <v>30</v>
      </c>
      <c r="B98" s="40">
        <f t="shared" si="6"/>
        <v>44658</v>
      </c>
      <c r="C98" s="41">
        <v>4.0</v>
      </c>
      <c r="D98" s="41" t="s">
        <v>33</v>
      </c>
      <c r="E98" s="43" t="s">
        <v>39</v>
      </c>
      <c r="F98" s="26"/>
      <c r="H98" s="27"/>
      <c r="J98" s="27"/>
      <c r="L98" s="27"/>
      <c r="N98" s="27"/>
      <c r="P98" s="27"/>
      <c r="Q98" s="29"/>
      <c r="R98" s="26">
        <v>100.0</v>
      </c>
      <c r="T98" s="27">
        <v>100.0</v>
      </c>
      <c r="V98" s="27">
        <v>0.0</v>
      </c>
      <c r="X98" s="27">
        <v>0.0</v>
      </c>
      <c r="Z98" s="27">
        <v>0.0</v>
      </c>
      <c r="AB98" s="27">
        <v>100.0</v>
      </c>
      <c r="AC98" s="29"/>
      <c r="AD98" s="26"/>
      <c r="AF98" s="27"/>
      <c r="AH98" s="27"/>
      <c r="AJ98" s="27"/>
      <c r="AL98" s="27"/>
      <c r="AN98" s="27"/>
      <c r="AO98" s="29"/>
      <c r="AP98" s="45">
        <f t="shared" si="1"/>
        <v>4100</v>
      </c>
      <c r="AQ98" s="41">
        <f t="shared" si="2"/>
        <v>200</v>
      </c>
      <c r="AR98" s="41">
        <f t="shared" si="3"/>
        <v>100</v>
      </c>
      <c r="AS98" s="41">
        <f t="shared" si="4"/>
        <v>300</v>
      </c>
      <c r="AT98" s="46">
        <f t="shared" si="5"/>
        <v>13.66666667</v>
      </c>
      <c r="AU98" s="37"/>
      <c r="AV98" s="37"/>
      <c r="AW98" s="37"/>
    </row>
    <row r="99" ht="15.75" customHeight="1">
      <c r="A99" s="39" t="s">
        <v>31</v>
      </c>
      <c r="B99" s="40">
        <f t="shared" si="6"/>
        <v>44659</v>
      </c>
      <c r="C99" s="41">
        <v>4.0</v>
      </c>
      <c r="D99" s="41" t="s">
        <v>33</v>
      </c>
      <c r="E99" s="43" t="s">
        <v>39</v>
      </c>
      <c r="F99" s="26"/>
      <c r="H99" s="27"/>
      <c r="J99" s="27"/>
      <c r="L99" s="27"/>
      <c r="N99" s="27"/>
      <c r="P99" s="27"/>
      <c r="Q99" s="29"/>
      <c r="R99" s="26">
        <v>100.0</v>
      </c>
      <c r="T99" s="27">
        <v>100.0</v>
      </c>
      <c r="V99" s="27">
        <v>0.0</v>
      </c>
      <c r="X99" s="27">
        <v>0.0</v>
      </c>
      <c r="Z99" s="27">
        <v>0.0</v>
      </c>
      <c r="AB99" s="27">
        <v>100.0</v>
      </c>
      <c r="AC99" s="29"/>
      <c r="AD99" s="26"/>
      <c r="AF99" s="27"/>
      <c r="AH99" s="27"/>
      <c r="AJ99" s="27"/>
      <c r="AL99" s="27"/>
      <c r="AN99" s="27"/>
      <c r="AO99" s="29"/>
      <c r="AP99" s="45">
        <f t="shared" si="1"/>
        <v>4100</v>
      </c>
      <c r="AQ99" s="41">
        <f t="shared" si="2"/>
        <v>200</v>
      </c>
      <c r="AR99" s="41">
        <f t="shared" si="3"/>
        <v>100</v>
      </c>
      <c r="AS99" s="41">
        <f t="shared" si="4"/>
        <v>300</v>
      </c>
      <c r="AT99" s="46">
        <f t="shared" si="5"/>
        <v>13.66666667</v>
      </c>
      <c r="AU99" s="37"/>
      <c r="AV99" s="37"/>
      <c r="AW99" s="37"/>
    </row>
    <row r="100" ht="15.75" customHeight="1">
      <c r="A100" s="49" t="s">
        <v>32</v>
      </c>
      <c r="B100" s="50">
        <f t="shared" si="6"/>
        <v>44660</v>
      </c>
      <c r="C100" s="51">
        <v>4.0</v>
      </c>
      <c r="D100" s="51" t="s">
        <v>33</v>
      </c>
      <c r="E100" s="53" t="s">
        <v>39</v>
      </c>
      <c r="F100" s="54"/>
      <c r="G100" s="55"/>
      <c r="H100" s="56"/>
      <c r="I100" s="55"/>
      <c r="J100" s="56"/>
      <c r="K100" s="55"/>
      <c r="L100" s="56"/>
      <c r="M100" s="55"/>
      <c r="N100" s="56"/>
      <c r="O100" s="55"/>
      <c r="P100" s="56"/>
      <c r="Q100" s="58"/>
      <c r="R100" s="54">
        <v>0.0</v>
      </c>
      <c r="S100" s="55"/>
      <c r="T100" s="56">
        <v>0.0</v>
      </c>
      <c r="U100" s="55"/>
      <c r="V100" s="56">
        <v>0.0</v>
      </c>
      <c r="W100" s="55"/>
      <c r="X100" s="56">
        <v>0.0</v>
      </c>
      <c r="Y100" s="55"/>
      <c r="Z100" s="56">
        <v>0.0</v>
      </c>
      <c r="AA100" s="55"/>
      <c r="AB100" s="56">
        <v>0.0</v>
      </c>
      <c r="AC100" s="58"/>
      <c r="AD100" s="54"/>
      <c r="AE100" s="55"/>
      <c r="AF100" s="56"/>
      <c r="AG100" s="55"/>
      <c r="AH100" s="56"/>
      <c r="AI100" s="55"/>
      <c r="AJ100" s="56"/>
      <c r="AK100" s="55"/>
      <c r="AL100" s="56"/>
      <c r="AM100" s="55"/>
      <c r="AN100" s="56"/>
      <c r="AO100" s="58"/>
      <c r="AP100" s="60">
        <f t="shared" si="1"/>
        <v>0</v>
      </c>
      <c r="AQ100" s="51">
        <f t="shared" si="2"/>
        <v>0</v>
      </c>
      <c r="AR100" s="51">
        <f t="shared" si="3"/>
        <v>0</v>
      </c>
      <c r="AS100" s="51">
        <f t="shared" si="4"/>
        <v>0</v>
      </c>
      <c r="AT100" s="61" t="str">
        <f t="shared" si="5"/>
        <v/>
      </c>
      <c r="AU100" s="37"/>
      <c r="AV100" s="37"/>
      <c r="AW100" s="37"/>
    </row>
    <row r="101" ht="15.75" customHeight="1">
      <c r="A101" s="21" t="s">
        <v>24</v>
      </c>
      <c r="B101" s="62">
        <f t="shared" si="6"/>
        <v>44661</v>
      </c>
      <c r="C101" s="23">
        <v>4.0</v>
      </c>
      <c r="D101" s="23" t="s">
        <v>34</v>
      </c>
      <c r="E101" s="63" t="s">
        <v>39</v>
      </c>
      <c r="F101" s="26"/>
      <c r="H101" s="27"/>
      <c r="J101" s="27"/>
      <c r="L101" s="27"/>
      <c r="N101" s="27"/>
      <c r="P101" s="27"/>
      <c r="Q101" s="29"/>
      <c r="R101" s="26">
        <v>100.0</v>
      </c>
      <c r="T101" s="27">
        <v>100.0</v>
      </c>
      <c r="V101" s="27">
        <v>0.0</v>
      </c>
      <c r="X101" s="27">
        <v>0.0</v>
      </c>
      <c r="Z101" s="27">
        <v>0.0</v>
      </c>
      <c r="AB101" s="27">
        <v>100.0</v>
      </c>
      <c r="AC101" s="29"/>
      <c r="AD101" s="26"/>
      <c r="AF101" s="27"/>
      <c r="AH101" s="27"/>
      <c r="AJ101" s="27"/>
      <c r="AL101" s="27"/>
      <c r="AN101" s="27"/>
      <c r="AO101" s="29"/>
      <c r="AP101" s="35">
        <f t="shared" si="1"/>
        <v>4100</v>
      </c>
      <c r="AQ101" s="23">
        <f t="shared" si="2"/>
        <v>200</v>
      </c>
      <c r="AR101" s="23">
        <f t="shared" si="3"/>
        <v>100</v>
      </c>
      <c r="AS101" s="23">
        <f t="shared" si="4"/>
        <v>300</v>
      </c>
      <c r="AT101" s="36">
        <f t="shared" si="5"/>
        <v>13.66666667</v>
      </c>
      <c r="AU101" s="37"/>
      <c r="AV101" s="37"/>
      <c r="AW101" s="37"/>
    </row>
    <row r="102" ht="15.75" customHeight="1">
      <c r="A102" s="39" t="s">
        <v>27</v>
      </c>
      <c r="B102" s="40">
        <f t="shared" si="6"/>
        <v>44662</v>
      </c>
      <c r="C102" s="41">
        <v>4.0</v>
      </c>
      <c r="D102" s="41" t="s">
        <v>34</v>
      </c>
      <c r="E102" s="43" t="s">
        <v>39</v>
      </c>
      <c r="F102" s="26"/>
      <c r="H102" s="27"/>
      <c r="J102" s="27"/>
      <c r="L102" s="27"/>
      <c r="N102" s="27"/>
      <c r="P102" s="27"/>
      <c r="Q102" s="29"/>
      <c r="R102" s="26">
        <v>100.0</v>
      </c>
      <c r="T102" s="27">
        <v>100.0</v>
      </c>
      <c r="V102" s="27">
        <v>0.0</v>
      </c>
      <c r="X102" s="27">
        <v>0.0</v>
      </c>
      <c r="Z102" s="27">
        <v>0.0</v>
      </c>
      <c r="AB102" s="27">
        <v>100.0</v>
      </c>
      <c r="AC102" s="29"/>
      <c r="AD102" s="26"/>
      <c r="AF102" s="27"/>
      <c r="AH102" s="27"/>
      <c r="AJ102" s="27"/>
      <c r="AL102" s="27"/>
      <c r="AN102" s="27"/>
      <c r="AO102" s="29"/>
      <c r="AP102" s="45">
        <f t="shared" si="1"/>
        <v>4100</v>
      </c>
      <c r="AQ102" s="41">
        <f t="shared" si="2"/>
        <v>200</v>
      </c>
      <c r="AR102" s="41">
        <f t="shared" si="3"/>
        <v>100</v>
      </c>
      <c r="AS102" s="41">
        <f t="shared" si="4"/>
        <v>300</v>
      </c>
      <c r="AT102" s="46">
        <f t="shared" si="5"/>
        <v>13.66666667</v>
      </c>
      <c r="AU102" s="37"/>
      <c r="AV102" s="37"/>
      <c r="AW102" s="37"/>
    </row>
    <row r="103" ht="15.75" customHeight="1">
      <c r="A103" s="39" t="s">
        <v>28</v>
      </c>
      <c r="B103" s="40">
        <f t="shared" si="6"/>
        <v>44663</v>
      </c>
      <c r="C103" s="41">
        <v>4.0</v>
      </c>
      <c r="D103" s="41" t="s">
        <v>34</v>
      </c>
      <c r="E103" s="43" t="s">
        <v>39</v>
      </c>
      <c r="F103" s="26"/>
      <c r="H103" s="27"/>
      <c r="J103" s="27"/>
      <c r="L103" s="27"/>
      <c r="N103" s="27"/>
      <c r="P103" s="27"/>
      <c r="Q103" s="29"/>
      <c r="R103" s="26">
        <v>100.0</v>
      </c>
      <c r="T103" s="27">
        <v>100.0</v>
      </c>
      <c r="V103" s="27">
        <v>0.0</v>
      </c>
      <c r="X103" s="27">
        <v>0.0</v>
      </c>
      <c r="Z103" s="27">
        <v>0.0</v>
      </c>
      <c r="AB103" s="27">
        <v>100.0</v>
      </c>
      <c r="AC103" s="29"/>
      <c r="AD103" s="26"/>
      <c r="AF103" s="27"/>
      <c r="AH103" s="27"/>
      <c r="AJ103" s="27"/>
      <c r="AL103" s="27"/>
      <c r="AN103" s="27"/>
      <c r="AO103" s="29"/>
      <c r="AP103" s="45">
        <f t="shared" si="1"/>
        <v>4100</v>
      </c>
      <c r="AQ103" s="41">
        <f t="shared" si="2"/>
        <v>200</v>
      </c>
      <c r="AR103" s="41">
        <f t="shared" si="3"/>
        <v>100</v>
      </c>
      <c r="AS103" s="41">
        <f t="shared" si="4"/>
        <v>300</v>
      </c>
      <c r="AT103" s="46">
        <f t="shared" si="5"/>
        <v>13.66666667</v>
      </c>
      <c r="AU103" s="37"/>
      <c r="AV103" s="37"/>
      <c r="AW103" s="37"/>
    </row>
    <row r="104" ht="15.75" customHeight="1">
      <c r="A104" s="39" t="s">
        <v>29</v>
      </c>
      <c r="B104" s="40">
        <f t="shared" si="6"/>
        <v>44664</v>
      </c>
      <c r="C104" s="41">
        <v>4.0</v>
      </c>
      <c r="D104" s="41" t="s">
        <v>34</v>
      </c>
      <c r="E104" s="43" t="s">
        <v>39</v>
      </c>
      <c r="F104" s="26"/>
      <c r="H104" s="27"/>
      <c r="J104" s="27"/>
      <c r="L104" s="27"/>
      <c r="N104" s="27"/>
      <c r="P104" s="27"/>
      <c r="Q104" s="29"/>
      <c r="R104" s="26">
        <v>100.0</v>
      </c>
      <c r="T104" s="27">
        <v>100.0</v>
      </c>
      <c r="V104" s="27">
        <v>0.0</v>
      </c>
      <c r="X104" s="27">
        <v>0.0</v>
      </c>
      <c r="Z104" s="27">
        <v>0.0</v>
      </c>
      <c r="AB104" s="27">
        <v>100.0</v>
      </c>
      <c r="AC104" s="29"/>
      <c r="AD104" s="26"/>
      <c r="AF104" s="27"/>
      <c r="AH104" s="27"/>
      <c r="AJ104" s="27"/>
      <c r="AL104" s="27"/>
      <c r="AN104" s="27"/>
      <c r="AO104" s="29"/>
      <c r="AP104" s="45">
        <f t="shared" si="1"/>
        <v>4100</v>
      </c>
      <c r="AQ104" s="41">
        <f t="shared" si="2"/>
        <v>200</v>
      </c>
      <c r="AR104" s="41">
        <f t="shared" si="3"/>
        <v>100</v>
      </c>
      <c r="AS104" s="41">
        <f t="shared" si="4"/>
        <v>300</v>
      </c>
      <c r="AT104" s="46">
        <f t="shared" si="5"/>
        <v>13.66666667</v>
      </c>
      <c r="AU104" s="37"/>
      <c r="AV104" s="37"/>
      <c r="AW104" s="37"/>
    </row>
    <row r="105" ht="15.75" customHeight="1">
      <c r="A105" s="39" t="s">
        <v>30</v>
      </c>
      <c r="B105" s="40">
        <f t="shared" si="6"/>
        <v>44665</v>
      </c>
      <c r="C105" s="41">
        <v>4.0</v>
      </c>
      <c r="D105" s="41" t="s">
        <v>34</v>
      </c>
      <c r="E105" s="43" t="s">
        <v>39</v>
      </c>
      <c r="F105" s="26"/>
      <c r="H105" s="27"/>
      <c r="J105" s="27"/>
      <c r="L105" s="27"/>
      <c r="N105" s="27"/>
      <c r="P105" s="27"/>
      <c r="Q105" s="29"/>
      <c r="R105" s="26">
        <v>100.0</v>
      </c>
      <c r="T105" s="27">
        <v>100.0</v>
      </c>
      <c r="V105" s="27">
        <v>0.0</v>
      </c>
      <c r="X105" s="27">
        <v>0.0</v>
      </c>
      <c r="Z105" s="27">
        <v>0.0</v>
      </c>
      <c r="AB105" s="27">
        <v>100.0</v>
      </c>
      <c r="AC105" s="29"/>
      <c r="AD105" s="26"/>
      <c r="AF105" s="27"/>
      <c r="AH105" s="27"/>
      <c r="AJ105" s="27"/>
      <c r="AL105" s="27"/>
      <c r="AN105" s="27"/>
      <c r="AO105" s="29"/>
      <c r="AP105" s="45">
        <f t="shared" si="1"/>
        <v>4100</v>
      </c>
      <c r="AQ105" s="41">
        <f t="shared" si="2"/>
        <v>200</v>
      </c>
      <c r="AR105" s="41">
        <f t="shared" si="3"/>
        <v>100</v>
      </c>
      <c r="AS105" s="41">
        <f t="shared" si="4"/>
        <v>300</v>
      </c>
      <c r="AT105" s="46">
        <f t="shared" si="5"/>
        <v>13.66666667</v>
      </c>
      <c r="AU105" s="37"/>
      <c r="AV105" s="37"/>
      <c r="AW105" s="37"/>
    </row>
    <row r="106" ht="15.75" customHeight="1">
      <c r="A106" s="39" t="s">
        <v>31</v>
      </c>
      <c r="B106" s="40">
        <f t="shared" si="6"/>
        <v>44666</v>
      </c>
      <c r="C106" s="41">
        <v>4.0</v>
      </c>
      <c r="D106" s="41" t="s">
        <v>34</v>
      </c>
      <c r="E106" s="43" t="s">
        <v>39</v>
      </c>
      <c r="F106" s="26"/>
      <c r="H106" s="27"/>
      <c r="J106" s="27"/>
      <c r="L106" s="27"/>
      <c r="N106" s="27"/>
      <c r="P106" s="27"/>
      <c r="Q106" s="29"/>
      <c r="R106" s="26">
        <v>100.0</v>
      </c>
      <c r="T106" s="27">
        <v>100.0</v>
      </c>
      <c r="V106" s="27">
        <v>0.0</v>
      </c>
      <c r="X106" s="27">
        <v>0.0</v>
      </c>
      <c r="Z106" s="27">
        <v>0.0</v>
      </c>
      <c r="AB106" s="27">
        <v>100.0</v>
      </c>
      <c r="AC106" s="29"/>
      <c r="AD106" s="26"/>
      <c r="AF106" s="27"/>
      <c r="AH106" s="27"/>
      <c r="AJ106" s="27"/>
      <c r="AL106" s="27"/>
      <c r="AN106" s="27"/>
      <c r="AO106" s="29"/>
      <c r="AP106" s="45">
        <f t="shared" si="1"/>
        <v>4100</v>
      </c>
      <c r="AQ106" s="41">
        <f t="shared" si="2"/>
        <v>200</v>
      </c>
      <c r="AR106" s="41">
        <f t="shared" si="3"/>
        <v>100</v>
      </c>
      <c r="AS106" s="41">
        <f t="shared" si="4"/>
        <v>300</v>
      </c>
      <c r="AT106" s="46">
        <f t="shared" si="5"/>
        <v>13.66666667</v>
      </c>
      <c r="AU106" s="37"/>
      <c r="AV106" s="37"/>
      <c r="AW106" s="37"/>
    </row>
    <row r="107" ht="15.75" customHeight="1">
      <c r="A107" s="49" t="s">
        <v>32</v>
      </c>
      <c r="B107" s="50">
        <f t="shared" si="6"/>
        <v>44667</v>
      </c>
      <c r="C107" s="51">
        <v>4.0</v>
      </c>
      <c r="D107" s="51" t="s">
        <v>34</v>
      </c>
      <c r="E107" s="53" t="s">
        <v>39</v>
      </c>
      <c r="F107" s="54"/>
      <c r="G107" s="55"/>
      <c r="H107" s="56"/>
      <c r="I107" s="55"/>
      <c r="J107" s="56"/>
      <c r="K107" s="55"/>
      <c r="L107" s="56"/>
      <c r="M107" s="55"/>
      <c r="N107" s="56"/>
      <c r="O107" s="55"/>
      <c r="P107" s="56"/>
      <c r="Q107" s="58"/>
      <c r="R107" s="54">
        <v>0.0</v>
      </c>
      <c r="S107" s="55"/>
      <c r="T107" s="56">
        <v>0.0</v>
      </c>
      <c r="U107" s="55"/>
      <c r="V107" s="56">
        <v>0.0</v>
      </c>
      <c r="W107" s="55"/>
      <c r="X107" s="56">
        <v>0.0</v>
      </c>
      <c r="Y107" s="55"/>
      <c r="Z107" s="56">
        <v>0.0</v>
      </c>
      <c r="AA107" s="55"/>
      <c r="AB107" s="56">
        <v>0.0</v>
      </c>
      <c r="AC107" s="58"/>
      <c r="AD107" s="54"/>
      <c r="AE107" s="55"/>
      <c r="AF107" s="56"/>
      <c r="AG107" s="55"/>
      <c r="AH107" s="56"/>
      <c r="AI107" s="55"/>
      <c r="AJ107" s="56"/>
      <c r="AK107" s="55"/>
      <c r="AL107" s="56"/>
      <c r="AM107" s="55"/>
      <c r="AN107" s="56"/>
      <c r="AO107" s="58"/>
      <c r="AP107" s="60">
        <f t="shared" si="1"/>
        <v>0</v>
      </c>
      <c r="AQ107" s="51">
        <f t="shared" si="2"/>
        <v>0</v>
      </c>
      <c r="AR107" s="51">
        <f t="shared" si="3"/>
        <v>0</v>
      </c>
      <c r="AS107" s="51">
        <f t="shared" si="4"/>
        <v>0</v>
      </c>
      <c r="AT107" s="61" t="str">
        <f t="shared" si="5"/>
        <v/>
      </c>
      <c r="AU107" s="37"/>
      <c r="AV107" s="37"/>
      <c r="AW107" s="37"/>
    </row>
    <row r="108" ht="15.75" customHeight="1">
      <c r="A108" s="21" t="s">
        <v>24</v>
      </c>
      <c r="B108" s="62">
        <f t="shared" si="6"/>
        <v>44668</v>
      </c>
      <c r="C108" s="23">
        <v>4.0</v>
      </c>
      <c r="D108" s="23" t="s">
        <v>35</v>
      </c>
      <c r="E108" s="63" t="s">
        <v>39</v>
      </c>
      <c r="F108" s="26"/>
      <c r="H108" s="27"/>
      <c r="J108" s="27"/>
      <c r="L108" s="27"/>
      <c r="N108" s="27"/>
      <c r="P108" s="27"/>
      <c r="Q108" s="29"/>
      <c r="R108" s="26">
        <v>100.0</v>
      </c>
      <c r="T108" s="27">
        <v>100.0</v>
      </c>
      <c r="V108" s="27">
        <v>0.0</v>
      </c>
      <c r="X108" s="27">
        <v>0.0</v>
      </c>
      <c r="Z108" s="27">
        <v>0.0</v>
      </c>
      <c r="AB108" s="27">
        <v>100.0</v>
      </c>
      <c r="AC108" s="29"/>
      <c r="AD108" s="26"/>
      <c r="AF108" s="27"/>
      <c r="AH108" s="27"/>
      <c r="AJ108" s="27"/>
      <c r="AL108" s="27"/>
      <c r="AN108" s="27"/>
      <c r="AO108" s="29"/>
      <c r="AP108" s="35">
        <f t="shared" si="1"/>
        <v>4100</v>
      </c>
      <c r="AQ108" s="23">
        <f t="shared" si="2"/>
        <v>200</v>
      </c>
      <c r="AR108" s="23">
        <f t="shared" si="3"/>
        <v>100</v>
      </c>
      <c r="AS108" s="23">
        <f t="shared" si="4"/>
        <v>300</v>
      </c>
      <c r="AT108" s="36">
        <f t="shared" si="5"/>
        <v>13.66666667</v>
      </c>
      <c r="AU108" s="37"/>
      <c r="AV108" s="37"/>
      <c r="AW108" s="37"/>
    </row>
    <row r="109" ht="15.75" customHeight="1">
      <c r="A109" s="39" t="s">
        <v>27</v>
      </c>
      <c r="B109" s="40">
        <f t="shared" si="6"/>
        <v>44669</v>
      </c>
      <c r="C109" s="41">
        <v>4.0</v>
      </c>
      <c r="D109" s="41" t="s">
        <v>35</v>
      </c>
      <c r="E109" s="43" t="s">
        <v>39</v>
      </c>
      <c r="F109" s="26"/>
      <c r="H109" s="27"/>
      <c r="J109" s="27"/>
      <c r="L109" s="27"/>
      <c r="N109" s="27"/>
      <c r="P109" s="27"/>
      <c r="Q109" s="29"/>
      <c r="R109" s="26">
        <v>100.0</v>
      </c>
      <c r="T109" s="27">
        <v>100.0</v>
      </c>
      <c r="V109" s="27">
        <v>0.0</v>
      </c>
      <c r="X109" s="27">
        <v>0.0</v>
      </c>
      <c r="Z109" s="27">
        <v>0.0</v>
      </c>
      <c r="AB109" s="27">
        <v>100.0</v>
      </c>
      <c r="AC109" s="29"/>
      <c r="AD109" s="26"/>
      <c r="AF109" s="27"/>
      <c r="AH109" s="27"/>
      <c r="AJ109" s="27"/>
      <c r="AL109" s="27"/>
      <c r="AN109" s="27"/>
      <c r="AO109" s="29"/>
      <c r="AP109" s="45">
        <f t="shared" si="1"/>
        <v>4100</v>
      </c>
      <c r="AQ109" s="41">
        <f t="shared" si="2"/>
        <v>200</v>
      </c>
      <c r="AR109" s="41">
        <f t="shared" si="3"/>
        <v>100</v>
      </c>
      <c r="AS109" s="41">
        <f t="shared" si="4"/>
        <v>300</v>
      </c>
      <c r="AT109" s="46">
        <f t="shared" si="5"/>
        <v>13.66666667</v>
      </c>
      <c r="AU109" s="37"/>
      <c r="AV109" s="37"/>
      <c r="AW109" s="37"/>
    </row>
    <row r="110" ht="15.75" customHeight="1">
      <c r="A110" s="39" t="s">
        <v>28</v>
      </c>
      <c r="B110" s="40">
        <f t="shared" si="6"/>
        <v>44670</v>
      </c>
      <c r="C110" s="41">
        <v>4.0</v>
      </c>
      <c r="D110" s="41" t="s">
        <v>35</v>
      </c>
      <c r="E110" s="43" t="s">
        <v>39</v>
      </c>
      <c r="F110" s="26"/>
      <c r="H110" s="27"/>
      <c r="J110" s="27"/>
      <c r="L110" s="27"/>
      <c r="N110" s="27"/>
      <c r="P110" s="27"/>
      <c r="Q110" s="29"/>
      <c r="R110" s="26">
        <v>100.0</v>
      </c>
      <c r="T110" s="27">
        <v>100.0</v>
      </c>
      <c r="V110" s="27">
        <v>0.0</v>
      </c>
      <c r="X110" s="27">
        <v>0.0</v>
      </c>
      <c r="Z110" s="27">
        <v>0.0</v>
      </c>
      <c r="AB110" s="27">
        <v>100.0</v>
      </c>
      <c r="AC110" s="29"/>
      <c r="AD110" s="26"/>
      <c r="AF110" s="27"/>
      <c r="AH110" s="27"/>
      <c r="AJ110" s="27"/>
      <c r="AL110" s="27"/>
      <c r="AN110" s="27"/>
      <c r="AO110" s="29"/>
      <c r="AP110" s="45">
        <f t="shared" si="1"/>
        <v>4100</v>
      </c>
      <c r="AQ110" s="41">
        <f t="shared" si="2"/>
        <v>200</v>
      </c>
      <c r="AR110" s="41">
        <f t="shared" si="3"/>
        <v>100</v>
      </c>
      <c r="AS110" s="41">
        <f t="shared" si="4"/>
        <v>300</v>
      </c>
      <c r="AT110" s="46">
        <f t="shared" si="5"/>
        <v>13.66666667</v>
      </c>
      <c r="AU110" s="37"/>
      <c r="AV110" s="37"/>
      <c r="AW110" s="37"/>
    </row>
    <row r="111" ht="15.75" customHeight="1">
      <c r="A111" s="39" t="s">
        <v>29</v>
      </c>
      <c r="B111" s="40">
        <f t="shared" si="6"/>
        <v>44671</v>
      </c>
      <c r="C111" s="41">
        <v>4.0</v>
      </c>
      <c r="D111" s="41" t="s">
        <v>35</v>
      </c>
      <c r="E111" s="43" t="s">
        <v>39</v>
      </c>
      <c r="F111" s="26"/>
      <c r="H111" s="27"/>
      <c r="J111" s="27"/>
      <c r="L111" s="27"/>
      <c r="N111" s="27"/>
      <c r="P111" s="27"/>
      <c r="Q111" s="29"/>
      <c r="R111" s="26">
        <v>100.0</v>
      </c>
      <c r="T111" s="27">
        <v>100.0</v>
      </c>
      <c r="V111" s="27">
        <v>0.0</v>
      </c>
      <c r="X111" s="27">
        <v>0.0</v>
      </c>
      <c r="Z111" s="27">
        <v>0.0</v>
      </c>
      <c r="AB111" s="27">
        <v>100.0</v>
      </c>
      <c r="AC111" s="29"/>
      <c r="AD111" s="26"/>
      <c r="AF111" s="27"/>
      <c r="AH111" s="27"/>
      <c r="AJ111" s="27"/>
      <c r="AL111" s="27"/>
      <c r="AN111" s="27"/>
      <c r="AO111" s="29"/>
      <c r="AP111" s="45">
        <f t="shared" si="1"/>
        <v>4100</v>
      </c>
      <c r="AQ111" s="41">
        <f t="shared" si="2"/>
        <v>200</v>
      </c>
      <c r="AR111" s="41">
        <f t="shared" si="3"/>
        <v>100</v>
      </c>
      <c r="AS111" s="41">
        <f t="shared" si="4"/>
        <v>300</v>
      </c>
      <c r="AT111" s="46">
        <f t="shared" si="5"/>
        <v>13.66666667</v>
      </c>
      <c r="AU111" s="37"/>
      <c r="AV111" s="37"/>
      <c r="AW111" s="37"/>
    </row>
    <row r="112" ht="15.75" customHeight="1">
      <c r="A112" s="39" t="s">
        <v>30</v>
      </c>
      <c r="B112" s="40">
        <f t="shared" si="6"/>
        <v>44672</v>
      </c>
      <c r="C112" s="41">
        <v>4.0</v>
      </c>
      <c r="D112" s="41" t="s">
        <v>35</v>
      </c>
      <c r="E112" s="43" t="s">
        <v>39</v>
      </c>
      <c r="F112" s="26"/>
      <c r="H112" s="27"/>
      <c r="J112" s="27"/>
      <c r="L112" s="27"/>
      <c r="N112" s="27"/>
      <c r="P112" s="27"/>
      <c r="Q112" s="29"/>
      <c r="R112" s="26">
        <v>100.0</v>
      </c>
      <c r="T112" s="27">
        <v>100.0</v>
      </c>
      <c r="V112" s="27">
        <v>0.0</v>
      </c>
      <c r="X112" s="27">
        <v>0.0</v>
      </c>
      <c r="Z112" s="27">
        <v>0.0</v>
      </c>
      <c r="AB112" s="27">
        <v>100.0</v>
      </c>
      <c r="AC112" s="29"/>
      <c r="AD112" s="26"/>
      <c r="AF112" s="27"/>
      <c r="AH112" s="27"/>
      <c r="AJ112" s="27"/>
      <c r="AL112" s="27"/>
      <c r="AN112" s="27"/>
      <c r="AO112" s="29"/>
      <c r="AP112" s="45">
        <f t="shared" si="1"/>
        <v>4100</v>
      </c>
      <c r="AQ112" s="41">
        <f t="shared" si="2"/>
        <v>200</v>
      </c>
      <c r="AR112" s="41">
        <f t="shared" si="3"/>
        <v>100</v>
      </c>
      <c r="AS112" s="41">
        <f t="shared" si="4"/>
        <v>300</v>
      </c>
      <c r="AT112" s="46">
        <f t="shared" si="5"/>
        <v>13.66666667</v>
      </c>
      <c r="AU112" s="37"/>
      <c r="AV112" s="37"/>
      <c r="AW112" s="37"/>
    </row>
    <row r="113" ht="15.75" customHeight="1">
      <c r="A113" s="39" t="s">
        <v>31</v>
      </c>
      <c r="B113" s="40">
        <f t="shared" si="6"/>
        <v>44673</v>
      </c>
      <c r="C113" s="41">
        <v>4.0</v>
      </c>
      <c r="D113" s="41" t="s">
        <v>35</v>
      </c>
      <c r="E113" s="43" t="s">
        <v>39</v>
      </c>
      <c r="F113" s="26"/>
      <c r="H113" s="27"/>
      <c r="J113" s="27"/>
      <c r="L113" s="27"/>
      <c r="N113" s="27"/>
      <c r="P113" s="27"/>
      <c r="Q113" s="29"/>
      <c r="R113" s="26">
        <v>100.0</v>
      </c>
      <c r="T113" s="27">
        <v>100.0</v>
      </c>
      <c r="V113" s="27">
        <v>0.0</v>
      </c>
      <c r="X113" s="27">
        <v>0.0</v>
      </c>
      <c r="Z113" s="27">
        <v>0.0</v>
      </c>
      <c r="AB113" s="27">
        <v>100.0</v>
      </c>
      <c r="AC113" s="29"/>
      <c r="AD113" s="26"/>
      <c r="AF113" s="27"/>
      <c r="AH113" s="27"/>
      <c r="AJ113" s="27"/>
      <c r="AL113" s="27"/>
      <c r="AN113" s="27"/>
      <c r="AO113" s="29"/>
      <c r="AP113" s="45">
        <f t="shared" si="1"/>
        <v>4100</v>
      </c>
      <c r="AQ113" s="41">
        <f t="shared" si="2"/>
        <v>200</v>
      </c>
      <c r="AR113" s="41">
        <f t="shared" si="3"/>
        <v>100</v>
      </c>
      <c r="AS113" s="41">
        <f t="shared" si="4"/>
        <v>300</v>
      </c>
      <c r="AT113" s="46">
        <f t="shared" si="5"/>
        <v>13.66666667</v>
      </c>
      <c r="AU113" s="37"/>
      <c r="AV113" s="37"/>
      <c r="AW113" s="37"/>
    </row>
    <row r="114" ht="15.75" customHeight="1">
      <c r="A114" s="49" t="s">
        <v>32</v>
      </c>
      <c r="B114" s="50">
        <f t="shared" si="6"/>
        <v>44674</v>
      </c>
      <c r="C114" s="51">
        <v>4.0</v>
      </c>
      <c r="D114" s="51" t="s">
        <v>35</v>
      </c>
      <c r="E114" s="53" t="s">
        <v>39</v>
      </c>
      <c r="F114" s="54"/>
      <c r="G114" s="55"/>
      <c r="H114" s="56"/>
      <c r="I114" s="55"/>
      <c r="J114" s="56"/>
      <c r="K114" s="55"/>
      <c r="L114" s="56"/>
      <c r="M114" s="55"/>
      <c r="N114" s="56"/>
      <c r="O114" s="55"/>
      <c r="P114" s="56"/>
      <c r="Q114" s="58"/>
      <c r="R114" s="54">
        <v>0.0</v>
      </c>
      <c r="S114" s="55"/>
      <c r="T114" s="56">
        <v>0.0</v>
      </c>
      <c r="U114" s="55"/>
      <c r="V114" s="56">
        <v>0.0</v>
      </c>
      <c r="W114" s="55"/>
      <c r="X114" s="56">
        <v>0.0</v>
      </c>
      <c r="Y114" s="55"/>
      <c r="Z114" s="56">
        <v>0.0</v>
      </c>
      <c r="AA114" s="55"/>
      <c r="AB114" s="56">
        <v>0.0</v>
      </c>
      <c r="AC114" s="58"/>
      <c r="AD114" s="54"/>
      <c r="AE114" s="55"/>
      <c r="AF114" s="56"/>
      <c r="AG114" s="55"/>
      <c r="AH114" s="56"/>
      <c r="AI114" s="55"/>
      <c r="AJ114" s="56"/>
      <c r="AK114" s="55"/>
      <c r="AL114" s="56"/>
      <c r="AM114" s="55"/>
      <c r="AN114" s="56"/>
      <c r="AO114" s="58"/>
      <c r="AP114" s="60">
        <f t="shared" si="1"/>
        <v>0</v>
      </c>
      <c r="AQ114" s="51">
        <f t="shared" si="2"/>
        <v>0</v>
      </c>
      <c r="AR114" s="51">
        <f t="shared" si="3"/>
        <v>0</v>
      </c>
      <c r="AS114" s="51">
        <f t="shared" si="4"/>
        <v>0</v>
      </c>
      <c r="AT114" s="61" t="str">
        <f t="shared" si="5"/>
        <v/>
      </c>
      <c r="AU114" s="37"/>
      <c r="AV114" s="37"/>
      <c r="AW114" s="37"/>
    </row>
    <row r="115" ht="15.75" customHeight="1">
      <c r="A115" s="21" t="s">
        <v>24</v>
      </c>
      <c r="B115" s="62">
        <f t="shared" si="6"/>
        <v>44675</v>
      </c>
      <c r="C115" s="23">
        <v>5.0</v>
      </c>
      <c r="D115" s="23" t="s">
        <v>25</v>
      </c>
      <c r="E115" s="63" t="s">
        <v>39</v>
      </c>
      <c r="F115" s="26"/>
      <c r="H115" s="27"/>
      <c r="J115" s="27"/>
      <c r="L115" s="27"/>
      <c r="N115" s="27"/>
      <c r="P115" s="27"/>
      <c r="Q115" s="29"/>
      <c r="R115" s="26">
        <v>100.0</v>
      </c>
      <c r="T115" s="27">
        <v>100.0</v>
      </c>
      <c r="V115" s="27">
        <v>0.0</v>
      </c>
      <c r="X115" s="27">
        <v>0.0</v>
      </c>
      <c r="Z115" s="27">
        <v>0.0</v>
      </c>
      <c r="AB115" s="27">
        <v>100.0</v>
      </c>
      <c r="AC115" s="29"/>
      <c r="AD115" s="26"/>
      <c r="AF115" s="27"/>
      <c r="AH115" s="27"/>
      <c r="AJ115" s="27"/>
      <c r="AL115" s="27"/>
      <c r="AN115" s="27"/>
      <c r="AO115" s="29"/>
      <c r="AP115" s="35">
        <f t="shared" si="1"/>
        <v>4100</v>
      </c>
      <c r="AQ115" s="23">
        <f t="shared" si="2"/>
        <v>200</v>
      </c>
      <c r="AR115" s="23">
        <f t="shared" si="3"/>
        <v>100</v>
      </c>
      <c r="AS115" s="23">
        <f t="shared" si="4"/>
        <v>300</v>
      </c>
      <c r="AT115" s="36">
        <f t="shared" si="5"/>
        <v>13.66666667</v>
      </c>
      <c r="AU115" s="37"/>
      <c r="AV115" s="37"/>
      <c r="AW115" s="37"/>
    </row>
    <row r="116" ht="15.75" customHeight="1">
      <c r="A116" s="39" t="s">
        <v>27</v>
      </c>
      <c r="B116" s="40">
        <f t="shared" si="6"/>
        <v>44676</v>
      </c>
      <c r="C116" s="41">
        <v>5.0</v>
      </c>
      <c r="D116" s="41" t="s">
        <v>25</v>
      </c>
      <c r="E116" s="43" t="s">
        <v>39</v>
      </c>
      <c r="F116" s="26"/>
      <c r="H116" s="27"/>
      <c r="J116" s="27"/>
      <c r="L116" s="27"/>
      <c r="N116" s="27"/>
      <c r="P116" s="27"/>
      <c r="Q116" s="29"/>
      <c r="R116" s="26">
        <v>100.0</v>
      </c>
      <c r="T116" s="27">
        <v>100.0</v>
      </c>
      <c r="V116" s="27">
        <v>0.0</v>
      </c>
      <c r="X116" s="27">
        <v>0.0</v>
      </c>
      <c r="Z116" s="27">
        <v>0.0</v>
      </c>
      <c r="AB116" s="27">
        <v>100.0</v>
      </c>
      <c r="AC116" s="29"/>
      <c r="AD116" s="26"/>
      <c r="AF116" s="27"/>
      <c r="AH116" s="27"/>
      <c r="AJ116" s="27"/>
      <c r="AL116" s="27"/>
      <c r="AN116" s="27"/>
      <c r="AO116" s="29"/>
      <c r="AP116" s="45">
        <f t="shared" si="1"/>
        <v>4100</v>
      </c>
      <c r="AQ116" s="41">
        <f t="shared" si="2"/>
        <v>200</v>
      </c>
      <c r="AR116" s="41">
        <f t="shared" si="3"/>
        <v>100</v>
      </c>
      <c r="AS116" s="41">
        <f t="shared" si="4"/>
        <v>300</v>
      </c>
      <c r="AT116" s="46">
        <f t="shared" si="5"/>
        <v>13.66666667</v>
      </c>
      <c r="AU116" s="37"/>
      <c r="AV116" s="37"/>
      <c r="AW116" s="37"/>
    </row>
    <row r="117" ht="15.75" customHeight="1">
      <c r="A117" s="39" t="s">
        <v>28</v>
      </c>
      <c r="B117" s="40">
        <f t="shared" si="6"/>
        <v>44677</v>
      </c>
      <c r="C117" s="41">
        <v>5.0</v>
      </c>
      <c r="D117" s="41" t="s">
        <v>25</v>
      </c>
      <c r="E117" s="43" t="s">
        <v>39</v>
      </c>
      <c r="F117" s="26"/>
      <c r="H117" s="27"/>
      <c r="J117" s="27"/>
      <c r="L117" s="27"/>
      <c r="N117" s="27"/>
      <c r="P117" s="27"/>
      <c r="Q117" s="29"/>
      <c r="R117" s="26">
        <v>100.0</v>
      </c>
      <c r="T117" s="27">
        <v>100.0</v>
      </c>
      <c r="V117" s="27">
        <v>0.0</v>
      </c>
      <c r="X117" s="27">
        <v>0.0</v>
      </c>
      <c r="Z117" s="27">
        <v>0.0</v>
      </c>
      <c r="AB117" s="27">
        <v>100.0</v>
      </c>
      <c r="AC117" s="29"/>
      <c r="AD117" s="26"/>
      <c r="AF117" s="27"/>
      <c r="AH117" s="27"/>
      <c r="AJ117" s="27"/>
      <c r="AL117" s="27"/>
      <c r="AN117" s="27"/>
      <c r="AO117" s="29"/>
      <c r="AP117" s="45">
        <f t="shared" si="1"/>
        <v>4100</v>
      </c>
      <c r="AQ117" s="41">
        <f t="shared" si="2"/>
        <v>200</v>
      </c>
      <c r="AR117" s="41">
        <f t="shared" si="3"/>
        <v>100</v>
      </c>
      <c r="AS117" s="41">
        <f t="shared" si="4"/>
        <v>300</v>
      </c>
      <c r="AT117" s="46">
        <f t="shared" si="5"/>
        <v>13.66666667</v>
      </c>
      <c r="AU117" s="37"/>
      <c r="AV117" s="37"/>
      <c r="AW117" s="37"/>
    </row>
    <row r="118" ht="15.75" customHeight="1">
      <c r="A118" s="39" t="s">
        <v>29</v>
      </c>
      <c r="B118" s="40">
        <f t="shared" si="6"/>
        <v>44678</v>
      </c>
      <c r="C118" s="41">
        <v>5.0</v>
      </c>
      <c r="D118" s="41" t="s">
        <v>25</v>
      </c>
      <c r="E118" s="43" t="s">
        <v>39</v>
      </c>
      <c r="F118" s="26"/>
      <c r="H118" s="27"/>
      <c r="J118" s="27"/>
      <c r="L118" s="27"/>
      <c r="N118" s="27"/>
      <c r="P118" s="27"/>
      <c r="Q118" s="29"/>
      <c r="R118" s="26">
        <v>100.0</v>
      </c>
      <c r="T118" s="27">
        <v>100.0</v>
      </c>
      <c r="V118" s="27">
        <v>0.0</v>
      </c>
      <c r="X118" s="27">
        <v>0.0</v>
      </c>
      <c r="Z118" s="27">
        <v>0.0</v>
      </c>
      <c r="AB118" s="27">
        <v>100.0</v>
      </c>
      <c r="AC118" s="29"/>
      <c r="AD118" s="26"/>
      <c r="AF118" s="27"/>
      <c r="AH118" s="27"/>
      <c r="AJ118" s="27"/>
      <c r="AL118" s="27"/>
      <c r="AN118" s="27"/>
      <c r="AO118" s="29"/>
      <c r="AP118" s="45">
        <f t="shared" si="1"/>
        <v>4100</v>
      </c>
      <c r="AQ118" s="41">
        <f t="shared" si="2"/>
        <v>200</v>
      </c>
      <c r="AR118" s="41">
        <f t="shared" si="3"/>
        <v>100</v>
      </c>
      <c r="AS118" s="41">
        <f t="shared" si="4"/>
        <v>300</v>
      </c>
      <c r="AT118" s="46">
        <f t="shared" si="5"/>
        <v>13.66666667</v>
      </c>
      <c r="AU118" s="37"/>
      <c r="AV118" s="37"/>
      <c r="AW118" s="37"/>
    </row>
    <row r="119" ht="15.75" customHeight="1">
      <c r="A119" s="39" t="s">
        <v>30</v>
      </c>
      <c r="B119" s="40">
        <f t="shared" si="6"/>
        <v>44679</v>
      </c>
      <c r="C119" s="41">
        <v>5.0</v>
      </c>
      <c r="D119" s="41" t="s">
        <v>25</v>
      </c>
      <c r="E119" s="43" t="s">
        <v>39</v>
      </c>
      <c r="F119" s="26"/>
      <c r="H119" s="27"/>
      <c r="J119" s="27"/>
      <c r="L119" s="27"/>
      <c r="N119" s="27"/>
      <c r="P119" s="27"/>
      <c r="Q119" s="29"/>
      <c r="R119" s="26">
        <v>100.0</v>
      </c>
      <c r="T119" s="27">
        <v>100.0</v>
      </c>
      <c r="V119" s="27">
        <v>0.0</v>
      </c>
      <c r="X119" s="27">
        <v>0.0</v>
      </c>
      <c r="Z119" s="27">
        <v>0.0</v>
      </c>
      <c r="AB119" s="27">
        <v>100.0</v>
      </c>
      <c r="AC119" s="29"/>
      <c r="AD119" s="26"/>
      <c r="AF119" s="27"/>
      <c r="AH119" s="27"/>
      <c r="AJ119" s="27"/>
      <c r="AL119" s="27"/>
      <c r="AN119" s="27"/>
      <c r="AO119" s="29"/>
      <c r="AP119" s="45">
        <f t="shared" si="1"/>
        <v>4100</v>
      </c>
      <c r="AQ119" s="41">
        <f t="shared" si="2"/>
        <v>200</v>
      </c>
      <c r="AR119" s="41">
        <f t="shared" si="3"/>
        <v>100</v>
      </c>
      <c r="AS119" s="41">
        <f t="shared" si="4"/>
        <v>300</v>
      </c>
      <c r="AT119" s="46">
        <f t="shared" si="5"/>
        <v>13.66666667</v>
      </c>
      <c r="AU119" s="37"/>
      <c r="AV119" s="37"/>
      <c r="AW119" s="37"/>
    </row>
    <row r="120" ht="15.75" customHeight="1">
      <c r="A120" s="39" t="s">
        <v>31</v>
      </c>
      <c r="B120" s="40">
        <f t="shared" si="6"/>
        <v>44680</v>
      </c>
      <c r="C120" s="41">
        <v>5.0</v>
      </c>
      <c r="D120" s="41" t="s">
        <v>25</v>
      </c>
      <c r="E120" s="43" t="s">
        <v>39</v>
      </c>
      <c r="F120" s="26"/>
      <c r="H120" s="27"/>
      <c r="J120" s="27"/>
      <c r="L120" s="27"/>
      <c r="N120" s="27"/>
      <c r="P120" s="27"/>
      <c r="Q120" s="29"/>
      <c r="R120" s="26">
        <v>100.0</v>
      </c>
      <c r="T120" s="27">
        <v>100.0</v>
      </c>
      <c r="V120" s="27">
        <v>0.0</v>
      </c>
      <c r="X120" s="27">
        <v>0.0</v>
      </c>
      <c r="Z120" s="27">
        <v>0.0</v>
      </c>
      <c r="AB120" s="27">
        <v>100.0</v>
      </c>
      <c r="AC120" s="29"/>
      <c r="AD120" s="26"/>
      <c r="AF120" s="27"/>
      <c r="AH120" s="27"/>
      <c r="AJ120" s="27"/>
      <c r="AL120" s="27"/>
      <c r="AN120" s="27"/>
      <c r="AO120" s="29"/>
      <c r="AP120" s="45">
        <f t="shared" si="1"/>
        <v>4100</v>
      </c>
      <c r="AQ120" s="41">
        <f t="shared" si="2"/>
        <v>200</v>
      </c>
      <c r="AR120" s="41">
        <f t="shared" si="3"/>
        <v>100</v>
      </c>
      <c r="AS120" s="41">
        <f t="shared" si="4"/>
        <v>300</v>
      </c>
      <c r="AT120" s="46">
        <f t="shared" si="5"/>
        <v>13.66666667</v>
      </c>
      <c r="AU120" s="37"/>
      <c r="AV120" s="37"/>
      <c r="AW120" s="37"/>
    </row>
    <row r="121" ht="15.75" customHeight="1">
      <c r="A121" s="49" t="s">
        <v>32</v>
      </c>
      <c r="B121" s="50">
        <f t="shared" si="6"/>
        <v>44681</v>
      </c>
      <c r="C121" s="51">
        <v>5.0</v>
      </c>
      <c r="D121" s="51" t="s">
        <v>25</v>
      </c>
      <c r="E121" s="53" t="s">
        <v>39</v>
      </c>
      <c r="F121" s="54"/>
      <c r="G121" s="55"/>
      <c r="H121" s="56"/>
      <c r="I121" s="55"/>
      <c r="J121" s="56"/>
      <c r="K121" s="55"/>
      <c r="L121" s="56"/>
      <c r="M121" s="55"/>
      <c r="N121" s="56"/>
      <c r="O121" s="55"/>
      <c r="P121" s="56"/>
      <c r="Q121" s="58"/>
      <c r="R121" s="54">
        <v>0.0</v>
      </c>
      <c r="S121" s="55"/>
      <c r="T121" s="56">
        <v>0.0</v>
      </c>
      <c r="U121" s="55"/>
      <c r="V121" s="56">
        <v>0.0</v>
      </c>
      <c r="W121" s="55"/>
      <c r="X121" s="56">
        <v>0.0</v>
      </c>
      <c r="Y121" s="55"/>
      <c r="Z121" s="56">
        <v>0.0</v>
      </c>
      <c r="AA121" s="55"/>
      <c r="AB121" s="56">
        <v>0.0</v>
      </c>
      <c r="AC121" s="58"/>
      <c r="AD121" s="54"/>
      <c r="AE121" s="55"/>
      <c r="AF121" s="56"/>
      <c r="AG121" s="55"/>
      <c r="AH121" s="56"/>
      <c r="AI121" s="55"/>
      <c r="AJ121" s="56"/>
      <c r="AK121" s="55"/>
      <c r="AL121" s="56"/>
      <c r="AM121" s="55"/>
      <c r="AN121" s="56"/>
      <c r="AO121" s="58"/>
      <c r="AP121" s="60">
        <f t="shared" si="1"/>
        <v>0</v>
      </c>
      <c r="AQ121" s="51">
        <f t="shared" si="2"/>
        <v>0</v>
      </c>
      <c r="AR121" s="51">
        <f t="shared" si="3"/>
        <v>0</v>
      </c>
      <c r="AS121" s="51">
        <f t="shared" si="4"/>
        <v>0</v>
      </c>
      <c r="AT121" s="61" t="str">
        <f t="shared" si="5"/>
        <v/>
      </c>
      <c r="AU121" s="37"/>
      <c r="AV121" s="37"/>
      <c r="AW121" s="37"/>
    </row>
    <row r="122" ht="15.75" customHeight="1">
      <c r="A122" s="21" t="s">
        <v>24</v>
      </c>
      <c r="B122" s="62">
        <f t="shared" si="6"/>
        <v>44682</v>
      </c>
      <c r="C122" s="23">
        <v>5.0</v>
      </c>
      <c r="D122" s="23" t="s">
        <v>33</v>
      </c>
      <c r="E122" s="63" t="s">
        <v>39</v>
      </c>
      <c r="F122" s="26"/>
      <c r="H122" s="27"/>
      <c r="J122" s="27"/>
      <c r="L122" s="27"/>
      <c r="N122" s="27"/>
      <c r="P122" s="27"/>
      <c r="Q122" s="29"/>
      <c r="R122" s="26">
        <v>100.0</v>
      </c>
      <c r="T122" s="27">
        <v>100.0</v>
      </c>
      <c r="V122" s="27">
        <v>0.0</v>
      </c>
      <c r="X122" s="27">
        <v>0.0</v>
      </c>
      <c r="Z122" s="27">
        <v>0.0</v>
      </c>
      <c r="AB122" s="27">
        <v>100.0</v>
      </c>
      <c r="AC122" s="29"/>
      <c r="AD122" s="26"/>
      <c r="AF122" s="27"/>
      <c r="AH122" s="27"/>
      <c r="AJ122" s="27"/>
      <c r="AL122" s="27"/>
      <c r="AN122" s="27"/>
      <c r="AO122" s="29"/>
      <c r="AP122" s="35">
        <f t="shared" si="1"/>
        <v>4100</v>
      </c>
      <c r="AQ122" s="23">
        <f t="shared" si="2"/>
        <v>200</v>
      </c>
      <c r="AR122" s="23">
        <f t="shared" si="3"/>
        <v>100</v>
      </c>
      <c r="AS122" s="23">
        <f t="shared" si="4"/>
        <v>300</v>
      </c>
      <c r="AT122" s="36">
        <f t="shared" si="5"/>
        <v>13.66666667</v>
      </c>
      <c r="AU122" s="37"/>
      <c r="AV122" s="37"/>
      <c r="AW122" s="37"/>
    </row>
    <row r="123" ht="15.75" customHeight="1">
      <c r="A123" s="39" t="s">
        <v>27</v>
      </c>
      <c r="B123" s="40">
        <f t="shared" si="6"/>
        <v>44683</v>
      </c>
      <c r="C123" s="41">
        <v>5.0</v>
      </c>
      <c r="D123" s="41" t="s">
        <v>33</v>
      </c>
      <c r="E123" s="43" t="s">
        <v>39</v>
      </c>
      <c r="F123" s="26"/>
      <c r="H123" s="27"/>
      <c r="J123" s="27"/>
      <c r="L123" s="27"/>
      <c r="N123" s="27"/>
      <c r="P123" s="27"/>
      <c r="Q123" s="29"/>
      <c r="R123" s="26">
        <v>100.0</v>
      </c>
      <c r="T123" s="27">
        <v>100.0</v>
      </c>
      <c r="V123" s="27">
        <v>0.0</v>
      </c>
      <c r="X123" s="27">
        <v>0.0</v>
      </c>
      <c r="Z123" s="27">
        <v>0.0</v>
      </c>
      <c r="AB123" s="27">
        <v>100.0</v>
      </c>
      <c r="AC123" s="29"/>
      <c r="AD123" s="26"/>
      <c r="AF123" s="27"/>
      <c r="AH123" s="27"/>
      <c r="AJ123" s="27"/>
      <c r="AL123" s="27"/>
      <c r="AN123" s="27"/>
      <c r="AO123" s="29"/>
      <c r="AP123" s="45">
        <f t="shared" si="1"/>
        <v>4100</v>
      </c>
      <c r="AQ123" s="41">
        <f t="shared" si="2"/>
        <v>200</v>
      </c>
      <c r="AR123" s="41">
        <f t="shared" si="3"/>
        <v>100</v>
      </c>
      <c r="AS123" s="41">
        <f t="shared" si="4"/>
        <v>300</v>
      </c>
      <c r="AT123" s="46">
        <f t="shared" si="5"/>
        <v>13.66666667</v>
      </c>
      <c r="AU123" s="37"/>
      <c r="AV123" s="37"/>
      <c r="AW123" s="37"/>
    </row>
    <row r="124" ht="15.75" customHeight="1">
      <c r="A124" s="39" t="s">
        <v>28</v>
      </c>
      <c r="B124" s="40">
        <f t="shared" si="6"/>
        <v>44684</v>
      </c>
      <c r="C124" s="41">
        <v>5.0</v>
      </c>
      <c r="D124" s="41" t="s">
        <v>33</v>
      </c>
      <c r="E124" s="43" t="s">
        <v>39</v>
      </c>
      <c r="F124" s="26"/>
      <c r="H124" s="27"/>
      <c r="J124" s="27"/>
      <c r="L124" s="27"/>
      <c r="N124" s="27"/>
      <c r="P124" s="27"/>
      <c r="Q124" s="29"/>
      <c r="R124" s="26">
        <v>100.0</v>
      </c>
      <c r="T124" s="27">
        <v>100.0</v>
      </c>
      <c r="V124" s="27">
        <v>0.0</v>
      </c>
      <c r="X124" s="27">
        <v>0.0</v>
      </c>
      <c r="Z124" s="27">
        <v>0.0</v>
      </c>
      <c r="AB124" s="27">
        <v>100.0</v>
      </c>
      <c r="AC124" s="29"/>
      <c r="AD124" s="26"/>
      <c r="AF124" s="27"/>
      <c r="AH124" s="27"/>
      <c r="AJ124" s="27"/>
      <c r="AL124" s="27"/>
      <c r="AN124" s="27"/>
      <c r="AO124" s="29"/>
      <c r="AP124" s="45">
        <f t="shared" si="1"/>
        <v>4100</v>
      </c>
      <c r="AQ124" s="41">
        <f t="shared" si="2"/>
        <v>200</v>
      </c>
      <c r="AR124" s="41">
        <f t="shared" si="3"/>
        <v>100</v>
      </c>
      <c r="AS124" s="41">
        <f t="shared" si="4"/>
        <v>300</v>
      </c>
      <c r="AT124" s="46">
        <f t="shared" si="5"/>
        <v>13.66666667</v>
      </c>
      <c r="AU124" s="37"/>
      <c r="AV124" s="37"/>
      <c r="AW124" s="37"/>
    </row>
    <row r="125" ht="15.75" customHeight="1">
      <c r="A125" s="39" t="s">
        <v>29</v>
      </c>
      <c r="B125" s="40">
        <f t="shared" si="6"/>
        <v>44685</v>
      </c>
      <c r="C125" s="41">
        <v>5.0</v>
      </c>
      <c r="D125" s="41" t="s">
        <v>33</v>
      </c>
      <c r="E125" s="43" t="s">
        <v>39</v>
      </c>
      <c r="F125" s="26"/>
      <c r="H125" s="27"/>
      <c r="J125" s="27"/>
      <c r="L125" s="27"/>
      <c r="N125" s="27"/>
      <c r="P125" s="27"/>
      <c r="Q125" s="29"/>
      <c r="R125" s="26">
        <v>100.0</v>
      </c>
      <c r="T125" s="27">
        <v>100.0</v>
      </c>
      <c r="V125" s="27">
        <v>0.0</v>
      </c>
      <c r="X125" s="27">
        <v>0.0</v>
      </c>
      <c r="Z125" s="27">
        <v>0.0</v>
      </c>
      <c r="AB125" s="27">
        <v>100.0</v>
      </c>
      <c r="AC125" s="29"/>
      <c r="AD125" s="26"/>
      <c r="AF125" s="27"/>
      <c r="AH125" s="27"/>
      <c r="AJ125" s="27"/>
      <c r="AL125" s="27"/>
      <c r="AN125" s="27"/>
      <c r="AO125" s="29"/>
      <c r="AP125" s="45">
        <f t="shared" si="1"/>
        <v>4100</v>
      </c>
      <c r="AQ125" s="41">
        <f t="shared" si="2"/>
        <v>200</v>
      </c>
      <c r="AR125" s="41">
        <f t="shared" si="3"/>
        <v>100</v>
      </c>
      <c r="AS125" s="41">
        <f t="shared" si="4"/>
        <v>300</v>
      </c>
      <c r="AT125" s="46">
        <f t="shared" si="5"/>
        <v>13.66666667</v>
      </c>
      <c r="AU125" s="37"/>
      <c r="AV125" s="37"/>
      <c r="AW125" s="37"/>
    </row>
    <row r="126" ht="15.75" customHeight="1">
      <c r="A126" s="39" t="s">
        <v>30</v>
      </c>
      <c r="B126" s="40">
        <f t="shared" si="6"/>
        <v>44686</v>
      </c>
      <c r="C126" s="41">
        <v>5.0</v>
      </c>
      <c r="D126" s="41" t="s">
        <v>33</v>
      </c>
      <c r="E126" s="43" t="s">
        <v>39</v>
      </c>
      <c r="F126" s="26"/>
      <c r="H126" s="27"/>
      <c r="J126" s="27"/>
      <c r="L126" s="27"/>
      <c r="N126" s="27"/>
      <c r="P126" s="27"/>
      <c r="Q126" s="29"/>
      <c r="R126" s="26">
        <v>100.0</v>
      </c>
      <c r="T126" s="27">
        <v>100.0</v>
      </c>
      <c r="V126" s="27">
        <v>0.0</v>
      </c>
      <c r="X126" s="27">
        <v>0.0</v>
      </c>
      <c r="Z126" s="27">
        <v>0.0</v>
      </c>
      <c r="AB126" s="27">
        <v>100.0</v>
      </c>
      <c r="AC126" s="29"/>
      <c r="AD126" s="26"/>
      <c r="AF126" s="27"/>
      <c r="AH126" s="27"/>
      <c r="AJ126" s="27"/>
      <c r="AL126" s="27"/>
      <c r="AN126" s="27"/>
      <c r="AO126" s="29"/>
      <c r="AP126" s="45">
        <f t="shared" si="1"/>
        <v>4100</v>
      </c>
      <c r="AQ126" s="41">
        <f t="shared" si="2"/>
        <v>200</v>
      </c>
      <c r="AR126" s="41">
        <f t="shared" si="3"/>
        <v>100</v>
      </c>
      <c r="AS126" s="41">
        <f t="shared" si="4"/>
        <v>300</v>
      </c>
      <c r="AT126" s="46">
        <f t="shared" si="5"/>
        <v>13.66666667</v>
      </c>
      <c r="AU126" s="37"/>
      <c r="AV126" s="37"/>
      <c r="AW126" s="37"/>
    </row>
    <row r="127" ht="15.75" customHeight="1">
      <c r="A127" s="39" t="s">
        <v>31</v>
      </c>
      <c r="B127" s="40">
        <f t="shared" si="6"/>
        <v>44687</v>
      </c>
      <c r="C127" s="41">
        <v>5.0</v>
      </c>
      <c r="D127" s="41" t="s">
        <v>33</v>
      </c>
      <c r="E127" s="43" t="s">
        <v>39</v>
      </c>
      <c r="F127" s="26"/>
      <c r="H127" s="27"/>
      <c r="J127" s="27"/>
      <c r="L127" s="27"/>
      <c r="N127" s="27"/>
      <c r="P127" s="27"/>
      <c r="Q127" s="29"/>
      <c r="R127" s="26">
        <v>100.0</v>
      </c>
      <c r="T127" s="27">
        <v>100.0</v>
      </c>
      <c r="V127" s="27">
        <v>0.0</v>
      </c>
      <c r="X127" s="27">
        <v>0.0</v>
      </c>
      <c r="Z127" s="27">
        <v>0.0</v>
      </c>
      <c r="AB127" s="27">
        <v>100.0</v>
      </c>
      <c r="AC127" s="29"/>
      <c r="AD127" s="26"/>
      <c r="AF127" s="27"/>
      <c r="AH127" s="27"/>
      <c r="AJ127" s="27"/>
      <c r="AL127" s="27"/>
      <c r="AN127" s="27"/>
      <c r="AO127" s="29"/>
      <c r="AP127" s="45">
        <f t="shared" si="1"/>
        <v>4100</v>
      </c>
      <c r="AQ127" s="41">
        <f t="shared" si="2"/>
        <v>200</v>
      </c>
      <c r="AR127" s="41">
        <f t="shared" si="3"/>
        <v>100</v>
      </c>
      <c r="AS127" s="41">
        <f t="shared" si="4"/>
        <v>300</v>
      </c>
      <c r="AT127" s="46">
        <f t="shared" si="5"/>
        <v>13.66666667</v>
      </c>
      <c r="AU127" s="37"/>
      <c r="AV127" s="37"/>
      <c r="AW127" s="37"/>
    </row>
    <row r="128" ht="15.75" customHeight="1">
      <c r="A128" s="49" t="s">
        <v>32</v>
      </c>
      <c r="B128" s="50">
        <f t="shared" si="6"/>
        <v>44688</v>
      </c>
      <c r="C128" s="51">
        <v>5.0</v>
      </c>
      <c r="D128" s="51" t="s">
        <v>33</v>
      </c>
      <c r="E128" s="53" t="s">
        <v>39</v>
      </c>
      <c r="F128" s="54"/>
      <c r="G128" s="55"/>
      <c r="H128" s="56"/>
      <c r="I128" s="55"/>
      <c r="J128" s="56"/>
      <c r="K128" s="55"/>
      <c r="L128" s="56"/>
      <c r="M128" s="55"/>
      <c r="N128" s="56"/>
      <c r="O128" s="55"/>
      <c r="P128" s="56"/>
      <c r="Q128" s="58"/>
      <c r="R128" s="54">
        <v>0.0</v>
      </c>
      <c r="S128" s="55"/>
      <c r="T128" s="56">
        <v>0.0</v>
      </c>
      <c r="U128" s="55"/>
      <c r="V128" s="56">
        <v>0.0</v>
      </c>
      <c r="W128" s="55"/>
      <c r="X128" s="56">
        <v>0.0</v>
      </c>
      <c r="Y128" s="55"/>
      <c r="Z128" s="56">
        <v>0.0</v>
      </c>
      <c r="AA128" s="55"/>
      <c r="AB128" s="56">
        <v>0.0</v>
      </c>
      <c r="AC128" s="58"/>
      <c r="AD128" s="54"/>
      <c r="AE128" s="55"/>
      <c r="AF128" s="56"/>
      <c r="AG128" s="55"/>
      <c r="AH128" s="56"/>
      <c r="AI128" s="55"/>
      <c r="AJ128" s="56"/>
      <c r="AK128" s="55"/>
      <c r="AL128" s="56"/>
      <c r="AM128" s="55"/>
      <c r="AN128" s="56"/>
      <c r="AO128" s="58"/>
      <c r="AP128" s="60">
        <f t="shared" si="1"/>
        <v>0</v>
      </c>
      <c r="AQ128" s="51">
        <f t="shared" si="2"/>
        <v>0</v>
      </c>
      <c r="AR128" s="51">
        <f t="shared" si="3"/>
        <v>0</v>
      </c>
      <c r="AS128" s="51">
        <f t="shared" si="4"/>
        <v>0</v>
      </c>
      <c r="AT128" s="61" t="str">
        <f t="shared" si="5"/>
        <v/>
      </c>
      <c r="AU128" s="37"/>
      <c r="AV128" s="37"/>
      <c r="AW128" s="37"/>
    </row>
    <row r="129" ht="15.75" customHeight="1">
      <c r="A129" s="21" t="s">
        <v>24</v>
      </c>
      <c r="B129" s="62">
        <f t="shared" si="6"/>
        <v>44689</v>
      </c>
      <c r="C129" s="23">
        <v>5.0</v>
      </c>
      <c r="D129" s="23" t="s">
        <v>34</v>
      </c>
      <c r="E129" s="63" t="s">
        <v>39</v>
      </c>
      <c r="F129" s="26"/>
      <c r="H129" s="27"/>
      <c r="J129" s="27"/>
      <c r="L129" s="27"/>
      <c r="N129" s="27"/>
      <c r="P129" s="27"/>
      <c r="Q129" s="29"/>
      <c r="R129" s="26">
        <v>100.0</v>
      </c>
      <c r="T129" s="27">
        <v>100.0</v>
      </c>
      <c r="V129" s="27">
        <v>0.0</v>
      </c>
      <c r="X129" s="27">
        <v>0.0</v>
      </c>
      <c r="Z129" s="27">
        <v>0.0</v>
      </c>
      <c r="AB129" s="27">
        <v>100.0</v>
      </c>
      <c r="AC129" s="29"/>
      <c r="AD129" s="26"/>
      <c r="AF129" s="27"/>
      <c r="AH129" s="27"/>
      <c r="AJ129" s="27"/>
      <c r="AL129" s="27"/>
      <c r="AN129" s="27"/>
      <c r="AO129" s="29"/>
      <c r="AP129" s="35">
        <f t="shared" si="1"/>
        <v>4100</v>
      </c>
      <c r="AQ129" s="23">
        <f t="shared" si="2"/>
        <v>200</v>
      </c>
      <c r="AR129" s="23">
        <f t="shared" si="3"/>
        <v>100</v>
      </c>
      <c r="AS129" s="23">
        <f t="shared" si="4"/>
        <v>300</v>
      </c>
      <c r="AT129" s="36">
        <f t="shared" si="5"/>
        <v>13.66666667</v>
      </c>
      <c r="AU129" s="37"/>
      <c r="AV129" s="37"/>
      <c r="AW129" s="37"/>
    </row>
    <row r="130" ht="15.75" customHeight="1">
      <c r="A130" s="39" t="s">
        <v>27</v>
      </c>
      <c r="B130" s="40">
        <f t="shared" si="6"/>
        <v>44690</v>
      </c>
      <c r="C130" s="41">
        <v>5.0</v>
      </c>
      <c r="D130" s="41" t="s">
        <v>34</v>
      </c>
      <c r="E130" s="43" t="s">
        <v>39</v>
      </c>
      <c r="F130" s="26"/>
      <c r="H130" s="27"/>
      <c r="J130" s="27"/>
      <c r="L130" s="27"/>
      <c r="N130" s="27"/>
      <c r="P130" s="27"/>
      <c r="Q130" s="29"/>
      <c r="R130" s="26">
        <v>100.0</v>
      </c>
      <c r="T130" s="27">
        <v>100.0</v>
      </c>
      <c r="V130" s="27">
        <v>0.0</v>
      </c>
      <c r="X130" s="27">
        <v>0.0</v>
      </c>
      <c r="Z130" s="27">
        <v>0.0</v>
      </c>
      <c r="AB130" s="27">
        <v>100.0</v>
      </c>
      <c r="AC130" s="29"/>
      <c r="AD130" s="26"/>
      <c r="AF130" s="27"/>
      <c r="AH130" s="27"/>
      <c r="AJ130" s="27"/>
      <c r="AL130" s="27"/>
      <c r="AN130" s="27"/>
      <c r="AO130" s="29"/>
      <c r="AP130" s="45">
        <f t="shared" si="1"/>
        <v>4100</v>
      </c>
      <c r="AQ130" s="41">
        <f t="shared" si="2"/>
        <v>200</v>
      </c>
      <c r="AR130" s="41">
        <f t="shared" si="3"/>
        <v>100</v>
      </c>
      <c r="AS130" s="41">
        <f t="shared" si="4"/>
        <v>300</v>
      </c>
      <c r="AT130" s="46">
        <f t="shared" si="5"/>
        <v>13.66666667</v>
      </c>
      <c r="AU130" s="37"/>
      <c r="AV130" s="37"/>
      <c r="AW130" s="37"/>
    </row>
    <row r="131" ht="15.75" customHeight="1">
      <c r="A131" s="39" t="s">
        <v>28</v>
      </c>
      <c r="B131" s="40">
        <f t="shared" si="6"/>
        <v>44691</v>
      </c>
      <c r="C131" s="41">
        <v>5.0</v>
      </c>
      <c r="D131" s="41" t="s">
        <v>34</v>
      </c>
      <c r="E131" s="43" t="s">
        <v>39</v>
      </c>
      <c r="F131" s="26"/>
      <c r="H131" s="27"/>
      <c r="J131" s="27"/>
      <c r="L131" s="27"/>
      <c r="N131" s="27"/>
      <c r="P131" s="27"/>
      <c r="Q131" s="29"/>
      <c r="R131" s="26">
        <v>100.0</v>
      </c>
      <c r="T131" s="27">
        <v>100.0</v>
      </c>
      <c r="V131" s="27">
        <v>0.0</v>
      </c>
      <c r="X131" s="27">
        <v>0.0</v>
      </c>
      <c r="Z131" s="27">
        <v>0.0</v>
      </c>
      <c r="AB131" s="27">
        <v>100.0</v>
      </c>
      <c r="AC131" s="29"/>
      <c r="AD131" s="26"/>
      <c r="AF131" s="27"/>
      <c r="AH131" s="27"/>
      <c r="AJ131" s="27"/>
      <c r="AL131" s="27"/>
      <c r="AN131" s="27"/>
      <c r="AO131" s="29"/>
      <c r="AP131" s="45">
        <f t="shared" si="1"/>
        <v>4100</v>
      </c>
      <c r="AQ131" s="41">
        <f t="shared" si="2"/>
        <v>200</v>
      </c>
      <c r="AR131" s="41">
        <f t="shared" si="3"/>
        <v>100</v>
      </c>
      <c r="AS131" s="41">
        <f t="shared" si="4"/>
        <v>300</v>
      </c>
      <c r="AT131" s="46">
        <f t="shared" si="5"/>
        <v>13.66666667</v>
      </c>
      <c r="AU131" s="37"/>
      <c r="AV131" s="37"/>
      <c r="AW131" s="37"/>
    </row>
    <row r="132" ht="15.75" customHeight="1">
      <c r="A132" s="39" t="s">
        <v>29</v>
      </c>
      <c r="B132" s="40">
        <f t="shared" si="6"/>
        <v>44692</v>
      </c>
      <c r="C132" s="41">
        <v>5.0</v>
      </c>
      <c r="D132" s="41" t="s">
        <v>34</v>
      </c>
      <c r="E132" s="43" t="s">
        <v>39</v>
      </c>
      <c r="F132" s="26"/>
      <c r="H132" s="27"/>
      <c r="J132" s="27"/>
      <c r="L132" s="27"/>
      <c r="N132" s="27"/>
      <c r="P132" s="27"/>
      <c r="Q132" s="29"/>
      <c r="R132" s="26">
        <v>100.0</v>
      </c>
      <c r="T132" s="27">
        <v>100.0</v>
      </c>
      <c r="V132" s="27">
        <v>0.0</v>
      </c>
      <c r="X132" s="27">
        <v>0.0</v>
      </c>
      <c r="Z132" s="27">
        <v>0.0</v>
      </c>
      <c r="AB132" s="27">
        <v>100.0</v>
      </c>
      <c r="AC132" s="29"/>
      <c r="AD132" s="26"/>
      <c r="AF132" s="27"/>
      <c r="AH132" s="27"/>
      <c r="AJ132" s="27"/>
      <c r="AL132" s="27"/>
      <c r="AN132" s="27"/>
      <c r="AO132" s="29"/>
      <c r="AP132" s="45">
        <f t="shared" si="1"/>
        <v>4100</v>
      </c>
      <c r="AQ132" s="41">
        <f t="shared" si="2"/>
        <v>200</v>
      </c>
      <c r="AR132" s="41">
        <f t="shared" si="3"/>
        <v>100</v>
      </c>
      <c r="AS132" s="41">
        <f t="shared" si="4"/>
        <v>300</v>
      </c>
      <c r="AT132" s="46">
        <f t="shared" si="5"/>
        <v>13.66666667</v>
      </c>
      <c r="AU132" s="37"/>
      <c r="AV132" s="37"/>
      <c r="AW132" s="37"/>
    </row>
    <row r="133" ht="15.75" customHeight="1">
      <c r="A133" s="39" t="s">
        <v>30</v>
      </c>
      <c r="B133" s="40">
        <f t="shared" si="6"/>
        <v>44693</v>
      </c>
      <c r="C133" s="41">
        <v>5.0</v>
      </c>
      <c r="D133" s="41" t="s">
        <v>34</v>
      </c>
      <c r="E133" s="43" t="s">
        <v>39</v>
      </c>
      <c r="F133" s="26"/>
      <c r="H133" s="27"/>
      <c r="J133" s="27"/>
      <c r="L133" s="27"/>
      <c r="N133" s="27"/>
      <c r="P133" s="27"/>
      <c r="Q133" s="29"/>
      <c r="R133" s="26">
        <v>100.0</v>
      </c>
      <c r="T133" s="27">
        <v>100.0</v>
      </c>
      <c r="V133" s="27">
        <v>0.0</v>
      </c>
      <c r="X133" s="27">
        <v>0.0</v>
      </c>
      <c r="Z133" s="27">
        <v>0.0</v>
      </c>
      <c r="AB133" s="27">
        <v>100.0</v>
      </c>
      <c r="AC133" s="29"/>
      <c r="AD133" s="26"/>
      <c r="AF133" s="27"/>
      <c r="AH133" s="27"/>
      <c r="AJ133" s="27"/>
      <c r="AL133" s="27"/>
      <c r="AN133" s="27"/>
      <c r="AO133" s="29"/>
      <c r="AP133" s="45">
        <f t="shared" si="1"/>
        <v>4100</v>
      </c>
      <c r="AQ133" s="41">
        <f t="shared" si="2"/>
        <v>200</v>
      </c>
      <c r="AR133" s="41">
        <f t="shared" si="3"/>
        <v>100</v>
      </c>
      <c r="AS133" s="41">
        <f t="shared" si="4"/>
        <v>300</v>
      </c>
      <c r="AT133" s="46">
        <f t="shared" si="5"/>
        <v>13.66666667</v>
      </c>
      <c r="AU133" s="37"/>
      <c r="AV133" s="37"/>
      <c r="AW133" s="37"/>
    </row>
    <row r="134" ht="15.75" customHeight="1">
      <c r="A134" s="39" t="s">
        <v>31</v>
      </c>
      <c r="B134" s="40">
        <f t="shared" si="6"/>
        <v>44694</v>
      </c>
      <c r="C134" s="41">
        <v>5.0</v>
      </c>
      <c r="D134" s="41" t="s">
        <v>34</v>
      </c>
      <c r="E134" s="43" t="s">
        <v>39</v>
      </c>
      <c r="F134" s="26"/>
      <c r="H134" s="27"/>
      <c r="J134" s="27"/>
      <c r="L134" s="27"/>
      <c r="N134" s="27"/>
      <c r="P134" s="27"/>
      <c r="Q134" s="29"/>
      <c r="R134" s="26">
        <v>100.0</v>
      </c>
      <c r="T134" s="27">
        <v>100.0</v>
      </c>
      <c r="V134" s="27">
        <v>0.0</v>
      </c>
      <c r="X134" s="27">
        <v>0.0</v>
      </c>
      <c r="Z134" s="27">
        <v>0.0</v>
      </c>
      <c r="AB134" s="27">
        <v>100.0</v>
      </c>
      <c r="AC134" s="29"/>
      <c r="AD134" s="26"/>
      <c r="AF134" s="27"/>
      <c r="AH134" s="27"/>
      <c r="AJ134" s="27"/>
      <c r="AL134" s="27"/>
      <c r="AN134" s="27"/>
      <c r="AO134" s="29"/>
      <c r="AP134" s="45">
        <f t="shared" si="1"/>
        <v>4100</v>
      </c>
      <c r="AQ134" s="41">
        <f t="shared" si="2"/>
        <v>200</v>
      </c>
      <c r="AR134" s="41">
        <f t="shared" si="3"/>
        <v>100</v>
      </c>
      <c r="AS134" s="41">
        <f t="shared" si="4"/>
        <v>300</v>
      </c>
      <c r="AT134" s="46">
        <f t="shared" si="5"/>
        <v>13.66666667</v>
      </c>
      <c r="AU134" s="37"/>
      <c r="AV134" s="37"/>
      <c r="AW134" s="37"/>
    </row>
    <row r="135" ht="15.75" customHeight="1">
      <c r="A135" s="49" t="s">
        <v>32</v>
      </c>
      <c r="B135" s="50">
        <f t="shared" si="6"/>
        <v>44695</v>
      </c>
      <c r="C135" s="51">
        <v>5.0</v>
      </c>
      <c r="D135" s="51" t="s">
        <v>34</v>
      </c>
      <c r="E135" s="53" t="s">
        <v>39</v>
      </c>
      <c r="F135" s="54"/>
      <c r="G135" s="55"/>
      <c r="H135" s="56"/>
      <c r="I135" s="55"/>
      <c r="J135" s="56"/>
      <c r="K135" s="55"/>
      <c r="L135" s="56"/>
      <c r="M135" s="55"/>
      <c r="N135" s="56"/>
      <c r="O135" s="55"/>
      <c r="P135" s="56"/>
      <c r="Q135" s="58"/>
      <c r="R135" s="54">
        <v>0.0</v>
      </c>
      <c r="S135" s="55"/>
      <c r="T135" s="56">
        <v>0.0</v>
      </c>
      <c r="U135" s="55"/>
      <c r="V135" s="56">
        <v>0.0</v>
      </c>
      <c r="W135" s="55"/>
      <c r="X135" s="56">
        <v>0.0</v>
      </c>
      <c r="Y135" s="55"/>
      <c r="Z135" s="56">
        <v>0.0</v>
      </c>
      <c r="AA135" s="55"/>
      <c r="AB135" s="56">
        <v>0.0</v>
      </c>
      <c r="AC135" s="58"/>
      <c r="AD135" s="54"/>
      <c r="AE135" s="55"/>
      <c r="AF135" s="56"/>
      <c r="AG135" s="55"/>
      <c r="AH135" s="56"/>
      <c r="AI135" s="55"/>
      <c r="AJ135" s="56"/>
      <c r="AK135" s="55"/>
      <c r="AL135" s="56"/>
      <c r="AM135" s="55"/>
      <c r="AN135" s="56"/>
      <c r="AO135" s="58"/>
      <c r="AP135" s="60">
        <f t="shared" si="1"/>
        <v>0</v>
      </c>
      <c r="AQ135" s="51">
        <f t="shared" si="2"/>
        <v>0</v>
      </c>
      <c r="AR135" s="51">
        <f t="shared" si="3"/>
        <v>0</v>
      </c>
      <c r="AS135" s="51">
        <f t="shared" si="4"/>
        <v>0</v>
      </c>
      <c r="AT135" s="61" t="str">
        <f t="shared" si="5"/>
        <v/>
      </c>
      <c r="AU135" s="37"/>
      <c r="AV135" s="37"/>
      <c r="AW135" s="37"/>
    </row>
    <row r="136" ht="15.75" customHeight="1">
      <c r="A136" s="21" t="s">
        <v>24</v>
      </c>
      <c r="B136" s="62">
        <f t="shared" si="6"/>
        <v>44696</v>
      </c>
      <c r="C136" s="23">
        <v>5.0</v>
      </c>
      <c r="D136" s="23" t="s">
        <v>35</v>
      </c>
      <c r="E136" s="63" t="s">
        <v>39</v>
      </c>
      <c r="F136" s="26"/>
      <c r="H136" s="27"/>
      <c r="J136" s="27"/>
      <c r="L136" s="27"/>
      <c r="N136" s="27"/>
      <c r="P136" s="27"/>
      <c r="Q136" s="29"/>
      <c r="R136" s="26">
        <v>100.0</v>
      </c>
      <c r="T136" s="27">
        <v>100.0</v>
      </c>
      <c r="V136" s="27">
        <v>0.0</v>
      </c>
      <c r="X136" s="27">
        <v>0.0</v>
      </c>
      <c r="Z136" s="27">
        <v>0.0</v>
      </c>
      <c r="AB136" s="27">
        <v>100.0</v>
      </c>
      <c r="AC136" s="29"/>
      <c r="AD136" s="26"/>
      <c r="AF136" s="27"/>
      <c r="AH136" s="27"/>
      <c r="AJ136" s="27"/>
      <c r="AL136" s="27"/>
      <c r="AN136" s="27"/>
      <c r="AO136" s="29"/>
      <c r="AP136" s="35">
        <f t="shared" si="1"/>
        <v>4100</v>
      </c>
      <c r="AQ136" s="23">
        <f t="shared" si="2"/>
        <v>200</v>
      </c>
      <c r="AR136" s="23">
        <f t="shared" si="3"/>
        <v>100</v>
      </c>
      <c r="AS136" s="23">
        <f t="shared" si="4"/>
        <v>300</v>
      </c>
      <c r="AT136" s="36">
        <f t="shared" si="5"/>
        <v>13.66666667</v>
      </c>
      <c r="AU136" s="37"/>
      <c r="AV136" s="37"/>
      <c r="AW136" s="37"/>
    </row>
    <row r="137" ht="15.75" customHeight="1">
      <c r="A137" s="39" t="s">
        <v>27</v>
      </c>
      <c r="B137" s="40">
        <f t="shared" si="6"/>
        <v>44697</v>
      </c>
      <c r="C137" s="41">
        <v>5.0</v>
      </c>
      <c r="D137" s="41" t="s">
        <v>35</v>
      </c>
      <c r="E137" s="43" t="s">
        <v>39</v>
      </c>
      <c r="F137" s="26"/>
      <c r="H137" s="27"/>
      <c r="J137" s="27"/>
      <c r="L137" s="27"/>
      <c r="N137" s="27"/>
      <c r="P137" s="27"/>
      <c r="Q137" s="29"/>
      <c r="R137" s="26">
        <v>100.0</v>
      </c>
      <c r="T137" s="27">
        <v>100.0</v>
      </c>
      <c r="V137" s="27">
        <v>0.0</v>
      </c>
      <c r="X137" s="27">
        <v>0.0</v>
      </c>
      <c r="Z137" s="27">
        <v>0.0</v>
      </c>
      <c r="AB137" s="27">
        <v>100.0</v>
      </c>
      <c r="AC137" s="29"/>
      <c r="AD137" s="26"/>
      <c r="AF137" s="27"/>
      <c r="AH137" s="27"/>
      <c r="AJ137" s="27"/>
      <c r="AL137" s="27"/>
      <c r="AN137" s="27"/>
      <c r="AO137" s="29"/>
      <c r="AP137" s="45">
        <f t="shared" si="1"/>
        <v>4100</v>
      </c>
      <c r="AQ137" s="41">
        <f t="shared" si="2"/>
        <v>200</v>
      </c>
      <c r="AR137" s="41">
        <f t="shared" si="3"/>
        <v>100</v>
      </c>
      <c r="AS137" s="41">
        <f t="shared" si="4"/>
        <v>300</v>
      </c>
      <c r="AT137" s="46">
        <f t="shared" si="5"/>
        <v>13.66666667</v>
      </c>
      <c r="AU137" s="37"/>
      <c r="AV137" s="37"/>
      <c r="AW137" s="37"/>
    </row>
    <row r="138" ht="15.75" customHeight="1">
      <c r="A138" s="39" t="s">
        <v>28</v>
      </c>
      <c r="B138" s="40">
        <f t="shared" si="6"/>
        <v>44698</v>
      </c>
      <c r="C138" s="41">
        <v>5.0</v>
      </c>
      <c r="D138" s="41" t="s">
        <v>35</v>
      </c>
      <c r="E138" s="43" t="s">
        <v>39</v>
      </c>
      <c r="F138" s="26"/>
      <c r="H138" s="27"/>
      <c r="J138" s="27"/>
      <c r="L138" s="27"/>
      <c r="N138" s="27"/>
      <c r="P138" s="27"/>
      <c r="Q138" s="29"/>
      <c r="R138" s="26">
        <v>100.0</v>
      </c>
      <c r="T138" s="27">
        <v>100.0</v>
      </c>
      <c r="V138" s="27">
        <v>0.0</v>
      </c>
      <c r="X138" s="27">
        <v>0.0</v>
      </c>
      <c r="Z138" s="27">
        <v>0.0</v>
      </c>
      <c r="AB138" s="27">
        <v>100.0</v>
      </c>
      <c r="AC138" s="29"/>
      <c r="AD138" s="26"/>
      <c r="AF138" s="27"/>
      <c r="AH138" s="27"/>
      <c r="AJ138" s="27"/>
      <c r="AL138" s="27"/>
      <c r="AN138" s="27"/>
      <c r="AO138" s="29"/>
      <c r="AP138" s="45">
        <f t="shared" si="1"/>
        <v>4100</v>
      </c>
      <c r="AQ138" s="41">
        <f t="shared" si="2"/>
        <v>200</v>
      </c>
      <c r="AR138" s="41">
        <f t="shared" si="3"/>
        <v>100</v>
      </c>
      <c r="AS138" s="41">
        <f t="shared" si="4"/>
        <v>300</v>
      </c>
      <c r="AT138" s="46">
        <f t="shared" si="5"/>
        <v>13.66666667</v>
      </c>
      <c r="AU138" s="37"/>
      <c r="AV138" s="37"/>
      <c r="AW138" s="37"/>
    </row>
    <row r="139" ht="15.75" customHeight="1">
      <c r="A139" s="39" t="s">
        <v>29</v>
      </c>
      <c r="B139" s="40">
        <f t="shared" si="6"/>
        <v>44699</v>
      </c>
      <c r="C139" s="41">
        <v>5.0</v>
      </c>
      <c r="D139" s="41" t="s">
        <v>35</v>
      </c>
      <c r="E139" s="43" t="s">
        <v>39</v>
      </c>
      <c r="F139" s="26"/>
      <c r="H139" s="27"/>
      <c r="J139" s="27"/>
      <c r="L139" s="27"/>
      <c r="N139" s="27"/>
      <c r="P139" s="27"/>
      <c r="Q139" s="29"/>
      <c r="R139" s="26">
        <v>100.0</v>
      </c>
      <c r="T139" s="27">
        <v>100.0</v>
      </c>
      <c r="V139" s="27">
        <v>0.0</v>
      </c>
      <c r="X139" s="27">
        <v>0.0</v>
      </c>
      <c r="Z139" s="27">
        <v>0.0</v>
      </c>
      <c r="AB139" s="27">
        <v>100.0</v>
      </c>
      <c r="AC139" s="29"/>
      <c r="AD139" s="26"/>
      <c r="AF139" s="27"/>
      <c r="AH139" s="27"/>
      <c r="AJ139" s="27"/>
      <c r="AL139" s="27"/>
      <c r="AN139" s="27"/>
      <c r="AO139" s="29"/>
      <c r="AP139" s="45">
        <f t="shared" si="1"/>
        <v>4100</v>
      </c>
      <c r="AQ139" s="41">
        <f t="shared" si="2"/>
        <v>200</v>
      </c>
      <c r="AR139" s="41">
        <f t="shared" si="3"/>
        <v>100</v>
      </c>
      <c r="AS139" s="41">
        <f t="shared" si="4"/>
        <v>300</v>
      </c>
      <c r="AT139" s="46">
        <f t="shared" si="5"/>
        <v>13.66666667</v>
      </c>
      <c r="AU139" s="37"/>
      <c r="AV139" s="37"/>
      <c r="AW139" s="37"/>
    </row>
    <row r="140" ht="15.75" customHeight="1">
      <c r="A140" s="39" t="s">
        <v>30</v>
      </c>
      <c r="B140" s="40">
        <f t="shared" si="6"/>
        <v>44700</v>
      </c>
      <c r="C140" s="41">
        <v>5.0</v>
      </c>
      <c r="D140" s="41" t="s">
        <v>35</v>
      </c>
      <c r="E140" s="43" t="s">
        <v>39</v>
      </c>
      <c r="F140" s="26"/>
      <c r="H140" s="27"/>
      <c r="J140" s="27"/>
      <c r="L140" s="27"/>
      <c r="N140" s="27"/>
      <c r="P140" s="27"/>
      <c r="Q140" s="29"/>
      <c r="R140" s="26">
        <v>100.0</v>
      </c>
      <c r="T140" s="27">
        <v>100.0</v>
      </c>
      <c r="V140" s="27">
        <v>0.0</v>
      </c>
      <c r="X140" s="27">
        <v>0.0</v>
      </c>
      <c r="Z140" s="27">
        <v>0.0</v>
      </c>
      <c r="AB140" s="27">
        <v>100.0</v>
      </c>
      <c r="AC140" s="29"/>
      <c r="AD140" s="26"/>
      <c r="AF140" s="27"/>
      <c r="AH140" s="27"/>
      <c r="AJ140" s="27"/>
      <c r="AL140" s="27"/>
      <c r="AN140" s="27"/>
      <c r="AO140" s="29"/>
      <c r="AP140" s="45">
        <f t="shared" si="1"/>
        <v>4100</v>
      </c>
      <c r="AQ140" s="41">
        <f t="shared" si="2"/>
        <v>200</v>
      </c>
      <c r="AR140" s="41">
        <f t="shared" si="3"/>
        <v>100</v>
      </c>
      <c r="AS140" s="41">
        <f t="shared" si="4"/>
        <v>300</v>
      </c>
      <c r="AT140" s="46">
        <f t="shared" si="5"/>
        <v>13.66666667</v>
      </c>
      <c r="AU140" s="37"/>
      <c r="AV140" s="37"/>
      <c r="AW140" s="37"/>
    </row>
    <row r="141" ht="15.75" customHeight="1">
      <c r="A141" s="39" t="s">
        <v>31</v>
      </c>
      <c r="B141" s="40">
        <f t="shared" si="6"/>
        <v>44701</v>
      </c>
      <c r="C141" s="41">
        <v>5.0</v>
      </c>
      <c r="D141" s="41" t="s">
        <v>35</v>
      </c>
      <c r="E141" s="43" t="s">
        <v>39</v>
      </c>
      <c r="F141" s="26"/>
      <c r="H141" s="27"/>
      <c r="J141" s="27"/>
      <c r="L141" s="27"/>
      <c r="N141" s="27"/>
      <c r="P141" s="27"/>
      <c r="Q141" s="29"/>
      <c r="R141" s="26">
        <v>100.0</v>
      </c>
      <c r="T141" s="27">
        <v>100.0</v>
      </c>
      <c r="V141" s="27">
        <v>0.0</v>
      </c>
      <c r="X141" s="27">
        <v>0.0</v>
      </c>
      <c r="Z141" s="27">
        <v>0.0</v>
      </c>
      <c r="AB141" s="27">
        <v>100.0</v>
      </c>
      <c r="AC141" s="29"/>
      <c r="AD141" s="26"/>
      <c r="AF141" s="27"/>
      <c r="AH141" s="27"/>
      <c r="AJ141" s="27"/>
      <c r="AL141" s="27"/>
      <c r="AN141" s="27"/>
      <c r="AO141" s="29"/>
      <c r="AP141" s="45">
        <f t="shared" si="1"/>
        <v>4100</v>
      </c>
      <c r="AQ141" s="41">
        <f t="shared" si="2"/>
        <v>200</v>
      </c>
      <c r="AR141" s="41">
        <f t="shared" si="3"/>
        <v>100</v>
      </c>
      <c r="AS141" s="41">
        <f t="shared" si="4"/>
        <v>300</v>
      </c>
      <c r="AT141" s="46">
        <f t="shared" si="5"/>
        <v>13.66666667</v>
      </c>
      <c r="AU141" s="37"/>
      <c r="AV141" s="37"/>
      <c r="AW141" s="37"/>
    </row>
    <row r="142" ht="15.75" customHeight="1">
      <c r="A142" s="49" t="s">
        <v>32</v>
      </c>
      <c r="B142" s="50">
        <f t="shared" si="6"/>
        <v>44702</v>
      </c>
      <c r="C142" s="51">
        <v>5.0</v>
      </c>
      <c r="D142" s="51" t="s">
        <v>35</v>
      </c>
      <c r="E142" s="53" t="s">
        <v>39</v>
      </c>
      <c r="F142" s="54"/>
      <c r="G142" s="55"/>
      <c r="H142" s="56"/>
      <c r="I142" s="55"/>
      <c r="J142" s="56"/>
      <c r="K142" s="55"/>
      <c r="L142" s="56"/>
      <c r="M142" s="55"/>
      <c r="N142" s="56"/>
      <c r="O142" s="55"/>
      <c r="P142" s="56"/>
      <c r="Q142" s="58"/>
      <c r="R142" s="54">
        <v>0.0</v>
      </c>
      <c r="S142" s="55"/>
      <c r="T142" s="56">
        <v>0.0</v>
      </c>
      <c r="U142" s="55"/>
      <c r="V142" s="56">
        <v>0.0</v>
      </c>
      <c r="W142" s="55"/>
      <c r="X142" s="56">
        <v>0.0</v>
      </c>
      <c r="Y142" s="55"/>
      <c r="Z142" s="56">
        <v>0.0</v>
      </c>
      <c r="AA142" s="55"/>
      <c r="AB142" s="56">
        <v>0.0</v>
      </c>
      <c r="AC142" s="58"/>
      <c r="AD142" s="54"/>
      <c r="AE142" s="55"/>
      <c r="AF142" s="56"/>
      <c r="AG142" s="55"/>
      <c r="AH142" s="56"/>
      <c r="AI142" s="55"/>
      <c r="AJ142" s="56"/>
      <c r="AK142" s="55"/>
      <c r="AL142" s="56"/>
      <c r="AM142" s="55"/>
      <c r="AN142" s="56"/>
      <c r="AO142" s="58"/>
      <c r="AP142" s="60">
        <f t="shared" si="1"/>
        <v>0</v>
      </c>
      <c r="AQ142" s="51">
        <f t="shared" si="2"/>
        <v>0</v>
      </c>
      <c r="AR142" s="51">
        <f t="shared" si="3"/>
        <v>0</v>
      </c>
      <c r="AS142" s="51">
        <f t="shared" si="4"/>
        <v>0</v>
      </c>
      <c r="AT142" s="61" t="str">
        <f t="shared" si="5"/>
        <v/>
      </c>
      <c r="AU142" s="37"/>
      <c r="AV142" s="37"/>
      <c r="AW142" s="37"/>
    </row>
    <row r="143" ht="15.75" customHeight="1">
      <c r="A143" s="21" t="s">
        <v>24</v>
      </c>
      <c r="B143" s="62">
        <f t="shared" si="6"/>
        <v>44703</v>
      </c>
      <c r="C143" s="23">
        <v>6.0</v>
      </c>
      <c r="D143" s="23" t="s">
        <v>25</v>
      </c>
      <c r="E143" s="63" t="s">
        <v>39</v>
      </c>
      <c r="F143" s="26"/>
      <c r="H143" s="27"/>
      <c r="J143" s="27"/>
      <c r="L143" s="27"/>
      <c r="N143" s="27"/>
      <c r="P143" s="27"/>
      <c r="Q143" s="29"/>
      <c r="R143" s="26">
        <v>100.0</v>
      </c>
      <c r="T143" s="27">
        <v>100.0</v>
      </c>
      <c r="V143" s="27">
        <v>0.0</v>
      </c>
      <c r="X143" s="27">
        <v>0.0</v>
      </c>
      <c r="Z143" s="27">
        <v>0.0</v>
      </c>
      <c r="AB143" s="27">
        <v>100.0</v>
      </c>
      <c r="AC143" s="29"/>
      <c r="AD143" s="26"/>
      <c r="AF143" s="27"/>
      <c r="AH143" s="27"/>
      <c r="AJ143" s="27"/>
      <c r="AL143" s="27"/>
      <c r="AN143" s="27"/>
      <c r="AO143" s="29"/>
      <c r="AP143" s="35">
        <f t="shared" si="1"/>
        <v>4100</v>
      </c>
      <c r="AQ143" s="23">
        <f t="shared" si="2"/>
        <v>200</v>
      </c>
      <c r="AR143" s="23">
        <f t="shared" si="3"/>
        <v>100</v>
      </c>
      <c r="AS143" s="23">
        <f t="shared" si="4"/>
        <v>300</v>
      </c>
      <c r="AT143" s="36">
        <f t="shared" si="5"/>
        <v>13.66666667</v>
      </c>
      <c r="AU143" s="37"/>
      <c r="AV143" s="37"/>
      <c r="AW143" s="37"/>
    </row>
    <row r="144" ht="15.75" customHeight="1">
      <c r="A144" s="39" t="s">
        <v>27</v>
      </c>
      <c r="B144" s="40">
        <f t="shared" si="6"/>
        <v>44704</v>
      </c>
      <c r="C144" s="41">
        <v>6.0</v>
      </c>
      <c r="D144" s="41" t="s">
        <v>25</v>
      </c>
      <c r="E144" s="43" t="s">
        <v>39</v>
      </c>
      <c r="F144" s="26"/>
      <c r="H144" s="27"/>
      <c r="J144" s="27"/>
      <c r="L144" s="27"/>
      <c r="N144" s="27"/>
      <c r="P144" s="27"/>
      <c r="Q144" s="29"/>
      <c r="R144" s="26">
        <v>100.0</v>
      </c>
      <c r="T144" s="27">
        <v>100.0</v>
      </c>
      <c r="V144" s="27">
        <v>0.0</v>
      </c>
      <c r="X144" s="27">
        <v>0.0</v>
      </c>
      <c r="Z144" s="27">
        <v>0.0</v>
      </c>
      <c r="AB144" s="27">
        <v>100.0</v>
      </c>
      <c r="AC144" s="29"/>
      <c r="AD144" s="26"/>
      <c r="AF144" s="27"/>
      <c r="AH144" s="27"/>
      <c r="AJ144" s="27"/>
      <c r="AL144" s="27"/>
      <c r="AN144" s="27"/>
      <c r="AO144" s="29"/>
      <c r="AP144" s="45">
        <f t="shared" si="1"/>
        <v>4100</v>
      </c>
      <c r="AQ144" s="41">
        <f t="shared" si="2"/>
        <v>200</v>
      </c>
      <c r="AR144" s="41">
        <f t="shared" si="3"/>
        <v>100</v>
      </c>
      <c r="AS144" s="41">
        <f t="shared" si="4"/>
        <v>300</v>
      </c>
      <c r="AT144" s="46">
        <f t="shared" si="5"/>
        <v>13.66666667</v>
      </c>
      <c r="AU144" s="37"/>
      <c r="AV144" s="37"/>
      <c r="AW144" s="37"/>
    </row>
    <row r="145" ht="15.75" customHeight="1">
      <c r="A145" s="39" t="s">
        <v>28</v>
      </c>
      <c r="B145" s="40">
        <f t="shared" si="6"/>
        <v>44705</v>
      </c>
      <c r="C145" s="41">
        <v>6.0</v>
      </c>
      <c r="D145" s="41" t="s">
        <v>25</v>
      </c>
      <c r="E145" s="43" t="s">
        <v>39</v>
      </c>
      <c r="F145" s="26"/>
      <c r="H145" s="27"/>
      <c r="J145" s="27"/>
      <c r="L145" s="27"/>
      <c r="N145" s="27"/>
      <c r="P145" s="27"/>
      <c r="Q145" s="29"/>
      <c r="R145" s="26">
        <v>100.0</v>
      </c>
      <c r="T145" s="27">
        <v>100.0</v>
      </c>
      <c r="V145" s="27">
        <v>0.0</v>
      </c>
      <c r="X145" s="27">
        <v>0.0</v>
      </c>
      <c r="Z145" s="27">
        <v>0.0</v>
      </c>
      <c r="AB145" s="27">
        <v>100.0</v>
      </c>
      <c r="AC145" s="29"/>
      <c r="AD145" s="26"/>
      <c r="AF145" s="27"/>
      <c r="AH145" s="27"/>
      <c r="AJ145" s="27"/>
      <c r="AL145" s="27"/>
      <c r="AN145" s="27"/>
      <c r="AO145" s="29"/>
      <c r="AP145" s="45">
        <f t="shared" si="1"/>
        <v>4100</v>
      </c>
      <c r="AQ145" s="41">
        <f t="shared" si="2"/>
        <v>200</v>
      </c>
      <c r="AR145" s="41">
        <f t="shared" si="3"/>
        <v>100</v>
      </c>
      <c r="AS145" s="41">
        <f t="shared" si="4"/>
        <v>300</v>
      </c>
      <c r="AT145" s="46">
        <f t="shared" si="5"/>
        <v>13.66666667</v>
      </c>
      <c r="AU145" s="37"/>
      <c r="AV145" s="37"/>
      <c r="AW145" s="37"/>
    </row>
    <row r="146" ht="15.75" customHeight="1">
      <c r="A146" s="39" t="s">
        <v>29</v>
      </c>
      <c r="B146" s="40">
        <f t="shared" si="6"/>
        <v>44706</v>
      </c>
      <c r="C146" s="41">
        <v>6.0</v>
      </c>
      <c r="D146" s="41" t="s">
        <v>25</v>
      </c>
      <c r="E146" s="43" t="s">
        <v>39</v>
      </c>
      <c r="F146" s="26"/>
      <c r="H146" s="27"/>
      <c r="J146" s="27"/>
      <c r="L146" s="27"/>
      <c r="N146" s="27"/>
      <c r="P146" s="27"/>
      <c r="Q146" s="29"/>
      <c r="R146" s="26">
        <v>100.0</v>
      </c>
      <c r="T146" s="27">
        <v>100.0</v>
      </c>
      <c r="V146" s="27">
        <v>0.0</v>
      </c>
      <c r="X146" s="27">
        <v>0.0</v>
      </c>
      <c r="Z146" s="27">
        <v>0.0</v>
      </c>
      <c r="AB146" s="27">
        <v>100.0</v>
      </c>
      <c r="AC146" s="29"/>
      <c r="AD146" s="26"/>
      <c r="AF146" s="27"/>
      <c r="AH146" s="27"/>
      <c r="AJ146" s="27"/>
      <c r="AL146" s="27"/>
      <c r="AN146" s="27"/>
      <c r="AO146" s="29"/>
      <c r="AP146" s="45">
        <f t="shared" si="1"/>
        <v>4100</v>
      </c>
      <c r="AQ146" s="41">
        <f t="shared" si="2"/>
        <v>200</v>
      </c>
      <c r="AR146" s="41">
        <f t="shared" si="3"/>
        <v>100</v>
      </c>
      <c r="AS146" s="41">
        <f t="shared" si="4"/>
        <v>300</v>
      </c>
      <c r="AT146" s="46">
        <f t="shared" si="5"/>
        <v>13.66666667</v>
      </c>
      <c r="AU146" s="37"/>
      <c r="AV146" s="37"/>
      <c r="AW146" s="37"/>
    </row>
    <row r="147" ht="15.75" customHeight="1">
      <c r="A147" s="39" t="s">
        <v>30</v>
      </c>
      <c r="B147" s="40">
        <f t="shared" si="6"/>
        <v>44707</v>
      </c>
      <c r="C147" s="41">
        <v>6.0</v>
      </c>
      <c r="D147" s="41" t="s">
        <v>25</v>
      </c>
      <c r="E147" s="43" t="s">
        <v>39</v>
      </c>
      <c r="F147" s="26"/>
      <c r="H147" s="27"/>
      <c r="J147" s="27"/>
      <c r="L147" s="27"/>
      <c r="N147" s="27"/>
      <c r="P147" s="27"/>
      <c r="Q147" s="29"/>
      <c r="R147" s="26">
        <v>100.0</v>
      </c>
      <c r="T147" s="27">
        <v>100.0</v>
      </c>
      <c r="V147" s="27">
        <v>0.0</v>
      </c>
      <c r="X147" s="27">
        <v>0.0</v>
      </c>
      <c r="Z147" s="27">
        <v>0.0</v>
      </c>
      <c r="AB147" s="27">
        <v>100.0</v>
      </c>
      <c r="AC147" s="29"/>
      <c r="AD147" s="26"/>
      <c r="AF147" s="27"/>
      <c r="AH147" s="27"/>
      <c r="AJ147" s="27"/>
      <c r="AL147" s="27"/>
      <c r="AN147" s="27"/>
      <c r="AO147" s="29"/>
      <c r="AP147" s="45">
        <f t="shared" si="1"/>
        <v>4100</v>
      </c>
      <c r="AQ147" s="41">
        <f t="shared" si="2"/>
        <v>200</v>
      </c>
      <c r="AR147" s="41">
        <f t="shared" si="3"/>
        <v>100</v>
      </c>
      <c r="AS147" s="41">
        <f t="shared" si="4"/>
        <v>300</v>
      </c>
      <c r="AT147" s="46">
        <f t="shared" si="5"/>
        <v>13.66666667</v>
      </c>
      <c r="AU147" s="37"/>
      <c r="AV147" s="37"/>
      <c r="AW147" s="37"/>
    </row>
    <row r="148" ht="15.75" customHeight="1">
      <c r="A148" s="39" t="s">
        <v>31</v>
      </c>
      <c r="B148" s="40">
        <f t="shared" si="6"/>
        <v>44708</v>
      </c>
      <c r="C148" s="41">
        <v>6.0</v>
      </c>
      <c r="D148" s="41" t="s">
        <v>25</v>
      </c>
      <c r="E148" s="43" t="s">
        <v>39</v>
      </c>
      <c r="F148" s="26"/>
      <c r="H148" s="27"/>
      <c r="J148" s="27"/>
      <c r="L148" s="27"/>
      <c r="N148" s="27"/>
      <c r="P148" s="27"/>
      <c r="Q148" s="29"/>
      <c r="R148" s="26">
        <v>100.0</v>
      </c>
      <c r="T148" s="27">
        <v>100.0</v>
      </c>
      <c r="V148" s="27">
        <v>0.0</v>
      </c>
      <c r="X148" s="27">
        <v>0.0</v>
      </c>
      <c r="Z148" s="27">
        <v>0.0</v>
      </c>
      <c r="AB148" s="27">
        <v>100.0</v>
      </c>
      <c r="AC148" s="29"/>
      <c r="AD148" s="26"/>
      <c r="AF148" s="27"/>
      <c r="AH148" s="27"/>
      <c r="AJ148" s="27"/>
      <c r="AL148" s="27"/>
      <c r="AN148" s="27"/>
      <c r="AO148" s="29"/>
      <c r="AP148" s="45">
        <f t="shared" si="1"/>
        <v>4100</v>
      </c>
      <c r="AQ148" s="41">
        <f t="shared" si="2"/>
        <v>200</v>
      </c>
      <c r="AR148" s="41">
        <f t="shared" si="3"/>
        <v>100</v>
      </c>
      <c r="AS148" s="41">
        <f t="shared" si="4"/>
        <v>300</v>
      </c>
      <c r="AT148" s="46">
        <f t="shared" si="5"/>
        <v>13.66666667</v>
      </c>
      <c r="AU148" s="37"/>
      <c r="AV148" s="37"/>
      <c r="AW148" s="37"/>
    </row>
    <row r="149" ht="15.75" customHeight="1">
      <c r="A149" s="49" t="s">
        <v>32</v>
      </c>
      <c r="B149" s="50">
        <f t="shared" si="6"/>
        <v>44709</v>
      </c>
      <c r="C149" s="51">
        <v>6.0</v>
      </c>
      <c r="D149" s="51" t="s">
        <v>25</v>
      </c>
      <c r="E149" s="53" t="s">
        <v>39</v>
      </c>
      <c r="F149" s="54"/>
      <c r="G149" s="55"/>
      <c r="H149" s="56"/>
      <c r="I149" s="55"/>
      <c r="J149" s="56"/>
      <c r="K149" s="55"/>
      <c r="L149" s="56"/>
      <c r="M149" s="55"/>
      <c r="N149" s="56"/>
      <c r="O149" s="55"/>
      <c r="P149" s="56"/>
      <c r="Q149" s="58"/>
      <c r="R149" s="54">
        <v>0.0</v>
      </c>
      <c r="S149" s="55"/>
      <c r="T149" s="56">
        <v>0.0</v>
      </c>
      <c r="U149" s="55"/>
      <c r="V149" s="56">
        <v>0.0</v>
      </c>
      <c r="W149" s="55"/>
      <c r="X149" s="56">
        <v>0.0</v>
      </c>
      <c r="Y149" s="55"/>
      <c r="Z149" s="56">
        <v>0.0</v>
      </c>
      <c r="AA149" s="55"/>
      <c r="AB149" s="56">
        <v>0.0</v>
      </c>
      <c r="AC149" s="58"/>
      <c r="AD149" s="54"/>
      <c r="AE149" s="55"/>
      <c r="AF149" s="56"/>
      <c r="AG149" s="55"/>
      <c r="AH149" s="56"/>
      <c r="AI149" s="55"/>
      <c r="AJ149" s="56"/>
      <c r="AK149" s="55"/>
      <c r="AL149" s="56"/>
      <c r="AM149" s="55"/>
      <c r="AN149" s="56"/>
      <c r="AO149" s="58"/>
      <c r="AP149" s="60">
        <f t="shared" si="1"/>
        <v>0</v>
      </c>
      <c r="AQ149" s="51">
        <f t="shared" si="2"/>
        <v>0</v>
      </c>
      <c r="AR149" s="51">
        <f t="shared" si="3"/>
        <v>0</v>
      </c>
      <c r="AS149" s="51">
        <f t="shared" si="4"/>
        <v>0</v>
      </c>
      <c r="AT149" s="61" t="str">
        <f t="shared" si="5"/>
        <v/>
      </c>
      <c r="AU149" s="37"/>
      <c r="AV149" s="37"/>
      <c r="AW149" s="37"/>
    </row>
    <row r="150" ht="15.75" customHeight="1">
      <c r="A150" s="21" t="s">
        <v>24</v>
      </c>
      <c r="B150" s="62">
        <f t="shared" si="6"/>
        <v>44710</v>
      </c>
      <c r="C150" s="23">
        <v>6.0</v>
      </c>
      <c r="D150" s="23" t="s">
        <v>33</v>
      </c>
      <c r="E150" s="63" t="s">
        <v>39</v>
      </c>
      <c r="F150" s="26"/>
      <c r="H150" s="27"/>
      <c r="J150" s="27"/>
      <c r="L150" s="27"/>
      <c r="N150" s="27"/>
      <c r="P150" s="27"/>
      <c r="Q150" s="29"/>
      <c r="R150" s="26">
        <v>100.0</v>
      </c>
      <c r="T150" s="27">
        <v>100.0</v>
      </c>
      <c r="V150" s="27">
        <v>0.0</v>
      </c>
      <c r="X150" s="27">
        <v>0.0</v>
      </c>
      <c r="Z150" s="27">
        <v>0.0</v>
      </c>
      <c r="AB150" s="27">
        <v>100.0</v>
      </c>
      <c r="AC150" s="29"/>
      <c r="AD150" s="26"/>
      <c r="AF150" s="27"/>
      <c r="AH150" s="27"/>
      <c r="AJ150" s="27"/>
      <c r="AL150" s="27"/>
      <c r="AN150" s="27"/>
      <c r="AO150" s="29"/>
      <c r="AP150" s="35">
        <f t="shared" si="1"/>
        <v>4100</v>
      </c>
      <c r="AQ150" s="23">
        <f t="shared" si="2"/>
        <v>200</v>
      </c>
      <c r="AR150" s="23">
        <f t="shared" si="3"/>
        <v>100</v>
      </c>
      <c r="AS150" s="23">
        <f t="shared" si="4"/>
        <v>300</v>
      </c>
      <c r="AT150" s="36">
        <f t="shared" si="5"/>
        <v>13.66666667</v>
      </c>
      <c r="AU150" s="37"/>
      <c r="AV150" s="37"/>
      <c r="AW150" s="37"/>
    </row>
    <row r="151" ht="15.75" customHeight="1">
      <c r="A151" s="39" t="s">
        <v>27</v>
      </c>
      <c r="B151" s="40">
        <f t="shared" si="6"/>
        <v>44711</v>
      </c>
      <c r="C151" s="41">
        <v>6.0</v>
      </c>
      <c r="D151" s="41" t="s">
        <v>33</v>
      </c>
      <c r="E151" s="43" t="s">
        <v>39</v>
      </c>
      <c r="F151" s="26"/>
      <c r="H151" s="27"/>
      <c r="J151" s="27"/>
      <c r="L151" s="27"/>
      <c r="N151" s="27"/>
      <c r="P151" s="27"/>
      <c r="Q151" s="29"/>
      <c r="R151" s="26">
        <v>100.0</v>
      </c>
      <c r="T151" s="27">
        <v>100.0</v>
      </c>
      <c r="V151" s="27">
        <v>0.0</v>
      </c>
      <c r="X151" s="27">
        <v>0.0</v>
      </c>
      <c r="Z151" s="27">
        <v>0.0</v>
      </c>
      <c r="AB151" s="27">
        <v>100.0</v>
      </c>
      <c r="AC151" s="29"/>
      <c r="AD151" s="26"/>
      <c r="AF151" s="27"/>
      <c r="AH151" s="27"/>
      <c r="AJ151" s="27"/>
      <c r="AL151" s="27"/>
      <c r="AN151" s="27"/>
      <c r="AO151" s="29"/>
      <c r="AP151" s="45">
        <f t="shared" si="1"/>
        <v>4100</v>
      </c>
      <c r="AQ151" s="41">
        <f t="shared" si="2"/>
        <v>200</v>
      </c>
      <c r="AR151" s="41">
        <f t="shared" si="3"/>
        <v>100</v>
      </c>
      <c r="AS151" s="41">
        <f t="shared" si="4"/>
        <v>300</v>
      </c>
      <c r="AT151" s="46">
        <f t="shared" si="5"/>
        <v>13.66666667</v>
      </c>
      <c r="AU151" s="37"/>
      <c r="AV151" s="37"/>
      <c r="AW151" s="37"/>
    </row>
    <row r="152" ht="15.75" customHeight="1">
      <c r="A152" s="39" t="s">
        <v>28</v>
      </c>
      <c r="B152" s="40">
        <f t="shared" si="6"/>
        <v>44712</v>
      </c>
      <c r="C152" s="41">
        <v>6.0</v>
      </c>
      <c r="D152" s="41" t="s">
        <v>33</v>
      </c>
      <c r="E152" s="43" t="s">
        <v>39</v>
      </c>
      <c r="F152" s="26"/>
      <c r="H152" s="27"/>
      <c r="J152" s="27"/>
      <c r="L152" s="27"/>
      <c r="N152" s="27"/>
      <c r="P152" s="27"/>
      <c r="Q152" s="29"/>
      <c r="R152" s="26">
        <v>100.0</v>
      </c>
      <c r="T152" s="27">
        <v>100.0</v>
      </c>
      <c r="V152" s="27">
        <v>0.0</v>
      </c>
      <c r="X152" s="27">
        <v>0.0</v>
      </c>
      <c r="Z152" s="27">
        <v>0.0</v>
      </c>
      <c r="AB152" s="27">
        <v>100.0</v>
      </c>
      <c r="AC152" s="29"/>
      <c r="AD152" s="26"/>
      <c r="AF152" s="27"/>
      <c r="AH152" s="27"/>
      <c r="AJ152" s="27"/>
      <c r="AL152" s="27"/>
      <c r="AN152" s="27"/>
      <c r="AO152" s="29"/>
      <c r="AP152" s="45">
        <f t="shared" si="1"/>
        <v>4100</v>
      </c>
      <c r="AQ152" s="41">
        <f t="shared" si="2"/>
        <v>200</v>
      </c>
      <c r="AR152" s="41">
        <f t="shared" si="3"/>
        <v>100</v>
      </c>
      <c r="AS152" s="41">
        <f t="shared" si="4"/>
        <v>300</v>
      </c>
      <c r="AT152" s="46">
        <f t="shared" si="5"/>
        <v>13.66666667</v>
      </c>
      <c r="AU152" s="37"/>
      <c r="AV152" s="37"/>
      <c r="AW152" s="37"/>
    </row>
    <row r="153" ht="15.75" customHeight="1">
      <c r="A153" s="39" t="s">
        <v>29</v>
      </c>
      <c r="B153" s="40">
        <f t="shared" si="6"/>
        <v>44713</v>
      </c>
      <c r="C153" s="41">
        <v>6.0</v>
      </c>
      <c r="D153" s="41" t="s">
        <v>33</v>
      </c>
      <c r="E153" s="43" t="s">
        <v>39</v>
      </c>
      <c r="F153" s="26"/>
      <c r="H153" s="27"/>
      <c r="J153" s="27"/>
      <c r="L153" s="27"/>
      <c r="N153" s="27"/>
      <c r="P153" s="27"/>
      <c r="Q153" s="29"/>
      <c r="R153" s="26">
        <v>100.0</v>
      </c>
      <c r="T153" s="27">
        <v>100.0</v>
      </c>
      <c r="V153" s="27">
        <v>0.0</v>
      </c>
      <c r="X153" s="27">
        <v>0.0</v>
      </c>
      <c r="Z153" s="27">
        <v>0.0</v>
      </c>
      <c r="AB153" s="27">
        <v>100.0</v>
      </c>
      <c r="AC153" s="29"/>
      <c r="AD153" s="26"/>
      <c r="AF153" s="27"/>
      <c r="AH153" s="27"/>
      <c r="AJ153" s="27"/>
      <c r="AL153" s="27"/>
      <c r="AN153" s="27"/>
      <c r="AO153" s="29"/>
      <c r="AP153" s="45">
        <f t="shared" si="1"/>
        <v>4100</v>
      </c>
      <c r="AQ153" s="41">
        <f t="shared" si="2"/>
        <v>200</v>
      </c>
      <c r="AR153" s="41">
        <f t="shared" si="3"/>
        <v>100</v>
      </c>
      <c r="AS153" s="41">
        <f t="shared" si="4"/>
        <v>300</v>
      </c>
      <c r="AT153" s="46">
        <f t="shared" si="5"/>
        <v>13.66666667</v>
      </c>
      <c r="AU153" s="37"/>
      <c r="AV153" s="37"/>
      <c r="AW153" s="37"/>
    </row>
    <row r="154" ht="15.75" customHeight="1">
      <c r="A154" s="39" t="s">
        <v>30</v>
      </c>
      <c r="B154" s="40">
        <f t="shared" si="6"/>
        <v>44714</v>
      </c>
      <c r="C154" s="41">
        <v>6.0</v>
      </c>
      <c r="D154" s="41" t="s">
        <v>33</v>
      </c>
      <c r="E154" s="43" t="s">
        <v>39</v>
      </c>
      <c r="F154" s="26"/>
      <c r="H154" s="27"/>
      <c r="J154" s="27"/>
      <c r="L154" s="27"/>
      <c r="N154" s="27"/>
      <c r="P154" s="27"/>
      <c r="Q154" s="29"/>
      <c r="R154" s="26">
        <v>100.0</v>
      </c>
      <c r="T154" s="27">
        <v>100.0</v>
      </c>
      <c r="V154" s="27">
        <v>0.0</v>
      </c>
      <c r="X154" s="27">
        <v>0.0</v>
      </c>
      <c r="Z154" s="27">
        <v>0.0</v>
      </c>
      <c r="AB154" s="27">
        <v>100.0</v>
      </c>
      <c r="AC154" s="29"/>
      <c r="AD154" s="26"/>
      <c r="AF154" s="27"/>
      <c r="AH154" s="27"/>
      <c r="AJ154" s="27"/>
      <c r="AL154" s="27"/>
      <c r="AN154" s="27"/>
      <c r="AO154" s="29"/>
      <c r="AP154" s="45">
        <f t="shared" si="1"/>
        <v>4100</v>
      </c>
      <c r="AQ154" s="41">
        <f t="shared" si="2"/>
        <v>200</v>
      </c>
      <c r="AR154" s="41">
        <f t="shared" si="3"/>
        <v>100</v>
      </c>
      <c r="AS154" s="41">
        <f t="shared" si="4"/>
        <v>300</v>
      </c>
      <c r="AT154" s="46">
        <f t="shared" si="5"/>
        <v>13.66666667</v>
      </c>
      <c r="AU154" s="37"/>
      <c r="AV154" s="37"/>
      <c r="AW154" s="37"/>
    </row>
    <row r="155" ht="15.75" customHeight="1">
      <c r="A155" s="39" t="s">
        <v>31</v>
      </c>
      <c r="B155" s="40">
        <f t="shared" si="6"/>
        <v>44715</v>
      </c>
      <c r="C155" s="41">
        <v>6.0</v>
      </c>
      <c r="D155" s="41" t="s">
        <v>33</v>
      </c>
      <c r="E155" s="43" t="s">
        <v>39</v>
      </c>
      <c r="F155" s="26"/>
      <c r="H155" s="27"/>
      <c r="J155" s="27"/>
      <c r="L155" s="27"/>
      <c r="N155" s="27"/>
      <c r="P155" s="27"/>
      <c r="Q155" s="29"/>
      <c r="R155" s="26">
        <v>100.0</v>
      </c>
      <c r="T155" s="27">
        <v>100.0</v>
      </c>
      <c r="V155" s="27">
        <v>0.0</v>
      </c>
      <c r="X155" s="27">
        <v>0.0</v>
      </c>
      <c r="Z155" s="27">
        <v>0.0</v>
      </c>
      <c r="AB155" s="27">
        <v>100.0</v>
      </c>
      <c r="AC155" s="29"/>
      <c r="AD155" s="26"/>
      <c r="AF155" s="27"/>
      <c r="AH155" s="27"/>
      <c r="AJ155" s="27"/>
      <c r="AL155" s="27"/>
      <c r="AN155" s="27"/>
      <c r="AO155" s="29"/>
      <c r="AP155" s="45">
        <f t="shared" si="1"/>
        <v>4100</v>
      </c>
      <c r="AQ155" s="41">
        <f t="shared" si="2"/>
        <v>200</v>
      </c>
      <c r="AR155" s="41">
        <f t="shared" si="3"/>
        <v>100</v>
      </c>
      <c r="AS155" s="41">
        <f t="shared" si="4"/>
        <v>300</v>
      </c>
      <c r="AT155" s="46">
        <f t="shared" si="5"/>
        <v>13.66666667</v>
      </c>
      <c r="AU155" s="37"/>
      <c r="AV155" s="37"/>
      <c r="AW155" s="37"/>
    </row>
    <row r="156" ht="15.75" customHeight="1">
      <c r="A156" s="49" t="s">
        <v>32</v>
      </c>
      <c r="B156" s="50">
        <f t="shared" si="6"/>
        <v>44716</v>
      </c>
      <c r="C156" s="51">
        <v>6.0</v>
      </c>
      <c r="D156" s="51" t="s">
        <v>33</v>
      </c>
      <c r="E156" s="53" t="s">
        <v>39</v>
      </c>
      <c r="F156" s="54"/>
      <c r="G156" s="55"/>
      <c r="H156" s="56"/>
      <c r="I156" s="55"/>
      <c r="J156" s="56"/>
      <c r="K156" s="55"/>
      <c r="L156" s="56"/>
      <c r="M156" s="55"/>
      <c r="N156" s="56"/>
      <c r="O156" s="55"/>
      <c r="P156" s="56"/>
      <c r="Q156" s="58"/>
      <c r="R156" s="54">
        <v>0.0</v>
      </c>
      <c r="S156" s="55"/>
      <c r="T156" s="56">
        <v>0.0</v>
      </c>
      <c r="U156" s="55"/>
      <c r="V156" s="56">
        <v>0.0</v>
      </c>
      <c r="W156" s="55"/>
      <c r="X156" s="56">
        <v>0.0</v>
      </c>
      <c r="Y156" s="55"/>
      <c r="Z156" s="56">
        <v>0.0</v>
      </c>
      <c r="AA156" s="55"/>
      <c r="AB156" s="56">
        <v>0.0</v>
      </c>
      <c r="AC156" s="58"/>
      <c r="AD156" s="54"/>
      <c r="AE156" s="55"/>
      <c r="AF156" s="56"/>
      <c r="AG156" s="55"/>
      <c r="AH156" s="56"/>
      <c r="AI156" s="55"/>
      <c r="AJ156" s="56"/>
      <c r="AK156" s="55"/>
      <c r="AL156" s="56"/>
      <c r="AM156" s="55"/>
      <c r="AN156" s="56"/>
      <c r="AO156" s="58"/>
      <c r="AP156" s="60">
        <f t="shared" si="1"/>
        <v>0</v>
      </c>
      <c r="AQ156" s="51">
        <f t="shared" si="2"/>
        <v>0</v>
      </c>
      <c r="AR156" s="51">
        <f t="shared" si="3"/>
        <v>0</v>
      </c>
      <c r="AS156" s="51">
        <f t="shared" si="4"/>
        <v>0</v>
      </c>
      <c r="AT156" s="61" t="str">
        <f t="shared" si="5"/>
        <v/>
      </c>
      <c r="AU156" s="37"/>
      <c r="AV156" s="37"/>
      <c r="AW156" s="37"/>
    </row>
    <row r="157" ht="15.75" customHeight="1">
      <c r="A157" s="21" t="s">
        <v>24</v>
      </c>
      <c r="B157" s="62">
        <f t="shared" si="6"/>
        <v>44717</v>
      </c>
      <c r="C157" s="23">
        <v>6.0</v>
      </c>
      <c r="D157" s="23" t="s">
        <v>34</v>
      </c>
      <c r="E157" s="63" t="s">
        <v>39</v>
      </c>
      <c r="F157" s="26"/>
      <c r="H157" s="27"/>
      <c r="J157" s="27"/>
      <c r="L157" s="27"/>
      <c r="N157" s="27"/>
      <c r="P157" s="27"/>
      <c r="Q157" s="29"/>
      <c r="R157" s="26">
        <v>100.0</v>
      </c>
      <c r="T157" s="27">
        <v>100.0</v>
      </c>
      <c r="V157" s="27">
        <v>0.0</v>
      </c>
      <c r="X157" s="27">
        <v>0.0</v>
      </c>
      <c r="Z157" s="27">
        <v>0.0</v>
      </c>
      <c r="AB157" s="27">
        <v>100.0</v>
      </c>
      <c r="AC157" s="29"/>
      <c r="AD157" s="26"/>
      <c r="AF157" s="27"/>
      <c r="AH157" s="27"/>
      <c r="AJ157" s="27"/>
      <c r="AL157" s="27"/>
      <c r="AN157" s="27"/>
      <c r="AO157" s="29"/>
      <c r="AP157" s="35">
        <f t="shared" si="1"/>
        <v>4100</v>
      </c>
      <c r="AQ157" s="23">
        <f t="shared" si="2"/>
        <v>200</v>
      </c>
      <c r="AR157" s="23">
        <f t="shared" si="3"/>
        <v>100</v>
      </c>
      <c r="AS157" s="23">
        <f t="shared" si="4"/>
        <v>300</v>
      </c>
      <c r="AT157" s="36">
        <f t="shared" si="5"/>
        <v>13.66666667</v>
      </c>
      <c r="AU157" s="37"/>
      <c r="AV157" s="37"/>
      <c r="AW157" s="37"/>
    </row>
    <row r="158" ht="15.75" customHeight="1">
      <c r="A158" s="39" t="s">
        <v>27</v>
      </c>
      <c r="B158" s="40">
        <f t="shared" si="6"/>
        <v>44718</v>
      </c>
      <c r="C158" s="41">
        <v>6.0</v>
      </c>
      <c r="D158" s="41" t="s">
        <v>34</v>
      </c>
      <c r="E158" s="43" t="s">
        <v>39</v>
      </c>
      <c r="F158" s="26"/>
      <c r="H158" s="27"/>
      <c r="J158" s="27"/>
      <c r="L158" s="27"/>
      <c r="N158" s="27"/>
      <c r="P158" s="27"/>
      <c r="Q158" s="29"/>
      <c r="R158" s="26">
        <v>100.0</v>
      </c>
      <c r="T158" s="27">
        <v>100.0</v>
      </c>
      <c r="V158" s="27">
        <v>0.0</v>
      </c>
      <c r="X158" s="27">
        <v>0.0</v>
      </c>
      <c r="Z158" s="27">
        <v>0.0</v>
      </c>
      <c r="AB158" s="27">
        <v>100.0</v>
      </c>
      <c r="AC158" s="29"/>
      <c r="AD158" s="26"/>
      <c r="AF158" s="27"/>
      <c r="AH158" s="27"/>
      <c r="AJ158" s="27"/>
      <c r="AL158" s="27"/>
      <c r="AN158" s="27"/>
      <c r="AO158" s="29"/>
      <c r="AP158" s="45">
        <f t="shared" si="1"/>
        <v>4100</v>
      </c>
      <c r="AQ158" s="41">
        <f t="shared" si="2"/>
        <v>200</v>
      </c>
      <c r="AR158" s="41">
        <f t="shared" si="3"/>
        <v>100</v>
      </c>
      <c r="AS158" s="41">
        <f t="shared" si="4"/>
        <v>300</v>
      </c>
      <c r="AT158" s="46">
        <f t="shared" si="5"/>
        <v>13.66666667</v>
      </c>
      <c r="AU158" s="37"/>
      <c r="AV158" s="37"/>
      <c r="AW158" s="37"/>
    </row>
    <row r="159" ht="15.75" customHeight="1">
      <c r="A159" s="39" t="s">
        <v>28</v>
      </c>
      <c r="B159" s="40">
        <f t="shared" si="6"/>
        <v>44719</v>
      </c>
      <c r="C159" s="41">
        <v>6.0</v>
      </c>
      <c r="D159" s="41" t="s">
        <v>34</v>
      </c>
      <c r="E159" s="43" t="s">
        <v>39</v>
      </c>
      <c r="F159" s="26"/>
      <c r="H159" s="27"/>
      <c r="J159" s="27"/>
      <c r="L159" s="27"/>
      <c r="N159" s="27"/>
      <c r="P159" s="27"/>
      <c r="Q159" s="29"/>
      <c r="R159" s="26">
        <v>100.0</v>
      </c>
      <c r="T159" s="27">
        <v>100.0</v>
      </c>
      <c r="V159" s="27">
        <v>0.0</v>
      </c>
      <c r="X159" s="27">
        <v>0.0</v>
      </c>
      <c r="Z159" s="27">
        <v>0.0</v>
      </c>
      <c r="AB159" s="27">
        <v>100.0</v>
      </c>
      <c r="AC159" s="29"/>
      <c r="AD159" s="26"/>
      <c r="AF159" s="27"/>
      <c r="AH159" s="27"/>
      <c r="AJ159" s="27"/>
      <c r="AL159" s="27"/>
      <c r="AN159" s="27"/>
      <c r="AO159" s="29"/>
      <c r="AP159" s="45">
        <f t="shared" si="1"/>
        <v>4100</v>
      </c>
      <c r="AQ159" s="41">
        <f t="shared" si="2"/>
        <v>200</v>
      </c>
      <c r="AR159" s="41">
        <f t="shared" si="3"/>
        <v>100</v>
      </c>
      <c r="AS159" s="41">
        <f t="shared" si="4"/>
        <v>300</v>
      </c>
      <c r="AT159" s="46">
        <f t="shared" si="5"/>
        <v>13.66666667</v>
      </c>
      <c r="AU159" s="37"/>
      <c r="AV159" s="37"/>
      <c r="AW159" s="37"/>
    </row>
    <row r="160" ht="15.75" customHeight="1">
      <c r="A160" s="39" t="s">
        <v>29</v>
      </c>
      <c r="B160" s="40">
        <f t="shared" si="6"/>
        <v>44720</v>
      </c>
      <c r="C160" s="41">
        <v>6.0</v>
      </c>
      <c r="D160" s="41" t="s">
        <v>34</v>
      </c>
      <c r="E160" s="43" t="s">
        <v>39</v>
      </c>
      <c r="F160" s="26"/>
      <c r="H160" s="27"/>
      <c r="J160" s="27"/>
      <c r="L160" s="27"/>
      <c r="N160" s="27"/>
      <c r="P160" s="27"/>
      <c r="Q160" s="29"/>
      <c r="R160" s="26">
        <v>100.0</v>
      </c>
      <c r="T160" s="27">
        <v>100.0</v>
      </c>
      <c r="V160" s="27">
        <v>0.0</v>
      </c>
      <c r="X160" s="27">
        <v>0.0</v>
      </c>
      <c r="Z160" s="27">
        <v>0.0</v>
      </c>
      <c r="AB160" s="27">
        <v>100.0</v>
      </c>
      <c r="AC160" s="29"/>
      <c r="AD160" s="26"/>
      <c r="AF160" s="27"/>
      <c r="AH160" s="27"/>
      <c r="AJ160" s="27"/>
      <c r="AL160" s="27"/>
      <c r="AN160" s="27"/>
      <c r="AO160" s="29"/>
      <c r="AP160" s="45">
        <f t="shared" si="1"/>
        <v>4100</v>
      </c>
      <c r="AQ160" s="41">
        <f t="shared" si="2"/>
        <v>200</v>
      </c>
      <c r="AR160" s="41">
        <f t="shared" si="3"/>
        <v>100</v>
      </c>
      <c r="AS160" s="41">
        <f t="shared" si="4"/>
        <v>300</v>
      </c>
      <c r="AT160" s="46">
        <f t="shared" si="5"/>
        <v>13.66666667</v>
      </c>
      <c r="AU160" s="37"/>
      <c r="AV160" s="37"/>
      <c r="AW160" s="37"/>
    </row>
    <row r="161" ht="15.75" customHeight="1">
      <c r="A161" s="39" t="s">
        <v>30</v>
      </c>
      <c r="B161" s="40">
        <f t="shared" si="6"/>
        <v>44721</v>
      </c>
      <c r="C161" s="41">
        <v>6.0</v>
      </c>
      <c r="D161" s="41" t="s">
        <v>34</v>
      </c>
      <c r="E161" s="43" t="s">
        <v>39</v>
      </c>
      <c r="F161" s="26"/>
      <c r="H161" s="27"/>
      <c r="J161" s="27"/>
      <c r="L161" s="27"/>
      <c r="N161" s="27"/>
      <c r="P161" s="27"/>
      <c r="Q161" s="29"/>
      <c r="R161" s="26">
        <v>100.0</v>
      </c>
      <c r="T161" s="27">
        <v>100.0</v>
      </c>
      <c r="V161" s="27">
        <v>0.0</v>
      </c>
      <c r="X161" s="27">
        <v>0.0</v>
      </c>
      <c r="Z161" s="27">
        <v>0.0</v>
      </c>
      <c r="AB161" s="27">
        <v>100.0</v>
      </c>
      <c r="AC161" s="29"/>
      <c r="AD161" s="26"/>
      <c r="AF161" s="27"/>
      <c r="AH161" s="27"/>
      <c r="AJ161" s="27"/>
      <c r="AL161" s="27"/>
      <c r="AN161" s="27"/>
      <c r="AO161" s="29"/>
      <c r="AP161" s="45">
        <f t="shared" si="1"/>
        <v>4100</v>
      </c>
      <c r="AQ161" s="41">
        <f t="shared" si="2"/>
        <v>200</v>
      </c>
      <c r="AR161" s="41">
        <f t="shared" si="3"/>
        <v>100</v>
      </c>
      <c r="AS161" s="41">
        <f t="shared" si="4"/>
        <v>300</v>
      </c>
      <c r="AT161" s="46">
        <f t="shared" si="5"/>
        <v>13.66666667</v>
      </c>
      <c r="AU161" s="37"/>
      <c r="AV161" s="37"/>
      <c r="AW161" s="37"/>
    </row>
    <row r="162" ht="15.75" customHeight="1">
      <c r="A162" s="39" t="s">
        <v>31</v>
      </c>
      <c r="B162" s="40">
        <f t="shared" si="6"/>
        <v>44722</v>
      </c>
      <c r="C162" s="41">
        <v>6.0</v>
      </c>
      <c r="D162" s="41" t="s">
        <v>34</v>
      </c>
      <c r="E162" s="43" t="s">
        <v>39</v>
      </c>
      <c r="F162" s="26"/>
      <c r="H162" s="27"/>
      <c r="J162" s="27"/>
      <c r="L162" s="27"/>
      <c r="N162" s="27"/>
      <c r="P162" s="27"/>
      <c r="Q162" s="29"/>
      <c r="R162" s="26">
        <v>100.0</v>
      </c>
      <c r="T162" s="27">
        <v>100.0</v>
      </c>
      <c r="V162" s="27">
        <v>0.0</v>
      </c>
      <c r="X162" s="27">
        <v>0.0</v>
      </c>
      <c r="Z162" s="27">
        <v>0.0</v>
      </c>
      <c r="AB162" s="27">
        <v>100.0</v>
      </c>
      <c r="AC162" s="29"/>
      <c r="AD162" s="26"/>
      <c r="AF162" s="27"/>
      <c r="AH162" s="27"/>
      <c r="AJ162" s="27"/>
      <c r="AL162" s="27"/>
      <c r="AN162" s="27"/>
      <c r="AO162" s="29"/>
      <c r="AP162" s="45">
        <f t="shared" si="1"/>
        <v>4100</v>
      </c>
      <c r="AQ162" s="41">
        <f t="shared" si="2"/>
        <v>200</v>
      </c>
      <c r="AR162" s="41">
        <f t="shared" si="3"/>
        <v>100</v>
      </c>
      <c r="AS162" s="41">
        <f t="shared" si="4"/>
        <v>300</v>
      </c>
      <c r="AT162" s="46">
        <f t="shared" si="5"/>
        <v>13.66666667</v>
      </c>
      <c r="AU162" s="37"/>
      <c r="AV162" s="37"/>
      <c r="AW162" s="37"/>
    </row>
    <row r="163" ht="15.75" customHeight="1">
      <c r="A163" s="49" t="s">
        <v>32</v>
      </c>
      <c r="B163" s="50">
        <f t="shared" si="6"/>
        <v>44723</v>
      </c>
      <c r="C163" s="51">
        <v>6.0</v>
      </c>
      <c r="D163" s="51" t="s">
        <v>34</v>
      </c>
      <c r="E163" s="53" t="s">
        <v>39</v>
      </c>
      <c r="F163" s="54"/>
      <c r="G163" s="55"/>
      <c r="H163" s="56"/>
      <c r="I163" s="55"/>
      <c r="J163" s="56"/>
      <c r="K163" s="55"/>
      <c r="L163" s="56"/>
      <c r="M163" s="55"/>
      <c r="N163" s="56"/>
      <c r="O163" s="55"/>
      <c r="P163" s="56"/>
      <c r="Q163" s="58"/>
      <c r="R163" s="54">
        <v>0.0</v>
      </c>
      <c r="S163" s="55"/>
      <c r="T163" s="56">
        <v>0.0</v>
      </c>
      <c r="U163" s="55"/>
      <c r="V163" s="56">
        <v>0.0</v>
      </c>
      <c r="W163" s="55"/>
      <c r="X163" s="56">
        <v>0.0</v>
      </c>
      <c r="Y163" s="55"/>
      <c r="Z163" s="56">
        <v>0.0</v>
      </c>
      <c r="AA163" s="55"/>
      <c r="AB163" s="56">
        <v>0.0</v>
      </c>
      <c r="AC163" s="58"/>
      <c r="AD163" s="54"/>
      <c r="AE163" s="55"/>
      <c r="AF163" s="56"/>
      <c r="AG163" s="55"/>
      <c r="AH163" s="56"/>
      <c r="AI163" s="55"/>
      <c r="AJ163" s="56"/>
      <c r="AK163" s="55"/>
      <c r="AL163" s="56"/>
      <c r="AM163" s="55"/>
      <c r="AN163" s="56"/>
      <c r="AO163" s="58"/>
      <c r="AP163" s="60">
        <f t="shared" si="1"/>
        <v>0</v>
      </c>
      <c r="AQ163" s="51">
        <f t="shared" si="2"/>
        <v>0</v>
      </c>
      <c r="AR163" s="51">
        <f t="shared" si="3"/>
        <v>0</v>
      </c>
      <c r="AS163" s="51">
        <f t="shared" si="4"/>
        <v>0</v>
      </c>
      <c r="AT163" s="61" t="str">
        <f t="shared" si="5"/>
        <v/>
      </c>
      <c r="AU163" s="37"/>
      <c r="AV163" s="37"/>
      <c r="AW163" s="37"/>
    </row>
    <row r="164" ht="15.75" customHeight="1">
      <c r="A164" s="21" t="s">
        <v>24</v>
      </c>
      <c r="B164" s="62">
        <f t="shared" si="6"/>
        <v>44724</v>
      </c>
      <c r="C164" s="23">
        <v>6.0</v>
      </c>
      <c r="D164" s="23" t="s">
        <v>35</v>
      </c>
      <c r="E164" s="63" t="s">
        <v>39</v>
      </c>
      <c r="F164" s="26"/>
      <c r="H164" s="27"/>
      <c r="J164" s="27"/>
      <c r="L164" s="27"/>
      <c r="N164" s="27"/>
      <c r="P164" s="27"/>
      <c r="Q164" s="29"/>
      <c r="R164" s="26">
        <v>0.0</v>
      </c>
      <c r="T164" s="27">
        <v>100.0</v>
      </c>
      <c r="V164" s="27">
        <v>75.0</v>
      </c>
      <c r="X164" s="27">
        <v>100.0</v>
      </c>
      <c r="Z164" s="27">
        <v>100.0</v>
      </c>
      <c r="AB164" s="27">
        <v>0.0</v>
      </c>
      <c r="AC164" s="29"/>
      <c r="AD164" s="26"/>
      <c r="AF164" s="27"/>
      <c r="AH164" s="27"/>
      <c r="AJ164" s="27"/>
      <c r="AL164" s="27"/>
      <c r="AN164" s="27"/>
      <c r="AO164" s="29"/>
      <c r="AP164" s="35">
        <f t="shared" si="1"/>
        <v>5075</v>
      </c>
      <c r="AQ164" s="23">
        <f t="shared" si="2"/>
        <v>375</v>
      </c>
      <c r="AR164" s="23">
        <f t="shared" si="3"/>
        <v>0</v>
      </c>
      <c r="AS164" s="23">
        <f t="shared" si="4"/>
        <v>375</v>
      </c>
      <c r="AT164" s="36">
        <f t="shared" si="5"/>
        <v>13.53333333</v>
      </c>
      <c r="AU164" s="37"/>
      <c r="AV164" s="37"/>
      <c r="AW164" s="37"/>
    </row>
    <row r="165" ht="15.75" customHeight="1">
      <c r="A165" s="39" t="s">
        <v>27</v>
      </c>
      <c r="B165" s="40">
        <f t="shared" si="6"/>
        <v>44725</v>
      </c>
      <c r="C165" s="41">
        <v>6.0</v>
      </c>
      <c r="D165" s="41" t="s">
        <v>35</v>
      </c>
      <c r="E165" s="43" t="s">
        <v>39</v>
      </c>
      <c r="F165" s="26"/>
      <c r="H165" s="27"/>
      <c r="J165" s="27"/>
      <c r="L165" s="27"/>
      <c r="N165" s="27"/>
      <c r="P165" s="27"/>
      <c r="Q165" s="29"/>
      <c r="R165" s="26">
        <v>0.0</v>
      </c>
      <c r="T165" s="27">
        <v>100.0</v>
      </c>
      <c r="V165" s="27">
        <v>75.0</v>
      </c>
      <c r="X165" s="27">
        <v>100.0</v>
      </c>
      <c r="Z165" s="27">
        <v>100.0</v>
      </c>
      <c r="AB165" s="27">
        <v>0.0</v>
      </c>
      <c r="AC165" s="29"/>
      <c r="AD165" s="26"/>
      <c r="AF165" s="27"/>
      <c r="AH165" s="27"/>
      <c r="AJ165" s="27"/>
      <c r="AL165" s="27"/>
      <c r="AN165" s="27"/>
      <c r="AO165" s="29"/>
      <c r="AP165" s="45">
        <f t="shared" si="1"/>
        <v>5075</v>
      </c>
      <c r="AQ165" s="41">
        <f t="shared" si="2"/>
        <v>375</v>
      </c>
      <c r="AR165" s="41">
        <f t="shared" si="3"/>
        <v>0</v>
      </c>
      <c r="AS165" s="41">
        <f t="shared" si="4"/>
        <v>375</v>
      </c>
      <c r="AT165" s="46">
        <f t="shared" si="5"/>
        <v>13.53333333</v>
      </c>
      <c r="AU165" s="37"/>
      <c r="AV165" s="37"/>
      <c r="AW165" s="37"/>
    </row>
    <row r="166" ht="15.75" customHeight="1">
      <c r="A166" s="39" t="s">
        <v>28</v>
      </c>
      <c r="B166" s="40">
        <f t="shared" si="6"/>
        <v>44726</v>
      </c>
      <c r="C166" s="41">
        <v>6.0</v>
      </c>
      <c r="D166" s="41" t="s">
        <v>35</v>
      </c>
      <c r="E166" s="43" t="s">
        <v>39</v>
      </c>
      <c r="F166" s="26"/>
      <c r="H166" s="27"/>
      <c r="J166" s="27"/>
      <c r="L166" s="27"/>
      <c r="N166" s="27"/>
      <c r="P166" s="27"/>
      <c r="Q166" s="29"/>
      <c r="R166" s="26">
        <v>0.0</v>
      </c>
      <c r="T166" s="27">
        <v>100.0</v>
      </c>
      <c r="V166" s="27">
        <v>75.0</v>
      </c>
      <c r="X166" s="27">
        <v>100.0</v>
      </c>
      <c r="Z166" s="27">
        <v>100.0</v>
      </c>
      <c r="AB166" s="27">
        <v>0.0</v>
      </c>
      <c r="AC166" s="29"/>
      <c r="AD166" s="26"/>
      <c r="AF166" s="27"/>
      <c r="AH166" s="27"/>
      <c r="AJ166" s="27"/>
      <c r="AL166" s="27"/>
      <c r="AN166" s="27"/>
      <c r="AO166" s="29"/>
      <c r="AP166" s="45">
        <f t="shared" si="1"/>
        <v>5075</v>
      </c>
      <c r="AQ166" s="41">
        <f t="shared" si="2"/>
        <v>375</v>
      </c>
      <c r="AR166" s="41">
        <f t="shared" si="3"/>
        <v>0</v>
      </c>
      <c r="AS166" s="41">
        <f t="shared" si="4"/>
        <v>375</v>
      </c>
      <c r="AT166" s="46">
        <f t="shared" si="5"/>
        <v>13.53333333</v>
      </c>
      <c r="AU166" s="37"/>
      <c r="AV166" s="37"/>
      <c r="AW166" s="37"/>
    </row>
    <row r="167" ht="15.75" customHeight="1">
      <c r="A167" s="39" t="s">
        <v>29</v>
      </c>
      <c r="B167" s="40">
        <f t="shared" si="6"/>
        <v>44727</v>
      </c>
      <c r="C167" s="41">
        <v>6.0</v>
      </c>
      <c r="D167" s="41" t="s">
        <v>35</v>
      </c>
      <c r="E167" s="43" t="s">
        <v>39</v>
      </c>
      <c r="F167" s="26"/>
      <c r="H167" s="27"/>
      <c r="J167" s="27"/>
      <c r="L167" s="27"/>
      <c r="N167" s="27"/>
      <c r="P167" s="27"/>
      <c r="Q167" s="29"/>
      <c r="R167" s="26">
        <v>0.0</v>
      </c>
      <c r="T167" s="27">
        <v>100.0</v>
      </c>
      <c r="V167" s="27">
        <v>75.0</v>
      </c>
      <c r="X167" s="27">
        <v>100.0</v>
      </c>
      <c r="Z167" s="27">
        <v>100.0</v>
      </c>
      <c r="AB167" s="27">
        <v>0.0</v>
      </c>
      <c r="AC167" s="29"/>
      <c r="AD167" s="26"/>
      <c r="AF167" s="27"/>
      <c r="AH167" s="27"/>
      <c r="AJ167" s="27"/>
      <c r="AL167" s="27"/>
      <c r="AN167" s="27"/>
      <c r="AO167" s="29"/>
      <c r="AP167" s="45">
        <f t="shared" si="1"/>
        <v>5075</v>
      </c>
      <c r="AQ167" s="41">
        <f t="shared" si="2"/>
        <v>375</v>
      </c>
      <c r="AR167" s="41">
        <f t="shared" si="3"/>
        <v>0</v>
      </c>
      <c r="AS167" s="41">
        <f t="shared" si="4"/>
        <v>375</v>
      </c>
      <c r="AT167" s="46">
        <f t="shared" si="5"/>
        <v>13.53333333</v>
      </c>
      <c r="AU167" s="37"/>
      <c r="AV167" s="37"/>
      <c r="AW167" s="37"/>
    </row>
    <row r="168" ht="15.75" customHeight="1">
      <c r="A168" s="39" t="s">
        <v>30</v>
      </c>
      <c r="B168" s="40">
        <f t="shared" si="6"/>
        <v>44728</v>
      </c>
      <c r="C168" s="41">
        <v>6.0</v>
      </c>
      <c r="D168" s="41" t="s">
        <v>35</v>
      </c>
      <c r="E168" s="43" t="s">
        <v>39</v>
      </c>
      <c r="F168" s="26"/>
      <c r="H168" s="27"/>
      <c r="J168" s="27"/>
      <c r="L168" s="27"/>
      <c r="N168" s="27"/>
      <c r="P168" s="27"/>
      <c r="Q168" s="29"/>
      <c r="R168" s="26">
        <v>0.0</v>
      </c>
      <c r="T168" s="27">
        <v>100.0</v>
      </c>
      <c r="V168" s="27">
        <v>75.0</v>
      </c>
      <c r="X168" s="27">
        <v>100.0</v>
      </c>
      <c r="Z168" s="27">
        <v>100.0</v>
      </c>
      <c r="AB168" s="27">
        <v>0.0</v>
      </c>
      <c r="AC168" s="29"/>
      <c r="AD168" s="26"/>
      <c r="AF168" s="27"/>
      <c r="AH168" s="27"/>
      <c r="AJ168" s="27"/>
      <c r="AL168" s="27"/>
      <c r="AN168" s="27"/>
      <c r="AO168" s="29"/>
      <c r="AP168" s="45">
        <f t="shared" si="1"/>
        <v>5075</v>
      </c>
      <c r="AQ168" s="41">
        <f t="shared" si="2"/>
        <v>375</v>
      </c>
      <c r="AR168" s="41">
        <f t="shared" si="3"/>
        <v>0</v>
      </c>
      <c r="AS168" s="41">
        <f t="shared" si="4"/>
        <v>375</v>
      </c>
      <c r="AT168" s="46">
        <f t="shared" si="5"/>
        <v>13.53333333</v>
      </c>
      <c r="AU168" s="37"/>
      <c r="AV168" s="37"/>
      <c r="AW168" s="37"/>
    </row>
    <row r="169" ht="15.75" customHeight="1">
      <c r="A169" s="39" t="s">
        <v>31</v>
      </c>
      <c r="B169" s="40">
        <f t="shared" si="6"/>
        <v>44729</v>
      </c>
      <c r="C169" s="41">
        <v>6.0</v>
      </c>
      <c r="D169" s="41" t="s">
        <v>35</v>
      </c>
      <c r="E169" s="43" t="s">
        <v>39</v>
      </c>
      <c r="F169" s="26"/>
      <c r="H169" s="27"/>
      <c r="J169" s="27"/>
      <c r="L169" s="27"/>
      <c r="N169" s="27"/>
      <c r="P169" s="27"/>
      <c r="Q169" s="29"/>
      <c r="R169" s="26">
        <v>0.0</v>
      </c>
      <c r="T169" s="27">
        <v>100.0</v>
      </c>
      <c r="V169" s="27">
        <v>75.0</v>
      </c>
      <c r="X169" s="27">
        <v>100.0</v>
      </c>
      <c r="Z169" s="27">
        <v>100.0</v>
      </c>
      <c r="AB169" s="27">
        <v>0.0</v>
      </c>
      <c r="AC169" s="29"/>
      <c r="AD169" s="26"/>
      <c r="AF169" s="27"/>
      <c r="AH169" s="27"/>
      <c r="AJ169" s="27"/>
      <c r="AL169" s="27"/>
      <c r="AN169" s="27"/>
      <c r="AO169" s="29"/>
      <c r="AP169" s="45">
        <f t="shared" si="1"/>
        <v>5075</v>
      </c>
      <c r="AQ169" s="41">
        <f t="shared" si="2"/>
        <v>375</v>
      </c>
      <c r="AR169" s="41">
        <f t="shared" si="3"/>
        <v>0</v>
      </c>
      <c r="AS169" s="41">
        <f t="shared" si="4"/>
        <v>375</v>
      </c>
      <c r="AT169" s="46">
        <f t="shared" si="5"/>
        <v>13.53333333</v>
      </c>
      <c r="AU169" s="37"/>
      <c r="AV169" s="37"/>
      <c r="AW169" s="37"/>
    </row>
    <row r="170" ht="15.75" customHeight="1">
      <c r="A170" s="49" t="s">
        <v>32</v>
      </c>
      <c r="B170" s="50">
        <f t="shared" si="6"/>
        <v>44730</v>
      </c>
      <c r="C170" s="51">
        <v>6.0</v>
      </c>
      <c r="D170" s="51" t="s">
        <v>35</v>
      </c>
      <c r="E170" s="53" t="s">
        <v>39</v>
      </c>
      <c r="F170" s="54"/>
      <c r="G170" s="55"/>
      <c r="H170" s="56"/>
      <c r="I170" s="55"/>
      <c r="J170" s="56"/>
      <c r="K170" s="55"/>
      <c r="L170" s="56"/>
      <c r="M170" s="55"/>
      <c r="N170" s="56"/>
      <c r="O170" s="55"/>
      <c r="P170" s="56"/>
      <c r="Q170" s="58"/>
      <c r="R170" s="54">
        <v>0.0</v>
      </c>
      <c r="S170" s="55"/>
      <c r="T170" s="56">
        <v>0.0</v>
      </c>
      <c r="U170" s="55"/>
      <c r="V170" s="56">
        <v>0.0</v>
      </c>
      <c r="W170" s="55"/>
      <c r="X170" s="56">
        <v>0.0</v>
      </c>
      <c r="Y170" s="55"/>
      <c r="Z170" s="56">
        <v>0.0</v>
      </c>
      <c r="AA170" s="55"/>
      <c r="AB170" s="56">
        <v>0.0</v>
      </c>
      <c r="AC170" s="58"/>
      <c r="AD170" s="54"/>
      <c r="AE170" s="55"/>
      <c r="AF170" s="56"/>
      <c r="AG170" s="55"/>
      <c r="AH170" s="56"/>
      <c r="AI170" s="55"/>
      <c r="AJ170" s="56"/>
      <c r="AK170" s="55"/>
      <c r="AL170" s="56"/>
      <c r="AM170" s="55"/>
      <c r="AN170" s="56"/>
      <c r="AO170" s="58"/>
      <c r="AP170" s="60">
        <f t="shared" si="1"/>
        <v>0</v>
      </c>
      <c r="AQ170" s="51">
        <f t="shared" si="2"/>
        <v>0</v>
      </c>
      <c r="AR170" s="51">
        <f t="shared" si="3"/>
        <v>0</v>
      </c>
      <c r="AS170" s="51">
        <f t="shared" si="4"/>
        <v>0</v>
      </c>
      <c r="AT170" s="61" t="str">
        <f t="shared" si="5"/>
        <v/>
      </c>
      <c r="AU170" s="37"/>
      <c r="AV170" s="37"/>
      <c r="AW170" s="37"/>
    </row>
    <row r="171" ht="15.75" customHeight="1">
      <c r="A171" s="21" t="s">
        <v>24</v>
      </c>
      <c r="B171" s="62">
        <f t="shared" si="6"/>
        <v>44731</v>
      </c>
      <c r="C171" s="23">
        <v>7.0</v>
      </c>
      <c r="D171" s="23" t="s">
        <v>25</v>
      </c>
      <c r="E171" s="25" t="s">
        <v>40</v>
      </c>
      <c r="F171" s="26"/>
      <c r="H171" s="27"/>
      <c r="J171" s="27"/>
      <c r="L171" s="27"/>
      <c r="N171" s="27"/>
      <c r="P171" s="27"/>
      <c r="Q171" s="29"/>
      <c r="R171" s="26">
        <v>0.0</v>
      </c>
      <c r="T171" s="27">
        <v>100.0</v>
      </c>
      <c r="V171" s="27">
        <v>75.0</v>
      </c>
      <c r="X171" s="27">
        <v>100.0</v>
      </c>
      <c r="Z171" s="27">
        <v>100.0</v>
      </c>
      <c r="AB171" s="27">
        <v>0.0</v>
      </c>
      <c r="AC171" s="29"/>
      <c r="AD171" s="26"/>
      <c r="AF171" s="27"/>
      <c r="AH171" s="27"/>
      <c r="AJ171" s="27"/>
      <c r="AL171" s="27"/>
      <c r="AN171" s="27"/>
      <c r="AO171" s="29"/>
      <c r="AP171" s="35">
        <f t="shared" si="1"/>
        <v>5075</v>
      </c>
      <c r="AQ171" s="23">
        <f t="shared" si="2"/>
        <v>375</v>
      </c>
      <c r="AR171" s="23">
        <f t="shared" si="3"/>
        <v>0</v>
      </c>
      <c r="AS171" s="23">
        <f t="shared" si="4"/>
        <v>375</v>
      </c>
      <c r="AT171" s="36">
        <f t="shared" si="5"/>
        <v>13.53333333</v>
      </c>
      <c r="AU171" s="37"/>
      <c r="AV171" s="37"/>
      <c r="AW171" s="37"/>
    </row>
    <row r="172" ht="15.75" customHeight="1">
      <c r="A172" s="39" t="s">
        <v>27</v>
      </c>
      <c r="B172" s="40">
        <f t="shared" si="6"/>
        <v>44732</v>
      </c>
      <c r="C172" s="41">
        <v>7.0</v>
      </c>
      <c r="D172" s="41" t="s">
        <v>25</v>
      </c>
      <c r="E172" s="43" t="s">
        <v>40</v>
      </c>
      <c r="F172" s="26"/>
      <c r="H172" s="27"/>
      <c r="J172" s="27"/>
      <c r="L172" s="27"/>
      <c r="N172" s="27"/>
      <c r="P172" s="27"/>
      <c r="Q172" s="29"/>
      <c r="R172" s="26">
        <v>0.0</v>
      </c>
      <c r="T172" s="27">
        <v>100.0</v>
      </c>
      <c r="V172" s="27">
        <v>75.0</v>
      </c>
      <c r="X172" s="27">
        <v>100.0</v>
      </c>
      <c r="Z172" s="27">
        <v>100.0</v>
      </c>
      <c r="AB172" s="27">
        <v>0.0</v>
      </c>
      <c r="AC172" s="29"/>
      <c r="AD172" s="26"/>
      <c r="AF172" s="27"/>
      <c r="AH172" s="27"/>
      <c r="AJ172" s="27"/>
      <c r="AL172" s="27"/>
      <c r="AN172" s="27"/>
      <c r="AO172" s="29"/>
      <c r="AP172" s="45">
        <f t="shared" si="1"/>
        <v>5075</v>
      </c>
      <c r="AQ172" s="41">
        <f t="shared" si="2"/>
        <v>375</v>
      </c>
      <c r="AR172" s="41">
        <f t="shared" si="3"/>
        <v>0</v>
      </c>
      <c r="AS172" s="41">
        <f t="shared" si="4"/>
        <v>375</v>
      </c>
      <c r="AT172" s="46">
        <f t="shared" si="5"/>
        <v>13.53333333</v>
      </c>
      <c r="AU172" s="37"/>
      <c r="AV172" s="37"/>
      <c r="AW172" s="37"/>
    </row>
    <row r="173" ht="15.75" customHeight="1">
      <c r="A173" s="39" t="s">
        <v>28</v>
      </c>
      <c r="B173" s="40">
        <f t="shared" si="6"/>
        <v>44733</v>
      </c>
      <c r="C173" s="41">
        <v>7.0</v>
      </c>
      <c r="D173" s="41" t="s">
        <v>25</v>
      </c>
      <c r="E173" s="43" t="s">
        <v>40</v>
      </c>
      <c r="F173" s="26"/>
      <c r="H173" s="27"/>
      <c r="J173" s="27"/>
      <c r="L173" s="27"/>
      <c r="N173" s="27"/>
      <c r="P173" s="27"/>
      <c r="Q173" s="29"/>
      <c r="R173" s="26">
        <v>0.0</v>
      </c>
      <c r="T173" s="27">
        <v>100.0</v>
      </c>
      <c r="V173" s="27">
        <v>75.0</v>
      </c>
      <c r="X173" s="27">
        <v>100.0</v>
      </c>
      <c r="Z173" s="27">
        <v>100.0</v>
      </c>
      <c r="AB173" s="27">
        <v>0.0</v>
      </c>
      <c r="AC173" s="29"/>
      <c r="AD173" s="26"/>
      <c r="AF173" s="27"/>
      <c r="AH173" s="27"/>
      <c r="AJ173" s="27"/>
      <c r="AL173" s="27"/>
      <c r="AN173" s="27"/>
      <c r="AO173" s="29"/>
      <c r="AP173" s="45">
        <f t="shared" si="1"/>
        <v>5075</v>
      </c>
      <c r="AQ173" s="41">
        <f t="shared" si="2"/>
        <v>375</v>
      </c>
      <c r="AR173" s="41">
        <f t="shared" si="3"/>
        <v>0</v>
      </c>
      <c r="AS173" s="41">
        <f t="shared" si="4"/>
        <v>375</v>
      </c>
      <c r="AT173" s="46">
        <f t="shared" si="5"/>
        <v>13.53333333</v>
      </c>
      <c r="AU173" s="37"/>
      <c r="AV173" s="37"/>
      <c r="AW173" s="37"/>
    </row>
    <row r="174" ht="15.75" customHeight="1">
      <c r="A174" s="39" t="s">
        <v>29</v>
      </c>
      <c r="B174" s="40">
        <f t="shared" si="6"/>
        <v>44734</v>
      </c>
      <c r="C174" s="41">
        <v>7.0</v>
      </c>
      <c r="D174" s="41" t="s">
        <v>25</v>
      </c>
      <c r="E174" s="43" t="s">
        <v>40</v>
      </c>
      <c r="F174" s="26"/>
      <c r="H174" s="27"/>
      <c r="J174" s="27"/>
      <c r="L174" s="27"/>
      <c r="N174" s="27"/>
      <c r="P174" s="27"/>
      <c r="Q174" s="29"/>
      <c r="R174" s="26">
        <v>0.0</v>
      </c>
      <c r="T174" s="27">
        <v>100.0</v>
      </c>
      <c r="V174" s="27">
        <v>75.0</v>
      </c>
      <c r="X174" s="27">
        <v>100.0</v>
      </c>
      <c r="Z174" s="27">
        <v>100.0</v>
      </c>
      <c r="AB174" s="27">
        <v>0.0</v>
      </c>
      <c r="AC174" s="29"/>
      <c r="AD174" s="26"/>
      <c r="AF174" s="27"/>
      <c r="AH174" s="27"/>
      <c r="AJ174" s="27"/>
      <c r="AL174" s="27"/>
      <c r="AN174" s="27"/>
      <c r="AO174" s="29"/>
      <c r="AP174" s="45">
        <f t="shared" si="1"/>
        <v>5075</v>
      </c>
      <c r="AQ174" s="41">
        <f t="shared" si="2"/>
        <v>375</v>
      </c>
      <c r="AR174" s="41">
        <f t="shared" si="3"/>
        <v>0</v>
      </c>
      <c r="AS174" s="41">
        <f t="shared" si="4"/>
        <v>375</v>
      </c>
      <c r="AT174" s="46">
        <f t="shared" si="5"/>
        <v>13.53333333</v>
      </c>
      <c r="AU174" s="37"/>
      <c r="AV174" s="37"/>
      <c r="AW174" s="37"/>
    </row>
    <row r="175" ht="15.75" customHeight="1">
      <c r="A175" s="39" t="s">
        <v>30</v>
      </c>
      <c r="B175" s="40">
        <f t="shared" si="6"/>
        <v>44735</v>
      </c>
      <c r="C175" s="41">
        <v>7.0</v>
      </c>
      <c r="D175" s="41" t="s">
        <v>25</v>
      </c>
      <c r="E175" s="43" t="s">
        <v>40</v>
      </c>
      <c r="F175" s="26"/>
      <c r="H175" s="27"/>
      <c r="J175" s="27"/>
      <c r="L175" s="27"/>
      <c r="N175" s="27"/>
      <c r="P175" s="27"/>
      <c r="Q175" s="29"/>
      <c r="R175" s="26">
        <v>0.0</v>
      </c>
      <c r="T175" s="27">
        <v>100.0</v>
      </c>
      <c r="V175" s="27">
        <v>75.0</v>
      </c>
      <c r="X175" s="27">
        <v>100.0</v>
      </c>
      <c r="Z175" s="27">
        <v>100.0</v>
      </c>
      <c r="AB175" s="27">
        <v>0.0</v>
      </c>
      <c r="AC175" s="29"/>
      <c r="AD175" s="26"/>
      <c r="AF175" s="27"/>
      <c r="AH175" s="27"/>
      <c r="AJ175" s="27"/>
      <c r="AL175" s="27"/>
      <c r="AN175" s="27"/>
      <c r="AO175" s="29"/>
      <c r="AP175" s="45">
        <f t="shared" si="1"/>
        <v>5075</v>
      </c>
      <c r="AQ175" s="41">
        <f t="shared" si="2"/>
        <v>375</v>
      </c>
      <c r="AR175" s="41">
        <f t="shared" si="3"/>
        <v>0</v>
      </c>
      <c r="AS175" s="41">
        <f t="shared" si="4"/>
        <v>375</v>
      </c>
      <c r="AT175" s="46">
        <f t="shared" si="5"/>
        <v>13.53333333</v>
      </c>
      <c r="AU175" s="37"/>
      <c r="AV175" s="37"/>
      <c r="AW175" s="37"/>
    </row>
    <row r="176" ht="15.75" customHeight="1">
      <c r="A176" s="39" t="s">
        <v>31</v>
      </c>
      <c r="B176" s="40">
        <f t="shared" si="6"/>
        <v>44736</v>
      </c>
      <c r="C176" s="41">
        <v>7.0</v>
      </c>
      <c r="D176" s="41" t="s">
        <v>25</v>
      </c>
      <c r="E176" s="43" t="s">
        <v>40</v>
      </c>
      <c r="F176" s="26"/>
      <c r="H176" s="27"/>
      <c r="J176" s="27"/>
      <c r="L176" s="27"/>
      <c r="N176" s="27"/>
      <c r="P176" s="27"/>
      <c r="Q176" s="29"/>
      <c r="R176" s="26">
        <v>0.0</v>
      </c>
      <c r="T176" s="27">
        <v>100.0</v>
      </c>
      <c r="V176" s="27">
        <v>75.0</v>
      </c>
      <c r="X176" s="27">
        <v>100.0</v>
      </c>
      <c r="Z176" s="27">
        <v>100.0</v>
      </c>
      <c r="AB176" s="27">
        <v>0.0</v>
      </c>
      <c r="AC176" s="29"/>
      <c r="AD176" s="26"/>
      <c r="AF176" s="27"/>
      <c r="AH176" s="27"/>
      <c r="AJ176" s="27"/>
      <c r="AL176" s="27"/>
      <c r="AN176" s="27"/>
      <c r="AO176" s="29"/>
      <c r="AP176" s="45">
        <f t="shared" si="1"/>
        <v>5075</v>
      </c>
      <c r="AQ176" s="41">
        <f t="shared" si="2"/>
        <v>375</v>
      </c>
      <c r="AR176" s="41">
        <f t="shared" si="3"/>
        <v>0</v>
      </c>
      <c r="AS176" s="41">
        <f t="shared" si="4"/>
        <v>375</v>
      </c>
      <c r="AT176" s="46">
        <f t="shared" si="5"/>
        <v>13.53333333</v>
      </c>
      <c r="AU176" s="37"/>
      <c r="AV176" s="37"/>
      <c r="AW176" s="37"/>
    </row>
    <row r="177" ht="15.75" customHeight="1">
      <c r="A177" s="49" t="s">
        <v>32</v>
      </c>
      <c r="B177" s="50">
        <f t="shared" si="6"/>
        <v>44737</v>
      </c>
      <c r="C177" s="51">
        <v>7.0</v>
      </c>
      <c r="D177" s="51" t="s">
        <v>25</v>
      </c>
      <c r="E177" s="53" t="s">
        <v>40</v>
      </c>
      <c r="F177" s="54"/>
      <c r="G177" s="55"/>
      <c r="H177" s="56"/>
      <c r="I177" s="55"/>
      <c r="J177" s="56"/>
      <c r="K177" s="55"/>
      <c r="L177" s="56"/>
      <c r="M177" s="55"/>
      <c r="N177" s="56"/>
      <c r="O177" s="55"/>
      <c r="P177" s="56"/>
      <c r="Q177" s="58"/>
      <c r="R177" s="54">
        <v>0.0</v>
      </c>
      <c r="S177" s="55"/>
      <c r="T177" s="56">
        <v>0.0</v>
      </c>
      <c r="U177" s="55"/>
      <c r="V177" s="56">
        <v>0.0</v>
      </c>
      <c r="W177" s="55"/>
      <c r="X177" s="56">
        <v>0.0</v>
      </c>
      <c r="Y177" s="55"/>
      <c r="Z177" s="56">
        <v>0.0</v>
      </c>
      <c r="AA177" s="55"/>
      <c r="AB177" s="56">
        <v>0.0</v>
      </c>
      <c r="AC177" s="58"/>
      <c r="AD177" s="54"/>
      <c r="AE177" s="55"/>
      <c r="AF177" s="56"/>
      <c r="AG177" s="55"/>
      <c r="AH177" s="56"/>
      <c r="AI177" s="55"/>
      <c r="AJ177" s="56"/>
      <c r="AK177" s="55"/>
      <c r="AL177" s="56"/>
      <c r="AM177" s="55"/>
      <c r="AN177" s="56"/>
      <c r="AO177" s="58"/>
      <c r="AP177" s="60">
        <f t="shared" si="1"/>
        <v>0</v>
      </c>
      <c r="AQ177" s="51">
        <f t="shared" si="2"/>
        <v>0</v>
      </c>
      <c r="AR177" s="51">
        <f t="shared" si="3"/>
        <v>0</v>
      </c>
      <c r="AS177" s="51">
        <f t="shared" si="4"/>
        <v>0</v>
      </c>
      <c r="AT177" s="61" t="str">
        <f t="shared" si="5"/>
        <v/>
      </c>
      <c r="AU177" s="37"/>
      <c r="AV177" s="37"/>
      <c r="AW177" s="37"/>
    </row>
    <row r="178" ht="15.75" customHeight="1">
      <c r="A178" s="21" t="s">
        <v>24</v>
      </c>
      <c r="B178" s="62">
        <f t="shared" si="6"/>
        <v>44738</v>
      </c>
      <c r="C178" s="23">
        <v>7.0</v>
      </c>
      <c r="D178" s="23" t="s">
        <v>33</v>
      </c>
      <c r="E178" s="63" t="s">
        <v>40</v>
      </c>
      <c r="F178" s="26"/>
      <c r="H178" s="27"/>
      <c r="J178" s="27"/>
      <c r="L178" s="27"/>
      <c r="N178" s="27"/>
      <c r="P178" s="27"/>
      <c r="Q178" s="29"/>
      <c r="R178" s="26">
        <v>0.0</v>
      </c>
      <c r="T178" s="27">
        <v>100.0</v>
      </c>
      <c r="V178" s="27">
        <v>75.0</v>
      </c>
      <c r="X178" s="27">
        <v>100.0</v>
      </c>
      <c r="Z178" s="27">
        <v>100.0</v>
      </c>
      <c r="AB178" s="27">
        <v>0.0</v>
      </c>
      <c r="AC178" s="29"/>
      <c r="AD178" s="26"/>
      <c r="AF178" s="27"/>
      <c r="AH178" s="27"/>
      <c r="AJ178" s="27"/>
      <c r="AL178" s="27"/>
      <c r="AN178" s="27"/>
      <c r="AO178" s="29"/>
      <c r="AP178" s="35">
        <f t="shared" si="1"/>
        <v>5075</v>
      </c>
      <c r="AQ178" s="23">
        <f t="shared" si="2"/>
        <v>375</v>
      </c>
      <c r="AR178" s="23">
        <f t="shared" si="3"/>
        <v>0</v>
      </c>
      <c r="AS178" s="23">
        <f t="shared" si="4"/>
        <v>375</v>
      </c>
      <c r="AT178" s="36">
        <f t="shared" si="5"/>
        <v>13.53333333</v>
      </c>
      <c r="AU178" s="37"/>
      <c r="AV178" s="37"/>
      <c r="AW178" s="37"/>
    </row>
    <row r="179" ht="15.75" customHeight="1">
      <c r="A179" s="39" t="s">
        <v>27</v>
      </c>
      <c r="B179" s="40">
        <f t="shared" si="6"/>
        <v>44739</v>
      </c>
      <c r="C179" s="41">
        <v>7.0</v>
      </c>
      <c r="D179" s="41" t="s">
        <v>33</v>
      </c>
      <c r="E179" s="43" t="s">
        <v>40</v>
      </c>
      <c r="F179" s="26"/>
      <c r="H179" s="27"/>
      <c r="J179" s="27"/>
      <c r="L179" s="27"/>
      <c r="N179" s="27"/>
      <c r="P179" s="27"/>
      <c r="Q179" s="29"/>
      <c r="R179" s="26">
        <v>0.0</v>
      </c>
      <c r="T179" s="27">
        <v>100.0</v>
      </c>
      <c r="V179" s="27">
        <v>75.0</v>
      </c>
      <c r="X179" s="27">
        <v>100.0</v>
      </c>
      <c r="Z179" s="27">
        <v>100.0</v>
      </c>
      <c r="AB179" s="27">
        <v>0.0</v>
      </c>
      <c r="AC179" s="29"/>
      <c r="AD179" s="26"/>
      <c r="AF179" s="27"/>
      <c r="AH179" s="27"/>
      <c r="AJ179" s="27"/>
      <c r="AL179" s="27"/>
      <c r="AN179" s="27"/>
      <c r="AO179" s="29"/>
      <c r="AP179" s="45">
        <f t="shared" si="1"/>
        <v>5075</v>
      </c>
      <c r="AQ179" s="41">
        <f t="shared" si="2"/>
        <v>375</v>
      </c>
      <c r="AR179" s="41">
        <f t="shared" si="3"/>
        <v>0</v>
      </c>
      <c r="AS179" s="41">
        <f t="shared" si="4"/>
        <v>375</v>
      </c>
      <c r="AT179" s="46">
        <f t="shared" si="5"/>
        <v>13.53333333</v>
      </c>
      <c r="AU179" s="37"/>
      <c r="AV179" s="37"/>
      <c r="AW179" s="37"/>
    </row>
    <row r="180" ht="15.75" customHeight="1">
      <c r="A180" s="39" t="s">
        <v>28</v>
      </c>
      <c r="B180" s="40">
        <f t="shared" si="6"/>
        <v>44740</v>
      </c>
      <c r="C180" s="41">
        <v>7.0</v>
      </c>
      <c r="D180" s="41" t="s">
        <v>33</v>
      </c>
      <c r="E180" s="43" t="s">
        <v>40</v>
      </c>
      <c r="F180" s="26"/>
      <c r="H180" s="27"/>
      <c r="J180" s="27"/>
      <c r="L180" s="27"/>
      <c r="N180" s="27"/>
      <c r="P180" s="27"/>
      <c r="Q180" s="29"/>
      <c r="R180" s="26">
        <v>0.0</v>
      </c>
      <c r="T180" s="27">
        <v>100.0</v>
      </c>
      <c r="V180" s="27">
        <v>75.0</v>
      </c>
      <c r="X180" s="27">
        <v>100.0</v>
      </c>
      <c r="Z180" s="27">
        <v>100.0</v>
      </c>
      <c r="AB180" s="27">
        <v>0.0</v>
      </c>
      <c r="AC180" s="29"/>
      <c r="AD180" s="26"/>
      <c r="AF180" s="27"/>
      <c r="AH180" s="27"/>
      <c r="AJ180" s="27"/>
      <c r="AL180" s="27"/>
      <c r="AN180" s="27"/>
      <c r="AO180" s="29"/>
      <c r="AP180" s="45">
        <f t="shared" si="1"/>
        <v>5075</v>
      </c>
      <c r="AQ180" s="41">
        <f t="shared" si="2"/>
        <v>375</v>
      </c>
      <c r="AR180" s="41">
        <f t="shared" si="3"/>
        <v>0</v>
      </c>
      <c r="AS180" s="41">
        <f t="shared" si="4"/>
        <v>375</v>
      </c>
      <c r="AT180" s="46">
        <f t="shared" si="5"/>
        <v>13.53333333</v>
      </c>
      <c r="AU180" s="37"/>
      <c r="AV180" s="37"/>
      <c r="AW180" s="37"/>
    </row>
    <row r="181" ht="15.75" customHeight="1">
      <c r="A181" s="39" t="s">
        <v>29</v>
      </c>
      <c r="B181" s="40">
        <f t="shared" si="6"/>
        <v>44741</v>
      </c>
      <c r="C181" s="41">
        <v>7.0</v>
      </c>
      <c r="D181" s="41" t="s">
        <v>33</v>
      </c>
      <c r="E181" s="43" t="s">
        <v>40</v>
      </c>
      <c r="F181" s="26"/>
      <c r="H181" s="27"/>
      <c r="J181" s="27"/>
      <c r="L181" s="27"/>
      <c r="N181" s="27"/>
      <c r="P181" s="27"/>
      <c r="Q181" s="29"/>
      <c r="R181" s="26">
        <v>0.0</v>
      </c>
      <c r="T181" s="27">
        <v>100.0</v>
      </c>
      <c r="V181" s="27">
        <v>75.0</v>
      </c>
      <c r="X181" s="27">
        <v>100.0</v>
      </c>
      <c r="Z181" s="27">
        <v>100.0</v>
      </c>
      <c r="AB181" s="27">
        <v>0.0</v>
      </c>
      <c r="AC181" s="29"/>
      <c r="AD181" s="26"/>
      <c r="AF181" s="27"/>
      <c r="AH181" s="27"/>
      <c r="AJ181" s="27"/>
      <c r="AL181" s="27"/>
      <c r="AN181" s="27"/>
      <c r="AO181" s="29"/>
      <c r="AP181" s="45">
        <f t="shared" si="1"/>
        <v>5075</v>
      </c>
      <c r="AQ181" s="41">
        <f t="shared" si="2"/>
        <v>375</v>
      </c>
      <c r="AR181" s="41">
        <f t="shared" si="3"/>
        <v>0</v>
      </c>
      <c r="AS181" s="41">
        <f t="shared" si="4"/>
        <v>375</v>
      </c>
      <c r="AT181" s="46">
        <f t="shared" si="5"/>
        <v>13.53333333</v>
      </c>
      <c r="AU181" s="37"/>
      <c r="AV181" s="37"/>
      <c r="AW181" s="37"/>
    </row>
    <row r="182" ht="15.75" customHeight="1">
      <c r="A182" s="39" t="s">
        <v>30</v>
      </c>
      <c r="B182" s="40">
        <f t="shared" si="6"/>
        <v>44742</v>
      </c>
      <c r="C182" s="41">
        <v>7.0</v>
      </c>
      <c r="D182" s="41" t="s">
        <v>33</v>
      </c>
      <c r="E182" s="43" t="s">
        <v>40</v>
      </c>
      <c r="F182" s="26"/>
      <c r="H182" s="27"/>
      <c r="J182" s="27"/>
      <c r="L182" s="27"/>
      <c r="N182" s="27"/>
      <c r="P182" s="27"/>
      <c r="Q182" s="29"/>
      <c r="R182" s="26">
        <v>0.0</v>
      </c>
      <c r="T182" s="27">
        <v>100.0</v>
      </c>
      <c r="V182" s="27">
        <v>75.0</v>
      </c>
      <c r="X182" s="27">
        <v>100.0</v>
      </c>
      <c r="Z182" s="27">
        <v>100.0</v>
      </c>
      <c r="AB182" s="27">
        <v>0.0</v>
      </c>
      <c r="AC182" s="29"/>
      <c r="AD182" s="26"/>
      <c r="AF182" s="27"/>
      <c r="AH182" s="27"/>
      <c r="AJ182" s="27"/>
      <c r="AL182" s="27"/>
      <c r="AN182" s="27"/>
      <c r="AO182" s="29"/>
      <c r="AP182" s="45">
        <f t="shared" si="1"/>
        <v>5075</v>
      </c>
      <c r="AQ182" s="41">
        <f t="shared" si="2"/>
        <v>375</v>
      </c>
      <c r="AR182" s="41">
        <f t="shared" si="3"/>
        <v>0</v>
      </c>
      <c r="AS182" s="41">
        <f t="shared" si="4"/>
        <v>375</v>
      </c>
      <c r="AT182" s="46">
        <f t="shared" si="5"/>
        <v>13.53333333</v>
      </c>
      <c r="AU182" s="37"/>
      <c r="AV182" s="37"/>
      <c r="AW182" s="37"/>
    </row>
    <row r="183" ht="15.75" customHeight="1">
      <c r="A183" s="39" t="s">
        <v>31</v>
      </c>
      <c r="B183" s="40">
        <f t="shared" si="6"/>
        <v>44743</v>
      </c>
      <c r="C183" s="41">
        <v>7.0</v>
      </c>
      <c r="D183" s="41" t="s">
        <v>33</v>
      </c>
      <c r="E183" s="43" t="s">
        <v>40</v>
      </c>
      <c r="F183" s="26"/>
      <c r="H183" s="27"/>
      <c r="J183" s="27"/>
      <c r="L183" s="27"/>
      <c r="N183" s="27"/>
      <c r="P183" s="27"/>
      <c r="Q183" s="29"/>
      <c r="R183" s="26">
        <v>0.0</v>
      </c>
      <c r="T183" s="27">
        <v>100.0</v>
      </c>
      <c r="V183" s="27">
        <v>75.0</v>
      </c>
      <c r="X183" s="27">
        <v>100.0</v>
      </c>
      <c r="Z183" s="27">
        <v>100.0</v>
      </c>
      <c r="AB183" s="27">
        <v>0.0</v>
      </c>
      <c r="AC183" s="29"/>
      <c r="AD183" s="26"/>
      <c r="AF183" s="27"/>
      <c r="AH183" s="27"/>
      <c r="AJ183" s="27"/>
      <c r="AL183" s="27"/>
      <c r="AN183" s="27"/>
      <c r="AO183" s="29"/>
      <c r="AP183" s="45">
        <f t="shared" si="1"/>
        <v>5075</v>
      </c>
      <c r="AQ183" s="41">
        <f t="shared" si="2"/>
        <v>375</v>
      </c>
      <c r="AR183" s="41">
        <f t="shared" si="3"/>
        <v>0</v>
      </c>
      <c r="AS183" s="41">
        <f t="shared" si="4"/>
        <v>375</v>
      </c>
      <c r="AT183" s="46">
        <f t="shared" si="5"/>
        <v>13.53333333</v>
      </c>
      <c r="AU183" s="37"/>
      <c r="AV183" s="37"/>
      <c r="AW183" s="37"/>
    </row>
    <row r="184" ht="15.75" customHeight="1">
      <c r="A184" s="49" t="s">
        <v>32</v>
      </c>
      <c r="B184" s="50">
        <f t="shared" si="6"/>
        <v>44744</v>
      </c>
      <c r="C184" s="51">
        <v>7.0</v>
      </c>
      <c r="D184" s="51" t="s">
        <v>33</v>
      </c>
      <c r="E184" s="53" t="s">
        <v>40</v>
      </c>
      <c r="F184" s="54"/>
      <c r="G184" s="55"/>
      <c r="H184" s="56"/>
      <c r="I184" s="55"/>
      <c r="J184" s="56"/>
      <c r="K184" s="55"/>
      <c r="L184" s="56"/>
      <c r="M184" s="55"/>
      <c r="N184" s="56"/>
      <c r="O184" s="55"/>
      <c r="P184" s="56"/>
      <c r="Q184" s="58"/>
      <c r="R184" s="54">
        <v>0.0</v>
      </c>
      <c r="S184" s="55"/>
      <c r="T184" s="56">
        <v>0.0</v>
      </c>
      <c r="U184" s="55"/>
      <c r="V184" s="56">
        <v>0.0</v>
      </c>
      <c r="W184" s="55"/>
      <c r="X184" s="56">
        <v>0.0</v>
      </c>
      <c r="Y184" s="55"/>
      <c r="Z184" s="56">
        <v>0.0</v>
      </c>
      <c r="AA184" s="55"/>
      <c r="AB184" s="56">
        <v>0.0</v>
      </c>
      <c r="AC184" s="58"/>
      <c r="AD184" s="54"/>
      <c r="AE184" s="55"/>
      <c r="AF184" s="56"/>
      <c r="AG184" s="55"/>
      <c r="AH184" s="56"/>
      <c r="AI184" s="55"/>
      <c r="AJ184" s="56"/>
      <c r="AK184" s="55"/>
      <c r="AL184" s="56"/>
      <c r="AM184" s="55"/>
      <c r="AN184" s="56"/>
      <c r="AO184" s="58"/>
      <c r="AP184" s="60">
        <f t="shared" si="1"/>
        <v>0</v>
      </c>
      <c r="AQ184" s="51">
        <f t="shared" si="2"/>
        <v>0</v>
      </c>
      <c r="AR184" s="51">
        <f t="shared" si="3"/>
        <v>0</v>
      </c>
      <c r="AS184" s="51">
        <f t="shared" si="4"/>
        <v>0</v>
      </c>
      <c r="AT184" s="61" t="str">
        <f t="shared" si="5"/>
        <v/>
      </c>
      <c r="AU184" s="37"/>
      <c r="AV184" s="37"/>
      <c r="AW184" s="37"/>
    </row>
    <row r="185" ht="15.75" customHeight="1">
      <c r="A185" s="21" t="s">
        <v>24</v>
      </c>
      <c r="B185" s="62">
        <f t="shared" si="6"/>
        <v>44745</v>
      </c>
      <c r="C185" s="23">
        <v>7.0</v>
      </c>
      <c r="D185" s="23" t="s">
        <v>34</v>
      </c>
      <c r="E185" s="63" t="s">
        <v>40</v>
      </c>
      <c r="F185" s="26"/>
      <c r="H185" s="27"/>
      <c r="J185" s="27"/>
      <c r="L185" s="27"/>
      <c r="N185" s="27"/>
      <c r="P185" s="27"/>
      <c r="Q185" s="29"/>
      <c r="R185" s="26">
        <v>0.0</v>
      </c>
      <c r="T185" s="27">
        <v>100.0</v>
      </c>
      <c r="V185" s="27">
        <v>75.0</v>
      </c>
      <c r="X185" s="27">
        <v>100.0</v>
      </c>
      <c r="Z185" s="27">
        <v>100.0</v>
      </c>
      <c r="AB185" s="27">
        <v>0.0</v>
      </c>
      <c r="AC185" s="29"/>
      <c r="AD185" s="26"/>
      <c r="AF185" s="27"/>
      <c r="AH185" s="27"/>
      <c r="AJ185" s="27"/>
      <c r="AL185" s="27"/>
      <c r="AN185" s="27"/>
      <c r="AO185" s="29"/>
      <c r="AP185" s="35">
        <f t="shared" si="1"/>
        <v>5075</v>
      </c>
      <c r="AQ185" s="23">
        <f t="shared" si="2"/>
        <v>375</v>
      </c>
      <c r="AR185" s="23">
        <f t="shared" si="3"/>
        <v>0</v>
      </c>
      <c r="AS185" s="23">
        <f t="shared" si="4"/>
        <v>375</v>
      </c>
      <c r="AT185" s="36">
        <f t="shared" si="5"/>
        <v>13.53333333</v>
      </c>
      <c r="AU185" s="37"/>
      <c r="AV185" s="37"/>
      <c r="AW185" s="37"/>
    </row>
    <row r="186" ht="15.75" customHeight="1">
      <c r="A186" s="39" t="s">
        <v>27</v>
      </c>
      <c r="B186" s="40">
        <f t="shared" si="6"/>
        <v>44746</v>
      </c>
      <c r="C186" s="41">
        <v>7.0</v>
      </c>
      <c r="D186" s="41" t="s">
        <v>34</v>
      </c>
      <c r="E186" s="43" t="s">
        <v>40</v>
      </c>
      <c r="F186" s="26"/>
      <c r="H186" s="27"/>
      <c r="J186" s="27"/>
      <c r="L186" s="27"/>
      <c r="N186" s="27"/>
      <c r="P186" s="27"/>
      <c r="Q186" s="29"/>
      <c r="R186" s="26">
        <v>0.0</v>
      </c>
      <c r="T186" s="27">
        <v>100.0</v>
      </c>
      <c r="V186" s="27">
        <v>75.0</v>
      </c>
      <c r="X186" s="27">
        <v>100.0</v>
      </c>
      <c r="Z186" s="27">
        <v>100.0</v>
      </c>
      <c r="AB186" s="27">
        <v>0.0</v>
      </c>
      <c r="AC186" s="29"/>
      <c r="AD186" s="26"/>
      <c r="AF186" s="27"/>
      <c r="AH186" s="27"/>
      <c r="AJ186" s="27"/>
      <c r="AL186" s="27"/>
      <c r="AN186" s="27"/>
      <c r="AO186" s="29"/>
      <c r="AP186" s="45">
        <f t="shared" si="1"/>
        <v>5075</v>
      </c>
      <c r="AQ186" s="41">
        <f t="shared" si="2"/>
        <v>375</v>
      </c>
      <c r="AR186" s="41">
        <f t="shared" si="3"/>
        <v>0</v>
      </c>
      <c r="AS186" s="41">
        <f t="shared" si="4"/>
        <v>375</v>
      </c>
      <c r="AT186" s="46">
        <f t="shared" si="5"/>
        <v>13.53333333</v>
      </c>
      <c r="AU186" s="37"/>
      <c r="AV186" s="37"/>
      <c r="AW186" s="37"/>
    </row>
    <row r="187" ht="15.75" customHeight="1">
      <c r="A187" s="39" t="s">
        <v>28</v>
      </c>
      <c r="B187" s="40">
        <f t="shared" si="6"/>
        <v>44747</v>
      </c>
      <c r="C187" s="41">
        <v>7.0</v>
      </c>
      <c r="D187" s="41" t="s">
        <v>34</v>
      </c>
      <c r="E187" s="43" t="s">
        <v>40</v>
      </c>
      <c r="F187" s="26"/>
      <c r="H187" s="27"/>
      <c r="J187" s="27"/>
      <c r="L187" s="27"/>
      <c r="N187" s="27"/>
      <c r="P187" s="27"/>
      <c r="Q187" s="29"/>
      <c r="R187" s="26">
        <v>0.0</v>
      </c>
      <c r="T187" s="27">
        <v>100.0</v>
      </c>
      <c r="V187" s="27">
        <v>75.0</v>
      </c>
      <c r="X187" s="27">
        <v>100.0</v>
      </c>
      <c r="Z187" s="27">
        <v>100.0</v>
      </c>
      <c r="AB187" s="27">
        <v>0.0</v>
      </c>
      <c r="AC187" s="29"/>
      <c r="AD187" s="26"/>
      <c r="AF187" s="27"/>
      <c r="AH187" s="27"/>
      <c r="AJ187" s="27"/>
      <c r="AL187" s="27"/>
      <c r="AN187" s="27"/>
      <c r="AO187" s="29"/>
      <c r="AP187" s="45">
        <f t="shared" si="1"/>
        <v>5075</v>
      </c>
      <c r="AQ187" s="41">
        <f t="shared" si="2"/>
        <v>375</v>
      </c>
      <c r="AR187" s="41">
        <f t="shared" si="3"/>
        <v>0</v>
      </c>
      <c r="AS187" s="41">
        <f t="shared" si="4"/>
        <v>375</v>
      </c>
      <c r="AT187" s="46">
        <f t="shared" si="5"/>
        <v>13.53333333</v>
      </c>
      <c r="AU187" s="37"/>
      <c r="AV187" s="37"/>
      <c r="AW187" s="37"/>
    </row>
    <row r="188" ht="15.75" customHeight="1">
      <c r="A188" s="39" t="s">
        <v>29</v>
      </c>
      <c r="B188" s="40">
        <f t="shared" si="6"/>
        <v>44748</v>
      </c>
      <c r="C188" s="41">
        <v>7.0</v>
      </c>
      <c r="D188" s="41" t="s">
        <v>34</v>
      </c>
      <c r="E188" s="43" t="s">
        <v>40</v>
      </c>
      <c r="F188" s="26"/>
      <c r="H188" s="27"/>
      <c r="J188" s="27"/>
      <c r="L188" s="27"/>
      <c r="N188" s="27"/>
      <c r="P188" s="27"/>
      <c r="Q188" s="29"/>
      <c r="R188" s="26">
        <v>0.0</v>
      </c>
      <c r="T188" s="27">
        <v>100.0</v>
      </c>
      <c r="V188" s="27">
        <v>75.0</v>
      </c>
      <c r="X188" s="27">
        <v>100.0</v>
      </c>
      <c r="Z188" s="27">
        <v>100.0</v>
      </c>
      <c r="AB188" s="27">
        <v>0.0</v>
      </c>
      <c r="AC188" s="29"/>
      <c r="AD188" s="26"/>
      <c r="AF188" s="27"/>
      <c r="AH188" s="27"/>
      <c r="AJ188" s="27"/>
      <c r="AL188" s="27"/>
      <c r="AN188" s="27"/>
      <c r="AO188" s="29"/>
      <c r="AP188" s="45">
        <f t="shared" si="1"/>
        <v>5075</v>
      </c>
      <c r="AQ188" s="41">
        <f t="shared" si="2"/>
        <v>375</v>
      </c>
      <c r="AR188" s="41">
        <f t="shared" si="3"/>
        <v>0</v>
      </c>
      <c r="AS188" s="41">
        <f t="shared" si="4"/>
        <v>375</v>
      </c>
      <c r="AT188" s="46">
        <f t="shared" si="5"/>
        <v>13.53333333</v>
      </c>
      <c r="AU188" s="37"/>
      <c r="AV188" s="37"/>
      <c r="AW188" s="37"/>
    </row>
    <row r="189" ht="15.75" customHeight="1">
      <c r="A189" s="39" t="s">
        <v>30</v>
      </c>
      <c r="B189" s="40">
        <f t="shared" si="6"/>
        <v>44749</v>
      </c>
      <c r="C189" s="41">
        <v>7.0</v>
      </c>
      <c r="D189" s="41" t="s">
        <v>34</v>
      </c>
      <c r="E189" s="43" t="s">
        <v>40</v>
      </c>
      <c r="F189" s="26"/>
      <c r="H189" s="27"/>
      <c r="J189" s="27"/>
      <c r="L189" s="27"/>
      <c r="N189" s="27"/>
      <c r="P189" s="27"/>
      <c r="Q189" s="29"/>
      <c r="R189" s="26">
        <v>0.0</v>
      </c>
      <c r="T189" s="27">
        <v>100.0</v>
      </c>
      <c r="V189" s="27">
        <v>75.0</v>
      </c>
      <c r="X189" s="27">
        <v>100.0</v>
      </c>
      <c r="Z189" s="27">
        <v>100.0</v>
      </c>
      <c r="AB189" s="27">
        <v>0.0</v>
      </c>
      <c r="AC189" s="29"/>
      <c r="AD189" s="26"/>
      <c r="AF189" s="27"/>
      <c r="AH189" s="27"/>
      <c r="AJ189" s="27"/>
      <c r="AL189" s="27"/>
      <c r="AN189" s="27"/>
      <c r="AO189" s="29"/>
      <c r="AP189" s="45">
        <f t="shared" si="1"/>
        <v>5075</v>
      </c>
      <c r="AQ189" s="41">
        <f t="shared" si="2"/>
        <v>375</v>
      </c>
      <c r="AR189" s="41">
        <f t="shared" si="3"/>
        <v>0</v>
      </c>
      <c r="AS189" s="41">
        <f t="shared" si="4"/>
        <v>375</v>
      </c>
      <c r="AT189" s="46">
        <f t="shared" si="5"/>
        <v>13.53333333</v>
      </c>
      <c r="AU189" s="37"/>
      <c r="AV189" s="37"/>
      <c r="AW189" s="37"/>
    </row>
    <row r="190" ht="15.75" customHeight="1">
      <c r="A190" s="39" t="s">
        <v>31</v>
      </c>
      <c r="B190" s="40">
        <f t="shared" si="6"/>
        <v>44750</v>
      </c>
      <c r="C190" s="41">
        <v>7.0</v>
      </c>
      <c r="D190" s="41" t="s">
        <v>34</v>
      </c>
      <c r="E190" s="43" t="s">
        <v>40</v>
      </c>
      <c r="F190" s="26"/>
      <c r="H190" s="27"/>
      <c r="J190" s="27"/>
      <c r="L190" s="27"/>
      <c r="N190" s="27"/>
      <c r="P190" s="27"/>
      <c r="Q190" s="29"/>
      <c r="R190" s="26">
        <v>0.0</v>
      </c>
      <c r="T190" s="27">
        <v>100.0</v>
      </c>
      <c r="V190" s="27">
        <v>75.0</v>
      </c>
      <c r="X190" s="27">
        <v>100.0</v>
      </c>
      <c r="Z190" s="27">
        <v>100.0</v>
      </c>
      <c r="AB190" s="27">
        <v>0.0</v>
      </c>
      <c r="AC190" s="29"/>
      <c r="AD190" s="26"/>
      <c r="AF190" s="27"/>
      <c r="AH190" s="27"/>
      <c r="AJ190" s="27"/>
      <c r="AL190" s="27"/>
      <c r="AN190" s="27"/>
      <c r="AO190" s="29"/>
      <c r="AP190" s="45">
        <f t="shared" si="1"/>
        <v>5075</v>
      </c>
      <c r="AQ190" s="41">
        <f t="shared" si="2"/>
        <v>375</v>
      </c>
      <c r="AR190" s="41">
        <f t="shared" si="3"/>
        <v>0</v>
      </c>
      <c r="AS190" s="41">
        <f t="shared" si="4"/>
        <v>375</v>
      </c>
      <c r="AT190" s="46">
        <f t="shared" si="5"/>
        <v>13.53333333</v>
      </c>
      <c r="AU190" s="37"/>
      <c r="AV190" s="37"/>
      <c r="AW190" s="37"/>
    </row>
    <row r="191" ht="15.75" customHeight="1">
      <c r="A191" s="49" t="s">
        <v>32</v>
      </c>
      <c r="B191" s="50">
        <f t="shared" si="6"/>
        <v>44751</v>
      </c>
      <c r="C191" s="51">
        <v>7.0</v>
      </c>
      <c r="D191" s="51" t="s">
        <v>34</v>
      </c>
      <c r="E191" s="53" t="s">
        <v>40</v>
      </c>
      <c r="F191" s="54"/>
      <c r="G191" s="55"/>
      <c r="H191" s="56"/>
      <c r="I191" s="55"/>
      <c r="J191" s="56"/>
      <c r="K191" s="55"/>
      <c r="L191" s="56"/>
      <c r="M191" s="55"/>
      <c r="N191" s="56"/>
      <c r="O191" s="55"/>
      <c r="P191" s="56"/>
      <c r="Q191" s="58"/>
      <c r="R191" s="54">
        <v>0.0</v>
      </c>
      <c r="S191" s="55"/>
      <c r="T191" s="56">
        <v>0.0</v>
      </c>
      <c r="U191" s="55"/>
      <c r="V191" s="56">
        <v>0.0</v>
      </c>
      <c r="W191" s="55"/>
      <c r="X191" s="56">
        <v>0.0</v>
      </c>
      <c r="Y191" s="55"/>
      <c r="Z191" s="56">
        <v>0.0</v>
      </c>
      <c r="AA191" s="55"/>
      <c r="AB191" s="56">
        <v>0.0</v>
      </c>
      <c r="AC191" s="58"/>
      <c r="AD191" s="54"/>
      <c r="AE191" s="55"/>
      <c r="AF191" s="56"/>
      <c r="AG191" s="55"/>
      <c r="AH191" s="56"/>
      <c r="AI191" s="55"/>
      <c r="AJ191" s="56"/>
      <c r="AK191" s="55"/>
      <c r="AL191" s="56"/>
      <c r="AM191" s="55"/>
      <c r="AN191" s="56"/>
      <c r="AO191" s="58"/>
      <c r="AP191" s="60">
        <f t="shared" si="1"/>
        <v>0</v>
      </c>
      <c r="AQ191" s="51">
        <f t="shared" si="2"/>
        <v>0</v>
      </c>
      <c r="AR191" s="51">
        <f t="shared" si="3"/>
        <v>0</v>
      </c>
      <c r="AS191" s="51">
        <f t="shared" si="4"/>
        <v>0</v>
      </c>
      <c r="AT191" s="61" t="str">
        <f t="shared" si="5"/>
        <v/>
      </c>
      <c r="AU191" s="37"/>
      <c r="AV191" s="37"/>
      <c r="AW191" s="37"/>
    </row>
    <row r="192" ht="15.75" customHeight="1">
      <c r="A192" s="21" t="s">
        <v>24</v>
      </c>
      <c r="B192" s="62">
        <f t="shared" si="6"/>
        <v>44752</v>
      </c>
      <c r="C192" s="23">
        <v>7.0</v>
      </c>
      <c r="D192" s="23" t="s">
        <v>35</v>
      </c>
      <c r="E192" s="63" t="s">
        <v>40</v>
      </c>
      <c r="F192" s="26"/>
      <c r="H192" s="27"/>
      <c r="J192" s="27"/>
      <c r="L192" s="27"/>
      <c r="N192" s="27"/>
      <c r="P192" s="27"/>
      <c r="Q192" s="29"/>
      <c r="R192" s="26">
        <v>0.0</v>
      </c>
      <c r="T192" s="27">
        <v>100.0</v>
      </c>
      <c r="V192" s="27">
        <v>75.0</v>
      </c>
      <c r="X192" s="27">
        <v>100.0</v>
      </c>
      <c r="Z192" s="27">
        <v>100.0</v>
      </c>
      <c r="AB192" s="27">
        <v>0.0</v>
      </c>
      <c r="AC192" s="29"/>
      <c r="AD192" s="26"/>
      <c r="AF192" s="27"/>
      <c r="AH192" s="27"/>
      <c r="AJ192" s="27"/>
      <c r="AL192" s="27"/>
      <c r="AN192" s="27"/>
      <c r="AO192" s="29"/>
      <c r="AP192" s="35">
        <f t="shared" si="1"/>
        <v>5075</v>
      </c>
      <c r="AQ192" s="23">
        <f t="shared" si="2"/>
        <v>375</v>
      </c>
      <c r="AR192" s="23">
        <f t="shared" si="3"/>
        <v>0</v>
      </c>
      <c r="AS192" s="23">
        <f t="shared" si="4"/>
        <v>375</v>
      </c>
      <c r="AT192" s="36">
        <f t="shared" si="5"/>
        <v>13.53333333</v>
      </c>
      <c r="AU192" s="37"/>
      <c r="AV192" s="37"/>
      <c r="AW192" s="37"/>
    </row>
    <row r="193" ht="15.75" customHeight="1">
      <c r="A193" s="39" t="s">
        <v>27</v>
      </c>
      <c r="B193" s="40">
        <f t="shared" si="6"/>
        <v>44753</v>
      </c>
      <c r="C193" s="41">
        <v>7.0</v>
      </c>
      <c r="D193" s="41" t="s">
        <v>35</v>
      </c>
      <c r="E193" s="43" t="s">
        <v>40</v>
      </c>
      <c r="F193" s="26"/>
      <c r="H193" s="27"/>
      <c r="J193" s="27"/>
      <c r="L193" s="27"/>
      <c r="N193" s="27"/>
      <c r="P193" s="27"/>
      <c r="Q193" s="29"/>
      <c r="R193" s="26">
        <v>0.0</v>
      </c>
      <c r="T193" s="27">
        <v>100.0</v>
      </c>
      <c r="V193" s="27">
        <v>75.0</v>
      </c>
      <c r="X193" s="27">
        <v>100.0</v>
      </c>
      <c r="Z193" s="27">
        <v>100.0</v>
      </c>
      <c r="AB193" s="27">
        <v>0.0</v>
      </c>
      <c r="AC193" s="29"/>
      <c r="AD193" s="26"/>
      <c r="AF193" s="27"/>
      <c r="AH193" s="27"/>
      <c r="AJ193" s="27"/>
      <c r="AL193" s="27"/>
      <c r="AN193" s="27"/>
      <c r="AO193" s="29"/>
      <c r="AP193" s="45">
        <f t="shared" si="1"/>
        <v>5075</v>
      </c>
      <c r="AQ193" s="41">
        <f t="shared" si="2"/>
        <v>375</v>
      </c>
      <c r="AR193" s="41">
        <f t="shared" si="3"/>
        <v>0</v>
      </c>
      <c r="AS193" s="41">
        <f t="shared" si="4"/>
        <v>375</v>
      </c>
      <c r="AT193" s="46">
        <f t="shared" si="5"/>
        <v>13.53333333</v>
      </c>
      <c r="AU193" s="37"/>
      <c r="AV193" s="37"/>
      <c r="AW193" s="37"/>
    </row>
    <row r="194" ht="15.75" customHeight="1">
      <c r="A194" s="39" t="s">
        <v>28</v>
      </c>
      <c r="B194" s="40">
        <f t="shared" si="6"/>
        <v>44754</v>
      </c>
      <c r="C194" s="41">
        <v>7.0</v>
      </c>
      <c r="D194" s="41" t="s">
        <v>35</v>
      </c>
      <c r="E194" s="43" t="s">
        <v>40</v>
      </c>
      <c r="F194" s="26"/>
      <c r="H194" s="27"/>
      <c r="J194" s="27"/>
      <c r="L194" s="27"/>
      <c r="N194" s="27"/>
      <c r="P194" s="27"/>
      <c r="Q194" s="29"/>
      <c r="R194" s="26">
        <v>0.0</v>
      </c>
      <c r="T194" s="27">
        <v>100.0</v>
      </c>
      <c r="V194" s="27">
        <v>75.0</v>
      </c>
      <c r="X194" s="27">
        <v>100.0</v>
      </c>
      <c r="Z194" s="27">
        <v>100.0</v>
      </c>
      <c r="AB194" s="27">
        <v>0.0</v>
      </c>
      <c r="AC194" s="29"/>
      <c r="AD194" s="26"/>
      <c r="AF194" s="27"/>
      <c r="AH194" s="27"/>
      <c r="AJ194" s="27"/>
      <c r="AL194" s="27"/>
      <c r="AN194" s="27"/>
      <c r="AO194" s="29"/>
      <c r="AP194" s="45">
        <f t="shared" si="1"/>
        <v>5075</v>
      </c>
      <c r="AQ194" s="41">
        <f t="shared" si="2"/>
        <v>375</v>
      </c>
      <c r="AR194" s="41">
        <f t="shared" si="3"/>
        <v>0</v>
      </c>
      <c r="AS194" s="41">
        <f t="shared" si="4"/>
        <v>375</v>
      </c>
      <c r="AT194" s="46">
        <f t="shared" si="5"/>
        <v>13.53333333</v>
      </c>
      <c r="AU194" s="37"/>
      <c r="AV194" s="37"/>
      <c r="AW194" s="37"/>
    </row>
    <row r="195" ht="15.75" customHeight="1">
      <c r="A195" s="39" t="s">
        <v>29</v>
      </c>
      <c r="B195" s="40">
        <f t="shared" si="6"/>
        <v>44755</v>
      </c>
      <c r="C195" s="41">
        <v>7.0</v>
      </c>
      <c r="D195" s="41" t="s">
        <v>35</v>
      </c>
      <c r="E195" s="43" t="s">
        <v>40</v>
      </c>
      <c r="F195" s="26"/>
      <c r="H195" s="27"/>
      <c r="J195" s="27"/>
      <c r="L195" s="27"/>
      <c r="N195" s="27"/>
      <c r="P195" s="27"/>
      <c r="Q195" s="29"/>
      <c r="R195" s="26">
        <v>0.0</v>
      </c>
      <c r="T195" s="27">
        <v>100.0</v>
      </c>
      <c r="V195" s="27">
        <v>75.0</v>
      </c>
      <c r="X195" s="27">
        <v>100.0</v>
      </c>
      <c r="Z195" s="27">
        <v>100.0</v>
      </c>
      <c r="AB195" s="27">
        <v>0.0</v>
      </c>
      <c r="AC195" s="29"/>
      <c r="AD195" s="26"/>
      <c r="AF195" s="27"/>
      <c r="AH195" s="27"/>
      <c r="AJ195" s="27"/>
      <c r="AL195" s="27"/>
      <c r="AN195" s="27"/>
      <c r="AO195" s="29"/>
      <c r="AP195" s="45">
        <f t="shared" si="1"/>
        <v>5075</v>
      </c>
      <c r="AQ195" s="41">
        <f t="shared" si="2"/>
        <v>375</v>
      </c>
      <c r="AR195" s="41">
        <f t="shared" si="3"/>
        <v>0</v>
      </c>
      <c r="AS195" s="41">
        <f t="shared" si="4"/>
        <v>375</v>
      </c>
      <c r="AT195" s="46">
        <f t="shared" si="5"/>
        <v>13.53333333</v>
      </c>
      <c r="AU195" s="37"/>
      <c r="AV195" s="37"/>
      <c r="AW195" s="37"/>
    </row>
    <row r="196" ht="15.75" customHeight="1">
      <c r="A196" s="39" t="s">
        <v>30</v>
      </c>
      <c r="B196" s="40">
        <f t="shared" si="6"/>
        <v>44756</v>
      </c>
      <c r="C196" s="41">
        <v>7.0</v>
      </c>
      <c r="D196" s="41" t="s">
        <v>35</v>
      </c>
      <c r="E196" s="43" t="s">
        <v>40</v>
      </c>
      <c r="F196" s="26"/>
      <c r="H196" s="27"/>
      <c r="J196" s="27"/>
      <c r="L196" s="27"/>
      <c r="N196" s="27"/>
      <c r="P196" s="27"/>
      <c r="Q196" s="29"/>
      <c r="R196" s="26">
        <v>0.0</v>
      </c>
      <c r="T196" s="27">
        <v>100.0</v>
      </c>
      <c r="V196" s="27">
        <v>75.0</v>
      </c>
      <c r="X196" s="27">
        <v>100.0</v>
      </c>
      <c r="Z196" s="27">
        <v>100.0</v>
      </c>
      <c r="AB196" s="27">
        <v>0.0</v>
      </c>
      <c r="AC196" s="29"/>
      <c r="AD196" s="26"/>
      <c r="AF196" s="27"/>
      <c r="AH196" s="27"/>
      <c r="AJ196" s="27"/>
      <c r="AL196" s="27"/>
      <c r="AN196" s="27"/>
      <c r="AO196" s="29"/>
      <c r="AP196" s="45">
        <f t="shared" si="1"/>
        <v>5075</v>
      </c>
      <c r="AQ196" s="41">
        <f t="shared" si="2"/>
        <v>375</v>
      </c>
      <c r="AR196" s="41">
        <f t="shared" si="3"/>
        <v>0</v>
      </c>
      <c r="AS196" s="41">
        <f t="shared" si="4"/>
        <v>375</v>
      </c>
      <c r="AT196" s="46">
        <f t="shared" si="5"/>
        <v>13.53333333</v>
      </c>
      <c r="AU196" s="37"/>
      <c r="AV196" s="37"/>
      <c r="AW196" s="37"/>
    </row>
    <row r="197" ht="15.75" customHeight="1">
      <c r="A197" s="39" t="s">
        <v>31</v>
      </c>
      <c r="B197" s="40">
        <f t="shared" si="6"/>
        <v>44757</v>
      </c>
      <c r="C197" s="41">
        <v>7.0</v>
      </c>
      <c r="D197" s="41" t="s">
        <v>35</v>
      </c>
      <c r="E197" s="43" t="s">
        <v>40</v>
      </c>
      <c r="F197" s="26"/>
      <c r="H197" s="27"/>
      <c r="J197" s="27"/>
      <c r="L197" s="27"/>
      <c r="N197" s="27"/>
      <c r="P197" s="27"/>
      <c r="Q197" s="29"/>
      <c r="R197" s="26">
        <v>0.0</v>
      </c>
      <c r="T197" s="27">
        <v>100.0</v>
      </c>
      <c r="V197" s="27">
        <v>75.0</v>
      </c>
      <c r="X197" s="27">
        <v>100.0</v>
      </c>
      <c r="Z197" s="27">
        <v>100.0</v>
      </c>
      <c r="AB197" s="27">
        <v>0.0</v>
      </c>
      <c r="AC197" s="29"/>
      <c r="AD197" s="26"/>
      <c r="AF197" s="27"/>
      <c r="AH197" s="27"/>
      <c r="AJ197" s="27"/>
      <c r="AL197" s="27"/>
      <c r="AN197" s="27"/>
      <c r="AO197" s="29"/>
      <c r="AP197" s="45">
        <f t="shared" si="1"/>
        <v>5075</v>
      </c>
      <c r="AQ197" s="41">
        <f t="shared" si="2"/>
        <v>375</v>
      </c>
      <c r="AR197" s="41">
        <f t="shared" si="3"/>
        <v>0</v>
      </c>
      <c r="AS197" s="41">
        <f t="shared" si="4"/>
        <v>375</v>
      </c>
      <c r="AT197" s="46">
        <f t="shared" si="5"/>
        <v>13.53333333</v>
      </c>
      <c r="AU197" s="37"/>
      <c r="AV197" s="37"/>
      <c r="AW197" s="37"/>
    </row>
    <row r="198" ht="15.75" customHeight="1">
      <c r="A198" s="49" t="s">
        <v>32</v>
      </c>
      <c r="B198" s="50">
        <f t="shared" si="6"/>
        <v>44758</v>
      </c>
      <c r="C198" s="51">
        <v>7.0</v>
      </c>
      <c r="D198" s="51" t="s">
        <v>35</v>
      </c>
      <c r="E198" s="53" t="s">
        <v>40</v>
      </c>
      <c r="F198" s="54"/>
      <c r="G198" s="55"/>
      <c r="H198" s="56"/>
      <c r="I198" s="55"/>
      <c r="J198" s="56"/>
      <c r="K198" s="55"/>
      <c r="L198" s="56"/>
      <c r="M198" s="55"/>
      <c r="N198" s="56"/>
      <c r="O198" s="55"/>
      <c r="P198" s="56"/>
      <c r="Q198" s="58"/>
      <c r="R198" s="54">
        <v>0.0</v>
      </c>
      <c r="S198" s="55"/>
      <c r="T198" s="56">
        <v>0.0</v>
      </c>
      <c r="U198" s="55"/>
      <c r="V198" s="56">
        <v>0.0</v>
      </c>
      <c r="W198" s="55"/>
      <c r="X198" s="56">
        <v>0.0</v>
      </c>
      <c r="Y198" s="55"/>
      <c r="Z198" s="56">
        <v>0.0</v>
      </c>
      <c r="AA198" s="55"/>
      <c r="AB198" s="56">
        <v>0.0</v>
      </c>
      <c r="AC198" s="58"/>
      <c r="AD198" s="54"/>
      <c r="AE198" s="55"/>
      <c r="AF198" s="56"/>
      <c r="AG198" s="55"/>
      <c r="AH198" s="56"/>
      <c r="AI198" s="55"/>
      <c r="AJ198" s="56"/>
      <c r="AK198" s="55"/>
      <c r="AL198" s="56"/>
      <c r="AM198" s="55"/>
      <c r="AN198" s="56"/>
      <c r="AO198" s="58"/>
      <c r="AP198" s="60">
        <f t="shared" si="1"/>
        <v>0</v>
      </c>
      <c r="AQ198" s="51">
        <f t="shared" si="2"/>
        <v>0</v>
      </c>
      <c r="AR198" s="51">
        <f t="shared" si="3"/>
        <v>0</v>
      </c>
      <c r="AS198" s="51">
        <f t="shared" si="4"/>
        <v>0</v>
      </c>
      <c r="AT198" s="61" t="str">
        <f t="shared" si="5"/>
        <v/>
      </c>
      <c r="AU198" s="37"/>
      <c r="AV198" s="37"/>
      <c r="AW198" s="37"/>
    </row>
    <row r="199" ht="15.75" customHeight="1">
      <c r="A199" s="21" t="s">
        <v>24</v>
      </c>
      <c r="B199" s="62">
        <f t="shared" si="6"/>
        <v>44759</v>
      </c>
      <c r="C199" s="23">
        <v>8.0</v>
      </c>
      <c r="D199" s="23" t="s">
        <v>25</v>
      </c>
      <c r="E199" s="63" t="s">
        <v>40</v>
      </c>
      <c r="F199" s="26"/>
      <c r="H199" s="27"/>
      <c r="J199" s="27"/>
      <c r="L199" s="27"/>
      <c r="N199" s="27"/>
      <c r="P199" s="27"/>
      <c r="Q199" s="29"/>
      <c r="R199" s="26">
        <v>0.0</v>
      </c>
      <c r="T199" s="27">
        <v>100.0</v>
      </c>
      <c r="V199" s="27">
        <v>75.0</v>
      </c>
      <c r="X199" s="27">
        <v>100.0</v>
      </c>
      <c r="Z199" s="27">
        <v>100.0</v>
      </c>
      <c r="AB199" s="27">
        <v>0.0</v>
      </c>
      <c r="AC199" s="29"/>
      <c r="AD199" s="26"/>
      <c r="AF199" s="27"/>
      <c r="AH199" s="27"/>
      <c r="AJ199" s="27"/>
      <c r="AL199" s="27"/>
      <c r="AN199" s="27"/>
      <c r="AO199" s="29"/>
      <c r="AP199" s="35">
        <f t="shared" si="1"/>
        <v>5075</v>
      </c>
      <c r="AQ199" s="23">
        <f t="shared" si="2"/>
        <v>375</v>
      </c>
      <c r="AR199" s="23">
        <f t="shared" si="3"/>
        <v>0</v>
      </c>
      <c r="AS199" s="23">
        <f t="shared" si="4"/>
        <v>375</v>
      </c>
      <c r="AT199" s="36">
        <f t="shared" si="5"/>
        <v>13.53333333</v>
      </c>
      <c r="AU199" s="37"/>
      <c r="AV199" s="37"/>
      <c r="AW199" s="37"/>
    </row>
    <row r="200" ht="15.75" customHeight="1">
      <c r="A200" s="39" t="s">
        <v>27</v>
      </c>
      <c r="B200" s="40">
        <f t="shared" si="6"/>
        <v>44760</v>
      </c>
      <c r="C200" s="41">
        <v>8.0</v>
      </c>
      <c r="D200" s="41" t="s">
        <v>25</v>
      </c>
      <c r="E200" s="43" t="s">
        <v>40</v>
      </c>
      <c r="F200" s="26"/>
      <c r="H200" s="27"/>
      <c r="J200" s="27"/>
      <c r="L200" s="27"/>
      <c r="N200" s="27"/>
      <c r="P200" s="27"/>
      <c r="Q200" s="29"/>
      <c r="R200" s="26">
        <v>0.0</v>
      </c>
      <c r="T200" s="27">
        <v>100.0</v>
      </c>
      <c r="V200" s="27">
        <v>75.0</v>
      </c>
      <c r="X200" s="27">
        <v>100.0</v>
      </c>
      <c r="Z200" s="27">
        <v>100.0</v>
      </c>
      <c r="AB200" s="27">
        <v>0.0</v>
      </c>
      <c r="AC200" s="29"/>
      <c r="AD200" s="26"/>
      <c r="AF200" s="27"/>
      <c r="AH200" s="27"/>
      <c r="AJ200" s="27"/>
      <c r="AL200" s="27"/>
      <c r="AN200" s="27"/>
      <c r="AO200" s="29"/>
      <c r="AP200" s="45">
        <f t="shared" si="1"/>
        <v>5075</v>
      </c>
      <c r="AQ200" s="41">
        <f t="shared" si="2"/>
        <v>375</v>
      </c>
      <c r="AR200" s="41">
        <f t="shared" si="3"/>
        <v>0</v>
      </c>
      <c r="AS200" s="41">
        <f t="shared" si="4"/>
        <v>375</v>
      </c>
      <c r="AT200" s="46">
        <f t="shared" si="5"/>
        <v>13.53333333</v>
      </c>
      <c r="AU200" s="37"/>
      <c r="AV200" s="37"/>
      <c r="AW200" s="37"/>
    </row>
    <row r="201" ht="15.75" customHeight="1">
      <c r="A201" s="39" t="s">
        <v>28</v>
      </c>
      <c r="B201" s="40">
        <f t="shared" si="6"/>
        <v>44761</v>
      </c>
      <c r="C201" s="41">
        <v>8.0</v>
      </c>
      <c r="D201" s="41" t="s">
        <v>25</v>
      </c>
      <c r="E201" s="43" t="s">
        <v>40</v>
      </c>
      <c r="F201" s="26"/>
      <c r="H201" s="27"/>
      <c r="J201" s="27"/>
      <c r="L201" s="27"/>
      <c r="N201" s="27"/>
      <c r="P201" s="27"/>
      <c r="Q201" s="29"/>
      <c r="R201" s="26">
        <v>0.0</v>
      </c>
      <c r="T201" s="27">
        <v>100.0</v>
      </c>
      <c r="V201" s="27">
        <v>75.0</v>
      </c>
      <c r="X201" s="27">
        <v>100.0</v>
      </c>
      <c r="Z201" s="27">
        <v>100.0</v>
      </c>
      <c r="AB201" s="27">
        <v>0.0</v>
      </c>
      <c r="AC201" s="29"/>
      <c r="AD201" s="26"/>
      <c r="AF201" s="27"/>
      <c r="AH201" s="27"/>
      <c r="AJ201" s="27"/>
      <c r="AL201" s="27"/>
      <c r="AN201" s="27"/>
      <c r="AO201" s="29"/>
      <c r="AP201" s="45">
        <f t="shared" si="1"/>
        <v>5075</v>
      </c>
      <c r="AQ201" s="41">
        <f t="shared" si="2"/>
        <v>375</v>
      </c>
      <c r="AR201" s="41">
        <f t="shared" si="3"/>
        <v>0</v>
      </c>
      <c r="AS201" s="41">
        <f t="shared" si="4"/>
        <v>375</v>
      </c>
      <c r="AT201" s="46">
        <f t="shared" si="5"/>
        <v>13.53333333</v>
      </c>
      <c r="AU201" s="37"/>
      <c r="AV201" s="37"/>
      <c r="AW201" s="37"/>
    </row>
    <row r="202" ht="15.75" customHeight="1">
      <c r="A202" s="39" t="s">
        <v>29</v>
      </c>
      <c r="B202" s="40">
        <f t="shared" si="6"/>
        <v>44762</v>
      </c>
      <c r="C202" s="41">
        <v>8.0</v>
      </c>
      <c r="D202" s="41" t="s">
        <v>25</v>
      </c>
      <c r="E202" s="43" t="s">
        <v>40</v>
      </c>
      <c r="F202" s="26"/>
      <c r="H202" s="27"/>
      <c r="J202" s="27"/>
      <c r="L202" s="27"/>
      <c r="N202" s="27"/>
      <c r="P202" s="27"/>
      <c r="Q202" s="29"/>
      <c r="R202" s="26">
        <v>0.0</v>
      </c>
      <c r="T202" s="27">
        <v>100.0</v>
      </c>
      <c r="V202" s="27">
        <v>75.0</v>
      </c>
      <c r="X202" s="27">
        <v>100.0</v>
      </c>
      <c r="Z202" s="27">
        <v>100.0</v>
      </c>
      <c r="AB202" s="27">
        <v>0.0</v>
      </c>
      <c r="AC202" s="29"/>
      <c r="AD202" s="26"/>
      <c r="AF202" s="27"/>
      <c r="AH202" s="27"/>
      <c r="AJ202" s="27"/>
      <c r="AL202" s="27"/>
      <c r="AN202" s="27"/>
      <c r="AO202" s="29"/>
      <c r="AP202" s="45">
        <f t="shared" si="1"/>
        <v>5075</v>
      </c>
      <c r="AQ202" s="41">
        <f t="shared" si="2"/>
        <v>375</v>
      </c>
      <c r="AR202" s="41">
        <f t="shared" si="3"/>
        <v>0</v>
      </c>
      <c r="AS202" s="41">
        <f t="shared" si="4"/>
        <v>375</v>
      </c>
      <c r="AT202" s="46">
        <f t="shared" si="5"/>
        <v>13.53333333</v>
      </c>
      <c r="AU202" s="37"/>
      <c r="AV202" s="37"/>
      <c r="AW202" s="37"/>
    </row>
    <row r="203" ht="15.75" customHeight="1">
      <c r="A203" s="39" t="s">
        <v>30</v>
      </c>
      <c r="B203" s="40">
        <f t="shared" si="6"/>
        <v>44763</v>
      </c>
      <c r="C203" s="41">
        <v>8.0</v>
      </c>
      <c r="D203" s="41" t="s">
        <v>25</v>
      </c>
      <c r="E203" s="43" t="s">
        <v>40</v>
      </c>
      <c r="F203" s="26"/>
      <c r="H203" s="27"/>
      <c r="J203" s="27"/>
      <c r="L203" s="27"/>
      <c r="N203" s="27"/>
      <c r="P203" s="27"/>
      <c r="Q203" s="29"/>
      <c r="R203" s="26">
        <v>0.0</v>
      </c>
      <c r="T203" s="27">
        <v>100.0</v>
      </c>
      <c r="V203" s="27">
        <v>75.0</v>
      </c>
      <c r="X203" s="27">
        <v>100.0</v>
      </c>
      <c r="Z203" s="27">
        <v>100.0</v>
      </c>
      <c r="AB203" s="27">
        <v>0.0</v>
      </c>
      <c r="AC203" s="29"/>
      <c r="AD203" s="26"/>
      <c r="AF203" s="27"/>
      <c r="AH203" s="27"/>
      <c r="AJ203" s="27"/>
      <c r="AL203" s="27"/>
      <c r="AN203" s="27"/>
      <c r="AO203" s="29"/>
      <c r="AP203" s="45">
        <f t="shared" si="1"/>
        <v>5075</v>
      </c>
      <c r="AQ203" s="41">
        <f t="shared" si="2"/>
        <v>375</v>
      </c>
      <c r="AR203" s="41">
        <f t="shared" si="3"/>
        <v>0</v>
      </c>
      <c r="AS203" s="41">
        <f t="shared" si="4"/>
        <v>375</v>
      </c>
      <c r="AT203" s="46">
        <f t="shared" si="5"/>
        <v>13.53333333</v>
      </c>
      <c r="AU203" s="37"/>
      <c r="AV203" s="37"/>
      <c r="AW203" s="37"/>
    </row>
    <row r="204" ht="15.75" customHeight="1">
      <c r="A204" s="39" t="s">
        <v>31</v>
      </c>
      <c r="B204" s="40">
        <f t="shared" si="6"/>
        <v>44764</v>
      </c>
      <c r="C204" s="41">
        <v>8.0</v>
      </c>
      <c r="D204" s="41" t="s">
        <v>25</v>
      </c>
      <c r="E204" s="43" t="s">
        <v>40</v>
      </c>
      <c r="F204" s="26"/>
      <c r="H204" s="27"/>
      <c r="J204" s="27"/>
      <c r="L204" s="27"/>
      <c r="N204" s="27"/>
      <c r="P204" s="27"/>
      <c r="Q204" s="29"/>
      <c r="R204" s="26">
        <v>0.0</v>
      </c>
      <c r="T204" s="27">
        <v>100.0</v>
      </c>
      <c r="V204" s="27">
        <v>75.0</v>
      </c>
      <c r="X204" s="27">
        <v>100.0</v>
      </c>
      <c r="Z204" s="27">
        <v>100.0</v>
      </c>
      <c r="AB204" s="27">
        <v>0.0</v>
      </c>
      <c r="AC204" s="29"/>
      <c r="AD204" s="26"/>
      <c r="AF204" s="27"/>
      <c r="AH204" s="27"/>
      <c r="AJ204" s="27"/>
      <c r="AL204" s="27"/>
      <c r="AN204" s="27"/>
      <c r="AO204" s="29"/>
      <c r="AP204" s="45">
        <f t="shared" si="1"/>
        <v>5075</v>
      </c>
      <c r="AQ204" s="41">
        <f t="shared" si="2"/>
        <v>375</v>
      </c>
      <c r="AR204" s="41">
        <f t="shared" si="3"/>
        <v>0</v>
      </c>
      <c r="AS204" s="41">
        <f t="shared" si="4"/>
        <v>375</v>
      </c>
      <c r="AT204" s="46">
        <f t="shared" si="5"/>
        <v>13.53333333</v>
      </c>
      <c r="AU204" s="37"/>
      <c r="AV204" s="37"/>
      <c r="AW204" s="37"/>
    </row>
    <row r="205" ht="15.75" customHeight="1">
      <c r="A205" s="49" t="s">
        <v>32</v>
      </c>
      <c r="B205" s="50">
        <f t="shared" si="6"/>
        <v>44765</v>
      </c>
      <c r="C205" s="51">
        <v>8.0</v>
      </c>
      <c r="D205" s="51" t="s">
        <v>25</v>
      </c>
      <c r="E205" s="53" t="s">
        <v>40</v>
      </c>
      <c r="F205" s="54"/>
      <c r="G205" s="55"/>
      <c r="H205" s="56"/>
      <c r="I205" s="55"/>
      <c r="J205" s="56"/>
      <c r="K205" s="55"/>
      <c r="L205" s="56"/>
      <c r="M205" s="55"/>
      <c r="N205" s="56"/>
      <c r="O205" s="55"/>
      <c r="P205" s="56"/>
      <c r="Q205" s="58"/>
      <c r="R205" s="54">
        <v>0.0</v>
      </c>
      <c r="S205" s="55"/>
      <c r="T205" s="56">
        <v>0.0</v>
      </c>
      <c r="U205" s="55"/>
      <c r="V205" s="56">
        <v>0.0</v>
      </c>
      <c r="W205" s="55"/>
      <c r="X205" s="56">
        <v>0.0</v>
      </c>
      <c r="Y205" s="55"/>
      <c r="Z205" s="56">
        <v>0.0</v>
      </c>
      <c r="AA205" s="55"/>
      <c r="AB205" s="56">
        <v>0.0</v>
      </c>
      <c r="AC205" s="58"/>
      <c r="AD205" s="54"/>
      <c r="AE205" s="55"/>
      <c r="AF205" s="56"/>
      <c r="AG205" s="55"/>
      <c r="AH205" s="56"/>
      <c r="AI205" s="55"/>
      <c r="AJ205" s="56"/>
      <c r="AK205" s="55"/>
      <c r="AL205" s="56"/>
      <c r="AM205" s="55"/>
      <c r="AN205" s="56"/>
      <c r="AO205" s="58"/>
      <c r="AP205" s="60">
        <f t="shared" si="1"/>
        <v>0</v>
      </c>
      <c r="AQ205" s="51">
        <f t="shared" si="2"/>
        <v>0</v>
      </c>
      <c r="AR205" s="51">
        <f t="shared" si="3"/>
        <v>0</v>
      </c>
      <c r="AS205" s="51">
        <f t="shared" si="4"/>
        <v>0</v>
      </c>
      <c r="AT205" s="61" t="str">
        <f t="shared" si="5"/>
        <v/>
      </c>
      <c r="AU205" s="37"/>
      <c r="AV205" s="37"/>
      <c r="AW205" s="37"/>
    </row>
    <row r="206" ht="15.75" customHeight="1">
      <c r="A206" s="21" t="s">
        <v>24</v>
      </c>
      <c r="B206" s="62">
        <f t="shared" si="6"/>
        <v>44766</v>
      </c>
      <c r="C206" s="23">
        <v>8.0</v>
      </c>
      <c r="D206" s="23" t="s">
        <v>33</v>
      </c>
      <c r="E206" s="63" t="s">
        <v>40</v>
      </c>
      <c r="F206" s="26"/>
      <c r="H206" s="27"/>
      <c r="J206" s="27"/>
      <c r="L206" s="27"/>
      <c r="N206" s="27"/>
      <c r="P206" s="27"/>
      <c r="Q206" s="29"/>
      <c r="R206" s="26">
        <v>0.0</v>
      </c>
      <c r="T206" s="27">
        <v>100.0</v>
      </c>
      <c r="V206" s="27">
        <v>75.0</v>
      </c>
      <c r="X206" s="27">
        <v>100.0</v>
      </c>
      <c r="Z206" s="27">
        <v>100.0</v>
      </c>
      <c r="AB206" s="27">
        <v>0.0</v>
      </c>
      <c r="AC206" s="29"/>
      <c r="AD206" s="26"/>
      <c r="AF206" s="27"/>
      <c r="AH206" s="27"/>
      <c r="AJ206" s="27"/>
      <c r="AL206" s="27"/>
      <c r="AN206" s="27"/>
      <c r="AO206" s="29"/>
      <c r="AP206" s="35">
        <f t="shared" si="1"/>
        <v>5075</v>
      </c>
      <c r="AQ206" s="23">
        <f t="shared" si="2"/>
        <v>375</v>
      </c>
      <c r="AR206" s="23">
        <f t="shared" si="3"/>
        <v>0</v>
      </c>
      <c r="AS206" s="23">
        <f t="shared" si="4"/>
        <v>375</v>
      </c>
      <c r="AT206" s="36">
        <f t="shared" si="5"/>
        <v>13.53333333</v>
      </c>
      <c r="AU206" s="37"/>
      <c r="AV206" s="37"/>
      <c r="AW206" s="37"/>
    </row>
    <row r="207" ht="15.75" customHeight="1">
      <c r="A207" s="39" t="s">
        <v>27</v>
      </c>
      <c r="B207" s="40">
        <f t="shared" si="6"/>
        <v>44767</v>
      </c>
      <c r="C207" s="41">
        <v>8.0</v>
      </c>
      <c r="D207" s="41" t="s">
        <v>33</v>
      </c>
      <c r="E207" s="43" t="s">
        <v>40</v>
      </c>
      <c r="F207" s="26"/>
      <c r="H207" s="27"/>
      <c r="J207" s="27"/>
      <c r="L207" s="27"/>
      <c r="N207" s="27"/>
      <c r="P207" s="27"/>
      <c r="Q207" s="29"/>
      <c r="R207" s="26">
        <v>0.0</v>
      </c>
      <c r="T207" s="27">
        <v>100.0</v>
      </c>
      <c r="V207" s="27">
        <v>75.0</v>
      </c>
      <c r="X207" s="27">
        <v>100.0</v>
      </c>
      <c r="Z207" s="27">
        <v>100.0</v>
      </c>
      <c r="AB207" s="27">
        <v>0.0</v>
      </c>
      <c r="AC207" s="29"/>
      <c r="AD207" s="26"/>
      <c r="AF207" s="27"/>
      <c r="AH207" s="27"/>
      <c r="AJ207" s="27"/>
      <c r="AL207" s="27"/>
      <c r="AN207" s="27"/>
      <c r="AO207" s="29"/>
      <c r="AP207" s="45">
        <f t="shared" si="1"/>
        <v>5075</v>
      </c>
      <c r="AQ207" s="41">
        <f t="shared" si="2"/>
        <v>375</v>
      </c>
      <c r="AR207" s="41">
        <f t="shared" si="3"/>
        <v>0</v>
      </c>
      <c r="AS207" s="41">
        <f t="shared" si="4"/>
        <v>375</v>
      </c>
      <c r="AT207" s="46">
        <f t="shared" si="5"/>
        <v>13.53333333</v>
      </c>
      <c r="AU207" s="37"/>
      <c r="AV207" s="37"/>
      <c r="AW207" s="37"/>
    </row>
    <row r="208" ht="15.75" customHeight="1">
      <c r="A208" s="39" t="s">
        <v>28</v>
      </c>
      <c r="B208" s="40">
        <f t="shared" si="6"/>
        <v>44768</v>
      </c>
      <c r="C208" s="41">
        <v>8.0</v>
      </c>
      <c r="D208" s="41" t="s">
        <v>33</v>
      </c>
      <c r="E208" s="43" t="s">
        <v>40</v>
      </c>
      <c r="F208" s="26"/>
      <c r="H208" s="27"/>
      <c r="J208" s="27"/>
      <c r="L208" s="27"/>
      <c r="N208" s="27"/>
      <c r="P208" s="27"/>
      <c r="Q208" s="29"/>
      <c r="R208" s="26">
        <v>0.0</v>
      </c>
      <c r="T208" s="27">
        <v>100.0</v>
      </c>
      <c r="V208" s="27">
        <v>75.0</v>
      </c>
      <c r="X208" s="27">
        <v>100.0</v>
      </c>
      <c r="Z208" s="27">
        <v>100.0</v>
      </c>
      <c r="AB208" s="27">
        <v>0.0</v>
      </c>
      <c r="AC208" s="29"/>
      <c r="AD208" s="26"/>
      <c r="AF208" s="27"/>
      <c r="AH208" s="27"/>
      <c r="AJ208" s="27"/>
      <c r="AL208" s="27"/>
      <c r="AN208" s="27"/>
      <c r="AO208" s="29"/>
      <c r="AP208" s="45">
        <f t="shared" si="1"/>
        <v>5075</v>
      </c>
      <c r="AQ208" s="41">
        <f t="shared" si="2"/>
        <v>375</v>
      </c>
      <c r="AR208" s="41">
        <f t="shared" si="3"/>
        <v>0</v>
      </c>
      <c r="AS208" s="41">
        <f t="shared" si="4"/>
        <v>375</v>
      </c>
      <c r="AT208" s="46">
        <f t="shared" si="5"/>
        <v>13.53333333</v>
      </c>
      <c r="AU208" s="37"/>
      <c r="AV208" s="37"/>
      <c r="AW208" s="37"/>
    </row>
    <row r="209" ht="15.75" customHeight="1">
      <c r="A209" s="39" t="s">
        <v>29</v>
      </c>
      <c r="B209" s="40">
        <f t="shared" si="6"/>
        <v>44769</v>
      </c>
      <c r="C209" s="41">
        <v>8.0</v>
      </c>
      <c r="D209" s="41" t="s">
        <v>33</v>
      </c>
      <c r="E209" s="43" t="s">
        <v>40</v>
      </c>
      <c r="F209" s="26"/>
      <c r="H209" s="27"/>
      <c r="J209" s="27"/>
      <c r="L209" s="27"/>
      <c r="N209" s="27"/>
      <c r="P209" s="27"/>
      <c r="Q209" s="29"/>
      <c r="R209" s="26">
        <v>0.0</v>
      </c>
      <c r="T209" s="27">
        <v>100.0</v>
      </c>
      <c r="V209" s="27">
        <v>75.0</v>
      </c>
      <c r="X209" s="27">
        <v>100.0</v>
      </c>
      <c r="Z209" s="27">
        <v>100.0</v>
      </c>
      <c r="AB209" s="27">
        <v>0.0</v>
      </c>
      <c r="AC209" s="29"/>
      <c r="AD209" s="26"/>
      <c r="AF209" s="27"/>
      <c r="AH209" s="27"/>
      <c r="AJ209" s="27"/>
      <c r="AL209" s="27"/>
      <c r="AN209" s="27"/>
      <c r="AO209" s="29"/>
      <c r="AP209" s="45">
        <f t="shared" si="1"/>
        <v>5075</v>
      </c>
      <c r="AQ209" s="41">
        <f t="shared" si="2"/>
        <v>375</v>
      </c>
      <c r="AR209" s="41">
        <f t="shared" si="3"/>
        <v>0</v>
      </c>
      <c r="AS209" s="41">
        <f t="shared" si="4"/>
        <v>375</v>
      </c>
      <c r="AT209" s="46">
        <f t="shared" si="5"/>
        <v>13.53333333</v>
      </c>
      <c r="AU209" s="37"/>
      <c r="AV209" s="37"/>
      <c r="AW209" s="37"/>
    </row>
    <row r="210" ht="15.75" customHeight="1">
      <c r="A210" s="39" t="s">
        <v>30</v>
      </c>
      <c r="B210" s="40">
        <f t="shared" si="6"/>
        <v>44770</v>
      </c>
      <c r="C210" s="41">
        <v>8.0</v>
      </c>
      <c r="D210" s="41" t="s">
        <v>33</v>
      </c>
      <c r="E210" s="43" t="s">
        <v>40</v>
      </c>
      <c r="F210" s="26"/>
      <c r="H210" s="27"/>
      <c r="J210" s="27"/>
      <c r="L210" s="27"/>
      <c r="N210" s="27"/>
      <c r="P210" s="27"/>
      <c r="Q210" s="29"/>
      <c r="R210" s="26">
        <v>0.0</v>
      </c>
      <c r="T210" s="27">
        <v>100.0</v>
      </c>
      <c r="V210" s="27">
        <v>75.0</v>
      </c>
      <c r="X210" s="27">
        <v>100.0</v>
      </c>
      <c r="Z210" s="27">
        <v>100.0</v>
      </c>
      <c r="AB210" s="27">
        <v>0.0</v>
      </c>
      <c r="AC210" s="29"/>
      <c r="AD210" s="26"/>
      <c r="AF210" s="27"/>
      <c r="AH210" s="27"/>
      <c r="AJ210" s="27"/>
      <c r="AL210" s="27"/>
      <c r="AN210" s="27"/>
      <c r="AO210" s="29"/>
      <c r="AP210" s="45">
        <f t="shared" si="1"/>
        <v>5075</v>
      </c>
      <c r="AQ210" s="41">
        <f t="shared" si="2"/>
        <v>375</v>
      </c>
      <c r="AR210" s="41">
        <f t="shared" si="3"/>
        <v>0</v>
      </c>
      <c r="AS210" s="41">
        <f t="shared" si="4"/>
        <v>375</v>
      </c>
      <c r="AT210" s="46">
        <f t="shared" si="5"/>
        <v>13.53333333</v>
      </c>
      <c r="AU210" s="37"/>
      <c r="AV210" s="37"/>
      <c r="AW210" s="37"/>
    </row>
    <row r="211" ht="15.75" customHeight="1">
      <c r="A211" s="39" t="s">
        <v>31</v>
      </c>
      <c r="B211" s="40">
        <f t="shared" si="6"/>
        <v>44771</v>
      </c>
      <c r="C211" s="41">
        <v>8.0</v>
      </c>
      <c r="D211" s="41" t="s">
        <v>33</v>
      </c>
      <c r="E211" s="43" t="s">
        <v>40</v>
      </c>
      <c r="F211" s="26"/>
      <c r="H211" s="27"/>
      <c r="J211" s="27"/>
      <c r="L211" s="27"/>
      <c r="N211" s="27"/>
      <c r="P211" s="27"/>
      <c r="Q211" s="29"/>
      <c r="R211" s="26">
        <v>0.0</v>
      </c>
      <c r="T211" s="27">
        <v>100.0</v>
      </c>
      <c r="V211" s="27">
        <v>75.0</v>
      </c>
      <c r="X211" s="27">
        <v>100.0</v>
      </c>
      <c r="Z211" s="27">
        <v>100.0</v>
      </c>
      <c r="AB211" s="27">
        <v>0.0</v>
      </c>
      <c r="AC211" s="29"/>
      <c r="AD211" s="26"/>
      <c r="AF211" s="27"/>
      <c r="AH211" s="27"/>
      <c r="AJ211" s="27"/>
      <c r="AL211" s="27"/>
      <c r="AN211" s="27"/>
      <c r="AO211" s="29"/>
      <c r="AP211" s="45">
        <f t="shared" si="1"/>
        <v>5075</v>
      </c>
      <c r="AQ211" s="41">
        <f t="shared" si="2"/>
        <v>375</v>
      </c>
      <c r="AR211" s="41">
        <f t="shared" si="3"/>
        <v>0</v>
      </c>
      <c r="AS211" s="41">
        <f t="shared" si="4"/>
        <v>375</v>
      </c>
      <c r="AT211" s="46">
        <f t="shared" si="5"/>
        <v>13.53333333</v>
      </c>
      <c r="AU211" s="37"/>
      <c r="AV211" s="37"/>
      <c r="AW211" s="37"/>
    </row>
    <row r="212" ht="15.75" customHeight="1">
      <c r="A212" s="49" t="s">
        <v>32</v>
      </c>
      <c r="B212" s="50">
        <f t="shared" si="6"/>
        <v>44772</v>
      </c>
      <c r="C212" s="51">
        <v>8.0</v>
      </c>
      <c r="D212" s="51" t="s">
        <v>33</v>
      </c>
      <c r="E212" s="53" t="s">
        <v>40</v>
      </c>
      <c r="F212" s="54"/>
      <c r="G212" s="55"/>
      <c r="H212" s="56"/>
      <c r="I212" s="55"/>
      <c r="J212" s="56"/>
      <c r="K212" s="55"/>
      <c r="L212" s="56"/>
      <c r="M212" s="55"/>
      <c r="N212" s="56"/>
      <c r="O212" s="55"/>
      <c r="P212" s="56"/>
      <c r="Q212" s="58"/>
      <c r="R212" s="54">
        <v>0.0</v>
      </c>
      <c r="S212" s="55"/>
      <c r="T212" s="56">
        <v>0.0</v>
      </c>
      <c r="U212" s="55"/>
      <c r="V212" s="56">
        <v>0.0</v>
      </c>
      <c r="W212" s="55"/>
      <c r="X212" s="56">
        <v>0.0</v>
      </c>
      <c r="Y212" s="55"/>
      <c r="Z212" s="56">
        <v>0.0</v>
      </c>
      <c r="AA212" s="55"/>
      <c r="AB212" s="56">
        <v>0.0</v>
      </c>
      <c r="AC212" s="58"/>
      <c r="AD212" s="54"/>
      <c r="AE212" s="55"/>
      <c r="AF212" s="56"/>
      <c r="AG212" s="55"/>
      <c r="AH212" s="56"/>
      <c r="AI212" s="55"/>
      <c r="AJ212" s="56"/>
      <c r="AK212" s="55"/>
      <c r="AL212" s="56"/>
      <c r="AM212" s="55"/>
      <c r="AN212" s="56"/>
      <c r="AO212" s="58"/>
      <c r="AP212" s="60">
        <f t="shared" si="1"/>
        <v>0</v>
      </c>
      <c r="AQ212" s="51">
        <f t="shared" si="2"/>
        <v>0</v>
      </c>
      <c r="AR212" s="51">
        <f t="shared" si="3"/>
        <v>0</v>
      </c>
      <c r="AS212" s="51">
        <f t="shared" si="4"/>
        <v>0</v>
      </c>
      <c r="AT212" s="61" t="str">
        <f t="shared" si="5"/>
        <v/>
      </c>
      <c r="AU212" s="37"/>
      <c r="AV212" s="37"/>
      <c r="AW212" s="37"/>
    </row>
    <row r="213" ht="15.75" customHeight="1">
      <c r="A213" s="21" t="s">
        <v>24</v>
      </c>
      <c r="B213" s="62">
        <f t="shared" si="6"/>
        <v>44773</v>
      </c>
      <c r="C213" s="23">
        <v>8.0</v>
      </c>
      <c r="D213" s="23" t="s">
        <v>34</v>
      </c>
      <c r="E213" s="63" t="s">
        <v>40</v>
      </c>
      <c r="F213" s="26"/>
      <c r="H213" s="27"/>
      <c r="J213" s="27"/>
      <c r="L213" s="27"/>
      <c r="N213" s="27"/>
      <c r="P213" s="27"/>
      <c r="Q213" s="29"/>
      <c r="R213" s="26">
        <v>0.0</v>
      </c>
      <c r="T213" s="27">
        <v>100.0</v>
      </c>
      <c r="V213" s="27">
        <v>75.0</v>
      </c>
      <c r="X213" s="27">
        <v>100.0</v>
      </c>
      <c r="Z213" s="27">
        <v>100.0</v>
      </c>
      <c r="AB213" s="27">
        <v>0.0</v>
      </c>
      <c r="AC213" s="29"/>
      <c r="AD213" s="26"/>
      <c r="AF213" s="27"/>
      <c r="AH213" s="27"/>
      <c r="AJ213" s="27"/>
      <c r="AL213" s="27"/>
      <c r="AN213" s="27"/>
      <c r="AO213" s="29"/>
      <c r="AP213" s="35">
        <f t="shared" si="1"/>
        <v>5075</v>
      </c>
      <c r="AQ213" s="23">
        <f t="shared" si="2"/>
        <v>375</v>
      </c>
      <c r="AR213" s="23">
        <f t="shared" si="3"/>
        <v>0</v>
      </c>
      <c r="AS213" s="23">
        <f t="shared" si="4"/>
        <v>375</v>
      </c>
      <c r="AT213" s="36">
        <f t="shared" si="5"/>
        <v>13.53333333</v>
      </c>
      <c r="AU213" s="37"/>
      <c r="AV213" s="37"/>
      <c r="AW213" s="37"/>
    </row>
    <row r="214" ht="15.75" customHeight="1">
      <c r="A214" s="39" t="s">
        <v>27</v>
      </c>
      <c r="B214" s="40">
        <f t="shared" si="6"/>
        <v>44774</v>
      </c>
      <c r="C214" s="41">
        <v>8.0</v>
      </c>
      <c r="D214" s="41" t="s">
        <v>34</v>
      </c>
      <c r="E214" s="43" t="s">
        <v>40</v>
      </c>
      <c r="F214" s="26"/>
      <c r="H214" s="27"/>
      <c r="J214" s="27"/>
      <c r="L214" s="27"/>
      <c r="N214" s="27"/>
      <c r="P214" s="27"/>
      <c r="Q214" s="29"/>
      <c r="R214" s="26">
        <v>0.0</v>
      </c>
      <c r="T214" s="27">
        <v>100.0</v>
      </c>
      <c r="V214" s="27">
        <v>75.0</v>
      </c>
      <c r="X214" s="27">
        <v>100.0</v>
      </c>
      <c r="Z214" s="27">
        <v>100.0</v>
      </c>
      <c r="AB214" s="27">
        <v>0.0</v>
      </c>
      <c r="AC214" s="29"/>
      <c r="AD214" s="26"/>
      <c r="AF214" s="27"/>
      <c r="AH214" s="27"/>
      <c r="AJ214" s="27"/>
      <c r="AL214" s="27"/>
      <c r="AN214" s="27"/>
      <c r="AO214" s="29"/>
      <c r="AP214" s="45">
        <f t="shared" si="1"/>
        <v>5075</v>
      </c>
      <c r="AQ214" s="41">
        <f t="shared" si="2"/>
        <v>375</v>
      </c>
      <c r="AR214" s="41">
        <f t="shared" si="3"/>
        <v>0</v>
      </c>
      <c r="AS214" s="41">
        <f t="shared" si="4"/>
        <v>375</v>
      </c>
      <c r="AT214" s="46">
        <f t="shared" si="5"/>
        <v>13.53333333</v>
      </c>
      <c r="AU214" s="37"/>
      <c r="AV214" s="37"/>
      <c r="AW214" s="37"/>
    </row>
    <row r="215" ht="15.75" customHeight="1">
      <c r="A215" s="39" t="s">
        <v>28</v>
      </c>
      <c r="B215" s="40">
        <f t="shared" si="6"/>
        <v>44775</v>
      </c>
      <c r="C215" s="41">
        <v>8.0</v>
      </c>
      <c r="D215" s="41" t="s">
        <v>34</v>
      </c>
      <c r="E215" s="43" t="s">
        <v>40</v>
      </c>
      <c r="F215" s="26"/>
      <c r="H215" s="27"/>
      <c r="J215" s="27"/>
      <c r="L215" s="27"/>
      <c r="N215" s="27"/>
      <c r="P215" s="27"/>
      <c r="Q215" s="29"/>
      <c r="R215" s="26">
        <v>0.0</v>
      </c>
      <c r="T215" s="27">
        <v>100.0</v>
      </c>
      <c r="V215" s="27">
        <v>75.0</v>
      </c>
      <c r="X215" s="27">
        <v>100.0</v>
      </c>
      <c r="Z215" s="27">
        <v>100.0</v>
      </c>
      <c r="AB215" s="27">
        <v>0.0</v>
      </c>
      <c r="AC215" s="29"/>
      <c r="AD215" s="26"/>
      <c r="AF215" s="27"/>
      <c r="AH215" s="27"/>
      <c r="AJ215" s="27"/>
      <c r="AL215" s="27"/>
      <c r="AN215" s="27"/>
      <c r="AO215" s="29"/>
      <c r="AP215" s="45">
        <f t="shared" si="1"/>
        <v>5075</v>
      </c>
      <c r="AQ215" s="41">
        <f t="shared" si="2"/>
        <v>375</v>
      </c>
      <c r="AR215" s="41">
        <f t="shared" si="3"/>
        <v>0</v>
      </c>
      <c r="AS215" s="41">
        <f t="shared" si="4"/>
        <v>375</v>
      </c>
      <c r="AT215" s="46">
        <f t="shared" si="5"/>
        <v>13.53333333</v>
      </c>
      <c r="AU215" s="37"/>
      <c r="AV215" s="37"/>
      <c r="AW215" s="37"/>
    </row>
    <row r="216" ht="15.75" customHeight="1">
      <c r="A216" s="39" t="s">
        <v>29</v>
      </c>
      <c r="B216" s="40">
        <f t="shared" si="6"/>
        <v>44776</v>
      </c>
      <c r="C216" s="41">
        <v>8.0</v>
      </c>
      <c r="D216" s="41" t="s">
        <v>34</v>
      </c>
      <c r="E216" s="43" t="s">
        <v>40</v>
      </c>
      <c r="F216" s="26"/>
      <c r="H216" s="27"/>
      <c r="J216" s="27"/>
      <c r="L216" s="27"/>
      <c r="N216" s="27"/>
      <c r="P216" s="27"/>
      <c r="Q216" s="29"/>
      <c r="R216" s="26">
        <v>0.0</v>
      </c>
      <c r="T216" s="27">
        <v>100.0</v>
      </c>
      <c r="V216" s="27">
        <v>75.0</v>
      </c>
      <c r="X216" s="27">
        <v>100.0</v>
      </c>
      <c r="Z216" s="27">
        <v>100.0</v>
      </c>
      <c r="AB216" s="27">
        <v>0.0</v>
      </c>
      <c r="AC216" s="29"/>
      <c r="AD216" s="26"/>
      <c r="AF216" s="27"/>
      <c r="AH216" s="27"/>
      <c r="AJ216" s="27"/>
      <c r="AL216" s="27"/>
      <c r="AN216" s="27"/>
      <c r="AO216" s="29"/>
      <c r="AP216" s="45">
        <f t="shared" si="1"/>
        <v>5075</v>
      </c>
      <c r="AQ216" s="41">
        <f t="shared" si="2"/>
        <v>375</v>
      </c>
      <c r="AR216" s="41">
        <f t="shared" si="3"/>
        <v>0</v>
      </c>
      <c r="AS216" s="41">
        <f t="shared" si="4"/>
        <v>375</v>
      </c>
      <c r="AT216" s="46">
        <f t="shared" si="5"/>
        <v>13.53333333</v>
      </c>
      <c r="AU216" s="37"/>
      <c r="AV216" s="37"/>
      <c r="AW216" s="37"/>
    </row>
    <row r="217" ht="15.75" customHeight="1">
      <c r="A217" s="39" t="s">
        <v>30</v>
      </c>
      <c r="B217" s="40">
        <f t="shared" si="6"/>
        <v>44777</v>
      </c>
      <c r="C217" s="41">
        <v>8.0</v>
      </c>
      <c r="D217" s="41" t="s">
        <v>34</v>
      </c>
      <c r="E217" s="43" t="s">
        <v>40</v>
      </c>
      <c r="F217" s="26"/>
      <c r="H217" s="27"/>
      <c r="J217" s="27"/>
      <c r="L217" s="27"/>
      <c r="N217" s="27"/>
      <c r="P217" s="27"/>
      <c r="Q217" s="29"/>
      <c r="R217" s="26">
        <v>0.0</v>
      </c>
      <c r="T217" s="27">
        <v>100.0</v>
      </c>
      <c r="V217" s="27">
        <v>75.0</v>
      </c>
      <c r="X217" s="27">
        <v>100.0</v>
      </c>
      <c r="Z217" s="27">
        <v>100.0</v>
      </c>
      <c r="AB217" s="27">
        <v>0.0</v>
      </c>
      <c r="AC217" s="29"/>
      <c r="AD217" s="26"/>
      <c r="AF217" s="27"/>
      <c r="AH217" s="27"/>
      <c r="AJ217" s="27"/>
      <c r="AL217" s="27"/>
      <c r="AN217" s="27"/>
      <c r="AO217" s="29"/>
      <c r="AP217" s="45">
        <f t="shared" si="1"/>
        <v>5075</v>
      </c>
      <c r="AQ217" s="41">
        <f t="shared" si="2"/>
        <v>375</v>
      </c>
      <c r="AR217" s="41">
        <f t="shared" si="3"/>
        <v>0</v>
      </c>
      <c r="AS217" s="41">
        <f t="shared" si="4"/>
        <v>375</v>
      </c>
      <c r="AT217" s="46">
        <f t="shared" si="5"/>
        <v>13.53333333</v>
      </c>
      <c r="AU217" s="37"/>
      <c r="AV217" s="37"/>
      <c r="AW217" s="37"/>
    </row>
    <row r="218" ht="15.75" customHeight="1">
      <c r="A218" s="39" t="s">
        <v>31</v>
      </c>
      <c r="B218" s="40">
        <f t="shared" si="6"/>
        <v>44778</v>
      </c>
      <c r="C218" s="41">
        <v>8.0</v>
      </c>
      <c r="D218" s="41" t="s">
        <v>34</v>
      </c>
      <c r="E218" s="43" t="s">
        <v>40</v>
      </c>
      <c r="F218" s="26"/>
      <c r="H218" s="27"/>
      <c r="J218" s="27"/>
      <c r="L218" s="27"/>
      <c r="N218" s="27"/>
      <c r="P218" s="27"/>
      <c r="Q218" s="29"/>
      <c r="R218" s="26">
        <v>0.0</v>
      </c>
      <c r="T218" s="27">
        <v>100.0</v>
      </c>
      <c r="V218" s="27">
        <v>75.0</v>
      </c>
      <c r="X218" s="27">
        <v>100.0</v>
      </c>
      <c r="Z218" s="27">
        <v>100.0</v>
      </c>
      <c r="AB218" s="27">
        <v>0.0</v>
      </c>
      <c r="AC218" s="29"/>
      <c r="AD218" s="26"/>
      <c r="AF218" s="27"/>
      <c r="AH218" s="27"/>
      <c r="AJ218" s="27"/>
      <c r="AL218" s="27"/>
      <c r="AN218" s="27"/>
      <c r="AO218" s="29"/>
      <c r="AP218" s="45">
        <f t="shared" si="1"/>
        <v>5075</v>
      </c>
      <c r="AQ218" s="41">
        <f t="shared" si="2"/>
        <v>375</v>
      </c>
      <c r="AR218" s="41">
        <f t="shared" si="3"/>
        <v>0</v>
      </c>
      <c r="AS218" s="41">
        <f t="shared" si="4"/>
        <v>375</v>
      </c>
      <c r="AT218" s="46">
        <f t="shared" si="5"/>
        <v>13.53333333</v>
      </c>
      <c r="AU218" s="37"/>
      <c r="AV218" s="37"/>
      <c r="AW218" s="37"/>
    </row>
    <row r="219" ht="15.75" customHeight="1">
      <c r="A219" s="49" t="s">
        <v>32</v>
      </c>
      <c r="B219" s="50">
        <f t="shared" si="6"/>
        <v>44779</v>
      </c>
      <c r="C219" s="51">
        <v>8.0</v>
      </c>
      <c r="D219" s="51" t="s">
        <v>34</v>
      </c>
      <c r="E219" s="53" t="s">
        <v>40</v>
      </c>
      <c r="F219" s="54"/>
      <c r="G219" s="55"/>
      <c r="H219" s="56"/>
      <c r="I219" s="55"/>
      <c r="J219" s="56"/>
      <c r="K219" s="55"/>
      <c r="L219" s="56"/>
      <c r="M219" s="55"/>
      <c r="N219" s="56"/>
      <c r="O219" s="55"/>
      <c r="P219" s="56"/>
      <c r="Q219" s="58"/>
      <c r="R219" s="54">
        <v>0.0</v>
      </c>
      <c r="S219" s="55"/>
      <c r="T219" s="56">
        <v>0.0</v>
      </c>
      <c r="U219" s="55"/>
      <c r="V219" s="56">
        <v>0.0</v>
      </c>
      <c r="W219" s="55"/>
      <c r="X219" s="56">
        <v>0.0</v>
      </c>
      <c r="Y219" s="55"/>
      <c r="Z219" s="56">
        <v>0.0</v>
      </c>
      <c r="AA219" s="55"/>
      <c r="AB219" s="56">
        <v>0.0</v>
      </c>
      <c r="AC219" s="58"/>
      <c r="AD219" s="54"/>
      <c r="AE219" s="55"/>
      <c r="AF219" s="56"/>
      <c r="AG219" s="55"/>
      <c r="AH219" s="56"/>
      <c r="AI219" s="55"/>
      <c r="AJ219" s="56"/>
      <c r="AK219" s="55"/>
      <c r="AL219" s="56"/>
      <c r="AM219" s="55"/>
      <c r="AN219" s="56"/>
      <c r="AO219" s="58"/>
      <c r="AP219" s="60">
        <f t="shared" si="1"/>
        <v>0</v>
      </c>
      <c r="AQ219" s="51">
        <f t="shared" si="2"/>
        <v>0</v>
      </c>
      <c r="AR219" s="51">
        <f t="shared" si="3"/>
        <v>0</v>
      </c>
      <c r="AS219" s="51">
        <f t="shared" si="4"/>
        <v>0</v>
      </c>
      <c r="AT219" s="61" t="str">
        <f t="shared" si="5"/>
        <v/>
      </c>
      <c r="AU219" s="37"/>
      <c r="AV219" s="37"/>
      <c r="AW219" s="37"/>
    </row>
    <row r="220" ht="15.75" customHeight="1">
      <c r="A220" s="21" t="s">
        <v>24</v>
      </c>
      <c r="B220" s="62">
        <f t="shared" si="6"/>
        <v>44780</v>
      </c>
      <c r="C220" s="23">
        <v>8.0</v>
      </c>
      <c r="D220" s="23" t="s">
        <v>35</v>
      </c>
      <c r="E220" s="63" t="s">
        <v>40</v>
      </c>
      <c r="F220" s="26"/>
      <c r="H220" s="27"/>
      <c r="J220" s="27"/>
      <c r="L220" s="27"/>
      <c r="N220" s="27"/>
      <c r="P220" s="27"/>
      <c r="Q220" s="29"/>
      <c r="R220" s="26">
        <v>0.0</v>
      </c>
      <c r="T220" s="27">
        <v>100.0</v>
      </c>
      <c r="V220" s="27">
        <v>75.0</v>
      </c>
      <c r="X220" s="27">
        <v>100.0</v>
      </c>
      <c r="Z220" s="27">
        <v>100.0</v>
      </c>
      <c r="AB220" s="27">
        <v>0.0</v>
      </c>
      <c r="AC220" s="29"/>
      <c r="AD220" s="26"/>
      <c r="AF220" s="27"/>
      <c r="AH220" s="27"/>
      <c r="AJ220" s="27"/>
      <c r="AL220" s="27"/>
      <c r="AN220" s="27"/>
      <c r="AO220" s="29"/>
      <c r="AP220" s="35">
        <f t="shared" si="1"/>
        <v>5075</v>
      </c>
      <c r="AQ220" s="23">
        <f t="shared" si="2"/>
        <v>375</v>
      </c>
      <c r="AR220" s="23">
        <f t="shared" si="3"/>
        <v>0</v>
      </c>
      <c r="AS220" s="23">
        <f t="shared" si="4"/>
        <v>375</v>
      </c>
      <c r="AT220" s="36">
        <f t="shared" si="5"/>
        <v>13.53333333</v>
      </c>
      <c r="AU220" s="37"/>
      <c r="AV220" s="37"/>
      <c r="AW220" s="37"/>
    </row>
    <row r="221" ht="15.75" customHeight="1">
      <c r="A221" s="39" t="s">
        <v>27</v>
      </c>
      <c r="B221" s="40">
        <f t="shared" si="6"/>
        <v>44781</v>
      </c>
      <c r="C221" s="41">
        <v>8.0</v>
      </c>
      <c r="D221" s="41" t="s">
        <v>35</v>
      </c>
      <c r="E221" s="43" t="s">
        <v>40</v>
      </c>
      <c r="F221" s="26"/>
      <c r="H221" s="27"/>
      <c r="J221" s="27"/>
      <c r="L221" s="27"/>
      <c r="N221" s="27"/>
      <c r="P221" s="27"/>
      <c r="Q221" s="29"/>
      <c r="R221" s="26">
        <v>0.0</v>
      </c>
      <c r="T221" s="27">
        <v>100.0</v>
      </c>
      <c r="V221" s="27">
        <v>75.0</v>
      </c>
      <c r="X221" s="27">
        <v>100.0</v>
      </c>
      <c r="Z221" s="27">
        <v>100.0</v>
      </c>
      <c r="AB221" s="27">
        <v>0.0</v>
      </c>
      <c r="AC221" s="29"/>
      <c r="AD221" s="26"/>
      <c r="AF221" s="27"/>
      <c r="AH221" s="27"/>
      <c r="AJ221" s="27"/>
      <c r="AL221" s="27"/>
      <c r="AN221" s="27"/>
      <c r="AO221" s="29"/>
      <c r="AP221" s="45">
        <f t="shared" si="1"/>
        <v>5075</v>
      </c>
      <c r="AQ221" s="41">
        <f t="shared" si="2"/>
        <v>375</v>
      </c>
      <c r="AR221" s="41">
        <f t="shared" si="3"/>
        <v>0</v>
      </c>
      <c r="AS221" s="41">
        <f t="shared" si="4"/>
        <v>375</v>
      </c>
      <c r="AT221" s="46">
        <f t="shared" si="5"/>
        <v>13.53333333</v>
      </c>
      <c r="AU221" s="37"/>
      <c r="AV221" s="37"/>
      <c r="AW221" s="37"/>
    </row>
    <row r="222" ht="15.75" customHeight="1">
      <c r="A222" s="39" t="s">
        <v>28</v>
      </c>
      <c r="B222" s="40">
        <f t="shared" si="6"/>
        <v>44782</v>
      </c>
      <c r="C222" s="41">
        <v>8.0</v>
      </c>
      <c r="D222" s="41" t="s">
        <v>35</v>
      </c>
      <c r="E222" s="43" t="s">
        <v>40</v>
      </c>
      <c r="F222" s="26"/>
      <c r="H222" s="27"/>
      <c r="J222" s="27"/>
      <c r="L222" s="27"/>
      <c r="N222" s="27"/>
      <c r="P222" s="27"/>
      <c r="Q222" s="29"/>
      <c r="R222" s="26">
        <v>0.0</v>
      </c>
      <c r="T222" s="27">
        <v>100.0</v>
      </c>
      <c r="V222" s="27">
        <v>75.0</v>
      </c>
      <c r="X222" s="27">
        <v>100.0</v>
      </c>
      <c r="Z222" s="27">
        <v>100.0</v>
      </c>
      <c r="AB222" s="27">
        <v>0.0</v>
      </c>
      <c r="AC222" s="29"/>
      <c r="AD222" s="26"/>
      <c r="AF222" s="27"/>
      <c r="AH222" s="27"/>
      <c r="AJ222" s="27"/>
      <c r="AL222" s="27"/>
      <c r="AN222" s="27"/>
      <c r="AO222" s="29"/>
      <c r="AP222" s="45">
        <f t="shared" si="1"/>
        <v>5075</v>
      </c>
      <c r="AQ222" s="41">
        <f t="shared" si="2"/>
        <v>375</v>
      </c>
      <c r="AR222" s="41">
        <f t="shared" si="3"/>
        <v>0</v>
      </c>
      <c r="AS222" s="41">
        <f t="shared" si="4"/>
        <v>375</v>
      </c>
      <c r="AT222" s="46">
        <f t="shared" si="5"/>
        <v>13.53333333</v>
      </c>
      <c r="AU222" s="37"/>
      <c r="AV222" s="37"/>
      <c r="AW222" s="37"/>
    </row>
    <row r="223" ht="15.75" customHeight="1">
      <c r="A223" s="39" t="s">
        <v>29</v>
      </c>
      <c r="B223" s="40">
        <f t="shared" si="6"/>
        <v>44783</v>
      </c>
      <c r="C223" s="41">
        <v>8.0</v>
      </c>
      <c r="D223" s="41" t="s">
        <v>35</v>
      </c>
      <c r="E223" s="43" t="s">
        <v>40</v>
      </c>
      <c r="F223" s="26"/>
      <c r="H223" s="27"/>
      <c r="J223" s="27"/>
      <c r="L223" s="27"/>
      <c r="N223" s="27"/>
      <c r="P223" s="27"/>
      <c r="Q223" s="29"/>
      <c r="R223" s="26">
        <v>0.0</v>
      </c>
      <c r="T223" s="27">
        <v>100.0</v>
      </c>
      <c r="V223" s="27">
        <v>75.0</v>
      </c>
      <c r="X223" s="27">
        <v>100.0</v>
      </c>
      <c r="Z223" s="27">
        <v>100.0</v>
      </c>
      <c r="AB223" s="27">
        <v>0.0</v>
      </c>
      <c r="AC223" s="29"/>
      <c r="AD223" s="26"/>
      <c r="AF223" s="27"/>
      <c r="AH223" s="27"/>
      <c r="AJ223" s="27"/>
      <c r="AL223" s="27"/>
      <c r="AN223" s="27"/>
      <c r="AO223" s="29"/>
      <c r="AP223" s="45">
        <f t="shared" si="1"/>
        <v>5075</v>
      </c>
      <c r="AQ223" s="41">
        <f t="shared" si="2"/>
        <v>375</v>
      </c>
      <c r="AR223" s="41">
        <f t="shared" si="3"/>
        <v>0</v>
      </c>
      <c r="AS223" s="41">
        <f t="shared" si="4"/>
        <v>375</v>
      </c>
      <c r="AT223" s="46">
        <f t="shared" si="5"/>
        <v>13.53333333</v>
      </c>
      <c r="AU223" s="37"/>
      <c r="AV223" s="37"/>
      <c r="AW223" s="37"/>
    </row>
    <row r="224" ht="15.75" customHeight="1">
      <c r="A224" s="39" t="s">
        <v>30</v>
      </c>
      <c r="B224" s="40">
        <f t="shared" si="6"/>
        <v>44784</v>
      </c>
      <c r="C224" s="41">
        <v>8.0</v>
      </c>
      <c r="D224" s="41" t="s">
        <v>35</v>
      </c>
      <c r="E224" s="43" t="s">
        <v>40</v>
      </c>
      <c r="F224" s="26"/>
      <c r="H224" s="27"/>
      <c r="J224" s="27"/>
      <c r="L224" s="27"/>
      <c r="N224" s="27"/>
      <c r="P224" s="27"/>
      <c r="Q224" s="29"/>
      <c r="R224" s="26">
        <v>0.0</v>
      </c>
      <c r="T224" s="27">
        <v>100.0</v>
      </c>
      <c r="V224" s="27">
        <v>75.0</v>
      </c>
      <c r="X224" s="27">
        <v>100.0</v>
      </c>
      <c r="Z224" s="27">
        <v>100.0</v>
      </c>
      <c r="AB224" s="27">
        <v>0.0</v>
      </c>
      <c r="AC224" s="29"/>
      <c r="AD224" s="26"/>
      <c r="AF224" s="27"/>
      <c r="AH224" s="27"/>
      <c r="AJ224" s="27"/>
      <c r="AL224" s="27"/>
      <c r="AN224" s="27"/>
      <c r="AO224" s="29"/>
      <c r="AP224" s="45">
        <f t="shared" si="1"/>
        <v>5075</v>
      </c>
      <c r="AQ224" s="41">
        <f t="shared" si="2"/>
        <v>375</v>
      </c>
      <c r="AR224" s="41">
        <f t="shared" si="3"/>
        <v>0</v>
      </c>
      <c r="AS224" s="41">
        <f t="shared" si="4"/>
        <v>375</v>
      </c>
      <c r="AT224" s="46">
        <f t="shared" si="5"/>
        <v>13.53333333</v>
      </c>
      <c r="AU224" s="37"/>
      <c r="AV224" s="37"/>
      <c r="AW224" s="37"/>
    </row>
    <row r="225" ht="15.75" customHeight="1">
      <c r="A225" s="39" t="s">
        <v>31</v>
      </c>
      <c r="B225" s="40">
        <f t="shared" si="6"/>
        <v>44785</v>
      </c>
      <c r="C225" s="41">
        <v>8.0</v>
      </c>
      <c r="D225" s="41" t="s">
        <v>35</v>
      </c>
      <c r="E225" s="43" t="s">
        <v>40</v>
      </c>
      <c r="F225" s="26"/>
      <c r="H225" s="27"/>
      <c r="J225" s="27"/>
      <c r="L225" s="27"/>
      <c r="N225" s="27"/>
      <c r="P225" s="27"/>
      <c r="Q225" s="29"/>
      <c r="R225" s="26">
        <v>0.0</v>
      </c>
      <c r="T225" s="27">
        <v>100.0</v>
      </c>
      <c r="V225" s="27">
        <v>75.0</v>
      </c>
      <c r="X225" s="27">
        <v>100.0</v>
      </c>
      <c r="Z225" s="27">
        <v>100.0</v>
      </c>
      <c r="AB225" s="27">
        <v>0.0</v>
      </c>
      <c r="AC225" s="29"/>
      <c r="AD225" s="26"/>
      <c r="AF225" s="27"/>
      <c r="AH225" s="27"/>
      <c r="AJ225" s="27"/>
      <c r="AL225" s="27"/>
      <c r="AN225" s="27"/>
      <c r="AO225" s="29"/>
      <c r="AP225" s="45">
        <f t="shared" si="1"/>
        <v>5075</v>
      </c>
      <c r="AQ225" s="41">
        <f t="shared" si="2"/>
        <v>375</v>
      </c>
      <c r="AR225" s="41">
        <f t="shared" si="3"/>
        <v>0</v>
      </c>
      <c r="AS225" s="41">
        <f t="shared" si="4"/>
        <v>375</v>
      </c>
      <c r="AT225" s="46">
        <f t="shared" si="5"/>
        <v>13.53333333</v>
      </c>
      <c r="AU225" s="37"/>
      <c r="AV225" s="37"/>
      <c r="AW225" s="37"/>
    </row>
    <row r="226" ht="15.75" customHeight="1">
      <c r="A226" s="49" t="s">
        <v>32</v>
      </c>
      <c r="B226" s="50">
        <f t="shared" si="6"/>
        <v>44786</v>
      </c>
      <c r="C226" s="51">
        <v>8.0</v>
      </c>
      <c r="D226" s="51" t="s">
        <v>35</v>
      </c>
      <c r="E226" s="53" t="s">
        <v>40</v>
      </c>
      <c r="F226" s="54"/>
      <c r="G226" s="55"/>
      <c r="H226" s="56"/>
      <c r="I226" s="55"/>
      <c r="J226" s="56"/>
      <c r="K226" s="55"/>
      <c r="L226" s="56"/>
      <c r="M226" s="55"/>
      <c r="N226" s="56"/>
      <c r="O226" s="55"/>
      <c r="P226" s="56"/>
      <c r="Q226" s="58"/>
      <c r="R226" s="54">
        <v>0.0</v>
      </c>
      <c r="S226" s="55"/>
      <c r="T226" s="56">
        <v>0.0</v>
      </c>
      <c r="U226" s="55"/>
      <c r="V226" s="56">
        <v>0.0</v>
      </c>
      <c r="W226" s="55"/>
      <c r="X226" s="56">
        <v>0.0</v>
      </c>
      <c r="Y226" s="55"/>
      <c r="Z226" s="56">
        <v>0.0</v>
      </c>
      <c r="AA226" s="55"/>
      <c r="AB226" s="56">
        <v>0.0</v>
      </c>
      <c r="AC226" s="58"/>
      <c r="AD226" s="54"/>
      <c r="AE226" s="55"/>
      <c r="AF226" s="56"/>
      <c r="AG226" s="55"/>
      <c r="AH226" s="56"/>
      <c r="AI226" s="55"/>
      <c r="AJ226" s="56"/>
      <c r="AK226" s="55"/>
      <c r="AL226" s="56"/>
      <c r="AM226" s="55"/>
      <c r="AN226" s="56"/>
      <c r="AO226" s="58"/>
      <c r="AP226" s="60">
        <f t="shared" si="1"/>
        <v>0</v>
      </c>
      <c r="AQ226" s="51">
        <f t="shared" si="2"/>
        <v>0</v>
      </c>
      <c r="AR226" s="51">
        <f t="shared" si="3"/>
        <v>0</v>
      </c>
      <c r="AS226" s="51">
        <f t="shared" si="4"/>
        <v>0</v>
      </c>
      <c r="AT226" s="61" t="str">
        <f t="shared" si="5"/>
        <v/>
      </c>
      <c r="AU226" s="37"/>
      <c r="AV226" s="37"/>
      <c r="AW226" s="37"/>
    </row>
    <row r="227" ht="15.75" customHeight="1">
      <c r="A227" s="21" t="s">
        <v>24</v>
      </c>
      <c r="B227" s="62">
        <f t="shared" si="6"/>
        <v>44787</v>
      </c>
      <c r="C227" s="23">
        <v>9.0</v>
      </c>
      <c r="D227" s="23" t="s">
        <v>25</v>
      </c>
      <c r="E227" s="63" t="s">
        <v>40</v>
      </c>
      <c r="F227" s="26"/>
      <c r="H227" s="27"/>
      <c r="J227" s="27"/>
      <c r="L227" s="27"/>
      <c r="N227" s="27"/>
      <c r="P227" s="27"/>
      <c r="Q227" s="29"/>
      <c r="R227" s="26">
        <v>0.0</v>
      </c>
      <c r="T227" s="27">
        <v>100.0</v>
      </c>
      <c r="V227" s="27">
        <v>75.0</v>
      </c>
      <c r="X227" s="27">
        <v>100.0</v>
      </c>
      <c r="Z227" s="27">
        <v>100.0</v>
      </c>
      <c r="AB227" s="27">
        <v>0.0</v>
      </c>
      <c r="AC227" s="29"/>
      <c r="AD227" s="26"/>
      <c r="AF227" s="27"/>
      <c r="AH227" s="27"/>
      <c r="AJ227" s="27"/>
      <c r="AL227" s="27"/>
      <c r="AN227" s="27"/>
      <c r="AO227" s="29"/>
      <c r="AP227" s="35">
        <f t="shared" si="1"/>
        <v>5075</v>
      </c>
      <c r="AQ227" s="23">
        <f t="shared" si="2"/>
        <v>375</v>
      </c>
      <c r="AR227" s="23">
        <f t="shared" si="3"/>
        <v>0</v>
      </c>
      <c r="AS227" s="23">
        <f t="shared" si="4"/>
        <v>375</v>
      </c>
      <c r="AT227" s="36">
        <f t="shared" si="5"/>
        <v>13.53333333</v>
      </c>
      <c r="AU227" s="37"/>
      <c r="AV227" s="37"/>
      <c r="AW227" s="37"/>
    </row>
    <row r="228" ht="15.75" customHeight="1">
      <c r="A228" s="39" t="s">
        <v>27</v>
      </c>
      <c r="B228" s="40">
        <f t="shared" si="6"/>
        <v>44788</v>
      </c>
      <c r="C228" s="41">
        <v>9.0</v>
      </c>
      <c r="D228" s="41" t="s">
        <v>25</v>
      </c>
      <c r="E228" s="43" t="s">
        <v>40</v>
      </c>
      <c r="F228" s="26"/>
      <c r="H228" s="27"/>
      <c r="J228" s="27"/>
      <c r="L228" s="27"/>
      <c r="N228" s="27"/>
      <c r="P228" s="27"/>
      <c r="Q228" s="29"/>
      <c r="R228" s="26">
        <v>0.0</v>
      </c>
      <c r="T228" s="27">
        <v>100.0</v>
      </c>
      <c r="V228" s="27">
        <v>75.0</v>
      </c>
      <c r="X228" s="27">
        <v>100.0</v>
      </c>
      <c r="Z228" s="27">
        <v>100.0</v>
      </c>
      <c r="AB228" s="27">
        <v>0.0</v>
      </c>
      <c r="AC228" s="29"/>
      <c r="AD228" s="26"/>
      <c r="AF228" s="27"/>
      <c r="AH228" s="27"/>
      <c r="AJ228" s="27"/>
      <c r="AL228" s="27"/>
      <c r="AN228" s="27"/>
      <c r="AO228" s="29"/>
      <c r="AP228" s="45">
        <f t="shared" si="1"/>
        <v>5075</v>
      </c>
      <c r="AQ228" s="41">
        <f t="shared" si="2"/>
        <v>375</v>
      </c>
      <c r="AR228" s="41">
        <f t="shared" si="3"/>
        <v>0</v>
      </c>
      <c r="AS228" s="41">
        <f t="shared" si="4"/>
        <v>375</v>
      </c>
      <c r="AT228" s="46">
        <f t="shared" si="5"/>
        <v>13.53333333</v>
      </c>
      <c r="AU228" s="37"/>
      <c r="AV228" s="37"/>
      <c r="AW228" s="37"/>
    </row>
    <row r="229" ht="15.75" customHeight="1">
      <c r="A229" s="39" t="s">
        <v>28</v>
      </c>
      <c r="B229" s="40">
        <f t="shared" si="6"/>
        <v>44789</v>
      </c>
      <c r="C229" s="41">
        <v>9.0</v>
      </c>
      <c r="D229" s="41" t="s">
        <v>25</v>
      </c>
      <c r="E229" s="43" t="s">
        <v>40</v>
      </c>
      <c r="F229" s="26"/>
      <c r="H229" s="27"/>
      <c r="J229" s="27"/>
      <c r="L229" s="27"/>
      <c r="N229" s="27"/>
      <c r="P229" s="27"/>
      <c r="Q229" s="29"/>
      <c r="R229" s="26">
        <v>0.0</v>
      </c>
      <c r="T229" s="27">
        <v>100.0</v>
      </c>
      <c r="V229" s="27">
        <v>75.0</v>
      </c>
      <c r="X229" s="27">
        <v>100.0</v>
      </c>
      <c r="Z229" s="27">
        <v>100.0</v>
      </c>
      <c r="AB229" s="27">
        <v>0.0</v>
      </c>
      <c r="AC229" s="29"/>
      <c r="AD229" s="26"/>
      <c r="AF229" s="27"/>
      <c r="AH229" s="27"/>
      <c r="AJ229" s="27"/>
      <c r="AL229" s="27"/>
      <c r="AN229" s="27"/>
      <c r="AO229" s="29"/>
      <c r="AP229" s="45">
        <f t="shared" si="1"/>
        <v>5075</v>
      </c>
      <c r="AQ229" s="41">
        <f t="shared" si="2"/>
        <v>375</v>
      </c>
      <c r="AR229" s="41">
        <f t="shared" si="3"/>
        <v>0</v>
      </c>
      <c r="AS229" s="41">
        <f t="shared" si="4"/>
        <v>375</v>
      </c>
      <c r="AT229" s="46">
        <f t="shared" si="5"/>
        <v>13.53333333</v>
      </c>
      <c r="AU229" s="37"/>
      <c r="AV229" s="37"/>
      <c r="AW229" s="37"/>
    </row>
    <row r="230" ht="15.75" customHeight="1">
      <c r="A230" s="39" t="s">
        <v>29</v>
      </c>
      <c r="B230" s="40">
        <f t="shared" si="6"/>
        <v>44790</v>
      </c>
      <c r="C230" s="41">
        <v>9.0</v>
      </c>
      <c r="D230" s="41" t="s">
        <v>25</v>
      </c>
      <c r="E230" s="43" t="s">
        <v>40</v>
      </c>
      <c r="F230" s="26"/>
      <c r="H230" s="27"/>
      <c r="J230" s="27"/>
      <c r="L230" s="27"/>
      <c r="N230" s="27"/>
      <c r="P230" s="27"/>
      <c r="Q230" s="29"/>
      <c r="R230" s="26">
        <v>0.0</v>
      </c>
      <c r="T230" s="27">
        <v>100.0</v>
      </c>
      <c r="V230" s="27">
        <v>75.0</v>
      </c>
      <c r="X230" s="27">
        <v>100.0</v>
      </c>
      <c r="Z230" s="27">
        <v>100.0</v>
      </c>
      <c r="AB230" s="27">
        <v>0.0</v>
      </c>
      <c r="AC230" s="29"/>
      <c r="AD230" s="26"/>
      <c r="AF230" s="27"/>
      <c r="AH230" s="27"/>
      <c r="AJ230" s="27"/>
      <c r="AL230" s="27"/>
      <c r="AN230" s="27"/>
      <c r="AO230" s="29"/>
      <c r="AP230" s="45">
        <f t="shared" si="1"/>
        <v>5075</v>
      </c>
      <c r="AQ230" s="41">
        <f t="shared" si="2"/>
        <v>375</v>
      </c>
      <c r="AR230" s="41">
        <f t="shared" si="3"/>
        <v>0</v>
      </c>
      <c r="AS230" s="41">
        <f t="shared" si="4"/>
        <v>375</v>
      </c>
      <c r="AT230" s="46">
        <f t="shared" si="5"/>
        <v>13.53333333</v>
      </c>
      <c r="AU230" s="37"/>
      <c r="AV230" s="37"/>
      <c r="AW230" s="37"/>
    </row>
    <row r="231" ht="15.75" customHeight="1">
      <c r="A231" s="39" t="s">
        <v>30</v>
      </c>
      <c r="B231" s="40">
        <f t="shared" si="6"/>
        <v>44791</v>
      </c>
      <c r="C231" s="41">
        <v>9.0</v>
      </c>
      <c r="D231" s="41" t="s">
        <v>25</v>
      </c>
      <c r="E231" s="43" t="s">
        <v>40</v>
      </c>
      <c r="F231" s="26"/>
      <c r="H231" s="27"/>
      <c r="J231" s="27"/>
      <c r="L231" s="27"/>
      <c r="N231" s="27"/>
      <c r="P231" s="27"/>
      <c r="Q231" s="29"/>
      <c r="R231" s="26">
        <v>0.0</v>
      </c>
      <c r="T231" s="27">
        <v>100.0</v>
      </c>
      <c r="V231" s="27">
        <v>75.0</v>
      </c>
      <c r="X231" s="27">
        <v>100.0</v>
      </c>
      <c r="Z231" s="27">
        <v>100.0</v>
      </c>
      <c r="AB231" s="27">
        <v>0.0</v>
      </c>
      <c r="AC231" s="29"/>
      <c r="AD231" s="26"/>
      <c r="AF231" s="27"/>
      <c r="AH231" s="27"/>
      <c r="AJ231" s="27"/>
      <c r="AL231" s="27"/>
      <c r="AN231" s="27"/>
      <c r="AO231" s="29"/>
      <c r="AP231" s="45">
        <f t="shared" si="1"/>
        <v>5075</v>
      </c>
      <c r="AQ231" s="41">
        <f t="shared" si="2"/>
        <v>375</v>
      </c>
      <c r="AR231" s="41">
        <f t="shared" si="3"/>
        <v>0</v>
      </c>
      <c r="AS231" s="41">
        <f t="shared" si="4"/>
        <v>375</v>
      </c>
      <c r="AT231" s="46">
        <f t="shared" si="5"/>
        <v>13.53333333</v>
      </c>
      <c r="AU231" s="37"/>
      <c r="AV231" s="37"/>
      <c r="AW231" s="37"/>
    </row>
    <row r="232" ht="15.75" customHeight="1">
      <c r="A232" s="39" t="s">
        <v>31</v>
      </c>
      <c r="B232" s="40">
        <f t="shared" si="6"/>
        <v>44792</v>
      </c>
      <c r="C232" s="41">
        <v>9.0</v>
      </c>
      <c r="D232" s="41" t="s">
        <v>25</v>
      </c>
      <c r="E232" s="43" t="s">
        <v>40</v>
      </c>
      <c r="F232" s="26"/>
      <c r="H232" s="27"/>
      <c r="J232" s="27"/>
      <c r="L232" s="27"/>
      <c r="N232" s="27"/>
      <c r="P232" s="27"/>
      <c r="Q232" s="29"/>
      <c r="R232" s="26">
        <v>0.0</v>
      </c>
      <c r="T232" s="27">
        <v>100.0</v>
      </c>
      <c r="V232" s="27">
        <v>75.0</v>
      </c>
      <c r="X232" s="27">
        <v>100.0</v>
      </c>
      <c r="Z232" s="27">
        <v>100.0</v>
      </c>
      <c r="AB232" s="27">
        <v>0.0</v>
      </c>
      <c r="AC232" s="29"/>
      <c r="AD232" s="26"/>
      <c r="AF232" s="27"/>
      <c r="AH232" s="27"/>
      <c r="AJ232" s="27"/>
      <c r="AL232" s="27"/>
      <c r="AN232" s="27"/>
      <c r="AO232" s="29"/>
      <c r="AP232" s="45">
        <f t="shared" si="1"/>
        <v>5075</v>
      </c>
      <c r="AQ232" s="41">
        <f t="shared" si="2"/>
        <v>375</v>
      </c>
      <c r="AR232" s="41">
        <f t="shared" si="3"/>
        <v>0</v>
      </c>
      <c r="AS232" s="41">
        <f t="shared" si="4"/>
        <v>375</v>
      </c>
      <c r="AT232" s="46">
        <f t="shared" si="5"/>
        <v>13.53333333</v>
      </c>
      <c r="AU232" s="37"/>
      <c r="AV232" s="37"/>
      <c r="AW232" s="37"/>
    </row>
    <row r="233" ht="15.75" customHeight="1">
      <c r="A233" s="49" t="s">
        <v>32</v>
      </c>
      <c r="B233" s="50">
        <f t="shared" si="6"/>
        <v>44793</v>
      </c>
      <c r="C233" s="51">
        <v>9.0</v>
      </c>
      <c r="D233" s="51" t="s">
        <v>25</v>
      </c>
      <c r="E233" s="53" t="s">
        <v>40</v>
      </c>
      <c r="F233" s="54"/>
      <c r="G233" s="55"/>
      <c r="H233" s="56"/>
      <c r="I233" s="55"/>
      <c r="J233" s="56"/>
      <c r="K233" s="55"/>
      <c r="L233" s="56"/>
      <c r="M233" s="55"/>
      <c r="N233" s="56"/>
      <c r="O233" s="55"/>
      <c r="P233" s="56"/>
      <c r="Q233" s="58"/>
      <c r="R233" s="54">
        <v>0.0</v>
      </c>
      <c r="S233" s="55"/>
      <c r="T233" s="56">
        <v>0.0</v>
      </c>
      <c r="U233" s="55"/>
      <c r="V233" s="56">
        <v>0.0</v>
      </c>
      <c r="W233" s="55"/>
      <c r="X233" s="56">
        <v>0.0</v>
      </c>
      <c r="Y233" s="55"/>
      <c r="Z233" s="56">
        <v>0.0</v>
      </c>
      <c r="AA233" s="55"/>
      <c r="AB233" s="56">
        <v>0.0</v>
      </c>
      <c r="AC233" s="58"/>
      <c r="AD233" s="54"/>
      <c r="AE233" s="55"/>
      <c r="AF233" s="56"/>
      <c r="AG233" s="55"/>
      <c r="AH233" s="56"/>
      <c r="AI233" s="55"/>
      <c r="AJ233" s="56"/>
      <c r="AK233" s="55"/>
      <c r="AL233" s="56"/>
      <c r="AM233" s="55"/>
      <c r="AN233" s="56"/>
      <c r="AO233" s="58"/>
      <c r="AP233" s="60">
        <f t="shared" si="1"/>
        <v>0</v>
      </c>
      <c r="AQ233" s="51">
        <f t="shared" si="2"/>
        <v>0</v>
      </c>
      <c r="AR233" s="51">
        <f t="shared" si="3"/>
        <v>0</v>
      </c>
      <c r="AS233" s="51">
        <f t="shared" si="4"/>
        <v>0</v>
      </c>
      <c r="AT233" s="61" t="str">
        <f t="shared" si="5"/>
        <v/>
      </c>
      <c r="AU233" s="37"/>
      <c r="AV233" s="37"/>
      <c r="AW233" s="37"/>
    </row>
    <row r="234" ht="15.75" customHeight="1">
      <c r="A234" s="21" t="s">
        <v>24</v>
      </c>
      <c r="B234" s="62">
        <f t="shared" si="6"/>
        <v>44794</v>
      </c>
      <c r="C234" s="23">
        <v>9.0</v>
      </c>
      <c r="D234" s="23" t="s">
        <v>33</v>
      </c>
      <c r="E234" s="63" t="s">
        <v>40</v>
      </c>
      <c r="F234" s="26"/>
      <c r="H234" s="27"/>
      <c r="J234" s="27"/>
      <c r="L234" s="27"/>
      <c r="N234" s="27"/>
      <c r="P234" s="27"/>
      <c r="Q234" s="29"/>
      <c r="R234" s="26">
        <v>0.0</v>
      </c>
      <c r="T234" s="27">
        <v>100.0</v>
      </c>
      <c r="V234" s="27">
        <v>75.0</v>
      </c>
      <c r="X234" s="27">
        <v>100.0</v>
      </c>
      <c r="Z234" s="27">
        <v>100.0</v>
      </c>
      <c r="AB234" s="27">
        <v>0.0</v>
      </c>
      <c r="AC234" s="29"/>
      <c r="AD234" s="26"/>
      <c r="AF234" s="27"/>
      <c r="AH234" s="27"/>
      <c r="AJ234" s="27"/>
      <c r="AL234" s="27"/>
      <c r="AN234" s="27"/>
      <c r="AO234" s="29"/>
      <c r="AP234" s="35">
        <f t="shared" si="1"/>
        <v>5075</v>
      </c>
      <c r="AQ234" s="23">
        <f t="shared" si="2"/>
        <v>375</v>
      </c>
      <c r="AR234" s="23">
        <f t="shared" si="3"/>
        <v>0</v>
      </c>
      <c r="AS234" s="23">
        <f t="shared" si="4"/>
        <v>375</v>
      </c>
      <c r="AT234" s="36">
        <f t="shared" si="5"/>
        <v>13.53333333</v>
      </c>
      <c r="AU234" s="37"/>
      <c r="AV234" s="37"/>
      <c r="AW234" s="37"/>
    </row>
    <row r="235" ht="15.75" customHeight="1">
      <c r="A235" s="39" t="s">
        <v>27</v>
      </c>
      <c r="B235" s="40">
        <f t="shared" si="6"/>
        <v>44795</v>
      </c>
      <c r="C235" s="41">
        <v>9.0</v>
      </c>
      <c r="D235" s="41" t="s">
        <v>33</v>
      </c>
      <c r="E235" s="43" t="s">
        <v>40</v>
      </c>
      <c r="F235" s="26"/>
      <c r="H235" s="27"/>
      <c r="J235" s="27"/>
      <c r="L235" s="27"/>
      <c r="N235" s="27"/>
      <c r="P235" s="27"/>
      <c r="Q235" s="29"/>
      <c r="R235" s="26">
        <v>0.0</v>
      </c>
      <c r="T235" s="27">
        <v>100.0</v>
      </c>
      <c r="V235" s="27">
        <v>75.0</v>
      </c>
      <c r="X235" s="27">
        <v>100.0</v>
      </c>
      <c r="Z235" s="27">
        <v>100.0</v>
      </c>
      <c r="AB235" s="27">
        <v>0.0</v>
      </c>
      <c r="AC235" s="29"/>
      <c r="AD235" s="26"/>
      <c r="AF235" s="27"/>
      <c r="AH235" s="27"/>
      <c r="AJ235" s="27"/>
      <c r="AL235" s="27"/>
      <c r="AN235" s="27"/>
      <c r="AO235" s="29"/>
      <c r="AP235" s="45">
        <f t="shared" si="1"/>
        <v>5075</v>
      </c>
      <c r="AQ235" s="41">
        <f t="shared" si="2"/>
        <v>375</v>
      </c>
      <c r="AR235" s="41">
        <f t="shared" si="3"/>
        <v>0</v>
      </c>
      <c r="AS235" s="41">
        <f t="shared" si="4"/>
        <v>375</v>
      </c>
      <c r="AT235" s="46">
        <f t="shared" si="5"/>
        <v>13.53333333</v>
      </c>
      <c r="AU235" s="37"/>
      <c r="AV235" s="37"/>
      <c r="AW235" s="37"/>
    </row>
    <row r="236" ht="15.75" customHeight="1">
      <c r="A236" s="39" t="s">
        <v>28</v>
      </c>
      <c r="B236" s="40">
        <f t="shared" si="6"/>
        <v>44796</v>
      </c>
      <c r="C236" s="41">
        <v>9.0</v>
      </c>
      <c r="D236" s="41" t="s">
        <v>33</v>
      </c>
      <c r="E236" s="43" t="s">
        <v>40</v>
      </c>
      <c r="F236" s="26"/>
      <c r="H236" s="27"/>
      <c r="J236" s="27"/>
      <c r="L236" s="27"/>
      <c r="N236" s="27"/>
      <c r="P236" s="27"/>
      <c r="Q236" s="29"/>
      <c r="R236" s="26">
        <v>0.0</v>
      </c>
      <c r="T236" s="27">
        <v>100.0</v>
      </c>
      <c r="V236" s="27">
        <v>75.0</v>
      </c>
      <c r="X236" s="27">
        <v>100.0</v>
      </c>
      <c r="Z236" s="27">
        <v>100.0</v>
      </c>
      <c r="AB236" s="27">
        <v>0.0</v>
      </c>
      <c r="AC236" s="29"/>
      <c r="AD236" s="26"/>
      <c r="AF236" s="27"/>
      <c r="AH236" s="27"/>
      <c r="AJ236" s="27"/>
      <c r="AL236" s="27"/>
      <c r="AN236" s="27"/>
      <c r="AO236" s="29"/>
      <c r="AP236" s="45">
        <f t="shared" si="1"/>
        <v>5075</v>
      </c>
      <c r="AQ236" s="41">
        <f t="shared" si="2"/>
        <v>375</v>
      </c>
      <c r="AR236" s="41">
        <f t="shared" si="3"/>
        <v>0</v>
      </c>
      <c r="AS236" s="41">
        <f t="shared" si="4"/>
        <v>375</v>
      </c>
      <c r="AT236" s="46">
        <f t="shared" si="5"/>
        <v>13.53333333</v>
      </c>
      <c r="AU236" s="37"/>
      <c r="AV236" s="37"/>
      <c r="AW236" s="37"/>
    </row>
    <row r="237" ht="15.75" customHeight="1">
      <c r="A237" s="39" t="s">
        <v>29</v>
      </c>
      <c r="B237" s="40">
        <f t="shared" si="6"/>
        <v>44797</v>
      </c>
      <c r="C237" s="41">
        <v>9.0</v>
      </c>
      <c r="D237" s="41" t="s">
        <v>33</v>
      </c>
      <c r="E237" s="43" t="s">
        <v>40</v>
      </c>
      <c r="F237" s="26"/>
      <c r="H237" s="27"/>
      <c r="J237" s="27"/>
      <c r="L237" s="27"/>
      <c r="N237" s="27"/>
      <c r="P237" s="27"/>
      <c r="Q237" s="29"/>
      <c r="R237" s="26">
        <v>0.0</v>
      </c>
      <c r="T237" s="27">
        <v>100.0</v>
      </c>
      <c r="V237" s="27">
        <v>75.0</v>
      </c>
      <c r="X237" s="27">
        <v>100.0</v>
      </c>
      <c r="Z237" s="27">
        <v>100.0</v>
      </c>
      <c r="AB237" s="27">
        <v>0.0</v>
      </c>
      <c r="AC237" s="29"/>
      <c r="AD237" s="26"/>
      <c r="AF237" s="27"/>
      <c r="AH237" s="27"/>
      <c r="AJ237" s="27"/>
      <c r="AL237" s="27"/>
      <c r="AN237" s="27"/>
      <c r="AO237" s="29"/>
      <c r="AP237" s="45">
        <f t="shared" si="1"/>
        <v>5075</v>
      </c>
      <c r="AQ237" s="41">
        <f t="shared" si="2"/>
        <v>375</v>
      </c>
      <c r="AR237" s="41">
        <f t="shared" si="3"/>
        <v>0</v>
      </c>
      <c r="AS237" s="41">
        <f t="shared" si="4"/>
        <v>375</v>
      </c>
      <c r="AT237" s="46">
        <f t="shared" si="5"/>
        <v>13.53333333</v>
      </c>
      <c r="AU237" s="37"/>
      <c r="AV237" s="37"/>
      <c r="AW237" s="37"/>
    </row>
    <row r="238" ht="15.75" customHeight="1">
      <c r="A238" s="39" t="s">
        <v>30</v>
      </c>
      <c r="B238" s="40">
        <f t="shared" si="6"/>
        <v>44798</v>
      </c>
      <c r="C238" s="41">
        <v>9.0</v>
      </c>
      <c r="D238" s="41" t="s">
        <v>33</v>
      </c>
      <c r="E238" s="43" t="s">
        <v>40</v>
      </c>
      <c r="F238" s="26"/>
      <c r="H238" s="27"/>
      <c r="J238" s="27"/>
      <c r="L238" s="27"/>
      <c r="N238" s="27"/>
      <c r="P238" s="27"/>
      <c r="Q238" s="29"/>
      <c r="R238" s="26">
        <v>0.0</v>
      </c>
      <c r="T238" s="27">
        <v>100.0</v>
      </c>
      <c r="V238" s="27">
        <v>75.0</v>
      </c>
      <c r="X238" s="27">
        <v>100.0</v>
      </c>
      <c r="Z238" s="27">
        <v>100.0</v>
      </c>
      <c r="AB238" s="27">
        <v>0.0</v>
      </c>
      <c r="AC238" s="29"/>
      <c r="AD238" s="26"/>
      <c r="AF238" s="27"/>
      <c r="AH238" s="27"/>
      <c r="AJ238" s="27"/>
      <c r="AL238" s="27"/>
      <c r="AN238" s="27"/>
      <c r="AO238" s="29"/>
      <c r="AP238" s="45">
        <f t="shared" si="1"/>
        <v>5075</v>
      </c>
      <c r="AQ238" s="41">
        <f t="shared" si="2"/>
        <v>375</v>
      </c>
      <c r="AR238" s="41">
        <f t="shared" si="3"/>
        <v>0</v>
      </c>
      <c r="AS238" s="41">
        <f t="shared" si="4"/>
        <v>375</v>
      </c>
      <c r="AT238" s="46">
        <f t="shared" si="5"/>
        <v>13.53333333</v>
      </c>
      <c r="AU238" s="37"/>
      <c r="AV238" s="37"/>
      <c r="AW238" s="37"/>
    </row>
    <row r="239" ht="15.75" customHeight="1">
      <c r="A239" s="39" t="s">
        <v>31</v>
      </c>
      <c r="B239" s="40">
        <f t="shared" si="6"/>
        <v>44799</v>
      </c>
      <c r="C239" s="41">
        <v>9.0</v>
      </c>
      <c r="D239" s="41" t="s">
        <v>33</v>
      </c>
      <c r="E239" s="43" t="s">
        <v>40</v>
      </c>
      <c r="F239" s="26"/>
      <c r="H239" s="27"/>
      <c r="J239" s="27"/>
      <c r="L239" s="27"/>
      <c r="N239" s="27"/>
      <c r="P239" s="27"/>
      <c r="Q239" s="29"/>
      <c r="R239" s="26">
        <v>0.0</v>
      </c>
      <c r="T239" s="27">
        <v>100.0</v>
      </c>
      <c r="V239" s="27">
        <v>75.0</v>
      </c>
      <c r="X239" s="27">
        <v>100.0</v>
      </c>
      <c r="Z239" s="27">
        <v>100.0</v>
      </c>
      <c r="AB239" s="27">
        <v>0.0</v>
      </c>
      <c r="AC239" s="29"/>
      <c r="AD239" s="26"/>
      <c r="AF239" s="27"/>
      <c r="AH239" s="27"/>
      <c r="AJ239" s="27"/>
      <c r="AL239" s="27"/>
      <c r="AN239" s="27"/>
      <c r="AO239" s="29"/>
      <c r="AP239" s="45">
        <f t="shared" si="1"/>
        <v>5075</v>
      </c>
      <c r="AQ239" s="41">
        <f t="shared" si="2"/>
        <v>375</v>
      </c>
      <c r="AR239" s="41">
        <f t="shared" si="3"/>
        <v>0</v>
      </c>
      <c r="AS239" s="41">
        <f t="shared" si="4"/>
        <v>375</v>
      </c>
      <c r="AT239" s="46">
        <f t="shared" si="5"/>
        <v>13.53333333</v>
      </c>
      <c r="AU239" s="37"/>
      <c r="AV239" s="37"/>
      <c r="AW239" s="37"/>
    </row>
    <row r="240" ht="15.75" customHeight="1">
      <c r="A240" s="49" t="s">
        <v>32</v>
      </c>
      <c r="B240" s="50">
        <f t="shared" si="6"/>
        <v>44800</v>
      </c>
      <c r="C240" s="51">
        <v>9.0</v>
      </c>
      <c r="D240" s="51" t="s">
        <v>33</v>
      </c>
      <c r="E240" s="53" t="s">
        <v>40</v>
      </c>
      <c r="F240" s="54"/>
      <c r="G240" s="55"/>
      <c r="H240" s="56"/>
      <c r="I240" s="55"/>
      <c r="J240" s="56"/>
      <c r="K240" s="55"/>
      <c r="L240" s="56"/>
      <c r="M240" s="55"/>
      <c r="N240" s="56"/>
      <c r="O240" s="55"/>
      <c r="P240" s="56"/>
      <c r="Q240" s="58"/>
      <c r="R240" s="54">
        <v>0.0</v>
      </c>
      <c r="S240" s="55"/>
      <c r="T240" s="56">
        <v>0.0</v>
      </c>
      <c r="U240" s="55"/>
      <c r="V240" s="56">
        <v>0.0</v>
      </c>
      <c r="W240" s="55"/>
      <c r="X240" s="56">
        <v>0.0</v>
      </c>
      <c r="Y240" s="55"/>
      <c r="Z240" s="56">
        <v>0.0</v>
      </c>
      <c r="AA240" s="55"/>
      <c r="AB240" s="56">
        <v>0.0</v>
      </c>
      <c r="AC240" s="58"/>
      <c r="AD240" s="54"/>
      <c r="AE240" s="55"/>
      <c r="AF240" s="56"/>
      <c r="AG240" s="55"/>
      <c r="AH240" s="56"/>
      <c r="AI240" s="55"/>
      <c r="AJ240" s="56"/>
      <c r="AK240" s="55"/>
      <c r="AL240" s="56"/>
      <c r="AM240" s="55"/>
      <c r="AN240" s="56"/>
      <c r="AO240" s="58"/>
      <c r="AP240" s="60">
        <f t="shared" si="1"/>
        <v>0</v>
      </c>
      <c r="AQ240" s="51">
        <f t="shared" si="2"/>
        <v>0</v>
      </c>
      <c r="AR240" s="51">
        <f t="shared" si="3"/>
        <v>0</v>
      </c>
      <c r="AS240" s="51">
        <f t="shared" si="4"/>
        <v>0</v>
      </c>
      <c r="AT240" s="61" t="str">
        <f t="shared" si="5"/>
        <v/>
      </c>
      <c r="AU240" s="37"/>
      <c r="AV240" s="37"/>
      <c r="AW240" s="37"/>
    </row>
    <row r="241" ht="15.75" customHeight="1">
      <c r="A241" s="21" t="s">
        <v>24</v>
      </c>
      <c r="B241" s="62">
        <f t="shared" si="6"/>
        <v>44801</v>
      </c>
      <c r="C241" s="23">
        <v>9.0</v>
      </c>
      <c r="D241" s="23" t="s">
        <v>34</v>
      </c>
      <c r="E241" s="63" t="s">
        <v>40</v>
      </c>
      <c r="F241" s="26"/>
      <c r="H241" s="27"/>
      <c r="J241" s="27"/>
      <c r="L241" s="27"/>
      <c r="N241" s="27"/>
      <c r="P241" s="27"/>
      <c r="Q241" s="29"/>
      <c r="R241" s="26">
        <v>0.0</v>
      </c>
      <c r="T241" s="27">
        <v>100.0</v>
      </c>
      <c r="V241" s="27">
        <v>75.0</v>
      </c>
      <c r="X241" s="27">
        <v>100.0</v>
      </c>
      <c r="Z241" s="27">
        <v>100.0</v>
      </c>
      <c r="AB241" s="27">
        <v>0.0</v>
      </c>
      <c r="AC241" s="29"/>
      <c r="AD241" s="26"/>
      <c r="AF241" s="27"/>
      <c r="AH241" s="27"/>
      <c r="AJ241" s="27"/>
      <c r="AL241" s="27"/>
      <c r="AN241" s="27"/>
      <c r="AO241" s="29"/>
      <c r="AP241" s="35">
        <f t="shared" si="1"/>
        <v>5075</v>
      </c>
      <c r="AQ241" s="23">
        <f t="shared" si="2"/>
        <v>375</v>
      </c>
      <c r="AR241" s="23">
        <f t="shared" si="3"/>
        <v>0</v>
      </c>
      <c r="AS241" s="23">
        <f t="shared" si="4"/>
        <v>375</v>
      </c>
      <c r="AT241" s="36">
        <f t="shared" si="5"/>
        <v>13.53333333</v>
      </c>
      <c r="AU241" s="37"/>
      <c r="AV241" s="37"/>
      <c r="AW241" s="37"/>
    </row>
    <row r="242" ht="15.75" customHeight="1">
      <c r="A242" s="39" t="s">
        <v>27</v>
      </c>
      <c r="B242" s="40">
        <f t="shared" si="6"/>
        <v>44802</v>
      </c>
      <c r="C242" s="41">
        <v>9.0</v>
      </c>
      <c r="D242" s="41" t="s">
        <v>34</v>
      </c>
      <c r="E242" s="43" t="s">
        <v>40</v>
      </c>
      <c r="F242" s="26"/>
      <c r="H242" s="27"/>
      <c r="J242" s="27"/>
      <c r="L242" s="27"/>
      <c r="N242" s="27"/>
      <c r="P242" s="27"/>
      <c r="Q242" s="29"/>
      <c r="R242" s="26">
        <v>0.0</v>
      </c>
      <c r="T242" s="27">
        <v>100.0</v>
      </c>
      <c r="V242" s="27">
        <v>75.0</v>
      </c>
      <c r="X242" s="27">
        <v>100.0</v>
      </c>
      <c r="Z242" s="27">
        <v>100.0</v>
      </c>
      <c r="AB242" s="27">
        <v>0.0</v>
      </c>
      <c r="AC242" s="29"/>
      <c r="AD242" s="26"/>
      <c r="AF242" s="27"/>
      <c r="AH242" s="27"/>
      <c r="AJ242" s="27"/>
      <c r="AL242" s="27"/>
      <c r="AN242" s="27"/>
      <c r="AO242" s="29"/>
      <c r="AP242" s="45">
        <f t="shared" si="1"/>
        <v>5075</v>
      </c>
      <c r="AQ242" s="41">
        <f t="shared" si="2"/>
        <v>375</v>
      </c>
      <c r="AR242" s="41">
        <f t="shared" si="3"/>
        <v>0</v>
      </c>
      <c r="AS242" s="41">
        <f t="shared" si="4"/>
        <v>375</v>
      </c>
      <c r="AT242" s="46">
        <f t="shared" si="5"/>
        <v>13.53333333</v>
      </c>
      <c r="AU242" s="37"/>
      <c r="AV242" s="37"/>
      <c r="AW242" s="37"/>
    </row>
    <row r="243" ht="15.75" customHeight="1">
      <c r="A243" s="39" t="s">
        <v>28</v>
      </c>
      <c r="B243" s="40">
        <f t="shared" si="6"/>
        <v>44803</v>
      </c>
      <c r="C243" s="41">
        <v>9.0</v>
      </c>
      <c r="D243" s="41" t="s">
        <v>34</v>
      </c>
      <c r="E243" s="43" t="s">
        <v>40</v>
      </c>
      <c r="F243" s="26"/>
      <c r="H243" s="27"/>
      <c r="J243" s="27"/>
      <c r="L243" s="27"/>
      <c r="N243" s="27"/>
      <c r="P243" s="27"/>
      <c r="Q243" s="29"/>
      <c r="R243" s="26">
        <v>0.0</v>
      </c>
      <c r="T243" s="27">
        <v>100.0</v>
      </c>
      <c r="V243" s="27">
        <v>75.0</v>
      </c>
      <c r="X243" s="27">
        <v>100.0</v>
      </c>
      <c r="Z243" s="27">
        <v>100.0</v>
      </c>
      <c r="AB243" s="27">
        <v>0.0</v>
      </c>
      <c r="AC243" s="29"/>
      <c r="AD243" s="26"/>
      <c r="AF243" s="27"/>
      <c r="AH243" s="27"/>
      <c r="AJ243" s="27"/>
      <c r="AL243" s="27"/>
      <c r="AN243" s="27"/>
      <c r="AO243" s="29"/>
      <c r="AP243" s="45">
        <f t="shared" si="1"/>
        <v>5075</v>
      </c>
      <c r="AQ243" s="41">
        <f t="shared" si="2"/>
        <v>375</v>
      </c>
      <c r="AR243" s="41">
        <f t="shared" si="3"/>
        <v>0</v>
      </c>
      <c r="AS243" s="41">
        <f t="shared" si="4"/>
        <v>375</v>
      </c>
      <c r="AT243" s="46">
        <f t="shared" si="5"/>
        <v>13.53333333</v>
      </c>
      <c r="AU243" s="37"/>
      <c r="AV243" s="37"/>
      <c r="AW243" s="37"/>
    </row>
    <row r="244" ht="15.75" customHeight="1">
      <c r="A244" s="39" t="s">
        <v>29</v>
      </c>
      <c r="B244" s="40">
        <f t="shared" si="6"/>
        <v>44804</v>
      </c>
      <c r="C244" s="41">
        <v>9.0</v>
      </c>
      <c r="D244" s="41" t="s">
        <v>34</v>
      </c>
      <c r="E244" s="43" t="s">
        <v>40</v>
      </c>
      <c r="F244" s="26"/>
      <c r="H244" s="27"/>
      <c r="J244" s="27"/>
      <c r="L244" s="27"/>
      <c r="N244" s="27"/>
      <c r="P244" s="27"/>
      <c r="Q244" s="29"/>
      <c r="R244" s="26">
        <v>0.0</v>
      </c>
      <c r="T244" s="27">
        <v>100.0</v>
      </c>
      <c r="V244" s="27">
        <v>75.0</v>
      </c>
      <c r="X244" s="27">
        <v>100.0</v>
      </c>
      <c r="Z244" s="27">
        <v>100.0</v>
      </c>
      <c r="AB244" s="27">
        <v>0.0</v>
      </c>
      <c r="AC244" s="29"/>
      <c r="AD244" s="26"/>
      <c r="AF244" s="27"/>
      <c r="AH244" s="27"/>
      <c r="AJ244" s="27"/>
      <c r="AL244" s="27"/>
      <c r="AN244" s="27"/>
      <c r="AO244" s="29"/>
      <c r="AP244" s="45">
        <f t="shared" si="1"/>
        <v>5075</v>
      </c>
      <c r="AQ244" s="41">
        <f t="shared" si="2"/>
        <v>375</v>
      </c>
      <c r="AR244" s="41">
        <f t="shared" si="3"/>
        <v>0</v>
      </c>
      <c r="AS244" s="41">
        <f t="shared" si="4"/>
        <v>375</v>
      </c>
      <c r="AT244" s="46">
        <f t="shared" si="5"/>
        <v>13.53333333</v>
      </c>
      <c r="AU244" s="37"/>
      <c r="AV244" s="37"/>
      <c r="AW244" s="37"/>
    </row>
    <row r="245" ht="15.75" customHeight="1">
      <c r="A245" s="39" t="s">
        <v>30</v>
      </c>
      <c r="B245" s="40">
        <f t="shared" si="6"/>
        <v>44805</v>
      </c>
      <c r="C245" s="41">
        <v>9.0</v>
      </c>
      <c r="D245" s="41" t="s">
        <v>34</v>
      </c>
      <c r="E245" s="43" t="s">
        <v>40</v>
      </c>
      <c r="F245" s="26"/>
      <c r="H245" s="27"/>
      <c r="J245" s="27"/>
      <c r="L245" s="27"/>
      <c r="N245" s="27"/>
      <c r="P245" s="27"/>
      <c r="Q245" s="29"/>
      <c r="R245" s="26">
        <v>0.0</v>
      </c>
      <c r="T245" s="27">
        <v>100.0</v>
      </c>
      <c r="V245" s="27">
        <v>75.0</v>
      </c>
      <c r="X245" s="27">
        <v>100.0</v>
      </c>
      <c r="Z245" s="27">
        <v>100.0</v>
      </c>
      <c r="AB245" s="27">
        <v>0.0</v>
      </c>
      <c r="AC245" s="29"/>
      <c r="AD245" s="26"/>
      <c r="AF245" s="27"/>
      <c r="AH245" s="27"/>
      <c r="AJ245" s="27"/>
      <c r="AL245" s="27"/>
      <c r="AN245" s="27"/>
      <c r="AO245" s="29"/>
      <c r="AP245" s="45">
        <f t="shared" si="1"/>
        <v>5075</v>
      </c>
      <c r="AQ245" s="41">
        <f t="shared" si="2"/>
        <v>375</v>
      </c>
      <c r="AR245" s="41">
        <f t="shared" si="3"/>
        <v>0</v>
      </c>
      <c r="AS245" s="41">
        <f t="shared" si="4"/>
        <v>375</v>
      </c>
      <c r="AT245" s="46">
        <f t="shared" si="5"/>
        <v>13.53333333</v>
      </c>
      <c r="AU245" s="37"/>
      <c r="AV245" s="37"/>
      <c r="AW245" s="37"/>
    </row>
    <row r="246" ht="15.75" customHeight="1">
      <c r="A246" s="39" t="s">
        <v>31</v>
      </c>
      <c r="B246" s="40">
        <f t="shared" si="6"/>
        <v>44806</v>
      </c>
      <c r="C246" s="41">
        <v>9.0</v>
      </c>
      <c r="D246" s="41" t="s">
        <v>34</v>
      </c>
      <c r="E246" s="43" t="s">
        <v>40</v>
      </c>
      <c r="F246" s="26"/>
      <c r="H246" s="27"/>
      <c r="J246" s="27"/>
      <c r="L246" s="27"/>
      <c r="N246" s="27"/>
      <c r="P246" s="27"/>
      <c r="Q246" s="29"/>
      <c r="R246" s="26">
        <v>0.0</v>
      </c>
      <c r="T246" s="27">
        <v>100.0</v>
      </c>
      <c r="V246" s="27">
        <v>75.0</v>
      </c>
      <c r="X246" s="27">
        <v>100.0</v>
      </c>
      <c r="Z246" s="27">
        <v>100.0</v>
      </c>
      <c r="AB246" s="27">
        <v>0.0</v>
      </c>
      <c r="AC246" s="29"/>
      <c r="AD246" s="26"/>
      <c r="AF246" s="27"/>
      <c r="AH246" s="27"/>
      <c r="AJ246" s="27"/>
      <c r="AL246" s="27"/>
      <c r="AN246" s="27"/>
      <c r="AO246" s="29"/>
      <c r="AP246" s="45">
        <f t="shared" si="1"/>
        <v>5075</v>
      </c>
      <c r="AQ246" s="41">
        <f t="shared" si="2"/>
        <v>375</v>
      </c>
      <c r="AR246" s="41">
        <f t="shared" si="3"/>
        <v>0</v>
      </c>
      <c r="AS246" s="41">
        <f t="shared" si="4"/>
        <v>375</v>
      </c>
      <c r="AT246" s="46">
        <f t="shared" si="5"/>
        <v>13.53333333</v>
      </c>
      <c r="AU246" s="37"/>
      <c r="AV246" s="37"/>
      <c r="AW246" s="37"/>
    </row>
    <row r="247" ht="15.75" customHeight="1">
      <c r="A247" s="49" t="s">
        <v>32</v>
      </c>
      <c r="B247" s="50">
        <f t="shared" si="6"/>
        <v>44807</v>
      </c>
      <c r="C247" s="51">
        <v>9.0</v>
      </c>
      <c r="D247" s="51" t="s">
        <v>34</v>
      </c>
      <c r="E247" s="53" t="s">
        <v>40</v>
      </c>
      <c r="F247" s="54"/>
      <c r="G247" s="55"/>
      <c r="H247" s="56"/>
      <c r="I247" s="55"/>
      <c r="J247" s="56"/>
      <c r="K247" s="55"/>
      <c r="L247" s="56"/>
      <c r="M247" s="55"/>
      <c r="N247" s="56"/>
      <c r="O247" s="55"/>
      <c r="P247" s="56"/>
      <c r="Q247" s="58"/>
      <c r="R247" s="54">
        <v>0.0</v>
      </c>
      <c r="S247" s="55"/>
      <c r="T247" s="56">
        <v>0.0</v>
      </c>
      <c r="U247" s="55"/>
      <c r="V247" s="56">
        <v>0.0</v>
      </c>
      <c r="W247" s="55"/>
      <c r="X247" s="56">
        <v>0.0</v>
      </c>
      <c r="Y247" s="55"/>
      <c r="Z247" s="56">
        <v>0.0</v>
      </c>
      <c r="AA247" s="55"/>
      <c r="AB247" s="56">
        <v>0.0</v>
      </c>
      <c r="AC247" s="58"/>
      <c r="AD247" s="54"/>
      <c r="AE247" s="55"/>
      <c r="AF247" s="56"/>
      <c r="AG247" s="55"/>
      <c r="AH247" s="56"/>
      <c r="AI247" s="55"/>
      <c r="AJ247" s="56"/>
      <c r="AK247" s="55"/>
      <c r="AL247" s="56"/>
      <c r="AM247" s="55"/>
      <c r="AN247" s="56"/>
      <c r="AO247" s="58"/>
      <c r="AP247" s="60">
        <f t="shared" si="1"/>
        <v>0</v>
      </c>
      <c r="AQ247" s="51">
        <f t="shared" si="2"/>
        <v>0</v>
      </c>
      <c r="AR247" s="51">
        <f t="shared" si="3"/>
        <v>0</v>
      </c>
      <c r="AS247" s="51">
        <f t="shared" si="4"/>
        <v>0</v>
      </c>
      <c r="AT247" s="61" t="str">
        <f t="shared" si="5"/>
        <v/>
      </c>
      <c r="AU247" s="37"/>
      <c r="AV247" s="37"/>
      <c r="AW247" s="37"/>
    </row>
    <row r="248" ht="15.75" customHeight="1">
      <c r="A248" s="21" t="s">
        <v>24</v>
      </c>
      <c r="B248" s="62">
        <f t="shared" si="6"/>
        <v>44808</v>
      </c>
      <c r="C248" s="23">
        <v>9.0</v>
      </c>
      <c r="D248" s="23" t="s">
        <v>35</v>
      </c>
      <c r="E248" s="25" t="s">
        <v>26</v>
      </c>
      <c r="F248" s="26"/>
      <c r="H248" s="27"/>
      <c r="J248" s="27"/>
      <c r="L248" s="27"/>
      <c r="N248" s="27"/>
      <c r="P248" s="27"/>
      <c r="Q248" s="29"/>
      <c r="R248" s="26">
        <v>0.0</v>
      </c>
      <c r="T248" s="27">
        <v>100.0</v>
      </c>
      <c r="V248" s="27">
        <v>75.0</v>
      </c>
      <c r="X248" s="27">
        <v>100.0</v>
      </c>
      <c r="Z248" s="27">
        <v>100.0</v>
      </c>
      <c r="AB248" s="27">
        <v>0.0</v>
      </c>
      <c r="AC248" s="29"/>
      <c r="AD248" s="26"/>
      <c r="AF248" s="27"/>
      <c r="AH248" s="27"/>
      <c r="AJ248" s="27"/>
      <c r="AL248" s="27"/>
      <c r="AN248" s="27"/>
      <c r="AO248" s="29"/>
      <c r="AP248" s="35">
        <f t="shared" si="1"/>
        <v>5075</v>
      </c>
      <c r="AQ248" s="23">
        <f t="shared" si="2"/>
        <v>375</v>
      </c>
      <c r="AR248" s="23">
        <f t="shared" si="3"/>
        <v>0</v>
      </c>
      <c r="AS248" s="23">
        <f t="shared" si="4"/>
        <v>375</v>
      </c>
      <c r="AT248" s="36">
        <f t="shared" si="5"/>
        <v>13.53333333</v>
      </c>
      <c r="AU248" s="37"/>
      <c r="AV248" s="37"/>
      <c r="AW248" s="37"/>
    </row>
    <row r="249" ht="15.75" customHeight="1">
      <c r="A249" s="39" t="s">
        <v>27</v>
      </c>
      <c r="B249" s="40">
        <f t="shared" si="6"/>
        <v>44809</v>
      </c>
      <c r="C249" s="41">
        <v>9.0</v>
      </c>
      <c r="D249" s="41" t="s">
        <v>35</v>
      </c>
      <c r="E249" s="43" t="s">
        <v>26</v>
      </c>
      <c r="F249" s="26"/>
      <c r="H249" s="27"/>
      <c r="J249" s="27"/>
      <c r="L249" s="27"/>
      <c r="N249" s="27"/>
      <c r="P249" s="27"/>
      <c r="Q249" s="29"/>
      <c r="R249" s="26">
        <v>0.0</v>
      </c>
      <c r="T249" s="27">
        <v>100.0</v>
      </c>
      <c r="V249" s="27">
        <v>75.0</v>
      </c>
      <c r="X249" s="27">
        <v>100.0</v>
      </c>
      <c r="Z249" s="27">
        <v>100.0</v>
      </c>
      <c r="AB249" s="27">
        <v>0.0</v>
      </c>
      <c r="AC249" s="29"/>
      <c r="AD249" s="26"/>
      <c r="AF249" s="27"/>
      <c r="AH249" s="27"/>
      <c r="AJ249" s="27"/>
      <c r="AL249" s="27"/>
      <c r="AN249" s="27"/>
      <c r="AO249" s="29"/>
      <c r="AP249" s="45">
        <f t="shared" si="1"/>
        <v>5075</v>
      </c>
      <c r="AQ249" s="41">
        <f t="shared" si="2"/>
        <v>375</v>
      </c>
      <c r="AR249" s="41">
        <f t="shared" si="3"/>
        <v>0</v>
      </c>
      <c r="AS249" s="41">
        <f t="shared" si="4"/>
        <v>375</v>
      </c>
      <c r="AT249" s="46">
        <f t="shared" si="5"/>
        <v>13.53333333</v>
      </c>
      <c r="AU249" s="37"/>
      <c r="AV249" s="37"/>
      <c r="AW249" s="37"/>
    </row>
    <row r="250" ht="15.75" customHeight="1">
      <c r="A250" s="39" t="s">
        <v>28</v>
      </c>
      <c r="B250" s="40">
        <f t="shared" si="6"/>
        <v>44810</v>
      </c>
      <c r="C250" s="41">
        <v>9.0</v>
      </c>
      <c r="D250" s="41" t="s">
        <v>35</v>
      </c>
      <c r="E250" s="43" t="s">
        <v>26</v>
      </c>
      <c r="F250" s="26"/>
      <c r="H250" s="27"/>
      <c r="J250" s="27"/>
      <c r="L250" s="27"/>
      <c r="N250" s="27"/>
      <c r="P250" s="27"/>
      <c r="Q250" s="29"/>
      <c r="R250" s="26">
        <v>0.0</v>
      </c>
      <c r="T250" s="27">
        <v>100.0</v>
      </c>
      <c r="V250" s="27">
        <v>75.0</v>
      </c>
      <c r="X250" s="27">
        <v>100.0</v>
      </c>
      <c r="Z250" s="27">
        <v>100.0</v>
      </c>
      <c r="AB250" s="27">
        <v>0.0</v>
      </c>
      <c r="AC250" s="29"/>
      <c r="AD250" s="26"/>
      <c r="AF250" s="27"/>
      <c r="AH250" s="27"/>
      <c r="AJ250" s="27"/>
      <c r="AL250" s="27"/>
      <c r="AN250" s="27"/>
      <c r="AO250" s="29"/>
      <c r="AP250" s="45">
        <f t="shared" si="1"/>
        <v>5075</v>
      </c>
      <c r="AQ250" s="41">
        <f t="shared" si="2"/>
        <v>375</v>
      </c>
      <c r="AR250" s="41">
        <f t="shared" si="3"/>
        <v>0</v>
      </c>
      <c r="AS250" s="41">
        <f t="shared" si="4"/>
        <v>375</v>
      </c>
      <c r="AT250" s="46">
        <f t="shared" si="5"/>
        <v>13.53333333</v>
      </c>
      <c r="AU250" s="37"/>
      <c r="AV250" s="37"/>
      <c r="AW250" s="37"/>
    </row>
    <row r="251" ht="15.75" customHeight="1">
      <c r="A251" s="39" t="s">
        <v>29</v>
      </c>
      <c r="B251" s="40">
        <f t="shared" si="6"/>
        <v>44811</v>
      </c>
      <c r="C251" s="41">
        <v>9.0</v>
      </c>
      <c r="D251" s="41" t="s">
        <v>35</v>
      </c>
      <c r="E251" s="43" t="s">
        <v>26</v>
      </c>
      <c r="F251" s="26"/>
      <c r="H251" s="27"/>
      <c r="J251" s="27"/>
      <c r="L251" s="27"/>
      <c r="N251" s="27"/>
      <c r="P251" s="27"/>
      <c r="Q251" s="29"/>
      <c r="R251" s="26">
        <v>0.0</v>
      </c>
      <c r="T251" s="27">
        <v>100.0</v>
      </c>
      <c r="V251" s="27">
        <v>75.0</v>
      </c>
      <c r="X251" s="27">
        <v>100.0</v>
      </c>
      <c r="Z251" s="27">
        <v>100.0</v>
      </c>
      <c r="AB251" s="27">
        <v>0.0</v>
      </c>
      <c r="AC251" s="29"/>
      <c r="AD251" s="26"/>
      <c r="AF251" s="27"/>
      <c r="AH251" s="27"/>
      <c r="AJ251" s="27"/>
      <c r="AL251" s="27"/>
      <c r="AN251" s="27"/>
      <c r="AO251" s="29"/>
      <c r="AP251" s="45">
        <f t="shared" si="1"/>
        <v>5075</v>
      </c>
      <c r="AQ251" s="41">
        <f t="shared" si="2"/>
        <v>375</v>
      </c>
      <c r="AR251" s="41">
        <f t="shared" si="3"/>
        <v>0</v>
      </c>
      <c r="AS251" s="41">
        <f t="shared" si="4"/>
        <v>375</v>
      </c>
      <c r="AT251" s="46">
        <f t="shared" si="5"/>
        <v>13.53333333</v>
      </c>
      <c r="AU251" s="37"/>
      <c r="AV251" s="37"/>
      <c r="AW251" s="37"/>
    </row>
    <row r="252" ht="15.75" customHeight="1">
      <c r="A252" s="39" t="s">
        <v>30</v>
      </c>
      <c r="B252" s="40">
        <f t="shared" si="6"/>
        <v>44812</v>
      </c>
      <c r="C252" s="41">
        <v>9.0</v>
      </c>
      <c r="D252" s="41" t="s">
        <v>35</v>
      </c>
      <c r="E252" s="43" t="s">
        <v>26</v>
      </c>
      <c r="F252" s="26"/>
      <c r="H252" s="27"/>
      <c r="J252" s="27"/>
      <c r="L252" s="27"/>
      <c r="N252" s="27"/>
      <c r="P252" s="27"/>
      <c r="Q252" s="29"/>
      <c r="R252" s="26">
        <v>0.0</v>
      </c>
      <c r="T252" s="27">
        <v>100.0</v>
      </c>
      <c r="V252" s="27">
        <v>75.0</v>
      </c>
      <c r="X252" s="27">
        <v>100.0</v>
      </c>
      <c r="Z252" s="27">
        <v>100.0</v>
      </c>
      <c r="AB252" s="27">
        <v>0.0</v>
      </c>
      <c r="AC252" s="29"/>
      <c r="AD252" s="26"/>
      <c r="AF252" s="27"/>
      <c r="AH252" s="27"/>
      <c r="AJ252" s="27"/>
      <c r="AL252" s="27"/>
      <c r="AN252" s="27"/>
      <c r="AO252" s="29"/>
      <c r="AP252" s="45">
        <f t="shared" si="1"/>
        <v>5075</v>
      </c>
      <c r="AQ252" s="41">
        <f t="shared" si="2"/>
        <v>375</v>
      </c>
      <c r="AR252" s="41">
        <f t="shared" si="3"/>
        <v>0</v>
      </c>
      <c r="AS252" s="41">
        <f t="shared" si="4"/>
        <v>375</v>
      </c>
      <c r="AT252" s="46">
        <f t="shared" si="5"/>
        <v>13.53333333</v>
      </c>
      <c r="AU252" s="37"/>
      <c r="AV252" s="37"/>
      <c r="AW252" s="37"/>
    </row>
    <row r="253" ht="15.75" customHeight="1">
      <c r="A253" s="39" t="s">
        <v>31</v>
      </c>
      <c r="B253" s="40">
        <f t="shared" si="6"/>
        <v>44813</v>
      </c>
      <c r="C253" s="41">
        <v>9.0</v>
      </c>
      <c r="D253" s="41" t="s">
        <v>35</v>
      </c>
      <c r="E253" s="43" t="s">
        <v>26</v>
      </c>
      <c r="F253" s="26"/>
      <c r="H253" s="27"/>
      <c r="J253" s="27"/>
      <c r="L253" s="27"/>
      <c r="N253" s="27"/>
      <c r="P253" s="27"/>
      <c r="Q253" s="29"/>
      <c r="R253" s="26">
        <v>0.0</v>
      </c>
      <c r="T253" s="27">
        <v>100.0</v>
      </c>
      <c r="V253" s="27">
        <v>75.0</v>
      </c>
      <c r="X253" s="27">
        <v>100.0</v>
      </c>
      <c r="Z253" s="27">
        <v>100.0</v>
      </c>
      <c r="AB253" s="27">
        <v>0.0</v>
      </c>
      <c r="AC253" s="29"/>
      <c r="AD253" s="26"/>
      <c r="AF253" s="27"/>
      <c r="AH253" s="27"/>
      <c r="AJ253" s="27"/>
      <c r="AL253" s="27"/>
      <c r="AN253" s="27"/>
      <c r="AO253" s="29"/>
      <c r="AP253" s="45">
        <f t="shared" si="1"/>
        <v>5075</v>
      </c>
      <c r="AQ253" s="41">
        <f t="shared" si="2"/>
        <v>375</v>
      </c>
      <c r="AR253" s="41">
        <f t="shared" si="3"/>
        <v>0</v>
      </c>
      <c r="AS253" s="41">
        <f t="shared" si="4"/>
        <v>375</v>
      </c>
      <c r="AT253" s="46">
        <f t="shared" si="5"/>
        <v>13.53333333</v>
      </c>
      <c r="AU253" s="37"/>
      <c r="AV253" s="37"/>
      <c r="AW253" s="37"/>
    </row>
    <row r="254" ht="15.75" customHeight="1">
      <c r="A254" s="49" t="s">
        <v>32</v>
      </c>
      <c r="B254" s="50">
        <f t="shared" si="6"/>
        <v>44814</v>
      </c>
      <c r="C254" s="51">
        <v>9.0</v>
      </c>
      <c r="D254" s="51" t="s">
        <v>35</v>
      </c>
      <c r="E254" s="53" t="s">
        <v>26</v>
      </c>
      <c r="F254" s="54"/>
      <c r="G254" s="55"/>
      <c r="H254" s="56"/>
      <c r="I254" s="55"/>
      <c r="J254" s="56"/>
      <c r="K254" s="55"/>
      <c r="L254" s="56"/>
      <c r="M254" s="55"/>
      <c r="N254" s="56"/>
      <c r="O254" s="55"/>
      <c r="P254" s="56"/>
      <c r="Q254" s="58"/>
      <c r="R254" s="54">
        <v>0.0</v>
      </c>
      <c r="S254" s="55"/>
      <c r="T254" s="56">
        <v>0.0</v>
      </c>
      <c r="U254" s="55"/>
      <c r="V254" s="56">
        <v>0.0</v>
      </c>
      <c r="W254" s="55"/>
      <c r="X254" s="56">
        <v>0.0</v>
      </c>
      <c r="Y254" s="55"/>
      <c r="Z254" s="56">
        <v>0.0</v>
      </c>
      <c r="AA254" s="55"/>
      <c r="AB254" s="56">
        <v>0.0</v>
      </c>
      <c r="AC254" s="58"/>
      <c r="AD254" s="54"/>
      <c r="AE254" s="55"/>
      <c r="AF254" s="56"/>
      <c r="AG254" s="55"/>
      <c r="AH254" s="56"/>
      <c r="AI254" s="55"/>
      <c r="AJ254" s="56"/>
      <c r="AK254" s="55"/>
      <c r="AL254" s="56"/>
      <c r="AM254" s="55"/>
      <c r="AN254" s="56"/>
      <c r="AO254" s="58"/>
      <c r="AP254" s="60">
        <f t="shared" si="1"/>
        <v>0</v>
      </c>
      <c r="AQ254" s="51">
        <f t="shared" si="2"/>
        <v>0</v>
      </c>
      <c r="AR254" s="51">
        <f t="shared" si="3"/>
        <v>0</v>
      </c>
      <c r="AS254" s="51">
        <f t="shared" si="4"/>
        <v>0</v>
      </c>
      <c r="AT254" s="61" t="str">
        <f t="shared" si="5"/>
        <v/>
      </c>
      <c r="AU254" s="37"/>
      <c r="AV254" s="37"/>
      <c r="AW254" s="37"/>
    </row>
    <row r="255" ht="15.75" customHeight="1">
      <c r="A255" s="21" t="s">
        <v>24</v>
      </c>
      <c r="B255" s="62">
        <f t="shared" si="6"/>
        <v>44815</v>
      </c>
      <c r="C255" s="23">
        <v>10.0</v>
      </c>
      <c r="D255" s="23" t="s">
        <v>25</v>
      </c>
      <c r="E255" s="25" t="s">
        <v>42</v>
      </c>
      <c r="F255" s="26"/>
      <c r="H255" s="27"/>
      <c r="J255" s="27"/>
      <c r="L255" s="27"/>
      <c r="N255" s="27"/>
      <c r="P255" s="27"/>
      <c r="Q255" s="29"/>
      <c r="R255" s="26">
        <v>0.0</v>
      </c>
      <c r="T255" s="27">
        <v>100.0</v>
      </c>
      <c r="V255" s="27">
        <v>75.0</v>
      </c>
      <c r="X255" s="27">
        <v>100.0</v>
      </c>
      <c r="Z255" s="27">
        <v>100.0</v>
      </c>
      <c r="AB255" s="27">
        <v>0.0</v>
      </c>
      <c r="AC255" s="29"/>
      <c r="AD255" s="26"/>
      <c r="AF255" s="27"/>
      <c r="AH255" s="27"/>
      <c r="AJ255" s="27"/>
      <c r="AL255" s="27"/>
      <c r="AN255" s="27"/>
      <c r="AO255" s="29"/>
      <c r="AP255" s="35">
        <f t="shared" si="1"/>
        <v>5075</v>
      </c>
      <c r="AQ255" s="23">
        <f t="shared" si="2"/>
        <v>375</v>
      </c>
      <c r="AR255" s="23">
        <f t="shared" si="3"/>
        <v>0</v>
      </c>
      <c r="AS255" s="23">
        <f t="shared" si="4"/>
        <v>375</v>
      </c>
      <c r="AT255" s="36">
        <f t="shared" si="5"/>
        <v>13.53333333</v>
      </c>
      <c r="AU255" s="37"/>
      <c r="AV255" s="37"/>
      <c r="AW255" s="37"/>
    </row>
    <row r="256" ht="15.75" customHeight="1">
      <c r="A256" s="39" t="s">
        <v>27</v>
      </c>
      <c r="B256" s="40">
        <f t="shared" si="6"/>
        <v>44816</v>
      </c>
      <c r="C256" s="41">
        <v>10.0</v>
      </c>
      <c r="D256" s="41" t="s">
        <v>25</v>
      </c>
      <c r="E256" s="43" t="s">
        <v>42</v>
      </c>
      <c r="F256" s="26"/>
      <c r="H256" s="27"/>
      <c r="J256" s="27"/>
      <c r="L256" s="27"/>
      <c r="N256" s="27"/>
      <c r="P256" s="27"/>
      <c r="Q256" s="29"/>
      <c r="R256" s="26">
        <v>0.0</v>
      </c>
      <c r="T256" s="27">
        <v>100.0</v>
      </c>
      <c r="V256" s="27">
        <v>75.0</v>
      </c>
      <c r="X256" s="27">
        <v>100.0</v>
      </c>
      <c r="Z256" s="27">
        <v>100.0</v>
      </c>
      <c r="AB256" s="27">
        <v>0.0</v>
      </c>
      <c r="AC256" s="29"/>
      <c r="AD256" s="26"/>
      <c r="AF256" s="27"/>
      <c r="AH256" s="27"/>
      <c r="AJ256" s="27"/>
      <c r="AL256" s="27"/>
      <c r="AN256" s="27"/>
      <c r="AO256" s="29"/>
      <c r="AP256" s="45">
        <f t="shared" si="1"/>
        <v>5075</v>
      </c>
      <c r="AQ256" s="41">
        <f t="shared" si="2"/>
        <v>375</v>
      </c>
      <c r="AR256" s="41">
        <f t="shared" si="3"/>
        <v>0</v>
      </c>
      <c r="AS256" s="41">
        <f t="shared" si="4"/>
        <v>375</v>
      </c>
      <c r="AT256" s="46">
        <f t="shared" si="5"/>
        <v>13.53333333</v>
      </c>
      <c r="AU256" s="37"/>
      <c r="AV256" s="37"/>
      <c r="AW256" s="37"/>
    </row>
    <row r="257" ht="15.75" customHeight="1">
      <c r="A257" s="39" t="s">
        <v>28</v>
      </c>
      <c r="B257" s="40">
        <f t="shared" si="6"/>
        <v>44817</v>
      </c>
      <c r="C257" s="41">
        <v>10.0</v>
      </c>
      <c r="D257" s="41" t="s">
        <v>25</v>
      </c>
      <c r="E257" s="43" t="s">
        <v>42</v>
      </c>
      <c r="F257" s="26"/>
      <c r="H257" s="27"/>
      <c r="J257" s="27"/>
      <c r="L257" s="27"/>
      <c r="N257" s="27"/>
      <c r="P257" s="27"/>
      <c r="Q257" s="29"/>
      <c r="R257" s="26">
        <v>0.0</v>
      </c>
      <c r="T257" s="27">
        <v>100.0</v>
      </c>
      <c r="V257" s="27">
        <v>75.0</v>
      </c>
      <c r="X257" s="27">
        <v>100.0</v>
      </c>
      <c r="Z257" s="27">
        <v>100.0</v>
      </c>
      <c r="AB257" s="27">
        <v>0.0</v>
      </c>
      <c r="AC257" s="29"/>
      <c r="AD257" s="26"/>
      <c r="AF257" s="27"/>
      <c r="AH257" s="27"/>
      <c r="AJ257" s="27"/>
      <c r="AL257" s="27"/>
      <c r="AN257" s="27"/>
      <c r="AO257" s="29"/>
      <c r="AP257" s="45">
        <f t="shared" si="1"/>
        <v>5075</v>
      </c>
      <c r="AQ257" s="41">
        <f t="shared" si="2"/>
        <v>375</v>
      </c>
      <c r="AR257" s="41">
        <f t="shared" si="3"/>
        <v>0</v>
      </c>
      <c r="AS257" s="41">
        <f t="shared" si="4"/>
        <v>375</v>
      </c>
      <c r="AT257" s="46">
        <f t="shared" si="5"/>
        <v>13.53333333</v>
      </c>
      <c r="AU257" s="37"/>
      <c r="AV257" s="37"/>
      <c r="AW257" s="37"/>
    </row>
    <row r="258" ht="15.75" customHeight="1">
      <c r="A258" s="39" t="s">
        <v>29</v>
      </c>
      <c r="B258" s="40">
        <f t="shared" si="6"/>
        <v>44818</v>
      </c>
      <c r="C258" s="41">
        <v>10.0</v>
      </c>
      <c r="D258" s="41" t="s">
        <v>25</v>
      </c>
      <c r="E258" s="43" t="s">
        <v>42</v>
      </c>
      <c r="F258" s="26"/>
      <c r="H258" s="27"/>
      <c r="J258" s="27"/>
      <c r="L258" s="27"/>
      <c r="N258" s="27"/>
      <c r="P258" s="27"/>
      <c r="Q258" s="29"/>
      <c r="R258" s="26">
        <v>0.0</v>
      </c>
      <c r="T258" s="27">
        <v>100.0</v>
      </c>
      <c r="V258" s="27">
        <v>75.0</v>
      </c>
      <c r="X258" s="27">
        <v>100.0</v>
      </c>
      <c r="Z258" s="27">
        <v>100.0</v>
      </c>
      <c r="AB258" s="27">
        <v>0.0</v>
      </c>
      <c r="AC258" s="29"/>
      <c r="AD258" s="26"/>
      <c r="AF258" s="27"/>
      <c r="AH258" s="27"/>
      <c r="AJ258" s="27"/>
      <c r="AL258" s="27"/>
      <c r="AN258" s="27"/>
      <c r="AO258" s="29"/>
      <c r="AP258" s="45">
        <f t="shared" si="1"/>
        <v>5075</v>
      </c>
      <c r="AQ258" s="41">
        <f t="shared" si="2"/>
        <v>375</v>
      </c>
      <c r="AR258" s="41">
        <f t="shared" si="3"/>
        <v>0</v>
      </c>
      <c r="AS258" s="41">
        <f t="shared" si="4"/>
        <v>375</v>
      </c>
      <c r="AT258" s="46">
        <f t="shared" si="5"/>
        <v>13.53333333</v>
      </c>
      <c r="AU258" s="37"/>
      <c r="AV258" s="37"/>
      <c r="AW258" s="37"/>
    </row>
    <row r="259" ht="15.75" customHeight="1">
      <c r="A259" s="39" t="s">
        <v>30</v>
      </c>
      <c r="B259" s="40">
        <f t="shared" si="6"/>
        <v>44819</v>
      </c>
      <c r="C259" s="41">
        <v>10.0</v>
      </c>
      <c r="D259" s="41" t="s">
        <v>25</v>
      </c>
      <c r="E259" s="43" t="s">
        <v>42</v>
      </c>
      <c r="F259" s="26"/>
      <c r="H259" s="27"/>
      <c r="J259" s="27"/>
      <c r="L259" s="27"/>
      <c r="N259" s="27"/>
      <c r="P259" s="27"/>
      <c r="Q259" s="29"/>
      <c r="R259" s="26">
        <v>0.0</v>
      </c>
      <c r="T259" s="27">
        <v>100.0</v>
      </c>
      <c r="V259" s="27">
        <v>75.0</v>
      </c>
      <c r="X259" s="27">
        <v>100.0</v>
      </c>
      <c r="Z259" s="27">
        <v>100.0</v>
      </c>
      <c r="AB259" s="27">
        <v>0.0</v>
      </c>
      <c r="AC259" s="29"/>
      <c r="AD259" s="26"/>
      <c r="AF259" s="27"/>
      <c r="AH259" s="27"/>
      <c r="AJ259" s="27"/>
      <c r="AL259" s="27"/>
      <c r="AN259" s="27"/>
      <c r="AO259" s="29"/>
      <c r="AP259" s="45">
        <f t="shared" si="1"/>
        <v>5075</v>
      </c>
      <c r="AQ259" s="41">
        <f t="shared" si="2"/>
        <v>375</v>
      </c>
      <c r="AR259" s="41">
        <f t="shared" si="3"/>
        <v>0</v>
      </c>
      <c r="AS259" s="41">
        <f t="shared" si="4"/>
        <v>375</v>
      </c>
      <c r="AT259" s="46">
        <f t="shared" si="5"/>
        <v>13.53333333</v>
      </c>
      <c r="AU259" s="37"/>
      <c r="AV259" s="37"/>
      <c r="AW259" s="37"/>
    </row>
    <row r="260" ht="15.75" customHeight="1">
      <c r="A260" s="39" t="s">
        <v>31</v>
      </c>
      <c r="B260" s="40">
        <f t="shared" si="6"/>
        <v>44820</v>
      </c>
      <c r="C260" s="41">
        <v>10.0</v>
      </c>
      <c r="D260" s="41" t="s">
        <v>25</v>
      </c>
      <c r="E260" s="43" t="s">
        <v>42</v>
      </c>
      <c r="F260" s="26"/>
      <c r="H260" s="27"/>
      <c r="J260" s="27"/>
      <c r="L260" s="27"/>
      <c r="N260" s="27"/>
      <c r="P260" s="27"/>
      <c r="Q260" s="29"/>
      <c r="R260" s="26">
        <v>0.0</v>
      </c>
      <c r="T260" s="27">
        <v>100.0</v>
      </c>
      <c r="V260" s="27">
        <v>75.0</v>
      </c>
      <c r="X260" s="27">
        <v>100.0</v>
      </c>
      <c r="Z260" s="27">
        <v>100.0</v>
      </c>
      <c r="AB260" s="27">
        <v>0.0</v>
      </c>
      <c r="AC260" s="29"/>
      <c r="AD260" s="26"/>
      <c r="AF260" s="27"/>
      <c r="AH260" s="27"/>
      <c r="AJ260" s="27"/>
      <c r="AL260" s="27"/>
      <c r="AN260" s="27"/>
      <c r="AO260" s="29"/>
      <c r="AP260" s="45">
        <f t="shared" si="1"/>
        <v>5075</v>
      </c>
      <c r="AQ260" s="41">
        <f t="shared" si="2"/>
        <v>375</v>
      </c>
      <c r="AR260" s="41">
        <f t="shared" si="3"/>
        <v>0</v>
      </c>
      <c r="AS260" s="41">
        <f t="shared" si="4"/>
        <v>375</v>
      </c>
      <c r="AT260" s="46">
        <f t="shared" si="5"/>
        <v>13.53333333</v>
      </c>
      <c r="AU260" s="37"/>
      <c r="AV260" s="37"/>
      <c r="AW260" s="37"/>
    </row>
    <row r="261" ht="15.75" customHeight="1">
      <c r="A261" s="49" t="s">
        <v>32</v>
      </c>
      <c r="B261" s="50">
        <f t="shared" si="6"/>
        <v>44821</v>
      </c>
      <c r="C261" s="51">
        <v>10.0</v>
      </c>
      <c r="D261" s="51" t="s">
        <v>25</v>
      </c>
      <c r="E261" s="53" t="s">
        <v>42</v>
      </c>
      <c r="F261" s="54"/>
      <c r="G261" s="55"/>
      <c r="H261" s="56"/>
      <c r="I261" s="55"/>
      <c r="J261" s="56"/>
      <c r="K261" s="55"/>
      <c r="L261" s="56"/>
      <c r="M261" s="55"/>
      <c r="N261" s="56"/>
      <c r="O261" s="55"/>
      <c r="P261" s="56"/>
      <c r="Q261" s="58"/>
      <c r="R261" s="54">
        <v>0.0</v>
      </c>
      <c r="S261" s="55"/>
      <c r="T261" s="56">
        <v>0.0</v>
      </c>
      <c r="U261" s="55"/>
      <c r="V261" s="56">
        <v>0.0</v>
      </c>
      <c r="W261" s="55"/>
      <c r="X261" s="56">
        <v>0.0</v>
      </c>
      <c r="Y261" s="55"/>
      <c r="Z261" s="56">
        <v>0.0</v>
      </c>
      <c r="AA261" s="55"/>
      <c r="AB261" s="56">
        <v>0.0</v>
      </c>
      <c r="AC261" s="58"/>
      <c r="AD261" s="54"/>
      <c r="AE261" s="55"/>
      <c r="AF261" s="56"/>
      <c r="AG261" s="55"/>
      <c r="AH261" s="56"/>
      <c r="AI261" s="55"/>
      <c r="AJ261" s="56"/>
      <c r="AK261" s="55"/>
      <c r="AL261" s="56"/>
      <c r="AM261" s="55"/>
      <c r="AN261" s="56"/>
      <c r="AO261" s="58"/>
      <c r="AP261" s="60">
        <f t="shared" si="1"/>
        <v>0</v>
      </c>
      <c r="AQ261" s="51">
        <f t="shared" si="2"/>
        <v>0</v>
      </c>
      <c r="AR261" s="51">
        <f t="shared" si="3"/>
        <v>0</v>
      </c>
      <c r="AS261" s="51">
        <f t="shared" si="4"/>
        <v>0</v>
      </c>
      <c r="AT261" s="61" t="str">
        <f t="shared" si="5"/>
        <v/>
      </c>
      <c r="AU261" s="37"/>
      <c r="AV261" s="37"/>
      <c r="AW261" s="37"/>
    </row>
    <row r="262" ht="15.75" customHeight="1">
      <c r="A262" s="21" t="s">
        <v>24</v>
      </c>
      <c r="B262" s="62">
        <f t="shared" si="6"/>
        <v>44822</v>
      </c>
      <c r="C262" s="23">
        <v>10.0</v>
      </c>
      <c r="D262" s="23" t="s">
        <v>33</v>
      </c>
      <c r="E262" s="63" t="s">
        <v>42</v>
      </c>
      <c r="F262" s="26"/>
      <c r="H262" s="27"/>
      <c r="J262" s="27"/>
      <c r="L262" s="27"/>
      <c r="N262" s="27"/>
      <c r="P262" s="27"/>
      <c r="Q262" s="29"/>
      <c r="R262" s="26">
        <v>125.0</v>
      </c>
      <c r="T262" s="27">
        <v>125.0</v>
      </c>
      <c r="V262" s="27">
        <v>0.0</v>
      </c>
      <c r="X262" s="27">
        <v>0.0</v>
      </c>
      <c r="Z262" s="27">
        <v>0.0</v>
      </c>
      <c r="AB262" s="27">
        <v>0.0</v>
      </c>
      <c r="AC262" s="29"/>
      <c r="AD262" s="26"/>
      <c r="AF262" s="27"/>
      <c r="AH262" s="27"/>
      <c r="AJ262" s="27"/>
      <c r="AL262" s="27"/>
      <c r="AN262" s="27"/>
      <c r="AO262" s="29"/>
      <c r="AP262" s="35">
        <f t="shared" si="1"/>
        <v>4250</v>
      </c>
      <c r="AQ262" s="23">
        <f t="shared" si="2"/>
        <v>250</v>
      </c>
      <c r="AR262" s="23">
        <f t="shared" si="3"/>
        <v>0</v>
      </c>
      <c r="AS262" s="23">
        <f t="shared" si="4"/>
        <v>250</v>
      </c>
      <c r="AT262" s="36">
        <f t="shared" si="5"/>
        <v>17</v>
      </c>
      <c r="AU262" s="37"/>
      <c r="AV262" s="37"/>
      <c r="AW262" s="37"/>
    </row>
    <row r="263" ht="15.75" customHeight="1">
      <c r="A263" s="39" t="s">
        <v>27</v>
      </c>
      <c r="B263" s="40">
        <f t="shared" si="6"/>
        <v>44823</v>
      </c>
      <c r="C263" s="41">
        <v>10.0</v>
      </c>
      <c r="D263" s="41" t="s">
        <v>33</v>
      </c>
      <c r="E263" s="43" t="s">
        <v>42</v>
      </c>
      <c r="F263" s="26"/>
      <c r="H263" s="27"/>
      <c r="J263" s="27"/>
      <c r="L263" s="27"/>
      <c r="N263" s="27"/>
      <c r="P263" s="27"/>
      <c r="Q263" s="29"/>
      <c r="R263" s="26">
        <v>125.0</v>
      </c>
      <c r="T263" s="27">
        <v>125.0</v>
      </c>
      <c r="V263" s="27">
        <v>0.0</v>
      </c>
      <c r="X263" s="27">
        <v>0.0</v>
      </c>
      <c r="Z263" s="27">
        <v>0.0</v>
      </c>
      <c r="AB263" s="27">
        <v>0.0</v>
      </c>
      <c r="AC263" s="29"/>
      <c r="AD263" s="26"/>
      <c r="AF263" s="27"/>
      <c r="AH263" s="27"/>
      <c r="AJ263" s="27"/>
      <c r="AL263" s="27"/>
      <c r="AN263" s="27"/>
      <c r="AO263" s="29"/>
      <c r="AP263" s="45">
        <f t="shared" si="1"/>
        <v>4250</v>
      </c>
      <c r="AQ263" s="41">
        <f t="shared" si="2"/>
        <v>250</v>
      </c>
      <c r="AR263" s="41">
        <f t="shared" si="3"/>
        <v>0</v>
      </c>
      <c r="AS263" s="41">
        <f t="shared" si="4"/>
        <v>250</v>
      </c>
      <c r="AT263" s="46">
        <f t="shared" si="5"/>
        <v>17</v>
      </c>
      <c r="AU263" s="37"/>
      <c r="AV263" s="37"/>
      <c r="AW263" s="37"/>
    </row>
    <row r="264" ht="15.75" customHeight="1">
      <c r="A264" s="39" t="s">
        <v>28</v>
      </c>
      <c r="B264" s="40">
        <f t="shared" si="6"/>
        <v>44824</v>
      </c>
      <c r="C264" s="41">
        <v>10.0</v>
      </c>
      <c r="D264" s="41" t="s">
        <v>33</v>
      </c>
      <c r="E264" s="43" t="s">
        <v>42</v>
      </c>
      <c r="F264" s="26"/>
      <c r="H264" s="27"/>
      <c r="J264" s="27"/>
      <c r="L264" s="27"/>
      <c r="N264" s="27"/>
      <c r="P264" s="27"/>
      <c r="Q264" s="29"/>
      <c r="R264" s="26">
        <v>125.0</v>
      </c>
      <c r="T264" s="27">
        <v>125.0</v>
      </c>
      <c r="V264" s="27">
        <v>0.0</v>
      </c>
      <c r="X264" s="27">
        <v>0.0</v>
      </c>
      <c r="Z264" s="27">
        <v>0.0</v>
      </c>
      <c r="AB264" s="27">
        <v>0.0</v>
      </c>
      <c r="AC264" s="29"/>
      <c r="AD264" s="26"/>
      <c r="AF264" s="27"/>
      <c r="AH264" s="27"/>
      <c r="AJ264" s="27"/>
      <c r="AL264" s="27"/>
      <c r="AN264" s="27"/>
      <c r="AO264" s="29"/>
      <c r="AP264" s="45">
        <f t="shared" si="1"/>
        <v>4250</v>
      </c>
      <c r="AQ264" s="41">
        <f t="shared" si="2"/>
        <v>250</v>
      </c>
      <c r="AR264" s="41">
        <f t="shared" si="3"/>
        <v>0</v>
      </c>
      <c r="AS264" s="41">
        <f t="shared" si="4"/>
        <v>250</v>
      </c>
      <c r="AT264" s="46">
        <f t="shared" si="5"/>
        <v>17</v>
      </c>
      <c r="AU264" s="37"/>
      <c r="AV264" s="37"/>
      <c r="AW264" s="37"/>
    </row>
    <row r="265" ht="15.75" customHeight="1">
      <c r="A265" s="39" t="s">
        <v>29</v>
      </c>
      <c r="B265" s="40">
        <f t="shared" si="6"/>
        <v>44825</v>
      </c>
      <c r="C265" s="41">
        <v>10.0</v>
      </c>
      <c r="D265" s="41" t="s">
        <v>33</v>
      </c>
      <c r="E265" s="43" t="s">
        <v>42</v>
      </c>
      <c r="F265" s="26"/>
      <c r="H265" s="27"/>
      <c r="J265" s="27"/>
      <c r="L265" s="27"/>
      <c r="N265" s="27"/>
      <c r="P265" s="27"/>
      <c r="Q265" s="29"/>
      <c r="R265" s="26">
        <v>125.0</v>
      </c>
      <c r="T265" s="27">
        <v>125.0</v>
      </c>
      <c r="V265" s="27">
        <v>0.0</v>
      </c>
      <c r="X265" s="27">
        <v>0.0</v>
      </c>
      <c r="Z265" s="27">
        <v>0.0</v>
      </c>
      <c r="AB265" s="27">
        <v>0.0</v>
      </c>
      <c r="AC265" s="29"/>
      <c r="AD265" s="26"/>
      <c r="AF265" s="27"/>
      <c r="AH265" s="27"/>
      <c r="AJ265" s="27"/>
      <c r="AL265" s="27"/>
      <c r="AN265" s="27"/>
      <c r="AO265" s="29"/>
      <c r="AP265" s="45">
        <f t="shared" si="1"/>
        <v>4250</v>
      </c>
      <c r="AQ265" s="41">
        <f t="shared" si="2"/>
        <v>250</v>
      </c>
      <c r="AR265" s="41">
        <f t="shared" si="3"/>
        <v>0</v>
      </c>
      <c r="AS265" s="41">
        <f t="shared" si="4"/>
        <v>250</v>
      </c>
      <c r="AT265" s="46">
        <f t="shared" si="5"/>
        <v>17</v>
      </c>
      <c r="AU265" s="37"/>
      <c r="AV265" s="37"/>
      <c r="AW265" s="37"/>
    </row>
    <row r="266" ht="15.75" customHeight="1">
      <c r="A266" s="39" t="s">
        <v>30</v>
      </c>
      <c r="B266" s="40">
        <f t="shared" si="6"/>
        <v>44826</v>
      </c>
      <c r="C266" s="41">
        <v>10.0</v>
      </c>
      <c r="D266" s="41" t="s">
        <v>33</v>
      </c>
      <c r="E266" s="43" t="s">
        <v>42</v>
      </c>
      <c r="F266" s="26"/>
      <c r="H266" s="27"/>
      <c r="J266" s="27"/>
      <c r="L266" s="27"/>
      <c r="N266" s="27"/>
      <c r="P266" s="27"/>
      <c r="Q266" s="29"/>
      <c r="R266" s="26">
        <v>125.0</v>
      </c>
      <c r="T266" s="27">
        <v>125.0</v>
      </c>
      <c r="V266" s="27">
        <v>0.0</v>
      </c>
      <c r="X266" s="27">
        <v>0.0</v>
      </c>
      <c r="Z266" s="27">
        <v>0.0</v>
      </c>
      <c r="AB266" s="27">
        <v>0.0</v>
      </c>
      <c r="AC266" s="29"/>
      <c r="AD266" s="26"/>
      <c r="AF266" s="27"/>
      <c r="AH266" s="27"/>
      <c r="AJ266" s="27"/>
      <c r="AL266" s="27"/>
      <c r="AN266" s="27"/>
      <c r="AO266" s="29"/>
      <c r="AP266" s="45">
        <f t="shared" si="1"/>
        <v>4250</v>
      </c>
      <c r="AQ266" s="41">
        <f t="shared" si="2"/>
        <v>250</v>
      </c>
      <c r="AR266" s="41">
        <f t="shared" si="3"/>
        <v>0</v>
      </c>
      <c r="AS266" s="41">
        <f t="shared" si="4"/>
        <v>250</v>
      </c>
      <c r="AT266" s="46">
        <f t="shared" si="5"/>
        <v>17</v>
      </c>
      <c r="AU266" s="37"/>
      <c r="AV266" s="37"/>
      <c r="AW266" s="37"/>
    </row>
    <row r="267" ht="15.75" customHeight="1">
      <c r="A267" s="39" t="s">
        <v>31</v>
      </c>
      <c r="B267" s="40">
        <f t="shared" si="6"/>
        <v>44827</v>
      </c>
      <c r="C267" s="41">
        <v>10.0</v>
      </c>
      <c r="D267" s="41" t="s">
        <v>33</v>
      </c>
      <c r="E267" s="43" t="s">
        <v>42</v>
      </c>
      <c r="F267" s="26"/>
      <c r="H267" s="27"/>
      <c r="J267" s="27"/>
      <c r="L267" s="27"/>
      <c r="N267" s="27"/>
      <c r="P267" s="27"/>
      <c r="Q267" s="29"/>
      <c r="R267" s="26">
        <v>125.0</v>
      </c>
      <c r="T267" s="27">
        <v>125.0</v>
      </c>
      <c r="V267" s="27">
        <v>0.0</v>
      </c>
      <c r="X267" s="27">
        <v>0.0</v>
      </c>
      <c r="Z267" s="27">
        <v>0.0</v>
      </c>
      <c r="AB267" s="27">
        <v>0.0</v>
      </c>
      <c r="AC267" s="29"/>
      <c r="AD267" s="26"/>
      <c r="AF267" s="27"/>
      <c r="AH267" s="27"/>
      <c r="AJ267" s="27"/>
      <c r="AL267" s="27"/>
      <c r="AN267" s="27"/>
      <c r="AO267" s="29"/>
      <c r="AP267" s="45">
        <f t="shared" si="1"/>
        <v>4250</v>
      </c>
      <c r="AQ267" s="41">
        <f t="shared" si="2"/>
        <v>250</v>
      </c>
      <c r="AR267" s="41">
        <f t="shared" si="3"/>
        <v>0</v>
      </c>
      <c r="AS267" s="41">
        <f t="shared" si="4"/>
        <v>250</v>
      </c>
      <c r="AT267" s="46">
        <f t="shared" si="5"/>
        <v>17</v>
      </c>
      <c r="AU267" s="37"/>
      <c r="AV267" s="37"/>
      <c r="AW267" s="37"/>
    </row>
    <row r="268" ht="15.75" customHeight="1">
      <c r="A268" s="49" t="s">
        <v>32</v>
      </c>
      <c r="B268" s="50">
        <f t="shared" si="6"/>
        <v>44828</v>
      </c>
      <c r="C268" s="51">
        <v>10.0</v>
      </c>
      <c r="D268" s="51" t="s">
        <v>33</v>
      </c>
      <c r="E268" s="53" t="s">
        <v>42</v>
      </c>
      <c r="F268" s="54"/>
      <c r="G268" s="55"/>
      <c r="H268" s="56"/>
      <c r="I268" s="55"/>
      <c r="J268" s="56"/>
      <c r="K268" s="55"/>
      <c r="L268" s="56"/>
      <c r="M268" s="55"/>
      <c r="N268" s="56"/>
      <c r="O268" s="55"/>
      <c r="P268" s="56"/>
      <c r="Q268" s="58"/>
      <c r="R268" s="54">
        <v>0.0</v>
      </c>
      <c r="S268" s="55"/>
      <c r="T268" s="56">
        <v>0.0</v>
      </c>
      <c r="U268" s="55"/>
      <c r="V268" s="56">
        <v>0.0</v>
      </c>
      <c r="W268" s="55"/>
      <c r="X268" s="56">
        <v>0.0</v>
      </c>
      <c r="Y268" s="55"/>
      <c r="Z268" s="56">
        <v>0.0</v>
      </c>
      <c r="AA268" s="55"/>
      <c r="AB268" s="56">
        <v>0.0</v>
      </c>
      <c r="AC268" s="58"/>
      <c r="AD268" s="54"/>
      <c r="AE268" s="55"/>
      <c r="AF268" s="56"/>
      <c r="AG268" s="55"/>
      <c r="AH268" s="56"/>
      <c r="AI268" s="55"/>
      <c r="AJ268" s="56"/>
      <c r="AK268" s="55"/>
      <c r="AL268" s="56"/>
      <c r="AM268" s="55"/>
      <c r="AN268" s="56"/>
      <c r="AO268" s="58"/>
      <c r="AP268" s="60">
        <f t="shared" si="1"/>
        <v>0</v>
      </c>
      <c r="AQ268" s="51">
        <f t="shared" si="2"/>
        <v>0</v>
      </c>
      <c r="AR268" s="51">
        <f t="shared" si="3"/>
        <v>0</v>
      </c>
      <c r="AS268" s="51">
        <f t="shared" si="4"/>
        <v>0</v>
      </c>
      <c r="AT268" s="61" t="str">
        <f t="shared" si="5"/>
        <v/>
      </c>
      <c r="AU268" s="37"/>
      <c r="AV268" s="37"/>
      <c r="AW268" s="37"/>
    </row>
    <row r="269" ht="15.75" customHeight="1">
      <c r="A269" s="21" t="s">
        <v>24</v>
      </c>
      <c r="B269" s="62">
        <f t="shared" si="6"/>
        <v>44829</v>
      </c>
      <c r="C269" s="23">
        <v>10.0</v>
      </c>
      <c r="D269" s="23" t="s">
        <v>34</v>
      </c>
      <c r="E269" s="63" t="s">
        <v>42</v>
      </c>
      <c r="F269" s="26"/>
      <c r="H269" s="27"/>
      <c r="J269" s="27"/>
      <c r="L269" s="27"/>
      <c r="N269" s="27"/>
      <c r="P269" s="27"/>
      <c r="Q269" s="29"/>
      <c r="R269" s="26">
        <v>125.0</v>
      </c>
      <c r="T269" s="27">
        <v>125.0</v>
      </c>
      <c r="V269" s="27">
        <v>0.0</v>
      </c>
      <c r="X269" s="27">
        <v>0.0</v>
      </c>
      <c r="Z269" s="27">
        <v>0.0</v>
      </c>
      <c r="AB269" s="27">
        <v>0.0</v>
      </c>
      <c r="AC269" s="29"/>
      <c r="AD269" s="26"/>
      <c r="AF269" s="27"/>
      <c r="AH269" s="27"/>
      <c r="AJ269" s="27"/>
      <c r="AL269" s="27"/>
      <c r="AN269" s="27"/>
      <c r="AO269" s="29"/>
      <c r="AP269" s="35">
        <f t="shared" si="1"/>
        <v>4250</v>
      </c>
      <c r="AQ269" s="23">
        <f t="shared" si="2"/>
        <v>250</v>
      </c>
      <c r="AR269" s="23">
        <f t="shared" si="3"/>
        <v>0</v>
      </c>
      <c r="AS269" s="23">
        <f t="shared" si="4"/>
        <v>250</v>
      </c>
      <c r="AT269" s="36">
        <f t="shared" si="5"/>
        <v>17</v>
      </c>
      <c r="AU269" s="37"/>
      <c r="AV269" s="37"/>
      <c r="AW269" s="37"/>
    </row>
    <row r="270" ht="15.75" customHeight="1">
      <c r="A270" s="39" t="s">
        <v>27</v>
      </c>
      <c r="B270" s="40">
        <f t="shared" si="6"/>
        <v>44830</v>
      </c>
      <c r="C270" s="41">
        <v>10.0</v>
      </c>
      <c r="D270" s="41" t="s">
        <v>34</v>
      </c>
      <c r="E270" s="43" t="s">
        <v>42</v>
      </c>
      <c r="F270" s="26"/>
      <c r="H270" s="27"/>
      <c r="J270" s="27"/>
      <c r="L270" s="27"/>
      <c r="N270" s="27"/>
      <c r="P270" s="27"/>
      <c r="Q270" s="29"/>
      <c r="R270" s="26">
        <v>125.0</v>
      </c>
      <c r="T270" s="27">
        <v>125.0</v>
      </c>
      <c r="V270" s="27">
        <v>0.0</v>
      </c>
      <c r="X270" s="27">
        <v>0.0</v>
      </c>
      <c r="Z270" s="27">
        <v>0.0</v>
      </c>
      <c r="AB270" s="27">
        <v>0.0</v>
      </c>
      <c r="AC270" s="29"/>
      <c r="AD270" s="26"/>
      <c r="AF270" s="27"/>
      <c r="AH270" s="27"/>
      <c r="AJ270" s="27"/>
      <c r="AL270" s="27"/>
      <c r="AN270" s="27"/>
      <c r="AO270" s="29"/>
      <c r="AP270" s="45">
        <f t="shared" si="1"/>
        <v>4250</v>
      </c>
      <c r="AQ270" s="41">
        <f t="shared" si="2"/>
        <v>250</v>
      </c>
      <c r="AR270" s="41">
        <f t="shared" si="3"/>
        <v>0</v>
      </c>
      <c r="AS270" s="41">
        <f t="shared" si="4"/>
        <v>250</v>
      </c>
      <c r="AT270" s="46">
        <f t="shared" si="5"/>
        <v>17</v>
      </c>
      <c r="AU270" s="37"/>
      <c r="AV270" s="37"/>
      <c r="AW270" s="37"/>
    </row>
    <row r="271" ht="15.75" customHeight="1">
      <c r="A271" s="39" t="s">
        <v>28</v>
      </c>
      <c r="B271" s="40">
        <f t="shared" si="6"/>
        <v>44831</v>
      </c>
      <c r="C271" s="41">
        <v>10.0</v>
      </c>
      <c r="D271" s="41" t="s">
        <v>34</v>
      </c>
      <c r="E271" s="43" t="s">
        <v>42</v>
      </c>
      <c r="F271" s="26"/>
      <c r="H271" s="27"/>
      <c r="J271" s="27"/>
      <c r="L271" s="27"/>
      <c r="N271" s="27"/>
      <c r="P271" s="27"/>
      <c r="Q271" s="29"/>
      <c r="R271" s="26">
        <v>125.0</v>
      </c>
      <c r="T271" s="27">
        <v>125.0</v>
      </c>
      <c r="V271" s="27">
        <v>0.0</v>
      </c>
      <c r="X271" s="27">
        <v>0.0</v>
      </c>
      <c r="Z271" s="27">
        <v>0.0</v>
      </c>
      <c r="AB271" s="27">
        <v>0.0</v>
      </c>
      <c r="AC271" s="29"/>
      <c r="AD271" s="26"/>
      <c r="AF271" s="27"/>
      <c r="AH271" s="27"/>
      <c r="AJ271" s="27"/>
      <c r="AL271" s="27"/>
      <c r="AN271" s="27"/>
      <c r="AO271" s="29"/>
      <c r="AP271" s="45">
        <f t="shared" si="1"/>
        <v>4250</v>
      </c>
      <c r="AQ271" s="41">
        <f t="shared" si="2"/>
        <v>250</v>
      </c>
      <c r="AR271" s="41">
        <f t="shared" si="3"/>
        <v>0</v>
      </c>
      <c r="AS271" s="41">
        <f t="shared" si="4"/>
        <v>250</v>
      </c>
      <c r="AT271" s="46">
        <f t="shared" si="5"/>
        <v>17</v>
      </c>
      <c r="AU271" s="37"/>
      <c r="AV271" s="37"/>
      <c r="AW271" s="37"/>
    </row>
    <row r="272" ht="15.75" customHeight="1">
      <c r="A272" s="39" t="s">
        <v>29</v>
      </c>
      <c r="B272" s="40">
        <f t="shared" si="6"/>
        <v>44832</v>
      </c>
      <c r="C272" s="41">
        <v>10.0</v>
      </c>
      <c r="D272" s="41" t="s">
        <v>34</v>
      </c>
      <c r="E272" s="43" t="s">
        <v>42</v>
      </c>
      <c r="F272" s="26"/>
      <c r="H272" s="27"/>
      <c r="J272" s="27"/>
      <c r="L272" s="27"/>
      <c r="N272" s="27"/>
      <c r="P272" s="27"/>
      <c r="Q272" s="29"/>
      <c r="R272" s="26">
        <v>125.0</v>
      </c>
      <c r="T272" s="27">
        <v>125.0</v>
      </c>
      <c r="V272" s="27">
        <v>0.0</v>
      </c>
      <c r="X272" s="27">
        <v>0.0</v>
      </c>
      <c r="Z272" s="27">
        <v>0.0</v>
      </c>
      <c r="AB272" s="27">
        <v>0.0</v>
      </c>
      <c r="AC272" s="29"/>
      <c r="AD272" s="26"/>
      <c r="AF272" s="27"/>
      <c r="AH272" s="27"/>
      <c r="AJ272" s="27"/>
      <c r="AL272" s="27"/>
      <c r="AN272" s="27"/>
      <c r="AO272" s="29"/>
      <c r="AP272" s="45">
        <f t="shared" si="1"/>
        <v>4250</v>
      </c>
      <c r="AQ272" s="41">
        <f t="shared" si="2"/>
        <v>250</v>
      </c>
      <c r="AR272" s="41">
        <f t="shared" si="3"/>
        <v>0</v>
      </c>
      <c r="AS272" s="41">
        <f t="shared" si="4"/>
        <v>250</v>
      </c>
      <c r="AT272" s="46">
        <f t="shared" si="5"/>
        <v>17</v>
      </c>
      <c r="AU272" s="37"/>
      <c r="AV272" s="37"/>
      <c r="AW272" s="37"/>
    </row>
    <row r="273" ht="15.75" customHeight="1">
      <c r="A273" s="39" t="s">
        <v>30</v>
      </c>
      <c r="B273" s="40">
        <f t="shared" si="6"/>
        <v>44833</v>
      </c>
      <c r="C273" s="41">
        <v>10.0</v>
      </c>
      <c r="D273" s="41" t="s">
        <v>34</v>
      </c>
      <c r="E273" s="43" t="s">
        <v>42</v>
      </c>
      <c r="F273" s="26"/>
      <c r="H273" s="27"/>
      <c r="J273" s="27"/>
      <c r="L273" s="27"/>
      <c r="N273" s="27"/>
      <c r="P273" s="27"/>
      <c r="Q273" s="29"/>
      <c r="R273" s="26">
        <v>125.0</v>
      </c>
      <c r="T273" s="27">
        <v>125.0</v>
      </c>
      <c r="V273" s="27">
        <v>0.0</v>
      </c>
      <c r="X273" s="27">
        <v>0.0</v>
      </c>
      <c r="Z273" s="27">
        <v>0.0</v>
      </c>
      <c r="AB273" s="27">
        <v>0.0</v>
      </c>
      <c r="AC273" s="29"/>
      <c r="AD273" s="26"/>
      <c r="AF273" s="27"/>
      <c r="AH273" s="27"/>
      <c r="AJ273" s="27"/>
      <c r="AL273" s="27"/>
      <c r="AN273" s="27"/>
      <c r="AO273" s="29"/>
      <c r="AP273" s="45">
        <f t="shared" si="1"/>
        <v>4250</v>
      </c>
      <c r="AQ273" s="41">
        <f t="shared" si="2"/>
        <v>250</v>
      </c>
      <c r="AR273" s="41">
        <f t="shared" si="3"/>
        <v>0</v>
      </c>
      <c r="AS273" s="41">
        <f t="shared" si="4"/>
        <v>250</v>
      </c>
      <c r="AT273" s="46">
        <f t="shared" si="5"/>
        <v>17</v>
      </c>
      <c r="AU273" s="37"/>
      <c r="AV273" s="37"/>
      <c r="AW273" s="37"/>
    </row>
    <row r="274" ht="15.75" customHeight="1">
      <c r="A274" s="39" t="s">
        <v>31</v>
      </c>
      <c r="B274" s="40">
        <f t="shared" si="6"/>
        <v>44834</v>
      </c>
      <c r="C274" s="41">
        <v>10.0</v>
      </c>
      <c r="D274" s="41" t="s">
        <v>34</v>
      </c>
      <c r="E274" s="43" t="s">
        <v>42</v>
      </c>
      <c r="F274" s="26"/>
      <c r="H274" s="27"/>
      <c r="J274" s="27"/>
      <c r="L274" s="27"/>
      <c r="N274" s="27"/>
      <c r="P274" s="27"/>
      <c r="Q274" s="29"/>
      <c r="R274" s="26">
        <v>125.0</v>
      </c>
      <c r="T274" s="27">
        <v>125.0</v>
      </c>
      <c r="V274" s="27">
        <v>0.0</v>
      </c>
      <c r="X274" s="27">
        <v>0.0</v>
      </c>
      <c r="Z274" s="27">
        <v>0.0</v>
      </c>
      <c r="AB274" s="27">
        <v>0.0</v>
      </c>
      <c r="AC274" s="29"/>
      <c r="AD274" s="26"/>
      <c r="AF274" s="27"/>
      <c r="AH274" s="27"/>
      <c r="AJ274" s="27"/>
      <c r="AL274" s="27"/>
      <c r="AN274" s="27"/>
      <c r="AO274" s="29"/>
      <c r="AP274" s="45">
        <f t="shared" si="1"/>
        <v>4250</v>
      </c>
      <c r="AQ274" s="41">
        <f t="shared" si="2"/>
        <v>250</v>
      </c>
      <c r="AR274" s="41">
        <f t="shared" si="3"/>
        <v>0</v>
      </c>
      <c r="AS274" s="41">
        <f t="shared" si="4"/>
        <v>250</v>
      </c>
      <c r="AT274" s="46">
        <f t="shared" si="5"/>
        <v>17</v>
      </c>
      <c r="AU274" s="37"/>
      <c r="AV274" s="37"/>
      <c r="AW274" s="37"/>
    </row>
    <row r="275" ht="15.75" customHeight="1">
      <c r="A275" s="49" t="s">
        <v>32</v>
      </c>
      <c r="B275" s="50">
        <f t="shared" si="6"/>
        <v>44835</v>
      </c>
      <c r="C275" s="51">
        <v>10.0</v>
      </c>
      <c r="D275" s="51" t="s">
        <v>34</v>
      </c>
      <c r="E275" s="53" t="s">
        <v>42</v>
      </c>
      <c r="F275" s="54"/>
      <c r="G275" s="55"/>
      <c r="H275" s="56"/>
      <c r="I275" s="55"/>
      <c r="J275" s="56"/>
      <c r="K275" s="55"/>
      <c r="L275" s="56"/>
      <c r="M275" s="55"/>
      <c r="N275" s="56"/>
      <c r="O275" s="55"/>
      <c r="P275" s="56"/>
      <c r="Q275" s="58"/>
      <c r="R275" s="54">
        <v>0.0</v>
      </c>
      <c r="S275" s="55"/>
      <c r="T275" s="56">
        <v>0.0</v>
      </c>
      <c r="U275" s="55"/>
      <c r="V275" s="56">
        <v>0.0</v>
      </c>
      <c r="W275" s="55"/>
      <c r="X275" s="56">
        <v>0.0</v>
      </c>
      <c r="Y275" s="55"/>
      <c r="Z275" s="56">
        <v>0.0</v>
      </c>
      <c r="AA275" s="55"/>
      <c r="AB275" s="56">
        <v>0.0</v>
      </c>
      <c r="AC275" s="58"/>
      <c r="AD275" s="54"/>
      <c r="AE275" s="55"/>
      <c r="AF275" s="56"/>
      <c r="AG275" s="55"/>
      <c r="AH275" s="56"/>
      <c r="AI275" s="55"/>
      <c r="AJ275" s="56"/>
      <c r="AK275" s="55"/>
      <c r="AL275" s="56"/>
      <c r="AM275" s="55"/>
      <c r="AN275" s="56"/>
      <c r="AO275" s="58"/>
      <c r="AP275" s="60">
        <f t="shared" si="1"/>
        <v>0</v>
      </c>
      <c r="AQ275" s="51">
        <f t="shared" si="2"/>
        <v>0</v>
      </c>
      <c r="AR275" s="51">
        <f t="shared" si="3"/>
        <v>0</v>
      </c>
      <c r="AS275" s="51">
        <f t="shared" si="4"/>
        <v>0</v>
      </c>
      <c r="AT275" s="61" t="str">
        <f t="shared" si="5"/>
        <v/>
      </c>
      <c r="AU275" s="37"/>
      <c r="AV275" s="37"/>
      <c r="AW275" s="37"/>
    </row>
    <row r="276" ht="15.75" customHeight="1">
      <c r="A276" s="21" t="s">
        <v>24</v>
      </c>
      <c r="B276" s="62">
        <f t="shared" si="6"/>
        <v>44836</v>
      </c>
      <c r="C276" s="23">
        <v>10.0</v>
      </c>
      <c r="D276" s="23" t="s">
        <v>35</v>
      </c>
      <c r="E276" s="63" t="s">
        <v>42</v>
      </c>
      <c r="F276" s="26"/>
      <c r="H276" s="27"/>
      <c r="J276" s="27"/>
      <c r="L276" s="27"/>
      <c r="N276" s="27"/>
      <c r="P276" s="27"/>
      <c r="Q276" s="29"/>
      <c r="R276" s="26">
        <v>125.0</v>
      </c>
      <c r="T276" s="27">
        <v>125.0</v>
      </c>
      <c r="V276" s="27">
        <v>0.0</v>
      </c>
      <c r="X276" s="27">
        <v>0.0</v>
      </c>
      <c r="Z276" s="27">
        <v>0.0</v>
      </c>
      <c r="AB276" s="27">
        <v>0.0</v>
      </c>
      <c r="AC276" s="29"/>
      <c r="AD276" s="26"/>
      <c r="AF276" s="27"/>
      <c r="AH276" s="27"/>
      <c r="AJ276" s="27"/>
      <c r="AL276" s="27"/>
      <c r="AN276" s="27"/>
      <c r="AO276" s="29"/>
      <c r="AP276" s="35">
        <f t="shared" si="1"/>
        <v>4250</v>
      </c>
      <c r="AQ276" s="23">
        <f t="shared" si="2"/>
        <v>250</v>
      </c>
      <c r="AR276" s="23">
        <f t="shared" si="3"/>
        <v>0</v>
      </c>
      <c r="AS276" s="23">
        <f t="shared" si="4"/>
        <v>250</v>
      </c>
      <c r="AT276" s="36">
        <f t="shared" si="5"/>
        <v>17</v>
      </c>
      <c r="AU276" s="37"/>
      <c r="AV276" s="37"/>
      <c r="AW276" s="37"/>
    </row>
    <row r="277" ht="15.75" customHeight="1">
      <c r="A277" s="39" t="s">
        <v>27</v>
      </c>
      <c r="B277" s="40">
        <f t="shared" si="6"/>
        <v>44837</v>
      </c>
      <c r="C277" s="41">
        <v>10.0</v>
      </c>
      <c r="D277" s="41" t="s">
        <v>35</v>
      </c>
      <c r="E277" s="43" t="s">
        <v>42</v>
      </c>
      <c r="F277" s="26"/>
      <c r="H277" s="27"/>
      <c r="J277" s="27"/>
      <c r="L277" s="27"/>
      <c r="N277" s="27"/>
      <c r="P277" s="27"/>
      <c r="Q277" s="29"/>
      <c r="R277" s="26">
        <v>125.0</v>
      </c>
      <c r="T277" s="27">
        <v>125.0</v>
      </c>
      <c r="V277" s="27">
        <v>0.0</v>
      </c>
      <c r="X277" s="27">
        <v>0.0</v>
      </c>
      <c r="Z277" s="27">
        <v>0.0</v>
      </c>
      <c r="AB277" s="27">
        <v>0.0</v>
      </c>
      <c r="AC277" s="29"/>
      <c r="AD277" s="26"/>
      <c r="AF277" s="27"/>
      <c r="AH277" s="27"/>
      <c r="AJ277" s="27"/>
      <c r="AL277" s="27"/>
      <c r="AN277" s="27"/>
      <c r="AO277" s="29"/>
      <c r="AP277" s="45">
        <f t="shared" si="1"/>
        <v>4250</v>
      </c>
      <c r="AQ277" s="41">
        <f t="shared" si="2"/>
        <v>250</v>
      </c>
      <c r="AR277" s="41">
        <f t="shared" si="3"/>
        <v>0</v>
      </c>
      <c r="AS277" s="41">
        <f t="shared" si="4"/>
        <v>250</v>
      </c>
      <c r="AT277" s="46">
        <f t="shared" si="5"/>
        <v>17</v>
      </c>
      <c r="AU277" s="37"/>
      <c r="AV277" s="37"/>
      <c r="AW277" s="37"/>
    </row>
    <row r="278" ht="15.75" customHeight="1">
      <c r="A278" s="39" t="s">
        <v>28</v>
      </c>
      <c r="B278" s="40">
        <f t="shared" si="6"/>
        <v>44838</v>
      </c>
      <c r="C278" s="41">
        <v>10.0</v>
      </c>
      <c r="D278" s="41" t="s">
        <v>35</v>
      </c>
      <c r="E278" s="43" t="s">
        <v>42</v>
      </c>
      <c r="F278" s="26"/>
      <c r="H278" s="27"/>
      <c r="J278" s="27"/>
      <c r="L278" s="27"/>
      <c r="N278" s="27"/>
      <c r="P278" s="27"/>
      <c r="Q278" s="29"/>
      <c r="R278" s="26">
        <v>125.0</v>
      </c>
      <c r="T278" s="27">
        <v>125.0</v>
      </c>
      <c r="V278" s="27">
        <v>0.0</v>
      </c>
      <c r="X278" s="27">
        <v>0.0</v>
      </c>
      <c r="Z278" s="27">
        <v>0.0</v>
      </c>
      <c r="AB278" s="27">
        <v>0.0</v>
      </c>
      <c r="AC278" s="29"/>
      <c r="AD278" s="26"/>
      <c r="AF278" s="27"/>
      <c r="AH278" s="27"/>
      <c r="AJ278" s="27"/>
      <c r="AL278" s="27"/>
      <c r="AN278" s="27"/>
      <c r="AO278" s="29"/>
      <c r="AP278" s="45">
        <f t="shared" si="1"/>
        <v>4250</v>
      </c>
      <c r="AQ278" s="41">
        <f t="shared" si="2"/>
        <v>250</v>
      </c>
      <c r="AR278" s="41">
        <f t="shared" si="3"/>
        <v>0</v>
      </c>
      <c r="AS278" s="41">
        <f t="shared" si="4"/>
        <v>250</v>
      </c>
      <c r="AT278" s="46">
        <f t="shared" si="5"/>
        <v>17</v>
      </c>
      <c r="AU278" s="37"/>
      <c r="AV278" s="37"/>
      <c r="AW278" s="37"/>
    </row>
    <row r="279" ht="15.75" customHeight="1">
      <c r="A279" s="39" t="s">
        <v>29</v>
      </c>
      <c r="B279" s="40">
        <f t="shared" si="6"/>
        <v>44839</v>
      </c>
      <c r="C279" s="41">
        <v>10.0</v>
      </c>
      <c r="D279" s="41" t="s">
        <v>35</v>
      </c>
      <c r="E279" s="43" t="s">
        <v>42</v>
      </c>
      <c r="F279" s="26"/>
      <c r="H279" s="27"/>
      <c r="J279" s="27"/>
      <c r="L279" s="27"/>
      <c r="N279" s="27"/>
      <c r="P279" s="27"/>
      <c r="Q279" s="29"/>
      <c r="R279" s="26">
        <v>125.0</v>
      </c>
      <c r="T279" s="27">
        <v>125.0</v>
      </c>
      <c r="V279" s="27">
        <v>0.0</v>
      </c>
      <c r="X279" s="27">
        <v>0.0</v>
      </c>
      <c r="Z279" s="27">
        <v>0.0</v>
      </c>
      <c r="AB279" s="27">
        <v>0.0</v>
      </c>
      <c r="AC279" s="29"/>
      <c r="AD279" s="26"/>
      <c r="AF279" s="27"/>
      <c r="AH279" s="27"/>
      <c r="AJ279" s="27"/>
      <c r="AL279" s="27"/>
      <c r="AN279" s="27"/>
      <c r="AO279" s="29"/>
      <c r="AP279" s="45">
        <f t="shared" si="1"/>
        <v>4250</v>
      </c>
      <c r="AQ279" s="41">
        <f t="shared" si="2"/>
        <v>250</v>
      </c>
      <c r="AR279" s="41">
        <f t="shared" si="3"/>
        <v>0</v>
      </c>
      <c r="AS279" s="41">
        <f t="shared" si="4"/>
        <v>250</v>
      </c>
      <c r="AT279" s="46">
        <f t="shared" si="5"/>
        <v>17</v>
      </c>
      <c r="AU279" s="37"/>
      <c r="AV279" s="37"/>
      <c r="AW279" s="37"/>
    </row>
    <row r="280" ht="15.75" customHeight="1">
      <c r="A280" s="39" t="s">
        <v>30</v>
      </c>
      <c r="B280" s="40">
        <f t="shared" si="6"/>
        <v>44840</v>
      </c>
      <c r="C280" s="41">
        <v>10.0</v>
      </c>
      <c r="D280" s="41" t="s">
        <v>35</v>
      </c>
      <c r="E280" s="43" t="s">
        <v>42</v>
      </c>
      <c r="F280" s="26"/>
      <c r="H280" s="27"/>
      <c r="J280" s="27"/>
      <c r="L280" s="27"/>
      <c r="N280" s="27"/>
      <c r="P280" s="27"/>
      <c r="Q280" s="29"/>
      <c r="R280" s="26">
        <v>125.0</v>
      </c>
      <c r="T280" s="27">
        <v>125.0</v>
      </c>
      <c r="V280" s="27">
        <v>0.0</v>
      </c>
      <c r="X280" s="27">
        <v>0.0</v>
      </c>
      <c r="Z280" s="27">
        <v>0.0</v>
      </c>
      <c r="AB280" s="27">
        <v>0.0</v>
      </c>
      <c r="AC280" s="29"/>
      <c r="AD280" s="26"/>
      <c r="AF280" s="27"/>
      <c r="AH280" s="27"/>
      <c r="AJ280" s="27"/>
      <c r="AL280" s="27"/>
      <c r="AN280" s="27"/>
      <c r="AO280" s="29"/>
      <c r="AP280" s="45">
        <f t="shared" si="1"/>
        <v>4250</v>
      </c>
      <c r="AQ280" s="41">
        <f t="shared" si="2"/>
        <v>250</v>
      </c>
      <c r="AR280" s="41">
        <f t="shared" si="3"/>
        <v>0</v>
      </c>
      <c r="AS280" s="41">
        <f t="shared" si="4"/>
        <v>250</v>
      </c>
      <c r="AT280" s="46">
        <f t="shared" si="5"/>
        <v>17</v>
      </c>
      <c r="AU280" s="37"/>
      <c r="AV280" s="37"/>
      <c r="AW280" s="37"/>
    </row>
    <row r="281" ht="15.75" customHeight="1">
      <c r="A281" s="39" t="s">
        <v>31</v>
      </c>
      <c r="B281" s="40">
        <f t="shared" si="6"/>
        <v>44841</v>
      </c>
      <c r="C281" s="41">
        <v>10.0</v>
      </c>
      <c r="D281" s="41" t="s">
        <v>35</v>
      </c>
      <c r="E281" s="43" t="s">
        <v>42</v>
      </c>
      <c r="F281" s="26"/>
      <c r="H281" s="27"/>
      <c r="J281" s="27"/>
      <c r="L281" s="27"/>
      <c r="N281" s="27"/>
      <c r="P281" s="27"/>
      <c r="Q281" s="29"/>
      <c r="R281" s="26">
        <v>125.0</v>
      </c>
      <c r="T281" s="27">
        <v>125.0</v>
      </c>
      <c r="V281" s="27">
        <v>0.0</v>
      </c>
      <c r="X281" s="27">
        <v>0.0</v>
      </c>
      <c r="Z281" s="27">
        <v>0.0</v>
      </c>
      <c r="AB281" s="27">
        <v>0.0</v>
      </c>
      <c r="AC281" s="29"/>
      <c r="AD281" s="26"/>
      <c r="AF281" s="27"/>
      <c r="AH281" s="27"/>
      <c r="AJ281" s="27"/>
      <c r="AL281" s="27"/>
      <c r="AN281" s="27"/>
      <c r="AO281" s="29"/>
      <c r="AP281" s="45">
        <f t="shared" si="1"/>
        <v>4250</v>
      </c>
      <c r="AQ281" s="41">
        <f t="shared" si="2"/>
        <v>250</v>
      </c>
      <c r="AR281" s="41">
        <f t="shared" si="3"/>
        <v>0</v>
      </c>
      <c r="AS281" s="41">
        <f t="shared" si="4"/>
        <v>250</v>
      </c>
      <c r="AT281" s="46">
        <f t="shared" si="5"/>
        <v>17</v>
      </c>
      <c r="AU281" s="37"/>
      <c r="AV281" s="37"/>
      <c r="AW281" s="37"/>
    </row>
    <row r="282" ht="15.75" customHeight="1">
      <c r="A282" s="49" t="s">
        <v>32</v>
      </c>
      <c r="B282" s="50">
        <f t="shared" si="6"/>
        <v>44842</v>
      </c>
      <c r="C282" s="51">
        <v>10.0</v>
      </c>
      <c r="D282" s="51" t="s">
        <v>35</v>
      </c>
      <c r="E282" s="53" t="s">
        <v>42</v>
      </c>
      <c r="F282" s="54"/>
      <c r="G282" s="55"/>
      <c r="H282" s="56"/>
      <c r="I282" s="55"/>
      <c r="J282" s="56"/>
      <c r="K282" s="55"/>
      <c r="L282" s="56"/>
      <c r="M282" s="55"/>
      <c r="N282" s="56"/>
      <c r="O282" s="55"/>
      <c r="P282" s="56"/>
      <c r="Q282" s="58"/>
      <c r="R282" s="54">
        <v>0.0</v>
      </c>
      <c r="S282" s="55"/>
      <c r="T282" s="56">
        <v>0.0</v>
      </c>
      <c r="U282" s="55"/>
      <c r="V282" s="56">
        <v>0.0</v>
      </c>
      <c r="W282" s="55"/>
      <c r="X282" s="56">
        <v>0.0</v>
      </c>
      <c r="Y282" s="55"/>
      <c r="Z282" s="56">
        <v>0.0</v>
      </c>
      <c r="AA282" s="55"/>
      <c r="AB282" s="56">
        <v>0.0</v>
      </c>
      <c r="AC282" s="58"/>
      <c r="AD282" s="54"/>
      <c r="AE282" s="55"/>
      <c r="AF282" s="56"/>
      <c r="AG282" s="55"/>
      <c r="AH282" s="56"/>
      <c r="AI282" s="55"/>
      <c r="AJ282" s="56"/>
      <c r="AK282" s="55"/>
      <c r="AL282" s="56"/>
      <c r="AM282" s="55"/>
      <c r="AN282" s="56"/>
      <c r="AO282" s="58"/>
      <c r="AP282" s="60">
        <f t="shared" si="1"/>
        <v>0</v>
      </c>
      <c r="AQ282" s="51">
        <f t="shared" si="2"/>
        <v>0</v>
      </c>
      <c r="AR282" s="51">
        <f t="shared" si="3"/>
        <v>0</v>
      </c>
      <c r="AS282" s="51">
        <f t="shared" si="4"/>
        <v>0</v>
      </c>
      <c r="AT282" s="61" t="str">
        <f t="shared" si="5"/>
        <v/>
      </c>
      <c r="AU282" s="37"/>
      <c r="AV282" s="37"/>
      <c r="AW282" s="37"/>
    </row>
    <row r="283" ht="15.75" customHeight="1">
      <c r="A283" s="21" t="s">
        <v>24</v>
      </c>
      <c r="B283" s="62">
        <f t="shared" si="6"/>
        <v>44843</v>
      </c>
      <c r="C283" s="23">
        <v>11.0</v>
      </c>
      <c r="D283" s="23" t="s">
        <v>25</v>
      </c>
      <c r="E283" s="63" t="s">
        <v>42</v>
      </c>
      <c r="F283" s="26"/>
      <c r="H283" s="27"/>
      <c r="J283" s="27"/>
      <c r="L283" s="27"/>
      <c r="N283" s="27"/>
      <c r="P283" s="27"/>
      <c r="Q283" s="29"/>
      <c r="R283" s="26">
        <v>125.0</v>
      </c>
      <c r="T283" s="27">
        <v>125.0</v>
      </c>
      <c r="V283" s="27">
        <v>0.0</v>
      </c>
      <c r="X283" s="27">
        <v>0.0</v>
      </c>
      <c r="Z283" s="27">
        <v>0.0</v>
      </c>
      <c r="AB283" s="27">
        <v>0.0</v>
      </c>
      <c r="AC283" s="29"/>
      <c r="AD283" s="26"/>
      <c r="AF283" s="27"/>
      <c r="AH283" s="27"/>
      <c r="AJ283" s="27"/>
      <c r="AL283" s="27"/>
      <c r="AN283" s="27"/>
      <c r="AO283" s="29"/>
      <c r="AP283" s="35">
        <f t="shared" si="1"/>
        <v>4250</v>
      </c>
      <c r="AQ283" s="23">
        <f t="shared" si="2"/>
        <v>250</v>
      </c>
      <c r="AR283" s="23">
        <f t="shared" si="3"/>
        <v>0</v>
      </c>
      <c r="AS283" s="23">
        <f t="shared" si="4"/>
        <v>250</v>
      </c>
      <c r="AT283" s="36">
        <f t="shared" si="5"/>
        <v>17</v>
      </c>
      <c r="AU283" s="37"/>
      <c r="AV283" s="37"/>
      <c r="AW283" s="37"/>
    </row>
    <row r="284" ht="15.75" customHeight="1">
      <c r="A284" s="39" t="s">
        <v>27</v>
      </c>
      <c r="B284" s="40">
        <f t="shared" si="6"/>
        <v>44844</v>
      </c>
      <c r="C284" s="41">
        <v>11.0</v>
      </c>
      <c r="D284" s="41" t="s">
        <v>25</v>
      </c>
      <c r="E284" s="43" t="s">
        <v>42</v>
      </c>
      <c r="F284" s="26"/>
      <c r="H284" s="27"/>
      <c r="J284" s="27"/>
      <c r="L284" s="27"/>
      <c r="N284" s="27"/>
      <c r="P284" s="27"/>
      <c r="Q284" s="29"/>
      <c r="R284" s="26">
        <v>125.0</v>
      </c>
      <c r="T284" s="27">
        <v>125.0</v>
      </c>
      <c r="V284" s="27">
        <v>0.0</v>
      </c>
      <c r="X284" s="27">
        <v>0.0</v>
      </c>
      <c r="Z284" s="27">
        <v>0.0</v>
      </c>
      <c r="AB284" s="27">
        <v>0.0</v>
      </c>
      <c r="AC284" s="29"/>
      <c r="AD284" s="26"/>
      <c r="AF284" s="27"/>
      <c r="AH284" s="27"/>
      <c r="AJ284" s="27"/>
      <c r="AL284" s="27"/>
      <c r="AN284" s="27"/>
      <c r="AO284" s="29"/>
      <c r="AP284" s="45">
        <f t="shared" si="1"/>
        <v>4250</v>
      </c>
      <c r="AQ284" s="41">
        <f t="shared" si="2"/>
        <v>250</v>
      </c>
      <c r="AR284" s="41">
        <f t="shared" si="3"/>
        <v>0</v>
      </c>
      <c r="AS284" s="41">
        <f t="shared" si="4"/>
        <v>250</v>
      </c>
      <c r="AT284" s="46">
        <f t="shared" si="5"/>
        <v>17</v>
      </c>
      <c r="AU284" s="37"/>
      <c r="AV284" s="37"/>
      <c r="AW284" s="37"/>
    </row>
    <row r="285" ht="15.75" customHeight="1">
      <c r="A285" s="39" t="s">
        <v>28</v>
      </c>
      <c r="B285" s="40">
        <f t="shared" si="6"/>
        <v>44845</v>
      </c>
      <c r="C285" s="41">
        <v>11.0</v>
      </c>
      <c r="D285" s="41" t="s">
        <v>25</v>
      </c>
      <c r="E285" s="43" t="s">
        <v>42</v>
      </c>
      <c r="F285" s="26"/>
      <c r="H285" s="27"/>
      <c r="J285" s="27"/>
      <c r="L285" s="27"/>
      <c r="N285" s="27"/>
      <c r="P285" s="27"/>
      <c r="Q285" s="29"/>
      <c r="R285" s="26">
        <v>125.0</v>
      </c>
      <c r="T285" s="27">
        <v>125.0</v>
      </c>
      <c r="V285" s="27">
        <v>0.0</v>
      </c>
      <c r="X285" s="27">
        <v>0.0</v>
      </c>
      <c r="Z285" s="27">
        <v>0.0</v>
      </c>
      <c r="AB285" s="27">
        <v>0.0</v>
      </c>
      <c r="AC285" s="29"/>
      <c r="AD285" s="26"/>
      <c r="AF285" s="27"/>
      <c r="AH285" s="27"/>
      <c r="AJ285" s="27"/>
      <c r="AL285" s="27"/>
      <c r="AN285" s="27"/>
      <c r="AO285" s="29"/>
      <c r="AP285" s="45">
        <f t="shared" si="1"/>
        <v>4250</v>
      </c>
      <c r="AQ285" s="41">
        <f t="shared" si="2"/>
        <v>250</v>
      </c>
      <c r="AR285" s="41">
        <f t="shared" si="3"/>
        <v>0</v>
      </c>
      <c r="AS285" s="41">
        <f t="shared" si="4"/>
        <v>250</v>
      </c>
      <c r="AT285" s="46">
        <f t="shared" si="5"/>
        <v>17</v>
      </c>
      <c r="AU285" s="37"/>
      <c r="AV285" s="37"/>
      <c r="AW285" s="37"/>
    </row>
    <row r="286" ht="15.75" customHeight="1">
      <c r="A286" s="39" t="s">
        <v>29</v>
      </c>
      <c r="B286" s="40">
        <f t="shared" si="6"/>
        <v>44846</v>
      </c>
      <c r="C286" s="41">
        <v>11.0</v>
      </c>
      <c r="D286" s="41" t="s">
        <v>25</v>
      </c>
      <c r="E286" s="43" t="s">
        <v>42</v>
      </c>
      <c r="F286" s="26"/>
      <c r="H286" s="27"/>
      <c r="J286" s="27"/>
      <c r="L286" s="27"/>
      <c r="N286" s="27"/>
      <c r="P286" s="27"/>
      <c r="Q286" s="29"/>
      <c r="R286" s="26">
        <v>125.0</v>
      </c>
      <c r="T286" s="27">
        <v>125.0</v>
      </c>
      <c r="V286" s="27">
        <v>0.0</v>
      </c>
      <c r="X286" s="27">
        <v>0.0</v>
      </c>
      <c r="Z286" s="27">
        <v>0.0</v>
      </c>
      <c r="AB286" s="27">
        <v>0.0</v>
      </c>
      <c r="AC286" s="29"/>
      <c r="AD286" s="26"/>
      <c r="AF286" s="27"/>
      <c r="AH286" s="27"/>
      <c r="AJ286" s="27"/>
      <c r="AL286" s="27"/>
      <c r="AN286" s="27"/>
      <c r="AO286" s="29"/>
      <c r="AP286" s="45">
        <f t="shared" si="1"/>
        <v>4250</v>
      </c>
      <c r="AQ286" s="41">
        <f t="shared" si="2"/>
        <v>250</v>
      </c>
      <c r="AR286" s="41">
        <f t="shared" si="3"/>
        <v>0</v>
      </c>
      <c r="AS286" s="41">
        <f t="shared" si="4"/>
        <v>250</v>
      </c>
      <c r="AT286" s="46">
        <f t="shared" si="5"/>
        <v>17</v>
      </c>
      <c r="AU286" s="37"/>
      <c r="AV286" s="37"/>
      <c r="AW286" s="37"/>
    </row>
    <row r="287" ht="15.75" customHeight="1">
      <c r="A287" s="39" t="s">
        <v>30</v>
      </c>
      <c r="B287" s="40">
        <f t="shared" si="6"/>
        <v>44847</v>
      </c>
      <c r="C287" s="41">
        <v>11.0</v>
      </c>
      <c r="D287" s="41" t="s">
        <v>25</v>
      </c>
      <c r="E287" s="43" t="s">
        <v>42</v>
      </c>
      <c r="F287" s="26"/>
      <c r="H287" s="27"/>
      <c r="J287" s="27"/>
      <c r="L287" s="27"/>
      <c r="N287" s="27"/>
      <c r="P287" s="27"/>
      <c r="Q287" s="29"/>
      <c r="R287" s="26">
        <v>125.0</v>
      </c>
      <c r="T287" s="27">
        <v>125.0</v>
      </c>
      <c r="V287" s="27">
        <v>0.0</v>
      </c>
      <c r="X287" s="27">
        <v>0.0</v>
      </c>
      <c r="Z287" s="27">
        <v>0.0</v>
      </c>
      <c r="AB287" s="27">
        <v>0.0</v>
      </c>
      <c r="AC287" s="29"/>
      <c r="AD287" s="26"/>
      <c r="AF287" s="27"/>
      <c r="AH287" s="27"/>
      <c r="AJ287" s="27"/>
      <c r="AL287" s="27"/>
      <c r="AN287" s="27"/>
      <c r="AO287" s="29"/>
      <c r="AP287" s="45">
        <f t="shared" si="1"/>
        <v>4250</v>
      </c>
      <c r="AQ287" s="41">
        <f t="shared" si="2"/>
        <v>250</v>
      </c>
      <c r="AR287" s="41">
        <f t="shared" si="3"/>
        <v>0</v>
      </c>
      <c r="AS287" s="41">
        <f t="shared" si="4"/>
        <v>250</v>
      </c>
      <c r="AT287" s="46">
        <f t="shared" si="5"/>
        <v>17</v>
      </c>
      <c r="AU287" s="37"/>
      <c r="AV287" s="37"/>
      <c r="AW287" s="37"/>
    </row>
    <row r="288" ht="15.75" customHeight="1">
      <c r="A288" s="39" t="s">
        <v>31</v>
      </c>
      <c r="B288" s="40">
        <f t="shared" si="6"/>
        <v>44848</v>
      </c>
      <c r="C288" s="41">
        <v>11.0</v>
      </c>
      <c r="D288" s="41" t="s">
        <v>25</v>
      </c>
      <c r="E288" s="43" t="s">
        <v>42</v>
      </c>
      <c r="F288" s="26"/>
      <c r="H288" s="27"/>
      <c r="J288" s="27"/>
      <c r="L288" s="27"/>
      <c r="N288" s="27"/>
      <c r="P288" s="27"/>
      <c r="Q288" s="29"/>
      <c r="R288" s="26">
        <v>125.0</v>
      </c>
      <c r="T288" s="27">
        <v>125.0</v>
      </c>
      <c r="V288" s="27">
        <v>0.0</v>
      </c>
      <c r="X288" s="27">
        <v>0.0</v>
      </c>
      <c r="Z288" s="27">
        <v>0.0</v>
      </c>
      <c r="AB288" s="27">
        <v>0.0</v>
      </c>
      <c r="AC288" s="29"/>
      <c r="AD288" s="26"/>
      <c r="AF288" s="27"/>
      <c r="AH288" s="27"/>
      <c r="AJ288" s="27"/>
      <c r="AL288" s="27"/>
      <c r="AN288" s="27"/>
      <c r="AO288" s="29"/>
      <c r="AP288" s="45">
        <f t="shared" si="1"/>
        <v>4250</v>
      </c>
      <c r="AQ288" s="41">
        <f t="shared" si="2"/>
        <v>250</v>
      </c>
      <c r="AR288" s="41">
        <f t="shared" si="3"/>
        <v>0</v>
      </c>
      <c r="AS288" s="41">
        <f t="shared" si="4"/>
        <v>250</v>
      </c>
      <c r="AT288" s="46">
        <f t="shared" si="5"/>
        <v>17</v>
      </c>
      <c r="AU288" s="37"/>
      <c r="AV288" s="37"/>
      <c r="AW288" s="37"/>
    </row>
    <row r="289" ht="15.75" customHeight="1">
      <c r="A289" s="49" t="s">
        <v>32</v>
      </c>
      <c r="B289" s="50">
        <f t="shared" si="6"/>
        <v>44849</v>
      </c>
      <c r="C289" s="51">
        <v>11.0</v>
      </c>
      <c r="D289" s="51" t="s">
        <v>25</v>
      </c>
      <c r="E289" s="53" t="s">
        <v>42</v>
      </c>
      <c r="F289" s="54"/>
      <c r="G289" s="55"/>
      <c r="H289" s="56"/>
      <c r="I289" s="55"/>
      <c r="J289" s="56"/>
      <c r="K289" s="55"/>
      <c r="L289" s="56"/>
      <c r="M289" s="55"/>
      <c r="N289" s="56"/>
      <c r="O289" s="55"/>
      <c r="P289" s="56"/>
      <c r="Q289" s="58"/>
      <c r="R289" s="54">
        <v>0.0</v>
      </c>
      <c r="S289" s="55"/>
      <c r="T289" s="56">
        <v>0.0</v>
      </c>
      <c r="U289" s="55"/>
      <c r="V289" s="56">
        <v>0.0</v>
      </c>
      <c r="W289" s="55"/>
      <c r="X289" s="56">
        <v>0.0</v>
      </c>
      <c r="Y289" s="55"/>
      <c r="Z289" s="56">
        <v>0.0</v>
      </c>
      <c r="AA289" s="55"/>
      <c r="AB289" s="56">
        <v>0.0</v>
      </c>
      <c r="AC289" s="58"/>
      <c r="AD289" s="54"/>
      <c r="AE289" s="55"/>
      <c r="AF289" s="56"/>
      <c r="AG289" s="55"/>
      <c r="AH289" s="56"/>
      <c r="AI289" s="55"/>
      <c r="AJ289" s="56"/>
      <c r="AK289" s="55"/>
      <c r="AL289" s="56"/>
      <c r="AM289" s="55"/>
      <c r="AN289" s="56"/>
      <c r="AO289" s="58"/>
      <c r="AP289" s="60">
        <f t="shared" si="1"/>
        <v>0</v>
      </c>
      <c r="AQ289" s="51">
        <f t="shared" si="2"/>
        <v>0</v>
      </c>
      <c r="AR289" s="51">
        <f t="shared" si="3"/>
        <v>0</v>
      </c>
      <c r="AS289" s="51">
        <f t="shared" si="4"/>
        <v>0</v>
      </c>
      <c r="AT289" s="61" t="str">
        <f t="shared" si="5"/>
        <v/>
      </c>
      <c r="AU289" s="37"/>
      <c r="AV289" s="37"/>
      <c r="AW289" s="37"/>
    </row>
    <row r="290" ht="15.75" customHeight="1">
      <c r="A290" s="21" t="s">
        <v>24</v>
      </c>
      <c r="B290" s="62">
        <f t="shared" si="6"/>
        <v>44850</v>
      </c>
      <c r="C290" s="23">
        <v>11.0</v>
      </c>
      <c r="D290" s="23" t="s">
        <v>33</v>
      </c>
      <c r="E290" s="63" t="s">
        <v>42</v>
      </c>
      <c r="F290" s="26"/>
      <c r="H290" s="27"/>
      <c r="J290" s="27"/>
      <c r="L290" s="27"/>
      <c r="N290" s="27"/>
      <c r="P290" s="27"/>
      <c r="Q290" s="29"/>
      <c r="R290" s="26">
        <v>30.0</v>
      </c>
      <c r="T290" s="27">
        <v>30.0</v>
      </c>
      <c r="V290" s="27">
        <v>0.0</v>
      </c>
      <c r="X290" s="27">
        <v>0.0</v>
      </c>
      <c r="Z290" s="27">
        <v>0.0</v>
      </c>
      <c r="AB290" s="27">
        <v>0.0</v>
      </c>
      <c r="AC290" s="29"/>
      <c r="AD290" s="26"/>
      <c r="AF290" s="27"/>
      <c r="AH290" s="27"/>
      <c r="AJ290" s="27"/>
      <c r="AL290" s="27"/>
      <c r="AN290" s="27"/>
      <c r="AO290" s="29"/>
      <c r="AP290" s="35">
        <f t="shared" si="1"/>
        <v>1020</v>
      </c>
      <c r="AQ290" s="23">
        <f t="shared" si="2"/>
        <v>60</v>
      </c>
      <c r="AR290" s="23">
        <f t="shared" si="3"/>
        <v>0</v>
      </c>
      <c r="AS290" s="23">
        <f t="shared" si="4"/>
        <v>60</v>
      </c>
      <c r="AT290" s="36">
        <f t="shared" si="5"/>
        <v>17</v>
      </c>
      <c r="AU290" s="37"/>
      <c r="AV290" s="37"/>
      <c r="AW290" s="37"/>
    </row>
    <row r="291" ht="15.75" customHeight="1">
      <c r="A291" s="39" t="s">
        <v>27</v>
      </c>
      <c r="B291" s="40">
        <f t="shared" si="6"/>
        <v>44851</v>
      </c>
      <c r="C291" s="41">
        <v>11.0</v>
      </c>
      <c r="D291" s="41" t="s">
        <v>33</v>
      </c>
      <c r="E291" s="43" t="s">
        <v>42</v>
      </c>
      <c r="F291" s="26"/>
      <c r="H291" s="27"/>
      <c r="J291" s="27"/>
      <c r="L291" s="27"/>
      <c r="N291" s="27"/>
      <c r="P291" s="27"/>
      <c r="Q291" s="29"/>
      <c r="R291" s="26">
        <v>30.0</v>
      </c>
      <c r="T291" s="27">
        <v>30.0</v>
      </c>
      <c r="V291" s="27">
        <v>0.0</v>
      </c>
      <c r="X291" s="27">
        <v>0.0</v>
      </c>
      <c r="Z291" s="27">
        <v>0.0</v>
      </c>
      <c r="AB291" s="27">
        <v>0.0</v>
      </c>
      <c r="AC291" s="29"/>
      <c r="AD291" s="26"/>
      <c r="AF291" s="27"/>
      <c r="AH291" s="27"/>
      <c r="AJ291" s="27"/>
      <c r="AL291" s="27"/>
      <c r="AN291" s="27"/>
      <c r="AO291" s="29"/>
      <c r="AP291" s="45">
        <f t="shared" si="1"/>
        <v>1020</v>
      </c>
      <c r="AQ291" s="41">
        <f t="shared" si="2"/>
        <v>60</v>
      </c>
      <c r="AR291" s="41">
        <f t="shared" si="3"/>
        <v>0</v>
      </c>
      <c r="AS291" s="41">
        <f t="shared" si="4"/>
        <v>60</v>
      </c>
      <c r="AT291" s="46">
        <f t="shared" si="5"/>
        <v>17</v>
      </c>
      <c r="AU291" s="37"/>
      <c r="AV291" s="37"/>
      <c r="AW291" s="37"/>
    </row>
    <row r="292" ht="15.75" customHeight="1">
      <c r="A292" s="39" t="s">
        <v>28</v>
      </c>
      <c r="B292" s="40">
        <f t="shared" si="6"/>
        <v>44852</v>
      </c>
      <c r="C292" s="41">
        <v>11.0</v>
      </c>
      <c r="D292" s="41" t="s">
        <v>33</v>
      </c>
      <c r="E292" s="43" t="s">
        <v>42</v>
      </c>
      <c r="F292" s="26"/>
      <c r="H292" s="27"/>
      <c r="J292" s="27"/>
      <c r="L292" s="27"/>
      <c r="N292" s="27"/>
      <c r="P292" s="27"/>
      <c r="Q292" s="29"/>
      <c r="R292" s="26">
        <v>30.0</v>
      </c>
      <c r="T292" s="27">
        <v>30.0</v>
      </c>
      <c r="V292" s="27">
        <v>0.0</v>
      </c>
      <c r="X292" s="27">
        <v>0.0</v>
      </c>
      <c r="Z292" s="27">
        <v>0.0</v>
      </c>
      <c r="AB292" s="27">
        <v>0.0</v>
      </c>
      <c r="AC292" s="29"/>
      <c r="AD292" s="26"/>
      <c r="AF292" s="27"/>
      <c r="AH292" s="27"/>
      <c r="AJ292" s="27"/>
      <c r="AL292" s="27"/>
      <c r="AN292" s="27"/>
      <c r="AO292" s="29"/>
      <c r="AP292" s="45">
        <f t="shared" si="1"/>
        <v>1020</v>
      </c>
      <c r="AQ292" s="41">
        <f t="shared" si="2"/>
        <v>60</v>
      </c>
      <c r="AR292" s="41">
        <f t="shared" si="3"/>
        <v>0</v>
      </c>
      <c r="AS292" s="41">
        <f t="shared" si="4"/>
        <v>60</v>
      </c>
      <c r="AT292" s="46">
        <f t="shared" si="5"/>
        <v>17</v>
      </c>
      <c r="AU292" s="37"/>
      <c r="AV292" s="37"/>
      <c r="AW292" s="37"/>
    </row>
    <row r="293" ht="15.75" customHeight="1">
      <c r="A293" s="39" t="s">
        <v>29</v>
      </c>
      <c r="B293" s="40">
        <f t="shared" si="6"/>
        <v>44853</v>
      </c>
      <c r="C293" s="41">
        <v>11.0</v>
      </c>
      <c r="D293" s="41" t="s">
        <v>33</v>
      </c>
      <c r="E293" s="43" t="s">
        <v>42</v>
      </c>
      <c r="F293" s="26"/>
      <c r="H293" s="27"/>
      <c r="J293" s="27"/>
      <c r="L293" s="27"/>
      <c r="N293" s="27"/>
      <c r="P293" s="27"/>
      <c r="Q293" s="29"/>
      <c r="R293" s="26">
        <v>30.0</v>
      </c>
      <c r="T293" s="27">
        <v>30.0</v>
      </c>
      <c r="V293" s="27">
        <v>0.0</v>
      </c>
      <c r="X293" s="27">
        <v>0.0</v>
      </c>
      <c r="Z293" s="27">
        <v>0.0</v>
      </c>
      <c r="AB293" s="27">
        <v>0.0</v>
      </c>
      <c r="AC293" s="29"/>
      <c r="AD293" s="26"/>
      <c r="AF293" s="27"/>
      <c r="AH293" s="27"/>
      <c r="AJ293" s="27"/>
      <c r="AL293" s="27"/>
      <c r="AN293" s="27"/>
      <c r="AO293" s="29"/>
      <c r="AP293" s="45">
        <f t="shared" si="1"/>
        <v>1020</v>
      </c>
      <c r="AQ293" s="41">
        <f t="shared" si="2"/>
        <v>60</v>
      </c>
      <c r="AR293" s="41">
        <f t="shared" si="3"/>
        <v>0</v>
      </c>
      <c r="AS293" s="41">
        <f t="shared" si="4"/>
        <v>60</v>
      </c>
      <c r="AT293" s="46">
        <f t="shared" si="5"/>
        <v>17</v>
      </c>
      <c r="AU293" s="37"/>
      <c r="AV293" s="37"/>
      <c r="AW293" s="37"/>
    </row>
    <row r="294" ht="15.75" customHeight="1">
      <c r="A294" s="39" t="s">
        <v>30</v>
      </c>
      <c r="B294" s="40">
        <f t="shared" si="6"/>
        <v>44854</v>
      </c>
      <c r="C294" s="41">
        <v>11.0</v>
      </c>
      <c r="D294" s="41" t="s">
        <v>33</v>
      </c>
      <c r="E294" s="43" t="s">
        <v>42</v>
      </c>
      <c r="F294" s="26"/>
      <c r="H294" s="27"/>
      <c r="J294" s="27"/>
      <c r="L294" s="27"/>
      <c r="N294" s="27"/>
      <c r="P294" s="27"/>
      <c r="Q294" s="29"/>
      <c r="R294" s="26">
        <v>30.0</v>
      </c>
      <c r="T294" s="27">
        <v>30.0</v>
      </c>
      <c r="V294" s="27">
        <v>0.0</v>
      </c>
      <c r="X294" s="27">
        <v>0.0</v>
      </c>
      <c r="Z294" s="27">
        <v>0.0</v>
      </c>
      <c r="AB294" s="27">
        <v>0.0</v>
      </c>
      <c r="AC294" s="29"/>
      <c r="AD294" s="26"/>
      <c r="AF294" s="27"/>
      <c r="AH294" s="27"/>
      <c r="AJ294" s="27"/>
      <c r="AL294" s="27"/>
      <c r="AN294" s="27"/>
      <c r="AO294" s="29"/>
      <c r="AP294" s="45">
        <f t="shared" si="1"/>
        <v>1020</v>
      </c>
      <c r="AQ294" s="41">
        <f t="shared" si="2"/>
        <v>60</v>
      </c>
      <c r="AR294" s="41">
        <f t="shared" si="3"/>
        <v>0</v>
      </c>
      <c r="AS294" s="41">
        <f t="shared" si="4"/>
        <v>60</v>
      </c>
      <c r="AT294" s="46">
        <f t="shared" si="5"/>
        <v>17</v>
      </c>
      <c r="AU294" s="37"/>
      <c r="AV294" s="37"/>
      <c r="AW294" s="37"/>
    </row>
    <row r="295" ht="15.75" customHeight="1">
      <c r="A295" s="39" t="s">
        <v>31</v>
      </c>
      <c r="B295" s="40">
        <f t="shared" si="6"/>
        <v>44855</v>
      </c>
      <c r="C295" s="41">
        <v>11.0</v>
      </c>
      <c r="D295" s="41" t="s">
        <v>33</v>
      </c>
      <c r="E295" s="43" t="s">
        <v>42</v>
      </c>
      <c r="F295" s="26"/>
      <c r="H295" s="27"/>
      <c r="J295" s="27"/>
      <c r="L295" s="27"/>
      <c r="N295" s="27"/>
      <c r="P295" s="27"/>
      <c r="Q295" s="29"/>
      <c r="R295" s="26">
        <v>0.0</v>
      </c>
      <c r="T295" s="27">
        <v>0.0</v>
      </c>
      <c r="V295" s="27">
        <v>0.0</v>
      </c>
      <c r="X295" s="27">
        <v>0.0</v>
      </c>
      <c r="Z295" s="27">
        <v>0.0</v>
      </c>
      <c r="AB295" s="27">
        <v>0.0</v>
      </c>
      <c r="AC295" s="29"/>
      <c r="AD295" s="26"/>
      <c r="AF295" s="27"/>
      <c r="AH295" s="27"/>
      <c r="AJ295" s="27"/>
      <c r="AL295" s="27"/>
      <c r="AN295" s="27"/>
      <c r="AO295" s="29"/>
      <c r="AP295" s="45">
        <f t="shared" si="1"/>
        <v>0</v>
      </c>
      <c r="AQ295" s="41">
        <f t="shared" si="2"/>
        <v>0</v>
      </c>
      <c r="AR295" s="41">
        <f t="shared" si="3"/>
        <v>0</v>
      </c>
      <c r="AS295" s="41">
        <f t="shared" si="4"/>
        <v>0</v>
      </c>
      <c r="AT295" s="46" t="str">
        <f t="shared" si="5"/>
        <v/>
      </c>
      <c r="AU295" s="37"/>
      <c r="AV295" s="37"/>
      <c r="AW295" s="37"/>
    </row>
    <row r="296" ht="15.75" customHeight="1">
      <c r="A296" s="49" t="s">
        <v>32</v>
      </c>
      <c r="B296" s="50">
        <f t="shared" si="6"/>
        <v>44856</v>
      </c>
      <c r="C296" s="51">
        <v>11.0</v>
      </c>
      <c r="D296" s="51" t="s">
        <v>33</v>
      </c>
      <c r="E296" s="53" t="s">
        <v>42</v>
      </c>
      <c r="F296" s="54"/>
      <c r="G296" s="55"/>
      <c r="H296" s="56"/>
      <c r="I296" s="55"/>
      <c r="J296" s="56"/>
      <c r="K296" s="55"/>
      <c r="L296" s="56"/>
      <c r="M296" s="55"/>
      <c r="N296" s="56"/>
      <c r="O296" s="55"/>
      <c r="P296" s="56"/>
      <c r="Q296" s="58"/>
      <c r="R296" s="54">
        <v>0.0</v>
      </c>
      <c r="S296" s="55"/>
      <c r="T296" s="56">
        <v>0.0</v>
      </c>
      <c r="U296" s="55"/>
      <c r="V296" s="56">
        <v>0.0</v>
      </c>
      <c r="W296" s="55"/>
      <c r="X296" s="56">
        <v>0.0</v>
      </c>
      <c r="Y296" s="55"/>
      <c r="Z296" s="56">
        <v>0.0</v>
      </c>
      <c r="AA296" s="55"/>
      <c r="AB296" s="56">
        <v>0.0</v>
      </c>
      <c r="AC296" s="58"/>
      <c r="AD296" s="54"/>
      <c r="AE296" s="55"/>
      <c r="AF296" s="56"/>
      <c r="AG296" s="55"/>
      <c r="AH296" s="56"/>
      <c r="AI296" s="55"/>
      <c r="AJ296" s="56"/>
      <c r="AK296" s="55"/>
      <c r="AL296" s="56"/>
      <c r="AM296" s="55"/>
      <c r="AN296" s="56"/>
      <c r="AO296" s="58"/>
      <c r="AP296" s="60">
        <f t="shared" si="1"/>
        <v>0</v>
      </c>
      <c r="AQ296" s="51">
        <f t="shared" si="2"/>
        <v>0</v>
      </c>
      <c r="AR296" s="51">
        <f t="shared" si="3"/>
        <v>0</v>
      </c>
      <c r="AS296" s="51">
        <f t="shared" si="4"/>
        <v>0</v>
      </c>
      <c r="AT296" s="61" t="str">
        <f t="shared" si="5"/>
        <v/>
      </c>
      <c r="AU296" s="37"/>
      <c r="AV296" s="37"/>
      <c r="AW296" s="37"/>
    </row>
    <row r="297" ht="15.75" customHeight="1">
      <c r="A297" s="21" t="s">
        <v>24</v>
      </c>
      <c r="B297" s="62">
        <f t="shared" si="6"/>
        <v>44857</v>
      </c>
      <c r="C297" s="23">
        <v>11.0</v>
      </c>
      <c r="D297" s="23" t="s">
        <v>34</v>
      </c>
      <c r="E297" s="63" t="s">
        <v>42</v>
      </c>
      <c r="F297" s="26"/>
      <c r="H297" s="27"/>
      <c r="J297" s="27"/>
      <c r="L297" s="27"/>
      <c r="N297" s="27"/>
      <c r="P297" s="27"/>
      <c r="Q297" s="29"/>
      <c r="R297" s="26">
        <v>30.0</v>
      </c>
      <c r="T297" s="27">
        <v>30.0</v>
      </c>
      <c r="V297" s="27">
        <v>0.0</v>
      </c>
      <c r="X297" s="27">
        <v>0.0</v>
      </c>
      <c r="Z297" s="27">
        <v>0.0</v>
      </c>
      <c r="AB297" s="27">
        <v>0.0</v>
      </c>
      <c r="AC297" s="29"/>
      <c r="AD297" s="26"/>
      <c r="AF297" s="27"/>
      <c r="AH297" s="27"/>
      <c r="AJ297" s="27"/>
      <c r="AL297" s="27"/>
      <c r="AN297" s="27"/>
      <c r="AO297" s="29"/>
      <c r="AP297" s="35">
        <f t="shared" si="1"/>
        <v>1020</v>
      </c>
      <c r="AQ297" s="23">
        <f t="shared" si="2"/>
        <v>60</v>
      </c>
      <c r="AR297" s="23">
        <f t="shared" si="3"/>
        <v>0</v>
      </c>
      <c r="AS297" s="23">
        <f t="shared" si="4"/>
        <v>60</v>
      </c>
      <c r="AT297" s="36">
        <f t="shared" si="5"/>
        <v>17</v>
      </c>
      <c r="AU297" s="37"/>
      <c r="AV297" s="37"/>
      <c r="AW297" s="37"/>
    </row>
    <row r="298" ht="15.75" customHeight="1">
      <c r="A298" s="39" t="s">
        <v>27</v>
      </c>
      <c r="B298" s="40">
        <f t="shared" si="6"/>
        <v>44858</v>
      </c>
      <c r="C298" s="41">
        <v>11.0</v>
      </c>
      <c r="D298" s="41" t="s">
        <v>34</v>
      </c>
      <c r="E298" s="43" t="s">
        <v>42</v>
      </c>
      <c r="F298" s="26"/>
      <c r="H298" s="27"/>
      <c r="J298" s="27"/>
      <c r="L298" s="27"/>
      <c r="N298" s="27"/>
      <c r="P298" s="27"/>
      <c r="Q298" s="29"/>
      <c r="R298" s="26">
        <v>30.0</v>
      </c>
      <c r="T298" s="27">
        <v>30.0</v>
      </c>
      <c r="V298" s="27">
        <v>0.0</v>
      </c>
      <c r="X298" s="27">
        <v>0.0</v>
      </c>
      <c r="Z298" s="27">
        <v>0.0</v>
      </c>
      <c r="AB298" s="27">
        <v>0.0</v>
      </c>
      <c r="AC298" s="29"/>
      <c r="AD298" s="26"/>
      <c r="AF298" s="27"/>
      <c r="AH298" s="27"/>
      <c r="AJ298" s="27"/>
      <c r="AL298" s="27"/>
      <c r="AN298" s="27"/>
      <c r="AO298" s="29"/>
      <c r="AP298" s="45">
        <f t="shared" si="1"/>
        <v>1020</v>
      </c>
      <c r="AQ298" s="41">
        <f t="shared" si="2"/>
        <v>60</v>
      </c>
      <c r="AR298" s="41">
        <f t="shared" si="3"/>
        <v>0</v>
      </c>
      <c r="AS298" s="41">
        <f t="shared" si="4"/>
        <v>60</v>
      </c>
      <c r="AT298" s="46">
        <f t="shared" si="5"/>
        <v>17</v>
      </c>
      <c r="AU298" s="37"/>
      <c r="AV298" s="37"/>
      <c r="AW298" s="37"/>
    </row>
    <row r="299" ht="15.75" customHeight="1">
      <c r="A299" s="39" t="s">
        <v>28</v>
      </c>
      <c r="B299" s="40">
        <f t="shared" si="6"/>
        <v>44859</v>
      </c>
      <c r="C299" s="41">
        <v>11.0</v>
      </c>
      <c r="D299" s="41" t="s">
        <v>34</v>
      </c>
      <c r="E299" s="43" t="s">
        <v>42</v>
      </c>
      <c r="F299" s="26"/>
      <c r="H299" s="27"/>
      <c r="J299" s="27"/>
      <c r="L299" s="27"/>
      <c r="N299" s="27"/>
      <c r="P299" s="27"/>
      <c r="Q299" s="29"/>
      <c r="R299" s="26">
        <v>30.0</v>
      </c>
      <c r="T299" s="27">
        <v>30.0</v>
      </c>
      <c r="V299" s="27">
        <v>0.0</v>
      </c>
      <c r="X299" s="27">
        <v>0.0</v>
      </c>
      <c r="Z299" s="27">
        <v>0.0</v>
      </c>
      <c r="AB299" s="27">
        <v>0.0</v>
      </c>
      <c r="AC299" s="29"/>
      <c r="AD299" s="26"/>
      <c r="AF299" s="27"/>
      <c r="AH299" s="27"/>
      <c r="AJ299" s="27"/>
      <c r="AL299" s="27"/>
      <c r="AN299" s="27"/>
      <c r="AO299" s="29"/>
      <c r="AP299" s="45">
        <f t="shared" si="1"/>
        <v>1020</v>
      </c>
      <c r="AQ299" s="41">
        <f t="shared" si="2"/>
        <v>60</v>
      </c>
      <c r="AR299" s="41">
        <f t="shared" si="3"/>
        <v>0</v>
      </c>
      <c r="AS299" s="41">
        <f t="shared" si="4"/>
        <v>60</v>
      </c>
      <c r="AT299" s="46">
        <f t="shared" si="5"/>
        <v>17</v>
      </c>
      <c r="AU299" s="37"/>
      <c r="AV299" s="37"/>
      <c r="AW299" s="37"/>
    </row>
    <row r="300" ht="15.75" customHeight="1">
      <c r="A300" s="39" t="s">
        <v>29</v>
      </c>
      <c r="B300" s="40">
        <f t="shared" si="6"/>
        <v>44860</v>
      </c>
      <c r="C300" s="41">
        <v>11.0</v>
      </c>
      <c r="D300" s="41" t="s">
        <v>34</v>
      </c>
      <c r="E300" s="43" t="s">
        <v>42</v>
      </c>
      <c r="F300" s="26"/>
      <c r="H300" s="27"/>
      <c r="J300" s="27"/>
      <c r="L300" s="27"/>
      <c r="N300" s="27"/>
      <c r="P300" s="27"/>
      <c r="Q300" s="29"/>
      <c r="R300" s="26">
        <v>30.0</v>
      </c>
      <c r="T300" s="27">
        <v>30.0</v>
      </c>
      <c r="V300" s="27">
        <v>0.0</v>
      </c>
      <c r="X300" s="27">
        <v>0.0</v>
      </c>
      <c r="Z300" s="27">
        <v>0.0</v>
      </c>
      <c r="AB300" s="27">
        <v>0.0</v>
      </c>
      <c r="AC300" s="29"/>
      <c r="AD300" s="26"/>
      <c r="AF300" s="27"/>
      <c r="AH300" s="27"/>
      <c r="AJ300" s="27"/>
      <c r="AL300" s="27"/>
      <c r="AN300" s="27"/>
      <c r="AO300" s="29"/>
      <c r="AP300" s="45">
        <f t="shared" si="1"/>
        <v>1020</v>
      </c>
      <c r="AQ300" s="41">
        <f t="shared" si="2"/>
        <v>60</v>
      </c>
      <c r="AR300" s="41">
        <f t="shared" si="3"/>
        <v>0</v>
      </c>
      <c r="AS300" s="41">
        <f t="shared" si="4"/>
        <v>60</v>
      </c>
      <c r="AT300" s="46">
        <f t="shared" si="5"/>
        <v>17</v>
      </c>
      <c r="AU300" s="37"/>
      <c r="AV300" s="37"/>
      <c r="AW300" s="37"/>
    </row>
    <row r="301" ht="15.75" customHeight="1">
      <c r="A301" s="39" t="s">
        <v>30</v>
      </c>
      <c r="B301" s="40">
        <f t="shared" si="6"/>
        <v>44861</v>
      </c>
      <c r="C301" s="41">
        <v>11.0</v>
      </c>
      <c r="D301" s="41" t="s">
        <v>34</v>
      </c>
      <c r="E301" s="43" t="s">
        <v>42</v>
      </c>
      <c r="F301" s="26"/>
      <c r="H301" s="27"/>
      <c r="J301" s="27"/>
      <c r="L301" s="27"/>
      <c r="N301" s="27"/>
      <c r="P301" s="27"/>
      <c r="Q301" s="29"/>
      <c r="R301" s="26">
        <v>30.0</v>
      </c>
      <c r="T301" s="27">
        <v>30.0</v>
      </c>
      <c r="V301" s="27">
        <v>0.0</v>
      </c>
      <c r="X301" s="27">
        <v>0.0</v>
      </c>
      <c r="Z301" s="27">
        <v>0.0</v>
      </c>
      <c r="AB301" s="27">
        <v>0.0</v>
      </c>
      <c r="AC301" s="29"/>
      <c r="AD301" s="26"/>
      <c r="AF301" s="27"/>
      <c r="AH301" s="27"/>
      <c r="AJ301" s="27"/>
      <c r="AL301" s="27"/>
      <c r="AN301" s="27"/>
      <c r="AO301" s="29"/>
      <c r="AP301" s="45">
        <f t="shared" si="1"/>
        <v>1020</v>
      </c>
      <c r="AQ301" s="41">
        <f t="shared" si="2"/>
        <v>60</v>
      </c>
      <c r="AR301" s="41">
        <f t="shared" si="3"/>
        <v>0</v>
      </c>
      <c r="AS301" s="41">
        <f t="shared" si="4"/>
        <v>60</v>
      </c>
      <c r="AT301" s="46">
        <f t="shared" si="5"/>
        <v>17</v>
      </c>
      <c r="AU301" s="37"/>
      <c r="AV301" s="37"/>
      <c r="AW301" s="37"/>
    </row>
    <row r="302" ht="15.75" customHeight="1">
      <c r="A302" s="39" t="s">
        <v>31</v>
      </c>
      <c r="B302" s="40">
        <f t="shared" si="6"/>
        <v>44862</v>
      </c>
      <c r="C302" s="41">
        <v>11.0</v>
      </c>
      <c r="D302" s="41" t="s">
        <v>34</v>
      </c>
      <c r="E302" s="43" t="s">
        <v>42</v>
      </c>
      <c r="F302" s="26"/>
      <c r="H302" s="27"/>
      <c r="J302" s="27"/>
      <c r="L302" s="27"/>
      <c r="N302" s="27"/>
      <c r="P302" s="27"/>
      <c r="Q302" s="29"/>
      <c r="R302" s="26">
        <v>0.0</v>
      </c>
      <c r="T302" s="27">
        <v>0.0</v>
      </c>
      <c r="V302" s="27">
        <v>0.0</v>
      </c>
      <c r="X302" s="27">
        <v>0.0</v>
      </c>
      <c r="Z302" s="27">
        <v>0.0</v>
      </c>
      <c r="AB302" s="27">
        <v>0.0</v>
      </c>
      <c r="AC302" s="29"/>
      <c r="AD302" s="26"/>
      <c r="AF302" s="27"/>
      <c r="AH302" s="27"/>
      <c r="AJ302" s="27"/>
      <c r="AL302" s="27"/>
      <c r="AN302" s="27"/>
      <c r="AO302" s="29"/>
      <c r="AP302" s="45">
        <f t="shared" si="1"/>
        <v>0</v>
      </c>
      <c r="AQ302" s="41">
        <f t="shared" si="2"/>
        <v>0</v>
      </c>
      <c r="AR302" s="41">
        <f t="shared" si="3"/>
        <v>0</v>
      </c>
      <c r="AS302" s="41">
        <f t="shared" si="4"/>
        <v>0</v>
      </c>
      <c r="AT302" s="46" t="str">
        <f t="shared" si="5"/>
        <v/>
      </c>
      <c r="AU302" s="37"/>
      <c r="AV302" s="37"/>
      <c r="AW302" s="37"/>
    </row>
    <row r="303" ht="15.75" customHeight="1">
      <c r="A303" s="49" t="s">
        <v>32</v>
      </c>
      <c r="B303" s="50">
        <f t="shared" si="6"/>
        <v>44863</v>
      </c>
      <c r="C303" s="51">
        <v>11.0</v>
      </c>
      <c r="D303" s="51" t="s">
        <v>34</v>
      </c>
      <c r="E303" s="53" t="s">
        <v>42</v>
      </c>
      <c r="F303" s="54"/>
      <c r="G303" s="55"/>
      <c r="H303" s="56"/>
      <c r="I303" s="55"/>
      <c r="J303" s="56"/>
      <c r="K303" s="55"/>
      <c r="L303" s="56"/>
      <c r="M303" s="55"/>
      <c r="N303" s="56"/>
      <c r="O303" s="55"/>
      <c r="P303" s="56"/>
      <c r="Q303" s="58"/>
      <c r="R303" s="54">
        <v>0.0</v>
      </c>
      <c r="S303" s="55"/>
      <c r="T303" s="56">
        <v>0.0</v>
      </c>
      <c r="U303" s="55"/>
      <c r="V303" s="56">
        <v>0.0</v>
      </c>
      <c r="W303" s="55"/>
      <c r="X303" s="56">
        <v>0.0</v>
      </c>
      <c r="Y303" s="55"/>
      <c r="Z303" s="56">
        <v>0.0</v>
      </c>
      <c r="AA303" s="55"/>
      <c r="AB303" s="56">
        <v>0.0</v>
      </c>
      <c r="AC303" s="58"/>
      <c r="AD303" s="54"/>
      <c r="AE303" s="55"/>
      <c r="AF303" s="56"/>
      <c r="AG303" s="55"/>
      <c r="AH303" s="56"/>
      <c r="AI303" s="55"/>
      <c r="AJ303" s="56"/>
      <c r="AK303" s="55"/>
      <c r="AL303" s="56"/>
      <c r="AM303" s="55"/>
      <c r="AN303" s="56"/>
      <c r="AO303" s="58"/>
      <c r="AP303" s="60">
        <f t="shared" si="1"/>
        <v>0</v>
      </c>
      <c r="AQ303" s="51">
        <f t="shared" si="2"/>
        <v>0</v>
      </c>
      <c r="AR303" s="51">
        <f t="shared" si="3"/>
        <v>0</v>
      </c>
      <c r="AS303" s="51">
        <f t="shared" si="4"/>
        <v>0</v>
      </c>
      <c r="AT303" s="61" t="str">
        <f t="shared" si="5"/>
        <v/>
      </c>
      <c r="AU303" s="37"/>
      <c r="AV303" s="37"/>
      <c r="AW303" s="37"/>
    </row>
    <row r="304" ht="15.75" customHeight="1">
      <c r="A304" s="21" t="s">
        <v>24</v>
      </c>
      <c r="B304" s="62">
        <f t="shared" si="6"/>
        <v>44864</v>
      </c>
      <c r="C304" s="23">
        <v>11.0</v>
      </c>
      <c r="D304" s="23" t="s">
        <v>35</v>
      </c>
      <c r="E304" s="63" t="s">
        <v>42</v>
      </c>
      <c r="F304" s="26"/>
      <c r="H304" s="27"/>
      <c r="J304" s="27"/>
      <c r="L304" s="27"/>
      <c r="N304" s="27"/>
      <c r="P304" s="27"/>
      <c r="Q304" s="29"/>
      <c r="R304" s="26">
        <v>30.0</v>
      </c>
      <c r="T304" s="27">
        <v>30.0</v>
      </c>
      <c r="V304" s="27">
        <v>0.0</v>
      </c>
      <c r="X304" s="27">
        <v>0.0</v>
      </c>
      <c r="Z304" s="27">
        <v>0.0</v>
      </c>
      <c r="AB304" s="27">
        <v>0.0</v>
      </c>
      <c r="AC304" s="29"/>
      <c r="AD304" s="26"/>
      <c r="AF304" s="27"/>
      <c r="AH304" s="27"/>
      <c r="AJ304" s="27"/>
      <c r="AL304" s="27"/>
      <c r="AN304" s="27"/>
      <c r="AO304" s="29"/>
      <c r="AP304" s="35">
        <f t="shared" si="1"/>
        <v>1020</v>
      </c>
      <c r="AQ304" s="23">
        <f t="shared" si="2"/>
        <v>60</v>
      </c>
      <c r="AR304" s="23">
        <f t="shared" si="3"/>
        <v>0</v>
      </c>
      <c r="AS304" s="23">
        <f t="shared" si="4"/>
        <v>60</v>
      </c>
      <c r="AT304" s="36">
        <f t="shared" si="5"/>
        <v>17</v>
      </c>
      <c r="AU304" s="37"/>
      <c r="AV304" s="37"/>
      <c r="AW304" s="37"/>
    </row>
    <row r="305" ht="15.75" customHeight="1">
      <c r="A305" s="39" t="s">
        <v>27</v>
      </c>
      <c r="B305" s="40">
        <f t="shared" si="6"/>
        <v>44865</v>
      </c>
      <c r="C305" s="41">
        <v>11.0</v>
      </c>
      <c r="D305" s="41" t="s">
        <v>35</v>
      </c>
      <c r="E305" s="43" t="s">
        <v>42</v>
      </c>
      <c r="F305" s="26"/>
      <c r="H305" s="27"/>
      <c r="J305" s="27"/>
      <c r="L305" s="27"/>
      <c r="N305" s="27"/>
      <c r="P305" s="27"/>
      <c r="Q305" s="29"/>
      <c r="R305" s="26">
        <v>30.0</v>
      </c>
      <c r="T305" s="27">
        <v>30.0</v>
      </c>
      <c r="V305" s="27">
        <v>0.0</v>
      </c>
      <c r="X305" s="27">
        <v>0.0</v>
      </c>
      <c r="Z305" s="27">
        <v>0.0</v>
      </c>
      <c r="AB305" s="27">
        <v>0.0</v>
      </c>
      <c r="AC305" s="29"/>
      <c r="AD305" s="26"/>
      <c r="AF305" s="27"/>
      <c r="AH305" s="27"/>
      <c r="AJ305" s="27"/>
      <c r="AL305" s="27"/>
      <c r="AN305" s="27"/>
      <c r="AO305" s="29"/>
      <c r="AP305" s="45">
        <f t="shared" si="1"/>
        <v>1020</v>
      </c>
      <c r="AQ305" s="41">
        <f t="shared" si="2"/>
        <v>60</v>
      </c>
      <c r="AR305" s="41">
        <f t="shared" si="3"/>
        <v>0</v>
      </c>
      <c r="AS305" s="41">
        <f t="shared" si="4"/>
        <v>60</v>
      </c>
      <c r="AT305" s="46">
        <f t="shared" si="5"/>
        <v>17</v>
      </c>
      <c r="AU305" s="37"/>
      <c r="AV305" s="37"/>
      <c r="AW305" s="37"/>
    </row>
    <row r="306" ht="15.75" customHeight="1">
      <c r="A306" s="39" t="s">
        <v>28</v>
      </c>
      <c r="B306" s="40">
        <f t="shared" si="6"/>
        <v>44866</v>
      </c>
      <c r="C306" s="41">
        <v>11.0</v>
      </c>
      <c r="D306" s="41" t="s">
        <v>35</v>
      </c>
      <c r="E306" s="43" t="s">
        <v>42</v>
      </c>
      <c r="F306" s="26"/>
      <c r="H306" s="27"/>
      <c r="J306" s="27"/>
      <c r="L306" s="27"/>
      <c r="N306" s="27"/>
      <c r="P306" s="27"/>
      <c r="Q306" s="29"/>
      <c r="R306" s="26">
        <v>30.0</v>
      </c>
      <c r="T306" s="27">
        <v>30.0</v>
      </c>
      <c r="V306" s="27">
        <v>0.0</v>
      </c>
      <c r="X306" s="27">
        <v>0.0</v>
      </c>
      <c r="Z306" s="27">
        <v>0.0</v>
      </c>
      <c r="AB306" s="27">
        <v>0.0</v>
      </c>
      <c r="AC306" s="29"/>
      <c r="AD306" s="26"/>
      <c r="AF306" s="27"/>
      <c r="AH306" s="27"/>
      <c r="AJ306" s="27"/>
      <c r="AL306" s="27"/>
      <c r="AN306" s="27"/>
      <c r="AO306" s="29"/>
      <c r="AP306" s="45">
        <f t="shared" si="1"/>
        <v>1020</v>
      </c>
      <c r="AQ306" s="41">
        <f t="shared" si="2"/>
        <v>60</v>
      </c>
      <c r="AR306" s="41">
        <f t="shared" si="3"/>
        <v>0</v>
      </c>
      <c r="AS306" s="41">
        <f t="shared" si="4"/>
        <v>60</v>
      </c>
      <c r="AT306" s="46">
        <f t="shared" si="5"/>
        <v>17</v>
      </c>
      <c r="AU306" s="37"/>
      <c r="AV306" s="37"/>
      <c r="AW306" s="37"/>
    </row>
    <row r="307" ht="15.75" customHeight="1">
      <c r="A307" s="39" t="s">
        <v>29</v>
      </c>
      <c r="B307" s="40">
        <f t="shared" si="6"/>
        <v>44867</v>
      </c>
      <c r="C307" s="41">
        <v>11.0</v>
      </c>
      <c r="D307" s="41" t="s">
        <v>35</v>
      </c>
      <c r="E307" s="43" t="s">
        <v>42</v>
      </c>
      <c r="F307" s="26"/>
      <c r="H307" s="27"/>
      <c r="J307" s="27"/>
      <c r="L307" s="27"/>
      <c r="N307" s="27"/>
      <c r="P307" s="27"/>
      <c r="Q307" s="29"/>
      <c r="R307" s="26">
        <v>30.0</v>
      </c>
      <c r="T307" s="27">
        <v>30.0</v>
      </c>
      <c r="V307" s="27">
        <v>0.0</v>
      </c>
      <c r="X307" s="27">
        <v>0.0</v>
      </c>
      <c r="Z307" s="27">
        <v>0.0</v>
      </c>
      <c r="AB307" s="27">
        <v>0.0</v>
      </c>
      <c r="AC307" s="29"/>
      <c r="AD307" s="26"/>
      <c r="AF307" s="27"/>
      <c r="AH307" s="27"/>
      <c r="AJ307" s="27"/>
      <c r="AL307" s="27"/>
      <c r="AN307" s="27"/>
      <c r="AO307" s="29"/>
      <c r="AP307" s="45">
        <f t="shared" si="1"/>
        <v>1020</v>
      </c>
      <c r="AQ307" s="41">
        <f t="shared" si="2"/>
        <v>60</v>
      </c>
      <c r="AR307" s="41">
        <f t="shared" si="3"/>
        <v>0</v>
      </c>
      <c r="AS307" s="41">
        <f t="shared" si="4"/>
        <v>60</v>
      </c>
      <c r="AT307" s="46">
        <f t="shared" si="5"/>
        <v>17</v>
      </c>
      <c r="AU307" s="37"/>
      <c r="AV307" s="37"/>
      <c r="AW307" s="37"/>
    </row>
    <row r="308" ht="15.75" customHeight="1">
      <c r="A308" s="39" t="s">
        <v>30</v>
      </c>
      <c r="B308" s="40">
        <f t="shared" si="6"/>
        <v>44868</v>
      </c>
      <c r="C308" s="41">
        <v>11.0</v>
      </c>
      <c r="D308" s="41" t="s">
        <v>35</v>
      </c>
      <c r="E308" s="43" t="s">
        <v>42</v>
      </c>
      <c r="F308" s="26"/>
      <c r="H308" s="27"/>
      <c r="J308" s="27"/>
      <c r="L308" s="27"/>
      <c r="N308" s="27"/>
      <c r="P308" s="27"/>
      <c r="Q308" s="29"/>
      <c r="R308" s="26">
        <v>30.0</v>
      </c>
      <c r="T308" s="27">
        <v>30.0</v>
      </c>
      <c r="V308" s="27">
        <v>0.0</v>
      </c>
      <c r="X308" s="27">
        <v>0.0</v>
      </c>
      <c r="Z308" s="27">
        <v>0.0</v>
      </c>
      <c r="AB308" s="27">
        <v>0.0</v>
      </c>
      <c r="AC308" s="29"/>
      <c r="AD308" s="26"/>
      <c r="AF308" s="27"/>
      <c r="AH308" s="27"/>
      <c r="AJ308" s="27"/>
      <c r="AL308" s="27"/>
      <c r="AN308" s="27"/>
      <c r="AO308" s="29"/>
      <c r="AP308" s="45">
        <f t="shared" si="1"/>
        <v>1020</v>
      </c>
      <c r="AQ308" s="41">
        <f t="shared" si="2"/>
        <v>60</v>
      </c>
      <c r="AR308" s="41">
        <f t="shared" si="3"/>
        <v>0</v>
      </c>
      <c r="AS308" s="41">
        <f t="shared" si="4"/>
        <v>60</v>
      </c>
      <c r="AT308" s="46">
        <f t="shared" si="5"/>
        <v>17</v>
      </c>
      <c r="AU308" s="37"/>
      <c r="AV308" s="37"/>
      <c r="AW308" s="37"/>
    </row>
    <row r="309" ht="15.75" customHeight="1">
      <c r="A309" s="39" t="s">
        <v>31</v>
      </c>
      <c r="B309" s="40">
        <f t="shared" si="6"/>
        <v>44869</v>
      </c>
      <c r="C309" s="41">
        <v>11.0</v>
      </c>
      <c r="D309" s="41" t="s">
        <v>35</v>
      </c>
      <c r="E309" s="43" t="s">
        <v>42</v>
      </c>
      <c r="F309" s="26"/>
      <c r="H309" s="27"/>
      <c r="J309" s="27"/>
      <c r="L309" s="27"/>
      <c r="N309" s="27"/>
      <c r="P309" s="27"/>
      <c r="Q309" s="29"/>
      <c r="R309" s="26">
        <v>0.0</v>
      </c>
      <c r="T309" s="27">
        <v>0.0</v>
      </c>
      <c r="V309" s="27">
        <v>0.0</v>
      </c>
      <c r="X309" s="27">
        <v>0.0</v>
      </c>
      <c r="Z309" s="27">
        <v>0.0</v>
      </c>
      <c r="AB309" s="27">
        <v>0.0</v>
      </c>
      <c r="AC309" s="29"/>
      <c r="AD309" s="26"/>
      <c r="AF309" s="27"/>
      <c r="AH309" s="27"/>
      <c r="AJ309" s="27"/>
      <c r="AL309" s="27"/>
      <c r="AN309" s="27"/>
      <c r="AO309" s="29"/>
      <c r="AP309" s="45">
        <f t="shared" si="1"/>
        <v>0</v>
      </c>
      <c r="AQ309" s="41">
        <f t="shared" si="2"/>
        <v>0</v>
      </c>
      <c r="AR309" s="41">
        <f t="shared" si="3"/>
        <v>0</v>
      </c>
      <c r="AS309" s="41">
        <f t="shared" si="4"/>
        <v>0</v>
      </c>
      <c r="AT309" s="46" t="str">
        <f t="shared" si="5"/>
        <v/>
      </c>
      <c r="AU309" s="37"/>
      <c r="AV309" s="37"/>
      <c r="AW309" s="37"/>
    </row>
    <row r="310" ht="15.75" customHeight="1">
      <c r="A310" s="49" t="s">
        <v>32</v>
      </c>
      <c r="B310" s="50">
        <f t="shared" si="6"/>
        <v>44870</v>
      </c>
      <c r="C310" s="51">
        <v>11.0</v>
      </c>
      <c r="D310" s="51" t="s">
        <v>35</v>
      </c>
      <c r="E310" s="53" t="s">
        <v>42</v>
      </c>
      <c r="F310" s="54"/>
      <c r="G310" s="55"/>
      <c r="H310" s="56"/>
      <c r="I310" s="55"/>
      <c r="J310" s="56"/>
      <c r="K310" s="55"/>
      <c r="L310" s="56"/>
      <c r="M310" s="55"/>
      <c r="N310" s="56"/>
      <c r="O310" s="55"/>
      <c r="P310" s="56"/>
      <c r="Q310" s="58"/>
      <c r="R310" s="54">
        <v>0.0</v>
      </c>
      <c r="S310" s="55"/>
      <c r="T310" s="56">
        <v>0.0</v>
      </c>
      <c r="U310" s="55"/>
      <c r="V310" s="56">
        <v>0.0</v>
      </c>
      <c r="W310" s="55"/>
      <c r="X310" s="56">
        <v>0.0</v>
      </c>
      <c r="Y310" s="55"/>
      <c r="Z310" s="56">
        <v>0.0</v>
      </c>
      <c r="AA310" s="55"/>
      <c r="AB310" s="56">
        <v>0.0</v>
      </c>
      <c r="AC310" s="58"/>
      <c r="AD310" s="54"/>
      <c r="AE310" s="55"/>
      <c r="AF310" s="56"/>
      <c r="AG310" s="55"/>
      <c r="AH310" s="56"/>
      <c r="AI310" s="55"/>
      <c r="AJ310" s="56"/>
      <c r="AK310" s="55"/>
      <c r="AL310" s="56"/>
      <c r="AM310" s="55"/>
      <c r="AN310" s="56"/>
      <c r="AO310" s="58"/>
      <c r="AP310" s="60">
        <f t="shared" si="1"/>
        <v>0</v>
      </c>
      <c r="AQ310" s="51">
        <f t="shared" si="2"/>
        <v>0</v>
      </c>
      <c r="AR310" s="51">
        <f t="shared" si="3"/>
        <v>0</v>
      </c>
      <c r="AS310" s="51">
        <f t="shared" si="4"/>
        <v>0</v>
      </c>
      <c r="AT310" s="61" t="str">
        <f t="shared" si="5"/>
        <v/>
      </c>
      <c r="AU310" s="37"/>
      <c r="AV310" s="37"/>
      <c r="AW310" s="37"/>
    </row>
    <row r="311" ht="15.75" customHeight="1">
      <c r="A311" s="21" t="s">
        <v>24</v>
      </c>
      <c r="B311" s="62">
        <f t="shared" si="6"/>
        <v>44871</v>
      </c>
      <c r="C311" s="23">
        <v>12.0</v>
      </c>
      <c r="D311" s="23" t="s">
        <v>25</v>
      </c>
      <c r="E311" s="63" t="s">
        <v>42</v>
      </c>
      <c r="F311" s="26"/>
      <c r="H311" s="27"/>
      <c r="J311" s="27"/>
      <c r="L311" s="27"/>
      <c r="N311" s="27"/>
      <c r="P311" s="27"/>
      <c r="Q311" s="29"/>
      <c r="R311" s="26">
        <v>30.0</v>
      </c>
      <c r="T311" s="27">
        <v>30.0</v>
      </c>
      <c r="V311" s="27">
        <v>0.0</v>
      </c>
      <c r="X311" s="27">
        <v>0.0</v>
      </c>
      <c r="Z311" s="27">
        <v>0.0</v>
      </c>
      <c r="AB311" s="27">
        <v>0.0</v>
      </c>
      <c r="AC311" s="29"/>
      <c r="AD311" s="26"/>
      <c r="AF311" s="27"/>
      <c r="AH311" s="27"/>
      <c r="AJ311" s="27"/>
      <c r="AL311" s="27"/>
      <c r="AN311" s="27"/>
      <c r="AO311" s="29"/>
      <c r="AP311" s="35">
        <f t="shared" si="1"/>
        <v>1020</v>
      </c>
      <c r="AQ311" s="23">
        <f t="shared" si="2"/>
        <v>60</v>
      </c>
      <c r="AR311" s="23">
        <f t="shared" si="3"/>
        <v>0</v>
      </c>
      <c r="AS311" s="23">
        <f t="shared" si="4"/>
        <v>60</v>
      </c>
      <c r="AT311" s="36">
        <f t="shared" si="5"/>
        <v>17</v>
      </c>
      <c r="AU311" s="37"/>
      <c r="AV311" s="37"/>
      <c r="AW311" s="37"/>
    </row>
    <row r="312" ht="15.75" customHeight="1">
      <c r="A312" s="39" t="s">
        <v>27</v>
      </c>
      <c r="B312" s="40">
        <f t="shared" si="6"/>
        <v>44872</v>
      </c>
      <c r="C312" s="41">
        <v>12.0</v>
      </c>
      <c r="D312" s="41" t="s">
        <v>25</v>
      </c>
      <c r="E312" s="43" t="s">
        <v>42</v>
      </c>
      <c r="F312" s="26"/>
      <c r="H312" s="27"/>
      <c r="J312" s="27"/>
      <c r="L312" s="27"/>
      <c r="N312" s="27"/>
      <c r="P312" s="27"/>
      <c r="Q312" s="29"/>
      <c r="R312" s="26">
        <v>30.0</v>
      </c>
      <c r="T312" s="27">
        <v>30.0</v>
      </c>
      <c r="V312" s="27">
        <v>0.0</v>
      </c>
      <c r="X312" s="27">
        <v>0.0</v>
      </c>
      <c r="Z312" s="27">
        <v>0.0</v>
      </c>
      <c r="AB312" s="27">
        <v>0.0</v>
      </c>
      <c r="AC312" s="29"/>
      <c r="AD312" s="26"/>
      <c r="AF312" s="27"/>
      <c r="AH312" s="27"/>
      <c r="AJ312" s="27"/>
      <c r="AL312" s="27"/>
      <c r="AN312" s="27"/>
      <c r="AO312" s="29"/>
      <c r="AP312" s="45">
        <f t="shared" si="1"/>
        <v>1020</v>
      </c>
      <c r="AQ312" s="41">
        <f t="shared" si="2"/>
        <v>60</v>
      </c>
      <c r="AR312" s="41">
        <f t="shared" si="3"/>
        <v>0</v>
      </c>
      <c r="AS312" s="41">
        <f t="shared" si="4"/>
        <v>60</v>
      </c>
      <c r="AT312" s="46">
        <f t="shared" si="5"/>
        <v>17</v>
      </c>
      <c r="AU312" s="37"/>
      <c r="AV312" s="37"/>
      <c r="AW312" s="37"/>
    </row>
    <row r="313" ht="15.75" customHeight="1">
      <c r="A313" s="39" t="s">
        <v>28</v>
      </c>
      <c r="B313" s="40">
        <f t="shared" si="6"/>
        <v>44873</v>
      </c>
      <c r="C313" s="41">
        <v>12.0</v>
      </c>
      <c r="D313" s="41" t="s">
        <v>25</v>
      </c>
      <c r="E313" s="43" t="s">
        <v>42</v>
      </c>
      <c r="F313" s="26"/>
      <c r="H313" s="27"/>
      <c r="J313" s="27"/>
      <c r="L313" s="27"/>
      <c r="N313" s="27"/>
      <c r="P313" s="27"/>
      <c r="Q313" s="29"/>
      <c r="R313" s="26">
        <v>30.0</v>
      </c>
      <c r="T313" s="27">
        <v>30.0</v>
      </c>
      <c r="V313" s="27">
        <v>0.0</v>
      </c>
      <c r="X313" s="27">
        <v>0.0</v>
      </c>
      <c r="Z313" s="27">
        <v>0.0</v>
      </c>
      <c r="AB313" s="27">
        <v>0.0</v>
      </c>
      <c r="AC313" s="29"/>
      <c r="AD313" s="26"/>
      <c r="AF313" s="27"/>
      <c r="AH313" s="27"/>
      <c r="AJ313" s="27"/>
      <c r="AL313" s="27"/>
      <c r="AN313" s="27"/>
      <c r="AO313" s="29"/>
      <c r="AP313" s="45">
        <f t="shared" si="1"/>
        <v>1020</v>
      </c>
      <c r="AQ313" s="41">
        <f t="shared" si="2"/>
        <v>60</v>
      </c>
      <c r="AR313" s="41">
        <f t="shared" si="3"/>
        <v>0</v>
      </c>
      <c r="AS313" s="41">
        <f t="shared" si="4"/>
        <v>60</v>
      </c>
      <c r="AT313" s="46">
        <f t="shared" si="5"/>
        <v>17</v>
      </c>
      <c r="AU313" s="37"/>
      <c r="AV313" s="37"/>
      <c r="AW313" s="37"/>
    </row>
    <row r="314" ht="15.75" customHeight="1">
      <c r="A314" s="39" t="s">
        <v>29</v>
      </c>
      <c r="B314" s="40">
        <f t="shared" si="6"/>
        <v>44874</v>
      </c>
      <c r="C314" s="41">
        <v>12.0</v>
      </c>
      <c r="D314" s="41" t="s">
        <v>25</v>
      </c>
      <c r="E314" s="43" t="s">
        <v>42</v>
      </c>
      <c r="F314" s="26"/>
      <c r="H314" s="27"/>
      <c r="J314" s="27"/>
      <c r="L314" s="27"/>
      <c r="N314" s="27"/>
      <c r="P314" s="27"/>
      <c r="Q314" s="29"/>
      <c r="R314" s="26">
        <v>30.0</v>
      </c>
      <c r="T314" s="27">
        <v>30.0</v>
      </c>
      <c r="V314" s="27">
        <v>0.0</v>
      </c>
      <c r="X314" s="27">
        <v>0.0</v>
      </c>
      <c r="Z314" s="27">
        <v>0.0</v>
      </c>
      <c r="AB314" s="27">
        <v>0.0</v>
      </c>
      <c r="AC314" s="29"/>
      <c r="AD314" s="26"/>
      <c r="AF314" s="27"/>
      <c r="AH314" s="27"/>
      <c r="AJ314" s="27"/>
      <c r="AL314" s="27"/>
      <c r="AN314" s="27"/>
      <c r="AO314" s="29"/>
      <c r="AP314" s="45">
        <f t="shared" si="1"/>
        <v>1020</v>
      </c>
      <c r="AQ314" s="41">
        <f t="shared" si="2"/>
        <v>60</v>
      </c>
      <c r="AR314" s="41">
        <f t="shared" si="3"/>
        <v>0</v>
      </c>
      <c r="AS314" s="41">
        <f t="shared" si="4"/>
        <v>60</v>
      </c>
      <c r="AT314" s="46">
        <f t="shared" si="5"/>
        <v>17</v>
      </c>
      <c r="AU314" s="37"/>
      <c r="AV314" s="37"/>
      <c r="AW314" s="37"/>
    </row>
    <row r="315" ht="15.75" customHeight="1">
      <c r="A315" s="39" t="s">
        <v>30</v>
      </c>
      <c r="B315" s="40">
        <f t="shared" si="6"/>
        <v>44875</v>
      </c>
      <c r="C315" s="41">
        <v>12.0</v>
      </c>
      <c r="D315" s="41" t="s">
        <v>25</v>
      </c>
      <c r="E315" s="43" t="s">
        <v>42</v>
      </c>
      <c r="F315" s="26"/>
      <c r="H315" s="27"/>
      <c r="J315" s="27"/>
      <c r="L315" s="27"/>
      <c r="N315" s="27"/>
      <c r="P315" s="27"/>
      <c r="Q315" s="29"/>
      <c r="R315" s="26">
        <v>30.0</v>
      </c>
      <c r="T315" s="27">
        <v>30.0</v>
      </c>
      <c r="V315" s="27">
        <v>0.0</v>
      </c>
      <c r="X315" s="27">
        <v>0.0</v>
      </c>
      <c r="Z315" s="27">
        <v>0.0</v>
      </c>
      <c r="AB315" s="27">
        <v>0.0</v>
      </c>
      <c r="AC315" s="29"/>
      <c r="AD315" s="26"/>
      <c r="AF315" s="27"/>
      <c r="AH315" s="27"/>
      <c r="AJ315" s="27"/>
      <c r="AL315" s="27"/>
      <c r="AN315" s="27"/>
      <c r="AO315" s="29"/>
      <c r="AP315" s="45">
        <f t="shared" si="1"/>
        <v>1020</v>
      </c>
      <c r="AQ315" s="41">
        <f t="shared" si="2"/>
        <v>60</v>
      </c>
      <c r="AR315" s="41">
        <f t="shared" si="3"/>
        <v>0</v>
      </c>
      <c r="AS315" s="41">
        <f t="shared" si="4"/>
        <v>60</v>
      </c>
      <c r="AT315" s="46">
        <f t="shared" si="5"/>
        <v>17</v>
      </c>
      <c r="AU315" s="37"/>
      <c r="AV315" s="37"/>
      <c r="AW315" s="37"/>
    </row>
    <row r="316" ht="15.75" customHeight="1">
      <c r="A316" s="39" t="s">
        <v>31</v>
      </c>
      <c r="B316" s="40">
        <f t="shared" si="6"/>
        <v>44876</v>
      </c>
      <c r="C316" s="41">
        <v>12.0</v>
      </c>
      <c r="D316" s="41" t="s">
        <v>25</v>
      </c>
      <c r="E316" s="43" t="s">
        <v>42</v>
      </c>
      <c r="F316" s="26"/>
      <c r="H316" s="27"/>
      <c r="J316" s="27"/>
      <c r="L316" s="27"/>
      <c r="N316" s="27"/>
      <c r="P316" s="27"/>
      <c r="Q316" s="29"/>
      <c r="R316" s="26">
        <v>0.0</v>
      </c>
      <c r="T316" s="27">
        <v>0.0</v>
      </c>
      <c r="V316" s="27">
        <v>0.0</v>
      </c>
      <c r="X316" s="27">
        <v>0.0</v>
      </c>
      <c r="Z316" s="27">
        <v>0.0</v>
      </c>
      <c r="AB316" s="27">
        <v>0.0</v>
      </c>
      <c r="AC316" s="29"/>
      <c r="AD316" s="26"/>
      <c r="AF316" s="27"/>
      <c r="AH316" s="27"/>
      <c r="AJ316" s="27"/>
      <c r="AL316" s="27"/>
      <c r="AN316" s="27"/>
      <c r="AO316" s="29"/>
      <c r="AP316" s="45">
        <f t="shared" si="1"/>
        <v>0</v>
      </c>
      <c r="AQ316" s="41">
        <f t="shared" si="2"/>
        <v>0</v>
      </c>
      <c r="AR316" s="41">
        <f t="shared" si="3"/>
        <v>0</v>
      </c>
      <c r="AS316" s="41">
        <f t="shared" si="4"/>
        <v>0</v>
      </c>
      <c r="AT316" s="46" t="str">
        <f t="shared" si="5"/>
        <v/>
      </c>
      <c r="AU316" s="37"/>
      <c r="AV316" s="37"/>
      <c r="AW316" s="37"/>
    </row>
    <row r="317" ht="15.75" customHeight="1">
      <c r="A317" s="49" t="s">
        <v>32</v>
      </c>
      <c r="B317" s="50">
        <f t="shared" si="6"/>
        <v>44877</v>
      </c>
      <c r="C317" s="51">
        <v>12.0</v>
      </c>
      <c r="D317" s="51" t="s">
        <v>25</v>
      </c>
      <c r="E317" s="53" t="s">
        <v>42</v>
      </c>
      <c r="F317" s="54"/>
      <c r="G317" s="55"/>
      <c r="H317" s="56"/>
      <c r="I317" s="55"/>
      <c r="J317" s="56"/>
      <c r="K317" s="55"/>
      <c r="L317" s="56"/>
      <c r="M317" s="55"/>
      <c r="N317" s="56"/>
      <c r="O317" s="55"/>
      <c r="P317" s="56"/>
      <c r="Q317" s="58"/>
      <c r="R317" s="54">
        <v>0.0</v>
      </c>
      <c r="S317" s="55"/>
      <c r="T317" s="56">
        <v>0.0</v>
      </c>
      <c r="U317" s="55"/>
      <c r="V317" s="56">
        <v>0.0</v>
      </c>
      <c r="W317" s="55"/>
      <c r="X317" s="56">
        <v>0.0</v>
      </c>
      <c r="Y317" s="55"/>
      <c r="Z317" s="56">
        <v>0.0</v>
      </c>
      <c r="AA317" s="55"/>
      <c r="AB317" s="56">
        <v>0.0</v>
      </c>
      <c r="AC317" s="58"/>
      <c r="AD317" s="54"/>
      <c r="AE317" s="55"/>
      <c r="AF317" s="56"/>
      <c r="AG317" s="55"/>
      <c r="AH317" s="56"/>
      <c r="AI317" s="55"/>
      <c r="AJ317" s="56"/>
      <c r="AK317" s="55"/>
      <c r="AL317" s="56"/>
      <c r="AM317" s="55"/>
      <c r="AN317" s="56"/>
      <c r="AO317" s="58"/>
      <c r="AP317" s="60">
        <f t="shared" si="1"/>
        <v>0</v>
      </c>
      <c r="AQ317" s="51">
        <f t="shared" si="2"/>
        <v>0</v>
      </c>
      <c r="AR317" s="51">
        <f t="shared" si="3"/>
        <v>0</v>
      </c>
      <c r="AS317" s="51">
        <f t="shared" si="4"/>
        <v>0</v>
      </c>
      <c r="AT317" s="61" t="str">
        <f t="shared" si="5"/>
        <v/>
      </c>
      <c r="AU317" s="37"/>
      <c r="AV317" s="37"/>
      <c r="AW317" s="37"/>
    </row>
    <row r="318" ht="15.75" customHeight="1">
      <c r="A318" s="21" t="s">
        <v>24</v>
      </c>
      <c r="B318" s="62">
        <f t="shared" si="6"/>
        <v>44878</v>
      </c>
      <c r="C318" s="23">
        <v>12.0</v>
      </c>
      <c r="D318" s="23" t="s">
        <v>33</v>
      </c>
      <c r="E318" s="63" t="s">
        <v>42</v>
      </c>
      <c r="F318" s="26"/>
      <c r="H318" s="27"/>
      <c r="J318" s="27"/>
      <c r="L318" s="27"/>
      <c r="N318" s="27"/>
      <c r="P318" s="27"/>
      <c r="Q318" s="29"/>
      <c r="R318" s="26">
        <v>30.0</v>
      </c>
      <c r="T318" s="27">
        <v>30.0</v>
      </c>
      <c r="V318" s="27">
        <v>0.0</v>
      </c>
      <c r="X318" s="27">
        <v>0.0</v>
      </c>
      <c r="Z318" s="27">
        <v>0.0</v>
      </c>
      <c r="AB318" s="27">
        <v>0.0</v>
      </c>
      <c r="AC318" s="29"/>
      <c r="AD318" s="26"/>
      <c r="AF318" s="27"/>
      <c r="AH318" s="27"/>
      <c r="AJ318" s="27"/>
      <c r="AL318" s="27"/>
      <c r="AN318" s="27"/>
      <c r="AO318" s="29"/>
      <c r="AP318" s="35">
        <f t="shared" si="1"/>
        <v>1020</v>
      </c>
      <c r="AQ318" s="23">
        <f t="shared" si="2"/>
        <v>60</v>
      </c>
      <c r="AR318" s="23">
        <f t="shared" si="3"/>
        <v>0</v>
      </c>
      <c r="AS318" s="23">
        <f t="shared" si="4"/>
        <v>60</v>
      </c>
      <c r="AT318" s="36">
        <f t="shared" si="5"/>
        <v>17</v>
      </c>
      <c r="AU318" s="37"/>
      <c r="AV318" s="37"/>
      <c r="AW318" s="37"/>
    </row>
    <row r="319" ht="15.75" customHeight="1">
      <c r="A319" s="39" t="s">
        <v>27</v>
      </c>
      <c r="B319" s="40">
        <f t="shared" si="6"/>
        <v>44879</v>
      </c>
      <c r="C319" s="41">
        <v>12.0</v>
      </c>
      <c r="D319" s="41" t="s">
        <v>33</v>
      </c>
      <c r="E319" s="43" t="s">
        <v>42</v>
      </c>
      <c r="F319" s="26"/>
      <c r="H319" s="27"/>
      <c r="J319" s="27"/>
      <c r="L319" s="27"/>
      <c r="N319" s="27"/>
      <c r="P319" s="27"/>
      <c r="Q319" s="29"/>
      <c r="R319" s="26">
        <v>30.0</v>
      </c>
      <c r="T319" s="27">
        <v>30.0</v>
      </c>
      <c r="V319" s="27">
        <v>0.0</v>
      </c>
      <c r="X319" s="27">
        <v>0.0</v>
      </c>
      <c r="Z319" s="27">
        <v>0.0</v>
      </c>
      <c r="AB319" s="27">
        <v>0.0</v>
      </c>
      <c r="AC319" s="29"/>
      <c r="AD319" s="26"/>
      <c r="AF319" s="27"/>
      <c r="AH319" s="27"/>
      <c r="AJ319" s="27"/>
      <c r="AL319" s="27"/>
      <c r="AN319" s="27"/>
      <c r="AO319" s="29"/>
      <c r="AP319" s="45">
        <f t="shared" si="1"/>
        <v>1020</v>
      </c>
      <c r="AQ319" s="41">
        <f t="shared" si="2"/>
        <v>60</v>
      </c>
      <c r="AR319" s="41">
        <f t="shared" si="3"/>
        <v>0</v>
      </c>
      <c r="AS319" s="41">
        <f t="shared" si="4"/>
        <v>60</v>
      </c>
      <c r="AT319" s="46">
        <f t="shared" si="5"/>
        <v>17</v>
      </c>
      <c r="AU319" s="37"/>
      <c r="AV319" s="37"/>
      <c r="AW319" s="37"/>
    </row>
    <row r="320" ht="15.75" customHeight="1">
      <c r="A320" s="39" t="s">
        <v>28</v>
      </c>
      <c r="B320" s="40">
        <f t="shared" si="6"/>
        <v>44880</v>
      </c>
      <c r="C320" s="41">
        <v>12.0</v>
      </c>
      <c r="D320" s="41" t="s">
        <v>33</v>
      </c>
      <c r="E320" s="43" t="s">
        <v>42</v>
      </c>
      <c r="F320" s="26"/>
      <c r="H320" s="27"/>
      <c r="J320" s="27"/>
      <c r="L320" s="27"/>
      <c r="N320" s="27"/>
      <c r="P320" s="27"/>
      <c r="Q320" s="29"/>
      <c r="R320" s="26">
        <v>30.0</v>
      </c>
      <c r="T320" s="27">
        <v>30.0</v>
      </c>
      <c r="V320" s="27">
        <v>0.0</v>
      </c>
      <c r="X320" s="27">
        <v>0.0</v>
      </c>
      <c r="Z320" s="27">
        <v>0.0</v>
      </c>
      <c r="AB320" s="27">
        <v>0.0</v>
      </c>
      <c r="AC320" s="29"/>
      <c r="AD320" s="26"/>
      <c r="AF320" s="27"/>
      <c r="AH320" s="27"/>
      <c r="AJ320" s="27"/>
      <c r="AL320" s="27"/>
      <c r="AN320" s="27"/>
      <c r="AO320" s="29"/>
      <c r="AP320" s="45">
        <f t="shared" si="1"/>
        <v>1020</v>
      </c>
      <c r="AQ320" s="41">
        <f t="shared" si="2"/>
        <v>60</v>
      </c>
      <c r="AR320" s="41">
        <f t="shared" si="3"/>
        <v>0</v>
      </c>
      <c r="AS320" s="41">
        <f t="shared" si="4"/>
        <v>60</v>
      </c>
      <c r="AT320" s="46">
        <f t="shared" si="5"/>
        <v>17</v>
      </c>
      <c r="AU320" s="37"/>
      <c r="AV320" s="37"/>
      <c r="AW320" s="37"/>
    </row>
    <row r="321" ht="15.75" customHeight="1">
      <c r="A321" s="39" t="s">
        <v>29</v>
      </c>
      <c r="B321" s="40">
        <f t="shared" si="6"/>
        <v>44881</v>
      </c>
      <c r="C321" s="41">
        <v>12.0</v>
      </c>
      <c r="D321" s="41" t="s">
        <v>33</v>
      </c>
      <c r="E321" s="43" t="s">
        <v>42</v>
      </c>
      <c r="F321" s="26"/>
      <c r="H321" s="27"/>
      <c r="J321" s="27"/>
      <c r="L321" s="27"/>
      <c r="N321" s="27"/>
      <c r="P321" s="27"/>
      <c r="Q321" s="29"/>
      <c r="R321" s="26">
        <v>30.0</v>
      </c>
      <c r="T321" s="27">
        <v>30.0</v>
      </c>
      <c r="V321" s="27">
        <v>0.0</v>
      </c>
      <c r="X321" s="27">
        <v>0.0</v>
      </c>
      <c r="Z321" s="27">
        <v>0.0</v>
      </c>
      <c r="AB321" s="27">
        <v>0.0</v>
      </c>
      <c r="AC321" s="29"/>
      <c r="AD321" s="26"/>
      <c r="AF321" s="27"/>
      <c r="AH321" s="27"/>
      <c r="AJ321" s="27"/>
      <c r="AL321" s="27"/>
      <c r="AN321" s="27"/>
      <c r="AO321" s="29"/>
      <c r="AP321" s="45">
        <f t="shared" si="1"/>
        <v>1020</v>
      </c>
      <c r="AQ321" s="41">
        <f t="shared" si="2"/>
        <v>60</v>
      </c>
      <c r="AR321" s="41">
        <f t="shared" si="3"/>
        <v>0</v>
      </c>
      <c r="AS321" s="41">
        <f t="shared" si="4"/>
        <v>60</v>
      </c>
      <c r="AT321" s="46">
        <f t="shared" si="5"/>
        <v>17</v>
      </c>
      <c r="AU321" s="37"/>
      <c r="AV321" s="37"/>
      <c r="AW321" s="37"/>
    </row>
    <row r="322" ht="15.75" customHeight="1">
      <c r="A322" s="39" t="s">
        <v>30</v>
      </c>
      <c r="B322" s="40">
        <f t="shared" si="6"/>
        <v>44882</v>
      </c>
      <c r="C322" s="41">
        <v>12.0</v>
      </c>
      <c r="D322" s="41" t="s">
        <v>33</v>
      </c>
      <c r="E322" s="43" t="s">
        <v>42</v>
      </c>
      <c r="F322" s="26"/>
      <c r="H322" s="27"/>
      <c r="J322" s="27"/>
      <c r="L322" s="27"/>
      <c r="N322" s="27"/>
      <c r="P322" s="27"/>
      <c r="Q322" s="29"/>
      <c r="R322" s="26">
        <v>30.0</v>
      </c>
      <c r="T322" s="27">
        <v>30.0</v>
      </c>
      <c r="V322" s="27">
        <v>0.0</v>
      </c>
      <c r="X322" s="27">
        <v>0.0</v>
      </c>
      <c r="Z322" s="27">
        <v>0.0</v>
      </c>
      <c r="AB322" s="27">
        <v>0.0</v>
      </c>
      <c r="AC322" s="29"/>
      <c r="AD322" s="26"/>
      <c r="AF322" s="27"/>
      <c r="AH322" s="27"/>
      <c r="AJ322" s="27"/>
      <c r="AL322" s="27"/>
      <c r="AN322" s="27"/>
      <c r="AO322" s="29"/>
      <c r="AP322" s="45">
        <f t="shared" si="1"/>
        <v>1020</v>
      </c>
      <c r="AQ322" s="41">
        <f t="shared" si="2"/>
        <v>60</v>
      </c>
      <c r="AR322" s="41">
        <f t="shared" si="3"/>
        <v>0</v>
      </c>
      <c r="AS322" s="41">
        <f t="shared" si="4"/>
        <v>60</v>
      </c>
      <c r="AT322" s="46">
        <f t="shared" si="5"/>
        <v>17</v>
      </c>
      <c r="AU322" s="37"/>
      <c r="AV322" s="37"/>
      <c r="AW322" s="37"/>
    </row>
    <row r="323" ht="15.75" customHeight="1">
      <c r="A323" s="39" t="s">
        <v>31</v>
      </c>
      <c r="B323" s="40">
        <f t="shared" si="6"/>
        <v>44883</v>
      </c>
      <c r="C323" s="41">
        <v>12.0</v>
      </c>
      <c r="D323" s="41" t="s">
        <v>33</v>
      </c>
      <c r="E323" s="43" t="s">
        <v>42</v>
      </c>
      <c r="F323" s="26"/>
      <c r="H323" s="27"/>
      <c r="J323" s="27"/>
      <c r="L323" s="27"/>
      <c r="N323" s="27"/>
      <c r="P323" s="27"/>
      <c r="Q323" s="29"/>
      <c r="R323" s="26">
        <v>0.0</v>
      </c>
      <c r="T323" s="27">
        <v>0.0</v>
      </c>
      <c r="V323" s="27">
        <v>0.0</v>
      </c>
      <c r="X323" s="27">
        <v>0.0</v>
      </c>
      <c r="Z323" s="27">
        <v>0.0</v>
      </c>
      <c r="AB323" s="27">
        <v>0.0</v>
      </c>
      <c r="AC323" s="29"/>
      <c r="AD323" s="26"/>
      <c r="AF323" s="27"/>
      <c r="AH323" s="27"/>
      <c r="AJ323" s="27"/>
      <c r="AL323" s="27"/>
      <c r="AN323" s="27"/>
      <c r="AO323" s="29"/>
      <c r="AP323" s="45">
        <f t="shared" si="1"/>
        <v>0</v>
      </c>
      <c r="AQ323" s="41">
        <f t="shared" si="2"/>
        <v>0</v>
      </c>
      <c r="AR323" s="41">
        <f t="shared" si="3"/>
        <v>0</v>
      </c>
      <c r="AS323" s="41">
        <f t="shared" si="4"/>
        <v>0</v>
      </c>
      <c r="AT323" s="46" t="str">
        <f t="shared" si="5"/>
        <v/>
      </c>
      <c r="AU323" s="37"/>
      <c r="AV323" s="37"/>
      <c r="AW323" s="37"/>
    </row>
    <row r="324" ht="15.75" customHeight="1">
      <c r="A324" s="49" t="s">
        <v>32</v>
      </c>
      <c r="B324" s="50">
        <f t="shared" si="6"/>
        <v>44884</v>
      </c>
      <c r="C324" s="51">
        <v>12.0</v>
      </c>
      <c r="D324" s="51" t="s">
        <v>33</v>
      </c>
      <c r="E324" s="53" t="s">
        <v>42</v>
      </c>
      <c r="F324" s="54"/>
      <c r="G324" s="55"/>
      <c r="H324" s="56"/>
      <c r="I324" s="55"/>
      <c r="J324" s="56"/>
      <c r="K324" s="55"/>
      <c r="L324" s="56"/>
      <c r="M324" s="55"/>
      <c r="N324" s="56"/>
      <c r="O324" s="55"/>
      <c r="P324" s="56"/>
      <c r="Q324" s="58"/>
      <c r="R324" s="54">
        <v>0.0</v>
      </c>
      <c r="S324" s="55"/>
      <c r="T324" s="56">
        <v>0.0</v>
      </c>
      <c r="U324" s="55"/>
      <c r="V324" s="56">
        <v>0.0</v>
      </c>
      <c r="W324" s="55"/>
      <c r="X324" s="56">
        <v>0.0</v>
      </c>
      <c r="Y324" s="55"/>
      <c r="Z324" s="56">
        <v>0.0</v>
      </c>
      <c r="AA324" s="55"/>
      <c r="AB324" s="56">
        <v>0.0</v>
      </c>
      <c r="AC324" s="58"/>
      <c r="AD324" s="54"/>
      <c r="AE324" s="55"/>
      <c r="AF324" s="56"/>
      <c r="AG324" s="55"/>
      <c r="AH324" s="56"/>
      <c r="AI324" s="55"/>
      <c r="AJ324" s="56"/>
      <c r="AK324" s="55"/>
      <c r="AL324" s="56"/>
      <c r="AM324" s="55"/>
      <c r="AN324" s="56"/>
      <c r="AO324" s="58"/>
      <c r="AP324" s="60">
        <f t="shared" si="1"/>
        <v>0</v>
      </c>
      <c r="AQ324" s="51">
        <f t="shared" si="2"/>
        <v>0</v>
      </c>
      <c r="AR324" s="51">
        <f t="shared" si="3"/>
        <v>0</v>
      </c>
      <c r="AS324" s="51">
        <f t="shared" si="4"/>
        <v>0</v>
      </c>
      <c r="AT324" s="61" t="str">
        <f t="shared" si="5"/>
        <v/>
      </c>
      <c r="AU324" s="37"/>
      <c r="AV324" s="37"/>
      <c r="AW324" s="37"/>
    </row>
    <row r="325" ht="15.75" customHeight="1">
      <c r="A325" s="21" t="s">
        <v>24</v>
      </c>
      <c r="B325" s="62">
        <f t="shared" si="6"/>
        <v>44885</v>
      </c>
      <c r="C325" s="23">
        <v>12.0</v>
      </c>
      <c r="D325" s="23" t="s">
        <v>34</v>
      </c>
      <c r="E325" s="25" t="s">
        <v>43</v>
      </c>
      <c r="F325" s="26"/>
      <c r="H325" s="27"/>
      <c r="J325" s="27"/>
      <c r="L325" s="27"/>
      <c r="N325" s="27"/>
      <c r="P325" s="27"/>
      <c r="Q325" s="29"/>
      <c r="R325" s="26"/>
      <c r="T325" s="27"/>
      <c r="V325" s="27"/>
      <c r="X325" s="27"/>
      <c r="Z325" s="27"/>
      <c r="AB325" s="27"/>
      <c r="AC325" s="29"/>
      <c r="AD325" s="26"/>
      <c r="AF325" s="27"/>
      <c r="AH325" s="27"/>
      <c r="AJ325" s="27"/>
      <c r="AL325" s="27"/>
      <c r="AN325" s="27"/>
      <c r="AO325" s="29"/>
      <c r="AP325" s="35">
        <f t="shared" si="1"/>
        <v>0</v>
      </c>
      <c r="AQ325" s="23">
        <f t="shared" si="2"/>
        <v>0</v>
      </c>
      <c r="AR325" s="23">
        <f t="shared" si="3"/>
        <v>0</v>
      </c>
      <c r="AS325" s="23">
        <f t="shared" si="4"/>
        <v>0</v>
      </c>
      <c r="AT325" s="36" t="str">
        <f t="shared" si="5"/>
        <v/>
      </c>
      <c r="AU325" s="37"/>
      <c r="AV325" s="37"/>
      <c r="AW325" s="37"/>
    </row>
    <row r="326" ht="15.75" customHeight="1">
      <c r="A326" s="39" t="s">
        <v>27</v>
      </c>
      <c r="B326" s="40">
        <f t="shared" si="6"/>
        <v>44886</v>
      </c>
      <c r="C326" s="41">
        <v>12.0</v>
      </c>
      <c r="D326" s="41" t="s">
        <v>34</v>
      </c>
      <c r="E326" s="43" t="s">
        <v>43</v>
      </c>
      <c r="F326" s="26"/>
      <c r="H326" s="27"/>
      <c r="J326" s="27"/>
      <c r="L326" s="27"/>
      <c r="N326" s="27"/>
      <c r="P326" s="27"/>
      <c r="Q326" s="29"/>
      <c r="R326" s="26"/>
      <c r="T326" s="27"/>
      <c r="V326" s="27"/>
      <c r="X326" s="27"/>
      <c r="Z326" s="27"/>
      <c r="AB326" s="27"/>
      <c r="AC326" s="29"/>
      <c r="AD326" s="26"/>
      <c r="AF326" s="27"/>
      <c r="AH326" s="27"/>
      <c r="AJ326" s="27"/>
      <c r="AL326" s="27"/>
      <c r="AN326" s="27"/>
      <c r="AO326" s="29"/>
      <c r="AP326" s="45">
        <f t="shared" si="1"/>
        <v>0</v>
      </c>
      <c r="AQ326" s="41">
        <f t="shared" si="2"/>
        <v>0</v>
      </c>
      <c r="AR326" s="41">
        <f t="shared" si="3"/>
        <v>0</v>
      </c>
      <c r="AS326" s="41">
        <f t="shared" si="4"/>
        <v>0</v>
      </c>
      <c r="AT326" s="46" t="str">
        <f t="shared" si="5"/>
        <v/>
      </c>
      <c r="AU326" s="37"/>
      <c r="AV326" s="37"/>
      <c r="AW326" s="37"/>
    </row>
    <row r="327" ht="15.75" customHeight="1">
      <c r="A327" s="39" t="s">
        <v>28</v>
      </c>
      <c r="B327" s="40">
        <f t="shared" si="6"/>
        <v>44887</v>
      </c>
      <c r="C327" s="41">
        <v>12.0</v>
      </c>
      <c r="D327" s="41" t="s">
        <v>34</v>
      </c>
      <c r="E327" s="43" t="s">
        <v>43</v>
      </c>
      <c r="F327" s="26"/>
      <c r="H327" s="27"/>
      <c r="J327" s="27"/>
      <c r="L327" s="27"/>
      <c r="N327" s="27"/>
      <c r="P327" s="27"/>
      <c r="Q327" s="29"/>
      <c r="R327" s="26"/>
      <c r="T327" s="27"/>
      <c r="V327" s="27"/>
      <c r="X327" s="27"/>
      <c r="Z327" s="27"/>
      <c r="AB327" s="27"/>
      <c r="AC327" s="29"/>
      <c r="AD327" s="26"/>
      <c r="AF327" s="27"/>
      <c r="AH327" s="27"/>
      <c r="AJ327" s="27"/>
      <c r="AL327" s="27"/>
      <c r="AN327" s="27"/>
      <c r="AO327" s="29"/>
      <c r="AP327" s="45">
        <f t="shared" si="1"/>
        <v>0</v>
      </c>
      <c r="AQ327" s="41">
        <f t="shared" si="2"/>
        <v>0</v>
      </c>
      <c r="AR327" s="41">
        <f t="shared" si="3"/>
        <v>0</v>
      </c>
      <c r="AS327" s="41">
        <f t="shared" si="4"/>
        <v>0</v>
      </c>
      <c r="AT327" s="46" t="str">
        <f t="shared" si="5"/>
        <v/>
      </c>
      <c r="AU327" s="37"/>
      <c r="AV327" s="37"/>
      <c r="AW327" s="37"/>
    </row>
    <row r="328" ht="15.75" customHeight="1">
      <c r="A328" s="39" t="s">
        <v>29</v>
      </c>
      <c r="B328" s="40">
        <f t="shared" si="6"/>
        <v>44888</v>
      </c>
      <c r="C328" s="41">
        <v>12.0</v>
      </c>
      <c r="D328" s="41" t="s">
        <v>34</v>
      </c>
      <c r="E328" s="43" t="s">
        <v>43</v>
      </c>
      <c r="F328" s="26"/>
      <c r="H328" s="27"/>
      <c r="J328" s="27"/>
      <c r="L328" s="27"/>
      <c r="N328" s="27"/>
      <c r="P328" s="27"/>
      <c r="Q328" s="29"/>
      <c r="R328" s="26"/>
      <c r="T328" s="27"/>
      <c r="V328" s="27"/>
      <c r="X328" s="27"/>
      <c r="Z328" s="27"/>
      <c r="AB328" s="27"/>
      <c r="AC328" s="29"/>
      <c r="AD328" s="26"/>
      <c r="AF328" s="27"/>
      <c r="AH328" s="27"/>
      <c r="AJ328" s="27"/>
      <c r="AL328" s="27"/>
      <c r="AN328" s="27"/>
      <c r="AO328" s="29"/>
      <c r="AP328" s="45">
        <f t="shared" si="1"/>
        <v>0</v>
      </c>
      <c r="AQ328" s="41">
        <f t="shared" si="2"/>
        <v>0</v>
      </c>
      <c r="AR328" s="41">
        <f t="shared" si="3"/>
        <v>0</v>
      </c>
      <c r="AS328" s="41">
        <f t="shared" si="4"/>
        <v>0</v>
      </c>
      <c r="AT328" s="46" t="str">
        <f t="shared" si="5"/>
        <v/>
      </c>
      <c r="AU328" s="37"/>
      <c r="AV328" s="37"/>
      <c r="AW328" s="37"/>
    </row>
    <row r="329" ht="15.75" customHeight="1">
      <c r="A329" s="39" t="s">
        <v>30</v>
      </c>
      <c r="B329" s="40">
        <f t="shared" si="6"/>
        <v>44889</v>
      </c>
      <c r="C329" s="41">
        <v>12.0</v>
      </c>
      <c r="D329" s="41" t="s">
        <v>34</v>
      </c>
      <c r="E329" s="43" t="s">
        <v>43</v>
      </c>
      <c r="F329" s="26"/>
      <c r="H329" s="27"/>
      <c r="J329" s="27"/>
      <c r="L329" s="27"/>
      <c r="N329" s="27"/>
      <c r="P329" s="27"/>
      <c r="Q329" s="29"/>
      <c r="R329" s="26"/>
      <c r="T329" s="27"/>
      <c r="V329" s="27"/>
      <c r="X329" s="27"/>
      <c r="Z329" s="27"/>
      <c r="AB329" s="27"/>
      <c r="AC329" s="29"/>
      <c r="AD329" s="26"/>
      <c r="AF329" s="27"/>
      <c r="AH329" s="27"/>
      <c r="AJ329" s="27"/>
      <c r="AL329" s="27"/>
      <c r="AN329" s="27"/>
      <c r="AO329" s="29"/>
      <c r="AP329" s="45">
        <f t="shared" si="1"/>
        <v>0</v>
      </c>
      <c r="AQ329" s="41">
        <f t="shared" si="2"/>
        <v>0</v>
      </c>
      <c r="AR329" s="41">
        <f t="shared" si="3"/>
        <v>0</v>
      </c>
      <c r="AS329" s="41">
        <f t="shared" si="4"/>
        <v>0</v>
      </c>
      <c r="AT329" s="46" t="str">
        <f t="shared" si="5"/>
        <v/>
      </c>
      <c r="AU329" s="37"/>
      <c r="AV329" s="37"/>
      <c r="AW329" s="37"/>
    </row>
    <row r="330" ht="15.75" customHeight="1">
      <c r="A330" s="39" t="s">
        <v>31</v>
      </c>
      <c r="B330" s="40">
        <f t="shared" si="6"/>
        <v>44890</v>
      </c>
      <c r="C330" s="41">
        <v>12.0</v>
      </c>
      <c r="D330" s="41" t="s">
        <v>34</v>
      </c>
      <c r="E330" s="43" t="s">
        <v>43</v>
      </c>
      <c r="F330" s="26"/>
      <c r="H330" s="27"/>
      <c r="J330" s="27"/>
      <c r="L330" s="27"/>
      <c r="N330" s="27"/>
      <c r="P330" s="27"/>
      <c r="Q330" s="29"/>
      <c r="R330" s="26"/>
      <c r="T330" s="27"/>
      <c r="V330" s="27"/>
      <c r="X330" s="27"/>
      <c r="Z330" s="27"/>
      <c r="AB330" s="27"/>
      <c r="AC330" s="29"/>
      <c r="AD330" s="26"/>
      <c r="AF330" s="27"/>
      <c r="AH330" s="27"/>
      <c r="AJ330" s="27"/>
      <c r="AL330" s="27"/>
      <c r="AN330" s="27"/>
      <c r="AO330" s="29"/>
      <c r="AP330" s="45">
        <f t="shared" si="1"/>
        <v>0</v>
      </c>
      <c r="AQ330" s="41">
        <f t="shared" si="2"/>
        <v>0</v>
      </c>
      <c r="AR330" s="41">
        <f t="shared" si="3"/>
        <v>0</v>
      </c>
      <c r="AS330" s="41">
        <f t="shared" si="4"/>
        <v>0</v>
      </c>
      <c r="AT330" s="46" t="str">
        <f t="shared" si="5"/>
        <v/>
      </c>
      <c r="AU330" s="37"/>
      <c r="AV330" s="37"/>
      <c r="AW330" s="37"/>
    </row>
    <row r="331" ht="15.75" customHeight="1">
      <c r="A331" s="49" t="s">
        <v>32</v>
      </c>
      <c r="B331" s="50">
        <f t="shared" si="6"/>
        <v>44891</v>
      </c>
      <c r="C331" s="51">
        <v>12.0</v>
      </c>
      <c r="D331" s="51" t="s">
        <v>34</v>
      </c>
      <c r="E331" s="53" t="s">
        <v>43</v>
      </c>
      <c r="F331" s="54"/>
      <c r="G331" s="55"/>
      <c r="H331" s="56"/>
      <c r="I331" s="55"/>
      <c r="J331" s="56"/>
      <c r="K331" s="55"/>
      <c r="L331" s="56"/>
      <c r="M331" s="55"/>
      <c r="N331" s="56"/>
      <c r="O331" s="55"/>
      <c r="P331" s="56"/>
      <c r="Q331" s="58"/>
      <c r="R331" s="54"/>
      <c r="S331" s="55"/>
      <c r="T331" s="56"/>
      <c r="U331" s="55"/>
      <c r="V331" s="56"/>
      <c r="W331" s="55"/>
      <c r="X331" s="56"/>
      <c r="Y331" s="55"/>
      <c r="Z331" s="56"/>
      <c r="AA331" s="55"/>
      <c r="AB331" s="56"/>
      <c r="AC331" s="58"/>
      <c r="AD331" s="54"/>
      <c r="AE331" s="55"/>
      <c r="AF331" s="56"/>
      <c r="AG331" s="55"/>
      <c r="AH331" s="56"/>
      <c r="AI331" s="55"/>
      <c r="AJ331" s="56"/>
      <c r="AK331" s="55"/>
      <c r="AL331" s="56"/>
      <c r="AM331" s="55"/>
      <c r="AN331" s="56"/>
      <c r="AO331" s="58"/>
      <c r="AP331" s="60">
        <f t="shared" si="1"/>
        <v>0</v>
      </c>
      <c r="AQ331" s="51">
        <f t="shared" si="2"/>
        <v>0</v>
      </c>
      <c r="AR331" s="51">
        <f t="shared" si="3"/>
        <v>0</v>
      </c>
      <c r="AS331" s="51">
        <f t="shared" si="4"/>
        <v>0</v>
      </c>
      <c r="AT331" s="61" t="str">
        <f t="shared" si="5"/>
        <v/>
      </c>
      <c r="AU331" s="37"/>
      <c r="AV331" s="37"/>
      <c r="AW331" s="37"/>
    </row>
    <row r="332" ht="15.75" customHeight="1">
      <c r="A332" s="21" t="s">
        <v>24</v>
      </c>
      <c r="B332" s="62">
        <f t="shared" si="6"/>
        <v>44892</v>
      </c>
      <c r="C332" s="23">
        <v>12.0</v>
      </c>
      <c r="D332" s="23" t="s">
        <v>35</v>
      </c>
      <c r="E332" s="25" t="s">
        <v>26</v>
      </c>
      <c r="F332" s="26"/>
      <c r="H332" s="27"/>
      <c r="J332" s="27"/>
      <c r="L332" s="27"/>
      <c r="N332" s="27"/>
      <c r="P332" s="27"/>
      <c r="Q332" s="29"/>
      <c r="R332" s="26">
        <v>30.0</v>
      </c>
      <c r="T332" s="27">
        <v>30.0</v>
      </c>
      <c r="V332" s="27">
        <v>0.0</v>
      </c>
      <c r="X332" s="27">
        <v>0.0</v>
      </c>
      <c r="Z332" s="27">
        <v>0.0</v>
      </c>
      <c r="AB332" s="27">
        <v>0.0</v>
      </c>
      <c r="AC332" s="29"/>
      <c r="AD332" s="26"/>
      <c r="AF332" s="27"/>
      <c r="AH332" s="27"/>
      <c r="AJ332" s="27"/>
      <c r="AL332" s="27"/>
      <c r="AN332" s="27"/>
      <c r="AO332" s="29"/>
      <c r="AP332" s="35">
        <f t="shared" si="1"/>
        <v>1020</v>
      </c>
      <c r="AQ332" s="23">
        <f t="shared" si="2"/>
        <v>60</v>
      </c>
      <c r="AR332" s="23">
        <f t="shared" si="3"/>
        <v>0</v>
      </c>
      <c r="AS332" s="23">
        <f t="shared" si="4"/>
        <v>60</v>
      </c>
      <c r="AT332" s="36">
        <f t="shared" si="5"/>
        <v>17</v>
      </c>
      <c r="AU332" s="37"/>
      <c r="AV332" s="37"/>
      <c r="AW332" s="37"/>
    </row>
    <row r="333" ht="15.75" customHeight="1">
      <c r="A333" s="39" t="s">
        <v>27</v>
      </c>
      <c r="B333" s="40">
        <f t="shared" si="6"/>
        <v>44893</v>
      </c>
      <c r="C333" s="41">
        <v>12.0</v>
      </c>
      <c r="D333" s="41" t="s">
        <v>35</v>
      </c>
      <c r="E333" s="43" t="s">
        <v>26</v>
      </c>
      <c r="F333" s="26"/>
      <c r="H333" s="27"/>
      <c r="J333" s="27"/>
      <c r="L333" s="27"/>
      <c r="N333" s="27"/>
      <c r="P333" s="27"/>
      <c r="Q333" s="29"/>
      <c r="R333" s="26">
        <v>30.0</v>
      </c>
      <c r="T333" s="27">
        <v>30.0</v>
      </c>
      <c r="V333" s="27">
        <v>0.0</v>
      </c>
      <c r="X333" s="27">
        <v>0.0</v>
      </c>
      <c r="Z333" s="27">
        <v>0.0</v>
      </c>
      <c r="AB333" s="27">
        <v>0.0</v>
      </c>
      <c r="AC333" s="29"/>
      <c r="AD333" s="26"/>
      <c r="AF333" s="27"/>
      <c r="AH333" s="27"/>
      <c r="AJ333" s="27"/>
      <c r="AL333" s="27"/>
      <c r="AN333" s="27"/>
      <c r="AO333" s="29"/>
      <c r="AP333" s="45">
        <f t="shared" si="1"/>
        <v>1020</v>
      </c>
      <c r="AQ333" s="41">
        <f t="shared" si="2"/>
        <v>60</v>
      </c>
      <c r="AR333" s="41">
        <f t="shared" si="3"/>
        <v>0</v>
      </c>
      <c r="AS333" s="41">
        <f t="shared" si="4"/>
        <v>60</v>
      </c>
      <c r="AT333" s="46">
        <f t="shared" si="5"/>
        <v>17</v>
      </c>
      <c r="AU333" s="37"/>
      <c r="AV333" s="37"/>
      <c r="AW333" s="37"/>
    </row>
    <row r="334" ht="15.75" customHeight="1">
      <c r="A334" s="39" t="s">
        <v>28</v>
      </c>
      <c r="B334" s="40">
        <f t="shared" si="6"/>
        <v>44894</v>
      </c>
      <c r="C334" s="41">
        <v>12.0</v>
      </c>
      <c r="D334" s="41" t="s">
        <v>35</v>
      </c>
      <c r="E334" s="43" t="s">
        <v>26</v>
      </c>
      <c r="F334" s="26"/>
      <c r="H334" s="27"/>
      <c r="J334" s="27"/>
      <c r="L334" s="27"/>
      <c r="N334" s="27"/>
      <c r="P334" s="27"/>
      <c r="Q334" s="29"/>
      <c r="R334" s="26">
        <v>30.0</v>
      </c>
      <c r="T334" s="27">
        <v>30.0</v>
      </c>
      <c r="V334" s="27">
        <v>0.0</v>
      </c>
      <c r="X334" s="27">
        <v>0.0</v>
      </c>
      <c r="Z334" s="27">
        <v>0.0</v>
      </c>
      <c r="AB334" s="27">
        <v>0.0</v>
      </c>
      <c r="AC334" s="29"/>
      <c r="AD334" s="26"/>
      <c r="AF334" s="27"/>
      <c r="AH334" s="27"/>
      <c r="AJ334" s="27"/>
      <c r="AL334" s="27"/>
      <c r="AN334" s="27"/>
      <c r="AO334" s="29"/>
      <c r="AP334" s="45">
        <f t="shared" si="1"/>
        <v>1020</v>
      </c>
      <c r="AQ334" s="41">
        <f t="shared" si="2"/>
        <v>60</v>
      </c>
      <c r="AR334" s="41">
        <f t="shared" si="3"/>
        <v>0</v>
      </c>
      <c r="AS334" s="41">
        <f t="shared" si="4"/>
        <v>60</v>
      </c>
      <c r="AT334" s="46">
        <f t="shared" si="5"/>
        <v>17</v>
      </c>
      <c r="AU334" s="37"/>
      <c r="AV334" s="37"/>
      <c r="AW334" s="37"/>
    </row>
    <row r="335" ht="15.75" customHeight="1">
      <c r="A335" s="39" t="s">
        <v>29</v>
      </c>
      <c r="B335" s="40">
        <f t="shared" si="6"/>
        <v>44895</v>
      </c>
      <c r="C335" s="41">
        <v>12.0</v>
      </c>
      <c r="D335" s="41" t="s">
        <v>35</v>
      </c>
      <c r="E335" s="43" t="s">
        <v>26</v>
      </c>
      <c r="F335" s="26"/>
      <c r="H335" s="27"/>
      <c r="J335" s="27"/>
      <c r="L335" s="27"/>
      <c r="N335" s="27"/>
      <c r="P335" s="27"/>
      <c r="Q335" s="29"/>
      <c r="R335" s="26">
        <v>30.0</v>
      </c>
      <c r="T335" s="27">
        <v>30.0</v>
      </c>
      <c r="V335" s="27">
        <v>0.0</v>
      </c>
      <c r="X335" s="27">
        <v>0.0</v>
      </c>
      <c r="Z335" s="27">
        <v>0.0</v>
      </c>
      <c r="AB335" s="27">
        <v>0.0</v>
      </c>
      <c r="AC335" s="29"/>
      <c r="AD335" s="26"/>
      <c r="AF335" s="27"/>
      <c r="AH335" s="27"/>
      <c r="AJ335" s="27"/>
      <c r="AL335" s="27"/>
      <c r="AN335" s="27"/>
      <c r="AO335" s="29"/>
      <c r="AP335" s="45">
        <f t="shared" si="1"/>
        <v>1020</v>
      </c>
      <c r="AQ335" s="41">
        <f t="shared" si="2"/>
        <v>60</v>
      </c>
      <c r="AR335" s="41">
        <f t="shared" si="3"/>
        <v>0</v>
      </c>
      <c r="AS335" s="41">
        <f t="shared" si="4"/>
        <v>60</v>
      </c>
      <c r="AT335" s="46">
        <f t="shared" si="5"/>
        <v>17</v>
      </c>
      <c r="AU335" s="37"/>
      <c r="AV335" s="37"/>
      <c r="AW335" s="37"/>
    </row>
    <row r="336" ht="15.75" customHeight="1">
      <c r="A336" s="39" t="s">
        <v>30</v>
      </c>
      <c r="B336" s="40">
        <f t="shared" si="6"/>
        <v>44896</v>
      </c>
      <c r="C336" s="41">
        <v>12.0</v>
      </c>
      <c r="D336" s="41" t="s">
        <v>35</v>
      </c>
      <c r="E336" s="43" t="s">
        <v>26</v>
      </c>
      <c r="F336" s="26"/>
      <c r="H336" s="27"/>
      <c r="J336" s="27"/>
      <c r="L336" s="27"/>
      <c r="N336" s="27"/>
      <c r="P336" s="27"/>
      <c r="Q336" s="29"/>
      <c r="R336" s="26">
        <v>30.0</v>
      </c>
      <c r="T336" s="27">
        <v>30.0</v>
      </c>
      <c r="V336" s="27">
        <v>0.0</v>
      </c>
      <c r="X336" s="27">
        <v>0.0</v>
      </c>
      <c r="Z336" s="27">
        <v>0.0</v>
      </c>
      <c r="AB336" s="27">
        <v>0.0</v>
      </c>
      <c r="AC336" s="29"/>
      <c r="AD336" s="26"/>
      <c r="AF336" s="27"/>
      <c r="AH336" s="27"/>
      <c r="AJ336" s="27"/>
      <c r="AL336" s="27"/>
      <c r="AN336" s="27"/>
      <c r="AO336" s="29"/>
      <c r="AP336" s="45">
        <f t="shared" si="1"/>
        <v>1020</v>
      </c>
      <c r="AQ336" s="41">
        <f t="shared" si="2"/>
        <v>60</v>
      </c>
      <c r="AR336" s="41">
        <f t="shared" si="3"/>
        <v>0</v>
      </c>
      <c r="AS336" s="41">
        <f t="shared" si="4"/>
        <v>60</v>
      </c>
      <c r="AT336" s="46">
        <f t="shared" si="5"/>
        <v>17</v>
      </c>
      <c r="AU336" s="37"/>
      <c r="AV336" s="37"/>
      <c r="AW336" s="37"/>
    </row>
    <row r="337" ht="15.75" customHeight="1">
      <c r="A337" s="39" t="s">
        <v>31</v>
      </c>
      <c r="B337" s="40">
        <f t="shared" si="6"/>
        <v>44897</v>
      </c>
      <c r="C337" s="41">
        <v>12.0</v>
      </c>
      <c r="D337" s="41" t="s">
        <v>35</v>
      </c>
      <c r="E337" s="43" t="s">
        <v>26</v>
      </c>
      <c r="F337" s="26"/>
      <c r="H337" s="27"/>
      <c r="J337" s="27"/>
      <c r="L337" s="27"/>
      <c r="N337" s="27"/>
      <c r="P337" s="27"/>
      <c r="Q337" s="29"/>
      <c r="R337" s="26">
        <v>0.0</v>
      </c>
      <c r="T337" s="27">
        <v>0.0</v>
      </c>
      <c r="V337" s="27">
        <v>0.0</v>
      </c>
      <c r="X337" s="27">
        <v>0.0</v>
      </c>
      <c r="Z337" s="27">
        <v>0.0</v>
      </c>
      <c r="AB337" s="27">
        <v>0.0</v>
      </c>
      <c r="AC337" s="29"/>
      <c r="AD337" s="26"/>
      <c r="AF337" s="27"/>
      <c r="AH337" s="27"/>
      <c r="AJ337" s="27"/>
      <c r="AL337" s="27"/>
      <c r="AN337" s="27"/>
      <c r="AO337" s="29"/>
      <c r="AP337" s="45">
        <f t="shared" si="1"/>
        <v>0</v>
      </c>
      <c r="AQ337" s="41">
        <f t="shared" si="2"/>
        <v>0</v>
      </c>
      <c r="AR337" s="41">
        <f t="shared" si="3"/>
        <v>0</v>
      </c>
      <c r="AS337" s="41">
        <f t="shared" si="4"/>
        <v>0</v>
      </c>
      <c r="AT337" s="46" t="str">
        <f t="shared" si="5"/>
        <v/>
      </c>
      <c r="AU337" s="37"/>
      <c r="AV337" s="37"/>
      <c r="AW337" s="37"/>
    </row>
    <row r="338" ht="15.75" customHeight="1">
      <c r="A338" s="49" t="s">
        <v>32</v>
      </c>
      <c r="B338" s="50">
        <f t="shared" si="6"/>
        <v>44898</v>
      </c>
      <c r="C338" s="51">
        <v>12.0</v>
      </c>
      <c r="D338" s="51" t="s">
        <v>35</v>
      </c>
      <c r="E338" s="53" t="s">
        <v>26</v>
      </c>
      <c r="F338" s="54"/>
      <c r="G338" s="55"/>
      <c r="H338" s="56"/>
      <c r="I338" s="55"/>
      <c r="J338" s="56"/>
      <c r="K338" s="55"/>
      <c r="L338" s="56"/>
      <c r="M338" s="55"/>
      <c r="N338" s="56"/>
      <c r="O338" s="55"/>
      <c r="P338" s="56"/>
      <c r="Q338" s="58"/>
      <c r="R338" s="54">
        <v>0.0</v>
      </c>
      <c r="S338" s="55"/>
      <c r="T338" s="56">
        <v>0.0</v>
      </c>
      <c r="U338" s="55"/>
      <c r="V338" s="56">
        <v>0.0</v>
      </c>
      <c r="W338" s="55"/>
      <c r="X338" s="56">
        <v>0.0</v>
      </c>
      <c r="Y338" s="55"/>
      <c r="Z338" s="56">
        <v>0.0</v>
      </c>
      <c r="AA338" s="55"/>
      <c r="AB338" s="56">
        <v>0.0</v>
      </c>
      <c r="AC338" s="58"/>
      <c r="AD338" s="54"/>
      <c r="AE338" s="55"/>
      <c r="AF338" s="56"/>
      <c r="AG338" s="55"/>
      <c r="AH338" s="56"/>
      <c r="AI338" s="55"/>
      <c r="AJ338" s="56"/>
      <c r="AK338" s="55"/>
      <c r="AL338" s="56"/>
      <c r="AM338" s="55"/>
      <c r="AN338" s="56"/>
      <c r="AO338" s="58"/>
      <c r="AP338" s="60">
        <f t="shared" si="1"/>
        <v>0</v>
      </c>
      <c r="AQ338" s="51">
        <f t="shared" si="2"/>
        <v>0</v>
      </c>
      <c r="AR338" s="51">
        <f t="shared" si="3"/>
        <v>0</v>
      </c>
      <c r="AS338" s="51">
        <f t="shared" si="4"/>
        <v>0</v>
      </c>
      <c r="AT338" s="61" t="str">
        <f t="shared" si="5"/>
        <v/>
      </c>
      <c r="AU338" s="37"/>
      <c r="AV338" s="37"/>
      <c r="AW338" s="37"/>
    </row>
    <row r="339" ht="15.75" customHeight="1">
      <c r="A339" s="21" t="s">
        <v>24</v>
      </c>
      <c r="B339" s="62">
        <f t="shared" si="6"/>
        <v>44899</v>
      </c>
      <c r="C339" s="23">
        <v>13.0</v>
      </c>
      <c r="D339" s="23" t="s">
        <v>25</v>
      </c>
      <c r="E339" s="63" t="s">
        <v>26</v>
      </c>
      <c r="F339" s="26"/>
      <c r="H339" s="27"/>
      <c r="J339" s="27"/>
      <c r="L339" s="27"/>
      <c r="N339" s="27"/>
      <c r="P339" s="27"/>
      <c r="Q339" s="29"/>
      <c r="R339" s="26">
        <v>50.0</v>
      </c>
      <c r="T339" s="27">
        <v>50.0</v>
      </c>
      <c r="V339" s="27">
        <v>0.0</v>
      </c>
      <c r="X339" s="27">
        <v>0.0</v>
      </c>
      <c r="Z339" s="27">
        <v>0.0</v>
      </c>
      <c r="AB339" s="27">
        <v>0.0</v>
      </c>
      <c r="AC339" s="29"/>
      <c r="AD339" s="26"/>
      <c r="AF339" s="27"/>
      <c r="AH339" s="27"/>
      <c r="AJ339" s="27"/>
      <c r="AL339" s="27"/>
      <c r="AN339" s="27"/>
      <c r="AO339" s="29"/>
      <c r="AP339" s="35">
        <f t="shared" si="1"/>
        <v>1700</v>
      </c>
      <c r="AQ339" s="23">
        <f t="shared" si="2"/>
        <v>100</v>
      </c>
      <c r="AR339" s="23">
        <f t="shared" si="3"/>
        <v>0</v>
      </c>
      <c r="AS339" s="23">
        <f t="shared" si="4"/>
        <v>100</v>
      </c>
      <c r="AT339" s="36">
        <f t="shared" si="5"/>
        <v>17</v>
      </c>
      <c r="AU339" s="37"/>
      <c r="AV339" s="37"/>
      <c r="AW339" s="37"/>
    </row>
    <row r="340" ht="15.75" customHeight="1">
      <c r="A340" s="39" t="s">
        <v>27</v>
      </c>
      <c r="B340" s="40">
        <f t="shared" si="6"/>
        <v>44900</v>
      </c>
      <c r="C340" s="41">
        <v>13.0</v>
      </c>
      <c r="D340" s="41" t="s">
        <v>25</v>
      </c>
      <c r="E340" s="43" t="s">
        <v>26</v>
      </c>
      <c r="F340" s="26"/>
      <c r="H340" s="27"/>
      <c r="J340" s="27"/>
      <c r="L340" s="27"/>
      <c r="N340" s="27"/>
      <c r="P340" s="27"/>
      <c r="Q340" s="29"/>
      <c r="R340" s="26">
        <v>50.0</v>
      </c>
      <c r="T340" s="27">
        <v>50.0</v>
      </c>
      <c r="V340" s="27">
        <v>0.0</v>
      </c>
      <c r="X340" s="27">
        <v>0.0</v>
      </c>
      <c r="Z340" s="27">
        <v>0.0</v>
      </c>
      <c r="AB340" s="27">
        <v>0.0</v>
      </c>
      <c r="AC340" s="29"/>
      <c r="AD340" s="26"/>
      <c r="AF340" s="27"/>
      <c r="AH340" s="27"/>
      <c r="AJ340" s="27"/>
      <c r="AL340" s="27"/>
      <c r="AN340" s="27"/>
      <c r="AO340" s="29"/>
      <c r="AP340" s="45">
        <f t="shared" si="1"/>
        <v>1700</v>
      </c>
      <c r="AQ340" s="41">
        <f t="shared" si="2"/>
        <v>100</v>
      </c>
      <c r="AR340" s="41">
        <f t="shared" si="3"/>
        <v>0</v>
      </c>
      <c r="AS340" s="41">
        <f t="shared" si="4"/>
        <v>100</v>
      </c>
      <c r="AT340" s="46">
        <f t="shared" si="5"/>
        <v>17</v>
      </c>
      <c r="AU340" s="37"/>
      <c r="AV340" s="37"/>
      <c r="AW340" s="37"/>
    </row>
    <row r="341" ht="15.75" customHeight="1">
      <c r="A341" s="39" t="s">
        <v>28</v>
      </c>
      <c r="B341" s="40">
        <f t="shared" si="6"/>
        <v>44901</v>
      </c>
      <c r="C341" s="41">
        <v>13.0</v>
      </c>
      <c r="D341" s="41" t="s">
        <v>25</v>
      </c>
      <c r="E341" s="43" t="s">
        <v>26</v>
      </c>
      <c r="F341" s="26"/>
      <c r="H341" s="27"/>
      <c r="J341" s="27"/>
      <c r="L341" s="27"/>
      <c r="N341" s="27"/>
      <c r="P341" s="27"/>
      <c r="Q341" s="29"/>
      <c r="R341" s="26">
        <v>50.0</v>
      </c>
      <c r="T341" s="27">
        <v>50.0</v>
      </c>
      <c r="V341" s="27">
        <v>0.0</v>
      </c>
      <c r="X341" s="27">
        <v>0.0</v>
      </c>
      <c r="Z341" s="27">
        <v>0.0</v>
      </c>
      <c r="AB341" s="27">
        <v>0.0</v>
      </c>
      <c r="AC341" s="29"/>
      <c r="AD341" s="26"/>
      <c r="AF341" s="27"/>
      <c r="AH341" s="27"/>
      <c r="AJ341" s="27"/>
      <c r="AL341" s="27"/>
      <c r="AN341" s="27"/>
      <c r="AO341" s="29"/>
      <c r="AP341" s="45">
        <f t="shared" si="1"/>
        <v>1700</v>
      </c>
      <c r="AQ341" s="41">
        <f t="shared" si="2"/>
        <v>100</v>
      </c>
      <c r="AR341" s="41">
        <f t="shared" si="3"/>
        <v>0</v>
      </c>
      <c r="AS341" s="41">
        <f t="shared" si="4"/>
        <v>100</v>
      </c>
      <c r="AT341" s="46">
        <f t="shared" si="5"/>
        <v>17</v>
      </c>
      <c r="AU341" s="37"/>
      <c r="AV341" s="37"/>
      <c r="AW341" s="37"/>
    </row>
    <row r="342" ht="15.75" customHeight="1">
      <c r="A342" s="39" t="s">
        <v>29</v>
      </c>
      <c r="B342" s="40">
        <f t="shared" si="6"/>
        <v>44902</v>
      </c>
      <c r="C342" s="41">
        <v>13.0</v>
      </c>
      <c r="D342" s="41" t="s">
        <v>25</v>
      </c>
      <c r="E342" s="43" t="s">
        <v>26</v>
      </c>
      <c r="F342" s="26"/>
      <c r="H342" s="27"/>
      <c r="J342" s="27"/>
      <c r="L342" s="27"/>
      <c r="N342" s="27"/>
      <c r="P342" s="27"/>
      <c r="Q342" s="29"/>
      <c r="R342" s="26">
        <v>50.0</v>
      </c>
      <c r="T342" s="27">
        <v>50.0</v>
      </c>
      <c r="V342" s="27">
        <v>0.0</v>
      </c>
      <c r="X342" s="27">
        <v>0.0</v>
      </c>
      <c r="Z342" s="27">
        <v>0.0</v>
      </c>
      <c r="AB342" s="27">
        <v>0.0</v>
      </c>
      <c r="AC342" s="29"/>
      <c r="AD342" s="26"/>
      <c r="AF342" s="27"/>
      <c r="AH342" s="27"/>
      <c r="AJ342" s="27"/>
      <c r="AL342" s="27"/>
      <c r="AN342" s="27"/>
      <c r="AO342" s="29"/>
      <c r="AP342" s="45">
        <f t="shared" si="1"/>
        <v>1700</v>
      </c>
      <c r="AQ342" s="41">
        <f t="shared" si="2"/>
        <v>100</v>
      </c>
      <c r="AR342" s="41">
        <f t="shared" si="3"/>
        <v>0</v>
      </c>
      <c r="AS342" s="41">
        <f t="shared" si="4"/>
        <v>100</v>
      </c>
      <c r="AT342" s="46">
        <f t="shared" si="5"/>
        <v>17</v>
      </c>
      <c r="AU342" s="37"/>
      <c r="AV342" s="37"/>
      <c r="AW342" s="37"/>
    </row>
    <row r="343" ht="15.75" customHeight="1">
      <c r="A343" s="39" t="s">
        <v>30</v>
      </c>
      <c r="B343" s="40">
        <f t="shared" si="6"/>
        <v>44903</v>
      </c>
      <c r="C343" s="41">
        <v>13.0</v>
      </c>
      <c r="D343" s="41" t="s">
        <v>25</v>
      </c>
      <c r="E343" s="43" t="s">
        <v>26</v>
      </c>
      <c r="F343" s="26"/>
      <c r="H343" s="27"/>
      <c r="J343" s="27"/>
      <c r="L343" s="27"/>
      <c r="N343" s="27"/>
      <c r="P343" s="27"/>
      <c r="Q343" s="29"/>
      <c r="R343" s="26">
        <v>50.0</v>
      </c>
      <c r="T343" s="27">
        <v>50.0</v>
      </c>
      <c r="V343" s="27">
        <v>0.0</v>
      </c>
      <c r="X343" s="27">
        <v>0.0</v>
      </c>
      <c r="Z343" s="27">
        <v>0.0</v>
      </c>
      <c r="AB343" s="27">
        <v>0.0</v>
      </c>
      <c r="AC343" s="29"/>
      <c r="AD343" s="26"/>
      <c r="AF343" s="27"/>
      <c r="AH343" s="27"/>
      <c r="AJ343" s="27"/>
      <c r="AL343" s="27"/>
      <c r="AN343" s="27"/>
      <c r="AO343" s="29"/>
      <c r="AP343" s="45">
        <f t="shared" si="1"/>
        <v>1700</v>
      </c>
      <c r="AQ343" s="41">
        <f t="shared" si="2"/>
        <v>100</v>
      </c>
      <c r="AR343" s="41">
        <f t="shared" si="3"/>
        <v>0</v>
      </c>
      <c r="AS343" s="41">
        <f t="shared" si="4"/>
        <v>100</v>
      </c>
      <c r="AT343" s="46">
        <f t="shared" si="5"/>
        <v>17</v>
      </c>
      <c r="AU343" s="37"/>
      <c r="AV343" s="37"/>
      <c r="AW343" s="37"/>
    </row>
    <row r="344" ht="15.75" customHeight="1">
      <c r="A344" s="39" t="s">
        <v>31</v>
      </c>
      <c r="B344" s="40">
        <f t="shared" si="6"/>
        <v>44904</v>
      </c>
      <c r="C344" s="41">
        <v>13.0</v>
      </c>
      <c r="D344" s="41" t="s">
        <v>25</v>
      </c>
      <c r="E344" s="43" t="s">
        <v>26</v>
      </c>
      <c r="F344" s="26"/>
      <c r="H344" s="27"/>
      <c r="J344" s="27"/>
      <c r="L344" s="27"/>
      <c r="N344" s="27"/>
      <c r="P344" s="27"/>
      <c r="Q344" s="29"/>
      <c r="R344" s="26">
        <v>50.0</v>
      </c>
      <c r="T344" s="27">
        <v>50.0</v>
      </c>
      <c r="V344" s="27">
        <v>0.0</v>
      </c>
      <c r="X344" s="27">
        <v>0.0</v>
      </c>
      <c r="Z344" s="27">
        <v>0.0</v>
      </c>
      <c r="AB344" s="27">
        <v>0.0</v>
      </c>
      <c r="AC344" s="29"/>
      <c r="AD344" s="26"/>
      <c r="AF344" s="27"/>
      <c r="AH344" s="27"/>
      <c r="AJ344" s="27"/>
      <c r="AL344" s="27"/>
      <c r="AN344" s="27"/>
      <c r="AO344" s="29"/>
      <c r="AP344" s="45">
        <f t="shared" si="1"/>
        <v>1700</v>
      </c>
      <c r="AQ344" s="41">
        <f t="shared" si="2"/>
        <v>100</v>
      </c>
      <c r="AR344" s="41">
        <f t="shared" si="3"/>
        <v>0</v>
      </c>
      <c r="AS344" s="41">
        <f t="shared" si="4"/>
        <v>100</v>
      </c>
      <c r="AT344" s="46">
        <f t="shared" si="5"/>
        <v>17</v>
      </c>
      <c r="AU344" s="37"/>
      <c r="AV344" s="37"/>
      <c r="AW344" s="37"/>
    </row>
    <row r="345" ht="15.75" customHeight="1">
      <c r="A345" s="49" t="s">
        <v>32</v>
      </c>
      <c r="B345" s="50">
        <f t="shared" si="6"/>
        <v>44905</v>
      </c>
      <c r="C345" s="51">
        <v>13.0</v>
      </c>
      <c r="D345" s="51" t="s">
        <v>25</v>
      </c>
      <c r="E345" s="53" t="s">
        <v>26</v>
      </c>
      <c r="F345" s="54"/>
      <c r="G345" s="55"/>
      <c r="H345" s="56"/>
      <c r="I345" s="55"/>
      <c r="J345" s="56"/>
      <c r="K345" s="55"/>
      <c r="L345" s="56"/>
      <c r="M345" s="55"/>
      <c r="N345" s="56"/>
      <c r="O345" s="55"/>
      <c r="P345" s="56"/>
      <c r="Q345" s="58"/>
      <c r="R345" s="54">
        <v>50.0</v>
      </c>
      <c r="S345" s="55"/>
      <c r="T345" s="56">
        <v>50.0</v>
      </c>
      <c r="U345" s="55"/>
      <c r="V345" s="56">
        <v>0.0</v>
      </c>
      <c r="W345" s="55"/>
      <c r="X345" s="56">
        <v>0.0</v>
      </c>
      <c r="Y345" s="55"/>
      <c r="Z345" s="56">
        <v>0.0</v>
      </c>
      <c r="AA345" s="55"/>
      <c r="AB345" s="56">
        <v>0.0</v>
      </c>
      <c r="AC345" s="58"/>
      <c r="AD345" s="54"/>
      <c r="AE345" s="55"/>
      <c r="AF345" s="56"/>
      <c r="AG345" s="55"/>
      <c r="AH345" s="56"/>
      <c r="AI345" s="55"/>
      <c r="AJ345" s="56"/>
      <c r="AK345" s="55"/>
      <c r="AL345" s="56"/>
      <c r="AM345" s="55"/>
      <c r="AN345" s="56"/>
      <c r="AO345" s="58"/>
      <c r="AP345" s="60">
        <f t="shared" si="1"/>
        <v>1700</v>
      </c>
      <c r="AQ345" s="51">
        <f t="shared" si="2"/>
        <v>100</v>
      </c>
      <c r="AR345" s="51">
        <f t="shared" si="3"/>
        <v>0</v>
      </c>
      <c r="AS345" s="51">
        <f t="shared" si="4"/>
        <v>100</v>
      </c>
      <c r="AT345" s="61">
        <f t="shared" si="5"/>
        <v>17</v>
      </c>
      <c r="AU345" s="37"/>
      <c r="AV345" s="37"/>
      <c r="AW345" s="37"/>
    </row>
    <row r="346" ht="15.75" customHeight="1">
      <c r="A346" s="21" t="s">
        <v>24</v>
      </c>
      <c r="B346" s="62">
        <f t="shared" si="6"/>
        <v>44906</v>
      </c>
      <c r="C346" s="23">
        <v>13.0</v>
      </c>
      <c r="D346" s="23" t="s">
        <v>33</v>
      </c>
      <c r="E346" s="63" t="s">
        <v>26</v>
      </c>
      <c r="F346" s="26"/>
      <c r="H346" s="27"/>
      <c r="J346" s="27"/>
      <c r="L346" s="27"/>
      <c r="N346" s="27"/>
      <c r="P346" s="27"/>
      <c r="Q346" s="29"/>
      <c r="R346" s="26">
        <v>30.0</v>
      </c>
      <c r="T346" s="27">
        <v>30.0</v>
      </c>
      <c r="V346" s="27">
        <v>0.0</v>
      </c>
      <c r="X346" s="27">
        <v>0.0</v>
      </c>
      <c r="Z346" s="27">
        <v>0.0</v>
      </c>
      <c r="AB346" s="27">
        <v>0.0</v>
      </c>
      <c r="AC346" s="29"/>
      <c r="AD346" s="26"/>
      <c r="AF346" s="27"/>
      <c r="AH346" s="27"/>
      <c r="AJ346" s="27"/>
      <c r="AL346" s="27"/>
      <c r="AN346" s="27"/>
      <c r="AO346" s="29"/>
      <c r="AP346" s="35">
        <f t="shared" si="1"/>
        <v>1020</v>
      </c>
      <c r="AQ346" s="23">
        <f t="shared" si="2"/>
        <v>60</v>
      </c>
      <c r="AR346" s="23">
        <f t="shared" si="3"/>
        <v>0</v>
      </c>
      <c r="AS346" s="23">
        <f t="shared" si="4"/>
        <v>60</v>
      </c>
      <c r="AT346" s="36">
        <f t="shared" si="5"/>
        <v>17</v>
      </c>
      <c r="AU346" s="37"/>
      <c r="AV346" s="37"/>
      <c r="AW346" s="37"/>
    </row>
    <row r="347" ht="15.75" customHeight="1">
      <c r="A347" s="39" t="s">
        <v>27</v>
      </c>
      <c r="B347" s="40">
        <f t="shared" si="6"/>
        <v>44907</v>
      </c>
      <c r="C347" s="41">
        <v>13.0</v>
      </c>
      <c r="D347" s="41" t="s">
        <v>33</v>
      </c>
      <c r="E347" s="43" t="s">
        <v>26</v>
      </c>
      <c r="F347" s="26"/>
      <c r="H347" s="27"/>
      <c r="J347" s="27"/>
      <c r="L347" s="27"/>
      <c r="N347" s="27"/>
      <c r="P347" s="27"/>
      <c r="Q347" s="29"/>
      <c r="R347" s="26">
        <v>30.0</v>
      </c>
      <c r="T347" s="27">
        <v>30.0</v>
      </c>
      <c r="V347" s="27">
        <v>0.0</v>
      </c>
      <c r="X347" s="27">
        <v>0.0</v>
      </c>
      <c r="Z347" s="27">
        <v>0.0</v>
      </c>
      <c r="AB347" s="27">
        <v>0.0</v>
      </c>
      <c r="AC347" s="29"/>
      <c r="AD347" s="26"/>
      <c r="AF347" s="27"/>
      <c r="AH347" s="27"/>
      <c r="AJ347" s="27"/>
      <c r="AL347" s="27"/>
      <c r="AN347" s="27"/>
      <c r="AO347" s="29"/>
      <c r="AP347" s="45">
        <f t="shared" si="1"/>
        <v>1020</v>
      </c>
      <c r="AQ347" s="41">
        <f t="shared" si="2"/>
        <v>60</v>
      </c>
      <c r="AR347" s="41">
        <f t="shared" si="3"/>
        <v>0</v>
      </c>
      <c r="AS347" s="41">
        <f t="shared" si="4"/>
        <v>60</v>
      </c>
      <c r="AT347" s="46">
        <f t="shared" si="5"/>
        <v>17</v>
      </c>
      <c r="AU347" s="37"/>
      <c r="AV347" s="37"/>
      <c r="AW347" s="37"/>
    </row>
    <row r="348" ht="15.75" customHeight="1">
      <c r="A348" s="39" t="s">
        <v>28</v>
      </c>
      <c r="B348" s="40">
        <f t="shared" si="6"/>
        <v>44908</v>
      </c>
      <c r="C348" s="41">
        <v>13.0</v>
      </c>
      <c r="D348" s="41" t="s">
        <v>33</v>
      </c>
      <c r="E348" s="43" t="s">
        <v>26</v>
      </c>
      <c r="F348" s="26"/>
      <c r="H348" s="27"/>
      <c r="J348" s="27"/>
      <c r="L348" s="27"/>
      <c r="N348" s="27"/>
      <c r="P348" s="27"/>
      <c r="Q348" s="29"/>
      <c r="R348" s="26">
        <v>30.0</v>
      </c>
      <c r="T348" s="27">
        <v>30.0</v>
      </c>
      <c r="V348" s="27">
        <v>0.0</v>
      </c>
      <c r="X348" s="27">
        <v>0.0</v>
      </c>
      <c r="Z348" s="27">
        <v>0.0</v>
      </c>
      <c r="AB348" s="27">
        <v>0.0</v>
      </c>
      <c r="AC348" s="29"/>
      <c r="AD348" s="26"/>
      <c r="AF348" s="27"/>
      <c r="AH348" s="27"/>
      <c r="AJ348" s="27"/>
      <c r="AL348" s="27"/>
      <c r="AN348" s="27"/>
      <c r="AO348" s="29"/>
      <c r="AP348" s="45">
        <f t="shared" si="1"/>
        <v>1020</v>
      </c>
      <c r="AQ348" s="41">
        <f t="shared" si="2"/>
        <v>60</v>
      </c>
      <c r="AR348" s="41">
        <f t="shared" si="3"/>
        <v>0</v>
      </c>
      <c r="AS348" s="41">
        <f t="shared" si="4"/>
        <v>60</v>
      </c>
      <c r="AT348" s="46">
        <f t="shared" si="5"/>
        <v>17</v>
      </c>
      <c r="AU348" s="37"/>
      <c r="AV348" s="37"/>
      <c r="AW348" s="37"/>
    </row>
    <row r="349" ht="15.75" customHeight="1">
      <c r="A349" s="39" t="s">
        <v>29</v>
      </c>
      <c r="B349" s="40">
        <f t="shared" si="6"/>
        <v>44909</v>
      </c>
      <c r="C349" s="41">
        <v>13.0</v>
      </c>
      <c r="D349" s="41" t="s">
        <v>33</v>
      </c>
      <c r="E349" s="43" t="s">
        <v>26</v>
      </c>
      <c r="F349" s="26"/>
      <c r="H349" s="27"/>
      <c r="J349" s="27"/>
      <c r="L349" s="27"/>
      <c r="N349" s="27"/>
      <c r="P349" s="27"/>
      <c r="Q349" s="29"/>
      <c r="R349" s="26">
        <v>30.0</v>
      </c>
      <c r="T349" s="27">
        <v>30.0</v>
      </c>
      <c r="V349" s="27">
        <v>0.0</v>
      </c>
      <c r="X349" s="27">
        <v>0.0</v>
      </c>
      <c r="Z349" s="27">
        <v>0.0</v>
      </c>
      <c r="AB349" s="27">
        <v>0.0</v>
      </c>
      <c r="AC349" s="29"/>
      <c r="AD349" s="26"/>
      <c r="AF349" s="27"/>
      <c r="AH349" s="27"/>
      <c r="AJ349" s="27"/>
      <c r="AL349" s="27"/>
      <c r="AN349" s="27"/>
      <c r="AO349" s="29"/>
      <c r="AP349" s="45">
        <f t="shared" si="1"/>
        <v>1020</v>
      </c>
      <c r="AQ349" s="41">
        <f t="shared" si="2"/>
        <v>60</v>
      </c>
      <c r="AR349" s="41">
        <f t="shared" si="3"/>
        <v>0</v>
      </c>
      <c r="AS349" s="41">
        <f t="shared" si="4"/>
        <v>60</v>
      </c>
      <c r="AT349" s="46">
        <f t="shared" si="5"/>
        <v>17</v>
      </c>
      <c r="AU349" s="37"/>
      <c r="AV349" s="37"/>
      <c r="AW349" s="37"/>
    </row>
    <row r="350" ht="15.75" customHeight="1">
      <c r="A350" s="39" t="s">
        <v>30</v>
      </c>
      <c r="B350" s="40">
        <f t="shared" si="6"/>
        <v>44910</v>
      </c>
      <c r="C350" s="41">
        <v>13.0</v>
      </c>
      <c r="D350" s="41" t="s">
        <v>33</v>
      </c>
      <c r="E350" s="43" t="s">
        <v>26</v>
      </c>
      <c r="F350" s="26"/>
      <c r="H350" s="27"/>
      <c r="J350" s="27"/>
      <c r="L350" s="27"/>
      <c r="N350" s="27"/>
      <c r="P350" s="27"/>
      <c r="Q350" s="29"/>
      <c r="R350" s="26">
        <v>30.0</v>
      </c>
      <c r="T350" s="27">
        <v>30.0</v>
      </c>
      <c r="V350" s="27">
        <v>0.0</v>
      </c>
      <c r="X350" s="27">
        <v>0.0</v>
      </c>
      <c r="Z350" s="27">
        <v>0.0</v>
      </c>
      <c r="AB350" s="27">
        <v>0.0</v>
      </c>
      <c r="AC350" s="29"/>
      <c r="AD350" s="26"/>
      <c r="AF350" s="27"/>
      <c r="AH350" s="27"/>
      <c r="AJ350" s="27"/>
      <c r="AL350" s="27"/>
      <c r="AN350" s="27"/>
      <c r="AO350" s="29"/>
      <c r="AP350" s="45">
        <f t="shared" si="1"/>
        <v>1020</v>
      </c>
      <c r="AQ350" s="41">
        <f t="shared" si="2"/>
        <v>60</v>
      </c>
      <c r="AR350" s="41">
        <f t="shared" si="3"/>
        <v>0</v>
      </c>
      <c r="AS350" s="41">
        <f t="shared" si="4"/>
        <v>60</v>
      </c>
      <c r="AT350" s="46">
        <f t="shared" si="5"/>
        <v>17</v>
      </c>
      <c r="AU350" s="37"/>
      <c r="AV350" s="37"/>
      <c r="AW350" s="37"/>
    </row>
    <row r="351" ht="15.75" customHeight="1">
      <c r="A351" s="39" t="s">
        <v>31</v>
      </c>
      <c r="B351" s="40">
        <f t="shared" si="6"/>
        <v>44911</v>
      </c>
      <c r="C351" s="41">
        <v>13.0</v>
      </c>
      <c r="D351" s="41" t="s">
        <v>33</v>
      </c>
      <c r="E351" s="43" t="s">
        <v>26</v>
      </c>
      <c r="F351" s="26"/>
      <c r="H351" s="27"/>
      <c r="J351" s="27"/>
      <c r="L351" s="27"/>
      <c r="N351" s="27"/>
      <c r="P351" s="27"/>
      <c r="Q351" s="29"/>
      <c r="R351" s="26">
        <v>0.0</v>
      </c>
      <c r="T351" s="27">
        <v>0.0</v>
      </c>
      <c r="V351" s="27">
        <v>0.0</v>
      </c>
      <c r="X351" s="27">
        <v>0.0</v>
      </c>
      <c r="Z351" s="27">
        <v>0.0</v>
      </c>
      <c r="AB351" s="27">
        <v>0.0</v>
      </c>
      <c r="AC351" s="29"/>
      <c r="AD351" s="26"/>
      <c r="AF351" s="27"/>
      <c r="AH351" s="27"/>
      <c r="AJ351" s="27"/>
      <c r="AL351" s="27"/>
      <c r="AN351" s="27"/>
      <c r="AO351" s="29"/>
      <c r="AP351" s="45">
        <f t="shared" si="1"/>
        <v>0</v>
      </c>
      <c r="AQ351" s="41">
        <f t="shared" si="2"/>
        <v>0</v>
      </c>
      <c r="AR351" s="41">
        <f t="shared" si="3"/>
        <v>0</v>
      </c>
      <c r="AS351" s="41">
        <f t="shared" si="4"/>
        <v>0</v>
      </c>
      <c r="AT351" s="46" t="str">
        <f t="shared" si="5"/>
        <v/>
      </c>
      <c r="AU351" s="37"/>
      <c r="AV351" s="37"/>
      <c r="AW351" s="37"/>
    </row>
    <row r="352" ht="15.75" customHeight="1">
      <c r="A352" s="49" t="s">
        <v>32</v>
      </c>
      <c r="B352" s="50">
        <f t="shared" si="6"/>
        <v>44912</v>
      </c>
      <c r="C352" s="51">
        <v>13.0</v>
      </c>
      <c r="D352" s="51" t="s">
        <v>33</v>
      </c>
      <c r="E352" s="53" t="s">
        <v>26</v>
      </c>
      <c r="F352" s="54"/>
      <c r="G352" s="55"/>
      <c r="H352" s="56"/>
      <c r="I352" s="55"/>
      <c r="J352" s="56"/>
      <c r="K352" s="55"/>
      <c r="L352" s="56"/>
      <c r="M352" s="55"/>
      <c r="N352" s="56"/>
      <c r="O352" s="55"/>
      <c r="P352" s="56"/>
      <c r="Q352" s="58"/>
      <c r="R352" s="54">
        <v>0.0</v>
      </c>
      <c r="S352" s="55"/>
      <c r="T352" s="56">
        <v>0.0</v>
      </c>
      <c r="U352" s="55"/>
      <c r="V352" s="56">
        <v>0.0</v>
      </c>
      <c r="W352" s="55"/>
      <c r="X352" s="56">
        <v>0.0</v>
      </c>
      <c r="Y352" s="55"/>
      <c r="Z352" s="56">
        <v>0.0</v>
      </c>
      <c r="AA352" s="55"/>
      <c r="AB352" s="56">
        <v>0.0</v>
      </c>
      <c r="AC352" s="58"/>
      <c r="AD352" s="54"/>
      <c r="AE352" s="55"/>
      <c r="AF352" s="56"/>
      <c r="AG352" s="55"/>
      <c r="AH352" s="56"/>
      <c r="AI352" s="55"/>
      <c r="AJ352" s="56"/>
      <c r="AK352" s="55"/>
      <c r="AL352" s="56"/>
      <c r="AM352" s="55"/>
      <c r="AN352" s="56"/>
      <c r="AO352" s="58"/>
      <c r="AP352" s="60">
        <f t="shared" si="1"/>
        <v>0</v>
      </c>
      <c r="AQ352" s="51">
        <f t="shared" si="2"/>
        <v>0</v>
      </c>
      <c r="AR352" s="51">
        <f t="shared" si="3"/>
        <v>0</v>
      </c>
      <c r="AS352" s="51">
        <f t="shared" si="4"/>
        <v>0</v>
      </c>
      <c r="AT352" s="61" t="str">
        <f t="shared" si="5"/>
        <v/>
      </c>
      <c r="AU352" s="37"/>
      <c r="AV352" s="37"/>
      <c r="AW352" s="37"/>
    </row>
    <row r="353" ht="15.75" customHeight="1">
      <c r="A353" s="21" t="s">
        <v>24</v>
      </c>
      <c r="B353" s="62">
        <f t="shared" si="6"/>
        <v>44913</v>
      </c>
      <c r="C353" s="23">
        <v>13.0</v>
      </c>
      <c r="D353" s="23" t="s">
        <v>34</v>
      </c>
      <c r="E353" s="63" t="s">
        <v>43</v>
      </c>
      <c r="F353" s="26"/>
      <c r="H353" s="27"/>
      <c r="J353" s="27"/>
      <c r="L353" s="27"/>
      <c r="N353" s="27"/>
      <c r="P353" s="27"/>
      <c r="Q353" s="29"/>
      <c r="R353" s="26"/>
      <c r="T353" s="27"/>
      <c r="V353" s="27"/>
      <c r="X353" s="27"/>
      <c r="Z353" s="27"/>
      <c r="AB353" s="27"/>
      <c r="AC353" s="29"/>
      <c r="AD353" s="26"/>
      <c r="AF353" s="27"/>
      <c r="AH353" s="27"/>
      <c r="AJ353" s="27"/>
      <c r="AL353" s="27"/>
      <c r="AN353" s="27"/>
      <c r="AO353" s="29"/>
      <c r="AP353" s="35">
        <f t="shared" si="1"/>
        <v>0</v>
      </c>
      <c r="AQ353" s="23">
        <f t="shared" si="2"/>
        <v>0</v>
      </c>
      <c r="AR353" s="23">
        <f t="shared" si="3"/>
        <v>0</v>
      </c>
      <c r="AS353" s="23">
        <f t="shared" si="4"/>
        <v>0</v>
      </c>
      <c r="AT353" s="36" t="str">
        <f t="shared" si="5"/>
        <v/>
      </c>
      <c r="AU353" s="37"/>
      <c r="AV353" s="37"/>
      <c r="AW353" s="37"/>
    </row>
    <row r="354" ht="15.75" customHeight="1">
      <c r="A354" s="39" t="s">
        <v>27</v>
      </c>
      <c r="B354" s="40">
        <f t="shared" si="6"/>
        <v>44914</v>
      </c>
      <c r="C354" s="41">
        <v>13.0</v>
      </c>
      <c r="D354" s="41" t="s">
        <v>34</v>
      </c>
      <c r="E354" s="43" t="s">
        <v>43</v>
      </c>
      <c r="F354" s="26"/>
      <c r="H354" s="27"/>
      <c r="J354" s="27"/>
      <c r="L354" s="27"/>
      <c r="N354" s="27"/>
      <c r="P354" s="27"/>
      <c r="Q354" s="29"/>
      <c r="R354" s="26"/>
      <c r="T354" s="27"/>
      <c r="V354" s="27"/>
      <c r="X354" s="27"/>
      <c r="Z354" s="27"/>
      <c r="AB354" s="27"/>
      <c r="AC354" s="29"/>
      <c r="AD354" s="26"/>
      <c r="AF354" s="27"/>
      <c r="AH354" s="27"/>
      <c r="AJ354" s="27"/>
      <c r="AL354" s="27"/>
      <c r="AN354" s="27"/>
      <c r="AO354" s="29"/>
      <c r="AP354" s="45">
        <f t="shared" si="1"/>
        <v>0</v>
      </c>
      <c r="AQ354" s="41">
        <f t="shared" si="2"/>
        <v>0</v>
      </c>
      <c r="AR354" s="41">
        <f t="shared" si="3"/>
        <v>0</v>
      </c>
      <c r="AS354" s="41">
        <f t="shared" si="4"/>
        <v>0</v>
      </c>
      <c r="AT354" s="46" t="str">
        <f t="shared" si="5"/>
        <v/>
      </c>
      <c r="AU354" s="37"/>
      <c r="AV354" s="37"/>
      <c r="AW354" s="37"/>
    </row>
    <row r="355" ht="15.75" customHeight="1">
      <c r="A355" s="39" t="s">
        <v>28</v>
      </c>
      <c r="B355" s="40">
        <f t="shared" si="6"/>
        <v>44915</v>
      </c>
      <c r="C355" s="41">
        <v>13.0</v>
      </c>
      <c r="D355" s="41" t="s">
        <v>34</v>
      </c>
      <c r="E355" s="43" t="s">
        <v>43</v>
      </c>
      <c r="F355" s="26"/>
      <c r="H355" s="27"/>
      <c r="J355" s="27"/>
      <c r="L355" s="27"/>
      <c r="N355" s="27"/>
      <c r="P355" s="27"/>
      <c r="Q355" s="29"/>
      <c r="R355" s="26"/>
      <c r="T355" s="27"/>
      <c r="V355" s="27"/>
      <c r="X355" s="27"/>
      <c r="Z355" s="27"/>
      <c r="AB355" s="27"/>
      <c r="AC355" s="29"/>
      <c r="AD355" s="26"/>
      <c r="AF355" s="27"/>
      <c r="AH355" s="27"/>
      <c r="AJ355" s="27"/>
      <c r="AL355" s="27"/>
      <c r="AN355" s="27"/>
      <c r="AO355" s="29"/>
      <c r="AP355" s="45">
        <f t="shared" si="1"/>
        <v>0</v>
      </c>
      <c r="AQ355" s="41">
        <f t="shared" si="2"/>
        <v>0</v>
      </c>
      <c r="AR355" s="41">
        <f t="shared" si="3"/>
        <v>0</v>
      </c>
      <c r="AS355" s="41">
        <f t="shared" si="4"/>
        <v>0</v>
      </c>
      <c r="AT355" s="46" t="str">
        <f t="shared" si="5"/>
        <v/>
      </c>
      <c r="AU355" s="37"/>
      <c r="AV355" s="37"/>
      <c r="AW355" s="37"/>
    </row>
    <row r="356" ht="15.75" customHeight="1">
      <c r="A356" s="39" t="s">
        <v>29</v>
      </c>
      <c r="B356" s="40">
        <f t="shared" si="6"/>
        <v>44916</v>
      </c>
      <c r="C356" s="41">
        <v>13.0</v>
      </c>
      <c r="D356" s="41" t="s">
        <v>34</v>
      </c>
      <c r="E356" s="43" t="s">
        <v>43</v>
      </c>
      <c r="F356" s="26"/>
      <c r="H356" s="27"/>
      <c r="J356" s="27"/>
      <c r="L356" s="27"/>
      <c r="N356" s="27"/>
      <c r="P356" s="27"/>
      <c r="Q356" s="29"/>
      <c r="R356" s="26"/>
      <c r="T356" s="27"/>
      <c r="V356" s="27"/>
      <c r="X356" s="27"/>
      <c r="Z356" s="27"/>
      <c r="AB356" s="27"/>
      <c r="AC356" s="29"/>
      <c r="AD356" s="26"/>
      <c r="AF356" s="27"/>
      <c r="AH356" s="27"/>
      <c r="AJ356" s="27"/>
      <c r="AL356" s="27"/>
      <c r="AN356" s="27"/>
      <c r="AO356" s="29"/>
      <c r="AP356" s="45">
        <f t="shared" si="1"/>
        <v>0</v>
      </c>
      <c r="AQ356" s="41">
        <f t="shared" si="2"/>
        <v>0</v>
      </c>
      <c r="AR356" s="41">
        <f t="shared" si="3"/>
        <v>0</v>
      </c>
      <c r="AS356" s="41">
        <f t="shared" si="4"/>
        <v>0</v>
      </c>
      <c r="AT356" s="46" t="str">
        <f t="shared" si="5"/>
        <v/>
      </c>
      <c r="AU356" s="37"/>
      <c r="AV356" s="37"/>
      <c r="AW356" s="37"/>
    </row>
    <row r="357" ht="15.75" customHeight="1">
      <c r="A357" s="39" t="s">
        <v>30</v>
      </c>
      <c r="B357" s="40">
        <f t="shared" si="6"/>
        <v>44917</v>
      </c>
      <c r="C357" s="41">
        <v>13.0</v>
      </c>
      <c r="D357" s="41" t="s">
        <v>34</v>
      </c>
      <c r="E357" s="43" t="s">
        <v>43</v>
      </c>
      <c r="F357" s="26"/>
      <c r="H357" s="27"/>
      <c r="J357" s="27"/>
      <c r="L357" s="27"/>
      <c r="N357" s="27"/>
      <c r="P357" s="27"/>
      <c r="Q357" s="29"/>
      <c r="R357" s="26"/>
      <c r="T357" s="27"/>
      <c r="V357" s="27"/>
      <c r="X357" s="27"/>
      <c r="Z357" s="27"/>
      <c r="AB357" s="27"/>
      <c r="AC357" s="29"/>
      <c r="AD357" s="26"/>
      <c r="AF357" s="27"/>
      <c r="AH357" s="27"/>
      <c r="AJ357" s="27"/>
      <c r="AL357" s="27"/>
      <c r="AN357" s="27"/>
      <c r="AO357" s="29"/>
      <c r="AP357" s="45">
        <f t="shared" si="1"/>
        <v>0</v>
      </c>
      <c r="AQ357" s="41">
        <f t="shared" si="2"/>
        <v>0</v>
      </c>
      <c r="AR357" s="41">
        <f t="shared" si="3"/>
        <v>0</v>
      </c>
      <c r="AS357" s="41">
        <f t="shared" si="4"/>
        <v>0</v>
      </c>
      <c r="AT357" s="46" t="str">
        <f t="shared" si="5"/>
        <v/>
      </c>
      <c r="AU357" s="37"/>
      <c r="AV357" s="37"/>
      <c r="AW357" s="37"/>
    </row>
    <row r="358" ht="15.75" customHeight="1">
      <c r="A358" s="39" t="s">
        <v>31</v>
      </c>
      <c r="B358" s="40">
        <f t="shared" si="6"/>
        <v>44918</v>
      </c>
      <c r="C358" s="41">
        <v>13.0</v>
      </c>
      <c r="D358" s="41" t="s">
        <v>34</v>
      </c>
      <c r="E358" s="43" t="s">
        <v>43</v>
      </c>
      <c r="F358" s="26"/>
      <c r="H358" s="27"/>
      <c r="J358" s="27"/>
      <c r="L358" s="27"/>
      <c r="N358" s="27"/>
      <c r="P358" s="27"/>
      <c r="Q358" s="29"/>
      <c r="R358" s="26"/>
      <c r="T358" s="27"/>
      <c r="V358" s="27"/>
      <c r="X358" s="27"/>
      <c r="Z358" s="27"/>
      <c r="AB358" s="27"/>
      <c r="AC358" s="29"/>
      <c r="AD358" s="26"/>
      <c r="AF358" s="27"/>
      <c r="AH358" s="27"/>
      <c r="AJ358" s="27"/>
      <c r="AL358" s="27"/>
      <c r="AN358" s="27"/>
      <c r="AO358" s="29"/>
      <c r="AP358" s="45">
        <f t="shared" si="1"/>
        <v>0</v>
      </c>
      <c r="AQ358" s="41">
        <f t="shared" si="2"/>
        <v>0</v>
      </c>
      <c r="AR358" s="41">
        <f t="shared" si="3"/>
        <v>0</v>
      </c>
      <c r="AS358" s="41">
        <f t="shared" si="4"/>
        <v>0</v>
      </c>
      <c r="AT358" s="46" t="str">
        <f t="shared" si="5"/>
        <v/>
      </c>
      <c r="AU358" s="37"/>
      <c r="AV358" s="37"/>
      <c r="AW358" s="37"/>
    </row>
    <row r="359" ht="15.75" customHeight="1">
      <c r="A359" s="49" t="s">
        <v>32</v>
      </c>
      <c r="B359" s="50">
        <f t="shared" si="6"/>
        <v>44919</v>
      </c>
      <c r="C359" s="51">
        <v>13.0</v>
      </c>
      <c r="D359" s="51" t="s">
        <v>34</v>
      </c>
      <c r="E359" s="53" t="s">
        <v>43</v>
      </c>
      <c r="F359" s="54"/>
      <c r="G359" s="55"/>
      <c r="H359" s="56"/>
      <c r="I359" s="55"/>
      <c r="J359" s="56"/>
      <c r="K359" s="55"/>
      <c r="L359" s="56"/>
      <c r="M359" s="55"/>
      <c r="N359" s="56"/>
      <c r="O359" s="55"/>
      <c r="P359" s="56"/>
      <c r="Q359" s="58"/>
      <c r="R359" s="54"/>
      <c r="S359" s="55"/>
      <c r="T359" s="56"/>
      <c r="U359" s="55"/>
      <c r="V359" s="56"/>
      <c r="W359" s="55"/>
      <c r="X359" s="56"/>
      <c r="Y359" s="55"/>
      <c r="Z359" s="56"/>
      <c r="AA359" s="55"/>
      <c r="AB359" s="56"/>
      <c r="AC359" s="58"/>
      <c r="AD359" s="54"/>
      <c r="AE359" s="55"/>
      <c r="AF359" s="56"/>
      <c r="AG359" s="55"/>
      <c r="AH359" s="56"/>
      <c r="AI359" s="55"/>
      <c r="AJ359" s="56"/>
      <c r="AK359" s="55"/>
      <c r="AL359" s="56"/>
      <c r="AM359" s="55"/>
      <c r="AN359" s="56"/>
      <c r="AO359" s="58"/>
      <c r="AP359" s="60">
        <f t="shared" si="1"/>
        <v>0</v>
      </c>
      <c r="AQ359" s="51">
        <f t="shared" si="2"/>
        <v>0</v>
      </c>
      <c r="AR359" s="51">
        <f t="shared" si="3"/>
        <v>0</v>
      </c>
      <c r="AS359" s="51">
        <f t="shared" si="4"/>
        <v>0</v>
      </c>
      <c r="AT359" s="61" t="str">
        <f t="shared" si="5"/>
        <v/>
      </c>
      <c r="AU359" s="37"/>
      <c r="AV359" s="37"/>
      <c r="AW359" s="37"/>
    </row>
    <row r="360" ht="15.75" customHeight="1">
      <c r="A360" s="72"/>
      <c r="B360" s="73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</row>
    <row r="361" ht="15.75" customHeight="1">
      <c r="A361" s="72"/>
      <c r="B361" s="73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P361" s="75">
        <f>SUM(AP3:AP359)</f>
        <v>1519530</v>
      </c>
      <c r="AQ361" s="76" t="s">
        <v>44</v>
      </c>
      <c r="AR361" s="74"/>
      <c r="AS361" s="77">
        <f>SUM(AS3:AS359)</f>
        <v>87990</v>
      </c>
      <c r="AT361" s="74"/>
      <c r="AU361" s="74"/>
      <c r="AV361" s="74"/>
      <c r="AW361" s="74"/>
    </row>
    <row r="362" ht="15.75" customHeight="1">
      <c r="A362" s="72"/>
      <c r="B362" s="73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P362" s="78">
        <f>AP361/0.8</f>
        <v>1899412.5</v>
      </c>
      <c r="AQ362" s="76" t="s">
        <v>45</v>
      </c>
      <c r="AR362" s="74"/>
      <c r="AS362" s="74"/>
      <c r="AT362" s="74"/>
      <c r="AU362" s="74"/>
      <c r="AV362" s="74"/>
      <c r="AW362" s="74"/>
    </row>
    <row r="363" ht="15.75" customHeight="1">
      <c r="A363" s="79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8"/>
      <c r="AQ363" s="74"/>
      <c r="AR363" s="74"/>
      <c r="AS363" s="74"/>
      <c r="AT363" s="74"/>
      <c r="AU363" s="74"/>
      <c r="AV363" s="74"/>
      <c r="AW363" s="74"/>
    </row>
    <row r="364" ht="15.75" customHeight="1">
      <c r="A364" s="79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81"/>
      <c r="AP364" s="79"/>
      <c r="AQ364" s="79"/>
      <c r="AR364" s="79"/>
      <c r="AS364" s="74"/>
      <c r="AT364" s="74"/>
      <c r="AU364" s="74"/>
      <c r="AV364" s="74"/>
      <c r="AW364" s="74"/>
    </row>
    <row r="365" ht="15.75" customHeight="1">
      <c r="A365" s="79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81"/>
      <c r="AP365" s="81" t="s">
        <v>46</v>
      </c>
      <c r="AQ365" s="79" t="s">
        <v>47</v>
      </c>
      <c r="AR365" s="79" t="s">
        <v>48</v>
      </c>
      <c r="AS365" s="79" t="s">
        <v>49</v>
      </c>
      <c r="AT365" s="80"/>
      <c r="AU365" s="74"/>
      <c r="AV365" s="74"/>
      <c r="AW365" s="74"/>
    </row>
    <row r="366" ht="15.75" customHeight="1">
      <c r="A366" s="79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1"/>
      <c r="W366" s="79"/>
      <c r="X366" s="79"/>
      <c r="Y366" s="79"/>
      <c r="Z366" s="80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81"/>
      <c r="AP366" s="81">
        <v>1.0</v>
      </c>
      <c r="AQ366" s="83">
        <f t="shared" ref="AQ366:AQ378" si="7">sumif($C$3:$C$359, AP366, $AP$3:$AP$359)</f>
        <v>32980</v>
      </c>
      <c r="AR366" s="81">
        <f>sum(R3:AC30)</f>
        <v>1940</v>
      </c>
      <c r="AS366" s="79">
        <v>0.0</v>
      </c>
      <c r="AT366" s="80"/>
      <c r="AU366" s="74"/>
      <c r="AV366" s="74"/>
      <c r="AW366" s="74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1"/>
      <c r="W367" s="83"/>
      <c r="X367" s="81"/>
      <c r="Y367" s="80"/>
      <c r="Z367" s="80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81"/>
      <c r="AP367" s="81">
        <v>2.0</v>
      </c>
      <c r="AQ367" s="83">
        <f t="shared" si="7"/>
        <v>175950</v>
      </c>
      <c r="AR367" s="81">
        <f>sum(R31:AC58)</f>
        <v>3750</v>
      </c>
      <c r="AS367" s="81">
        <f>sum(F31:Q58)</f>
        <v>3300</v>
      </c>
      <c r="AT367" s="80"/>
      <c r="AU367" s="74"/>
      <c r="AV367" s="74"/>
      <c r="AW367" s="74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1"/>
      <c r="W368" s="83"/>
      <c r="X368" s="81"/>
      <c r="Y368" s="81"/>
      <c r="Z368" s="80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81"/>
      <c r="AP368" s="81">
        <v>3.0</v>
      </c>
      <c r="AQ368" s="83">
        <f t="shared" si="7"/>
        <v>464100</v>
      </c>
      <c r="AR368" s="81">
        <f>sum(R59:AC86)</f>
        <v>10500</v>
      </c>
      <c r="AS368" s="81">
        <f>sum(F59:Q86)</f>
        <v>8400</v>
      </c>
      <c r="AT368" s="80"/>
      <c r="AU368" s="74"/>
      <c r="AV368" s="74"/>
      <c r="AW368" s="74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1"/>
      <c r="W369" s="83"/>
      <c r="X369" s="81"/>
      <c r="Y369" s="81"/>
      <c r="Z369" s="80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81"/>
      <c r="AP369" s="81">
        <v>4.0</v>
      </c>
      <c r="AQ369" s="83">
        <f t="shared" si="7"/>
        <v>98400</v>
      </c>
      <c r="AR369" s="81">
        <f>sum(R87:AC114)</f>
        <v>7200</v>
      </c>
      <c r="AS369" s="79">
        <v>0.0</v>
      </c>
      <c r="AT369" s="80"/>
      <c r="AU369" s="74"/>
      <c r="AV369" s="74"/>
      <c r="AW369" s="74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1"/>
      <c r="W370" s="83"/>
      <c r="X370" s="81"/>
      <c r="Y370" s="80"/>
      <c r="Z370" s="80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81"/>
      <c r="AP370" s="81">
        <v>5.0</v>
      </c>
      <c r="AQ370" s="83">
        <f t="shared" si="7"/>
        <v>98400</v>
      </c>
      <c r="AR370" s="81">
        <f>sum(R115:AC142)</f>
        <v>7200</v>
      </c>
      <c r="AS370" s="79">
        <v>0.0</v>
      </c>
      <c r="AT370" s="80"/>
      <c r="AU370" s="74"/>
      <c r="AV370" s="74"/>
      <c r="AW370" s="74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1"/>
      <c r="W371" s="83"/>
      <c r="X371" s="81"/>
      <c r="Y371" s="80"/>
      <c r="Z371" s="80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81"/>
      <c r="AP371" s="81">
        <v>6.0</v>
      </c>
      <c r="AQ371" s="83">
        <f t="shared" si="7"/>
        <v>104250</v>
      </c>
      <c r="AR371" s="81">
        <f>sum(R143:AC170)</f>
        <v>7650</v>
      </c>
      <c r="AS371" s="79">
        <v>0.0</v>
      </c>
      <c r="AT371" s="80"/>
      <c r="AU371" s="74"/>
      <c r="AV371" s="74"/>
      <c r="AW371" s="74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1"/>
      <c r="W372" s="83"/>
      <c r="X372" s="81"/>
      <c r="Y372" s="80"/>
      <c r="Z372" s="80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81"/>
      <c r="AP372" s="81">
        <v>7.0</v>
      </c>
      <c r="AQ372" s="83">
        <f t="shared" si="7"/>
        <v>121800</v>
      </c>
      <c r="AR372" s="81">
        <f>sum(R171:AC198)</f>
        <v>9000</v>
      </c>
      <c r="AS372" s="79">
        <v>0.0</v>
      </c>
      <c r="AT372" s="80"/>
      <c r="AU372" s="74"/>
      <c r="AV372" s="74"/>
      <c r="AW372" s="74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1"/>
      <c r="W373" s="83"/>
      <c r="X373" s="81"/>
      <c r="Y373" s="80"/>
      <c r="Z373" s="80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81"/>
      <c r="AP373" s="81">
        <v>8.0</v>
      </c>
      <c r="AQ373" s="83">
        <f t="shared" si="7"/>
        <v>121800</v>
      </c>
      <c r="AR373" s="81">
        <f>sum(R199:AC226)</f>
        <v>9000</v>
      </c>
      <c r="AS373" s="79">
        <v>0.0</v>
      </c>
      <c r="AT373" s="80"/>
      <c r="AU373" s="74"/>
      <c r="AV373" s="74"/>
      <c r="AW373" s="74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1"/>
      <c r="W374" s="83"/>
      <c r="X374" s="81"/>
      <c r="Y374" s="80"/>
      <c r="Z374" s="80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81"/>
      <c r="AP374" s="81">
        <v>9.0</v>
      </c>
      <c r="AQ374" s="83">
        <f t="shared" si="7"/>
        <v>121800</v>
      </c>
      <c r="AR374" s="81">
        <f>sum(R227:AC254)</f>
        <v>9000</v>
      </c>
      <c r="AS374" s="79">
        <v>0.0</v>
      </c>
      <c r="AT374" s="80"/>
      <c r="AU374" s="74"/>
      <c r="AV374" s="74"/>
      <c r="AW374" s="74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1"/>
      <c r="W375" s="83"/>
      <c r="X375" s="81"/>
      <c r="Y375" s="80"/>
      <c r="Z375" s="80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81"/>
      <c r="AP375" s="81">
        <v>10.0</v>
      </c>
      <c r="AQ375" s="83">
        <f t="shared" si="7"/>
        <v>106950</v>
      </c>
      <c r="AR375" s="81">
        <f>sum(R255:AC282)</f>
        <v>6750</v>
      </c>
      <c r="AS375" s="79">
        <v>0.0</v>
      </c>
      <c r="AT375" s="80"/>
      <c r="AU375" s="74"/>
      <c r="AV375" s="74"/>
      <c r="AW375" s="74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1"/>
      <c r="W376" s="83"/>
      <c r="X376" s="81"/>
      <c r="Y376" s="80"/>
      <c r="Z376" s="80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81"/>
      <c r="AP376" s="81">
        <v>11.0</v>
      </c>
      <c r="AQ376" s="83">
        <f t="shared" si="7"/>
        <v>40800</v>
      </c>
      <c r="AR376" s="81">
        <f>sum(R283:AC310)</f>
        <v>2400</v>
      </c>
      <c r="AS376" s="79">
        <v>0.0</v>
      </c>
      <c r="AT376" s="80"/>
      <c r="AU376" s="74"/>
      <c r="AV376" s="74"/>
      <c r="AW376" s="74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1"/>
      <c r="W377" s="83"/>
      <c r="X377" s="81"/>
      <c r="Y377" s="80"/>
      <c r="Z377" s="80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81"/>
      <c r="AP377" s="81">
        <v>12.0</v>
      </c>
      <c r="AQ377" s="83">
        <f t="shared" si="7"/>
        <v>15300</v>
      </c>
      <c r="AR377" s="81">
        <f>sum(R311:AC338)</f>
        <v>900</v>
      </c>
      <c r="AS377" s="79">
        <v>0.0</v>
      </c>
      <c r="AT377" s="80"/>
      <c r="AU377" s="74"/>
      <c r="AV377" s="74"/>
      <c r="AW377" s="74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1"/>
      <c r="W378" s="83"/>
      <c r="X378" s="81"/>
      <c r="Y378" s="80"/>
      <c r="Z378" s="80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81">
        <v>13.0</v>
      </c>
      <c r="AQ378" s="83">
        <f t="shared" si="7"/>
        <v>17000</v>
      </c>
      <c r="AR378" s="81">
        <f>sum(R339:AC359)</f>
        <v>1000</v>
      </c>
      <c r="AS378" s="79">
        <v>0.0</v>
      </c>
      <c r="AT378" s="80"/>
      <c r="AU378" s="74"/>
      <c r="AV378" s="74"/>
      <c r="AW378" s="74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1"/>
      <c r="W379" s="79"/>
      <c r="X379" s="81"/>
      <c r="Y379" s="80"/>
      <c r="Z379" s="80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</row>
    <row r="380" ht="15.75" customHeight="1">
      <c r="A380" s="8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>
        <f>sum(AS366:AS378)*I2</f>
        <v>397800</v>
      </c>
      <c r="AT380" s="74"/>
      <c r="AU380" s="74"/>
      <c r="AV380" s="74"/>
      <c r="AW380" s="74"/>
    </row>
    <row r="381" ht="15.75" customHeight="1">
      <c r="A381" s="8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</row>
    <row r="382" ht="15.75" customHeight="1">
      <c r="A382" s="8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</row>
    <row r="383" ht="15.75" customHeight="1">
      <c r="A383" s="8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</row>
    <row r="384" ht="15.75" customHeight="1">
      <c r="A384" s="8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</row>
    <row r="385" ht="15.75" customHeight="1">
      <c r="A385" s="8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</row>
    <row r="386" ht="15.75" customHeight="1">
      <c r="A386" s="8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</row>
    <row r="387" ht="15.75" customHeight="1">
      <c r="A387" s="8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</row>
    <row r="388" ht="15.75" customHeight="1">
      <c r="A388" s="8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</row>
    <row r="389" ht="15.75" customHeight="1">
      <c r="A389" s="8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</row>
    <row r="390" ht="15.75" customHeight="1">
      <c r="A390" s="8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</row>
    <row r="391" ht="15.75" customHeight="1">
      <c r="A391" s="8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</row>
    <row r="392" ht="15.75" customHeight="1">
      <c r="A392" s="8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</row>
    <row r="393" ht="15.75" customHeight="1">
      <c r="A393" s="8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</row>
    <row r="394" ht="15.75" customHeight="1">
      <c r="A394" s="8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</row>
    <row r="395" ht="15.75" customHeight="1">
      <c r="A395" s="8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</row>
    <row r="396" ht="15.75" customHeight="1">
      <c r="A396" s="8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</row>
    <row r="397" ht="15.75" customHeight="1">
      <c r="A397" s="8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</row>
    <row r="398" ht="15.75" customHeight="1">
      <c r="A398" s="8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</row>
    <row r="399" ht="15.75" customHeight="1">
      <c r="A399" s="8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</row>
    <row r="400" ht="15.75" customHeight="1">
      <c r="A400" s="8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</row>
    <row r="401" ht="15.75" customHeight="1">
      <c r="A401" s="8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</row>
    <row r="402" ht="15.75" customHeight="1">
      <c r="A402" s="8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</row>
    <row r="403" ht="15.75" customHeight="1">
      <c r="A403" s="8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</row>
    <row r="404" ht="15.75" customHeight="1">
      <c r="A404" s="8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</row>
    <row r="405" ht="15.75" customHeight="1">
      <c r="A405" s="8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</row>
    <row r="406" ht="15.75" customHeight="1">
      <c r="A406" s="8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</row>
    <row r="407" ht="15.75" customHeight="1">
      <c r="A407" s="8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</row>
    <row r="408" ht="15.75" customHeight="1">
      <c r="A408" s="8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</row>
    <row r="409" ht="15.75" customHeight="1">
      <c r="A409" s="8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</row>
    <row r="410" ht="15.75" customHeight="1">
      <c r="A410" s="8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</row>
    <row r="411" ht="15.75" customHeight="1">
      <c r="A411" s="8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</row>
    <row r="412" ht="15.75" customHeight="1">
      <c r="A412" s="8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</row>
    <row r="413" ht="15.75" customHeight="1">
      <c r="A413" s="8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</row>
    <row r="414" ht="15.75" customHeight="1">
      <c r="A414" s="8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</row>
    <row r="415" ht="15.75" customHeight="1">
      <c r="A415" s="8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</row>
    <row r="416" ht="15.75" customHeight="1">
      <c r="A416" s="8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</row>
    <row r="417" ht="15.75" customHeight="1">
      <c r="A417" s="8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</row>
    <row r="418" ht="15.75" customHeight="1">
      <c r="A418" s="8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</row>
    <row r="419" ht="15.75" customHeight="1">
      <c r="A419" s="8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</row>
    <row r="420" ht="15.75" customHeight="1">
      <c r="A420" s="8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</row>
    <row r="421" ht="15.75" customHeight="1">
      <c r="A421" s="8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</row>
    <row r="422" ht="15.75" customHeight="1">
      <c r="A422" s="8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</row>
    <row r="423" ht="15.75" customHeight="1">
      <c r="A423" s="8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</row>
    <row r="424" ht="15.75" customHeight="1">
      <c r="A424" s="8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</row>
    <row r="425" ht="15.75" customHeight="1">
      <c r="A425" s="8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</row>
    <row r="426" ht="15.75" customHeight="1">
      <c r="A426" s="8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</row>
    <row r="427" ht="15.75" customHeight="1">
      <c r="A427" s="8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</row>
    <row r="428" ht="15.75" customHeight="1">
      <c r="A428" s="8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</row>
    <row r="429" ht="15.75" customHeight="1">
      <c r="A429" s="8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</row>
    <row r="430" ht="15.75" customHeight="1">
      <c r="A430" s="8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</row>
    <row r="431" ht="15.75" customHeight="1">
      <c r="A431" s="8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</row>
    <row r="432" ht="15.75" customHeight="1">
      <c r="A432" s="8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</row>
    <row r="433" ht="15.75" customHeight="1">
      <c r="A433" s="8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</row>
    <row r="434" ht="15.75" customHeight="1">
      <c r="A434" s="8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</row>
    <row r="435" ht="15.75" customHeight="1">
      <c r="A435" s="8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</row>
    <row r="436" ht="15.75" customHeight="1">
      <c r="A436" s="8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</row>
    <row r="437" ht="15.75" customHeight="1">
      <c r="A437" s="8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</row>
    <row r="438" ht="15.75" customHeight="1">
      <c r="A438" s="8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</row>
    <row r="439" ht="15.75" customHeight="1">
      <c r="A439" s="8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</row>
    <row r="440" ht="15.75" customHeight="1">
      <c r="A440" s="8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</row>
    <row r="441" ht="15.75" customHeight="1">
      <c r="A441" s="8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</row>
    <row r="442" ht="15.75" customHeight="1">
      <c r="A442" s="8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</row>
    <row r="443" ht="15.75" customHeight="1">
      <c r="A443" s="8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</row>
    <row r="444" ht="15.75" customHeight="1">
      <c r="A444" s="8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</row>
    <row r="445" ht="15.75" customHeight="1">
      <c r="A445" s="8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</row>
    <row r="446" ht="15.75" customHeight="1">
      <c r="A446" s="8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</row>
    <row r="447" ht="15.75" customHeight="1">
      <c r="A447" s="8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</row>
    <row r="448" ht="15.75" customHeight="1">
      <c r="A448" s="8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</row>
    <row r="449" ht="15.75" customHeight="1">
      <c r="A449" s="8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</row>
    <row r="450" ht="15.75" customHeight="1">
      <c r="A450" s="8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</row>
    <row r="451" ht="15.75" customHeight="1">
      <c r="A451" s="8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</row>
    <row r="452" ht="15.75" customHeight="1">
      <c r="A452" s="8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</row>
    <row r="453" ht="15.75" customHeight="1">
      <c r="A453" s="8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</row>
    <row r="454" ht="15.75" customHeight="1">
      <c r="A454" s="8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</row>
    <row r="455" ht="15.75" customHeight="1">
      <c r="A455" s="8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</row>
    <row r="456" ht="15.75" customHeight="1">
      <c r="A456" s="8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</row>
    <row r="457" ht="15.75" customHeight="1">
      <c r="A457" s="8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</row>
    <row r="458" ht="15.75" customHeight="1">
      <c r="A458" s="8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</row>
    <row r="459" ht="15.75" customHeight="1">
      <c r="A459" s="8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</row>
    <row r="460" ht="15.75" customHeight="1">
      <c r="A460" s="8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</row>
    <row r="461" ht="15.75" customHeight="1">
      <c r="A461" s="8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</row>
    <row r="462" ht="15.75" customHeight="1">
      <c r="A462" s="8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</row>
    <row r="463" ht="15.75" customHeight="1">
      <c r="A463" s="8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</row>
    <row r="464" ht="15.75" customHeight="1">
      <c r="A464" s="8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</row>
    <row r="465" ht="15.75" customHeight="1">
      <c r="A465" s="8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</row>
    <row r="466" ht="15.75" customHeight="1">
      <c r="A466" s="8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</row>
    <row r="467" ht="15.75" customHeight="1">
      <c r="A467" s="8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</row>
    <row r="468" ht="15.75" customHeight="1">
      <c r="A468" s="8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</row>
    <row r="469" ht="15.75" customHeight="1">
      <c r="A469" s="8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</row>
    <row r="470" ht="15.75" customHeight="1">
      <c r="A470" s="8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</row>
    <row r="471" ht="15.75" customHeight="1">
      <c r="A471" s="8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</row>
    <row r="472" ht="15.75" customHeight="1">
      <c r="A472" s="8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</row>
    <row r="473" ht="15.75" customHeight="1">
      <c r="A473" s="8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</row>
    <row r="474" ht="15.75" customHeight="1">
      <c r="A474" s="8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</row>
    <row r="475" ht="15.75" customHeight="1">
      <c r="A475" s="8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</row>
    <row r="476" ht="15.75" customHeight="1">
      <c r="A476" s="8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</row>
    <row r="477" ht="15.75" customHeight="1">
      <c r="A477" s="8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</row>
    <row r="478" ht="15.75" customHeight="1">
      <c r="A478" s="8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</row>
    <row r="479" ht="15.75" customHeight="1">
      <c r="A479" s="8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</row>
    <row r="480" ht="15.75" customHeight="1">
      <c r="A480" s="8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</row>
    <row r="481" ht="15.75" customHeight="1">
      <c r="A481" s="8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</row>
    <row r="482" ht="15.75" customHeight="1">
      <c r="A482" s="8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</row>
    <row r="483" ht="15.75" customHeight="1">
      <c r="A483" s="8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</row>
    <row r="484" ht="15.75" customHeight="1">
      <c r="A484" s="8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</row>
    <row r="485" ht="15.75" customHeight="1">
      <c r="A485" s="8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</row>
    <row r="486" ht="15.75" customHeight="1">
      <c r="A486" s="8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</row>
    <row r="487" ht="15.75" customHeight="1">
      <c r="A487" s="8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</row>
    <row r="488" ht="15.75" customHeight="1">
      <c r="A488" s="8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</row>
    <row r="489" ht="15.75" customHeight="1">
      <c r="A489" s="8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</row>
    <row r="490" ht="15.75" customHeight="1">
      <c r="A490" s="8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</row>
    <row r="491" ht="15.75" customHeight="1">
      <c r="A491" s="8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</row>
    <row r="492" ht="15.75" customHeight="1">
      <c r="A492" s="8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</row>
    <row r="493" ht="15.75" customHeight="1">
      <c r="A493" s="8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</row>
    <row r="494" ht="15.75" customHeight="1">
      <c r="A494" s="8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</row>
    <row r="495" ht="15.75" customHeight="1">
      <c r="A495" s="8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</row>
    <row r="496" ht="15.75" customHeight="1">
      <c r="A496" s="8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</row>
    <row r="497" ht="15.75" customHeight="1">
      <c r="A497" s="8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</row>
    <row r="498" ht="15.75" customHeight="1">
      <c r="A498" s="8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</row>
    <row r="499" ht="15.75" customHeight="1">
      <c r="A499" s="8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</row>
    <row r="500" ht="15.75" customHeight="1">
      <c r="A500" s="8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</row>
    <row r="501" ht="15.75" customHeight="1">
      <c r="A501" s="8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</row>
    <row r="502" ht="15.75" customHeight="1">
      <c r="A502" s="8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</row>
    <row r="503" ht="15.75" customHeight="1">
      <c r="A503" s="8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</row>
    <row r="504" ht="15.75" customHeight="1">
      <c r="A504" s="8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</row>
    <row r="505" ht="15.75" customHeight="1">
      <c r="A505" s="8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</row>
    <row r="506" ht="15.75" customHeight="1">
      <c r="A506" s="8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</row>
    <row r="507" ht="15.75" customHeight="1">
      <c r="A507" s="8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</row>
    <row r="508" ht="15.75" customHeight="1">
      <c r="A508" s="8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</row>
    <row r="509" ht="15.75" customHeight="1">
      <c r="A509" s="8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</row>
    <row r="510" ht="15.75" customHeight="1">
      <c r="A510" s="8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</row>
    <row r="511" ht="15.75" customHeight="1">
      <c r="A511" s="8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</row>
    <row r="512" ht="15.75" customHeight="1">
      <c r="A512" s="8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</row>
    <row r="513" ht="15.75" customHeight="1">
      <c r="A513" s="8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</row>
    <row r="514" ht="15.75" customHeight="1">
      <c r="A514" s="8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</row>
    <row r="515" ht="15.75" customHeight="1">
      <c r="A515" s="8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</row>
    <row r="516" ht="15.75" customHeight="1">
      <c r="A516" s="8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</row>
    <row r="517" ht="15.75" customHeight="1">
      <c r="A517" s="8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</row>
    <row r="518" ht="15.75" customHeight="1">
      <c r="A518" s="8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</row>
    <row r="519" ht="15.75" customHeight="1">
      <c r="A519" s="8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</row>
    <row r="520" ht="15.75" customHeight="1">
      <c r="A520" s="8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</row>
    <row r="521" ht="15.75" customHeight="1">
      <c r="A521" s="8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</row>
    <row r="522" ht="15.75" customHeight="1">
      <c r="A522" s="8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</row>
    <row r="523" ht="15.75" customHeight="1">
      <c r="A523" s="8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</row>
    <row r="524" ht="15.75" customHeight="1">
      <c r="A524" s="8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</row>
    <row r="525" ht="15.75" customHeight="1">
      <c r="A525" s="8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</row>
    <row r="526" ht="15.75" customHeight="1">
      <c r="A526" s="8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</row>
    <row r="527" ht="15.75" customHeight="1">
      <c r="A527" s="8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</row>
    <row r="528" ht="15.75" customHeight="1">
      <c r="A528" s="8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</row>
    <row r="529" ht="15.75" customHeight="1">
      <c r="A529" s="8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</row>
    <row r="530" ht="15.75" customHeight="1">
      <c r="A530" s="8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</row>
    <row r="531" ht="15.75" customHeight="1">
      <c r="A531" s="8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</row>
    <row r="532" ht="15.75" customHeight="1">
      <c r="A532" s="8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</row>
    <row r="533" ht="15.75" customHeight="1">
      <c r="A533" s="8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</row>
    <row r="534" ht="15.75" customHeight="1">
      <c r="A534" s="8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</row>
    <row r="535" ht="15.75" customHeight="1">
      <c r="A535" s="8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</row>
    <row r="536" ht="15.75" customHeight="1">
      <c r="A536" s="8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</row>
    <row r="537" ht="15.75" customHeight="1">
      <c r="A537" s="8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</row>
    <row r="538" ht="15.75" customHeight="1">
      <c r="A538" s="8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</row>
    <row r="539" ht="15.75" customHeight="1">
      <c r="A539" s="8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</row>
    <row r="540" ht="15.75" customHeight="1">
      <c r="A540" s="8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</row>
    <row r="541" ht="15.75" customHeight="1">
      <c r="A541" s="8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</row>
    <row r="542" ht="15.75" customHeight="1">
      <c r="A542" s="8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</row>
    <row r="543" ht="15.75" customHeight="1">
      <c r="A543" s="8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</row>
    <row r="544" ht="15.75" customHeight="1">
      <c r="A544" s="8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</row>
    <row r="545" ht="15.75" customHeight="1">
      <c r="A545" s="8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</row>
    <row r="546" ht="15.75" customHeight="1">
      <c r="A546" s="8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</row>
    <row r="547" ht="15.75" customHeight="1">
      <c r="A547" s="8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</row>
    <row r="548" ht="15.75" customHeight="1">
      <c r="A548" s="8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</row>
    <row r="549" ht="15.75" customHeight="1">
      <c r="A549" s="8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</row>
    <row r="550" ht="15.75" customHeight="1">
      <c r="A550" s="8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</row>
    <row r="551" ht="15.75" customHeight="1">
      <c r="A551" s="8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</row>
    <row r="552" ht="15.75" customHeight="1">
      <c r="A552" s="8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</row>
    <row r="553" ht="15.75" customHeight="1">
      <c r="A553" s="8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</row>
    <row r="554" ht="15.75" customHeight="1">
      <c r="A554" s="8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</row>
    <row r="555" ht="15.75" customHeight="1">
      <c r="A555" s="8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</row>
    <row r="556" ht="15.75" customHeight="1">
      <c r="A556" s="8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</row>
    <row r="557" ht="15.75" customHeight="1">
      <c r="A557" s="8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</row>
    <row r="558" ht="15.75" customHeight="1">
      <c r="A558" s="8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</row>
    <row r="559" ht="15.75" customHeight="1">
      <c r="A559" s="8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</row>
    <row r="560" ht="15.75" customHeight="1">
      <c r="A560" s="8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</row>
    <row r="561" ht="15.75" customHeight="1">
      <c r="A561" s="8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</row>
    <row r="562" ht="15.75" customHeight="1">
      <c r="A562" s="8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</row>
    <row r="563" ht="15.75" customHeight="1">
      <c r="A563" s="8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</row>
    <row r="564" ht="15.75" customHeight="1">
      <c r="A564" s="8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</row>
    <row r="565" ht="15.75" customHeight="1">
      <c r="A565" s="8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</row>
    <row r="566" ht="15.75" customHeight="1">
      <c r="A566" s="8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</row>
    <row r="567" ht="15.75" customHeight="1">
      <c r="A567" s="8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</row>
    <row r="568" ht="15.75" customHeight="1">
      <c r="A568" s="8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</row>
    <row r="569" ht="15.75" customHeight="1">
      <c r="A569" s="8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</row>
    <row r="570" ht="15.75" customHeight="1">
      <c r="A570" s="8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</row>
    <row r="571" ht="15.75" customHeight="1">
      <c r="A571" s="8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</row>
    <row r="572" ht="15.75" customHeight="1">
      <c r="A572" s="8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</row>
    <row r="573" ht="15.75" customHeight="1">
      <c r="A573" s="8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</row>
    <row r="574" ht="15.75" customHeight="1">
      <c r="A574" s="8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</row>
    <row r="575" ht="15.75" customHeight="1">
      <c r="A575" s="8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</row>
    <row r="576" ht="15.75" customHeight="1">
      <c r="A576" s="8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</row>
    <row r="577" ht="15.75" customHeight="1">
      <c r="A577" s="8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</row>
    <row r="578" ht="15.75" customHeight="1">
      <c r="A578" s="8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</row>
    <row r="579" ht="15.75" customHeight="1">
      <c r="A579" s="8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</row>
    <row r="580" ht="15.75" customHeight="1">
      <c r="A580" s="8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</row>
    <row r="581" ht="15.75" customHeight="1">
      <c r="A581" s="8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</row>
    <row r="582" ht="15.75" customHeight="1">
      <c r="A582" s="8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</row>
    <row r="583" ht="15.75" customHeight="1">
      <c r="A583" s="8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</row>
    <row r="584" ht="15.75" customHeight="1">
      <c r="A584" s="8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</row>
    <row r="585" ht="15.75" customHeight="1">
      <c r="A585" s="8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</row>
    <row r="586" ht="15.75" customHeight="1">
      <c r="A586" s="8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</row>
    <row r="587" ht="15.75" customHeight="1">
      <c r="A587" s="8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</row>
    <row r="588" ht="15.75" customHeight="1">
      <c r="A588" s="8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</row>
    <row r="589" ht="15.75" customHeight="1">
      <c r="A589" s="8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</row>
    <row r="590" ht="15.75" customHeight="1">
      <c r="A590" s="8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</row>
    <row r="591" ht="15.75" customHeight="1">
      <c r="A591" s="8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</row>
    <row r="592" ht="15.75" customHeight="1">
      <c r="A592" s="8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</row>
    <row r="593" ht="15.75" customHeight="1">
      <c r="A593" s="8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</row>
    <row r="594" ht="15.75" customHeight="1">
      <c r="A594" s="8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</row>
    <row r="595" ht="15.75" customHeight="1">
      <c r="A595" s="8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</row>
    <row r="596" ht="15.75" customHeight="1">
      <c r="A596" s="8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</row>
    <row r="597" ht="15.75" customHeight="1">
      <c r="A597" s="8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</row>
    <row r="598" ht="15.75" customHeight="1">
      <c r="A598" s="8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</row>
    <row r="599" ht="15.75" customHeight="1">
      <c r="A599" s="8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</row>
    <row r="600" ht="15.75" customHeight="1">
      <c r="A600" s="8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</row>
    <row r="601" ht="15.75" customHeight="1">
      <c r="A601" s="8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</row>
    <row r="602" ht="15.75" customHeight="1">
      <c r="A602" s="8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</row>
    <row r="603" ht="15.75" customHeight="1">
      <c r="A603" s="8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</row>
    <row r="604" ht="15.75" customHeight="1">
      <c r="A604" s="8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</row>
    <row r="605" ht="15.75" customHeight="1">
      <c r="A605" s="8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</row>
    <row r="606" ht="15.75" customHeight="1">
      <c r="A606" s="8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</row>
    <row r="607" ht="15.75" customHeight="1">
      <c r="A607" s="8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</row>
    <row r="608" ht="15.75" customHeight="1">
      <c r="A608" s="8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</row>
    <row r="609" ht="15.75" customHeight="1">
      <c r="A609" s="8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</row>
    <row r="610" ht="15.75" customHeight="1">
      <c r="A610" s="8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</row>
    <row r="611" ht="15.75" customHeight="1">
      <c r="A611" s="8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</row>
    <row r="612" ht="15.75" customHeight="1">
      <c r="A612" s="8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</row>
    <row r="613" ht="15.75" customHeight="1">
      <c r="A613" s="8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</row>
    <row r="614" ht="15.75" customHeight="1">
      <c r="A614" s="8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</row>
    <row r="615" ht="15.75" customHeight="1">
      <c r="A615" s="8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</row>
    <row r="616" ht="15.75" customHeight="1">
      <c r="A616" s="8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</row>
    <row r="617" ht="15.75" customHeight="1">
      <c r="A617" s="8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</row>
    <row r="618" ht="15.75" customHeight="1">
      <c r="A618" s="8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</row>
    <row r="619" ht="15.75" customHeight="1">
      <c r="A619" s="8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</row>
    <row r="620" ht="15.75" customHeight="1">
      <c r="A620" s="8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</row>
    <row r="621" ht="15.75" customHeight="1">
      <c r="A621" s="8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</row>
    <row r="622" ht="15.75" customHeight="1">
      <c r="A622" s="8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</row>
    <row r="623" ht="15.75" customHeight="1">
      <c r="A623" s="8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</row>
    <row r="624" ht="15.75" customHeight="1">
      <c r="A624" s="8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</row>
    <row r="625" ht="15.75" customHeight="1">
      <c r="A625" s="8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</row>
    <row r="626" ht="15.75" customHeight="1">
      <c r="A626" s="8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</row>
    <row r="627" ht="15.75" customHeight="1">
      <c r="A627" s="8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</row>
    <row r="628" ht="15.75" customHeight="1">
      <c r="A628" s="8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</row>
    <row r="629" ht="15.75" customHeight="1">
      <c r="A629" s="8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</row>
    <row r="630" ht="15.75" customHeight="1">
      <c r="A630" s="8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</row>
    <row r="631" ht="15.75" customHeight="1">
      <c r="A631" s="8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</row>
    <row r="632" ht="15.75" customHeight="1">
      <c r="A632" s="8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</row>
    <row r="633" ht="15.75" customHeight="1">
      <c r="A633" s="8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</row>
    <row r="634" ht="15.75" customHeight="1">
      <c r="A634" s="8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</row>
    <row r="635" ht="15.75" customHeight="1">
      <c r="A635" s="8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</row>
    <row r="636" ht="15.75" customHeight="1">
      <c r="A636" s="8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</row>
    <row r="637" ht="15.75" customHeight="1">
      <c r="A637" s="8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</row>
    <row r="638" ht="15.75" customHeight="1">
      <c r="A638" s="8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</row>
    <row r="639" ht="15.75" customHeight="1">
      <c r="A639" s="8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</row>
    <row r="640" ht="15.75" customHeight="1">
      <c r="A640" s="8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</row>
    <row r="641" ht="15.75" customHeight="1">
      <c r="A641" s="8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</row>
    <row r="642" ht="15.75" customHeight="1">
      <c r="A642" s="8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</row>
    <row r="643" ht="15.75" customHeight="1">
      <c r="A643" s="8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</row>
    <row r="644" ht="15.75" customHeight="1">
      <c r="A644" s="8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</row>
    <row r="645" ht="15.75" customHeight="1">
      <c r="A645" s="8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</row>
    <row r="646" ht="15.75" customHeight="1">
      <c r="A646" s="8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</row>
    <row r="647" ht="15.75" customHeight="1">
      <c r="A647" s="8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</row>
    <row r="648" ht="15.75" customHeight="1">
      <c r="A648" s="8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</row>
    <row r="649" ht="15.75" customHeight="1">
      <c r="A649" s="8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</row>
    <row r="650" ht="15.75" customHeight="1">
      <c r="A650" s="8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</row>
    <row r="651" ht="15.75" customHeight="1">
      <c r="A651" s="8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</row>
    <row r="652" ht="15.75" customHeight="1">
      <c r="A652" s="8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</row>
    <row r="653" ht="15.75" customHeight="1">
      <c r="A653" s="8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</row>
    <row r="654" ht="15.75" customHeight="1">
      <c r="A654" s="8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</row>
    <row r="655" ht="15.75" customHeight="1">
      <c r="A655" s="8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</row>
    <row r="656" ht="15.75" customHeight="1">
      <c r="A656" s="8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</row>
    <row r="657" ht="15.75" customHeight="1">
      <c r="A657" s="8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</row>
    <row r="658" ht="15.75" customHeight="1">
      <c r="A658" s="8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</row>
    <row r="659" ht="15.75" customHeight="1">
      <c r="A659" s="8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</row>
    <row r="660" ht="15.75" customHeight="1">
      <c r="A660" s="8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</row>
    <row r="661" ht="15.75" customHeight="1">
      <c r="A661" s="8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</row>
    <row r="662" ht="15.75" customHeight="1">
      <c r="A662" s="8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</row>
    <row r="663" ht="15.75" customHeight="1">
      <c r="A663" s="8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</row>
    <row r="664" ht="15.75" customHeight="1">
      <c r="A664" s="8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</row>
    <row r="665" ht="15.75" customHeight="1">
      <c r="A665" s="8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</row>
    <row r="666" ht="15.75" customHeight="1">
      <c r="A666" s="8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</row>
    <row r="667" ht="15.75" customHeight="1">
      <c r="A667" s="8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</row>
    <row r="668" ht="15.75" customHeight="1">
      <c r="A668" s="8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</row>
    <row r="669" ht="15.75" customHeight="1">
      <c r="A669" s="8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</row>
    <row r="670" ht="15.75" customHeight="1">
      <c r="A670" s="8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</row>
    <row r="671" ht="15.75" customHeight="1">
      <c r="A671" s="8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</row>
    <row r="672" ht="15.75" customHeight="1">
      <c r="A672" s="8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</row>
    <row r="673" ht="15.75" customHeight="1">
      <c r="A673" s="8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</row>
    <row r="674" ht="15.75" customHeight="1">
      <c r="A674" s="8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</row>
    <row r="675" ht="15.75" customHeight="1">
      <c r="A675" s="8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</row>
    <row r="676" ht="15.75" customHeight="1">
      <c r="A676" s="8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</row>
    <row r="677" ht="15.75" customHeight="1">
      <c r="A677" s="8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</row>
    <row r="678" ht="15.75" customHeight="1">
      <c r="A678" s="8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</row>
    <row r="679" ht="15.75" customHeight="1">
      <c r="A679" s="8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</row>
    <row r="680" ht="15.75" customHeight="1">
      <c r="A680" s="8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</row>
    <row r="681" ht="15.75" customHeight="1">
      <c r="A681" s="8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</row>
    <row r="682" ht="15.75" customHeight="1">
      <c r="A682" s="8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</row>
    <row r="683" ht="15.75" customHeight="1">
      <c r="A683" s="8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</row>
    <row r="684" ht="15.75" customHeight="1">
      <c r="A684" s="8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</row>
    <row r="685" ht="15.75" customHeight="1">
      <c r="A685" s="8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</row>
    <row r="686" ht="15.75" customHeight="1">
      <c r="A686" s="8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</row>
    <row r="687" ht="15.75" customHeight="1">
      <c r="A687" s="8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</row>
    <row r="688" ht="15.75" customHeight="1">
      <c r="A688" s="8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</row>
    <row r="689" ht="15.75" customHeight="1">
      <c r="A689" s="8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</row>
    <row r="690" ht="15.75" customHeight="1">
      <c r="A690" s="8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</row>
    <row r="691" ht="15.75" customHeight="1">
      <c r="A691" s="8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</row>
    <row r="692" ht="15.75" customHeight="1">
      <c r="A692" s="8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</row>
    <row r="693" ht="15.75" customHeight="1">
      <c r="A693" s="8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</row>
    <row r="694" ht="15.75" customHeight="1">
      <c r="A694" s="8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</row>
    <row r="695" ht="15.75" customHeight="1">
      <c r="A695" s="8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</row>
    <row r="696" ht="15.75" customHeight="1">
      <c r="A696" s="8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</row>
    <row r="697" ht="15.75" customHeight="1">
      <c r="A697" s="8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</row>
    <row r="698" ht="15.75" customHeight="1">
      <c r="A698" s="8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</row>
    <row r="699" ht="15.75" customHeight="1">
      <c r="A699" s="8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</row>
    <row r="700" ht="15.75" customHeight="1">
      <c r="A700" s="8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</row>
    <row r="701" ht="15.75" customHeight="1">
      <c r="A701" s="8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</row>
    <row r="702" ht="15.75" customHeight="1">
      <c r="A702" s="8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</row>
    <row r="703" ht="15.75" customHeight="1">
      <c r="A703" s="8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</row>
    <row r="704" ht="15.75" customHeight="1">
      <c r="A704" s="8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</row>
    <row r="705" ht="15.75" customHeight="1">
      <c r="A705" s="8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</row>
    <row r="706" ht="15.75" customHeight="1">
      <c r="A706" s="8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</row>
    <row r="707" ht="15.75" customHeight="1">
      <c r="A707" s="8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</row>
    <row r="708" ht="15.75" customHeight="1">
      <c r="A708" s="8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</row>
    <row r="709" ht="15.75" customHeight="1">
      <c r="A709" s="8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</row>
    <row r="710" ht="15.75" customHeight="1">
      <c r="A710" s="8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</row>
    <row r="711" ht="15.75" customHeight="1">
      <c r="A711" s="8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</row>
    <row r="712" ht="15.75" customHeight="1">
      <c r="A712" s="8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</row>
    <row r="713" ht="15.75" customHeight="1">
      <c r="A713" s="8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</row>
    <row r="714" ht="15.75" customHeight="1">
      <c r="A714" s="8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</row>
    <row r="715" ht="15.75" customHeight="1">
      <c r="A715" s="8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</row>
    <row r="716" ht="15.75" customHeight="1">
      <c r="A716" s="8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</row>
    <row r="717" ht="15.75" customHeight="1">
      <c r="A717" s="8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</row>
    <row r="718" ht="15.75" customHeight="1">
      <c r="A718" s="8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</row>
    <row r="719" ht="15.75" customHeight="1">
      <c r="A719" s="8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</row>
    <row r="720" ht="15.75" customHeight="1">
      <c r="A720" s="8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</row>
    <row r="721" ht="15.75" customHeight="1">
      <c r="A721" s="8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</row>
    <row r="722" ht="15.75" customHeight="1">
      <c r="A722" s="8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</row>
    <row r="723" ht="15.75" customHeight="1">
      <c r="A723" s="8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</row>
    <row r="724" ht="15.75" customHeight="1">
      <c r="A724" s="8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</row>
    <row r="725" ht="15.75" customHeight="1">
      <c r="A725" s="8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</row>
    <row r="726" ht="15.75" customHeight="1">
      <c r="A726" s="8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</row>
    <row r="727" ht="15.75" customHeight="1">
      <c r="A727" s="8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</row>
    <row r="728" ht="15.75" customHeight="1">
      <c r="A728" s="8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</row>
    <row r="729" ht="15.75" customHeight="1">
      <c r="A729" s="8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</row>
    <row r="730" ht="15.75" customHeight="1">
      <c r="A730" s="8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</row>
    <row r="731" ht="15.75" customHeight="1">
      <c r="A731" s="8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</row>
    <row r="732" ht="15.75" customHeight="1">
      <c r="A732" s="8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</row>
    <row r="733" ht="15.75" customHeight="1">
      <c r="A733" s="8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</row>
    <row r="734" ht="15.75" customHeight="1">
      <c r="A734" s="8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</row>
    <row r="735" ht="15.75" customHeight="1">
      <c r="A735" s="8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</row>
    <row r="736" ht="15.75" customHeight="1">
      <c r="A736" s="8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</row>
    <row r="737" ht="15.75" customHeight="1">
      <c r="A737" s="8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</row>
    <row r="738" ht="15.75" customHeight="1">
      <c r="A738" s="8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</row>
    <row r="739" ht="15.75" customHeight="1">
      <c r="A739" s="8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</row>
    <row r="740" ht="15.75" customHeight="1">
      <c r="A740" s="8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</row>
    <row r="741" ht="15.75" customHeight="1">
      <c r="A741" s="8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</row>
    <row r="742" ht="15.75" customHeight="1">
      <c r="A742" s="8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</row>
    <row r="743" ht="15.75" customHeight="1">
      <c r="A743" s="8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</row>
    <row r="744" ht="15.75" customHeight="1">
      <c r="A744" s="8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</row>
    <row r="745" ht="15.75" customHeight="1">
      <c r="A745" s="8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</row>
    <row r="746" ht="15.75" customHeight="1">
      <c r="A746" s="8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</row>
    <row r="747" ht="15.75" customHeight="1">
      <c r="A747" s="8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</row>
    <row r="748" ht="15.75" customHeight="1">
      <c r="A748" s="8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</row>
    <row r="749" ht="15.75" customHeight="1">
      <c r="A749" s="8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</row>
    <row r="750" ht="15.75" customHeight="1">
      <c r="A750" s="8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</row>
    <row r="751" ht="15.75" customHeight="1">
      <c r="A751" s="8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</row>
    <row r="752" ht="15.75" customHeight="1">
      <c r="A752" s="8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</row>
    <row r="753" ht="15.75" customHeight="1">
      <c r="A753" s="8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</row>
    <row r="754" ht="15.75" customHeight="1">
      <c r="A754" s="8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</row>
    <row r="755" ht="15.75" customHeight="1">
      <c r="A755" s="8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</row>
    <row r="756" ht="15.75" customHeight="1">
      <c r="A756" s="8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</row>
    <row r="757" ht="15.75" customHeight="1">
      <c r="A757" s="8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</row>
    <row r="758" ht="15.75" customHeight="1">
      <c r="A758" s="8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</row>
    <row r="759" ht="15.75" customHeight="1">
      <c r="A759" s="8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</row>
    <row r="760" ht="15.75" customHeight="1">
      <c r="A760" s="8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</row>
    <row r="761" ht="15.75" customHeight="1">
      <c r="A761" s="8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</row>
    <row r="762" ht="15.75" customHeight="1">
      <c r="A762" s="8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</row>
    <row r="763" ht="15.75" customHeight="1">
      <c r="A763" s="8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</row>
    <row r="764" ht="15.75" customHeight="1">
      <c r="A764" s="8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</row>
    <row r="765" ht="15.75" customHeight="1">
      <c r="A765" s="8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</row>
    <row r="766" ht="15.75" customHeight="1">
      <c r="A766" s="8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</row>
    <row r="767" ht="15.75" customHeight="1">
      <c r="A767" s="8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</row>
    <row r="768" ht="15.75" customHeight="1">
      <c r="A768" s="8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</row>
    <row r="769" ht="15.75" customHeight="1">
      <c r="A769" s="8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</row>
    <row r="770" ht="15.75" customHeight="1">
      <c r="A770" s="8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</row>
    <row r="771" ht="15.75" customHeight="1">
      <c r="A771" s="8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</row>
    <row r="772" ht="15.75" customHeight="1">
      <c r="A772" s="8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</row>
    <row r="773" ht="15.75" customHeight="1">
      <c r="A773" s="8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</row>
    <row r="774" ht="15.75" customHeight="1">
      <c r="A774" s="8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</row>
    <row r="775" ht="15.75" customHeight="1">
      <c r="A775" s="8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</row>
    <row r="776" ht="15.75" customHeight="1">
      <c r="A776" s="8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</row>
    <row r="777" ht="15.75" customHeight="1">
      <c r="A777" s="8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</row>
    <row r="778" ht="15.75" customHeight="1">
      <c r="A778" s="8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</row>
    <row r="779" ht="15.75" customHeight="1">
      <c r="A779" s="8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</row>
    <row r="780" ht="15.75" customHeight="1">
      <c r="A780" s="8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</row>
    <row r="781" ht="15.75" customHeight="1">
      <c r="A781" s="8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</row>
    <row r="782" ht="15.75" customHeight="1">
      <c r="A782" s="8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</row>
    <row r="783" ht="15.75" customHeight="1">
      <c r="A783" s="8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</row>
    <row r="784" ht="15.75" customHeight="1">
      <c r="A784" s="8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</row>
    <row r="785" ht="15.75" customHeight="1">
      <c r="A785" s="8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</row>
    <row r="786" ht="15.75" customHeight="1">
      <c r="A786" s="8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</row>
    <row r="787" ht="15.75" customHeight="1">
      <c r="A787" s="8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</row>
    <row r="788" ht="15.75" customHeight="1">
      <c r="A788" s="8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</row>
    <row r="789" ht="15.75" customHeight="1">
      <c r="A789" s="8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</row>
    <row r="790" ht="15.75" customHeight="1">
      <c r="A790" s="8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</row>
    <row r="791" ht="15.75" customHeight="1">
      <c r="A791" s="8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</row>
    <row r="792" ht="15.75" customHeight="1">
      <c r="A792" s="8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</row>
    <row r="793" ht="15.75" customHeight="1">
      <c r="A793" s="8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</row>
    <row r="794" ht="15.75" customHeight="1">
      <c r="A794" s="8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</row>
    <row r="795" ht="15.75" customHeight="1">
      <c r="A795" s="8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</row>
    <row r="796" ht="15.75" customHeight="1">
      <c r="A796" s="8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</row>
    <row r="797" ht="15.75" customHeight="1">
      <c r="A797" s="8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</row>
    <row r="798" ht="15.75" customHeight="1">
      <c r="A798" s="8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</row>
    <row r="799" ht="15.75" customHeight="1">
      <c r="A799" s="8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</row>
    <row r="800" ht="15.75" customHeight="1">
      <c r="A800" s="8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</row>
    <row r="801" ht="15.75" customHeight="1">
      <c r="A801" s="8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</row>
    <row r="802" ht="15.75" customHeight="1">
      <c r="A802" s="8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</row>
    <row r="803" ht="15.75" customHeight="1">
      <c r="A803" s="8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</row>
    <row r="804" ht="15.75" customHeight="1">
      <c r="A804" s="8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</row>
    <row r="805" ht="15.75" customHeight="1">
      <c r="A805" s="8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</row>
    <row r="806" ht="15.75" customHeight="1">
      <c r="A806" s="8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</row>
    <row r="807" ht="15.75" customHeight="1">
      <c r="A807" s="8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</row>
    <row r="808" ht="15.75" customHeight="1">
      <c r="A808" s="8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</row>
    <row r="809" ht="15.75" customHeight="1">
      <c r="A809" s="8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</row>
    <row r="810" ht="15.75" customHeight="1">
      <c r="A810" s="8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</row>
    <row r="811" ht="15.75" customHeight="1">
      <c r="A811" s="8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</row>
    <row r="812" ht="15.75" customHeight="1">
      <c r="A812" s="8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</row>
    <row r="813" ht="15.75" customHeight="1">
      <c r="A813" s="8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</row>
    <row r="814" ht="15.75" customHeight="1">
      <c r="A814" s="8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</row>
    <row r="815" ht="15.75" customHeight="1">
      <c r="A815" s="8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</row>
    <row r="816" ht="15.75" customHeight="1">
      <c r="A816" s="8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</row>
    <row r="817" ht="15.75" customHeight="1">
      <c r="A817" s="8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</row>
    <row r="818" ht="15.75" customHeight="1">
      <c r="A818" s="8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</row>
    <row r="819" ht="15.75" customHeight="1">
      <c r="A819" s="8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</row>
    <row r="820" ht="15.75" customHeight="1">
      <c r="A820" s="8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</row>
    <row r="821" ht="15.75" customHeight="1">
      <c r="A821" s="8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</row>
    <row r="822" ht="15.75" customHeight="1">
      <c r="A822" s="8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</row>
    <row r="823" ht="15.75" customHeight="1">
      <c r="A823" s="8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</row>
    <row r="824" ht="15.75" customHeight="1">
      <c r="A824" s="8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</row>
    <row r="825" ht="15.75" customHeight="1">
      <c r="A825" s="8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</row>
    <row r="826" ht="15.75" customHeight="1">
      <c r="A826" s="8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</row>
    <row r="827" ht="15.75" customHeight="1">
      <c r="A827" s="8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</row>
    <row r="828" ht="15.75" customHeight="1">
      <c r="A828" s="8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</row>
    <row r="829" ht="15.75" customHeight="1">
      <c r="A829" s="8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</row>
    <row r="830" ht="15.75" customHeight="1">
      <c r="A830" s="8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</row>
    <row r="831" ht="15.75" customHeight="1">
      <c r="A831" s="8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</row>
    <row r="832" ht="15.75" customHeight="1">
      <c r="A832" s="8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</row>
    <row r="833" ht="15.75" customHeight="1">
      <c r="A833" s="8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</row>
    <row r="834" ht="15.75" customHeight="1">
      <c r="A834" s="8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</row>
    <row r="835" ht="15.75" customHeight="1">
      <c r="A835" s="8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</row>
    <row r="836" ht="15.75" customHeight="1">
      <c r="A836" s="8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</row>
    <row r="837" ht="15.75" customHeight="1">
      <c r="A837" s="8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</row>
    <row r="838" ht="15.75" customHeight="1">
      <c r="A838" s="8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</row>
    <row r="839" ht="15.75" customHeight="1">
      <c r="A839" s="8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</row>
    <row r="840" ht="15.75" customHeight="1">
      <c r="A840" s="8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</row>
    <row r="841" ht="15.75" customHeight="1">
      <c r="A841" s="8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</row>
    <row r="842" ht="15.75" customHeight="1">
      <c r="A842" s="8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</row>
    <row r="843" ht="15.75" customHeight="1">
      <c r="A843" s="8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</row>
    <row r="844" ht="15.75" customHeight="1">
      <c r="A844" s="8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</row>
    <row r="845" ht="15.75" customHeight="1">
      <c r="A845" s="8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</row>
    <row r="846" ht="15.75" customHeight="1">
      <c r="A846" s="8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</row>
    <row r="847" ht="15.75" customHeight="1">
      <c r="A847" s="8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</row>
    <row r="848" ht="15.75" customHeight="1">
      <c r="A848" s="8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</row>
    <row r="849" ht="15.75" customHeight="1">
      <c r="A849" s="8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</row>
    <row r="850" ht="15.75" customHeight="1">
      <c r="A850" s="8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</row>
    <row r="851" ht="15.75" customHeight="1">
      <c r="A851" s="8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</row>
    <row r="852" ht="15.75" customHeight="1">
      <c r="A852" s="8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</row>
    <row r="853" ht="15.75" customHeight="1">
      <c r="A853" s="8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</row>
    <row r="854" ht="15.75" customHeight="1">
      <c r="A854" s="8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</row>
    <row r="855" ht="15.75" customHeight="1">
      <c r="A855" s="8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</row>
    <row r="856" ht="15.75" customHeight="1">
      <c r="A856" s="8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</row>
    <row r="857" ht="15.75" customHeight="1">
      <c r="A857" s="8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</row>
    <row r="858" ht="15.75" customHeight="1">
      <c r="A858" s="8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</row>
    <row r="859" ht="15.75" customHeight="1">
      <c r="A859" s="8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</row>
    <row r="860" ht="15.75" customHeight="1">
      <c r="A860" s="8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</row>
    <row r="861" ht="15.75" customHeight="1">
      <c r="A861" s="8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</row>
    <row r="862" ht="15.75" customHeight="1">
      <c r="A862" s="8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</row>
    <row r="863" ht="15.75" customHeight="1">
      <c r="A863" s="8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</row>
    <row r="864" ht="15.75" customHeight="1">
      <c r="A864" s="8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</row>
    <row r="865" ht="15.75" customHeight="1">
      <c r="A865" s="8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</row>
    <row r="866" ht="15.75" customHeight="1">
      <c r="A866" s="8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</row>
    <row r="867" ht="15.75" customHeight="1">
      <c r="A867" s="8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</row>
    <row r="868" ht="15.75" customHeight="1">
      <c r="A868" s="8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</row>
    <row r="869" ht="15.75" customHeight="1">
      <c r="A869" s="8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</row>
    <row r="870" ht="15.75" customHeight="1">
      <c r="A870" s="8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</row>
    <row r="871" ht="15.75" customHeight="1">
      <c r="A871" s="8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</row>
    <row r="872" ht="15.75" customHeight="1">
      <c r="A872" s="8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</row>
    <row r="873" ht="15.75" customHeight="1">
      <c r="A873" s="8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</row>
    <row r="874" ht="15.75" customHeight="1">
      <c r="A874" s="8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</row>
    <row r="875" ht="15.75" customHeight="1">
      <c r="A875" s="8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</row>
    <row r="876" ht="15.75" customHeight="1">
      <c r="A876" s="8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</row>
    <row r="877" ht="15.75" customHeight="1">
      <c r="A877" s="8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</row>
    <row r="878" ht="15.75" customHeight="1">
      <c r="A878" s="8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</row>
    <row r="879" ht="15.75" customHeight="1">
      <c r="A879" s="8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</row>
    <row r="880" ht="15.75" customHeight="1">
      <c r="A880" s="8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</row>
    <row r="881" ht="15.75" customHeight="1">
      <c r="A881" s="8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</row>
    <row r="882" ht="15.75" customHeight="1">
      <c r="A882" s="8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</row>
    <row r="883" ht="15.75" customHeight="1">
      <c r="A883" s="8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</row>
    <row r="884" ht="15.75" customHeight="1">
      <c r="A884" s="8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</row>
    <row r="885" ht="15.75" customHeight="1">
      <c r="A885" s="8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</row>
    <row r="886" ht="15.75" customHeight="1">
      <c r="A886" s="8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</row>
    <row r="887" ht="15.75" customHeight="1">
      <c r="A887" s="8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</row>
    <row r="888" ht="15.75" customHeight="1">
      <c r="A888" s="8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</row>
    <row r="889" ht="15.75" customHeight="1">
      <c r="A889" s="8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</row>
    <row r="890" ht="15.75" customHeight="1">
      <c r="A890" s="8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</row>
    <row r="891" ht="15.75" customHeight="1">
      <c r="A891" s="8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</row>
    <row r="892" ht="15.75" customHeight="1">
      <c r="A892" s="8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</row>
    <row r="893" ht="15.75" customHeight="1">
      <c r="A893" s="8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</row>
    <row r="894" ht="15.75" customHeight="1">
      <c r="A894" s="8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</row>
    <row r="895" ht="15.75" customHeight="1">
      <c r="A895" s="8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</row>
    <row r="896" ht="15.75" customHeight="1">
      <c r="A896" s="8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</row>
    <row r="897" ht="15.75" customHeight="1">
      <c r="A897" s="8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</row>
    <row r="898" ht="15.75" customHeight="1">
      <c r="A898" s="8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</row>
    <row r="899" ht="15.75" customHeight="1">
      <c r="A899" s="8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</row>
    <row r="900" ht="15.75" customHeight="1">
      <c r="A900" s="8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</row>
    <row r="901" ht="15.75" customHeight="1">
      <c r="A901" s="8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</row>
    <row r="902" ht="15.75" customHeight="1">
      <c r="A902" s="8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</row>
    <row r="903" ht="15.75" customHeight="1">
      <c r="A903" s="8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</row>
    <row r="904" ht="15.75" customHeight="1">
      <c r="A904" s="8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</row>
    <row r="905" ht="15.75" customHeight="1">
      <c r="A905" s="8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</row>
    <row r="906" ht="15.75" customHeight="1">
      <c r="A906" s="8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</row>
    <row r="907" ht="15.75" customHeight="1">
      <c r="A907" s="8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</row>
    <row r="908" ht="15.75" customHeight="1">
      <c r="A908" s="8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</row>
    <row r="909" ht="15.75" customHeight="1">
      <c r="A909" s="8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</row>
    <row r="910" ht="15.75" customHeight="1">
      <c r="A910" s="8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</row>
    <row r="911" ht="15.75" customHeight="1">
      <c r="A911" s="8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</row>
    <row r="912" ht="15.75" customHeight="1">
      <c r="A912" s="8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</row>
    <row r="913" ht="15.75" customHeight="1">
      <c r="A913" s="8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</row>
    <row r="914" ht="15.75" customHeight="1">
      <c r="A914" s="8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</row>
    <row r="915" ht="15.75" customHeight="1">
      <c r="A915" s="8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</row>
    <row r="916" ht="15.75" customHeight="1">
      <c r="A916" s="8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</row>
    <row r="917" ht="15.75" customHeight="1">
      <c r="A917" s="8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</row>
    <row r="918" ht="15.75" customHeight="1">
      <c r="A918" s="8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</row>
    <row r="919" ht="15.75" customHeight="1">
      <c r="A919" s="8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</row>
    <row r="920" ht="15.75" customHeight="1">
      <c r="A920" s="8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</row>
    <row r="921" ht="15.75" customHeight="1">
      <c r="A921" s="8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</row>
    <row r="922" ht="15.75" customHeight="1">
      <c r="A922" s="8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</row>
    <row r="923" ht="15.75" customHeight="1">
      <c r="A923" s="8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</row>
    <row r="924" ht="15.75" customHeight="1">
      <c r="A924" s="8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</row>
    <row r="925" ht="15.75" customHeight="1">
      <c r="A925" s="8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</row>
    <row r="926" ht="15.75" customHeight="1">
      <c r="A926" s="8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</row>
    <row r="927" ht="15.75" customHeight="1">
      <c r="A927" s="8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</row>
    <row r="928" ht="15.75" customHeight="1">
      <c r="A928" s="8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</row>
    <row r="929" ht="15.75" customHeight="1">
      <c r="A929" s="8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</row>
    <row r="930" ht="15.75" customHeight="1">
      <c r="A930" s="8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</row>
    <row r="931" ht="15.75" customHeight="1">
      <c r="A931" s="8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</row>
    <row r="932" ht="15.75" customHeight="1">
      <c r="A932" s="8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</row>
    <row r="933" ht="15.75" customHeight="1">
      <c r="A933" s="8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</row>
    <row r="934" ht="15.75" customHeight="1">
      <c r="A934" s="8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</row>
    <row r="935" ht="15.75" customHeight="1">
      <c r="A935" s="8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</row>
    <row r="936" ht="15.75" customHeight="1">
      <c r="A936" s="8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</row>
    <row r="937" ht="15.75" customHeight="1">
      <c r="A937" s="8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</row>
    <row r="938" ht="15.75" customHeight="1">
      <c r="A938" s="8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</row>
    <row r="939" ht="15.75" customHeight="1">
      <c r="A939" s="8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</row>
    <row r="940" ht="15.75" customHeight="1">
      <c r="A940" s="8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</row>
    <row r="941" ht="15.75" customHeight="1">
      <c r="A941" s="8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</row>
    <row r="942" ht="15.75" customHeight="1">
      <c r="A942" s="8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</row>
    <row r="943" ht="15.75" customHeight="1">
      <c r="A943" s="8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</row>
    <row r="944" ht="15.75" customHeight="1">
      <c r="A944" s="8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</row>
    <row r="945" ht="15.75" customHeight="1">
      <c r="A945" s="8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</row>
    <row r="946" ht="15.75" customHeight="1">
      <c r="A946" s="8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</row>
    <row r="947" ht="15.75" customHeight="1">
      <c r="A947" s="8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</row>
    <row r="948" ht="15.75" customHeight="1">
      <c r="A948" s="8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</row>
    <row r="949" ht="15.75" customHeight="1">
      <c r="A949" s="8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</row>
    <row r="950" ht="15.75" customHeight="1">
      <c r="A950" s="8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</row>
    <row r="951" ht="15.75" customHeight="1">
      <c r="A951" s="8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</row>
    <row r="952" ht="15.75" customHeight="1">
      <c r="A952" s="8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</row>
    <row r="953" ht="15.75" customHeight="1">
      <c r="A953" s="8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</row>
    <row r="954" ht="15.75" customHeight="1">
      <c r="A954" s="8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</row>
    <row r="955" ht="15.75" customHeight="1">
      <c r="A955" s="8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</row>
    <row r="956" ht="15.75" customHeight="1">
      <c r="A956" s="8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</row>
    <row r="957" ht="15.75" customHeight="1">
      <c r="A957" s="8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</row>
    <row r="958" ht="15.75" customHeight="1">
      <c r="A958" s="8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</row>
    <row r="959" ht="15.75" customHeight="1">
      <c r="A959" s="8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</row>
    <row r="960" ht="15.75" customHeight="1">
      <c r="A960" s="8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</row>
    <row r="961" ht="15.75" customHeight="1">
      <c r="A961" s="8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</row>
    <row r="962" ht="15.75" customHeight="1">
      <c r="A962" s="8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</row>
    <row r="963" ht="15.75" customHeight="1">
      <c r="A963" s="8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</row>
    <row r="964" ht="15.75" customHeight="1">
      <c r="A964" s="8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</row>
    <row r="965" ht="15.75" customHeight="1">
      <c r="A965" s="8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</row>
    <row r="966" ht="15.75" customHeight="1">
      <c r="A966" s="8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</row>
    <row r="967" ht="15.75" customHeight="1">
      <c r="A967" s="8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</row>
    <row r="968" ht="15.75" customHeight="1">
      <c r="A968" s="8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</row>
    <row r="969" ht="15.75" customHeight="1">
      <c r="A969" s="8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</row>
    <row r="970" ht="15.75" customHeight="1">
      <c r="A970" s="8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</row>
    <row r="971" ht="15.75" customHeight="1">
      <c r="A971" s="8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</row>
    <row r="972" ht="15.75" customHeight="1">
      <c r="A972" s="8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</row>
    <row r="973" ht="15.75" customHeight="1">
      <c r="A973" s="8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</row>
    <row r="974" ht="15.75" customHeight="1">
      <c r="A974" s="8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</row>
    <row r="975" ht="15.75" customHeight="1">
      <c r="A975" s="8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</row>
    <row r="976" ht="15.75" customHeight="1">
      <c r="A976" s="8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</row>
    <row r="977" ht="15.75" customHeight="1">
      <c r="A977" s="8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</row>
    <row r="978" ht="15.75" customHeight="1">
      <c r="A978" s="8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</row>
    <row r="979" ht="15.75" customHeight="1">
      <c r="A979" s="8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</row>
    <row r="980" ht="15.75" customHeight="1">
      <c r="A980" s="8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</row>
    <row r="981" ht="15.75" customHeight="1">
      <c r="A981" s="8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</row>
    <row r="982" ht="15.75" customHeight="1">
      <c r="A982" s="8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</row>
    <row r="983" ht="15.75" customHeight="1">
      <c r="A983" s="8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</row>
    <row r="984" ht="15.75" customHeight="1">
      <c r="A984" s="8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</row>
    <row r="985" ht="15.75" customHeight="1">
      <c r="A985" s="8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</row>
    <row r="986" ht="15.75" customHeight="1">
      <c r="A986" s="8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</row>
    <row r="987" ht="15.75" customHeight="1">
      <c r="A987" s="8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</row>
    <row r="988" ht="15.75" customHeight="1">
      <c r="A988" s="8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</row>
    <row r="989" ht="15.75" customHeight="1">
      <c r="A989" s="8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</row>
    <row r="990" ht="15.75" customHeight="1">
      <c r="A990" s="8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</row>
    <row r="991" ht="15.75" customHeight="1">
      <c r="A991" s="8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</row>
    <row r="992" ht="15.75" customHeight="1">
      <c r="A992" s="8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</row>
    <row r="993" ht="15.75" customHeight="1">
      <c r="A993" s="8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</row>
    <row r="994" ht="15.75" customHeight="1">
      <c r="A994" s="8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</row>
    <row r="995" ht="15.75" customHeight="1">
      <c r="A995" s="8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</row>
    <row r="996" ht="15.75" customHeight="1">
      <c r="A996" s="8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</row>
    <row r="997" ht="15.75" customHeight="1">
      <c r="A997" s="8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</row>
    <row r="998" ht="15.75" customHeight="1">
      <c r="A998" s="8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</row>
    <row r="999" ht="15.75" customHeight="1">
      <c r="A999" s="8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6" width="3.89"/>
    <col customWidth="1" min="47" max="48" width="17.22"/>
    <col customWidth="1" min="49" max="51" width="3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4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5</v>
      </c>
      <c r="AQ1" s="8"/>
      <c r="AR1" s="8"/>
      <c r="AS1" s="8"/>
      <c r="AT1" s="9"/>
      <c r="AU1" s="10"/>
      <c r="AV1" s="10"/>
      <c r="AW1" s="11"/>
      <c r="AX1" s="11"/>
      <c r="AY1" s="11"/>
    </row>
    <row r="2" ht="130.5" customHeight="1">
      <c r="A2" s="12" t="s">
        <v>6</v>
      </c>
      <c r="B2" s="13" t="s">
        <v>7</v>
      </c>
      <c r="C2" s="13" t="s">
        <v>8</v>
      </c>
      <c r="D2" s="13" t="s">
        <v>9</v>
      </c>
      <c r="E2" s="16" t="s">
        <v>12</v>
      </c>
      <c r="F2" s="14" t="s">
        <v>11</v>
      </c>
      <c r="G2" s="15">
        <f>34*0.8</f>
        <v>27.2</v>
      </c>
      <c r="H2" s="14" t="s">
        <v>13</v>
      </c>
      <c r="I2" s="15">
        <f>34*0.8</f>
        <v>27.2</v>
      </c>
      <c r="J2" s="14" t="s">
        <v>14</v>
      </c>
      <c r="K2" s="15">
        <f>34*0.8</f>
        <v>27.2</v>
      </c>
      <c r="L2" s="17" t="s">
        <v>15</v>
      </c>
      <c r="M2" s="17">
        <v>0.0</v>
      </c>
      <c r="N2" s="17" t="s">
        <v>15</v>
      </c>
      <c r="O2" s="17">
        <v>0.0</v>
      </c>
      <c r="P2" s="17" t="s">
        <v>15</v>
      </c>
      <c r="Q2" s="17">
        <v>0.0</v>
      </c>
      <c r="R2" s="14" t="s">
        <v>11</v>
      </c>
      <c r="S2" s="15">
        <f>17*0.8</f>
        <v>13.6</v>
      </c>
      <c r="T2" s="14" t="s">
        <v>13</v>
      </c>
      <c r="U2" s="15">
        <f>17*0.8</f>
        <v>13.6</v>
      </c>
      <c r="V2" s="14" t="s">
        <v>14</v>
      </c>
      <c r="W2" s="15">
        <f>17*0.8</f>
        <v>13.6</v>
      </c>
      <c r="X2" s="14" t="s">
        <v>16</v>
      </c>
      <c r="Y2" s="15">
        <f>8*0.8</f>
        <v>6.4</v>
      </c>
      <c r="Z2" s="14" t="s">
        <v>17</v>
      </c>
      <c r="AA2" s="15">
        <f>13*0.8</f>
        <v>10.4</v>
      </c>
      <c r="AB2" s="14" t="s">
        <v>18</v>
      </c>
      <c r="AC2" s="15">
        <f>7*0.8</f>
        <v>5.6</v>
      </c>
      <c r="AD2" s="17" t="s">
        <v>15</v>
      </c>
      <c r="AE2" s="17">
        <v>0.0</v>
      </c>
      <c r="AF2" s="17" t="s">
        <v>15</v>
      </c>
      <c r="AG2" s="17">
        <v>0.0</v>
      </c>
      <c r="AH2" s="17" t="s">
        <v>15</v>
      </c>
      <c r="AI2" s="17">
        <v>0.0</v>
      </c>
      <c r="AJ2" s="17" t="s">
        <v>15</v>
      </c>
      <c r="AK2" s="17">
        <v>0.0</v>
      </c>
      <c r="AL2" s="17" t="s">
        <v>15</v>
      </c>
      <c r="AM2" s="17">
        <v>0.0</v>
      </c>
      <c r="AN2" s="17" t="s">
        <v>15</v>
      </c>
      <c r="AO2" s="17">
        <v>0.0</v>
      </c>
      <c r="AP2" s="18" t="s">
        <v>19</v>
      </c>
      <c r="AQ2" s="18" t="s">
        <v>20</v>
      </c>
      <c r="AR2" s="18" t="s">
        <v>21</v>
      </c>
      <c r="AS2" s="18" t="s">
        <v>22</v>
      </c>
      <c r="AT2" s="18" t="s">
        <v>23</v>
      </c>
      <c r="AU2" s="19"/>
      <c r="AV2" s="19"/>
      <c r="AW2" s="20"/>
      <c r="AX2" s="20"/>
      <c r="AY2" s="20"/>
    </row>
    <row r="3" ht="15.75" customHeight="1">
      <c r="A3" s="21" t="s">
        <v>24</v>
      </c>
      <c r="B3" s="22">
        <v>44563.0</v>
      </c>
      <c r="C3" s="23">
        <v>1.0</v>
      </c>
      <c r="D3" s="24" t="s">
        <v>25</v>
      </c>
      <c r="E3" s="25" t="s">
        <v>26</v>
      </c>
      <c r="F3" s="30">
        <v>0.0</v>
      </c>
      <c r="H3" s="31">
        <v>0.0</v>
      </c>
      <c r="J3" s="31">
        <v>0.0</v>
      </c>
      <c r="L3" s="31">
        <v>0.0</v>
      </c>
      <c r="N3" s="31">
        <v>0.0</v>
      </c>
      <c r="P3" s="31">
        <v>0.0</v>
      </c>
      <c r="Q3" s="29"/>
      <c r="R3" s="30">
        <v>0.0</v>
      </c>
      <c r="T3" s="31">
        <v>0.0</v>
      </c>
      <c r="V3" s="31">
        <v>0.0</v>
      </c>
      <c r="X3" s="31">
        <v>0.0</v>
      </c>
      <c r="Z3" s="31">
        <v>0.0</v>
      </c>
      <c r="AB3" s="31">
        <v>0.0</v>
      </c>
      <c r="AC3" s="29"/>
      <c r="AD3" s="33"/>
      <c r="AF3" s="34"/>
      <c r="AH3" s="34"/>
      <c r="AJ3" s="34"/>
      <c r="AL3" s="34"/>
      <c r="AN3" s="34"/>
      <c r="AO3" s="29"/>
      <c r="AP3" s="38">
        <f t="shared" ref="AP3:AP21" si="1">(F3*G$2)+(H3*I$2)+(J3*K$2)+(L3*M$2)+(N3*O$2)+(P3*Q$2)+(R3*S$2)+(T3*U$2)+(V3*W$2)+(X3*Y$2)+(Z3*AA$2)+(AB3*AC$2)+(AD3*AE$2)+(AF3*AG$2)+(AH3*AI$2)+(AJ3*AK$2)+(AL3*AM$2)+(AN3*AO$2)</f>
        <v>0</v>
      </c>
      <c r="AQ3" s="44">
        <f t="shared" ref="AQ3:AQ359" si="2">sum(F3,H3,J3,L3,N3,P3,R3,T3,V3,X3,Z3)</f>
        <v>0</v>
      </c>
      <c r="AR3" s="23">
        <f t="shared" ref="AR3:AR359" si="3">sum(AB3)</f>
        <v>0</v>
      </c>
      <c r="AS3" s="23">
        <f t="shared" ref="AS3:AS359" si="4">sum(F3:AO3)</f>
        <v>0</v>
      </c>
      <c r="AT3" s="36" t="str">
        <f t="shared" ref="AT3:AT359" si="5">iferror(AP3/AS3,"")</f>
        <v/>
      </c>
      <c r="AU3" s="37"/>
      <c r="AV3" s="37"/>
      <c r="AW3" s="37"/>
      <c r="AX3" s="37"/>
      <c r="AY3" s="37"/>
    </row>
    <row r="4" ht="15.75" customHeight="1">
      <c r="A4" s="39" t="s">
        <v>27</v>
      </c>
      <c r="B4" s="40">
        <f t="shared" ref="B4:B359" si="6">B3+1</f>
        <v>44564</v>
      </c>
      <c r="C4" s="41">
        <v>1.0</v>
      </c>
      <c r="D4" s="42" t="s">
        <v>25</v>
      </c>
      <c r="E4" s="43" t="s">
        <v>26</v>
      </c>
      <c r="F4" s="30">
        <v>0.0</v>
      </c>
      <c r="H4" s="31">
        <v>0.0</v>
      </c>
      <c r="J4" s="31">
        <v>0.0</v>
      </c>
      <c r="L4" s="31">
        <v>0.0</v>
      </c>
      <c r="N4" s="31">
        <v>0.0</v>
      </c>
      <c r="P4" s="31">
        <v>0.0</v>
      </c>
      <c r="Q4" s="29"/>
      <c r="R4" s="30">
        <v>0.0</v>
      </c>
      <c r="T4" s="31">
        <v>0.0</v>
      </c>
      <c r="V4" s="31">
        <v>0.0</v>
      </c>
      <c r="X4" s="31">
        <v>0.0</v>
      </c>
      <c r="Z4" s="31">
        <v>0.0</v>
      </c>
      <c r="AB4" s="31">
        <v>0.0</v>
      </c>
      <c r="AC4" s="29"/>
      <c r="AD4" s="33"/>
      <c r="AF4" s="34"/>
      <c r="AH4" s="34"/>
      <c r="AJ4" s="34"/>
      <c r="AL4" s="34"/>
      <c r="AN4" s="34"/>
      <c r="AO4" s="29"/>
      <c r="AP4" s="47">
        <f t="shared" si="1"/>
        <v>0</v>
      </c>
      <c r="AQ4" s="48">
        <f t="shared" si="2"/>
        <v>0</v>
      </c>
      <c r="AR4" s="41">
        <f t="shared" si="3"/>
        <v>0</v>
      </c>
      <c r="AS4" s="41">
        <f t="shared" si="4"/>
        <v>0</v>
      </c>
      <c r="AT4" s="46" t="str">
        <f t="shared" si="5"/>
        <v/>
      </c>
      <c r="AU4" s="37"/>
      <c r="AV4" s="37"/>
      <c r="AW4" s="37"/>
      <c r="AX4" s="37"/>
      <c r="AY4" s="37"/>
    </row>
    <row r="5" ht="15.75" customHeight="1">
      <c r="A5" s="39" t="s">
        <v>28</v>
      </c>
      <c r="B5" s="40">
        <f t="shared" si="6"/>
        <v>44565</v>
      </c>
      <c r="C5" s="41">
        <v>1.0</v>
      </c>
      <c r="D5" s="42" t="s">
        <v>25</v>
      </c>
      <c r="E5" s="43" t="s">
        <v>26</v>
      </c>
      <c r="F5" s="30">
        <v>0.0</v>
      </c>
      <c r="H5" s="31">
        <v>0.0</v>
      </c>
      <c r="J5" s="31">
        <v>0.0</v>
      </c>
      <c r="L5" s="31">
        <v>0.0</v>
      </c>
      <c r="N5" s="31">
        <v>0.0</v>
      </c>
      <c r="P5" s="31">
        <v>0.0</v>
      </c>
      <c r="Q5" s="29"/>
      <c r="R5" s="30">
        <v>0.0</v>
      </c>
      <c r="T5" s="31">
        <v>0.0</v>
      </c>
      <c r="V5" s="31">
        <v>0.0</v>
      </c>
      <c r="X5" s="31">
        <v>0.0</v>
      </c>
      <c r="Z5" s="31">
        <v>0.0</v>
      </c>
      <c r="AB5" s="31">
        <v>0.0</v>
      </c>
      <c r="AC5" s="29"/>
      <c r="AD5" s="33"/>
      <c r="AF5" s="34"/>
      <c r="AH5" s="34"/>
      <c r="AJ5" s="34"/>
      <c r="AL5" s="34"/>
      <c r="AN5" s="34"/>
      <c r="AO5" s="29"/>
      <c r="AP5" s="47">
        <f t="shared" si="1"/>
        <v>0</v>
      </c>
      <c r="AQ5" s="48">
        <f t="shared" si="2"/>
        <v>0</v>
      </c>
      <c r="AR5" s="41">
        <f t="shared" si="3"/>
        <v>0</v>
      </c>
      <c r="AS5" s="41">
        <f t="shared" si="4"/>
        <v>0</v>
      </c>
      <c r="AT5" s="46" t="str">
        <f t="shared" si="5"/>
        <v/>
      </c>
      <c r="AU5" s="37"/>
      <c r="AV5" s="37"/>
      <c r="AW5" s="37"/>
      <c r="AX5" s="37"/>
      <c r="AY5" s="37"/>
    </row>
    <row r="6" ht="15.75" customHeight="1">
      <c r="A6" s="39" t="s">
        <v>29</v>
      </c>
      <c r="B6" s="40">
        <f t="shared" si="6"/>
        <v>44566</v>
      </c>
      <c r="C6" s="41">
        <v>1.0</v>
      </c>
      <c r="D6" s="42" t="s">
        <v>25</v>
      </c>
      <c r="E6" s="43" t="s">
        <v>26</v>
      </c>
      <c r="F6" s="30">
        <v>0.0</v>
      </c>
      <c r="H6" s="31">
        <v>0.0</v>
      </c>
      <c r="J6" s="31">
        <v>0.0</v>
      </c>
      <c r="L6" s="31">
        <v>0.0</v>
      </c>
      <c r="N6" s="31">
        <v>0.0</v>
      </c>
      <c r="P6" s="31">
        <v>0.0</v>
      </c>
      <c r="Q6" s="29"/>
      <c r="R6" s="30">
        <v>0.0</v>
      </c>
      <c r="T6" s="31">
        <v>0.0</v>
      </c>
      <c r="V6" s="31">
        <v>0.0</v>
      </c>
      <c r="X6" s="31">
        <v>0.0</v>
      </c>
      <c r="Z6" s="31">
        <v>0.0</v>
      </c>
      <c r="AB6" s="31">
        <v>0.0</v>
      </c>
      <c r="AC6" s="29"/>
      <c r="AD6" s="33"/>
      <c r="AF6" s="34"/>
      <c r="AH6" s="34"/>
      <c r="AJ6" s="34"/>
      <c r="AL6" s="34"/>
      <c r="AN6" s="34"/>
      <c r="AO6" s="29"/>
      <c r="AP6" s="47">
        <f t="shared" si="1"/>
        <v>0</v>
      </c>
      <c r="AQ6" s="48">
        <f t="shared" si="2"/>
        <v>0</v>
      </c>
      <c r="AR6" s="41">
        <f t="shared" si="3"/>
        <v>0</v>
      </c>
      <c r="AS6" s="41">
        <f t="shared" si="4"/>
        <v>0</v>
      </c>
      <c r="AT6" s="46" t="str">
        <f t="shared" si="5"/>
        <v/>
      </c>
      <c r="AU6" s="37"/>
      <c r="AV6" s="37"/>
      <c r="AW6" s="37"/>
      <c r="AX6" s="37"/>
      <c r="AY6" s="37"/>
    </row>
    <row r="7" ht="15.75" customHeight="1">
      <c r="A7" s="39" t="s">
        <v>30</v>
      </c>
      <c r="B7" s="40">
        <f t="shared" si="6"/>
        <v>44567</v>
      </c>
      <c r="C7" s="41">
        <v>1.0</v>
      </c>
      <c r="D7" s="42" t="s">
        <v>25</v>
      </c>
      <c r="E7" s="43" t="s">
        <v>26</v>
      </c>
      <c r="F7" s="30">
        <v>0.0</v>
      </c>
      <c r="H7" s="31">
        <v>0.0</v>
      </c>
      <c r="J7" s="31">
        <v>0.0</v>
      </c>
      <c r="L7" s="31">
        <v>0.0</v>
      </c>
      <c r="N7" s="31">
        <v>0.0</v>
      </c>
      <c r="P7" s="31">
        <v>0.0</v>
      </c>
      <c r="Q7" s="29"/>
      <c r="R7" s="30">
        <v>0.0</v>
      </c>
      <c r="T7" s="31">
        <v>0.0</v>
      </c>
      <c r="V7" s="31">
        <v>0.0</v>
      </c>
      <c r="X7" s="31">
        <v>0.0</v>
      </c>
      <c r="Z7" s="31">
        <v>0.0</v>
      </c>
      <c r="AB7" s="31">
        <v>0.0</v>
      </c>
      <c r="AC7" s="29"/>
      <c r="AD7" s="33"/>
      <c r="AF7" s="34"/>
      <c r="AH7" s="34"/>
      <c r="AJ7" s="34"/>
      <c r="AL7" s="34"/>
      <c r="AN7" s="34"/>
      <c r="AO7" s="29"/>
      <c r="AP7" s="47">
        <f t="shared" si="1"/>
        <v>0</v>
      </c>
      <c r="AQ7" s="48">
        <f t="shared" si="2"/>
        <v>0</v>
      </c>
      <c r="AR7" s="41">
        <f t="shared" si="3"/>
        <v>0</v>
      </c>
      <c r="AS7" s="41">
        <f t="shared" si="4"/>
        <v>0</v>
      </c>
      <c r="AT7" s="46" t="str">
        <f t="shared" si="5"/>
        <v/>
      </c>
      <c r="AU7" s="37"/>
      <c r="AV7" s="37"/>
      <c r="AW7" s="37"/>
      <c r="AX7" s="37"/>
      <c r="AY7" s="37"/>
    </row>
    <row r="8" ht="15.75" customHeight="1">
      <c r="A8" s="39" t="s">
        <v>31</v>
      </c>
      <c r="B8" s="40">
        <f t="shared" si="6"/>
        <v>44568</v>
      </c>
      <c r="C8" s="41">
        <v>1.0</v>
      </c>
      <c r="D8" s="42" t="s">
        <v>25</v>
      </c>
      <c r="E8" s="43" t="s">
        <v>26</v>
      </c>
      <c r="F8" s="30">
        <v>0.0</v>
      </c>
      <c r="H8" s="31">
        <v>0.0</v>
      </c>
      <c r="J8" s="31">
        <v>0.0</v>
      </c>
      <c r="L8" s="31">
        <v>0.0</v>
      </c>
      <c r="N8" s="31">
        <v>0.0</v>
      </c>
      <c r="P8" s="31">
        <v>0.0</v>
      </c>
      <c r="Q8" s="29"/>
      <c r="R8" s="30">
        <v>0.0</v>
      </c>
      <c r="T8" s="31">
        <v>0.0</v>
      </c>
      <c r="V8" s="31">
        <v>0.0</v>
      </c>
      <c r="X8" s="31">
        <v>0.0</v>
      </c>
      <c r="Z8" s="31">
        <v>0.0</v>
      </c>
      <c r="AB8" s="31">
        <v>0.0</v>
      </c>
      <c r="AC8" s="29"/>
      <c r="AD8" s="33"/>
      <c r="AF8" s="34"/>
      <c r="AH8" s="34"/>
      <c r="AJ8" s="34"/>
      <c r="AL8" s="34"/>
      <c r="AN8" s="34"/>
      <c r="AO8" s="29"/>
      <c r="AP8" s="47">
        <f t="shared" si="1"/>
        <v>0</v>
      </c>
      <c r="AQ8" s="48">
        <f t="shared" si="2"/>
        <v>0</v>
      </c>
      <c r="AR8" s="41">
        <f t="shared" si="3"/>
        <v>0</v>
      </c>
      <c r="AS8" s="41">
        <f t="shared" si="4"/>
        <v>0</v>
      </c>
      <c r="AT8" s="46" t="str">
        <f t="shared" si="5"/>
        <v/>
      </c>
      <c r="AU8" s="37"/>
      <c r="AV8" s="37"/>
      <c r="AW8" s="37"/>
      <c r="AX8" s="37"/>
      <c r="AY8" s="37"/>
    </row>
    <row r="9" ht="15.75" customHeight="1">
      <c r="A9" s="49" t="s">
        <v>32</v>
      </c>
      <c r="B9" s="50">
        <f t="shared" si="6"/>
        <v>44569</v>
      </c>
      <c r="C9" s="51">
        <v>1.0</v>
      </c>
      <c r="D9" s="52" t="s">
        <v>25</v>
      </c>
      <c r="E9" s="53" t="s">
        <v>26</v>
      </c>
      <c r="F9" s="64">
        <v>0.0</v>
      </c>
      <c r="G9" s="55"/>
      <c r="H9" s="65">
        <v>0.0</v>
      </c>
      <c r="I9" s="55"/>
      <c r="J9" s="65">
        <v>0.0</v>
      </c>
      <c r="K9" s="55"/>
      <c r="L9" s="65">
        <v>0.0</v>
      </c>
      <c r="M9" s="55"/>
      <c r="N9" s="65">
        <v>0.0</v>
      </c>
      <c r="O9" s="55"/>
      <c r="P9" s="65">
        <v>0.0</v>
      </c>
      <c r="Q9" s="58"/>
      <c r="R9" s="64">
        <v>0.0</v>
      </c>
      <c r="S9" s="55"/>
      <c r="T9" s="65">
        <v>0.0</v>
      </c>
      <c r="U9" s="55"/>
      <c r="V9" s="65">
        <v>0.0</v>
      </c>
      <c r="W9" s="55"/>
      <c r="X9" s="65">
        <v>0.0</v>
      </c>
      <c r="Y9" s="55"/>
      <c r="Z9" s="65">
        <v>0.0</v>
      </c>
      <c r="AA9" s="55"/>
      <c r="AB9" s="65">
        <v>0.0</v>
      </c>
      <c r="AC9" s="58"/>
      <c r="AD9" s="66"/>
      <c r="AE9" s="55"/>
      <c r="AF9" s="67"/>
      <c r="AG9" s="55"/>
      <c r="AH9" s="67"/>
      <c r="AI9" s="55"/>
      <c r="AJ9" s="67"/>
      <c r="AK9" s="55"/>
      <c r="AL9" s="67"/>
      <c r="AM9" s="55"/>
      <c r="AN9" s="67"/>
      <c r="AO9" s="58"/>
      <c r="AP9" s="68">
        <f t="shared" si="1"/>
        <v>0</v>
      </c>
      <c r="AQ9" s="69">
        <f t="shared" si="2"/>
        <v>0</v>
      </c>
      <c r="AR9" s="51">
        <f t="shared" si="3"/>
        <v>0</v>
      </c>
      <c r="AS9" s="51">
        <f t="shared" si="4"/>
        <v>0</v>
      </c>
      <c r="AT9" s="61" t="str">
        <f t="shared" si="5"/>
        <v/>
      </c>
      <c r="AU9" s="37"/>
      <c r="AV9" s="37"/>
      <c r="AW9" s="37"/>
      <c r="AX9" s="37"/>
      <c r="AY9" s="37"/>
    </row>
    <row r="10" ht="15.75" customHeight="1">
      <c r="A10" s="21" t="s">
        <v>24</v>
      </c>
      <c r="B10" s="62">
        <f t="shared" si="6"/>
        <v>44570</v>
      </c>
      <c r="C10" s="23">
        <v>1.0</v>
      </c>
      <c r="D10" s="23" t="s">
        <v>33</v>
      </c>
      <c r="E10" s="63" t="s">
        <v>26</v>
      </c>
      <c r="F10" s="30">
        <v>0.0</v>
      </c>
      <c r="H10" s="31">
        <v>0.0</v>
      </c>
      <c r="J10" s="31">
        <v>0.0</v>
      </c>
      <c r="L10" s="31">
        <v>0.0</v>
      </c>
      <c r="N10" s="31">
        <v>0.0</v>
      </c>
      <c r="P10" s="31">
        <v>0.0</v>
      </c>
      <c r="Q10" s="29"/>
      <c r="R10" s="30">
        <v>55.0</v>
      </c>
      <c r="T10" s="31">
        <v>75.0</v>
      </c>
      <c r="V10" s="31">
        <v>0.0</v>
      </c>
      <c r="X10" s="31">
        <v>0.0</v>
      </c>
      <c r="Z10" s="31">
        <v>0.0</v>
      </c>
      <c r="AB10" s="31">
        <v>0.0</v>
      </c>
      <c r="AC10" s="29"/>
      <c r="AD10" s="33"/>
      <c r="AF10" s="34"/>
      <c r="AH10" s="34"/>
      <c r="AJ10" s="34"/>
      <c r="AL10" s="34"/>
      <c r="AN10" s="34"/>
      <c r="AO10" s="29"/>
      <c r="AP10" s="38">
        <f t="shared" si="1"/>
        <v>1768</v>
      </c>
      <c r="AQ10" s="44">
        <f t="shared" si="2"/>
        <v>130</v>
      </c>
      <c r="AR10" s="23">
        <f t="shared" si="3"/>
        <v>0</v>
      </c>
      <c r="AS10" s="23">
        <f t="shared" si="4"/>
        <v>130</v>
      </c>
      <c r="AT10" s="36">
        <f t="shared" si="5"/>
        <v>13.6</v>
      </c>
      <c r="AU10" s="37"/>
      <c r="AV10" s="37"/>
      <c r="AW10" s="37"/>
      <c r="AX10" s="37"/>
      <c r="AY10" s="37"/>
    </row>
    <row r="11" ht="15.75" customHeight="1">
      <c r="A11" s="39" t="s">
        <v>27</v>
      </c>
      <c r="B11" s="40">
        <f t="shared" si="6"/>
        <v>44571</v>
      </c>
      <c r="C11" s="41">
        <v>1.0</v>
      </c>
      <c r="D11" s="41" t="s">
        <v>33</v>
      </c>
      <c r="E11" s="43" t="s">
        <v>26</v>
      </c>
      <c r="F11" s="30">
        <v>0.0</v>
      </c>
      <c r="H11" s="31">
        <v>0.0</v>
      </c>
      <c r="J11" s="31">
        <v>0.0</v>
      </c>
      <c r="L11" s="31">
        <v>0.0</v>
      </c>
      <c r="N11" s="31">
        <v>0.0</v>
      </c>
      <c r="P11" s="31">
        <v>0.0</v>
      </c>
      <c r="Q11" s="29"/>
      <c r="R11" s="30">
        <v>55.0</v>
      </c>
      <c r="T11" s="31">
        <v>75.0</v>
      </c>
      <c r="V11" s="31">
        <v>0.0</v>
      </c>
      <c r="X11" s="31">
        <v>0.0</v>
      </c>
      <c r="Z11" s="31">
        <v>0.0</v>
      </c>
      <c r="AB11" s="31">
        <v>0.0</v>
      </c>
      <c r="AC11" s="29"/>
      <c r="AD11" s="33"/>
      <c r="AF11" s="34"/>
      <c r="AH11" s="34"/>
      <c r="AJ11" s="34"/>
      <c r="AL11" s="34"/>
      <c r="AN11" s="34"/>
      <c r="AO11" s="29"/>
      <c r="AP11" s="47">
        <f t="shared" si="1"/>
        <v>1768</v>
      </c>
      <c r="AQ11" s="48">
        <f t="shared" si="2"/>
        <v>130</v>
      </c>
      <c r="AR11" s="41">
        <f t="shared" si="3"/>
        <v>0</v>
      </c>
      <c r="AS11" s="41">
        <f t="shared" si="4"/>
        <v>130</v>
      </c>
      <c r="AT11" s="46">
        <f t="shared" si="5"/>
        <v>13.6</v>
      </c>
      <c r="AU11" s="37"/>
      <c r="AV11" s="37"/>
      <c r="AW11" s="37"/>
      <c r="AX11" s="37"/>
      <c r="AY11" s="37"/>
    </row>
    <row r="12" ht="15.75" customHeight="1">
      <c r="A12" s="39" t="s">
        <v>28</v>
      </c>
      <c r="B12" s="40">
        <f t="shared" si="6"/>
        <v>44572</v>
      </c>
      <c r="C12" s="41">
        <v>1.0</v>
      </c>
      <c r="D12" s="41" t="s">
        <v>33</v>
      </c>
      <c r="E12" s="43" t="s">
        <v>26</v>
      </c>
      <c r="F12" s="30">
        <v>0.0</v>
      </c>
      <c r="H12" s="31">
        <v>0.0</v>
      </c>
      <c r="J12" s="31">
        <v>0.0</v>
      </c>
      <c r="L12" s="31">
        <v>0.0</v>
      </c>
      <c r="N12" s="31">
        <v>0.0</v>
      </c>
      <c r="P12" s="31">
        <v>0.0</v>
      </c>
      <c r="Q12" s="29"/>
      <c r="R12" s="30">
        <v>55.0</v>
      </c>
      <c r="T12" s="31">
        <v>75.0</v>
      </c>
      <c r="V12" s="31">
        <v>0.0</v>
      </c>
      <c r="X12" s="31">
        <v>0.0</v>
      </c>
      <c r="Z12" s="31">
        <v>0.0</v>
      </c>
      <c r="AB12" s="31">
        <v>0.0</v>
      </c>
      <c r="AC12" s="29"/>
      <c r="AD12" s="33"/>
      <c r="AF12" s="34"/>
      <c r="AH12" s="34"/>
      <c r="AJ12" s="34"/>
      <c r="AL12" s="34"/>
      <c r="AN12" s="34"/>
      <c r="AO12" s="29"/>
      <c r="AP12" s="47">
        <f t="shared" si="1"/>
        <v>1768</v>
      </c>
      <c r="AQ12" s="48">
        <f t="shared" si="2"/>
        <v>130</v>
      </c>
      <c r="AR12" s="41">
        <f t="shared" si="3"/>
        <v>0</v>
      </c>
      <c r="AS12" s="41">
        <f t="shared" si="4"/>
        <v>130</v>
      </c>
      <c r="AT12" s="46">
        <f t="shared" si="5"/>
        <v>13.6</v>
      </c>
      <c r="AU12" s="37"/>
      <c r="AV12" s="37"/>
      <c r="AW12" s="37"/>
      <c r="AX12" s="37"/>
      <c r="AY12" s="37"/>
    </row>
    <row r="13" ht="15.75" customHeight="1">
      <c r="A13" s="39" t="s">
        <v>29</v>
      </c>
      <c r="B13" s="40">
        <f t="shared" si="6"/>
        <v>44573</v>
      </c>
      <c r="C13" s="41">
        <v>1.0</v>
      </c>
      <c r="D13" s="41" t="s">
        <v>33</v>
      </c>
      <c r="E13" s="43" t="s">
        <v>26</v>
      </c>
      <c r="F13" s="30">
        <v>0.0</v>
      </c>
      <c r="H13" s="31">
        <v>0.0</v>
      </c>
      <c r="J13" s="31">
        <v>0.0</v>
      </c>
      <c r="L13" s="31">
        <v>0.0</v>
      </c>
      <c r="N13" s="31">
        <v>0.0</v>
      </c>
      <c r="P13" s="31">
        <v>0.0</v>
      </c>
      <c r="Q13" s="29"/>
      <c r="R13" s="30">
        <v>55.0</v>
      </c>
      <c r="T13" s="31">
        <v>75.0</v>
      </c>
      <c r="V13" s="31">
        <v>0.0</v>
      </c>
      <c r="X13" s="31">
        <v>0.0</v>
      </c>
      <c r="Z13" s="31">
        <v>0.0</v>
      </c>
      <c r="AB13" s="31">
        <v>0.0</v>
      </c>
      <c r="AC13" s="29"/>
      <c r="AD13" s="33"/>
      <c r="AF13" s="34"/>
      <c r="AH13" s="34"/>
      <c r="AJ13" s="34"/>
      <c r="AL13" s="34"/>
      <c r="AN13" s="34"/>
      <c r="AO13" s="29"/>
      <c r="AP13" s="47">
        <f t="shared" si="1"/>
        <v>1768</v>
      </c>
      <c r="AQ13" s="48">
        <f t="shared" si="2"/>
        <v>130</v>
      </c>
      <c r="AR13" s="41">
        <f t="shared" si="3"/>
        <v>0</v>
      </c>
      <c r="AS13" s="41">
        <f t="shared" si="4"/>
        <v>130</v>
      </c>
      <c r="AT13" s="46">
        <f t="shared" si="5"/>
        <v>13.6</v>
      </c>
      <c r="AU13" s="37"/>
      <c r="AV13" s="37"/>
      <c r="AW13" s="37"/>
      <c r="AX13" s="37"/>
      <c r="AY13" s="37"/>
    </row>
    <row r="14" ht="15.75" customHeight="1">
      <c r="A14" s="39" t="s">
        <v>30</v>
      </c>
      <c r="B14" s="40">
        <f t="shared" si="6"/>
        <v>44574</v>
      </c>
      <c r="C14" s="41">
        <v>1.0</v>
      </c>
      <c r="D14" s="41" t="s">
        <v>33</v>
      </c>
      <c r="E14" s="43" t="s">
        <v>26</v>
      </c>
      <c r="F14" s="30">
        <v>0.0</v>
      </c>
      <c r="H14" s="31">
        <v>0.0</v>
      </c>
      <c r="J14" s="31">
        <v>0.0</v>
      </c>
      <c r="L14" s="31">
        <v>0.0</v>
      </c>
      <c r="N14" s="31">
        <v>0.0</v>
      </c>
      <c r="P14" s="31">
        <v>0.0</v>
      </c>
      <c r="Q14" s="29"/>
      <c r="R14" s="30">
        <v>55.0</v>
      </c>
      <c r="T14" s="31">
        <v>75.0</v>
      </c>
      <c r="V14" s="31">
        <v>0.0</v>
      </c>
      <c r="X14" s="31">
        <v>0.0</v>
      </c>
      <c r="Z14" s="31">
        <v>0.0</v>
      </c>
      <c r="AB14" s="31">
        <v>0.0</v>
      </c>
      <c r="AC14" s="29"/>
      <c r="AD14" s="33"/>
      <c r="AF14" s="34"/>
      <c r="AH14" s="34"/>
      <c r="AJ14" s="34"/>
      <c r="AL14" s="34"/>
      <c r="AN14" s="34"/>
      <c r="AO14" s="29"/>
      <c r="AP14" s="47">
        <f t="shared" si="1"/>
        <v>1768</v>
      </c>
      <c r="AQ14" s="48">
        <f t="shared" si="2"/>
        <v>130</v>
      </c>
      <c r="AR14" s="41">
        <f t="shared" si="3"/>
        <v>0</v>
      </c>
      <c r="AS14" s="41">
        <f t="shared" si="4"/>
        <v>130</v>
      </c>
      <c r="AT14" s="46">
        <f t="shared" si="5"/>
        <v>13.6</v>
      </c>
      <c r="AU14" s="37"/>
      <c r="AV14" s="37"/>
      <c r="AW14" s="37"/>
      <c r="AX14" s="37"/>
      <c r="AY14" s="37"/>
    </row>
    <row r="15" ht="15.75" customHeight="1">
      <c r="A15" s="39" t="s">
        <v>31</v>
      </c>
      <c r="B15" s="40">
        <f t="shared" si="6"/>
        <v>44575</v>
      </c>
      <c r="C15" s="41">
        <v>1.0</v>
      </c>
      <c r="D15" s="41" t="s">
        <v>33</v>
      </c>
      <c r="E15" s="43" t="s">
        <v>26</v>
      </c>
      <c r="F15" s="30">
        <v>0.0</v>
      </c>
      <c r="H15" s="31">
        <v>0.0</v>
      </c>
      <c r="J15" s="31">
        <v>0.0</v>
      </c>
      <c r="L15" s="31">
        <v>0.0</v>
      </c>
      <c r="N15" s="31">
        <v>0.0</v>
      </c>
      <c r="P15" s="31">
        <v>0.0</v>
      </c>
      <c r="Q15" s="29"/>
      <c r="R15" s="30">
        <v>0.0</v>
      </c>
      <c r="T15" s="31">
        <v>0.0</v>
      </c>
      <c r="V15" s="31">
        <v>0.0</v>
      </c>
      <c r="X15" s="31">
        <v>0.0</v>
      </c>
      <c r="Z15" s="31">
        <v>0.0</v>
      </c>
      <c r="AB15" s="31">
        <v>0.0</v>
      </c>
      <c r="AC15" s="29"/>
      <c r="AD15" s="26"/>
      <c r="AF15" s="27"/>
      <c r="AH15" s="27"/>
      <c r="AJ15" s="27"/>
      <c r="AL15" s="27"/>
      <c r="AN15" s="27"/>
      <c r="AO15" s="29"/>
      <c r="AP15" s="47">
        <f t="shared" si="1"/>
        <v>0</v>
      </c>
      <c r="AQ15" s="48">
        <f t="shared" si="2"/>
        <v>0</v>
      </c>
      <c r="AR15" s="41">
        <f t="shared" si="3"/>
        <v>0</v>
      </c>
      <c r="AS15" s="41">
        <f t="shared" si="4"/>
        <v>0</v>
      </c>
      <c r="AT15" s="46" t="str">
        <f t="shared" si="5"/>
        <v/>
      </c>
      <c r="AU15" s="37"/>
      <c r="AV15" s="37"/>
      <c r="AW15" s="37"/>
      <c r="AX15" s="37"/>
      <c r="AY15" s="37"/>
    </row>
    <row r="16" ht="15.75" customHeight="1">
      <c r="A16" s="49" t="s">
        <v>32</v>
      </c>
      <c r="B16" s="50">
        <f t="shared" si="6"/>
        <v>44576</v>
      </c>
      <c r="C16" s="51">
        <v>1.0</v>
      </c>
      <c r="D16" s="51" t="s">
        <v>33</v>
      </c>
      <c r="E16" s="53" t="s">
        <v>26</v>
      </c>
      <c r="F16" s="64">
        <v>0.0</v>
      </c>
      <c r="G16" s="55"/>
      <c r="H16" s="65">
        <v>0.0</v>
      </c>
      <c r="I16" s="55"/>
      <c r="J16" s="65">
        <v>0.0</v>
      </c>
      <c r="K16" s="55"/>
      <c r="L16" s="65">
        <v>0.0</v>
      </c>
      <c r="M16" s="55"/>
      <c r="N16" s="65">
        <v>0.0</v>
      </c>
      <c r="O16" s="55"/>
      <c r="P16" s="65">
        <v>0.0</v>
      </c>
      <c r="Q16" s="58"/>
      <c r="R16" s="64">
        <v>0.0</v>
      </c>
      <c r="S16" s="55"/>
      <c r="T16" s="65">
        <v>0.0</v>
      </c>
      <c r="U16" s="55"/>
      <c r="V16" s="65">
        <v>0.0</v>
      </c>
      <c r="W16" s="55"/>
      <c r="X16" s="65">
        <v>0.0</v>
      </c>
      <c r="Y16" s="55"/>
      <c r="Z16" s="65">
        <v>0.0</v>
      </c>
      <c r="AA16" s="55"/>
      <c r="AB16" s="65">
        <v>0.0</v>
      </c>
      <c r="AC16" s="58"/>
      <c r="AD16" s="54"/>
      <c r="AE16" s="55"/>
      <c r="AF16" s="56"/>
      <c r="AG16" s="55"/>
      <c r="AH16" s="56"/>
      <c r="AI16" s="55"/>
      <c r="AJ16" s="56"/>
      <c r="AK16" s="55"/>
      <c r="AL16" s="56"/>
      <c r="AM16" s="55"/>
      <c r="AN16" s="56"/>
      <c r="AO16" s="58"/>
      <c r="AP16" s="68">
        <f t="shared" si="1"/>
        <v>0</v>
      </c>
      <c r="AQ16" s="69">
        <f t="shared" si="2"/>
        <v>0</v>
      </c>
      <c r="AR16" s="51">
        <f t="shared" si="3"/>
        <v>0</v>
      </c>
      <c r="AS16" s="51">
        <f t="shared" si="4"/>
        <v>0</v>
      </c>
      <c r="AT16" s="61" t="str">
        <f t="shared" si="5"/>
        <v/>
      </c>
      <c r="AU16" s="37">
        <f>sum(AP10:AP16)</f>
        <v>8840</v>
      </c>
      <c r="AV16" s="37"/>
      <c r="AW16" s="37"/>
      <c r="AX16" s="37"/>
      <c r="AY16" s="37"/>
    </row>
    <row r="17" ht="15.75" customHeight="1">
      <c r="A17" s="21" t="s">
        <v>24</v>
      </c>
      <c r="B17" s="62">
        <f t="shared" si="6"/>
        <v>44577</v>
      </c>
      <c r="C17" s="23">
        <v>1.0</v>
      </c>
      <c r="D17" s="23" t="s">
        <v>34</v>
      </c>
      <c r="E17" s="63" t="s">
        <v>26</v>
      </c>
      <c r="F17" s="30">
        <v>0.0</v>
      </c>
      <c r="H17" s="31">
        <v>0.0</v>
      </c>
      <c r="J17" s="31">
        <v>0.0</v>
      </c>
      <c r="L17" s="31">
        <v>0.0</v>
      </c>
      <c r="N17" s="31">
        <v>0.0</v>
      </c>
      <c r="P17" s="31">
        <v>0.0</v>
      </c>
      <c r="Q17" s="29"/>
      <c r="R17" s="30">
        <v>125.0</v>
      </c>
      <c r="T17" s="31">
        <v>125.0</v>
      </c>
      <c r="V17" s="31">
        <v>0.0</v>
      </c>
      <c r="X17" s="31">
        <v>0.0</v>
      </c>
      <c r="Z17" s="31">
        <v>0.0</v>
      </c>
      <c r="AB17" s="31">
        <v>0.0</v>
      </c>
      <c r="AC17" s="29"/>
      <c r="AD17" s="26"/>
      <c r="AF17" s="27"/>
      <c r="AH17" s="27"/>
      <c r="AJ17" s="27"/>
      <c r="AL17" s="27"/>
      <c r="AN17" s="27"/>
      <c r="AO17" s="29"/>
      <c r="AP17" s="38">
        <f t="shared" si="1"/>
        <v>3400</v>
      </c>
      <c r="AQ17" s="44">
        <f t="shared" si="2"/>
        <v>250</v>
      </c>
      <c r="AR17" s="23">
        <f t="shared" si="3"/>
        <v>0</v>
      </c>
      <c r="AS17" s="23">
        <f t="shared" si="4"/>
        <v>250</v>
      </c>
      <c r="AT17" s="36">
        <f t="shared" si="5"/>
        <v>13.6</v>
      </c>
      <c r="AU17" s="37"/>
      <c r="AV17" s="37"/>
      <c r="AW17" s="37"/>
      <c r="AX17" s="37"/>
      <c r="AY17" s="37"/>
    </row>
    <row r="18" ht="15.75" customHeight="1">
      <c r="A18" s="39" t="s">
        <v>27</v>
      </c>
      <c r="B18" s="40">
        <f t="shared" si="6"/>
        <v>44578</v>
      </c>
      <c r="C18" s="41">
        <v>1.0</v>
      </c>
      <c r="D18" s="41" t="s">
        <v>34</v>
      </c>
      <c r="E18" s="43" t="s">
        <v>26</v>
      </c>
      <c r="F18" s="30">
        <v>0.0</v>
      </c>
      <c r="H18" s="31">
        <v>0.0</v>
      </c>
      <c r="J18" s="31">
        <v>0.0</v>
      </c>
      <c r="L18" s="31">
        <v>0.0</v>
      </c>
      <c r="N18" s="31">
        <v>0.0</v>
      </c>
      <c r="P18" s="31">
        <v>0.0</v>
      </c>
      <c r="Q18" s="29"/>
      <c r="R18" s="30">
        <v>135.0</v>
      </c>
      <c r="T18" s="31">
        <v>135.0</v>
      </c>
      <c r="V18" s="31">
        <v>0.0</v>
      </c>
      <c r="X18" s="31">
        <v>0.0</v>
      </c>
      <c r="Z18" s="31">
        <v>0.0</v>
      </c>
      <c r="AB18" s="31">
        <v>0.0</v>
      </c>
      <c r="AC18" s="29"/>
      <c r="AD18" s="33"/>
      <c r="AF18" s="34"/>
      <c r="AH18" s="34"/>
      <c r="AJ18" s="34"/>
      <c r="AL18" s="34"/>
      <c r="AN18" s="34"/>
      <c r="AO18" s="29"/>
      <c r="AP18" s="47">
        <f t="shared" si="1"/>
        <v>3672</v>
      </c>
      <c r="AQ18" s="48">
        <f t="shared" si="2"/>
        <v>270</v>
      </c>
      <c r="AR18" s="41">
        <f t="shared" si="3"/>
        <v>0</v>
      </c>
      <c r="AS18" s="41">
        <f t="shared" si="4"/>
        <v>270</v>
      </c>
      <c r="AT18" s="46">
        <f t="shared" si="5"/>
        <v>13.6</v>
      </c>
      <c r="AU18" s="70"/>
      <c r="AV18" s="37"/>
      <c r="AW18" s="37"/>
      <c r="AX18" s="37"/>
      <c r="AY18" s="37"/>
    </row>
    <row r="19" ht="15.75" customHeight="1">
      <c r="A19" s="39" t="s">
        <v>28</v>
      </c>
      <c r="B19" s="40">
        <f t="shared" si="6"/>
        <v>44579</v>
      </c>
      <c r="C19" s="41">
        <v>1.0</v>
      </c>
      <c r="D19" s="41" t="s">
        <v>34</v>
      </c>
      <c r="E19" s="43" t="s">
        <v>26</v>
      </c>
      <c r="F19" s="30">
        <v>0.0</v>
      </c>
      <c r="H19" s="31">
        <v>0.0</v>
      </c>
      <c r="J19" s="31">
        <v>0.0</v>
      </c>
      <c r="L19" s="31">
        <v>0.0</v>
      </c>
      <c r="N19" s="31">
        <v>0.0</v>
      </c>
      <c r="P19" s="31">
        <v>0.0</v>
      </c>
      <c r="Q19" s="29"/>
      <c r="R19" s="30">
        <v>150.0</v>
      </c>
      <c r="T19" s="31">
        <v>150.0</v>
      </c>
      <c r="V19" s="31">
        <v>0.0</v>
      </c>
      <c r="X19" s="31">
        <v>0.0</v>
      </c>
      <c r="Z19" s="31">
        <v>0.0</v>
      </c>
      <c r="AB19" s="31">
        <v>0.0</v>
      </c>
      <c r="AC19" s="29"/>
      <c r="AD19" s="26"/>
      <c r="AF19" s="27"/>
      <c r="AH19" s="27"/>
      <c r="AJ19" s="27"/>
      <c r="AL19" s="27"/>
      <c r="AN19" s="27"/>
      <c r="AO19" s="29"/>
      <c r="AP19" s="47">
        <f t="shared" si="1"/>
        <v>4080</v>
      </c>
      <c r="AQ19" s="48">
        <f t="shared" si="2"/>
        <v>300</v>
      </c>
      <c r="AR19" s="41">
        <f t="shared" si="3"/>
        <v>0</v>
      </c>
      <c r="AS19" s="41">
        <f t="shared" si="4"/>
        <v>300</v>
      </c>
      <c r="AT19" s="46">
        <f t="shared" si="5"/>
        <v>13.6</v>
      </c>
      <c r="AU19" s="37"/>
      <c r="AV19" s="37"/>
      <c r="AW19" s="37"/>
      <c r="AX19" s="37"/>
      <c r="AY19" s="37"/>
    </row>
    <row r="20" ht="15.75" customHeight="1">
      <c r="A20" s="39" t="s">
        <v>29</v>
      </c>
      <c r="B20" s="40">
        <f t="shared" si="6"/>
        <v>44580</v>
      </c>
      <c r="C20" s="41">
        <v>1.0</v>
      </c>
      <c r="D20" s="41" t="s">
        <v>34</v>
      </c>
      <c r="E20" s="43" t="s">
        <v>26</v>
      </c>
      <c r="F20" s="30">
        <v>0.0</v>
      </c>
      <c r="H20" s="31">
        <v>0.0</v>
      </c>
      <c r="J20" s="31">
        <v>0.0</v>
      </c>
      <c r="L20" s="31">
        <v>0.0</v>
      </c>
      <c r="N20" s="31">
        <v>0.0</v>
      </c>
      <c r="P20" s="31">
        <v>0.0</v>
      </c>
      <c r="Q20" s="29"/>
      <c r="R20" s="30">
        <v>150.0</v>
      </c>
      <c r="T20" s="31">
        <v>150.0</v>
      </c>
      <c r="V20" s="31">
        <v>0.0</v>
      </c>
      <c r="X20" s="31">
        <v>0.0</v>
      </c>
      <c r="Z20" s="31">
        <v>0.0</v>
      </c>
      <c r="AB20" s="31">
        <v>0.0</v>
      </c>
      <c r="AC20" s="29"/>
      <c r="AD20" s="33"/>
      <c r="AF20" s="34"/>
      <c r="AH20" s="34"/>
      <c r="AJ20" s="34"/>
      <c r="AL20" s="34"/>
      <c r="AN20" s="34"/>
      <c r="AO20" s="29"/>
      <c r="AP20" s="47">
        <f t="shared" si="1"/>
        <v>4080</v>
      </c>
      <c r="AQ20" s="48">
        <f t="shared" si="2"/>
        <v>300</v>
      </c>
      <c r="AR20" s="41">
        <f t="shared" si="3"/>
        <v>0</v>
      </c>
      <c r="AS20" s="41">
        <f t="shared" si="4"/>
        <v>300</v>
      </c>
      <c r="AT20" s="46">
        <f t="shared" si="5"/>
        <v>13.6</v>
      </c>
      <c r="AU20" s="37"/>
      <c r="AV20" s="37"/>
      <c r="AW20" s="37"/>
      <c r="AX20" s="37"/>
      <c r="AY20" s="37"/>
    </row>
    <row r="21" ht="15.75" customHeight="1">
      <c r="A21" s="39" t="s">
        <v>30</v>
      </c>
      <c r="B21" s="40">
        <f t="shared" si="6"/>
        <v>44581</v>
      </c>
      <c r="C21" s="41">
        <v>1.0</v>
      </c>
      <c r="D21" s="41" t="s">
        <v>34</v>
      </c>
      <c r="E21" s="43" t="s">
        <v>26</v>
      </c>
      <c r="F21" s="30">
        <v>0.0</v>
      </c>
      <c r="H21" s="31">
        <v>0.0</v>
      </c>
      <c r="J21" s="31">
        <v>0.0</v>
      </c>
      <c r="L21" s="31">
        <v>0.0</v>
      </c>
      <c r="N21" s="31">
        <v>0.0</v>
      </c>
      <c r="P21" s="31">
        <v>0.0</v>
      </c>
      <c r="Q21" s="29"/>
      <c r="R21" s="30">
        <v>150.0</v>
      </c>
      <c r="T21" s="31">
        <v>150.0</v>
      </c>
      <c r="V21" s="31">
        <v>0.0</v>
      </c>
      <c r="X21" s="31">
        <v>0.0</v>
      </c>
      <c r="Z21" s="31">
        <v>0.0</v>
      </c>
      <c r="AB21" s="31">
        <v>0.0</v>
      </c>
      <c r="AC21" s="29"/>
      <c r="AD21" s="33"/>
      <c r="AF21" s="34"/>
      <c r="AH21" s="34"/>
      <c r="AJ21" s="34"/>
      <c r="AL21" s="34"/>
      <c r="AN21" s="34"/>
      <c r="AO21" s="29"/>
      <c r="AP21" s="47">
        <f t="shared" si="1"/>
        <v>4080</v>
      </c>
      <c r="AQ21" s="48">
        <f t="shared" si="2"/>
        <v>300</v>
      </c>
      <c r="AR21" s="41">
        <f t="shared" si="3"/>
        <v>0</v>
      </c>
      <c r="AS21" s="41">
        <f t="shared" si="4"/>
        <v>300</v>
      </c>
      <c r="AT21" s="46">
        <f t="shared" si="5"/>
        <v>13.6</v>
      </c>
      <c r="AU21" s="37"/>
      <c r="AV21" s="37"/>
      <c r="AW21" s="37"/>
      <c r="AX21" s="37"/>
      <c r="AY21" s="37"/>
    </row>
    <row r="22" ht="15.75" customHeight="1">
      <c r="A22" s="39" t="s">
        <v>31</v>
      </c>
      <c r="B22" s="40">
        <f t="shared" si="6"/>
        <v>44582</v>
      </c>
      <c r="C22" s="41">
        <v>1.0</v>
      </c>
      <c r="D22" s="41" t="s">
        <v>34</v>
      </c>
      <c r="E22" s="43" t="s">
        <v>26</v>
      </c>
      <c r="F22" s="30">
        <v>0.0</v>
      </c>
      <c r="H22" s="31">
        <v>0.0</v>
      </c>
      <c r="J22" s="31">
        <v>0.0</v>
      </c>
      <c r="L22" s="31">
        <v>0.0</v>
      </c>
      <c r="N22" s="31">
        <v>0.0</v>
      </c>
      <c r="P22" s="31">
        <v>0.0</v>
      </c>
      <c r="Q22" s="29"/>
      <c r="R22" s="30">
        <v>0.0</v>
      </c>
      <c r="T22" s="31">
        <v>0.0</v>
      </c>
      <c r="V22" s="31">
        <v>0.0</v>
      </c>
      <c r="X22" s="31">
        <v>0.0</v>
      </c>
      <c r="Z22" s="31">
        <v>0.0</v>
      </c>
      <c r="AB22" s="31">
        <v>0.0</v>
      </c>
      <c r="AC22" s="29"/>
      <c r="AD22" s="33"/>
      <c r="AF22" s="34"/>
      <c r="AH22" s="34"/>
      <c r="AJ22" s="34"/>
      <c r="AL22" s="34"/>
      <c r="AN22" s="34"/>
      <c r="AO22" s="29"/>
      <c r="AP22" s="71">
        <v>0.0</v>
      </c>
      <c r="AQ22" s="48">
        <f t="shared" si="2"/>
        <v>0</v>
      </c>
      <c r="AR22" s="41">
        <f t="shared" si="3"/>
        <v>0</v>
      </c>
      <c r="AS22" s="41">
        <f t="shared" si="4"/>
        <v>0</v>
      </c>
      <c r="AT22" s="46" t="str">
        <f t="shared" si="5"/>
        <v/>
      </c>
      <c r="AU22" s="37"/>
      <c r="AV22" s="37"/>
      <c r="AW22" s="37"/>
      <c r="AX22" s="37"/>
      <c r="AY22" s="37"/>
    </row>
    <row r="23" ht="15.75" customHeight="1">
      <c r="A23" s="49" t="s">
        <v>32</v>
      </c>
      <c r="B23" s="50">
        <f t="shared" si="6"/>
        <v>44583</v>
      </c>
      <c r="C23" s="51">
        <v>1.0</v>
      </c>
      <c r="D23" s="51" t="s">
        <v>34</v>
      </c>
      <c r="E23" s="53" t="s">
        <v>26</v>
      </c>
      <c r="F23" s="64">
        <v>0.0</v>
      </c>
      <c r="G23" s="55"/>
      <c r="H23" s="65">
        <v>0.0</v>
      </c>
      <c r="I23" s="55"/>
      <c r="J23" s="65">
        <v>0.0</v>
      </c>
      <c r="K23" s="55"/>
      <c r="L23" s="65">
        <v>0.0</v>
      </c>
      <c r="M23" s="55"/>
      <c r="N23" s="65">
        <v>0.0</v>
      </c>
      <c r="O23" s="55"/>
      <c r="P23" s="65">
        <v>0.0</v>
      </c>
      <c r="Q23" s="58"/>
      <c r="R23" s="64">
        <v>0.0</v>
      </c>
      <c r="S23" s="55"/>
      <c r="T23" s="65">
        <v>0.0</v>
      </c>
      <c r="U23" s="55"/>
      <c r="V23" s="65">
        <v>0.0</v>
      </c>
      <c r="W23" s="55"/>
      <c r="X23" s="65">
        <v>0.0</v>
      </c>
      <c r="Y23" s="55"/>
      <c r="Z23" s="65">
        <v>0.0</v>
      </c>
      <c r="AA23" s="55"/>
      <c r="AB23" s="65">
        <v>0.0</v>
      </c>
      <c r="AC23" s="58"/>
      <c r="AD23" s="66"/>
      <c r="AE23" s="55"/>
      <c r="AF23" s="67"/>
      <c r="AG23" s="55"/>
      <c r="AH23" s="67"/>
      <c r="AI23" s="55"/>
      <c r="AJ23" s="67"/>
      <c r="AK23" s="55"/>
      <c r="AL23" s="67"/>
      <c r="AM23" s="55"/>
      <c r="AN23" s="67"/>
      <c r="AO23" s="58"/>
      <c r="AP23" s="68">
        <f t="shared" ref="AP23:AP359" si="7">(F23*G$2)+(H23*I$2)+(J23*K$2)+(L23*M$2)+(N23*O$2)+(P23*Q$2)+(R23*S$2)+(T23*U$2)+(V23*W$2)+(X23*Y$2)+(Z23*AA$2)+(AB23*AC$2)+(AD23*AE$2)+(AF23*AG$2)+(AH23*AI$2)+(AJ23*AK$2)+(AL23*AM$2)+(AN23*AO$2)</f>
        <v>0</v>
      </c>
      <c r="AQ23" s="69">
        <f t="shared" si="2"/>
        <v>0</v>
      </c>
      <c r="AR23" s="51">
        <f t="shared" si="3"/>
        <v>0</v>
      </c>
      <c r="AS23" s="51">
        <f t="shared" si="4"/>
        <v>0</v>
      </c>
      <c r="AT23" s="61" t="str">
        <f t="shared" si="5"/>
        <v/>
      </c>
      <c r="AU23" s="37">
        <f>sum(AP17:AP23)</f>
        <v>19312</v>
      </c>
      <c r="AV23" s="37"/>
      <c r="AW23" s="37"/>
      <c r="AX23" s="37"/>
      <c r="AY23" s="37"/>
    </row>
    <row r="24" ht="15.75" customHeight="1">
      <c r="A24" s="21" t="s">
        <v>24</v>
      </c>
      <c r="B24" s="62">
        <f t="shared" si="6"/>
        <v>44584</v>
      </c>
      <c r="C24" s="23">
        <v>1.0</v>
      </c>
      <c r="D24" s="23" t="s">
        <v>35</v>
      </c>
      <c r="E24" s="63" t="s">
        <v>26</v>
      </c>
      <c r="F24" s="30">
        <v>0.0</v>
      </c>
      <c r="H24" s="31">
        <v>0.0</v>
      </c>
      <c r="J24" s="31">
        <v>0.0</v>
      </c>
      <c r="L24" s="31">
        <v>0.0</v>
      </c>
      <c r="N24" s="31">
        <v>0.0</v>
      </c>
      <c r="P24" s="31">
        <v>0.0</v>
      </c>
      <c r="Q24" s="29"/>
      <c r="R24" s="30">
        <v>125.0</v>
      </c>
      <c r="T24" s="31">
        <v>125.0</v>
      </c>
      <c r="V24" s="31">
        <v>0.0</v>
      </c>
      <c r="X24" s="31">
        <v>0.0</v>
      </c>
      <c r="Z24" s="31">
        <v>0.0</v>
      </c>
      <c r="AB24" s="31">
        <v>0.0</v>
      </c>
      <c r="AC24" s="29"/>
      <c r="AD24" s="33"/>
      <c r="AF24" s="34"/>
      <c r="AH24" s="34"/>
      <c r="AJ24" s="34"/>
      <c r="AL24" s="34"/>
      <c r="AN24" s="34"/>
      <c r="AO24" s="29"/>
      <c r="AP24" s="38">
        <f t="shared" si="7"/>
        <v>3400</v>
      </c>
      <c r="AQ24" s="44">
        <f t="shared" si="2"/>
        <v>250</v>
      </c>
      <c r="AR24" s="23">
        <f t="shared" si="3"/>
        <v>0</v>
      </c>
      <c r="AS24" s="23">
        <f t="shared" si="4"/>
        <v>250</v>
      </c>
      <c r="AT24" s="36">
        <f t="shared" si="5"/>
        <v>13.6</v>
      </c>
      <c r="AU24" s="37"/>
      <c r="AV24" s="37">
        <f>sum(AP24:AP30)/0.8</f>
        <v>19550</v>
      </c>
      <c r="AW24" s="37"/>
      <c r="AX24" s="37"/>
      <c r="AY24" s="37"/>
    </row>
    <row r="25" ht="15.75" customHeight="1">
      <c r="A25" s="39" t="s">
        <v>27</v>
      </c>
      <c r="B25" s="40">
        <f t="shared" si="6"/>
        <v>44585</v>
      </c>
      <c r="C25" s="41">
        <v>1.0</v>
      </c>
      <c r="D25" s="41" t="s">
        <v>35</v>
      </c>
      <c r="E25" s="43" t="s">
        <v>26</v>
      </c>
      <c r="F25" s="30">
        <v>0.0</v>
      </c>
      <c r="H25" s="31">
        <v>0.0</v>
      </c>
      <c r="J25" s="31">
        <v>0.0</v>
      </c>
      <c r="L25" s="31">
        <v>0.0</v>
      </c>
      <c r="N25" s="31">
        <v>0.0</v>
      </c>
      <c r="P25" s="31">
        <v>0.0</v>
      </c>
      <c r="Q25" s="29"/>
      <c r="R25" s="30">
        <v>100.0</v>
      </c>
      <c r="T25" s="31">
        <v>100.0</v>
      </c>
      <c r="V25" s="31">
        <v>0.0</v>
      </c>
      <c r="X25" s="31">
        <v>0.0</v>
      </c>
      <c r="Z25" s="31">
        <v>0.0</v>
      </c>
      <c r="AB25" s="31">
        <v>0.0</v>
      </c>
      <c r="AC25" s="29"/>
      <c r="AD25" s="33"/>
      <c r="AF25" s="34"/>
      <c r="AH25" s="34"/>
      <c r="AJ25" s="34"/>
      <c r="AL25" s="34"/>
      <c r="AN25" s="34"/>
      <c r="AO25" s="29"/>
      <c r="AP25" s="47">
        <f t="shared" si="7"/>
        <v>2720</v>
      </c>
      <c r="AQ25" s="48">
        <f t="shared" si="2"/>
        <v>200</v>
      </c>
      <c r="AR25" s="41">
        <f t="shared" si="3"/>
        <v>0</v>
      </c>
      <c r="AS25" s="41">
        <f t="shared" si="4"/>
        <v>200</v>
      </c>
      <c r="AT25" s="46">
        <f t="shared" si="5"/>
        <v>13.6</v>
      </c>
      <c r="AU25" s="37"/>
      <c r="AV25" s="37">
        <f>AV24*0.24</f>
        <v>4692</v>
      </c>
      <c r="AW25" s="70" t="s">
        <v>36</v>
      </c>
      <c r="AX25" s="37"/>
      <c r="AY25" s="37"/>
    </row>
    <row r="26" ht="15.75" customHeight="1">
      <c r="A26" s="39" t="s">
        <v>28</v>
      </c>
      <c r="B26" s="40">
        <f t="shared" si="6"/>
        <v>44586</v>
      </c>
      <c r="C26" s="41">
        <v>1.0</v>
      </c>
      <c r="D26" s="41" t="s">
        <v>35</v>
      </c>
      <c r="E26" s="43" t="s">
        <v>26</v>
      </c>
      <c r="F26" s="30">
        <v>0.0</v>
      </c>
      <c r="H26" s="31">
        <v>0.0</v>
      </c>
      <c r="J26" s="31">
        <v>0.0</v>
      </c>
      <c r="L26" s="31">
        <v>0.0</v>
      </c>
      <c r="N26" s="31">
        <v>0.0</v>
      </c>
      <c r="P26" s="31">
        <v>0.0</v>
      </c>
      <c r="Q26" s="29"/>
      <c r="R26" s="30">
        <v>100.0</v>
      </c>
      <c r="T26" s="31">
        <v>100.0</v>
      </c>
      <c r="V26" s="31">
        <v>0.0</v>
      </c>
      <c r="X26" s="31">
        <v>0.0</v>
      </c>
      <c r="Z26" s="31">
        <v>0.0</v>
      </c>
      <c r="AB26" s="31">
        <v>0.0</v>
      </c>
      <c r="AC26" s="29"/>
      <c r="AD26" s="33"/>
      <c r="AF26" s="34"/>
      <c r="AH26" s="34"/>
      <c r="AJ26" s="34"/>
      <c r="AL26" s="34"/>
      <c r="AN26" s="34"/>
      <c r="AO26" s="29"/>
      <c r="AP26" s="47">
        <f t="shared" si="7"/>
        <v>2720</v>
      </c>
      <c r="AQ26" s="48">
        <f t="shared" si="2"/>
        <v>200</v>
      </c>
      <c r="AR26" s="41">
        <f t="shared" si="3"/>
        <v>0</v>
      </c>
      <c r="AS26" s="41">
        <f t="shared" si="4"/>
        <v>200</v>
      </c>
      <c r="AT26" s="46">
        <f t="shared" si="5"/>
        <v>13.6</v>
      </c>
      <c r="AU26" s="37"/>
      <c r="AV26" s="37">
        <f>AV24*0.15</f>
        <v>2932.5</v>
      </c>
      <c r="AW26" s="70" t="s">
        <v>38</v>
      </c>
      <c r="AX26" s="37"/>
      <c r="AY26" s="37"/>
    </row>
    <row r="27" ht="15.75" customHeight="1">
      <c r="A27" s="39" t="s">
        <v>29</v>
      </c>
      <c r="B27" s="40">
        <f t="shared" si="6"/>
        <v>44587</v>
      </c>
      <c r="C27" s="41">
        <v>1.0</v>
      </c>
      <c r="D27" s="41" t="s">
        <v>35</v>
      </c>
      <c r="E27" s="43" t="s">
        <v>26</v>
      </c>
      <c r="F27" s="30">
        <v>0.0</v>
      </c>
      <c r="H27" s="31">
        <v>0.0</v>
      </c>
      <c r="J27" s="31">
        <v>0.0</v>
      </c>
      <c r="L27" s="31">
        <v>0.0</v>
      </c>
      <c r="N27" s="31">
        <v>0.0</v>
      </c>
      <c r="P27" s="31">
        <v>0.0</v>
      </c>
      <c r="Q27" s="29"/>
      <c r="R27" s="30">
        <v>100.0</v>
      </c>
      <c r="T27" s="31">
        <v>100.0</v>
      </c>
      <c r="V27" s="31">
        <v>0.0</v>
      </c>
      <c r="X27" s="31">
        <v>0.0</v>
      </c>
      <c r="Z27" s="31">
        <v>0.0</v>
      </c>
      <c r="AB27" s="31">
        <v>0.0</v>
      </c>
      <c r="AC27" s="29"/>
      <c r="AD27" s="33"/>
      <c r="AF27" s="34"/>
      <c r="AH27" s="34"/>
      <c r="AJ27" s="34"/>
      <c r="AL27" s="34"/>
      <c r="AN27" s="34"/>
      <c r="AO27" s="29"/>
      <c r="AP27" s="47">
        <f t="shared" si="7"/>
        <v>2720</v>
      </c>
      <c r="AQ27" s="48">
        <f t="shared" si="2"/>
        <v>200</v>
      </c>
      <c r="AR27" s="41">
        <f t="shared" si="3"/>
        <v>0</v>
      </c>
      <c r="AS27" s="41">
        <f t="shared" si="4"/>
        <v>200</v>
      </c>
      <c r="AT27" s="46">
        <f t="shared" si="5"/>
        <v>13.6</v>
      </c>
      <c r="AU27" s="37"/>
      <c r="AV27" s="37"/>
      <c r="AW27" s="37"/>
      <c r="AX27" s="37"/>
      <c r="AY27" s="37"/>
    </row>
    <row r="28" ht="15.75" customHeight="1">
      <c r="A28" s="39" t="s">
        <v>30</v>
      </c>
      <c r="B28" s="40">
        <f t="shared" si="6"/>
        <v>44588</v>
      </c>
      <c r="C28" s="41">
        <v>1.0</v>
      </c>
      <c r="D28" s="41" t="s">
        <v>35</v>
      </c>
      <c r="E28" s="43" t="s">
        <v>26</v>
      </c>
      <c r="F28" s="30">
        <v>0.0</v>
      </c>
      <c r="H28" s="31">
        <v>0.0</v>
      </c>
      <c r="J28" s="31">
        <v>0.0</v>
      </c>
      <c r="L28" s="31">
        <v>0.0</v>
      </c>
      <c r="N28" s="31">
        <v>0.0</v>
      </c>
      <c r="P28" s="31">
        <v>0.0</v>
      </c>
      <c r="Q28" s="29"/>
      <c r="R28" s="30">
        <v>100.0</v>
      </c>
      <c r="T28" s="31">
        <v>100.0</v>
      </c>
      <c r="V28" s="31">
        <v>0.0</v>
      </c>
      <c r="X28" s="31">
        <v>0.0</v>
      </c>
      <c r="Z28" s="31">
        <v>0.0</v>
      </c>
      <c r="AB28" s="31">
        <v>0.0</v>
      </c>
      <c r="AC28" s="29"/>
      <c r="AD28" s="33"/>
      <c r="AF28" s="34"/>
      <c r="AH28" s="34"/>
      <c r="AJ28" s="34"/>
      <c r="AL28" s="34"/>
      <c r="AN28" s="34"/>
      <c r="AO28" s="29"/>
      <c r="AP28" s="47">
        <f t="shared" si="7"/>
        <v>2720</v>
      </c>
      <c r="AQ28" s="48">
        <f t="shared" si="2"/>
        <v>200</v>
      </c>
      <c r="AR28" s="41">
        <f t="shared" si="3"/>
        <v>0</v>
      </c>
      <c r="AS28" s="41">
        <f t="shared" si="4"/>
        <v>200</v>
      </c>
      <c r="AT28" s="46">
        <f t="shared" si="5"/>
        <v>13.6</v>
      </c>
      <c r="AU28" s="37"/>
      <c r="AV28" s="37"/>
      <c r="AW28" s="37"/>
      <c r="AX28" s="37"/>
      <c r="AY28" s="37"/>
    </row>
    <row r="29" ht="15.75" customHeight="1">
      <c r="A29" s="39" t="s">
        <v>31</v>
      </c>
      <c r="B29" s="40">
        <f t="shared" si="6"/>
        <v>44589</v>
      </c>
      <c r="C29" s="41">
        <v>1.0</v>
      </c>
      <c r="D29" s="41" t="s">
        <v>35</v>
      </c>
      <c r="E29" s="43" t="s">
        <v>26</v>
      </c>
      <c r="F29" s="30">
        <v>0.0</v>
      </c>
      <c r="H29" s="31">
        <v>0.0</v>
      </c>
      <c r="J29" s="31">
        <v>0.0</v>
      </c>
      <c r="L29" s="31">
        <v>0.0</v>
      </c>
      <c r="N29" s="31">
        <v>0.0</v>
      </c>
      <c r="P29" s="31">
        <v>0.0</v>
      </c>
      <c r="Q29" s="29"/>
      <c r="R29" s="30">
        <v>50.0</v>
      </c>
      <c r="T29" s="31">
        <v>50.0</v>
      </c>
      <c r="V29" s="31">
        <v>0.0</v>
      </c>
      <c r="X29" s="31">
        <v>0.0</v>
      </c>
      <c r="Z29" s="31">
        <v>0.0</v>
      </c>
      <c r="AB29" s="31">
        <v>0.0</v>
      </c>
      <c r="AC29" s="29"/>
      <c r="AD29" s="33"/>
      <c r="AF29" s="34"/>
      <c r="AH29" s="34"/>
      <c r="AJ29" s="34"/>
      <c r="AL29" s="34"/>
      <c r="AN29" s="34"/>
      <c r="AO29" s="29"/>
      <c r="AP29" s="47">
        <f t="shared" si="7"/>
        <v>1360</v>
      </c>
      <c r="AQ29" s="48">
        <f t="shared" si="2"/>
        <v>100</v>
      </c>
      <c r="AR29" s="41">
        <f t="shared" si="3"/>
        <v>0</v>
      </c>
      <c r="AS29" s="41">
        <f t="shared" si="4"/>
        <v>100</v>
      </c>
      <c r="AT29" s="46">
        <f t="shared" si="5"/>
        <v>13.6</v>
      </c>
      <c r="AU29" s="37"/>
      <c r="AV29" s="37"/>
      <c r="AW29" s="37"/>
      <c r="AX29" s="37"/>
      <c r="AY29" s="37"/>
    </row>
    <row r="30" ht="15.75" customHeight="1">
      <c r="A30" s="49" t="s">
        <v>32</v>
      </c>
      <c r="B30" s="50">
        <f t="shared" si="6"/>
        <v>44590</v>
      </c>
      <c r="C30" s="51">
        <v>1.0</v>
      </c>
      <c r="D30" s="51" t="s">
        <v>35</v>
      </c>
      <c r="E30" s="53" t="s">
        <v>26</v>
      </c>
      <c r="F30" s="64">
        <v>0.0</v>
      </c>
      <c r="G30" s="55"/>
      <c r="H30" s="65">
        <v>0.0</v>
      </c>
      <c r="I30" s="55"/>
      <c r="J30" s="65">
        <v>0.0</v>
      </c>
      <c r="K30" s="55"/>
      <c r="L30" s="65">
        <v>0.0</v>
      </c>
      <c r="M30" s="55"/>
      <c r="N30" s="65">
        <v>0.0</v>
      </c>
      <c r="O30" s="55"/>
      <c r="P30" s="65">
        <v>0.0</v>
      </c>
      <c r="Q30" s="58"/>
      <c r="R30" s="64">
        <v>0.0</v>
      </c>
      <c r="S30" s="55"/>
      <c r="T30" s="65">
        <v>0.0</v>
      </c>
      <c r="U30" s="55"/>
      <c r="V30" s="65">
        <v>0.0</v>
      </c>
      <c r="W30" s="55"/>
      <c r="X30" s="65">
        <v>0.0</v>
      </c>
      <c r="Y30" s="55"/>
      <c r="Z30" s="65">
        <v>0.0</v>
      </c>
      <c r="AA30" s="55"/>
      <c r="AB30" s="65">
        <v>0.0</v>
      </c>
      <c r="AC30" s="58"/>
      <c r="AD30" s="66"/>
      <c r="AE30" s="55"/>
      <c r="AF30" s="67"/>
      <c r="AG30" s="55"/>
      <c r="AH30" s="67"/>
      <c r="AI30" s="55"/>
      <c r="AJ30" s="67"/>
      <c r="AK30" s="55"/>
      <c r="AL30" s="67"/>
      <c r="AM30" s="55"/>
      <c r="AN30" s="67"/>
      <c r="AO30" s="58"/>
      <c r="AP30" s="68">
        <f t="shared" si="7"/>
        <v>0</v>
      </c>
      <c r="AQ30" s="69">
        <f t="shared" si="2"/>
        <v>0</v>
      </c>
      <c r="AR30" s="51">
        <f t="shared" si="3"/>
        <v>0</v>
      </c>
      <c r="AS30" s="51">
        <f t="shared" si="4"/>
        <v>0</v>
      </c>
      <c r="AT30" s="61" t="str">
        <f t="shared" si="5"/>
        <v/>
      </c>
      <c r="AU30" s="37">
        <f>sum(AP24:AP30)</f>
        <v>15640</v>
      </c>
      <c r="AV30" s="37"/>
      <c r="AW30" s="37"/>
      <c r="AX30" s="37"/>
      <c r="AY30" s="37"/>
    </row>
    <row r="31" ht="15.75" customHeight="1">
      <c r="A31" s="21" t="s">
        <v>24</v>
      </c>
      <c r="B31" s="62">
        <f t="shared" si="6"/>
        <v>44591</v>
      </c>
      <c r="C31" s="23">
        <v>2.0</v>
      </c>
      <c r="D31" s="23" t="s">
        <v>25</v>
      </c>
      <c r="E31" s="63" t="s">
        <v>26</v>
      </c>
      <c r="F31" s="30">
        <v>0.0</v>
      </c>
      <c r="H31" s="31">
        <v>0.0</v>
      </c>
      <c r="J31" s="31">
        <v>0.0</v>
      </c>
      <c r="L31" s="31">
        <v>0.0</v>
      </c>
      <c r="N31" s="31">
        <v>0.0</v>
      </c>
      <c r="P31" s="31">
        <v>0.0</v>
      </c>
      <c r="Q31" s="29"/>
      <c r="R31" s="30">
        <v>100.0</v>
      </c>
      <c r="T31" s="31">
        <v>100.0</v>
      </c>
      <c r="V31" s="31">
        <v>0.0</v>
      </c>
      <c r="X31" s="31">
        <v>0.0</v>
      </c>
      <c r="Z31" s="31">
        <v>0.0</v>
      </c>
      <c r="AB31" s="31">
        <v>0.0</v>
      </c>
      <c r="AC31" s="29"/>
      <c r="AD31" s="33"/>
      <c r="AF31" s="34"/>
      <c r="AH31" s="34"/>
      <c r="AJ31" s="34"/>
      <c r="AL31" s="34"/>
      <c r="AN31" s="34"/>
      <c r="AO31" s="29"/>
      <c r="AP31" s="38">
        <f t="shared" si="7"/>
        <v>2720</v>
      </c>
      <c r="AQ31" s="44">
        <f t="shared" si="2"/>
        <v>200</v>
      </c>
      <c r="AR31" s="23">
        <f t="shared" si="3"/>
        <v>0</v>
      </c>
      <c r="AS31" s="23">
        <f t="shared" si="4"/>
        <v>200</v>
      </c>
      <c r="AT31" s="36">
        <f t="shared" si="5"/>
        <v>13.6</v>
      </c>
      <c r="AU31" s="37"/>
      <c r="AV31" s="37"/>
      <c r="AW31" s="37"/>
      <c r="AX31" s="37"/>
      <c r="AY31" s="37"/>
    </row>
    <row r="32" ht="15.75" customHeight="1">
      <c r="A32" s="39" t="s">
        <v>27</v>
      </c>
      <c r="B32" s="40">
        <f t="shared" si="6"/>
        <v>44592</v>
      </c>
      <c r="C32" s="41">
        <v>2.0</v>
      </c>
      <c r="D32" s="41" t="s">
        <v>25</v>
      </c>
      <c r="E32" s="43" t="s">
        <v>26</v>
      </c>
      <c r="F32" s="30">
        <v>0.0</v>
      </c>
      <c r="H32" s="31">
        <v>0.0</v>
      </c>
      <c r="J32" s="31">
        <v>0.0</v>
      </c>
      <c r="L32" s="31">
        <v>0.0</v>
      </c>
      <c r="N32" s="31">
        <v>0.0</v>
      </c>
      <c r="P32" s="31">
        <v>0.0</v>
      </c>
      <c r="Q32" s="29"/>
      <c r="R32" s="30">
        <v>100.0</v>
      </c>
      <c r="T32" s="31">
        <v>100.0</v>
      </c>
      <c r="V32" s="31">
        <v>0.0</v>
      </c>
      <c r="X32" s="31">
        <v>0.0</v>
      </c>
      <c r="Z32" s="31">
        <v>0.0</v>
      </c>
      <c r="AB32" s="31">
        <v>0.0</v>
      </c>
      <c r="AC32" s="29"/>
      <c r="AD32" s="33"/>
      <c r="AF32" s="34"/>
      <c r="AH32" s="34"/>
      <c r="AJ32" s="34"/>
      <c r="AL32" s="34"/>
      <c r="AN32" s="34"/>
      <c r="AO32" s="29"/>
      <c r="AP32" s="47">
        <f t="shared" si="7"/>
        <v>2720</v>
      </c>
      <c r="AQ32" s="48">
        <f t="shared" si="2"/>
        <v>200</v>
      </c>
      <c r="AR32" s="41">
        <f t="shared" si="3"/>
        <v>0</v>
      </c>
      <c r="AS32" s="41">
        <f t="shared" si="4"/>
        <v>200</v>
      </c>
      <c r="AT32" s="46">
        <f t="shared" si="5"/>
        <v>13.6</v>
      </c>
      <c r="AU32" s="37"/>
      <c r="AV32" s="37"/>
      <c r="AW32" s="37"/>
      <c r="AX32" s="37"/>
      <c r="AY32" s="37"/>
    </row>
    <row r="33" ht="15.75" customHeight="1">
      <c r="A33" s="39" t="s">
        <v>28</v>
      </c>
      <c r="B33" s="40">
        <f t="shared" si="6"/>
        <v>44593</v>
      </c>
      <c r="C33" s="41">
        <v>2.0</v>
      </c>
      <c r="D33" s="41" t="s">
        <v>25</v>
      </c>
      <c r="E33" s="43" t="s">
        <v>26</v>
      </c>
      <c r="F33" s="30">
        <v>0.0</v>
      </c>
      <c r="H33" s="31">
        <v>0.0</v>
      </c>
      <c r="J33" s="31">
        <v>0.0</v>
      </c>
      <c r="L33" s="31">
        <v>0.0</v>
      </c>
      <c r="N33" s="31">
        <v>0.0</v>
      </c>
      <c r="P33" s="31">
        <v>0.0</v>
      </c>
      <c r="Q33" s="29"/>
      <c r="R33" s="30">
        <v>100.0</v>
      </c>
      <c r="T33" s="31">
        <v>100.0</v>
      </c>
      <c r="V33" s="31">
        <v>0.0</v>
      </c>
      <c r="X33" s="31">
        <v>0.0</v>
      </c>
      <c r="Z33" s="31">
        <v>0.0</v>
      </c>
      <c r="AB33" s="31">
        <v>0.0</v>
      </c>
      <c r="AC33" s="29"/>
      <c r="AD33" s="33"/>
      <c r="AF33" s="34"/>
      <c r="AH33" s="34"/>
      <c r="AJ33" s="34"/>
      <c r="AL33" s="34"/>
      <c r="AN33" s="34"/>
      <c r="AO33" s="29"/>
      <c r="AP33" s="47">
        <f t="shared" si="7"/>
        <v>2720</v>
      </c>
      <c r="AQ33" s="48">
        <f t="shared" si="2"/>
        <v>200</v>
      </c>
      <c r="AR33" s="41">
        <f t="shared" si="3"/>
        <v>0</v>
      </c>
      <c r="AS33" s="41">
        <f t="shared" si="4"/>
        <v>200</v>
      </c>
      <c r="AT33" s="46">
        <f t="shared" si="5"/>
        <v>13.6</v>
      </c>
      <c r="AU33" s="37"/>
      <c r="AV33" s="37"/>
      <c r="AW33" s="37"/>
      <c r="AX33" s="37"/>
      <c r="AY33" s="37"/>
    </row>
    <row r="34" ht="15.75" customHeight="1">
      <c r="A34" s="39" t="s">
        <v>29</v>
      </c>
      <c r="B34" s="40">
        <f t="shared" si="6"/>
        <v>44594</v>
      </c>
      <c r="C34" s="41">
        <v>2.0</v>
      </c>
      <c r="D34" s="41" t="s">
        <v>25</v>
      </c>
      <c r="E34" s="43" t="s">
        <v>26</v>
      </c>
      <c r="F34" s="30">
        <v>0.0</v>
      </c>
      <c r="H34" s="31">
        <v>0.0</v>
      </c>
      <c r="J34" s="31">
        <v>0.0</v>
      </c>
      <c r="L34" s="31">
        <v>0.0</v>
      </c>
      <c r="N34" s="31">
        <v>0.0</v>
      </c>
      <c r="P34" s="31">
        <v>0.0</v>
      </c>
      <c r="Q34" s="29"/>
      <c r="R34" s="30">
        <v>100.0</v>
      </c>
      <c r="T34" s="31">
        <v>100.0</v>
      </c>
      <c r="V34" s="31">
        <v>0.0</v>
      </c>
      <c r="X34" s="31">
        <v>0.0</v>
      </c>
      <c r="Z34" s="31">
        <v>0.0</v>
      </c>
      <c r="AB34" s="31">
        <v>0.0</v>
      </c>
      <c r="AC34" s="29"/>
      <c r="AD34" s="33"/>
      <c r="AF34" s="34"/>
      <c r="AH34" s="34"/>
      <c r="AJ34" s="34"/>
      <c r="AL34" s="34"/>
      <c r="AN34" s="34"/>
      <c r="AO34" s="29"/>
      <c r="AP34" s="47">
        <f t="shared" si="7"/>
        <v>2720</v>
      </c>
      <c r="AQ34" s="48">
        <f t="shared" si="2"/>
        <v>200</v>
      </c>
      <c r="AR34" s="41">
        <f t="shared" si="3"/>
        <v>0</v>
      </c>
      <c r="AS34" s="41">
        <f t="shared" si="4"/>
        <v>200</v>
      </c>
      <c r="AT34" s="46">
        <f t="shared" si="5"/>
        <v>13.6</v>
      </c>
      <c r="AU34" s="37"/>
      <c r="AV34" s="37"/>
      <c r="AW34" s="37"/>
      <c r="AX34" s="37"/>
      <c r="AY34" s="37"/>
    </row>
    <row r="35" ht="15.75" customHeight="1">
      <c r="A35" s="39" t="s">
        <v>30</v>
      </c>
      <c r="B35" s="40">
        <f t="shared" si="6"/>
        <v>44595</v>
      </c>
      <c r="C35" s="41">
        <v>2.0</v>
      </c>
      <c r="D35" s="41" t="s">
        <v>25</v>
      </c>
      <c r="E35" s="43" t="s">
        <v>26</v>
      </c>
      <c r="F35" s="30">
        <v>0.0</v>
      </c>
      <c r="H35" s="31">
        <v>0.0</v>
      </c>
      <c r="J35" s="31">
        <v>0.0</v>
      </c>
      <c r="L35" s="31">
        <v>0.0</v>
      </c>
      <c r="N35" s="31">
        <v>0.0</v>
      </c>
      <c r="P35" s="31">
        <v>0.0</v>
      </c>
      <c r="Q35" s="29"/>
      <c r="R35" s="30">
        <v>100.0</v>
      </c>
      <c r="T35" s="31">
        <v>100.0</v>
      </c>
      <c r="V35" s="31">
        <v>0.0</v>
      </c>
      <c r="X35" s="31">
        <v>0.0</v>
      </c>
      <c r="Z35" s="31">
        <v>0.0</v>
      </c>
      <c r="AB35" s="31">
        <v>0.0</v>
      </c>
      <c r="AC35" s="29"/>
      <c r="AD35" s="33"/>
      <c r="AF35" s="34"/>
      <c r="AH35" s="34"/>
      <c r="AJ35" s="34"/>
      <c r="AL35" s="34"/>
      <c r="AN35" s="34"/>
      <c r="AO35" s="29"/>
      <c r="AP35" s="47">
        <f t="shared" si="7"/>
        <v>2720</v>
      </c>
      <c r="AQ35" s="48">
        <f t="shared" si="2"/>
        <v>200</v>
      </c>
      <c r="AR35" s="41">
        <f t="shared" si="3"/>
        <v>0</v>
      </c>
      <c r="AS35" s="41">
        <f t="shared" si="4"/>
        <v>200</v>
      </c>
      <c r="AT35" s="46">
        <f t="shared" si="5"/>
        <v>13.6</v>
      </c>
      <c r="AU35" s="37"/>
      <c r="AV35" s="37"/>
      <c r="AW35" s="37"/>
      <c r="AX35" s="37"/>
      <c r="AY35" s="37"/>
    </row>
    <row r="36" ht="15.75" customHeight="1">
      <c r="A36" s="39" t="s">
        <v>31</v>
      </c>
      <c r="B36" s="40">
        <f t="shared" si="6"/>
        <v>44596</v>
      </c>
      <c r="C36" s="41">
        <v>2.0</v>
      </c>
      <c r="D36" s="41" t="s">
        <v>25</v>
      </c>
      <c r="E36" s="43" t="s">
        <v>26</v>
      </c>
      <c r="F36" s="30">
        <v>0.0</v>
      </c>
      <c r="H36" s="31">
        <v>0.0</v>
      </c>
      <c r="J36" s="31">
        <v>0.0</v>
      </c>
      <c r="L36" s="31">
        <v>0.0</v>
      </c>
      <c r="N36" s="31">
        <v>0.0</v>
      </c>
      <c r="P36" s="31">
        <v>0.0</v>
      </c>
      <c r="Q36" s="29"/>
      <c r="R36" s="30">
        <v>50.0</v>
      </c>
      <c r="T36" s="31">
        <v>50.0</v>
      </c>
      <c r="V36" s="31">
        <v>0.0</v>
      </c>
      <c r="X36" s="31">
        <v>0.0</v>
      </c>
      <c r="Z36" s="31">
        <v>0.0</v>
      </c>
      <c r="AB36" s="31">
        <v>0.0</v>
      </c>
      <c r="AC36" s="29"/>
      <c r="AD36" s="33"/>
      <c r="AF36" s="34"/>
      <c r="AH36" s="34"/>
      <c r="AJ36" s="34"/>
      <c r="AL36" s="34"/>
      <c r="AN36" s="34"/>
      <c r="AO36" s="29"/>
      <c r="AP36" s="47">
        <f t="shared" si="7"/>
        <v>1360</v>
      </c>
      <c r="AQ36" s="48">
        <f t="shared" si="2"/>
        <v>100</v>
      </c>
      <c r="AR36" s="41">
        <f t="shared" si="3"/>
        <v>0</v>
      </c>
      <c r="AS36" s="41">
        <f t="shared" si="4"/>
        <v>100</v>
      </c>
      <c r="AT36" s="46">
        <f t="shared" si="5"/>
        <v>13.6</v>
      </c>
      <c r="AU36" s="37"/>
      <c r="AV36" s="37"/>
      <c r="AW36" s="37"/>
      <c r="AX36" s="37"/>
      <c r="AY36" s="37"/>
    </row>
    <row r="37" ht="15.75" customHeight="1">
      <c r="A37" s="49" t="s">
        <v>32</v>
      </c>
      <c r="B37" s="50">
        <f t="shared" si="6"/>
        <v>44597</v>
      </c>
      <c r="C37" s="51">
        <v>2.0</v>
      </c>
      <c r="D37" s="51" t="s">
        <v>25</v>
      </c>
      <c r="E37" s="53" t="s">
        <v>26</v>
      </c>
      <c r="F37" s="64">
        <v>0.0</v>
      </c>
      <c r="G37" s="55"/>
      <c r="H37" s="65">
        <v>0.0</v>
      </c>
      <c r="I37" s="55"/>
      <c r="J37" s="65">
        <v>0.0</v>
      </c>
      <c r="K37" s="55"/>
      <c r="L37" s="65">
        <v>0.0</v>
      </c>
      <c r="M37" s="55"/>
      <c r="N37" s="65">
        <v>0.0</v>
      </c>
      <c r="O37" s="55"/>
      <c r="P37" s="65">
        <v>0.0</v>
      </c>
      <c r="Q37" s="58"/>
      <c r="R37" s="64">
        <v>0.0</v>
      </c>
      <c r="S37" s="55"/>
      <c r="T37" s="65">
        <v>0.0</v>
      </c>
      <c r="U37" s="55"/>
      <c r="V37" s="65">
        <v>0.0</v>
      </c>
      <c r="W37" s="55"/>
      <c r="X37" s="65">
        <v>0.0</v>
      </c>
      <c r="Y37" s="55"/>
      <c r="Z37" s="65">
        <v>0.0</v>
      </c>
      <c r="AA37" s="55"/>
      <c r="AB37" s="65">
        <v>0.0</v>
      </c>
      <c r="AC37" s="58"/>
      <c r="AD37" s="66"/>
      <c r="AE37" s="55"/>
      <c r="AF37" s="67"/>
      <c r="AG37" s="55"/>
      <c r="AH37" s="67"/>
      <c r="AI37" s="55"/>
      <c r="AJ37" s="67"/>
      <c r="AK37" s="55"/>
      <c r="AL37" s="67"/>
      <c r="AM37" s="55"/>
      <c r="AN37" s="67"/>
      <c r="AO37" s="58"/>
      <c r="AP37" s="68">
        <f t="shared" si="7"/>
        <v>0</v>
      </c>
      <c r="AQ37" s="69">
        <f t="shared" si="2"/>
        <v>0</v>
      </c>
      <c r="AR37" s="51">
        <f t="shared" si="3"/>
        <v>0</v>
      </c>
      <c r="AS37" s="51">
        <f t="shared" si="4"/>
        <v>0</v>
      </c>
      <c r="AT37" s="61" t="str">
        <f t="shared" si="5"/>
        <v/>
      </c>
      <c r="AU37" s="37">
        <f>sum(AP31:AP37)</f>
        <v>14960</v>
      </c>
      <c r="AV37" s="37"/>
      <c r="AW37" s="37"/>
      <c r="AX37" s="37"/>
      <c r="AY37" s="37"/>
    </row>
    <row r="38" ht="15.75" customHeight="1">
      <c r="A38" s="21" t="s">
        <v>24</v>
      </c>
      <c r="B38" s="62">
        <f t="shared" si="6"/>
        <v>44598</v>
      </c>
      <c r="C38" s="23">
        <v>2.0</v>
      </c>
      <c r="D38" s="23" t="s">
        <v>33</v>
      </c>
      <c r="E38" s="63" t="s">
        <v>26</v>
      </c>
      <c r="F38" s="30">
        <v>0.0</v>
      </c>
      <c r="H38" s="31">
        <v>0.0</v>
      </c>
      <c r="J38" s="31">
        <v>0.0</v>
      </c>
      <c r="L38" s="31">
        <v>0.0</v>
      </c>
      <c r="N38" s="31">
        <v>0.0</v>
      </c>
      <c r="P38" s="31">
        <v>0.0</v>
      </c>
      <c r="Q38" s="29"/>
      <c r="R38" s="30">
        <v>125.0</v>
      </c>
      <c r="T38" s="31">
        <v>125.0</v>
      </c>
      <c r="V38" s="31">
        <v>0.0</v>
      </c>
      <c r="X38" s="31">
        <v>0.0</v>
      </c>
      <c r="Z38" s="31">
        <v>0.0</v>
      </c>
      <c r="AB38" s="31">
        <v>0.0</v>
      </c>
      <c r="AC38" s="29"/>
      <c r="AD38" s="33"/>
      <c r="AF38" s="34"/>
      <c r="AH38" s="34"/>
      <c r="AJ38" s="34"/>
      <c r="AL38" s="34"/>
      <c r="AN38" s="34"/>
      <c r="AO38" s="29"/>
      <c r="AP38" s="38">
        <f t="shared" si="7"/>
        <v>3400</v>
      </c>
      <c r="AQ38" s="44">
        <f t="shared" si="2"/>
        <v>250</v>
      </c>
      <c r="AR38" s="23">
        <f t="shared" si="3"/>
        <v>0</v>
      </c>
      <c r="AS38" s="23">
        <f t="shared" si="4"/>
        <v>250</v>
      </c>
      <c r="AT38" s="36">
        <f t="shared" si="5"/>
        <v>13.6</v>
      </c>
      <c r="AU38" s="37"/>
      <c r="AV38" s="37"/>
      <c r="AW38" s="37"/>
      <c r="AX38" s="37"/>
      <c r="AY38" s="37"/>
    </row>
    <row r="39" ht="15.75" customHeight="1">
      <c r="A39" s="39" t="s">
        <v>27</v>
      </c>
      <c r="B39" s="40">
        <f t="shared" si="6"/>
        <v>44599</v>
      </c>
      <c r="C39" s="41">
        <v>2.0</v>
      </c>
      <c r="D39" s="41" t="s">
        <v>33</v>
      </c>
      <c r="E39" s="43" t="s">
        <v>26</v>
      </c>
      <c r="F39" s="30">
        <v>0.0</v>
      </c>
      <c r="H39" s="31">
        <v>0.0</v>
      </c>
      <c r="J39" s="31">
        <v>0.0</v>
      </c>
      <c r="L39" s="31">
        <v>0.0</v>
      </c>
      <c r="N39" s="31">
        <v>0.0</v>
      </c>
      <c r="P39" s="31">
        <v>0.0</v>
      </c>
      <c r="Q39" s="29"/>
      <c r="R39" s="30">
        <v>125.0</v>
      </c>
      <c r="T39" s="31">
        <v>125.0</v>
      </c>
      <c r="V39" s="31">
        <v>0.0</v>
      </c>
      <c r="X39" s="31">
        <v>0.0</v>
      </c>
      <c r="Z39" s="31">
        <v>0.0</v>
      </c>
      <c r="AB39" s="31">
        <v>0.0</v>
      </c>
      <c r="AC39" s="29"/>
      <c r="AD39" s="33"/>
      <c r="AF39" s="34"/>
      <c r="AH39" s="34"/>
      <c r="AJ39" s="34"/>
      <c r="AL39" s="34"/>
      <c r="AN39" s="34"/>
      <c r="AO39" s="29"/>
      <c r="AP39" s="47">
        <f t="shared" si="7"/>
        <v>3400</v>
      </c>
      <c r="AQ39" s="48">
        <f t="shared" si="2"/>
        <v>250</v>
      </c>
      <c r="AR39" s="41">
        <f t="shared" si="3"/>
        <v>0</v>
      </c>
      <c r="AS39" s="41">
        <f t="shared" si="4"/>
        <v>250</v>
      </c>
      <c r="AT39" s="46">
        <f t="shared" si="5"/>
        <v>13.6</v>
      </c>
      <c r="AU39" s="37"/>
      <c r="AV39" s="70"/>
      <c r="AW39" s="70"/>
      <c r="AX39" s="37"/>
      <c r="AY39" s="37"/>
    </row>
    <row r="40" ht="15.75" customHeight="1">
      <c r="A40" s="39" t="s">
        <v>28</v>
      </c>
      <c r="B40" s="40">
        <f t="shared" si="6"/>
        <v>44600</v>
      </c>
      <c r="C40" s="41">
        <v>2.0</v>
      </c>
      <c r="D40" s="41" t="s">
        <v>33</v>
      </c>
      <c r="E40" s="43" t="s">
        <v>26</v>
      </c>
      <c r="F40" s="30">
        <v>0.0</v>
      </c>
      <c r="H40" s="31">
        <v>0.0</v>
      </c>
      <c r="J40" s="31">
        <v>0.0</v>
      </c>
      <c r="L40" s="31">
        <v>0.0</v>
      </c>
      <c r="N40" s="31">
        <v>0.0</v>
      </c>
      <c r="P40" s="31">
        <v>0.0</v>
      </c>
      <c r="Q40" s="29"/>
      <c r="R40" s="30">
        <v>125.0</v>
      </c>
      <c r="T40" s="31">
        <v>125.0</v>
      </c>
      <c r="V40" s="31">
        <v>0.0</v>
      </c>
      <c r="X40" s="31">
        <v>0.0</v>
      </c>
      <c r="Z40" s="31">
        <v>0.0</v>
      </c>
      <c r="AB40" s="31">
        <v>0.0</v>
      </c>
      <c r="AC40" s="29"/>
      <c r="AD40" s="33"/>
      <c r="AF40" s="34"/>
      <c r="AH40" s="34"/>
      <c r="AJ40" s="34"/>
      <c r="AL40" s="34"/>
      <c r="AN40" s="34"/>
      <c r="AO40" s="29"/>
      <c r="AP40" s="47">
        <f t="shared" si="7"/>
        <v>3400</v>
      </c>
      <c r="AQ40" s="48">
        <f t="shared" si="2"/>
        <v>250</v>
      </c>
      <c r="AR40" s="41">
        <f t="shared" si="3"/>
        <v>0</v>
      </c>
      <c r="AS40" s="41">
        <f t="shared" si="4"/>
        <v>250</v>
      </c>
      <c r="AT40" s="46">
        <f t="shared" si="5"/>
        <v>13.6</v>
      </c>
      <c r="AU40" s="37"/>
      <c r="AV40" s="70"/>
      <c r="AW40" s="70"/>
      <c r="AX40" s="37"/>
      <c r="AY40" s="37"/>
    </row>
    <row r="41" ht="15.75" customHeight="1">
      <c r="A41" s="39" t="s">
        <v>29</v>
      </c>
      <c r="B41" s="40">
        <f t="shared" si="6"/>
        <v>44601</v>
      </c>
      <c r="C41" s="41">
        <v>2.0</v>
      </c>
      <c r="D41" s="41" t="s">
        <v>33</v>
      </c>
      <c r="E41" s="43" t="s">
        <v>26</v>
      </c>
      <c r="F41" s="30">
        <v>0.0</v>
      </c>
      <c r="H41" s="31">
        <v>0.0</v>
      </c>
      <c r="J41" s="31">
        <v>0.0</v>
      </c>
      <c r="L41" s="31">
        <v>0.0</v>
      </c>
      <c r="N41" s="31">
        <v>0.0</v>
      </c>
      <c r="P41" s="31">
        <v>0.0</v>
      </c>
      <c r="Q41" s="29"/>
      <c r="R41" s="30">
        <v>140.0</v>
      </c>
      <c r="T41" s="31">
        <v>140.0</v>
      </c>
      <c r="V41" s="31">
        <v>0.0</v>
      </c>
      <c r="X41" s="31">
        <v>0.0</v>
      </c>
      <c r="Z41" s="31">
        <v>0.0</v>
      </c>
      <c r="AB41" s="31">
        <v>0.0</v>
      </c>
      <c r="AC41" s="29"/>
      <c r="AD41" s="33"/>
      <c r="AF41" s="34"/>
      <c r="AH41" s="34"/>
      <c r="AJ41" s="34"/>
      <c r="AL41" s="34"/>
      <c r="AN41" s="34"/>
      <c r="AO41" s="29"/>
      <c r="AP41" s="47">
        <f t="shared" si="7"/>
        <v>3808</v>
      </c>
      <c r="AQ41" s="48">
        <f t="shared" si="2"/>
        <v>280</v>
      </c>
      <c r="AR41" s="41">
        <f t="shared" si="3"/>
        <v>0</v>
      </c>
      <c r="AS41" s="41">
        <f t="shared" si="4"/>
        <v>280</v>
      </c>
      <c r="AT41" s="46">
        <f t="shared" si="5"/>
        <v>13.6</v>
      </c>
      <c r="AU41" s="37"/>
      <c r="AV41" s="37"/>
      <c r="AW41" s="37"/>
      <c r="AX41" s="37"/>
      <c r="AY41" s="37"/>
    </row>
    <row r="42" ht="15.75" customHeight="1">
      <c r="A42" s="39" t="s">
        <v>30</v>
      </c>
      <c r="B42" s="40">
        <f t="shared" si="6"/>
        <v>44602</v>
      </c>
      <c r="C42" s="41">
        <v>2.0</v>
      </c>
      <c r="D42" s="41" t="s">
        <v>33</v>
      </c>
      <c r="E42" s="43" t="s">
        <v>26</v>
      </c>
      <c r="F42" s="30">
        <v>0.0</v>
      </c>
      <c r="H42" s="31">
        <v>0.0</v>
      </c>
      <c r="J42" s="31">
        <v>0.0</v>
      </c>
      <c r="L42" s="31">
        <v>0.0</v>
      </c>
      <c r="N42" s="31">
        <v>0.0</v>
      </c>
      <c r="P42" s="31">
        <v>0.0</v>
      </c>
      <c r="Q42" s="29"/>
      <c r="R42" s="30">
        <v>120.0</v>
      </c>
      <c r="T42" s="31">
        <v>160.0</v>
      </c>
      <c r="V42" s="31">
        <v>0.0</v>
      </c>
      <c r="X42" s="31">
        <v>0.0</v>
      </c>
      <c r="Z42" s="31">
        <v>0.0</v>
      </c>
      <c r="AB42" s="31">
        <v>0.0</v>
      </c>
      <c r="AC42" s="29"/>
      <c r="AD42" s="33"/>
      <c r="AF42" s="34"/>
      <c r="AH42" s="34"/>
      <c r="AJ42" s="34"/>
      <c r="AL42" s="34"/>
      <c r="AN42" s="34"/>
      <c r="AO42" s="29"/>
      <c r="AP42" s="47">
        <f t="shared" si="7"/>
        <v>3808</v>
      </c>
      <c r="AQ42" s="48">
        <f t="shared" si="2"/>
        <v>280</v>
      </c>
      <c r="AR42" s="41">
        <f t="shared" si="3"/>
        <v>0</v>
      </c>
      <c r="AS42" s="41">
        <f t="shared" si="4"/>
        <v>280</v>
      </c>
      <c r="AT42" s="46">
        <f t="shared" si="5"/>
        <v>13.6</v>
      </c>
      <c r="AU42" s="37"/>
      <c r="AV42" s="37"/>
      <c r="AW42" s="37"/>
      <c r="AX42" s="37"/>
      <c r="AY42" s="37"/>
    </row>
    <row r="43" ht="15.75" customHeight="1">
      <c r="A43" s="39" t="s">
        <v>31</v>
      </c>
      <c r="B43" s="40">
        <f t="shared" si="6"/>
        <v>44603</v>
      </c>
      <c r="C43" s="41">
        <v>2.0</v>
      </c>
      <c r="D43" s="41" t="s">
        <v>33</v>
      </c>
      <c r="E43" s="43" t="s">
        <v>26</v>
      </c>
      <c r="F43" s="30">
        <v>0.0</v>
      </c>
      <c r="H43" s="31">
        <v>0.0</v>
      </c>
      <c r="J43" s="31">
        <v>0.0</v>
      </c>
      <c r="L43" s="31">
        <v>0.0</v>
      </c>
      <c r="N43" s="31">
        <v>0.0</v>
      </c>
      <c r="P43" s="31">
        <v>0.0</v>
      </c>
      <c r="Q43" s="29"/>
      <c r="R43" s="30">
        <v>75.0</v>
      </c>
      <c r="T43" s="31">
        <v>75.0</v>
      </c>
      <c r="V43" s="31">
        <v>0.0</v>
      </c>
      <c r="X43" s="31">
        <v>0.0</v>
      </c>
      <c r="Z43" s="31">
        <v>0.0</v>
      </c>
      <c r="AB43" s="31">
        <v>0.0</v>
      </c>
      <c r="AC43" s="29"/>
      <c r="AD43" s="33"/>
      <c r="AF43" s="34"/>
      <c r="AH43" s="34"/>
      <c r="AJ43" s="34"/>
      <c r="AL43" s="34"/>
      <c r="AN43" s="34"/>
      <c r="AO43" s="29"/>
      <c r="AP43" s="47">
        <f t="shared" si="7"/>
        <v>2040</v>
      </c>
      <c r="AQ43" s="48">
        <f t="shared" si="2"/>
        <v>150</v>
      </c>
      <c r="AR43" s="41">
        <f t="shared" si="3"/>
        <v>0</v>
      </c>
      <c r="AS43" s="41">
        <f t="shared" si="4"/>
        <v>150</v>
      </c>
      <c r="AT43" s="46">
        <f t="shared" si="5"/>
        <v>13.6</v>
      </c>
      <c r="AU43" s="37"/>
      <c r="AV43" s="37"/>
      <c r="AW43" s="37"/>
      <c r="AX43" s="37"/>
      <c r="AY43" s="37"/>
    </row>
    <row r="44" ht="15.75" customHeight="1">
      <c r="A44" s="49" t="s">
        <v>32</v>
      </c>
      <c r="B44" s="50">
        <f t="shared" si="6"/>
        <v>44604</v>
      </c>
      <c r="C44" s="51">
        <v>2.0</v>
      </c>
      <c r="D44" s="51" t="s">
        <v>33</v>
      </c>
      <c r="E44" s="53" t="s">
        <v>26</v>
      </c>
      <c r="F44" s="64">
        <v>0.0</v>
      </c>
      <c r="G44" s="55"/>
      <c r="H44" s="65">
        <v>0.0</v>
      </c>
      <c r="I44" s="55"/>
      <c r="J44" s="65">
        <v>0.0</v>
      </c>
      <c r="K44" s="55"/>
      <c r="L44" s="65">
        <v>0.0</v>
      </c>
      <c r="M44" s="55"/>
      <c r="N44" s="65">
        <v>0.0</v>
      </c>
      <c r="O44" s="55"/>
      <c r="P44" s="65">
        <v>0.0</v>
      </c>
      <c r="Q44" s="58"/>
      <c r="R44" s="64">
        <v>0.0</v>
      </c>
      <c r="S44" s="55"/>
      <c r="T44" s="65">
        <v>0.0</v>
      </c>
      <c r="U44" s="55"/>
      <c r="V44" s="65">
        <v>0.0</v>
      </c>
      <c r="W44" s="55"/>
      <c r="X44" s="65">
        <v>0.0</v>
      </c>
      <c r="Y44" s="55"/>
      <c r="Z44" s="65">
        <v>0.0</v>
      </c>
      <c r="AA44" s="55"/>
      <c r="AB44" s="65">
        <v>0.0</v>
      </c>
      <c r="AC44" s="58"/>
      <c r="AD44" s="66"/>
      <c r="AE44" s="55"/>
      <c r="AF44" s="67"/>
      <c r="AG44" s="55"/>
      <c r="AH44" s="67"/>
      <c r="AI44" s="55"/>
      <c r="AJ44" s="67"/>
      <c r="AK44" s="55"/>
      <c r="AL44" s="67"/>
      <c r="AM44" s="55"/>
      <c r="AN44" s="67"/>
      <c r="AO44" s="58"/>
      <c r="AP44" s="68">
        <f t="shared" si="7"/>
        <v>0</v>
      </c>
      <c r="AQ44" s="69">
        <f t="shared" si="2"/>
        <v>0</v>
      </c>
      <c r="AR44" s="51">
        <f t="shared" si="3"/>
        <v>0</v>
      </c>
      <c r="AS44" s="51">
        <f t="shared" si="4"/>
        <v>0</v>
      </c>
      <c r="AT44" s="61" t="str">
        <f t="shared" si="5"/>
        <v/>
      </c>
      <c r="AU44" s="37"/>
      <c r="AV44" s="37"/>
      <c r="AW44" s="37"/>
      <c r="AX44" s="37"/>
      <c r="AY44" s="37"/>
    </row>
    <row r="45" ht="15.75" customHeight="1">
      <c r="A45" s="21" t="s">
        <v>24</v>
      </c>
      <c r="B45" s="62">
        <f t="shared" si="6"/>
        <v>44605</v>
      </c>
      <c r="C45" s="23">
        <v>2.0</v>
      </c>
      <c r="D45" s="23" t="s">
        <v>34</v>
      </c>
      <c r="E45" s="25" t="s">
        <v>37</v>
      </c>
      <c r="F45" s="30">
        <v>50.0</v>
      </c>
      <c r="H45" s="31">
        <v>50.0</v>
      </c>
      <c r="J45" s="31">
        <v>0.0</v>
      </c>
      <c r="L45" s="31">
        <v>0.0</v>
      </c>
      <c r="N45" s="31">
        <v>0.0</v>
      </c>
      <c r="P45" s="31">
        <v>0.0</v>
      </c>
      <c r="Q45" s="29"/>
      <c r="R45" s="30">
        <v>200.0</v>
      </c>
      <c r="T45" s="31">
        <v>200.0</v>
      </c>
      <c r="V45" s="31">
        <v>0.0</v>
      </c>
      <c r="X45" s="31">
        <v>0.0</v>
      </c>
      <c r="Z45" s="31">
        <v>0.0</v>
      </c>
      <c r="AB45" s="31">
        <v>0.0</v>
      </c>
      <c r="AC45" s="29"/>
      <c r="AD45" s="33"/>
      <c r="AF45" s="34"/>
      <c r="AH45" s="34"/>
      <c r="AJ45" s="34"/>
      <c r="AL45" s="34"/>
      <c r="AN45" s="34"/>
      <c r="AO45" s="29"/>
      <c r="AP45" s="38">
        <f t="shared" si="7"/>
        <v>8160</v>
      </c>
      <c r="AQ45" s="44">
        <f t="shared" si="2"/>
        <v>500</v>
      </c>
      <c r="AR45" s="23">
        <f t="shared" si="3"/>
        <v>0</v>
      </c>
      <c r="AS45" s="23">
        <f t="shared" si="4"/>
        <v>500</v>
      </c>
      <c r="AT45" s="36">
        <f t="shared" si="5"/>
        <v>16.32</v>
      </c>
      <c r="AU45" s="37"/>
      <c r="AV45" s="37"/>
      <c r="AW45" s="37"/>
      <c r="AX45" s="37"/>
      <c r="AY45" s="37"/>
    </row>
    <row r="46" ht="15.75" customHeight="1">
      <c r="A46" s="39" t="s">
        <v>27</v>
      </c>
      <c r="B46" s="40">
        <f t="shared" si="6"/>
        <v>44606</v>
      </c>
      <c r="C46" s="41">
        <v>2.0</v>
      </c>
      <c r="D46" s="41" t="s">
        <v>34</v>
      </c>
      <c r="E46" s="43" t="s">
        <v>37</v>
      </c>
      <c r="F46" s="30">
        <v>75.0</v>
      </c>
      <c r="H46" s="31">
        <v>75.0</v>
      </c>
      <c r="J46" s="31">
        <v>0.0</v>
      </c>
      <c r="L46" s="31">
        <v>0.0</v>
      </c>
      <c r="N46" s="31">
        <v>0.0</v>
      </c>
      <c r="P46" s="31">
        <v>0.0</v>
      </c>
      <c r="Q46" s="29"/>
      <c r="R46" s="30">
        <v>225.0</v>
      </c>
      <c r="T46" s="31">
        <v>225.0</v>
      </c>
      <c r="V46" s="31">
        <v>0.0</v>
      </c>
      <c r="X46" s="31">
        <v>0.0</v>
      </c>
      <c r="Z46" s="31">
        <v>0.0</v>
      </c>
      <c r="AB46" s="31">
        <v>0.0</v>
      </c>
      <c r="AC46" s="29"/>
      <c r="AD46" s="33"/>
      <c r="AF46" s="34"/>
      <c r="AH46" s="34"/>
      <c r="AJ46" s="34"/>
      <c r="AL46" s="34"/>
      <c r="AN46" s="34"/>
      <c r="AO46" s="29"/>
      <c r="AP46" s="47">
        <f t="shared" si="7"/>
        <v>10200</v>
      </c>
      <c r="AQ46" s="48">
        <f t="shared" si="2"/>
        <v>600</v>
      </c>
      <c r="AR46" s="41">
        <f t="shared" si="3"/>
        <v>0</v>
      </c>
      <c r="AS46" s="41">
        <f t="shared" si="4"/>
        <v>600</v>
      </c>
      <c r="AT46" s="46">
        <f t="shared" si="5"/>
        <v>17</v>
      </c>
      <c r="AU46" s="37"/>
      <c r="AV46" s="37"/>
      <c r="AW46" s="37"/>
      <c r="AX46" s="37"/>
      <c r="AY46" s="37"/>
    </row>
    <row r="47" ht="15.75" customHeight="1">
      <c r="A47" s="39" t="s">
        <v>28</v>
      </c>
      <c r="B47" s="40">
        <f t="shared" si="6"/>
        <v>44607</v>
      </c>
      <c r="C47" s="41">
        <v>2.0</v>
      </c>
      <c r="D47" s="41" t="s">
        <v>34</v>
      </c>
      <c r="E47" s="43" t="s">
        <v>37</v>
      </c>
      <c r="F47" s="30">
        <v>100.0</v>
      </c>
      <c r="H47" s="31">
        <v>100.0</v>
      </c>
      <c r="J47" s="31">
        <v>0.0</v>
      </c>
      <c r="L47" s="31">
        <v>0.0</v>
      </c>
      <c r="N47" s="31">
        <v>0.0</v>
      </c>
      <c r="P47" s="31">
        <v>0.0</v>
      </c>
      <c r="Q47" s="29"/>
      <c r="R47" s="30">
        <v>250.0</v>
      </c>
      <c r="T47" s="31">
        <v>250.0</v>
      </c>
      <c r="V47" s="31">
        <v>0.0</v>
      </c>
      <c r="X47" s="31">
        <v>0.0</v>
      </c>
      <c r="Z47" s="31">
        <v>0.0</v>
      </c>
      <c r="AB47" s="31">
        <v>0.0</v>
      </c>
      <c r="AC47" s="29"/>
      <c r="AD47" s="33"/>
      <c r="AF47" s="34"/>
      <c r="AH47" s="34"/>
      <c r="AJ47" s="34"/>
      <c r="AL47" s="34"/>
      <c r="AN47" s="34"/>
      <c r="AO47" s="29"/>
      <c r="AP47" s="47">
        <f t="shared" si="7"/>
        <v>12240</v>
      </c>
      <c r="AQ47" s="48">
        <f t="shared" si="2"/>
        <v>700</v>
      </c>
      <c r="AR47" s="41">
        <f t="shared" si="3"/>
        <v>0</v>
      </c>
      <c r="AS47" s="41">
        <f t="shared" si="4"/>
        <v>700</v>
      </c>
      <c r="AT47" s="46">
        <f t="shared" si="5"/>
        <v>17.48571429</v>
      </c>
      <c r="AU47" s="37"/>
      <c r="AV47" s="37"/>
      <c r="AW47" s="37"/>
      <c r="AX47" s="37"/>
      <c r="AY47" s="37"/>
    </row>
    <row r="48" ht="15.75" customHeight="1">
      <c r="A48" s="39" t="s">
        <v>29</v>
      </c>
      <c r="B48" s="40">
        <f t="shared" si="6"/>
        <v>44608</v>
      </c>
      <c r="C48" s="41">
        <v>2.0</v>
      </c>
      <c r="D48" s="41" t="s">
        <v>34</v>
      </c>
      <c r="E48" s="43" t="s">
        <v>37</v>
      </c>
      <c r="F48" s="30">
        <v>100.0</v>
      </c>
      <c r="H48" s="31">
        <v>100.0</v>
      </c>
      <c r="J48" s="31">
        <v>0.0</v>
      </c>
      <c r="L48" s="31">
        <v>0.0</v>
      </c>
      <c r="N48" s="31">
        <v>0.0</v>
      </c>
      <c r="P48" s="31">
        <v>0.0</v>
      </c>
      <c r="Q48" s="29"/>
      <c r="R48" s="30">
        <v>250.0</v>
      </c>
      <c r="T48" s="31">
        <v>250.0</v>
      </c>
      <c r="V48" s="31">
        <v>0.0</v>
      </c>
      <c r="X48" s="31">
        <v>0.0</v>
      </c>
      <c r="Z48" s="31">
        <v>0.0</v>
      </c>
      <c r="AB48" s="31">
        <v>0.0</v>
      </c>
      <c r="AC48" s="29"/>
      <c r="AD48" s="33"/>
      <c r="AF48" s="34"/>
      <c r="AH48" s="34"/>
      <c r="AJ48" s="34"/>
      <c r="AL48" s="34"/>
      <c r="AN48" s="34"/>
      <c r="AO48" s="29"/>
      <c r="AP48" s="47">
        <f t="shared" si="7"/>
        <v>12240</v>
      </c>
      <c r="AQ48" s="48">
        <f t="shared" si="2"/>
        <v>700</v>
      </c>
      <c r="AR48" s="41">
        <f t="shared" si="3"/>
        <v>0</v>
      </c>
      <c r="AS48" s="41">
        <f t="shared" si="4"/>
        <v>700</v>
      </c>
      <c r="AT48" s="46">
        <f t="shared" si="5"/>
        <v>17.48571429</v>
      </c>
      <c r="AU48" s="37"/>
      <c r="AV48" s="37"/>
      <c r="AW48" s="37"/>
      <c r="AX48" s="37"/>
      <c r="AY48" s="37"/>
    </row>
    <row r="49" ht="15.75" customHeight="1">
      <c r="A49" s="39" t="s">
        <v>30</v>
      </c>
      <c r="B49" s="40">
        <f t="shared" si="6"/>
        <v>44609</v>
      </c>
      <c r="C49" s="41">
        <v>2.0</v>
      </c>
      <c r="D49" s="41" t="s">
        <v>34</v>
      </c>
      <c r="E49" s="43" t="s">
        <v>37</v>
      </c>
      <c r="F49" s="30">
        <v>100.0</v>
      </c>
      <c r="H49" s="31">
        <v>100.0</v>
      </c>
      <c r="J49" s="31">
        <v>0.0</v>
      </c>
      <c r="L49" s="31">
        <v>0.0</v>
      </c>
      <c r="N49" s="31">
        <v>0.0</v>
      </c>
      <c r="P49" s="31">
        <v>0.0</v>
      </c>
      <c r="Q49" s="29"/>
      <c r="R49" s="30">
        <v>250.0</v>
      </c>
      <c r="T49" s="31">
        <v>250.0</v>
      </c>
      <c r="V49" s="31">
        <v>0.0</v>
      </c>
      <c r="X49" s="31">
        <v>0.0</v>
      </c>
      <c r="Z49" s="31">
        <v>0.0</v>
      </c>
      <c r="AB49" s="31">
        <v>20.0</v>
      </c>
      <c r="AC49" s="29"/>
      <c r="AD49" s="33"/>
      <c r="AF49" s="34"/>
      <c r="AH49" s="34"/>
      <c r="AJ49" s="34"/>
      <c r="AL49" s="34"/>
      <c r="AN49" s="34"/>
      <c r="AO49" s="29"/>
      <c r="AP49" s="47">
        <f t="shared" si="7"/>
        <v>12352</v>
      </c>
      <c r="AQ49" s="48">
        <f t="shared" si="2"/>
        <v>700</v>
      </c>
      <c r="AR49" s="41">
        <f t="shared" si="3"/>
        <v>20</v>
      </c>
      <c r="AS49" s="41">
        <f t="shared" si="4"/>
        <v>720</v>
      </c>
      <c r="AT49" s="46">
        <f t="shared" si="5"/>
        <v>17.15555556</v>
      </c>
      <c r="AU49" s="37"/>
      <c r="AV49" s="37"/>
      <c r="AW49" s="37"/>
      <c r="AX49" s="37"/>
      <c r="AY49" s="37"/>
    </row>
    <row r="50" ht="15.75" customHeight="1">
      <c r="A50" s="39" t="s">
        <v>31</v>
      </c>
      <c r="B50" s="40">
        <f t="shared" si="6"/>
        <v>44610</v>
      </c>
      <c r="C50" s="41">
        <v>2.0</v>
      </c>
      <c r="D50" s="41" t="s">
        <v>34</v>
      </c>
      <c r="E50" s="43" t="s">
        <v>37</v>
      </c>
      <c r="F50" s="30">
        <v>100.0</v>
      </c>
      <c r="H50" s="31">
        <v>100.0</v>
      </c>
      <c r="J50" s="31">
        <v>0.0</v>
      </c>
      <c r="L50" s="31">
        <v>0.0</v>
      </c>
      <c r="N50" s="31">
        <v>0.0</v>
      </c>
      <c r="P50" s="31">
        <v>0.0</v>
      </c>
      <c r="Q50" s="29"/>
      <c r="R50" s="30">
        <v>200.0</v>
      </c>
      <c r="T50" s="31">
        <v>250.0</v>
      </c>
      <c r="V50" s="31">
        <v>0.0</v>
      </c>
      <c r="X50" s="31">
        <v>0.0</v>
      </c>
      <c r="Z50" s="31">
        <v>0.0</v>
      </c>
      <c r="AB50" s="31">
        <v>50.0</v>
      </c>
      <c r="AC50" s="29"/>
      <c r="AD50" s="33"/>
      <c r="AF50" s="34"/>
      <c r="AH50" s="34"/>
      <c r="AJ50" s="34"/>
      <c r="AL50" s="34"/>
      <c r="AN50" s="34"/>
      <c r="AO50" s="29"/>
      <c r="AP50" s="47">
        <f t="shared" si="7"/>
        <v>11840</v>
      </c>
      <c r="AQ50" s="48">
        <f t="shared" si="2"/>
        <v>650</v>
      </c>
      <c r="AR50" s="41">
        <f t="shared" si="3"/>
        <v>50</v>
      </c>
      <c r="AS50" s="41">
        <f t="shared" si="4"/>
        <v>700</v>
      </c>
      <c r="AT50" s="46">
        <f t="shared" si="5"/>
        <v>16.91428571</v>
      </c>
      <c r="AU50" s="37"/>
      <c r="AV50" s="37"/>
      <c r="AW50" s="37"/>
      <c r="AX50" s="37"/>
      <c r="AY50" s="37"/>
    </row>
    <row r="51" ht="15.75" customHeight="1">
      <c r="A51" s="49" t="s">
        <v>32</v>
      </c>
      <c r="B51" s="50">
        <f t="shared" si="6"/>
        <v>44611</v>
      </c>
      <c r="C51" s="51">
        <v>2.0</v>
      </c>
      <c r="D51" s="51" t="s">
        <v>34</v>
      </c>
      <c r="E51" s="53" t="s">
        <v>37</v>
      </c>
      <c r="F51" s="64">
        <v>100.0</v>
      </c>
      <c r="G51" s="55"/>
      <c r="H51" s="65">
        <v>100.0</v>
      </c>
      <c r="I51" s="55"/>
      <c r="J51" s="65">
        <v>0.0</v>
      </c>
      <c r="K51" s="55"/>
      <c r="L51" s="65">
        <v>0.0</v>
      </c>
      <c r="M51" s="55"/>
      <c r="N51" s="65">
        <v>0.0</v>
      </c>
      <c r="O51" s="55"/>
      <c r="P51" s="65">
        <v>0.0</v>
      </c>
      <c r="Q51" s="58"/>
      <c r="R51" s="64">
        <v>200.0</v>
      </c>
      <c r="S51" s="55"/>
      <c r="T51" s="65">
        <v>250.0</v>
      </c>
      <c r="U51" s="55"/>
      <c r="V51" s="65">
        <v>0.0</v>
      </c>
      <c r="W51" s="55"/>
      <c r="X51" s="65">
        <v>0.0</v>
      </c>
      <c r="Y51" s="55"/>
      <c r="Z51" s="65">
        <v>0.0</v>
      </c>
      <c r="AA51" s="55"/>
      <c r="AB51" s="65">
        <v>0.0</v>
      </c>
      <c r="AC51" s="58"/>
      <c r="AD51" s="66"/>
      <c r="AE51" s="55"/>
      <c r="AF51" s="67"/>
      <c r="AG51" s="55"/>
      <c r="AH51" s="67"/>
      <c r="AI51" s="55"/>
      <c r="AJ51" s="67"/>
      <c r="AK51" s="55"/>
      <c r="AL51" s="67"/>
      <c r="AM51" s="55"/>
      <c r="AN51" s="67"/>
      <c r="AO51" s="58"/>
      <c r="AP51" s="68">
        <f t="shared" si="7"/>
        <v>11560</v>
      </c>
      <c r="AQ51" s="69">
        <f t="shared" si="2"/>
        <v>650</v>
      </c>
      <c r="AR51" s="51">
        <f t="shared" si="3"/>
        <v>0</v>
      </c>
      <c r="AS51" s="51">
        <f t="shared" si="4"/>
        <v>650</v>
      </c>
      <c r="AT51" s="61">
        <f t="shared" si="5"/>
        <v>17.78461538</v>
      </c>
      <c r="AU51" s="37"/>
      <c r="AV51" s="37"/>
      <c r="AW51" s="37"/>
      <c r="AX51" s="37"/>
      <c r="AY51" s="37"/>
    </row>
    <row r="52" ht="15.75" customHeight="1">
      <c r="A52" s="21" t="s">
        <v>24</v>
      </c>
      <c r="B52" s="62">
        <f t="shared" si="6"/>
        <v>44612</v>
      </c>
      <c r="C52" s="23">
        <v>2.0</v>
      </c>
      <c r="D52" s="23" t="s">
        <v>35</v>
      </c>
      <c r="E52" s="63" t="s">
        <v>37</v>
      </c>
      <c r="F52" s="30">
        <v>100.0</v>
      </c>
      <c r="H52" s="31">
        <v>100.0</v>
      </c>
      <c r="J52" s="31">
        <v>0.0</v>
      </c>
      <c r="L52" s="31">
        <v>0.0</v>
      </c>
      <c r="N52" s="31">
        <v>0.0</v>
      </c>
      <c r="P52" s="31">
        <v>0.0</v>
      </c>
      <c r="Q52" s="29"/>
      <c r="R52" s="30">
        <v>200.0</v>
      </c>
      <c r="T52" s="31">
        <v>250.0</v>
      </c>
      <c r="V52" s="31">
        <v>0.0</v>
      </c>
      <c r="X52" s="31">
        <v>0.0</v>
      </c>
      <c r="Z52" s="31">
        <v>0.0</v>
      </c>
      <c r="AB52" s="31">
        <v>0.0</v>
      </c>
      <c r="AC52" s="29"/>
      <c r="AD52" s="33"/>
      <c r="AF52" s="34"/>
      <c r="AH52" s="34"/>
      <c r="AJ52" s="34"/>
      <c r="AL52" s="34"/>
      <c r="AN52" s="34"/>
      <c r="AO52" s="29"/>
      <c r="AP52" s="38">
        <f t="shared" si="7"/>
        <v>11560</v>
      </c>
      <c r="AQ52" s="44">
        <f t="shared" si="2"/>
        <v>650</v>
      </c>
      <c r="AR52" s="23">
        <f t="shared" si="3"/>
        <v>0</v>
      </c>
      <c r="AS52" s="23">
        <f t="shared" si="4"/>
        <v>650</v>
      </c>
      <c r="AT52" s="36">
        <f t="shared" si="5"/>
        <v>17.78461538</v>
      </c>
      <c r="AU52" s="37"/>
      <c r="AV52" s="37"/>
      <c r="AW52" s="37"/>
      <c r="AX52" s="37"/>
      <c r="AY52" s="37"/>
    </row>
    <row r="53" ht="15.75" customHeight="1">
      <c r="A53" s="39" t="s">
        <v>27</v>
      </c>
      <c r="B53" s="40">
        <f t="shared" si="6"/>
        <v>44613</v>
      </c>
      <c r="C53" s="41">
        <v>2.0</v>
      </c>
      <c r="D53" s="41" t="s">
        <v>35</v>
      </c>
      <c r="E53" s="43" t="s">
        <v>37</v>
      </c>
      <c r="F53" s="30">
        <v>100.0</v>
      </c>
      <c r="H53" s="31">
        <v>100.0</v>
      </c>
      <c r="J53" s="31">
        <v>0.0</v>
      </c>
      <c r="L53" s="31">
        <v>0.0</v>
      </c>
      <c r="N53" s="31">
        <v>0.0</v>
      </c>
      <c r="P53" s="31">
        <v>0.0</v>
      </c>
      <c r="Q53" s="29"/>
      <c r="R53" s="30">
        <v>200.0</v>
      </c>
      <c r="T53" s="31">
        <v>250.0</v>
      </c>
      <c r="V53" s="31">
        <v>0.0</v>
      </c>
      <c r="X53" s="31">
        <v>0.0</v>
      </c>
      <c r="Z53" s="31">
        <v>0.0</v>
      </c>
      <c r="AB53" s="31">
        <v>10.0</v>
      </c>
      <c r="AC53" s="29"/>
      <c r="AD53" s="33"/>
      <c r="AF53" s="34"/>
      <c r="AH53" s="34"/>
      <c r="AJ53" s="34"/>
      <c r="AL53" s="34"/>
      <c r="AN53" s="34"/>
      <c r="AO53" s="29"/>
      <c r="AP53" s="47">
        <f t="shared" si="7"/>
        <v>11616</v>
      </c>
      <c r="AQ53" s="48">
        <f t="shared" si="2"/>
        <v>650</v>
      </c>
      <c r="AR53" s="41">
        <f t="shared" si="3"/>
        <v>10</v>
      </c>
      <c r="AS53" s="41">
        <f t="shared" si="4"/>
        <v>660</v>
      </c>
      <c r="AT53" s="46">
        <f t="shared" si="5"/>
        <v>17.6</v>
      </c>
      <c r="AU53" s="37"/>
      <c r="AV53" s="37"/>
      <c r="AW53" s="37"/>
      <c r="AX53" s="37"/>
      <c r="AY53" s="37"/>
    </row>
    <row r="54" ht="15.75" customHeight="1">
      <c r="A54" s="39" t="s">
        <v>28</v>
      </c>
      <c r="B54" s="40">
        <f t="shared" si="6"/>
        <v>44614</v>
      </c>
      <c r="C54" s="41">
        <v>2.0</v>
      </c>
      <c r="D54" s="41" t="s">
        <v>35</v>
      </c>
      <c r="E54" s="43" t="s">
        <v>37</v>
      </c>
      <c r="F54" s="30">
        <v>100.0</v>
      </c>
      <c r="H54" s="31">
        <v>100.0</v>
      </c>
      <c r="J54" s="31">
        <v>0.0</v>
      </c>
      <c r="L54" s="31">
        <v>0.0</v>
      </c>
      <c r="N54" s="31">
        <v>0.0</v>
      </c>
      <c r="P54" s="31">
        <v>0.0</v>
      </c>
      <c r="Q54" s="29"/>
      <c r="R54" s="30">
        <v>200.0</v>
      </c>
      <c r="T54" s="31">
        <v>250.0</v>
      </c>
      <c r="V54" s="31">
        <v>0.0</v>
      </c>
      <c r="X54" s="31">
        <v>0.0</v>
      </c>
      <c r="Z54" s="31">
        <v>0.0</v>
      </c>
      <c r="AB54" s="31">
        <v>0.0</v>
      </c>
      <c r="AC54" s="29"/>
      <c r="AD54" s="33"/>
      <c r="AF54" s="34"/>
      <c r="AH54" s="34"/>
      <c r="AJ54" s="34"/>
      <c r="AL54" s="34"/>
      <c r="AN54" s="34"/>
      <c r="AO54" s="29"/>
      <c r="AP54" s="47">
        <f t="shared" si="7"/>
        <v>11560</v>
      </c>
      <c r="AQ54" s="48">
        <f t="shared" si="2"/>
        <v>650</v>
      </c>
      <c r="AR54" s="41">
        <f t="shared" si="3"/>
        <v>0</v>
      </c>
      <c r="AS54" s="41">
        <f t="shared" si="4"/>
        <v>650</v>
      </c>
      <c r="AT54" s="46">
        <f t="shared" si="5"/>
        <v>17.78461538</v>
      </c>
      <c r="AU54" s="37"/>
      <c r="AV54" s="37"/>
      <c r="AW54" s="37"/>
      <c r="AX54" s="37"/>
      <c r="AY54" s="37"/>
    </row>
    <row r="55" ht="15.75" customHeight="1">
      <c r="A55" s="39" t="s">
        <v>29</v>
      </c>
      <c r="B55" s="40">
        <f t="shared" si="6"/>
        <v>44615</v>
      </c>
      <c r="C55" s="41">
        <v>2.0</v>
      </c>
      <c r="D55" s="41" t="s">
        <v>35</v>
      </c>
      <c r="E55" s="43" t="s">
        <v>37</v>
      </c>
      <c r="F55" s="30">
        <v>100.0</v>
      </c>
      <c r="H55" s="31">
        <v>100.0</v>
      </c>
      <c r="J55" s="31">
        <v>0.0</v>
      </c>
      <c r="L55" s="31">
        <v>0.0</v>
      </c>
      <c r="N55" s="31">
        <v>0.0</v>
      </c>
      <c r="P55" s="31">
        <v>0.0</v>
      </c>
      <c r="Q55" s="29"/>
      <c r="R55" s="30">
        <v>200.0</v>
      </c>
      <c r="T55" s="31">
        <v>250.0</v>
      </c>
      <c r="V55" s="31">
        <v>0.0</v>
      </c>
      <c r="X55" s="31">
        <v>0.0</v>
      </c>
      <c r="Z55" s="31">
        <v>0.0</v>
      </c>
      <c r="AB55" s="31">
        <v>20.0</v>
      </c>
      <c r="AC55" s="29"/>
      <c r="AD55" s="33"/>
      <c r="AF55" s="34"/>
      <c r="AH55" s="34"/>
      <c r="AJ55" s="34"/>
      <c r="AL55" s="34"/>
      <c r="AN55" s="34"/>
      <c r="AO55" s="29"/>
      <c r="AP55" s="47">
        <f t="shared" si="7"/>
        <v>11672</v>
      </c>
      <c r="AQ55" s="48">
        <f t="shared" si="2"/>
        <v>650</v>
      </c>
      <c r="AR55" s="41">
        <f t="shared" si="3"/>
        <v>20</v>
      </c>
      <c r="AS55" s="41">
        <f t="shared" si="4"/>
        <v>670</v>
      </c>
      <c r="AT55" s="46">
        <f t="shared" si="5"/>
        <v>17.42089552</v>
      </c>
      <c r="AU55" s="37"/>
      <c r="AV55" s="37"/>
      <c r="AW55" s="37"/>
      <c r="AX55" s="37"/>
      <c r="AY55" s="37"/>
    </row>
    <row r="56" ht="15.75" customHeight="1">
      <c r="A56" s="39" t="s">
        <v>30</v>
      </c>
      <c r="B56" s="40">
        <f t="shared" si="6"/>
        <v>44616</v>
      </c>
      <c r="C56" s="41">
        <v>2.0</v>
      </c>
      <c r="D56" s="41" t="s">
        <v>35</v>
      </c>
      <c r="E56" s="43" t="s">
        <v>37</v>
      </c>
      <c r="F56" s="30">
        <v>100.0</v>
      </c>
      <c r="H56" s="31">
        <v>100.0</v>
      </c>
      <c r="J56" s="31">
        <v>0.0</v>
      </c>
      <c r="L56" s="31">
        <v>0.0</v>
      </c>
      <c r="N56" s="31">
        <v>0.0</v>
      </c>
      <c r="P56" s="31">
        <v>0.0</v>
      </c>
      <c r="Q56" s="29"/>
      <c r="R56" s="30">
        <v>200.0</v>
      </c>
      <c r="T56" s="31">
        <v>280.0</v>
      </c>
      <c r="V56" s="31">
        <v>0.0</v>
      </c>
      <c r="X56" s="31">
        <v>0.0</v>
      </c>
      <c r="Z56" s="31">
        <v>0.0</v>
      </c>
      <c r="AB56" s="31">
        <v>0.0</v>
      </c>
      <c r="AC56" s="29"/>
      <c r="AD56" s="33"/>
      <c r="AF56" s="34"/>
      <c r="AH56" s="34"/>
      <c r="AJ56" s="34"/>
      <c r="AL56" s="34"/>
      <c r="AN56" s="34"/>
      <c r="AO56" s="29"/>
      <c r="AP56" s="47">
        <f t="shared" si="7"/>
        <v>11968</v>
      </c>
      <c r="AQ56" s="48">
        <f t="shared" si="2"/>
        <v>680</v>
      </c>
      <c r="AR56" s="41">
        <f t="shared" si="3"/>
        <v>0</v>
      </c>
      <c r="AS56" s="41">
        <f t="shared" si="4"/>
        <v>680</v>
      </c>
      <c r="AT56" s="46">
        <f t="shared" si="5"/>
        <v>17.6</v>
      </c>
      <c r="AU56" s="37"/>
      <c r="AV56" s="37"/>
      <c r="AW56" s="37"/>
      <c r="AX56" s="37"/>
      <c r="AY56" s="37"/>
    </row>
    <row r="57" ht="15.75" customHeight="1">
      <c r="A57" s="39" t="s">
        <v>31</v>
      </c>
      <c r="B57" s="40">
        <f t="shared" si="6"/>
        <v>44617</v>
      </c>
      <c r="C57" s="41">
        <v>2.0</v>
      </c>
      <c r="D57" s="41" t="s">
        <v>35</v>
      </c>
      <c r="E57" s="43" t="s">
        <v>37</v>
      </c>
      <c r="F57" s="30">
        <v>100.0</v>
      </c>
      <c r="H57" s="31">
        <v>100.0</v>
      </c>
      <c r="J57" s="31">
        <v>0.0</v>
      </c>
      <c r="L57" s="31">
        <v>0.0</v>
      </c>
      <c r="N57" s="31">
        <v>0.0</v>
      </c>
      <c r="P57" s="31">
        <v>0.0</v>
      </c>
      <c r="Q57" s="29"/>
      <c r="R57" s="30">
        <v>200.0</v>
      </c>
      <c r="T57" s="31">
        <v>280.0</v>
      </c>
      <c r="V57" s="31">
        <v>0.0</v>
      </c>
      <c r="X57" s="31">
        <v>0.0</v>
      </c>
      <c r="Z57" s="31">
        <v>0.0</v>
      </c>
      <c r="AB57" s="31">
        <v>0.0</v>
      </c>
      <c r="AC57" s="29"/>
      <c r="AD57" s="33"/>
      <c r="AF57" s="34"/>
      <c r="AH57" s="34"/>
      <c r="AJ57" s="34"/>
      <c r="AL57" s="34"/>
      <c r="AN57" s="34"/>
      <c r="AO57" s="29"/>
      <c r="AP57" s="47">
        <f t="shared" si="7"/>
        <v>11968</v>
      </c>
      <c r="AQ57" s="48">
        <f t="shared" si="2"/>
        <v>680</v>
      </c>
      <c r="AR57" s="41">
        <f t="shared" si="3"/>
        <v>0</v>
      </c>
      <c r="AS57" s="41">
        <f t="shared" si="4"/>
        <v>680</v>
      </c>
      <c r="AT57" s="46">
        <f t="shared" si="5"/>
        <v>17.6</v>
      </c>
      <c r="AU57" s="37"/>
      <c r="AV57" s="37"/>
      <c r="AW57" s="37"/>
      <c r="AX57" s="37"/>
      <c r="AY57" s="37"/>
    </row>
    <row r="58" ht="15.75" customHeight="1">
      <c r="A58" s="49" t="s">
        <v>32</v>
      </c>
      <c r="B58" s="50">
        <f t="shared" si="6"/>
        <v>44618</v>
      </c>
      <c r="C58" s="51">
        <v>2.0</v>
      </c>
      <c r="D58" s="51" t="s">
        <v>35</v>
      </c>
      <c r="E58" s="53" t="s">
        <v>37</v>
      </c>
      <c r="F58" s="64">
        <v>100.0</v>
      </c>
      <c r="G58" s="55"/>
      <c r="H58" s="65">
        <v>70.0</v>
      </c>
      <c r="I58" s="55"/>
      <c r="J58" s="65">
        <v>0.0</v>
      </c>
      <c r="K58" s="55"/>
      <c r="L58" s="65">
        <v>0.0</v>
      </c>
      <c r="M58" s="55"/>
      <c r="N58" s="65">
        <v>0.0</v>
      </c>
      <c r="O58" s="55"/>
      <c r="P58" s="65">
        <v>0.0</v>
      </c>
      <c r="Q58" s="58"/>
      <c r="R58" s="64">
        <v>200.0</v>
      </c>
      <c r="S58" s="55"/>
      <c r="T58" s="65">
        <v>280.0</v>
      </c>
      <c r="U58" s="55"/>
      <c r="V58" s="65">
        <v>0.0</v>
      </c>
      <c r="W58" s="55"/>
      <c r="X58" s="65">
        <v>0.0</v>
      </c>
      <c r="Y58" s="55"/>
      <c r="Z58" s="65">
        <v>0.0</v>
      </c>
      <c r="AA58" s="55"/>
      <c r="AB58" s="65">
        <v>0.0</v>
      </c>
      <c r="AC58" s="58"/>
      <c r="AD58" s="66"/>
      <c r="AE58" s="55"/>
      <c r="AF58" s="67"/>
      <c r="AG58" s="55"/>
      <c r="AH58" s="67"/>
      <c r="AI58" s="55"/>
      <c r="AJ58" s="67"/>
      <c r="AK58" s="55"/>
      <c r="AL58" s="67"/>
      <c r="AM58" s="55"/>
      <c r="AN58" s="67"/>
      <c r="AO58" s="58"/>
      <c r="AP58" s="68">
        <f t="shared" si="7"/>
        <v>11152</v>
      </c>
      <c r="AQ58" s="69">
        <f t="shared" si="2"/>
        <v>650</v>
      </c>
      <c r="AR58" s="51">
        <f t="shared" si="3"/>
        <v>0</v>
      </c>
      <c r="AS58" s="51">
        <f t="shared" si="4"/>
        <v>650</v>
      </c>
      <c r="AT58" s="61">
        <f t="shared" si="5"/>
        <v>17.15692308</v>
      </c>
      <c r="AU58" s="37"/>
      <c r="AV58" s="37"/>
      <c r="AW58" s="37"/>
      <c r="AX58" s="37"/>
      <c r="AY58" s="37"/>
    </row>
    <row r="59" ht="15.75" customHeight="1">
      <c r="A59" s="21" t="s">
        <v>24</v>
      </c>
      <c r="B59" s="62">
        <f t="shared" si="6"/>
        <v>44619</v>
      </c>
      <c r="C59" s="23">
        <v>3.0</v>
      </c>
      <c r="D59" s="23" t="s">
        <v>25</v>
      </c>
      <c r="E59" s="63" t="s">
        <v>37</v>
      </c>
      <c r="F59" s="30">
        <v>100.0</v>
      </c>
      <c r="H59" s="31">
        <v>70.0</v>
      </c>
      <c r="J59" s="31">
        <v>0.0</v>
      </c>
      <c r="L59" s="31">
        <v>0.0</v>
      </c>
      <c r="N59" s="31">
        <v>0.0</v>
      </c>
      <c r="P59" s="31">
        <v>0.0</v>
      </c>
      <c r="Q59" s="29"/>
      <c r="R59" s="30">
        <v>200.0</v>
      </c>
      <c r="T59" s="31">
        <v>250.0</v>
      </c>
      <c r="V59" s="31">
        <v>0.0</v>
      </c>
      <c r="X59" s="31">
        <v>0.0</v>
      </c>
      <c r="Z59" s="31">
        <v>0.0</v>
      </c>
      <c r="AB59" s="31">
        <v>20.0</v>
      </c>
      <c r="AC59" s="29"/>
      <c r="AD59" s="33"/>
      <c r="AF59" s="34"/>
      <c r="AH59" s="34"/>
      <c r="AJ59" s="34"/>
      <c r="AL59" s="34"/>
      <c r="AN59" s="34"/>
      <c r="AO59" s="29"/>
      <c r="AP59" s="38">
        <f t="shared" si="7"/>
        <v>10856</v>
      </c>
      <c r="AQ59" s="44">
        <f t="shared" si="2"/>
        <v>620</v>
      </c>
      <c r="AR59" s="23">
        <f t="shared" si="3"/>
        <v>20</v>
      </c>
      <c r="AS59" s="23">
        <f t="shared" si="4"/>
        <v>640</v>
      </c>
      <c r="AT59" s="36">
        <f t="shared" si="5"/>
        <v>16.9625</v>
      </c>
      <c r="AU59" s="37"/>
      <c r="AV59" s="37"/>
      <c r="AW59" s="37"/>
      <c r="AX59" s="37"/>
      <c r="AY59" s="37"/>
    </row>
    <row r="60" ht="15.75" customHeight="1">
      <c r="A60" s="39" t="s">
        <v>27</v>
      </c>
      <c r="B60" s="40">
        <f t="shared" si="6"/>
        <v>44620</v>
      </c>
      <c r="C60" s="41">
        <v>3.0</v>
      </c>
      <c r="D60" s="41" t="s">
        <v>25</v>
      </c>
      <c r="E60" s="43" t="s">
        <v>37</v>
      </c>
      <c r="F60" s="30">
        <v>100.0</v>
      </c>
      <c r="H60" s="31">
        <v>100.0</v>
      </c>
      <c r="J60" s="31">
        <v>0.0</v>
      </c>
      <c r="L60" s="31">
        <v>0.0</v>
      </c>
      <c r="N60" s="31">
        <v>0.0</v>
      </c>
      <c r="P60" s="31">
        <v>0.0</v>
      </c>
      <c r="Q60" s="29"/>
      <c r="R60" s="30">
        <v>200.0</v>
      </c>
      <c r="T60" s="31">
        <v>250.0</v>
      </c>
      <c r="V60" s="31">
        <v>0.0</v>
      </c>
      <c r="X60" s="31">
        <v>0.0</v>
      </c>
      <c r="Z60" s="31">
        <v>0.0</v>
      </c>
      <c r="AB60" s="31">
        <v>25.0</v>
      </c>
      <c r="AC60" s="29"/>
      <c r="AD60" s="33"/>
      <c r="AF60" s="34"/>
      <c r="AH60" s="34"/>
      <c r="AJ60" s="34"/>
      <c r="AL60" s="34"/>
      <c r="AN60" s="34"/>
      <c r="AO60" s="29"/>
      <c r="AP60" s="47">
        <f t="shared" si="7"/>
        <v>11700</v>
      </c>
      <c r="AQ60" s="48">
        <f t="shared" si="2"/>
        <v>650</v>
      </c>
      <c r="AR60" s="41">
        <f t="shared" si="3"/>
        <v>25</v>
      </c>
      <c r="AS60" s="41">
        <f t="shared" si="4"/>
        <v>675</v>
      </c>
      <c r="AT60" s="46">
        <f t="shared" si="5"/>
        <v>17.33333333</v>
      </c>
      <c r="AU60" s="37"/>
      <c r="AV60" s="37"/>
      <c r="AW60" s="37"/>
      <c r="AX60" s="37"/>
      <c r="AY60" s="37"/>
    </row>
    <row r="61" ht="15.75" customHeight="1">
      <c r="A61" s="39" t="s">
        <v>28</v>
      </c>
      <c r="B61" s="40">
        <f t="shared" si="6"/>
        <v>44621</v>
      </c>
      <c r="C61" s="41">
        <v>3.0</v>
      </c>
      <c r="D61" s="41" t="s">
        <v>25</v>
      </c>
      <c r="E61" s="43" t="s">
        <v>37</v>
      </c>
      <c r="F61" s="30">
        <v>100.0</v>
      </c>
      <c r="H61" s="31">
        <v>70.0</v>
      </c>
      <c r="J61" s="31">
        <v>0.0</v>
      </c>
      <c r="L61" s="31">
        <v>0.0</v>
      </c>
      <c r="N61" s="31">
        <v>0.0</v>
      </c>
      <c r="P61" s="31">
        <v>0.0</v>
      </c>
      <c r="Q61" s="29"/>
      <c r="R61" s="30">
        <v>200.0</v>
      </c>
      <c r="T61" s="31">
        <v>250.0</v>
      </c>
      <c r="V61" s="31">
        <v>0.0</v>
      </c>
      <c r="X61" s="31">
        <v>0.0</v>
      </c>
      <c r="Z61" s="31">
        <v>0.0</v>
      </c>
      <c r="AB61" s="31">
        <v>20.0</v>
      </c>
      <c r="AC61" s="29"/>
      <c r="AD61" s="33"/>
      <c r="AF61" s="34"/>
      <c r="AH61" s="34"/>
      <c r="AJ61" s="34"/>
      <c r="AL61" s="34"/>
      <c r="AN61" s="34"/>
      <c r="AO61" s="29"/>
      <c r="AP61" s="47">
        <f t="shared" si="7"/>
        <v>10856</v>
      </c>
      <c r="AQ61" s="48">
        <f t="shared" si="2"/>
        <v>620</v>
      </c>
      <c r="AR61" s="41">
        <f t="shared" si="3"/>
        <v>20</v>
      </c>
      <c r="AS61" s="41">
        <f t="shared" si="4"/>
        <v>640</v>
      </c>
      <c r="AT61" s="46">
        <f t="shared" si="5"/>
        <v>16.9625</v>
      </c>
      <c r="AU61" s="37"/>
      <c r="AV61" s="37"/>
      <c r="AW61" s="37"/>
      <c r="AX61" s="37"/>
      <c r="AY61" s="37"/>
    </row>
    <row r="62" ht="15.75" customHeight="1">
      <c r="A62" s="39" t="s">
        <v>29</v>
      </c>
      <c r="B62" s="40">
        <f t="shared" si="6"/>
        <v>44622</v>
      </c>
      <c r="C62" s="41">
        <v>3.0</v>
      </c>
      <c r="D62" s="41" t="s">
        <v>25</v>
      </c>
      <c r="E62" s="43" t="s">
        <v>37</v>
      </c>
      <c r="F62" s="30">
        <v>100.0</v>
      </c>
      <c r="H62" s="31">
        <v>70.0</v>
      </c>
      <c r="J62" s="31">
        <v>0.0</v>
      </c>
      <c r="L62" s="31">
        <v>0.0</v>
      </c>
      <c r="N62" s="31">
        <v>0.0</v>
      </c>
      <c r="P62" s="31">
        <v>0.0</v>
      </c>
      <c r="Q62" s="29"/>
      <c r="R62" s="30">
        <v>200.0</v>
      </c>
      <c r="T62" s="31">
        <v>250.0</v>
      </c>
      <c r="V62" s="31">
        <v>0.0</v>
      </c>
      <c r="X62" s="31">
        <v>0.0</v>
      </c>
      <c r="Z62" s="31">
        <v>0.0</v>
      </c>
      <c r="AB62" s="31">
        <v>10.0</v>
      </c>
      <c r="AC62" s="29"/>
      <c r="AD62" s="33"/>
      <c r="AF62" s="34"/>
      <c r="AH62" s="34"/>
      <c r="AJ62" s="34"/>
      <c r="AL62" s="34"/>
      <c r="AN62" s="34"/>
      <c r="AO62" s="29"/>
      <c r="AP62" s="47">
        <f t="shared" si="7"/>
        <v>10800</v>
      </c>
      <c r="AQ62" s="48">
        <f t="shared" si="2"/>
        <v>620</v>
      </c>
      <c r="AR62" s="41">
        <f t="shared" si="3"/>
        <v>10</v>
      </c>
      <c r="AS62" s="41">
        <f t="shared" si="4"/>
        <v>630</v>
      </c>
      <c r="AT62" s="46">
        <f t="shared" si="5"/>
        <v>17.14285714</v>
      </c>
      <c r="AU62" s="37"/>
      <c r="AV62" s="37"/>
      <c r="AW62" s="37"/>
      <c r="AX62" s="37"/>
      <c r="AY62" s="37"/>
    </row>
    <row r="63" ht="15.75" customHeight="1">
      <c r="A63" s="39" t="s">
        <v>30</v>
      </c>
      <c r="B63" s="40">
        <f t="shared" si="6"/>
        <v>44623</v>
      </c>
      <c r="C63" s="41">
        <v>3.0</v>
      </c>
      <c r="D63" s="41" t="s">
        <v>25</v>
      </c>
      <c r="E63" s="43" t="s">
        <v>37</v>
      </c>
      <c r="F63" s="30">
        <v>100.0</v>
      </c>
      <c r="H63" s="31">
        <v>100.0</v>
      </c>
      <c r="J63" s="31">
        <v>0.0</v>
      </c>
      <c r="L63" s="31">
        <v>0.0</v>
      </c>
      <c r="N63" s="31">
        <v>0.0</v>
      </c>
      <c r="P63" s="31">
        <v>0.0</v>
      </c>
      <c r="Q63" s="29"/>
      <c r="R63" s="30">
        <v>200.0</v>
      </c>
      <c r="T63" s="31">
        <v>250.0</v>
      </c>
      <c r="V63" s="31">
        <v>0.0</v>
      </c>
      <c r="X63" s="31">
        <v>0.0</v>
      </c>
      <c r="Z63" s="31">
        <v>0.0</v>
      </c>
      <c r="AB63" s="31">
        <v>10.0</v>
      </c>
      <c r="AC63" s="29"/>
      <c r="AD63" s="33"/>
      <c r="AF63" s="34"/>
      <c r="AH63" s="34"/>
      <c r="AJ63" s="34"/>
      <c r="AL63" s="34"/>
      <c r="AN63" s="34"/>
      <c r="AO63" s="29"/>
      <c r="AP63" s="47">
        <f t="shared" si="7"/>
        <v>11616</v>
      </c>
      <c r="AQ63" s="48">
        <f t="shared" si="2"/>
        <v>650</v>
      </c>
      <c r="AR63" s="41">
        <f t="shared" si="3"/>
        <v>10</v>
      </c>
      <c r="AS63" s="41">
        <f t="shared" si="4"/>
        <v>660</v>
      </c>
      <c r="AT63" s="46">
        <f t="shared" si="5"/>
        <v>17.6</v>
      </c>
      <c r="AU63" s="37"/>
      <c r="AV63" s="37"/>
      <c r="AW63" s="37"/>
      <c r="AX63" s="37"/>
      <c r="AY63" s="37"/>
    </row>
    <row r="64" ht="15.75" customHeight="1">
      <c r="A64" s="39" t="s">
        <v>31</v>
      </c>
      <c r="B64" s="40">
        <f t="shared" si="6"/>
        <v>44624</v>
      </c>
      <c r="C64" s="41">
        <v>3.0</v>
      </c>
      <c r="D64" s="41" t="s">
        <v>25</v>
      </c>
      <c r="E64" s="43" t="s">
        <v>37</v>
      </c>
      <c r="F64" s="30">
        <v>100.0</v>
      </c>
      <c r="H64" s="31">
        <v>70.0</v>
      </c>
      <c r="J64" s="31">
        <v>0.0</v>
      </c>
      <c r="L64" s="31">
        <v>0.0</v>
      </c>
      <c r="N64" s="31">
        <v>0.0</v>
      </c>
      <c r="P64" s="31">
        <v>0.0</v>
      </c>
      <c r="Q64" s="29"/>
      <c r="R64" s="30">
        <v>200.0</v>
      </c>
      <c r="T64" s="31">
        <v>250.0</v>
      </c>
      <c r="V64" s="31">
        <v>0.0</v>
      </c>
      <c r="X64" s="31">
        <v>0.0</v>
      </c>
      <c r="Z64" s="31">
        <v>0.0</v>
      </c>
      <c r="AB64" s="31">
        <v>20.0</v>
      </c>
      <c r="AC64" s="29"/>
      <c r="AD64" s="33"/>
      <c r="AF64" s="34"/>
      <c r="AH64" s="34"/>
      <c r="AJ64" s="34"/>
      <c r="AL64" s="34"/>
      <c r="AN64" s="34"/>
      <c r="AO64" s="29"/>
      <c r="AP64" s="47">
        <f t="shared" si="7"/>
        <v>10856</v>
      </c>
      <c r="AQ64" s="48">
        <f t="shared" si="2"/>
        <v>620</v>
      </c>
      <c r="AR64" s="41">
        <f t="shared" si="3"/>
        <v>20</v>
      </c>
      <c r="AS64" s="41">
        <f t="shared" si="4"/>
        <v>640</v>
      </c>
      <c r="AT64" s="46">
        <f t="shared" si="5"/>
        <v>16.9625</v>
      </c>
      <c r="AU64" s="37"/>
      <c r="AV64" s="37"/>
      <c r="AW64" s="37"/>
      <c r="AX64" s="37"/>
      <c r="AY64" s="37"/>
    </row>
    <row r="65" ht="15.75" customHeight="1">
      <c r="A65" s="49" t="s">
        <v>32</v>
      </c>
      <c r="B65" s="50">
        <f t="shared" si="6"/>
        <v>44625</v>
      </c>
      <c r="C65" s="51">
        <v>3.0</v>
      </c>
      <c r="D65" s="51" t="s">
        <v>25</v>
      </c>
      <c r="E65" s="53" t="s">
        <v>37</v>
      </c>
      <c r="F65" s="64">
        <v>100.0</v>
      </c>
      <c r="G65" s="55"/>
      <c r="H65" s="65">
        <v>100.0</v>
      </c>
      <c r="I65" s="55"/>
      <c r="J65" s="65">
        <v>0.0</v>
      </c>
      <c r="K65" s="55"/>
      <c r="L65" s="65">
        <v>0.0</v>
      </c>
      <c r="M65" s="55"/>
      <c r="N65" s="65">
        <v>0.0</v>
      </c>
      <c r="O65" s="55"/>
      <c r="P65" s="65">
        <v>0.0</v>
      </c>
      <c r="Q65" s="58"/>
      <c r="R65" s="64">
        <v>185.0</v>
      </c>
      <c r="S65" s="55"/>
      <c r="T65" s="65">
        <v>225.0</v>
      </c>
      <c r="U65" s="55"/>
      <c r="V65" s="65">
        <v>0.0</v>
      </c>
      <c r="W65" s="55"/>
      <c r="X65" s="65">
        <v>0.0</v>
      </c>
      <c r="Y65" s="55"/>
      <c r="Z65" s="65">
        <v>0.0</v>
      </c>
      <c r="AA65" s="55"/>
      <c r="AB65" s="65">
        <v>0.0</v>
      </c>
      <c r="AC65" s="58"/>
      <c r="AD65" s="66"/>
      <c r="AE65" s="55"/>
      <c r="AF65" s="67"/>
      <c r="AG65" s="55"/>
      <c r="AH65" s="67"/>
      <c r="AI65" s="55"/>
      <c r="AJ65" s="67"/>
      <c r="AK65" s="55"/>
      <c r="AL65" s="67"/>
      <c r="AM65" s="55"/>
      <c r="AN65" s="67"/>
      <c r="AO65" s="58"/>
      <c r="AP65" s="68">
        <f t="shared" si="7"/>
        <v>11016</v>
      </c>
      <c r="AQ65" s="69">
        <f t="shared" si="2"/>
        <v>610</v>
      </c>
      <c r="AR65" s="51">
        <f t="shared" si="3"/>
        <v>0</v>
      </c>
      <c r="AS65" s="51">
        <f t="shared" si="4"/>
        <v>610</v>
      </c>
      <c r="AT65" s="61">
        <f t="shared" si="5"/>
        <v>18.05901639</v>
      </c>
      <c r="AU65" s="37"/>
      <c r="AV65" s="37"/>
      <c r="AW65" s="37"/>
      <c r="AX65" s="37"/>
      <c r="AY65" s="37"/>
    </row>
    <row r="66" ht="15.75" customHeight="1">
      <c r="A66" s="21" t="s">
        <v>24</v>
      </c>
      <c r="B66" s="62">
        <f t="shared" si="6"/>
        <v>44626</v>
      </c>
      <c r="C66" s="23">
        <v>3.0</v>
      </c>
      <c r="D66" s="23" t="s">
        <v>33</v>
      </c>
      <c r="E66" s="63" t="s">
        <v>37</v>
      </c>
      <c r="F66" s="30">
        <v>100.0</v>
      </c>
      <c r="H66" s="31">
        <v>70.0</v>
      </c>
      <c r="J66" s="31">
        <v>0.0</v>
      </c>
      <c r="L66" s="31">
        <v>0.0</v>
      </c>
      <c r="N66" s="31">
        <v>0.0</v>
      </c>
      <c r="P66" s="31">
        <v>0.0</v>
      </c>
      <c r="Q66" s="29"/>
      <c r="R66" s="30">
        <v>300.0</v>
      </c>
      <c r="T66" s="31">
        <v>300.0</v>
      </c>
      <c r="V66" s="31">
        <v>0.0</v>
      </c>
      <c r="X66" s="31">
        <v>0.0</v>
      </c>
      <c r="Z66" s="31">
        <v>0.0</v>
      </c>
      <c r="AB66" s="31">
        <v>100.0</v>
      </c>
      <c r="AC66" s="29"/>
      <c r="AD66" s="33"/>
      <c r="AF66" s="34"/>
      <c r="AH66" s="34"/>
      <c r="AJ66" s="34"/>
      <c r="AL66" s="34"/>
      <c r="AN66" s="34"/>
      <c r="AO66" s="29"/>
      <c r="AP66" s="38">
        <f t="shared" si="7"/>
        <v>13344</v>
      </c>
      <c r="AQ66" s="44">
        <f t="shared" si="2"/>
        <v>770</v>
      </c>
      <c r="AR66" s="23">
        <f t="shared" si="3"/>
        <v>100</v>
      </c>
      <c r="AS66" s="23">
        <f t="shared" si="4"/>
        <v>870</v>
      </c>
      <c r="AT66" s="36">
        <f t="shared" si="5"/>
        <v>15.33793103</v>
      </c>
      <c r="AU66" s="37"/>
      <c r="AV66" s="37"/>
      <c r="AW66" s="37"/>
      <c r="AX66" s="37"/>
      <c r="AY66" s="37"/>
    </row>
    <row r="67" ht="15.75" customHeight="1">
      <c r="A67" s="39" t="s">
        <v>27</v>
      </c>
      <c r="B67" s="40">
        <f t="shared" si="6"/>
        <v>44627</v>
      </c>
      <c r="C67" s="41">
        <v>3.0</v>
      </c>
      <c r="D67" s="41" t="s">
        <v>33</v>
      </c>
      <c r="E67" s="43" t="s">
        <v>37</v>
      </c>
      <c r="F67" s="30">
        <v>100.0</v>
      </c>
      <c r="H67" s="31">
        <v>100.0</v>
      </c>
      <c r="J67" s="31">
        <v>0.0</v>
      </c>
      <c r="L67" s="31">
        <v>0.0</v>
      </c>
      <c r="N67" s="31">
        <v>0.0</v>
      </c>
      <c r="P67" s="31">
        <v>0.0</v>
      </c>
      <c r="Q67" s="29"/>
      <c r="R67" s="30">
        <v>350.0</v>
      </c>
      <c r="T67" s="31">
        <v>350.0</v>
      </c>
      <c r="V67" s="31">
        <v>0.0</v>
      </c>
      <c r="X67" s="31">
        <v>0.0</v>
      </c>
      <c r="Z67" s="31">
        <v>0.0</v>
      </c>
      <c r="AB67" s="31">
        <v>120.0</v>
      </c>
      <c r="AC67" s="29"/>
      <c r="AD67" s="33"/>
      <c r="AF67" s="34"/>
      <c r="AH67" s="34"/>
      <c r="AJ67" s="34"/>
      <c r="AL67" s="34"/>
      <c r="AN67" s="34"/>
      <c r="AO67" s="29"/>
      <c r="AP67" s="47">
        <f t="shared" si="7"/>
        <v>15632</v>
      </c>
      <c r="AQ67" s="48">
        <f t="shared" si="2"/>
        <v>900</v>
      </c>
      <c r="AR67" s="41">
        <f t="shared" si="3"/>
        <v>120</v>
      </c>
      <c r="AS67" s="41">
        <f t="shared" si="4"/>
        <v>1020</v>
      </c>
      <c r="AT67" s="46">
        <f t="shared" si="5"/>
        <v>15.3254902</v>
      </c>
      <c r="AU67" s="37"/>
      <c r="AV67" s="37"/>
      <c r="AW67" s="37"/>
      <c r="AX67" s="37"/>
      <c r="AY67" s="37"/>
    </row>
    <row r="68" ht="15.75" customHeight="1">
      <c r="A68" s="39" t="s">
        <v>28</v>
      </c>
      <c r="B68" s="40">
        <f t="shared" si="6"/>
        <v>44628</v>
      </c>
      <c r="C68" s="41">
        <v>3.0</v>
      </c>
      <c r="D68" s="41" t="s">
        <v>33</v>
      </c>
      <c r="E68" s="43" t="s">
        <v>37</v>
      </c>
      <c r="F68" s="30">
        <v>100.0</v>
      </c>
      <c r="H68" s="31">
        <v>50.0</v>
      </c>
      <c r="J68" s="31">
        <v>0.0</v>
      </c>
      <c r="L68" s="31">
        <v>0.0</v>
      </c>
      <c r="N68" s="31">
        <v>0.0</v>
      </c>
      <c r="P68" s="31">
        <v>0.0</v>
      </c>
      <c r="Q68" s="29"/>
      <c r="R68" s="30">
        <v>300.0</v>
      </c>
      <c r="T68" s="31">
        <v>315.0</v>
      </c>
      <c r="V68" s="31">
        <v>0.0</v>
      </c>
      <c r="X68" s="31">
        <v>0.0</v>
      </c>
      <c r="Z68" s="31">
        <v>0.0</v>
      </c>
      <c r="AB68" s="31">
        <v>60.0</v>
      </c>
      <c r="AC68" s="29"/>
      <c r="AD68" s="33"/>
      <c r="AF68" s="34"/>
      <c r="AH68" s="34"/>
      <c r="AJ68" s="34"/>
      <c r="AL68" s="34"/>
      <c r="AN68" s="34"/>
      <c r="AO68" s="29"/>
      <c r="AP68" s="47">
        <f t="shared" si="7"/>
        <v>12780</v>
      </c>
      <c r="AQ68" s="48">
        <f t="shared" si="2"/>
        <v>765</v>
      </c>
      <c r="AR68" s="41">
        <f t="shared" si="3"/>
        <v>60</v>
      </c>
      <c r="AS68" s="41">
        <f t="shared" si="4"/>
        <v>825</v>
      </c>
      <c r="AT68" s="46">
        <f t="shared" si="5"/>
        <v>15.49090909</v>
      </c>
      <c r="AU68" s="37"/>
      <c r="AV68" s="37"/>
      <c r="AW68" s="37"/>
      <c r="AX68" s="37"/>
      <c r="AY68" s="37"/>
    </row>
    <row r="69" ht="15.75" customHeight="1">
      <c r="A69" s="39" t="s">
        <v>29</v>
      </c>
      <c r="B69" s="40">
        <f t="shared" si="6"/>
        <v>44629</v>
      </c>
      <c r="C69" s="41">
        <v>3.0</v>
      </c>
      <c r="D69" s="41" t="s">
        <v>33</v>
      </c>
      <c r="E69" s="43" t="s">
        <v>37</v>
      </c>
      <c r="F69" s="30">
        <v>0.0</v>
      </c>
      <c r="H69" s="31">
        <v>0.0</v>
      </c>
      <c r="J69" s="31">
        <v>0.0</v>
      </c>
      <c r="L69" s="31">
        <v>0.0</v>
      </c>
      <c r="N69" s="31">
        <v>0.0</v>
      </c>
      <c r="P69" s="31">
        <v>0.0</v>
      </c>
      <c r="Q69" s="29"/>
      <c r="R69" s="30">
        <v>300.0</v>
      </c>
      <c r="T69" s="31">
        <v>300.0</v>
      </c>
      <c r="V69" s="31">
        <v>0.0</v>
      </c>
      <c r="X69" s="31">
        <v>0.0</v>
      </c>
      <c r="Z69" s="31">
        <v>0.0</v>
      </c>
      <c r="AB69" s="31">
        <v>65.0</v>
      </c>
      <c r="AC69" s="29"/>
      <c r="AD69" s="33"/>
      <c r="AF69" s="34"/>
      <c r="AH69" s="34"/>
      <c r="AJ69" s="34"/>
      <c r="AL69" s="34"/>
      <c r="AN69" s="34"/>
      <c r="AO69" s="29"/>
      <c r="AP69" s="47">
        <f t="shared" si="7"/>
        <v>8524</v>
      </c>
      <c r="AQ69" s="48">
        <f t="shared" si="2"/>
        <v>600</v>
      </c>
      <c r="AR69" s="41">
        <f t="shared" si="3"/>
        <v>65</v>
      </c>
      <c r="AS69" s="41">
        <f t="shared" si="4"/>
        <v>665</v>
      </c>
      <c r="AT69" s="46">
        <f t="shared" si="5"/>
        <v>12.81804511</v>
      </c>
      <c r="AU69" s="37"/>
      <c r="AV69" s="37"/>
      <c r="AW69" s="37"/>
      <c r="AX69" s="37"/>
      <c r="AY69" s="37"/>
    </row>
    <row r="70" ht="15.75" customHeight="1">
      <c r="A70" s="39" t="s">
        <v>30</v>
      </c>
      <c r="B70" s="40">
        <f t="shared" si="6"/>
        <v>44630</v>
      </c>
      <c r="C70" s="41">
        <v>3.0</v>
      </c>
      <c r="D70" s="41" t="s">
        <v>33</v>
      </c>
      <c r="E70" s="43" t="s">
        <v>37</v>
      </c>
      <c r="F70" s="30">
        <v>100.0</v>
      </c>
      <c r="H70" s="31">
        <v>50.0</v>
      </c>
      <c r="J70" s="31">
        <v>0.0</v>
      </c>
      <c r="L70" s="31">
        <v>0.0</v>
      </c>
      <c r="N70" s="31">
        <v>0.0</v>
      </c>
      <c r="P70" s="31">
        <v>0.0</v>
      </c>
      <c r="Q70" s="29"/>
      <c r="R70" s="30">
        <v>300.0</v>
      </c>
      <c r="T70" s="31">
        <v>300.0</v>
      </c>
      <c r="V70" s="31">
        <v>0.0</v>
      </c>
      <c r="X70" s="31">
        <v>0.0</v>
      </c>
      <c r="Z70" s="31">
        <v>0.0</v>
      </c>
      <c r="AB70" s="31">
        <v>50.0</v>
      </c>
      <c r="AC70" s="29"/>
      <c r="AD70" s="33"/>
      <c r="AF70" s="34"/>
      <c r="AH70" s="34"/>
      <c r="AJ70" s="34"/>
      <c r="AL70" s="34"/>
      <c r="AN70" s="34"/>
      <c r="AO70" s="29"/>
      <c r="AP70" s="47">
        <f t="shared" si="7"/>
        <v>12520</v>
      </c>
      <c r="AQ70" s="48">
        <f t="shared" si="2"/>
        <v>750</v>
      </c>
      <c r="AR70" s="41">
        <f t="shared" si="3"/>
        <v>50</v>
      </c>
      <c r="AS70" s="41">
        <f t="shared" si="4"/>
        <v>800</v>
      </c>
      <c r="AT70" s="46">
        <f t="shared" si="5"/>
        <v>15.65</v>
      </c>
      <c r="AU70" s="37"/>
      <c r="AV70" s="37"/>
      <c r="AW70" s="37"/>
      <c r="AX70" s="37"/>
      <c r="AY70" s="37"/>
    </row>
    <row r="71" ht="15.75" customHeight="1">
      <c r="A71" s="39" t="s">
        <v>31</v>
      </c>
      <c r="B71" s="40">
        <f t="shared" si="6"/>
        <v>44631</v>
      </c>
      <c r="C71" s="41">
        <v>3.0</v>
      </c>
      <c r="D71" s="41" t="s">
        <v>33</v>
      </c>
      <c r="E71" s="43" t="s">
        <v>37</v>
      </c>
      <c r="F71" s="30">
        <v>100.0</v>
      </c>
      <c r="H71" s="31">
        <v>100.0</v>
      </c>
      <c r="J71" s="31">
        <v>0.0</v>
      </c>
      <c r="L71" s="31">
        <v>0.0</v>
      </c>
      <c r="N71" s="31">
        <v>0.0</v>
      </c>
      <c r="P71" s="31">
        <v>0.0</v>
      </c>
      <c r="Q71" s="29"/>
      <c r="R71" s="30">
        <v>300.0</v>
      </c>
      <c r="T71" s="31">
        <v>300.0</v>
      </c>
      <c r="V71" s="31">
        <v>0.0</v>
      </c>
      <c r="X71" s="31">
        <v>0.0</v>
      </c>
      <c r="Z71" s="31">
        <v>0.0</v>
      </c>
      <c r="AB71" s="31">
        <v>65.0</v>
      </c>
      <c r="AC71" s="29"/>
      <c r="AD71" s="33"/>
      <c r="AF71" s="34"/>
      <c r="AH71" s="34"/>
      <c r="AJ71" s="34"/>
      <c r="AL71" s="34"/>
      <c r="AN71" s="34"/>
      <c r="AO71" s="29"/>
      <c r="AP71" s="47">
        <f t="shared" si="7"/>
        <v>13964</v>
      </c>
      <c r="AQ71" s="48">
        <f t="shared" si="2"/>
        <v>800</v>
      </c>
      <c r="AR71" s="41">
        <f t="shared" si="3"/>
        <v>65</v>
      </c>
      <c r="AS71" s="41">
        <f t="shared" si="4"/>
        <v>865</v>
      </c>
      <c r="AT71" s="46">
        <f t="shared" si="5"/>
        <v>16.1433526</v>
      </c>
      <c r="AU71" s="37"/>
      <c r="AV71" s="37"/>
      <c r="AW71" s="37"/>
      <c r="AX71" s="37"/>
      <c r="AY71" s="37"/>
    </row>
    <row r="72" ht="15.75" customHeight="1">
      <c r="A72" s="49" t="s">
        <v>32</v>
      </c>
      <c r="B72" s="50">
        <f t="shared" si="6"/>
        <v>44632</v>
      </c>
      <c r="C72" s="51">
        <v>3.0</v>
      </c>
      <c r="D72" s="51" t="s">
        <v>33</v>
      </c>
      <c r="E72" s="53" t="s">
        <v>37</v>
      </c>
      <c r="F72" s="64">
        <v>85.0</v>
      </c>
      <c r="G72" s="55"/>
      <c r="H72" s="65">
        <v>85.0</v>
      </c>
      <c r="I72" s="55"/>
      <c r="J72" s="65">
        <v>0.0</v>
      </c>
      <c r="K72" s="55"/>
      <c r="L72" s="65">
        <v>0.0</v>
      </c>
      <c r="M72" s="55"/>
      <c r="N72" s="65">
        <v>0.0</v>
      </c>
      <c r="O72" s="55"/>
      <c r="P72" s="65">
        <v>0.0</v>
      </c>
      <c r="Q72" s="58"/>
      <c r="R72" s="64">
        <v>300.0</v>
      </c>
      <c r="S72" s="55"/>
      <c r="T72" s="65">
        <v>300.0</v>
      </c>
      <c r="U72" s="55"/>
      <c r="V72" s="65">
        <v>0.0</v>
      </c>
      <c r="W72" s="55"/>
      <c r="X72" s="65">
        <v>0.0</v>
      </c>
      <c r="Y72" s="55"/>
      <c r="Z72" s="65">
        <v>0.0</v>
      </c>
      <c r="AA72" s="55"/>
      <c r="AB72" s="65">
        <v>60.0</v>
      </c>
      <c r="AC72" s="58"/>
      <c r="AD72" s="66"/>
      <c r="AE72" s="55"/>
      <c r="AF72" s="67"/>
      <c r="AG72" s="55"/>
      <c r="AH72" s="67"/>
      <c r="AI72" s="55"/>
      <c r="AJ72" s="67"/>
      <c r="AK72" s="55"/>
      <c r="AL72" s="67"/>
      <c r="AM72" s="55"/>
      <c r="AN72" s="67"/>
      <c r="AO72" s="58"/>
      <c r="AP72" s="68">
        <f t="shared" si="7"/>
        <v>13120</v>
      </c>
      <c r="AQ72" s="69">
        <f t="shared" si="2"/>
        <v>770</v>
      </c>
      <c r="AR72" s="51">
        <f t="shared" si="3"/>
        <v>60</v>
      </c>
      <c r="AS72" s="51">
        <f t="shared" si="4"/>
        <v>830</v>
      </c>
      <c r="AT72" s="61">
        <f t="shared" si="5"/>
        <v>15.80722892</v>
      </c>
      <c r="AU72" s="37"/>
      <c r="AV72" s="37"/>
      <c r="AW72" s="37"/>
      <c r="AX72" s="37"/>
      <c r="AY72" s="37"/>
    </row>
    <row r="73" ht="15.75" customHeight="1">
      <c r="A73" s="21" t="s">
        <v>24</v>
      </c>
      <c r="B73" s="62">
        <f t="shared" si="6"/>
        <v>44633</v>
      </c>
      <c r="C73" s="23">
        <v>3.0</v>
      </c>
      <c r="D73" s="23" t="s">
        <v>34</v>
      </c>
      <c r="E73" s="63" t="s">
        <v>37</v>
      </c>
      <c r="F73" s="30">
        <v>85.0</v>
      </c>
      <c r="H73" s="31">
        <v>85.0</v>
      </c>
      <c r="J73" s="31">
        <v>0.0</v>
      </c>
      <c r="L73" s="31">
        <v>0.0</v>
      </c>
      <c r="N73" s="31">
        <v>0.0</v>
      </c>
      <c r="P73" s="31">
        <v>0.0</v>
      </c>
      <c r="Q73" s="29"/>
      <c r="R73" s="30">
        <v>300.0</v>
      </c>
      <c r="T73" s="31">
        <v>300.0</v>
      </c>
      <c r="V73" s="31">
        <v>0.0</v>
      </c>
      <c r="X73" s="31">
        <v>0.0</v>
      </c>
      <c r="Z73" s="31">
        <v>0.0</v>
      </c>
      <c r="AB73" s="31">
        <v>40.0</v>
      </c>
      <c r="AC73" s="29"/>
      <c r="AD73" s="33"/>
      <c r="AF73" s="34"/>
      <c r="AH73" s="34"/>
      <c r="AJ73" s="34"/>
      <c r="AL73" s="34"/>
      <c r="AN73" s="34"/>
      <c r="AO73" s="29"/>
      <c r="AP73" s="38">
        <f t="shared" si="7"/>
        <v>13008</v>
      </c>
      <c r="AQ73" s="44">
        <f t="shared" si="2"/>
        <v>770</v>
      </c>
      <c r="AR73" s="23">
        <f t="shared" si="3"/>
        <v>40</v>
      </c>
      <c r="AS73" s="23">
        <f t="shared" si="4"/>
        <v>810</v>
      </c>
      <c r="AT73" s="36">
        <f t="shared" si="5"/>
        <v>16.05925926</v>
      </c>
      <c r="AU73" s="37"/>
      <c r="AV73" s="37"/>
      <c r="AW73" s="37"/>
      <c r="AX73" s="37"/>
      <c r="AY73" s="37"/>
    </row>
    <row r="74" ht="15.75" customHeight="1">
      <c r="A74" s="39" t="s">
        <v>27</v>
      </c>
      <c r="B74" s="40">
        <f t="shared" si="6"/>
        <v>44634</v>
      </c>
      <c r="C74" s="41">
        <v>3.0</v>
      </c>
      <c r="D74" s="41" t="s">
        <v>34</v>
      </c>
      <c r="E74" s="43" t="s">
        <v>37</v>
      </c>
      <c r="F74" s="30">
        <v>0.0</v>
      </c>
      <c r="H74" s="31">
        <v>0.0</v>
      </c>
      <c r="J74" s="31">
        <v>0.0</v>
      </c>
      <c r="L74" s="31">
        <v>0.0</v>
      </c>
      <c r="N74" s="31">
        <v>0.0</v>
      </c>
      <c r="P74" s="31">
        <v>0.0</v>
      </c>
      <c r="Q74" s="29"/>
      <c r="R74" s="30">
        <v>0.0</v>
      </c>
      <c r="T74" s="31">
        <v>0.0</v>
      </c>
      <c r="V74" s="31">
        <v>0.0</v>
      </c>
      <c r="X74" s="31">
        <v>0.0</v>
      </c>
      <c r="Z74" s="31">
        <v>0.0</v>
      </c>
      <c r="AB74" s="31">
        <v>0.0</v>
      </c>
      <c r="AC74" s="29"/>
      <c r="AD74" s="33"/>
      <c r="AF74" s="34"/>
      <c r="AH74" s="34"/>
      <c r="AJ74" s="34"/>
      <c r="AL74" s="34"/>
      <c r="AN74" s="34"/>
      <c r="AO74" s="29"/>
      <c r="AP74" s="47">
        <f t="shared" si="7"/>
        <v>0</v>
      </c>
      <c r="AQ74" s="48">
        <f t="shared" si="2"/>
        <v>0</v>
      </c>
      <c r="AR74" s="41">
        <f t="shared" si="3"/>
        <v>0</v>
      </c>
      <c r="AS74" s="41">
        <f t="shared" si="4"/>
        <v>0</v>
      </c>
      <c r="AT74" s="46" t="str">
        <f t="shared" si="5"/>
        <v/>
      </c>
      <c r="AU74" s="37"/>
      <c r="AV74" s="37"/>
      <c r="AW74" s="37"/>
      <c r="AX74" s="37"/>
      <c r="AY74" s="37"/>
    </row>
    <row r="75" ht="15.75" customHeight="1">
      <c r="A75" s="39" t="s">
        <v>28</v>
      </c>
      <c r="B75" s="40">
        <f t="shared" si="6"/>
        <v>44635</v>
      </c>
      <c r="C75" s="41">
        <v>3.0</v>
      </c>
      <c r="D75" s="41" t="s">
        <v>34</v>
      </c>
      <c r="E75" s="43" t="s">
        <v>37</v>
      </c>
      <c r="F75" s="30">
        <v>85.0</v>
      </c>
      <c r="H75" s="31">
        <v>85.0</v>
      </c>
      <c r="J75" s="31">
        <v>0.0</v>
      </c>
      <c r="L75" s="31">
        <v>0.0</v>
      </c>
      <c r="N75" s="31">
        <v>0.0</v>
      </c>
      <c r="P75" s="31">
        <v>0.0</v>
      </c>
      <c r="Q75" s="29"/>
      <c r="R75" s="30">
        <v>300.0</v>
      </c>
      <c r="T75" s="31">
        <v>300.0</v>
      </c>
      <c r="V75" s="31">
        <v>0.0</v>
      </c>
      <c r="X75" s="31">
        <v>0.0</v>
      </c>
      <c r="Z75" s="31">
        <v>0.0</v>
      </c>
      <c r="AB75" s="31">
        <v>0.0</v>
      </c>
      <c r="AC75" s="29"/>
      <c r="AD75" s="33"/>
      <c r="AF75" s="34"/>
      <c r="AH75" s="34"/>
      <c r="AJ75" s="34"/>
      <c r="AL75" s="34"/>
      <c r="AN75" s="34"/>
      <c r="AO75" s="29"/>
      <c r="AP75" s="47">
        <f t="shared" si="7"/>
        <v>12784</v>
      </c>
      <c r="AQ75" s="48">
        <f t="shared" si="2"/>
        <v>770</v>
      </c>
      <c r="AR75" s="48">
        <f t="shared" si="3"/>
        <v>0</v>
      </c>
      <c r="AS75" s="41">
        <f t="shared" si="4"/>
        <v>770</v>
      </c>
      <c r="AT75" s="46">
        <f t="shared" si="5"/>
        <v>16.6025974</v>
      </c>
      <c r="AU75" s="37"/>
      <c r="AV75" s="37"/>
      <c r="AW75" s="37"/>
      <c r="AX75" s="37"/>
      <c r="AY75" s="37"/>
    </row>
    <row r="76" ht="15.75" customHeight="1">
      <c r="A76" s="39" t="s">
        <v>29</v>
      </c>
      <c r="B76" s="40">
        <f t="shared" si="6"/>
        <v>44636</v>
      </c>
      <c r="C76" s="41">
        <v>3.0</v>
      </c>
      <c r="D76" s="41" t="s">
        <v>34</v>
      </c>
      <c r="E76" s="43" t="s">
        <v>37</v>
      </c>
      <c r="F76" s="30">
        <v>0.0</v>
      </c>
      <c r="H76" s="31">
        <v>100.0</v>
      </c>
      <c r="J76" s="31">
        <v>45.0</v>
      </c>
      <c r="L76" s="31">
        <v>0.0</v>
      </c>
      <c r="N76" s="31">
        <v>0.0</v>
      </c>
      <c r="P76" s="31">
        <v>0.0</v>
      </c>
      <c r="Q76" s="29"/>
      <c r="R76" s="30">
        <v>300.0</v>
      </c>
      <c r="T76" s="31">
        <v>300.0</v>
      </c>
      <c r="V76" s="31">
        <v>0.0</v>
      </c>
      <c r="X76" s="31">
        <v>0.0</v>
      </c>
      <c r="Z76" s="31">
        <v>0.0</v>
      </c>
      <c r="AB76" s="31">
        <v>200.0</v>
      </c>
      <c r="AC76" s="29"/>
      <c r="AD76" s="33"/>
      <c r="AF76" s="34"/>
      <c r="AH76" s="34"/>
      <c r="AJ76" s="34"/>
      <c r="AL76" s="34"/>
      <c r="AN76" s="34"/>
      <c r="AO76" s="29"/>
      <c r="AP76" s="47">
        <f t="shared" si="7"/>
        <v>13224</v>
      </c>
      <c r="AQ76" s="48">
        <f t="shared" si="2"/>
        <v>745</v>
      </c>
      <c r="AR76" s="48">
        <f t="shared" si="3"/>
        <v>200</v>
      </c>
      <c r="AS76" s="41">
        <f t="shared" si="4"/>
        <v>945</v>
      </c>
      <c r="AT76" s="46">
        <f t="shared" si="5"/>
        <v>13.99365079</v>
      </c>
      <c r="AU76" s="37"/>
      <c r="AV76" s="37"/>
      <c r="AW76" s="37"/>
      <c r="AX76" s="37"/>
      <c r="AY76" s="37"/>
    </row>
    <row r="77" ht="15.75" customHeight="1">
      <c r="A77" s="39" t="s">
        <v>30</v>
      </c>
      <c r="B77" s="40">
        <f t="shared" si="6"/>
        <v>44637</v>
      </c>
      <c r="C77" s="41">
        <v>3.0</v>
      </c>
      <c r="D77" s="41" t="s">
        <v>34</v>
      </c>
      <c r="E77" s="43" t="s">
        <v>37</v>
      </c>
      <c r="F77" s="30">
        <v>85.0</v>
      </c>
      <c r="H77" s="31">
        <v>85.0</v>
      </c>
      <c r="J77" s="31">
        <v>0.0</v>
      </c>
      <c r="L77" s="31">
        <v>0.0</v>
      </c>
      <c r="N77" s="31">
        <v>0.0</v>
      </c>
      <c r="P77" s="31">
        <v>0.0</v>
      </c>
      <c r="Q77" s="29"/>
      <c r="R77" s="30">
        <v>300.0</v>
      </c>
      <c r="T77" s="31">
        <v>300.0</v>
      </c>
      <c r="V77" s="31">
        <v>0.0</v>
      </c>
      <c r="X77" s="31">
        <v>0.0</v>
      </c>
      <c r="Z77" s="31">
        <v>0.0</v>
      </c>
      <c r="AB77" s="31">
        <v>60.0</v>
      </c>
      <c r="AC77" s="29"/>
      <c r="AD77" s="33"/>
      <c r="AF77" s="34"/>
      <c r="AH77" s="34"/>
      <c r="AJ77" s="34"/>
      <c r="AL77" s="34"/>
      <c r="AN77" s="34"/>
      <c r="AO77" s="29"/>
      <c r="AP77" s="47">
        <f t="shared" si="7"/>
        <v>13120</v>
      </c>
      <c r="AQ77" s="48">
        <f t="shared" si="2"/>
        <v>770</v>
      </c>
      <c r="AR77" s="41">
        <f t="shared" si="3"/>
        <v>60</v>
      </c>
      <c r="AS77" s="41">
        <f t="shared" si="4"/>
        <v>830</v>
      </c>
      <c r="AT77" s="46">
        <f t="shared" si="5"/>
        <v>15.80722892</v>
      </c>
      <c r="AU77" s="37"/>
      <c r="AV77" s="37"/>
      <c r="AW77" s="37"/>
      <c r="AX77" s="37"/>
      <c r="AY77" s="37"/>
    </row>
    <row r="78" ht="15.75" customHeight="1">
      <c r="A78" s="39" t="s">
        <v>31</v>
      </c>
      <c r="B78" s="40">
        <f t="shared" si="6"/>
        <v>44638</v>
      </c>
      <c r="C78" s="41">
        <v>3.0</v>
      </c>
      <c r="D78" s="41" t="s">
        <v>34</v>
      </c>
      <c r="E78" s="43" t="s">
        <v>37</v>
      </c>
      <c r="F78" s="30">
        <v>85.0</v>
      </c>
      <c r="H78" s="31">
        <v>45.0</v>
      </c>
      <c r="J78" s="31">
        <v>0.0</v>
      </c>
      <c r="L78" s="31">
        <v>0.0</v>
      </c>
      <c r="N78" s="31">
        <v>0.0</v>
      </c>
      <c r="P78" s="31">
        <v>0.0</v>
      </c>
      <c r="Q78" s="29"/>
      <c r="R78" s="30">
        <v>300.0</v>
      </c>
      <c r="T78" s="31">
        <v>300.0</v>
      </c>
      <c r="V78" s="31">
        <v>0.0</v>
      </c>
      <c r="X78" s="31">
        <v>0.0</v>
      </c>
      <c r="Z78" s="31">
        <v>0.0</v>
      </c>
      <c r="AB78" s="31">
        <v>60.0</v>
      </c>
      <c r="AC78" s="29"/>
      <c r="AD78" s="33"/>
      <c r="AF78" s="34"/>
      <c r="AH78" s="34"/>
      <c r="AJ78" s="34"/>
      <c r="AL78" s="34"/>
      <c r="AN78" s="34"/>
      <c r="AO78" s="29"/>
      <c r="AP78" s="47">
        <f t="shared" si="7"/>
        <v>12032</v>
      </c>
      <c r="AQ78" s="48">
        <f t="shared" si="2"/>
        <v>730</v>
      </c>
      <c r="AR78" s="41">
        <f t="shared" si="3"/>
        <v>60</v>
      </c>
      <c r="AS78" s="41">
        <f t="shared" si="4"/>
        <v>790</v>
      </c>
      <c r="AT78" s="46">
        <f t="shared" si="5"/>
        <v>15.23037975</v>
      </c>
      <c r="AU78" s="37"/>
      <c r="AV78" s="37"/>
      <c r="AW78" s="37"/>
      <c r="AX78" s="37"/>
      <c r="AY78" s="37"/>
    </row>
    <row r="79" ht="15.75" customHeight="1">
      <c r="A79" s="49" t="s">
        <v>32</v>
      </c>
      <c r="B79" s="50">
        <f t="shared" si="6"/>
        <v>44639</v>
      </c>
      <c r="C79" s="51">
        <v>3.0</v>
      </c>
      <c r="D79" s="51" t="s">
        <v>34</v>
      </c>
      <c r="E79" s="53" t="s">
        <v>37</v>
      </c>
      <c r="F79" s="64">
        <v>85.0</v>
      </c>
      <c r="G79" s="55"/>
      <c r="H79" s="65">
        <v>85.0</v>
      </c>
      <c r="I79" s="55"/>
      <c r="J79" s="65">
        <v>0.0</v>
      </c>
      <c r="K79" s="55"/>
      <c r="L79" s="65">
        <v>0.0</v>
      </c>
      <c r="M79" s="55"/>
      <c r="N79" s="65">
        <v>0.0</v>
      </c>
      <c r="O79" s="55"/>
      <c r="P79" s="65">
        <v>0.0</v>
      </c>
      <c r="Q79" s="58"/>
      <c r="R79" s="64">
        <v>300.0</v>
      </c>
      <c r="S79" s="55"/>
      <c r="T79" s="65">
        <v>300.0</v>
      </c>
      <c r="U79" s="55"/>
      <c r="V79" s="65">
        <v>0.0</v>
      </c>
      <c r="W79" s="55"/>
      <c r="X79" s="65">
        <v>0.0</v>
      </c>
      <c r="Y79" s="55"/>
      <c r="Z79" s="65">
        <v>0.0</v>
      </c>
      <c r="AA79" s="55"/>
      <c r="AB79" s="65">
        <v>25.0</v>
      </c>
      <c r="AC79" s="58"/>
      <c r="AD79" s="66"/>
      <c r="AE79" s="55"/>
      <c r="AF79" s="67"/>
      <c r="AG79" s="55"/>
      <c r="AH79" s="67"/>
      <c r="AI79" s="55"/>
      <c r="AJ79" s="67"/>
      <c r="AK79" s="55"/>
      <c r="AL79" s="67"/>
      <c r="AM79" s="55"/>
      <c r="AN79" s="67"/>
      <c r="AO79" s="58"/>
      <c r="AP79" s="68">
        <f t="shared" si="7"/>
        <v>12924</v>
      </c>
      <c r="AQ79" s="69">
        <f t="shared" si="2"/>
        <v>770</v>
      </c>
      <c r="AR79" s="51">
        <f t="shared" si="3"/>
        <v>25</v>
      </c>
      <c r="AS79" s="51">
        <f t="shared" si="4"/>
        <v>795</v>
      </c>
      <c r="AT79" s="61">
        <f t="shared" si="5"/>
        <v>16.25660377</v>
      </c>
      <c r="AU79" s="37"/>
      <c r="AV79" s="37"/>
      <c r="AW79" s="37"/>
      <c r="AX79" s="37"/>
      <c r="AY79" s="37"/>
    </row>
    <row r="80" ht="15.75" customHeight="1">
      <c r="A80" s="21" t="s">
        <v>24</v>
      </c>
      <c r="B80" s="62">
        <f t="shared" si="6"/>
        <v>44640</v>
      </c>
      <c r="C80" s="23">
        <v>3.0</v>
      </c>
      <c r="D80" s="23" t="s">
        <v>35</v>
      </c>
      <c r="E80" s="63" t="s">
        <v>37</v>
      </c>
      <c r="F80" s="30">
        <v>85.0</v>
      </c>
      <c r="H80" s="31">
        <v>85.0</v>
      </c>
      <c r="J80" s="31">
        <v>0.0</v>
      </c>
      <c r="L80" s="31">
        <v>0.0</v>
      </c>
      <c r="N80" s="31">
        <v>0.0</v>
      </c>
      <c r="P80" s="31">
        <v>0.0</v>
      </c>
      <c r="Q80" s="29"/>
      <c r="R80" s="30">
        <v>300.0</v>
      </c>
      <c r="T80" s="31">
        <v>300.0</v>
      </c>
      <c r="V80" s="31">
        <v>0.0</v>
      </c>
      <c r="X80" s="31">
        <v>0.0</v>
      </c>
      <c r="Z80" s="31">
        <v>0.0</v>
      </c>
      <c r="AB80" s="31">
        <v>75.0</v>
      </c>
      <c r="AC80" s="29"/>
      <c r="AD80" s="33"/>
      <c r="AF80" s="34"/>
      <c r="AH80" s="34"/>
      <c r="AJ80" s="34"/>
      <c r="AL80" s="34"/>
      <c r="AN80" s="34"/>
      <c r="AO80" s="29"/>
      <c r="AP80" s="38">
        <f t="shared" si="7"/>
        <v>13204</v>
      </c>
      <c r="AQ80" s="44">
        <f t="shared" si="2"/>
        <v>770</v>
      </c>
      <c r="AR80" s="23">
        <f t="shared" si="3"/>
        <v>75</v>
      </c>
      <c r="AS80" s="23">
        <f t="shared" si="4"/>
        <v>845</v>
      </c>
      <c r="AT80" s="36">
        <f t="shared" si="5"/>
        <v>15.6260355</v>
      </c>
      <c r="AU80" s="37"/>
      <c r="AV80" s="37"/>
      <c r="AW80" s="37"/>
      <c r="AX80" s="37"/>
      <c r="AY80" s="37"/>
    </row>
    <row r="81" ht="15.75" customHeight="1">
      <c r="A81" s="39" t="s">
        <v>27</v>
      </c>
      <c r="B81" s="40">
        <f t="shared" si="6"/>
        <v>44641</v>
      </c>
      <c r="C81" s="41">
        <v>3.0</v>
      </c>
      <c r="D81" s="41" t="s">
        <v>35</v>
      </c>
      <c r="E81" s="43" t="s">
        <v>37</v>
      </c>
      <c r="F81" s="30">
        <v>0.0</v>
      </c>
      <c r="H81" s="31">
        <v>0.0</v>
      </c>
      <c r="J81" s="31">
        <v>0.0</v>
      </c>
      <c r="L81" s="31">
        <v>0.0</v>
      </c>
      <c r="N81" s="31">
        <v>0.0</v>
      </c>
      <c r="P81" s="31">
        <v>0.0</v>
      </c>
      <c r="Q81" s="29"/>
      <c r="R81" s="30">
        <v>300.0</v>
      </c>
      <c r="T81" s="31">
        <v>300.0</v>
      </c>
      <c r="V81" s="31">
        <v>0.0</v>
      </c>
      <c r="X81" s="31">
        <v>0.0</v>
      </c>
      <c r="Z81" s="31">
        <v>0.0</v>
      </c>
      <c r="AB81" s="31">
        <v>80.0</v>
      </c>
      <c r="AC81" s="29"/>
      <c r="AD81" s="33"/>
      <c r="AF81" s="34"/>
      <c r="AH81" s="34"/>
      <c r="AJ81" s="34"/>
      <c r="AL81" s="34"/>
      <c r="AN81" s="34"/>
      <c r="AO81" s="29"/>
      <c r="AP81" s="47">
        <f t="shared" si="7"/>
        <v>8608</v>
      </c>
      <c r="AQ81" s="48">
        <f t="shared" si="2"/>
        <v>600</v>
      </c>
      <c r="AR81" s="41">
        <f t="shared" si="3"/>
        <v>80</v>
      </c>
      <c r="AS81" s="41">
        <f t="shared" si="4"/>
        <v>680</v>
      </c>
      <c r="AT81" s="46">
        <f t="shared" si="5"/>
        <v>12.65882353</v>
      </c>
      <c r="AU81" s="37"/>
      <c r="AV81" s="37"/>
      <c r="AW81" s="37"/>
      <c r="AX81" s="37"/>
      <c r="AY81" s="37"/>
    </row>
    <row r="82" ht="15.75" customHeight="1">
      <c r="A82" s="39" t="s">
        <v>28</v>
      </c>
      <c r="B82" s="40">
        <f t="shared" si="6"/>
        <v>44642</v>
      </c>
      <c r="C82" s="41">
        <v>3.0</v>
      </c>
      <c r="D82" s="41" t="s">
        <v>35</v>
      </c>
      <c r="E82" s="43" t="s">
        <v>37</v>
      </c>
      <c r="F82" s="30">
        <v>85.0</v>
      </c>
      <c r="H82" s="31">
        <v>60.0</v>
      </c>
      <c r="J82" s="31">
        <v>0.0</v>
      </c>
      <c r="L82" s="31">
        <v>0.0</v>
      </c>
      <c r="N82" s="31">
        <v>0.0</v>
      </c>
      <c r="P82" s="31">
        <v>0.0</v>
      </c>
      <c r="Q82" s="29"/>
      <c r="R82" s="30">
        <v>300.0</v>
      </c>
      <c r="T82" s="31">
        <v>300.0</v>
      </c>
      <c r="V82" s="31">
        <v>0.0</v>
      </c>
      <c r="X82" s="31">
        <v>0.0</v>
      </c>
      <c r="Z82" s="31">
        <v>0.0</v>
      </c>
      <c r="AB82" s="31">
        <v>0.0</v>
      </c>
      <c r="AC82" s="29"/>
      <c r="AD82" s="33"/>
      <c r="AF82" s="34"/>
      <c r="AH82" s="34"/>
      <c r="AJ82" s="34"/>
      <c r="AL82" s="34"/>
      <c r="AN82" s="34"/>
      <c r="AO82" s="29"/>
      <c r="AP82" s="47">
        <f t="shared" si="7"/>
        <v>12104</v>
      </c>
      <c r="AQ82" s="48">
        <f t="shared" si="2"/>
        <v>745</v>
      </c>
      <c r="AR82" s="41">
        <f t="shared" si="3"/>
        <v>0</v>
      </c>
      <c r="AS82" s="41">
        <f t="shared" si="4"/>
        <v>745</v>
      </c>
      <c r="AT82" s="46">
        <f t="shared" si="5"/>
        <v>16.24697987</v>
      </c>
      <c r="AU82" s="37"/>
      <c r="AV82" s="37"/>
      <c r="AW82" s="37"/>
      <c r="AX82" s="37"/>
      <c r="AY82" s="37"/>
    </row>
    <row r="83" ht="15.75" customHeight="1">
      <c r="A83" s="39" t="s">
        <v>29</v>
      </c>
      <c r="B83" s="40">
        <f t="shared" si="6"/>
        <v>44643</v>
      </c>
      <c r="C83" s="41">
        <v>3.0</v>
      </c>
      <c r="D83" s="41" t="s">
        <v>35</v>
      </c>
      <c r="E83" s="43" t="s">
        <v>37</v>
      </c>
      <c r="F83" s="30">
        <v>85.0</v>
      </c>
      <c r="H83" s="31">
        <v>85.0</v>
      </c>
      <c r="J83" s="31">
        <v>85.0</v>
      </c>
      <c r="L83" s="31">
        <v>0.0</v>
      </c>
      <c r="N83" s="31">
        <v>0.0</v>
      </c>
      <c r="P83" s="31">
        <v>0.0</v>
      </c>
      <c r="Q83" s="29"/>
      <c r="R83" s="30">
        <v>300.0</v>
      </c>
      <c r="T83" s="31">
        <v>325.0</v>
      </c>
      <c r="V83" s="31">
        <v>0.0</v>
      </c>
      <c r="X83" s="31">
        <v>0.0</v>
      </c>
      <c r="Z83" s="31">
        <v>0.0</v>
      </c>
      <c r="AB83" s="31">
        <v>45.0</v>
      </c>
      <c r="AC83" s="29"/>
      <c r="AD83" s="33"/>
      <c r="AF83" s="34"/>
      <c r="AH83" s="34"/>
      <c r="AJ83" s="34"/>
      <c r="AL83" s="34"/>
      <c r="AN83" s="34"/>
      <c r="AO83" s="29"/>
      <c r="AP83" s="47">
        <f t="shared" si="7"/>
        <v>15688</v>
      </c>
      <c r="AQ83" s="48">
        <f t="shared" si="2"/>
        <v>880</v>
      </c>
      <c r="AR83" s="41">
        <f t="shared" si="3"/>
        <v>45</v>
      </c>
      <c r="AS83" s="41">
        <f t="shared" si="4"/>
        <v>925</v>
      </c>
      <c r="AT83" s="46">
        <f t="shared" si="5"/>
        <v>16.96</v>
      </c>
      <c r="AU83" s="37"/>
      <c r="AV83" s="37"/>
      <c r="AW83" s="37"/>
      <c r="AX83" s="37"/>
      <c r="AY83" s="37"/>
    </row>
    <row r="84" ht="15.75" customHeight="1">
      <c r="A84" s="39" t="s">
        <v>30</v>
      </c>
      <c r="B84" s="40">
        <f t="shared" si="6"/>
        <v>44644</v>
      </c>
      <c r="C84" s="41">
        <v>3.0</v>
      </c>
      <c r="D84" s="41" t="s">
        <v>35</v>
      </c>
      <c r="E84" s="43" t="s">
        <v>37</v>
      </c>
      <c r="F84" s="30">
        <v>85.0</v>
      </c>
      <c r="H84" s="31">
        <v>45.0</v>
      </c>
      <c r="J84" s="31">
        <v>0.0</v>
      </c>
      <c r="L84" s="31">
        <v>0.0</v>
      </c>
      <c r="N84" s="31">
        <v>0.0</v>
      </c>
      <c r="P84" s="31">
        <v>0.0</v>
      </c>
      <c r="Q84" s="29"/>
      <c r="R84" s="30">
        <v>300.0</v>
      </c>
      <c r="T84" s="31">
        <v>300.0</v>
      </c>
      <c r="V84" s="31">
        <v>0.0</v>
      </c>
      <c r="X84" s="31">
        <v>0.0</v>
      </c>
      <c r="Z84" s="31">
        <v>0.0</v>
      </c>
      <c r="AB84" s="31">
        <v>45.0</v>
      </c>
      <c r="AC84" s="29"/>
      <c r="AD84" s="33"/>
      <c r="AF84" s="34"/>
      <c r="AH84" s="34"/>
      <c r="AJ84" s="34"/>
      <c r="AL84" s="34"/>
      <c r="AN84" s="34"/>
      <c r="AO84" s="29"/>
      <c r="AP84" s="47">
        <f t="shared" si="7"/>
        <v>11948</v>
      </c>
      <c r="AQ84" s="48">
        <f t="shared" si="2"/>
        <v>730</v>
      </c>
      <c r="AR84" s="41">
        <f t="shared" si="3"/>
        <v>45</v>
      </c>
      <c r="AS84" s="41">
        <f t="shared" si="4"/>
        <v>775</v>
      </c>
      <c r="AT84" s="46">
        <f t="shared" si="5"/>
        <v>15.41677419</v>
      </c>
      <c r="AU84" s="37"/>
      <c r="AV84" s="37"/>
      <c r="AW84" s="37"/>
      <c r="AX84" s="37"/>
      <c r="AY84" s="37"/>
    </row>
    <row r="85" ht="15.75" customHeight="1">
      <c r="A85" s="39" t="s">
        <v>31</v>
      </c>
      <c r="B85" s="40">
        <f t="shared" si="6"/>
        <v>44645</v>
      </c>
      <c r="C85" s="41">
        <v>3.0</v>
      </c>
      <c r="D85" s="41" t="s">
        <v>35</v>
      </c>
      <c r="E85" s="43" t="s">
        <v>37</v>
      </c>
      <c r="F85" s="30">
        <v>85.0</v>
      </c>
      <c r="H85" s="31">
        <v>85.0</v>
      </c>
      <c r="J85" s="31">
        <v>85.0</v>
      </c>
      <c r="L85" s="31">
        <v>0.0</v>
      </c>
      <c r="N85" s="31">
        <v>0.0</v>
      </c>
      <c r="P85" s="31">
        <v>0.0</v>
      </c>
      <c r="Q85" s="29"/>
      <c r="R85" s="30">
        <v>300.0</v>
      </c>
      <c r="T85" s="31">
        <v>300.0</v>
      </c>
      <c r="V85" s="31">
        <v>0.0</v>
      </c>
      <c r="X85" s="31">
        <v>0.0</v>
      </c>
      <c r="Z85" s="31">
        <v>0.0</v>
      </c>
      <c r="AB85" s="31">
        <v>0.0</v>
      </c>
      <c r="AC85" s="29"/>
      <c r="AD85" s="33"/>
      <c r="AF85" s="34"/>
      <c r="AH85" s="34"/>
      <c r="AJ85" s="34"/>
      <c r="AL85" s="34"/>
      <c r="AN85" s="34"/>
      <c r="AO85" s="29"/>
      <c r="AP85" s="47">
        <f t="shared" si="7"/>
        <v>15096</v>
      </c>
      <c r="AQ85" s="48">
        <f t="shared" si="2"/>
        <v>855</v>
      </c>
      <c r="AR85" s="41">
        <f t="shared" si="3"/>
        <v>0</v>
      </c>
      <c r="AS85" s="41">
        <f t="shared" si="4"/>
        <v>855</v>
      </c>
      <c r="AT85" s="46">
        <f t="shared" si="5"/>
        <v>17.65614035</v>
      </c>
      <c r="AU85" s="37"/>
      <c r="AV85" s="37"/>
      <c r="AW85" s="37"/>
      <c r="AX85" s="37"/>
      <c r="AY85" s="37"/>
    </row>
    <row r="86" ht="15.75" customHeight="1">
      <c r="A86" s="49" t="s">
        <v>32</v>
      </c>
      <c r="B86" s="50">
        <f t="shared" si="6"/>
        <v>44646</v>
      </c>
      <c r="C86" s="51">
        <v>3.0</v>
      </c>
      <c r="D86" s="51" t="s">
        <v>35</v>
      </c>
      <c r="E86" s="53" t="s">
        <v>37</v>
      </c>
      <c r="F86" s="64">
        <v>0.0</v>
      </c>
      <c r="G86" s="55"/>
      <c r="H86" s="65">
        <v>0.0</v>
      </c>
      <c r="I86" s="55"/>
      <c r="J86" s="65">
        <v>0.0</v>
      </c>
      <c r="K86" s="55"/>
      <c r="L86" s="65">
        <v>0.0</v>
      </c>
      <c r="M86" s="55"/>
      <c r="N86" s="65">
        <v>0.0</v>
      </c>
      <c r="O86" s="55"/>
      <c r="P86" s="65">
        <v>0.0</v>
      </c>
      <c r="Q86" s="58"/>
      <c r="R86" s="64">
        <v>300.0</v>
      </c>
      <c r="S86" s="55"/>
      <c r="T86" s="65">
        <v>300.0</v>
      </c>
      <c r="U86" s="55"/>
      <c r="V86" s="65">
        <v>0.0</v>
      </c>
      <c r="W86" s="55"/>
      <c r="X86" s="65">
        <v>0.0</v>
      </c>
      <c r="Y86" s="55"/>
      <c r="Z86" s="65">
        <v>0.0</v>
      </c>
      <c r="AA86" s="55"/>
      <c r="AB86" s="65">
        <v>0.0</v>
      </c>
      <c r="AC86" s="58"/>
      <c r="AD86" s="66"/>
      <c r="AE86" s="55"/>
      <c r="AF86" s="67"/>
      <c r="AG86" s="55"/>
      <c r="AH86" s="67"/>
      <c r="AI86" s="55"/>
      <c r="AJ86" s="67"/>
      <c r="AK86" s="55"/>
      <c r="AL86" s="67"/>
      <c r="AM86" s="55"/>
      <c r="AN86" s="67"/>
      <c r="AO86" s="58"/>
      <c r="AP86" s="68">
        <f t="shared" si="7"/>
        <v>8160</v>
      </c>
      <c r="AQ86" s="69">
        <f t="shared" si="2"/>
        <v>600</v>
      </c>
      <c r="AR86" s="51">
        <f t="shared" si="3"/>
        <v>0</v>
      </c>
      <c r="AS86" s="51">
        <f t="shared" si="4"/>
        <v>600</v>
      </c>
      <c r="AT86" s="61">
        <f t="shared" si="5"/>
        <v>13.6</v>
      </c>
      <c r="AU86" s="37"/>
      <c r="AV86" s="37"/>
      <c r="AW86" s="37"/>
      <c r="AX86" s="37"/>
      <c r="AY86" s="37"/>
    </row>
    <row r="87" ht="15.75" customHeight="1">
      <c r="A87" s="21" t="s">
        <v>24</v>
      </c>
      <c r="B87" s="62">
        <f t="shared" si="6"/>
        <v>44647</v>
      </c>
      <c r="C87" s="23">
        <v>4.0</v>
      </c>
      <c r="D87" s="23" t="s">
        <v>25</v>
      </c>
      <c r="E87" s="25" t="s">
        <v>39</v>
      </c>
      <c r="F87" s="30">
        <v>0.0</v>
      </c>
      <c r="H87" s="31">
        <v>0.0</v>
      </c>
      <c r="J87" s="31">
        <v>0.0</v>
      </c>
      <c r="L87" s="31">
        <v>0.0</v>
      </c>
      <c r="N87" s="31">
        <v>0.0</v>
      </c>
      <c r="P87" s="31">
        <v>0.0</v>
      </c>
      <c r="Q87" s="29"/>
      <c r="R87" s="30">
        <v>0.0</v>
      </c>
      <c r="T87" s="31">
        <v>0.0</v>
      </c>
      <c r="V87" s="31">
        <v>0.0</v>
      </c>
      <c r="X87" s="31">
        <v>0.0</v>
      </c>
      <c r="Z87" s="31">
        <v>0.0</v>
      </c>
      <c r="AB87" s="31">
        <v>0.0</v>
      </c>
      <c r="AC87" s="29"/>
      <c r="AD87" s="33"/>
      <c r="AF87" s="34"/>
      <c r="AH87" s="34"/>
      <c r="AJ87" s="34"/>
      <c r="AL87" s="34"/>
      <c r="AN87" s="34"/>
      <c r="AO87" s="29"/>
      <c r="AP87" s="38">
        <f t="shared" si="7"/>
        <v>0</v>
      </c>
      <c r="AQ87" s="44">
        <f t="shared" si="2"/>
        <v>0</v>
      </c>
      <c r="AR87" s="23">
        <f t="shared" si="3"/>
        <v>0</v>
      </c>
      <c r="AS87" s="23">
        <f t="shared" si="4"/>
        <v>0</v>
      </c>
      <c r="AT87" s="36" t="str">
        <f t="shared" si="5"/>
        <v/>
      </c>
      <c r="AU87" s="37"/>
      <c r="AV87" s="37"/>
      <c r="AW87" s="37"/>
      <c r="AX87" s="37"/>
      <c r="AY87" s="37"/>
    </row>
    <row r="88" ht="15.75" customHeight="1">
      <c r="A88" s="39" t="s">
        <v>27</v>
      </c>
      <c r="B88" s="40">
        <f t="shared" si="6"/>
        <v>44648</v>
      </c>
      <c r="C88" s="41">
        <v>4.0</v>
      </c>
      <c r="D88" s="41" t="s">
        <v>25</v>
      </c>
      <c r="E88" s="43" t="s">
        <v>39</v>
      </c>
      <c r="F88" s="30">
        <v>0.0</v>
      </c>
      <c r="H88" s="31">
        <v>0.0</v>
      </c>
      <c r="J88" s="31">
        <v>0.0</v>
      </c>
      <c r="L88" s="31">
        <v>0.0</v>
      </c>
      <c r="N88" s="31">
        <v>0.0</v>
      </c>
      <c r="P88" s="31">
        <v>0.0</v>
      </c>
      <c r="Q88" s="29"/>
      <c r="R88" s="30">
        <v>0.0</v>
      </c>
      <c r="T88" s="31">
        <v>250.0</v>
      </c>
      <c r="V88" s="31">
        <v>250.0</v>
      </c>
      <c r="X88" s="31">
        <v>0.0</v>
      </c>
      <c r="Z88" s="31">
        <v>250.0</v>
      </c>
      <c r="AB88" s="31">
        <v>50.0</v>
      </c>
      <c r="AC88" s="29"/>
      <c r="AD88" s="33"/>
      <c r="AF88" s="34"/>
      <c r="AH88" s="34"/>
      <c r="AJ88" s="34"/>
      <c r="AL88" s="34"/>
      <c r="AN88" s="34"/>
      <c r="AO88" s="29"/>
      <c r="AP88" s="47">
        <f t="shared" si="7"/>
        <v>9680</v>
      </c>
      <c r="AQ88" s="48">
        <f t="shared" si="2"/>
        <v>750</v>
      </c>
      <c r="AR88" s="41">
        <f t="shared" si="3"/>
        <v>50</v>
      </c>
      <c r="AS88" s="41">
        <f t="shared" si="4"/>
        <v>800</v>
      </c>
      <c r="AT88" s="46">
        <f t="shared" si="5"/>
        <v>12.1</v>
      </c>
      <c r="AU88" s="37"/>
      <c r="AV88" s="37"/>
      <c r="AW88" s="37"/>
      <c r="AX88" s="37"/>
      <c r="AY88" s="37"/>
    </row>
    <row r="89" ht="15.75" customHeight="1">
      <c r="A89" s="39" t="s">
        <v>28</v>
      </c>
      <c r="B89" s="40">
        <f t="shared" si="6"/>
        <v>44649</v>
      </c>
      <c r="C89" s="41">
        <v>4.0</v>
      </c>
      <c r="D89" s="41" t="s">
        <v>25</v>
      </c>
      <c r="E89" s="43" t="s">
        <v>39</v>
      </c>
      <c r="F89" s="30">
        <v>0.0</v>
      </c>
      <c r="H89" s="31">
        <v>0.0</v>
      </c>
      <c r="J89" s="31">
        <v>0.0</v>
      </c>
      <c r="L89" s="31">
        <v>0.0</v>
      </c>
      <c r="N89" s="31">
        <v>0.0</v>
      </c>
      <c r="P89" s="31">
        <v>0.0</v>
      </c>
      <c r="Q89" s="29"/>
      <c r="R89" s="30">
        <v>0.0</v>
      </c>
      <c r="T89" s="31">
        <v>250.0</v>
      </c>
      <c r="V89" s="31">
        <v>250.0</v>
      </c>
      <c r="X89" s="31">
        <v>0.0</v>
      </c>
      <c r="Z89" s="31">
        <v>250.0</v>
      </c>
      <c r="AB89" s="31">
        <v>0.0</v>
      </c>
      <c r="AC89" s="29"/>
      <c r="AD89" s="33"/>
      <c r="AF89" s="34"/>
      <c r="AH89" s="34"/>
      <c r="AJ89" s="34"/>
      <c r="AL89" s="34"/>
      <c r="AN89" s="34"/>
      <c r="AO89" s="29"/>
      <c r="AP89" s="47">
        <f t="shared" si="7"/>
        <v>9400</v>
      </c>
      <c r="AQ89" s="48">
        <f t="shared" si="2"/>
        <v>750</v>
      </c>
      <c r="AR89" s="41">
        <f t="shared" si="3"/>
        <v>0</v>
      </c>
      <c r="AS89" s="41">
        <f t="shared" si="4"/>
        <v>750</v>
      </c>
      <c r="AT89" s="46">
        <f t="shared" si="5"/>
        <v>12.53333333</v>
      </c>
      <c r="AU89" s="37"/>
      <c r="AV89" s="37"/>
      <c r="AW89" s="37"/>
      <c r="AX89" s="37"/>
      <c r="AY89" s="37"/>
    </row>
    <row r="90" ht="15.75" customHeight="1">
      <c r="A90" s="39" t="s">
        <v>29</v>
      </c>
      <c r="B90" s="40">
        <f t="shared" si="6"/>
        <v>44650</v>
      </c>
      <c r="C90" s="41">
        <v>4.0</v>
      </c>
      <c r="D90" s="41" t="s">
        <v>25</v>
      </c>
      <c r="E90" s="43" t="s">
        <v>39</v>
      </c>
      <c r="F90" s="30">
        <v>0.0</v>
      </c>
      <c r="H90" s="31">
        <v>0.0</v>
      </c>
      <c r="J90" s="31">
        <v>0.0</v>
      </c>
      <c r="L90" s="31">
        <v>0.0</v>
      </c>
      <c r="N90" s="31">
        <v>0.0</v>
      </c>
      <c r="P90" s="31">
        <v>0.0</v>
      </c>
      <c r="Q90" s="29"/>
      <c r="R90" s="30">
        <v>0.0</v>
      </c>
      <c r="T90" s="31">
        <v>250.0</v>
      </c>
      <c r="V90" s="31">
        <v>250.0</v>
      </c>
      <c r="X90" s="31">
        <v>0.0</v>
      </c>
      <c r="Z90" s="31">
        <v>250.0</v>
      </c>
      <c r="AB90" s="31">
        <v>50.0</v>
      </c>
      <c r="AC90" s="29"/>
      <c r="AD90" s="33"/>
      <c r="AF90" s="34"/>
      <c r="AH90" s="34"/>
      <c r="AJ90" s="34"/>
      <c r="AL90" s="34"/>
      <c r="AN90" s="34"/>
      <c r="AO90" s="29"/>
      <c r="AP90" s="47">
        <f t="shared" si="7"/>
        <v>9680</v>
      </c>
      <c r="AQ90" s="48">
        <f t="shared" si="2"/>
        <v>750</v>
      </c>
      <c r="AR90" s="41">
        <f t="shared" si="3"/>
        <v>50</v>
      </c>
      <c r="AS90" s="41">
        <f t="shared" si="4"/>
        <v>800</v>
      </c>
      <c r="AT90" s="46">
        <f t="shared" si="5"/>
        <v>12.1</v>
      </c>
      <c r="AU90" s="37"/>
      <c r="AV90" s="37"/>
      <c r="AW90" s="37"/>
      <c r="AX90" s="37"/>
      <c r="AY90" s="37"/>
    </row>
    <row r="91" ht="15.75" customHeight="1">
      <c r="A91" s="39" t="s">
        <v>30</v>
      </c>
      <c r="B91" s="40">
        <f t="shared" si="6"/>
        <v>44651</v>
      </c>
      <c r="C91" s="41">
        <v>4.0</v>
      </c>
      <c r="D91" s="41" t="s">
        <v>25</v>
      </c>
      <c r="E91" s="43" t="s">
        <v>39</v>
      </c>
      <c r="F91" s="30">
        <v>0.0</v>
      </c>
      <c r="H91" s="31">
        <v>0.0</v>
      </c>
      <c r="J91" s="31">
        <v>0.0</v>
      </c>
      <c r="L91" s="31">
        <v>0.0</v>
      </c>
      <c r="N91" s="31">
        <v>0.0</v>
      </c>
      <c r="P91" s="31">
        <v>0.0</v>
      </c>
      <c r="Q91" s="29"/>
      <c r="R91" s="30">
        <v>0.0</v>
      </c>
      <c r="T91" s="31">
        <v>250.0</v>
      </c>
      <c r="V91" s="31">
        <v>250.0</v>
      </c>
      <c r="X91" s="31">
        <v>0.0</v>
      </c>
      <c r="Z91" s="31">
        <v>250.0</v>
      </c>
      <c r="AB91" s="31">
        <v>0.0</v>
      </c>
      <c r="AC91" s="29"/>
      <c r="AD91" s="33"/>
      <c r="AF91" s="34"/>
      <c r="AH91" s="34"/>
      <c r="AJ91" s="34"/>
      <c r="AL91" s="34"/>
      <c r="AN91" s="34"/>
      <c r="AO91" s="29"/>
      <c r="AP91" s="47">
        <f t="shared" si="7"/>
        <v>9400</v>
      </c>
      <c r="AQ91" s="48">
        <f t="shared" si="2"/>
        <v>750</v>
      </c>
      <c r="AR91" s="41">
        <f t="shared" si="3"/>
        <v>0</v>
      </c>
      <c r="AS91" s="41">
        <f t="shared" si="4"/>
        <v>750</v>
      </c>
      <c r="AT91" s="46">
        <f t="shared" si="5"/>
        <v>12.53333333</v>
      </c>
      <c r="AU91" s="37"/>
      <c r="AV91" s="37"/>
      <c r="AW91" s="37"/>
      <c r="AX91" s="37"/>
      <c r="AY91" s="37"/>
    </row>
    <row r="92" ht="15.75" customHeight="1">
      <c r="A92" s="39" t="s">
        <v>31</v>
      </c>
      <c r="B92" s="40">
        <f t="shared" si="6"/>
        <v>44652</v>
      </c>
      <c r="C92" s="41">
        <v>4.0</v>
      </c>
      <c r="D92" s="41" t="s">
        <v>25</v>
      </c>
      <c r="E92" s="43" t="s">
        <v>39</v>
      </c>
      <c r="F92" s="30">
        <v>0.0</v>
      </c>
      <c r="H92" s="31">
        <v>0.0</v>
      </c>
      <c r="J92" s="31">
        <v>0.0</v>
      </c>
      <c r="L92" s="31">
        <v>0.0</v>
      </c>
      <c r="N92" s="31">
        <v>0.0</v>
      </c>
      <c r="P92" s="31">
        <v>0.0</v>
      </c>
      <c r="Q92" s="29"/>
      <c r="R92" s="30">
        <v>0.0</v>
      </c>
      <c r="T92" s="31">
        <v>250.0</v>
      </c>
      <c r="V92" s="31">
        <v>250.0</v>
      </c>
      <c r="X92" s="31">
        <v>0.0</v>
      </c>
      <c r="Z92" s="31">
        <v>250.0</v>
      </c>
      <c r="AB92" s="31">
        <v>0.0</v>
      </c>
      <c r="AC92" s="29"/>
      <c r="AD92" s="33"/>
      <c r="AF92" s="34"/>
      <c r="AH92" s="34"/>
      <c r="AJ92" s="34"/>
      <c r="AL92" s="34"/>
      <c r="AN92" s="34"/>
      <c r="AO92" s="29"/>
      <c r="AP92" s="47">
        <f t="shared" si="7"/>
        <v>9400</v>
      </c>
      <c r="AQ92" s="48">
        <f t="shared" si="2"/>
        <v>750</v>
      </c>
      <c r="AR92" s="41">
        <f t="shared" si="3"/>
        <v>0</v>
      </c>
      <c r="AS92" s="41">
        <f t="shared" si="4"/>
        <v>750</v>
      </c>
      <c r="AT92" s="46">
        <f t="shared" si="5"/>
        <v>12.53333333</v>
      </c>
      <c r="AU92" s="37"/>
      <c r="AV92" s="37"/>
      <c r="AW92" s="37"/>
      <c r="AX92" s="37"/>
      <c r="AY92" s="37"/>
    </row>
    <row r="93" ht="15.75" customHeight="1">
      <c r="A93" s="49" t="s">
        <v>32</v>
      </c>
      <c r="B93" s="50">
        <f t="shared" si="6"/>
        <v>44653</v>
      </c>
      <c r="C93" s="51">
        <v>4.0</v>
      </c>
      <c r="D93" s="51" t="s">
        <v>25</v>
      </c>
      <c r="E93" s="53" t="s">
        <v>39</v>
      </c>
      <c r="F93" s="64">
        <v>0.0</v>
      </c>
      <c r="G93" s="55"/>
      <c r="H93" s="65">
        <v>0.0</v>
      </c>
      <c r="I93" s="55"/>
      <c r="J93" s="65">
        <v>0.0</v>
      </c>
      <c r="K93" s="55"/>
      <c r="L93" s="65">
        <v>0.0</v>
      </c>
      <c r="M93" s="55"/>
      <c r="N93" s="65">
        <v>0.0</v>
      </c>
      <c r="O93" s="55"/>
      <c r="P93" s="65">
        <v>0.0</v>
      </c>
      <c r="Q93" s="58"/>
      <c r="R93" s="64">
        <v>250.0</v>
      </c>
      <c r="S93" s="55"/>
      <c r="T93" s="65">
        <v>250.0</v>
      </c>
      <c r="U93" s="55"/>
      <c r="V93" s="65">
        <v>0.0</v>
      </c>
      <c r="W93" s="55"/>
      <c r="X93" s="65">
        <v>0.0</v>
      </c>
      <c r="Y93" s="55"/>
      <c r="Z93" s="65">
        <v>0.0</v>
      </c>
      <c r="AA93" s="55"/>
      <c r="AB93" s="65">
        <v>0.0</v>
      </c>
      <c r="AC93" s="58"/>
      <c r="AD93" s="66"/>
      <c r="AE93" s="55"/>
      <c r="AF93" s="67"/>
      <c r="AG93" s="55"/>
      <c r="AH93" s="67"/>
      <c r="AI93" s="55"/>
      <c r="AJ93" s="67"/>
      <c r="AK93" s="55"/>
      <c r="AL93" s="67"/>
      <c r="AM93" s="55"/>
      <c r="AN93" s="67"/>
      <c r="AO93" s="58"/>
      <c r="AP93" s="68">
        <f t="shared" si="7"/>
        <v>6800</v>
      </c>
      <c r="AQ93" s="69">
        <f t="shared" si="2"/>
        <v>500</v>
      </c>
      <c r="AR93" s="51">
        <f t="shared" si="3"/>
        <v>0</v>
      </c>
      <c r="AS93" s="51">
        <f t="shared" si="4"/>
        <v>500</v>
      </c>
      <c r="AT93" s="61">
        <f t="shared" si="5"/>
        <v>13.6</v>
      </c>
      <c r="AU93" s="37"/>
      <c r="AV93" s="37"/>
      <c r="AW93" s="37"/>
      <c r="AX93" s="37"/>
      <c r="AY93" s="37"/>
    </row>
    <row r="94" ht="15.75" customHeight="1">
      <c r="A94" s="21" t="s">
        <v>24</v>
      </c>
      <c r="B94" s="62">
        <f t="shared" si="6"/>
        <v>44654</v>
      </c>
      <c r="C94" s="23">
        <v>4.0</v>
      </c>
      <c r="D94" s="23" t="s">
        <v>33</v>
      </c>
      <c r="E94" s="63" t="s">
        <v>39</v>
      </c>
      <c r="F94" s="30">
        <v>0.0</v>
      </c>
      <c r="H94" s="31">
        <v>0.0</v>
      </c>
      <c r="J94" s="31">
        <v>0.0</v>
      </c>
      <c r="L94" s="31">
        <v>0.0</v>
      </c>
      <c r="N94" s="31">
        <v>0.0</v>
      </c>
      <c r="P94" s="31">
        <v>0.0</v>
      </c>
      <c r="Q94" s="29"/>
      <c r="R94" s="30">
        <v>0.0</v>
      </c>
      <c r="T94" s="31">
        <v>0.0</v>
      </c>
      <c r="V94" s="31">
        <v>0.0</v>
      </c>
      <c r="X94" s="31">
        <v>0.0</v>
      </c>
      <c r="Z94" s="31">
        <v>0.0</v>
      </c>
      <c r="AB94" s="31">
        <v>0.0</v>
      </c>
      <c r="AC94" s="29"/>
      <c r="AD94" s="33"/>
      <c r="AF94" s="34"/>
      <c r="AH94" s="34"/>
      <c r="AJ94" s="34"/>
      <c r="AL94" s="34"/>
      <c r="AN94" s="34"/>
      <c r="AO94" s="29"/>
      <c r="AP94" s="38">
        <f t="shared" si="7"/>
        <v>0</v>
      </c>
      <c r="AQ94" s="44">
        <f t="shared" si="2"/>
        <v>0</v>
      </c>
      <c r="AR94" s="23">
        <f t="shared" si="3"/>
        <v>0</v>
      </c>
      <c r="AS94" s="23">
        <f t="shared" si="4"/>
        <v>0</v>
      </c>
      <c r="AT94" s="36" t="str">
        <f t="shared" si="5"/>
        <v/>
      </c>
      <c r="AU94" s="37"/>
      <c r="AV94" s="37"/>
      <c r="AW94" s="37"/>
      <c r="AX94" s="37"/>
      <c r="AY94" s="37"/>
    </row>
    <row r="95" ht="15.75" customHeight="1">
      <c r="A95" s="39" t="s">
        <v>27</v>
      </c>
      <c r="B95" s="40">
        <f t="shared" si="6"/>
        <v>44655</v>
      </c>
      <c r="C95" s="41">
        <v>4.0</v>
      </c>
      <c r="D95" s="41" t="s">
        <v>33</v>
      </c>
      <c r="E95" s="43" t="s">
        <v>39</v>
      </c>
      <c r="F95" s="30">
        <v>0.0</v>
      </c>
      <c r="H95" s="31">
        <v>0.0</v>
      </c>
      <c r="J95" s="31">
        <v>0.0</v>
      </c>
      <c r="L95" s="31">
        <v>0.0</v>
      </c>
      <c r="N95" s="31">
        <v>0.0</v>
      </c>
      <c r="P95" s="31">
        <v>0.0</v>
      </c>
      <c r="Q95" s="29"/>
      <c r="R95" s="30">
        <v>0.0</v>
      </c>
      <c r="T95" s="31">
        <v>0.0</v>
      </c>
      <c r="V95" s="31">
        <v>0.0</v>
      </c>
      <c r="X95" s="31">
        <v>0.0</v>
      </c>
      <c r="Z95" s="31">
        <v>0.0</v>
      </c>
      <c r="AB95" s="31">
        <v>0.0</v>
      </c>
      <c r="AC95" s="29"/>
      <c r="AD95" s="33"/>
      <c r="AF95" s="34"/>
      <c r="AH95" s="34"/>
      <c r="AJ95" s="34"/>
      <c r="AL95" s="34"/>
      <c r="AN95" s="34"/>
      <c r="AO95" s="29"/>
      <c r="AP95" s="47">
        <f t="shared" si="7"/>
        <v>0</v>
      </c>
      <c r="AQ95" s="48">
        <f t="shared" si="2"/>
        <v>0</v>
      </c>
      <c r="AR95" s="41">
        <f t="shared" si="3"/>
        <v>0</v>
      </c>
      <c r="AS95" s="41">
        <f t="shared" si="4"/>
        <v>0</v>
      </c>
      <c r="AT95" s="46" t="str">
        <f t="shared" si="5"/>
        <v/>
      </c>
      <c r="AU95" s="37"/>
      <c r="AV95" s="37"/>
      <c r="AW95" s="37"/>
      <c r="AX95" s="37"/>
      <c r="AY95" s="37"/>
    </row>
    <row r="96" ht="15.75" customHeight="1">
      <c r="A96" s="39" t="s">
        <v>28</v>
      </c>
      <c r="B96" s="40">
        <f t="shared" si="6"/>
        <v>44656</v>
      </c>
      <c r="C96" s="41">
        <v>4.0</v>
      </c>
      <c r="D96" s="41" t="s">
        <v>33</v>
      </c>
      <c r="E96" s="43" t="s">
        <v>39</v>
      </c>
      <c r="F96" s="30">
        <v>0.0</v>
      </c>
      <c r="H96" s="31">
        <v>0.0</v>
      </c>
      <c r="J96" s="31">
        <v>0.0</v>
      </c>
      <c r="L96" s="31">
        <v>0.0</v>
      </c>
      <c r="N96" s="31">
        <v>0.0</v>
      </c>
      <c r="P96" s="31">
        <v>0.0</v>
      </c>
      <c r="Q96" s="29"/>
      <c r="R96" s="30">
        <v>0.0</v>
      </c>
      <c r="T96" s="31">
        <v>0.0</v>
      </c>
      <c r="V96" s="31">
        <v>0.0</v>
      </c>
      <c r="X96" s="31">
        <v>0.0</v>
      </c>
      <c r="Z96" s="31">
        <v>0.0</v>
      </c>
      <c r="AB96" s="31">
        <v>0.0</v>
      </c>
      <c r="AC96" s="29"/>
      <c r="AD96" s="33"/>
      <c r="AF96" s="34"/>
      <c r="AH96" s="34"/>
      <c r="AJ96" s="34"/>
      <c r="AL96" s="34"/>
      <c r="AN96" s="34"/>
      <c r="AO96" s="29"/>
      <c r="AP96" s="47">
        <f t="shared" si="7"/>
        <v>0</v>
      </c>
      <c r="AQ96" s="48">
        <f t="shared" si="2"/>
        <v>0</v>
      </c>
      <c r="AR96" s="41">
        <f t="shared" si="3"/>
        <v>0</v>
      </c>
      <c r="AS96" s="41">
        <f t="shared" si="4"/>
        <v>0</v>
      </c>
      <c r="AT96" s="46" t="str">
        <f t="shared" si="5"/>
        <v/>
      </c>
      <c r="AU96" s="37"/>
      <c r="AV96" s="37"/>
      <c r="AW96" s="37"/>
      <c r="AX96" s="37"/>
      <c r="AY96" s="37"/>
    </row>
    <row r="97" ht="15.75" customHeight="1">
      <c r="A97" s="39" t="s">
        <v>29</v>
      </c>
      <c r="B97" s="40">
        <f t="shared" si="6"/>
        <v>44657</v>
      </c>
      <c r="C97" s="41">
        <v>4.0</v>
      </c>
      <c r="D97" s="41" t="s">
        <v>33</v>
      </c>
      <c r="E97" s="43" t="s">
        <v>39</v>
      </c>
      <c r="F97" s="30">
        <v>0.0</v>
      </c>
      <c r="H97" s="31">
        <v>0.0</v>
      </c>
      <c r="J97" s="31">
        <v>0.0</v>
      </c>
      <c r="L97" s="31">
        <v>0.0</v>
      </c>
      <c r="N97" s="31">
        <v>0.0</v>
      </c>
      <c r="P97" s="31">
        <v>0.0</v>
      </c>
      <c r="Q97" s="29"/>
      <c r="R97" s="30">
        <v>120.0</v>
      </c>
      <c r="T97" s="31">
        <v>120.0</v>
      </c>
      <c r="V97" s="31">
        <v>0.0</v>
      </c>
      <c r="X97" s="31">
        <v>0.0</v>
      </c>
      <c r="Z97" s="31">
        <v>0.0</v>
      </c>
      <c r="AB97" s="31">
        <v>0.0</v>
      </c>
      <c r="AC97" s="29"/>
      <c r="AD97" s="33"/>
      <c r="AF97" s="34"/>
      <c r="AH97" s="34"/>
      <c r="AJ97" s="34"/>
      <c r="AL97" s="34"/>
      <c r="AN97" s="34"/>
      <c r="AO97" s="29"/>
      <c r="AP97" s="47">
        <f t="shared" si="7"/>
        <v>3264</v>
      </c>
      <c r="AQ97" s="48">
        <f t="shared" si="2"/>
        <v>240</v>
      </c>
      <c r="AR97" s="41">
        <f t="shared" si="3"/>
        <v>0</v>
      </c>
      <c r="AS97" s="41">
        <f t="shared" si="4"/>
        <v>240</v>
      </c>
      <c r="AT97" s="46">
        <f t="shared" si="5"/>
        <v>13.6</v>
      </c>
      <c r="AU97" s="37"/>
      <c r="AV97" s="37"/>
      <c r="AW97" s="37"/>
      <c r="AX97" s="37"/>
      <c r="AY97" s="37"/>
    </row>
    <row r="98" ht="15.75" customHeight="1">
      <c r="A98" s="39" t="s">
        <v>30</v>
      </c>
      <c r="B98" s="40">
        <f t="shared" si="6"/>
        <v>44658</v>
      </c>
      <c r="C98" s="41">
        <v>4.0</v>
      </c>
      <c r="D98" s="41" t="s">
        <v>33</v>
      </c>
      <c r="E98" s="43" t="s">
        <v>39</v>
      </c>
      <c r="F98" s="30">
        <v>0.0</v>
      </c>
      <c r="H98" s="31">
        <v>0.0</v>
      </c>
      <c r="J98" s="31">
        <v>0.0</v>
      </c>
      <c r="L98" s="31">
        <v>0.0</v>
      </c>
      <c r="N98" s="31">
        <v>0.0</v>
      </c>
      <c r="P98" s="31">
        <v>0.0</v>
      </c>
      <c r="Q98" s="29"/>
      <c r="R98" s="30">
        <v>120.0</v>
      </c>
      <c r="T98" s="31">
        <v>120.0</v>
      </c>
      <c r="V98" s="31">
        <v>0.0</v>
      </c>
      <c r="X98" s="31">
        <v>0.0</v>
      </c>
      <c r="Z98" s="31">
        <v>0.0</v>
      </c>
      <c r="AB98" s="31">
        <v>0.0</v>
      </c>
      <c r="AC98" s="29"/>
      <c r="AD98" s="33"/>
      <c r="AF98" s="34"/>
      <c r="AH98" s="34"/>
      <c r="AJ98" s="34"/>
      <c r="AL98" s="34"/>
      <c r="AN98" s="34"/>
      <c r="AO98" s="29"/>
      <c r="AP98" s="47">
        <f t="shared" si="7"/>
        <v>3264</v>
      </c>
      <c r="AQ98" s="48">
        <f t="shared" si="2"/>
        <v>240</v>
      </c>
      <c r="AR98" s="41">
        <f t="shared" si="3"/>
        <v>0</v>
      </c>
      <c r="AS98" s="41">
        <f t="shared" si="4"/>
        <v>240</v>
      </c>
      <c r="AT98" s="46">
        <f t="shared" si="5"/>
        <v>13.6</v>
      </c>
      <c r="AU98" s="37"/>
      <c r="AV98" s="37"/>
      <c r="AW98" s="37"/>
      <c r="AX98" s="37"/>
      <c r="AY98" s="37"/>
    </row>
    <row r="99" ht="15.75" customHeight="1">
      <c r="A99" s="39" t="s">
        <v>31</v>
      </c>
      <c r="B99" s="40">
        <f t="shared" si="6"/>
        <v>44659</v>
      </c>
      <c r="C99" s="41">
        <v>4.0</v>
      </c>
      <c r="D99" s="41" t="s">
        <v>33</v>
      </c>
      <c r="E99" s="43" t="s">
        <v>39</v>
      </c>
      <c r="F99" s="30">
        <v>0.0</v>
      </c>
      <c r="H99" s="31">
        <v>0.0</v>
      </c>
      <c r="J99" s="31">
        <v>0.0</v>
      </c>
      <c r="L99" s="31">
        <v>0.0</v>
      </c>
      <c r="N99" s="31">
        <v>0.0</v>
      </c>
      <c r="P99" s="31">
        <v>0.0</v>
      </c>
      <c r="Q99" s="29"/>
      <c r="R99" s="30">
        <v>120.0</v>
      </c>
      <c r="T99" s="31">
        <v>120.0</v>
      </c>
      <c r="V99" s="31">
        <v>0.0</v>
      </c>
      <c r="X99" s="31">
        <v>0.0</v>
      </c>
      <c r="Z99" s="31">
        <v>0.0</v>
      </c>
      <c r="AB99" s="31">
        <v>0.0</v>
      </c>
      <c r="AC99" s="29"/>
      <c r="AD99" s="33"/>
      <c r="AF99" s="34"/>
      <c r="AH99" s="34"/>
      <c r="AJ99" s="34"/>
      <c r="AL99" s="34"/>
      <c r="AN99" s="34"/>
      <c r="AO99" s="29"/>
      <c r="AP99" s="47">
        <f t="shared" si="7"/>
        <v>3264</v>
      </c>
      <c r="AQ99" s="48">
        <f t="shared" si="2"/>
        <v>240</v>
      </c>
      <c r="AR99" s="41">
        <f t="shared" si="3"/>
        <v>0</v>
      </c>
      <c r="AS99" s="41">
        <f t="shared" si="4"/>
        <v>240</v>
      </c>
      <c r="AT99" s="46">
        <f t="shared" si="5"/>
        <v>13.6</v>
      </c>
      <c r="AU99" s="37"/>
      <c r="AV99" s="37"/>
      <c r="AW99" s="37"/>
      <c r="AX99" s="37"/>
      <c r="AY99" s="37"/>
    </row>
    <row r="100" ht="15.75" customHeight="1">
      <c r="A100" s="49" t="s">
        <v>32</v>
      </c>
      <c r="B100" s="50">
        <f t="shared" si="6"/>
        <v>44660</v>
      </c>
      <c r="C100" s="51">
        <v>4.0</v>
      </c>
      <c r="D100" s="51" t="s">
        <v>33</v>
      </c>
      <c r="E100" s="53" t="s">
        <v>39</v>
      </c>
      <c r="F100" s="64">
        <v>0.0</v>
      </c>
      <c r="G100" s="55"/>
      <c r="H100" s="65">
        <v>0.0</v>
      </c>
      <c r="I100" s="55"/>
      <c r="J100" s="65">
        <v>0.0</v>
      </c>
      <c r="K100" s="55"/>
      <c r="L100" s="65">
        <v>0.0</v>
      </c>
      <c r="M100" s="55"/>
      <c r="N100" s="65">
        <v>0.0</v>
      </c>
      <c r="O100" s="55"/>
      <c r="P100" s="65">
        <v>0.0</v>
      </c>
      <c r="Q100" s="58"/>
      <c r="R100" s="64">
        <v>0.0</v>
      </c>
      <c r="S100" s="55"/>
      <c r="T100" s="65">
        <v>0.0</v>
      </c>
      <c r="U100" s="55"/>
      <c r="V100" s="65">
        <v>0.0</v>
      </c>
      <c r="W100" s="55"/>
      <c r="X100" s="65">
        <v>0.0</v>
      </c>
      <c r="Y100" s="55"/>
      <c r="Z100" s="65">
        <v>0.0</v>
      </c>
      <c r="AA100" s="55"/>
      <c r="AB100" s="65">
        <v>0.0</v>
      </c>
      <c r="AC100" s="58"/>
      <c r="AD100" s="66"/>
      <c r="AE100" s="55"/>
      <c r="AF100" s="67"/>
      <c r="AG100" s="55"/>
      <c r="AH100" s="67"/>
      <c r="AI100" s="55"/>
      <c r="AJ100" s="67"/>
      <c r="AK100" s="55"/>
      <c r="AL100" s="67"/>
      <c r="AM100" s="55"/>
      <c r="AN100" s="67"/>
      <c r="AO100" s="58"/>
      <c r="AP100" s="68">
        <f t="shared" si="7"/>
        <v>0</v>
      </c>
      <c r="AQ100" s="69">
        <f t="shared" si="2"/>
        <v>0</v>
      </c>
      <c r="AR100" s="51">
        <f t="shared" si="3"/>
        <v>0</v>
      </c>
      <c r="AS100" s="51">
        <f t="shared" si="4"/>
        <v>0</v>
      </c>
      <c r="AT100" s="61" t="str">
        <f t="shared" si="5"/>
        <v/>
      </c>
      <c r="AU100" s="37"/>
      <c r="AV100" s="37"/>
      <c r="AW100" s="37"/>
      <c r="AX100" s="37"/>
      <c r="AY100" s="37"/>
    </row>
    <row r="101" ht="15.75" customHeight="1">
      <c r="A101" s="21" t="s">
        <v>24</v>
      </c>
      <c r="B101" s="62">
        <f t="shared" si="6"/>
        <v>44661</v>
      </c>
      <c r="C101" s="23">
        <v>4.0</v>
      </c>
      <c r="D101" s="23" t="s">
        <v>34</v>
      </c>
      <c r="E101" s="63" t="s">
        <v>39</v>
      </c>
      <c r="F101" s="30">
        <v>0.0</v>
      </c>
      <c r="H101" s="31">
        <v>0.0</v>
      </c>
      <c r="J101" s="31">
        <v>0.0</v>
      </c>
      <c r="L101" s="31">
        <v>0.0</v>
      </c>
      <c r="N101" s="31">
        <v>0.0</v>
      </c>
      <c r="P101" s="31">
        <v>0.0</v>
      </c>
      <c r="Q101" s="29"/>
      <c r="R101" s="30">
        <v>120.0</v>
      </c>
      <c r="T101" s="31">
        <v>120.0</v>
      </c>
      <c r="V101" s="31">
        <v>0.0</v>
      </c>
      <c r="X101" s="31">
        <v>0.0</v>
      </c>
      <c r="Z101" s="31">
        <v>0.0</v>
      </c>
      <c r="AB101" s="31">
        <v>0.0</v>
      </c>
      <c r="AC101" s="29"/>
      <c r="AD101" s="33"/>
      <c r="AF101" s="34"/>
      <c r="AH101" s="34"/>
      <c r="AJ101" s="34"/>
      <c r="AL101" s="34"/>
      <c r="AN101" s="34"/>
      <c r="AO101" s="29"/>
      <c r="AP101" s="38">
        <f t="shared" si="7"/>
        <v>3264</v>
      </c>
      <c r="AQ101" s="44">
        <f t="shared" si="2"/>
        <v>240</v>
      </c>
      <c r="AR101" s="23">
        <f t="shared" si="3"/>
        <v>0</v>
      </c>
      <c r="AS101" s="23">
        <f t="shared" si="4"/>
        <v>240</v>
      </c>
      <c r="AT101" s="36">
        <f t="shared" si="5"/>
        <v>13.6</v>
      </c>
      <c r="AU101" s="37"/>
      <c r="AV101" s="37"/>
      <c r="AW101" s="37"/>
      <c r="AX101" s="37"/>
      <c r="AY101" s="37"/>
    </row>
    <row r="102" ht="15.75" customHeight="1">
      <c r="A102" s="39" t="s">
        <v>27</v>
      </c>
      <c r="B102" s="40">
        <f t="shared" si="6"/>
        <v>44662</v>
      </c>
      <c r="C102" s="41">
        <v>4.0</v>
      </c>
      <c r="D102" s="41" t="s">
        <v>34</v>
      </c>
      <c r="E102" s="43" t="s">
        <v>39</v>
      </c>
      <c r="F102" s="30">
        <v>0.0</v>
      </c>
      <c r="H102" s="31">
        <v>0.0</v>
      </c>
      <c r="J102" s="31">
        <v>0.0</v>
      </c>
      <c r="L102" s="31">
        <v>0.0</v>
      </c>
      <c r="N102" s="31">
        <v>0.0</v>
      </c>
      <c r="P102" s="31">
        <v>0.0</v>
      </c>
      <c r="Q102" s="29"/>
      <c r="R102" s="30">
        <v>120.0</v>
      </c>
      <c r="T102" s="31">
        <v>120.0</v>
      </c>
      <c r="V102" s="31">
        <v>0.0</v>
      </c>
      <c r="X102" s="31">
        <v>0.0</v>
      </c>
      <c r="Z102" s="31">
        <v>0.0</v>
      </c>
      <c r="AB102" s="31">
        <v>0.0</v>
      </c>
      <c r="AC102" s="29"/>
      <c r="AD102" s="33"/>
      <c r="AF102" s="34"/>
      <c r="AH102" s="34"/>
      <c r="AJ102" s="34"/>
      <c r="AL102" s="34"/>
      <c r="AN102" s="34"/>
      <c r="AO102" s="29"/>
      <c r="AP102" s="47">
        <f t="shared" si="7"/>
        <v>3264</v>
      </c>
      <c r="AQ102" s="48">
        <f t="shared" si="2"/>
        <v>240</v>
      </c>
      <c r="AR102" s="41">
        <f t="shared" si="3"/>
        <v>0</v>
      </c>
      <c r="AS102" s="41">
        <f t="shared" si="4"/>
        <v>240</v>
      </c>
      <c r="AT102" s="46">
        <f t="shared" si="5"/>
        <v>13.6</v>
      </c>
      <c r="AU102" s="37"/>
      <c r="AV102" s="37"/>
      <c r="AW102" s="37"/>
      <c r="AX102" s="37"/>
      <c r="AY102" s="37"/>
    </row>
    <row r="103" ht="15.75" customHeight="1">
      <c r="A103" s="39" t="s">
        <v>28</v>
      </c>
      <c r="B103" s="40">
        <f t="shared" si="6"/>
        <v>44663</v>
      </c>
      <c r="C103" s="41">
        <v>4.0</v>
      </c>
      <c r="D103" s="41" t="s">
        <v>34</v>
      </c>
      <c r="E103" s="43" t="s">
        <v>39</v>
      </c>
      <c r="F103" s="30">
        <v>0.0</v>
      </c>
      <c r="H103" s="31">
        <v>0.0</v>
      </c>
      <c r="J103" s="31">
        <v>0.0</v>
      </c>
      <c r="L103" s="31">
        <v>0.0</v>
      </c>
      <c r="N103" s="31">
        <v>0.0</v>
      </c>
      <c r="P103" s="31">
        <v>0.0</v>
      </c>
      <c r="Q103" s="29"/>
      <c r="R103" s="30">
        <v>120.0</v>
      </c>
      <c r="T103" s="31">
        <v>120.0</v>
      </c>
      <c r="V103" s="31">
        <v>0.0</v>
      </c>
      <c r="X103" s="31">
        <v>0.0</v>
      </c>
      <c r="Z103" s="31">
        <v>0.0</v>
      </c>
      <c r="AB103" s="31">
        <v>0.0</v>
      </c>
      <c r="AC103" s="29"/>
      <c r="AD103" s="33"/>
      <c r="AF103" s="34"/>
      <c r="AH103" s="34"/>
      <c r="AJ103" s="34"/>
      <c r="AL103" s="34"/>
      <c r="AN103" s="34"/>
      <c r="AO103" s="29"/>
      <c r="AP103" s="47">
        <f t="shared" si="7"/>
        <v>3264</v>
      </c>
      <c r="AQ103" s="48">
        <f t="shared" si="2"/>
        <v>240</v>
      </c>
      <c r="AR103" s="41">
        <f t="shared" si="3"/>
        <v>0</v>
      </c>
      <c r="AS103" s="41">
        <f t="shared" si="4"/>
        <v>240</v>
      </c>
      <c r="AT103" s="46">
        <f t="shared" si="5"/>
        <v>13.6</v>
      </c>
      <c r="AU103" s="37"/>
      <c r="AV103" s="37"/>
      <c r="AW103" s="37"/>
      <c r="AX103" s="37"/>
      <c r="AY103" s="37"/>
    </row>
    <row r="104" ht="15.75" customHeight="1">
      <c r="A104" s="39" t="s">
        <v>29</v>
      </c>
      <c r="B104" s="40">
        <f t="shared" si="6"/>
        <v>44664</v>
      </c>
      <c r="C104" s="41">
        <v>4.0</v>
      </c>
      <c r="D104" s="41" t="s">
        <v>34</v>
      </c>
      <c r="E104" s="43" t="s">
        <v>39</v>
      </c>
      <c r="F104" s="30">
        <v>0.0</v>
      </c>
      <c r="H104" s="31">
        <v>0.0</v>
      </c>
      <c r="J104" s="31">
        <v>0.0</v>
      </c>
      <c r="L104" s="31">
        <v>0.0</v>
      </c>
      <c r="N104" s="31">
        <v>0.0</v>
      </c>
      <c r="P104" s="31">
        <v>0.0</v>
      </c>
      <c r="Q104" s="29"/>
      <c r="R104" s="30">
        <v>120.0</v>
      </c>
      <c r="T104" s="31">
        <v>120.0</v>
      </c>
      <c r="V104" s="31">
        <v>0.0</v>
      </c>
      <c r="X104" s="31">
        <v>0.0</v>
      </c>
      <c r="Z104" s="31">
        <v>0.0</v>
      </c>
      <c r="AB104" s="31">
        <v>0.0</v>
      </c>
      <c r="AC104" s="29"/>
      <c r="AD104" s="33"/>
      <c r="AF104" s="34"/>
      <c r="AH104" s="34"/>
      <c r="AJ104" s="34"/>
      <c r="AL104" s="34"/>
      <c r="AN104" s="34"/>
      <c r="AO104" s="29"/>
      <c r="AP104" s="47">
        <f t="shared" si="7"/>
        <v>3264</v>
      </c>
      <c r="AQ104" s="48">
        <f t="shared" si="2"/>
        <v>240</v>
      </c>
      <c r="AR104" s="41">
        <f t="shared" si="3"/>
        <v>0</v>
      </c>
      <c r="AS104" s="41">
        <f t="shared" si="4"/>
        <v>240</v>
      </c>
      <c r="AT104" s="46">
        <f t="shared" si="5"/>
        <v>13.6</v>
      </c>
      <c r="AU104" s="37"/>
      <c r="AV104" s="37"/>
      <c r="AW104" s="37"/>
      <c r="AX104" s="37"/>
      <c r="AY104" s="37"/>
    </row>
    <row r="105" ht="15.75" customHeight="1">
      <c r="A105" s="39" t="s">
        <v>30</v>
      </c>
      <c r="B105" s="40">
        <f t="shared" si="6"/>
        <v>44665</v>
      </c>
      <c r="C105" s="41">
        <v>4.0</v>
      </c>
      <c r="D105" s="41" t="s">
        <v>34</v>
      </c>
      <c r="E105" s="43" t="s">
        <v>39</v>
      </c>
      <c r="F105" s="30">
        <v>0.0</v>
      </c>
      <c r="H105" s="31">
        <v>0.0</v>
      </c>
      <c r="J105" s="31">
        <v>0.0</v>
      </c>
      <c r="L105" s="31">
        <v>0.0</v>
      </c>
      <c r="N105" s="31">
        <v>0.0</v>
      </c>
      <c r="P105" s="31">
        <v>0.0</v>
      </c>
      <c r="Q105" s="29"/>
      <c r="R105" s="30">
        <v>120.0</v>
      </c>
      <c r="T105" s="31">
        <v>120.0</v>
      </c>
      <c r="V105" s="31">
        <v>0.0</v>
      </c>
      <c r="X105" s="31">
        <v>0.0</v>
      </c>
      <c r="Z105" s="31">
        <v>0.0</v>
      </c>
      <c r="AB105" s="31">
        <v>0.0</v>
      </c>
      <c r="AC105" s="29"/>
      <c r="AD105" s="33"/>
      <c r="AF105" s="34"/>
      <c r="AH105" s="34"/>
      <c r="AJ105" s="34"/>
      <c r="AL105" s="34"/>
      <c r="AN105" s="34"/>
      <c r="AO105" s="29"/>
      <c r="AP105" s="47">
        <f t="shared" si="7"/>
        <v>3264</v>
      </c>
      <c r="AQ105" s="48">
        <f t="shared" si="2"/>
        <v>240</v>
      </c>
      <c r="AR105" s="41">
        <f t="shared" si="3"/>
        <v>0</v>
      </c>
      <c r="AS105" s="41">
        <f t="shared" si="4"/>
        <v>240</v>
      </c>
      <c r="AT105" s="46">
        <f t="shared" si="5"/>
        <v>13.6</v>
      </c>
      <c r="AU105" s="37"/>
      <c r="AV105" s="37"/>
      <c r="AW105" s="37"/>
      <c r="AX105" s="37"/>
      <c r="AY105" s="37"/>
    </row>
    <row r="106" ht="15.75" customHeight="1">
      <c r="A106" s="39" t="s">
        <v>31</v>
      </c>
      <c r="B106" s="40">
        <f t="shared" si="6"/>
        <v>44666</v>
      </c>
      <c r="C106" s="41">
        <v>4.0</v>
      </c>
      <c r="D106" s="41" t="s">
        <v>34</v>
      </c>
      <c r="E106" s="43" t="s">
        <v>39</v>
      </c>
      <c r="F106" s="30">
        <v>0.0</v>
      </c>
      <c r="H106" s="31">
        <v>0.0</v>
      </c>
      <c r="J106" s="31">
        <v>0.0</v>
      </c>
      <c r="L106" s="31">
        <v>0.0</v>
      </c>
      <c r="N106" s="31">
        <v>0.0</v>
      </c>
      <c r="P106" s="31">
        <v>0.0</v>
      </c>
      <c r="Q106" s="29"/>
      <c r="R106" s="30">
        <v>120.0</v>
      </c>
      <c r="T106" s="31">
        <v>120.0</v>
      </c>
      <c r="V106" s="31">
        <v>0.0</v>
      </c>
      <c r="X106" s="31">
        <v>0.0</v>
      </c>
      <c r="Z106" s="31">
        <v>0.0</v>
      </c>
      <c r="AB106" s="31">
        <v>0.0</v>
      </c>
      <c r="AC106" s="29"/>
      <c r="AD106" s="33"/>
      <c r="AF106" s="34"/>
      <c r="AH106" s="34"/>
      <c r="AJ106" s="34"/>
      <c r="AL106" s="34"/>
      <c r="AN106" s="34"/>
      <c r="AO106" s="29"/>
      <c r="AP106" s="47">
        <f t="shared" si="7"/>
        <v>3264</v>
      </c>
      <c r="AQ106" s="48">
        <f t="shared" si="2"/>
        <v>240</v>
      </c>
      <c r="AR106" s="41">
        <f t="shared" si="3"/>
        <v>0</v>
      </c>
      <c r="AS106" s="41">
        <f t="shared" si="4"/>
        <v>240</v>
      </c>
      <c r="AT106" s="46">
        <f t="shared" si="5"/>
        <v>13.6</v>
      </c>
      <c r="AU106" s="37"/>
      <c r="AV106" s="37"/>
      <c r="AW106" s="37"/>
      <c r="AX106" s="37"/>
      <c r="AY106" s="37"/>
    </row>
    <row r="107" ht="15.75" customHeight="1">
      <c r="A107" s="49" t="s">
        <v>32</v>
      </c>
      <c r="B107" s="50">
        <f t="shared" si="6"/>
        <v>44667</v>
      </c>
      <c r="C107" s="51">
        <v>4.0</v>
      </c>
      <c r="D107" s="51" t="s">
        <v>34</v>
      </c>
      <c r="E107" s="53" t="s">
        <v>39</v>
      </c>
      <c r="F107" s="64">
        <v>0.0</v>
      </c>
      <c r="G107" s="55"/>
      <c r="H107" s="65">
        <v>0.0</v>
      </c>
      <c r="I107" s="55"/>
      <c r="J107" s="65">
        <v>0.0</v>
      </c>
      <c r="K107" s="55"/>
      <c r="L107" s="65">
        <v>0.0</v>
      </c>
      <c r="M107" s="55"/>
      <c r="N107" s="65">
        <v>0.0</v>
      </c>
      <c r="O107" s="55"/>
      <c r="P107" s="65">
        <v>0.0</v>
      </c>
      <c r="Q107" s="58"/>
      <c r="R107" s="64">
        <v>0.0</v>
      </c>
      <c r="S107" s="55"/>
      <c r="T107" s="65">
        <v>0.0</v>
      </c>
      <c r="U107" s="55"/>
      <c r="V107" s="65">
        <v>0.0</v>
      </c>
      <c r="W107" s="55"/>
      <c r="X107" s="65">
        <v>0.0</v>
      </c>
      <c r="Y107" s="55"/>
      <c r="Z107" s="65">
        <v>0.0</v>
      </c>
      <c r="AA107" s="55"/>
      <c r="AB107" s="65">
        <v>0.0</v>
      </c>
      <c r="AC107" s="58"/>
      <c r="AD107" s="66"/>
      <c r="AE107" s="55"/>
      <c r="AF107" s="67"/>
      <c r="AG107" s="55"/>
      <c r="AH107" s="67"/>
      <c r="AI107" s="55"/>
      <c r="AJ107" s="67"/>
      <c r="AK107" s="55"/>
      <c r="AL107" s="67"/>
      <c r="AM107" s="55"/>
      <c r="AN107" s="67"/>
      <c r="AO107" s="58"/>
      <c r="AP107" s="68">
        <f t="shared" si="7"/>
        <v>0</v>
      </c>
      <c r="AQ107" s="69">
        <f t="shared" si="2"/>
        <v>0</v>
      </c>
      <c r="AR107" s="51">
        <f t="shared" si="3"/>
        <v>0</v>
      </c>
      <c r="AS107" s="51">
        <f t="shared" si="4"/>
        <v>0</v>
      </c>
      <c r="AT107" s="61" t="str">
        <f t="shared" si="5"/>
        <v/>
      </c>
      <c r="AU107" s="37"/>
      <c r="AV107" s="37"/>
      <c r="AW107" s="37"/>
      <c r="AX107" s="37"/>
      <c r="AY107" s="37"/>
    </row>
    <row r="108" ht="15.75" customHeight="1">
      <c r="A108" s="21" t="s">
        <v>24</v>
      </c>
      <c r="B108" s="62">
        <f t="shared" si="6"/>
        <v>44668</v>
      </c>
      <c r="C108" s="23">
        <v>4.0</v>
      </c>
      <c r="D108" s="23" t="s">
        <v>35</v>
      </c>
      <c r="E108" s="63" t="s">
        <v>39</v>
      </c>
      <c r="F108" s="30">
        <v>0.0</v>
      </c>
      <c r="H108" s="31">
        <v>0.0</v>
      </c>
      <c r="J108" s="31">
        <v>0.0</v>
      </c>
      <c r="L108" s="31">
        <v>0.0</v>
      </c>
      <c r="N108" s="31">
        <v>0.0</v>
      </c>
      <c r="P108" s="31">
        <v>0.0</v>
      </c>
      <c r="Q108" s="29"/>
      <c r="R108" s="30">
        <v>120.0</v>
      </c>
      <c r="T108" s="31">
        <v>120.0</v>
      </c>
      <c r="V108" s="31">
        <v>0.0</v>
      </c>
      <c r="X108" s="31">
        <v>0.0</v>
      </c>
      <c r="Z108" s="31">
        <v>0.0</v>
      </c>
      <c r="AB108" s="31">
        <v>0.0</v>
      </c>
      <c r="AC108" s="29"/>
      <c r="AD108" s="33"/>
      <c r="AF108" s="34"/>
      <c r="AH108" s="34"/>
      <c r="AJ108" s="34"/>
      <c r="AL108" s="34"/>
      <c r="AN108" s="34"/>
      <c r="AO108" s="29"/>
      <c r="AP108" s="38">
        <f t="shared" si="7"/>
        <v>3264</v>
      </c>
      <c r="AQ108" s="44">
        <f t="shared" si="2"/>
        <v>240</v>
      </c>
      <c r="AR108" s="23">
        <f t="shared" si="3"/>
        <v>0</v>
      </c>
      <c r="AS108" s="23">
        <f t="shared" si="4"/>
        <v>240</v>
      </c>
      <c r="AT108" s="36">
        <f t="shared" si="5"/>
        <v>13.6</v>
      </c>
      <c r="AU108" s="37"/>
      <c r="AV108" s="37"/>
      <c r="AW108" s="37"/>
      <c r="AX108" s="37"/>
      <c r="AY108" s="37"/>
    </row>
    <row r="109" ht="15.75" customHeight="1">
      <c r="A109" s="39" t="s">
        <v>27</v>
      </c>
      <c r="B109" s="40">
        <f t="shared" si="6"/>
        <v>44669</v>
      </c>
      <c r="C109" s="41">
        <v>4.0</v>
      </c>
      <c r="D109" s="41" t="s">
        <v>35</v>
      </c>
      <c r="E109" s="43" t="s">
        <v>39</v>
      </c>
      <c r="F109" s="30">
        <v>0.0</v>
      </c>
      <c r="H109" s="31">
        <v>0.0</v>
      </c>
      <c r="J109" s="31">
        <v>0.0</v>
      </c>
      <c r="L109" s="31">
        <v>0.0</v>
      </c>
      <c r="N109" s="31">
        <v>0.0</v>
      </c>
      <c r="P109" s="31">
        <v>0.0</v>
      </c>
      <c r="Q109" s="29"/>
      <c r="R109" s="30">
        <v>120.0</v>
      </c>
      <c r="T109" s="31">
        <v>120.0</v>
      </c>
      <c r="V109" s="31">
        <v>0.0</v>
      </c>
      <c r="X109" s="31">
        <v>0.0</v>
      </c>
      <c r="Z109" s="31">
        <v>0.0</v>
      </c>
      <c r="AB109" s="31">
        <v>0.0</v>
      </c>
      <c r="AC109" s="29"/>
      <c r="AD109" s="33"/>
      <c r="AF109" s="34"/>
      <c r="AH109" s="34"/>
      <c r="AJ109" s="34"/>
      <c r="AL109" s="34"/>
      <c r="AN109" s="34"/>
      <c r="AO109" s="29"/>
      <c r="AP109" s="47">
        <f t="shared" si="7"/>
        <v>3264</v>
      </c>
      <c r="AQ109" s="48">
        <f t="shared" si="2"/>
        <v>240</v>
      </c>
      <c r="AR109" s="41">
        <f t="shared" si="3"/>
        <v>0</v>
      </c>
      <c r="AS109" s="41">
        <f t="shared" si="4"/>
        <v>240</v>
      </c>
      <c r="AT109" s="46">
        <f t="shared" si="5"/>
        <v>13.6</v>
      </c>
      <c r="AU109" s="37"/>
      <c r="AV109" s="37"/>
      <c r="AW109" s="37"/>
      <c r="AX109" s="37"/>
      <c r="AY109" s="37"/>
    </row>
    <row r="110" ht="15.75" customHeight="1">
      <c r="A110" s="39" t="s">
        <v>28</v>
      </c>
      <c r="B110" s="40">
        <f t="shared" si="6"/>
        <v>44670</v>
      </c>
      <c r="C110" s="41">
        <v>4.0</v>
      </c>
      <c r="D110" s="41" t="s">
        <v>35</v>
      </c>
      <c r="E110" s="43" t="s">
        <v>39</v>
      </c>
      <c r="F110" s="30">
        <v>0.0</v>
      </c>
      <c r="H110" s="31">
        <v>0.0</v>
      </c>
      <c r="J110" s="31">
        <v>0.0</v>
      </c>
      <c r="L110" s="31">
        <v>0.0</v>
      </c>
      <c r="N110" s="31">
        <v>0.0</v>
      </c>
      <c r="P110" s="31">
        <v>0.0</v>
      </c>
      <c r="Q110" s="29"/>
      <c r="R110" s="30">
        <v>120.0</v>
      </c>
      <c r="T110" s="31">
        <v>120.0</v>
      </c>
      <c r="V110" s="31">
        <v>0.0</v>
      </c>
      <c r="X110" s="31">
        <v>0.0</v>
      </c>
      <c r="Z110" s="31">
        <v>0.0</v>
      </c>
      <c r="AB110" s="31">
        <v>0.0</v>
      </c>
      <c r="AC110" s="29"/>
      <c r="AD110" s="33"/>
      <c r="AF110" s="34"/>
      <c r="AH110" s="34"/>
      <c r="AJ110" s="34"/>
      <c r="AL110" s="34"/>
      <c r="AN110" s="34"/>
      <c r="AO110" s="29"/>
      <c r="AP110" s="47">
        <f t="shared" si="7"/>
        <v>3264</v>
      </c>
      <c r="AQ110" s="48">
        <f t="shared" si="2"/>
        <v>240</v>
      </c>
      <c r="AR110" s="41">
        <f t="shared" si="3"/>
        <v>0</v>
      </c>
      <c r="AS110" s="41">
        <f t="shared" si="4"/>
        <v>240</v>
      </c>
      <c r="AT110" s="46">
        <f t="shared" si="5"/>
        <v>13.6</v>
      </c>
      <c r="AU110" s="37"/>
      <c r="AV110" s="37"/>
      <c r="AW110" s="37"/>
      <c r="AX110" s="37"/>
      <c r="AY110" s="37"/>
    </row>
    <row r="111" ht="15.75" customHeight="1">
      <c r="A111" s="39" t="s">
        <v>29</v>
      </c>
      <c r="B111" s="40">
        <f t="shared" si="6"/>
        <v>44671</v>
      </c>
      <c r="C111" s="41">
        <v>4.0</v>
      </c>
      <c r="D111" s="41" t="s">
        <v>35</v>
      </c>
      <c r="E111" s="43" t="s">
        <v>39</v>
      </c>
      <c r="F111" s="30">
        <v>0.0</v>
      </c>
      <c r="H111" s="31">
        <v>0.0</v>
      </c>
      <c r="J111" s="31">
        <v>0.0</v>
      </c>
      <c r="L111" s="31">
        <v>0.0</v>
      </c>
      <c r="N111" s="31">
        <v>0.0</v>
      </c>
      <c r="P111" s="31">
        <v>0.0</v>
      </c>
      <c r="Q111" s="29"/>
      <c r="R111" s="30">
        <v>120.0</v>
      </c>
      <c r="T111" s="31">
        <v>120.0</v>
      </c>
      <c r="V111" s="31">
        <v>0.0</v>
      </c>
      <c r="X111" s="31">
        <v>0.0</v>
      </c>
      <c r="Z111" s="31">
        <v>0.0</v>
      </c>
      <c r="AB111" s="31">
        <v>0.0</v>
      </c>
      <c r="AC111" s="29"/>
      <c r="AD111" s="33"/>
      <c r="AF111" s="34"/>
      <c r="AH111" s="34"/>
      <c r="AJ111" s="34"/>
      <c r="AL111" s="34"/>
      <c r="AN111" s="34"/>
      <c r="AO111" s="29"/>
      <c r="AP111" s="47">
        <f t="shared" si="7"/>
        <v>3264</v>
      </c>
      <c r="AQ111" s="48">
        <f t="shared" si="2"/>
        <v>240</v>
      </c>
      <c r="AR111" s="41">
        <f t="shared" si="3"/>
        <v>0</v>
      </c>
      <c r="AS111" s="41">
        <f t="shared" si="4"/>
        <v>240</v>
      </c>
      <c r="AT111" s="46">
        <f t="shared" si="5"/>
        <v>13.6</v>
      </c>
      <c r="AU111" s="37"/>
      <c r="AV111" s="37"/>
      <c r="AW111" s="37"/>
      <c r="AX111" s="37"/>
      <c r="AY111" s="37"/>
    </row>
    <row r="112" ht="15.75" customHeight="1">
      <c r="A112" s="39" t="s">
        <v>30</v>
      </c>
      <c r="B112" s="40">
        <f t="shared" si="6"/>
        <v>44672</v>
      </c>
      <c r="C112" s="41">
        <v>4.0</v>
      </c>
      <c r="D112" s="41" t="s">
        <v>35</v>
      </c>
      <c r="E112" s="43" t="s">
        <v>39</v>
      </c>
      <c r="F112" s="30">
        <v>0.0</v>
      </c>
      <c r="H112" s="31">
        <v>0.0</v>
      </c>
      <c r="J112" s="31">
        <v>0.0</v>
      </c>
      <c r="L112" s="31">
        <v>0.0</v>
      </c>
      <c r="N112" s="31">
        <v>0.0</v>
      </c>
      <c r="P112" s="31">
        <v>0.0</v>
      </c>
      <c r="Q112" s="29"/>
      <c r="R112" s="30">
        <v>120.0</v>
      </c>
      <c r="T112" s="31">
        <v>120.0</v>
      </c>
      <c r="V112" s="31">
        <v>0.0</v>
      </c>
      <c r="X112" s="31">
        <v>0.0</v>
      </c>
      <c r="Z112" s="31">
        <v>0.0</v>
      </c>
      <c r="AB112" s="31">
        <v>0.0</v>
      </c>
      <c r="AC112" s="29"/>
      <c r="AD112" s="33"/>
      <c r="AF112" s="34"/>
      <c r="AH112" s="34"/>
      <c r="AJ112" s="34"/>
      <c r="AL112" s="34"/>
      <c r="AN112" s="34"/>
      <c r="AO112" s="29"/>
      <c r="AP112" s="47">
        <f t="shared" si="7"/>
        <v>3264</v>
      </c>
      <c r="AQ112" s="48">
        <f t="shared" si="2"/>
        <v>240</v>
      </c>
      <c r="AR112" s="41">
        <f t="shared" si="3"/>
        <v>0</v>
      </c>
      <c r="AS112" s="41">
        <f t="shared" si="4"/>
        <v>240</v>
      </c>
      <c r="AT112" s="46">
        <f t="shared" si="5"/>
        <v>13.6</v>
      </c>
      <c r="AU112" s="37"/>
      <c r="AV112" s="37"/>
      <c r="AW112" s="37"/>
      <c r="AX112" s="37"/>
      <c r="AY112" s="37"/>
    </row>
    <row r="113" ht="15.75" customHeight="1">
      <c r="A113" s="39" t="s">
        <v>31</v>
      </c>
      <c r="B113" s="40">
        <f t="shared" si="6"/>
        <v>44673</v>
      </c>
      <c r="C113" s="41">
        <v>4.0</v>
      </c>
      <c r="D113" s="41" t="s">
        <v>35</v>
      </c>
      <c r="E113" s="43" t="s">
        <v>39</v>
      </c>
      <c r="F113" s="30">
        <v>0.0</v>
      </c>
      <c r="H113" s="31">
        <v>0.0</v>
      </c>
      <c r="J113" s="31">
        <v>0.0</v>
      </c>
      <c r="L113" s="31">
        <v>0.0</v>
      </c>
      <c r="N113" s="31">
        <v>0.0</v>
      </c>
      <c r="P113" s="31">
        <v>0.0</v>
      </c>
      <c r="Q113" s="29"/>
      <c r="R113" s="30">
        <v>120.0</v>
      </c>
      <c r="T113" s="31">
        <v>120.0</v>
      </c>
      <c r="V113" s="31">
        <v>0.0</v>
      </c>
      <c r="X113" s="31">
        <v>0.0</v>
      </c>
      <c r="Z113" s="31">
        <v>0.0</v>
      </c>
      <c r="AB113" s="31">
        <v>0.0</v>
      </c>
      <c r="AC113" s="29"/>
      <c r="AD113" s="33"/>
      <c r="AF113" s="34"/>
      <c r="AH113" s="34"/>
      <c r="AJ113" s="34"/>
      <c r="AL113" s="34"/>
      <c r="AN113" s="34"/>
      <c r="AO113" s="29"/>
      <c r="AP113" s="47">
        <f t="shared" si="7"/>
        <v>3264</v>
      </c>
      <c r="AQ113" s="48">
        <f t="shared" si="2"/>
        <v>240</v>
      </c>
      <c r="AR113" s="41">
        <f t="shared" si="3"/>
        <v>0</v>
      </c>
      <c r="AS113" s="41">
        <f t="shared" si="4"/>
        <v>240</v>
      </c>
      <c r="AT113" s="46">
        <f t="shared" si="5"/>
        <v>13.6</v>
      </c>
      <c r="AU113" s="37"/>
      <c r="AV113" s="37"/>
      <c r="AW113" s="37"/>
      <c r="AX113" s="37"/>
      <c r="AY113" s="37"/>
    </row>
    <row r="114" ht="15.75" customHeight="1">
      <c r="A114" s="49" t="s">
        <v>32</v>
      </c>
      <c r="B114" s="50">
        <f t="shared" si="6"/>
        <v>44674</v>
      </c>
      <c r="C114" s="51">
        <v>4.0</v>
      </c>
      <c r="D114" s="51" t="s">
        <v>35</v>
      </c>
      <c r="E114" s="53" t="s">
        <v>39</v>
      </c>
      <c r="F114" s="64">
        <v>0.0</v>
      </c>
      <c r="G114" s="55"/>
      <c r="H114" s="65">
        <v>0.0</v>
      </c>
      <c r="I114" s="55"/>
      <c r="J114" s="65">
        <v>0.0</v>
      </c>
      <c r="K114" s="55"/>
      <c r="L114" s="65">
        <v>0.0</v>
      </c>
      <c r="M114" s="55"/>
      <c r="N114" s="65">
        <v>0.0</v>
      </c>
      <c r="O114" s="55"/>
      <c r="P114" s="65">
        <v>0.0</v>
      </c>
      <c r="Q114" s="58"/>
      <c r="R114" s="64">
        <v>0.0</v>
      </c>
      <c r="S114" s="55"/>
      <c r="T114" s="65">
        <v>0.0</v>
      </c>
      <c r="U114" s="55"/>
      <c r="V114" s="65">
        <v>0.0</v>
      </c>
      <c r="W114" s="55"/>
      <c r="X114" s="65">
        <v>0.0</v>
      </c>
      <c r="Y114" s="55"/>
      <c r="Z114" s="65">
        <v>0.0</v>
      </c>
      <c r="AA114" s="55"/>
      <c r="AB114" s="65">
        <v>0.0</v>
      </c>
      <c r="AC114" s="58"/>
      <c r="AD114" s="66"/>
      <c r="AE114" s="55"/>
      <c r="AF114" s="67"/>
      <c r="AG114" s="55"/>
      <c r="AH114" s="67"/>
      <c r="AI114" s="55"/>
      <c r="AJ114" s="67"/>
      <c r="AK114" s="55"/>
      <c r="AL114" s="67"/>
      <c r="AM114" s="55"/>
      <c r="AN114" s="67"/>
      <c r="AO114" s="58"/>
      <c r="AP114" s="68">
        <f t="shared" si="7"/>
        <v>0</v>
      </c>
      <c r="AQ114" s="69">
        <f t="shared" si="2"/>
        <v>0</v>
      </c>
      <c r="AR114" s="51">
        <f t="shared" si="3"/>
        <v>0</v>
      </c>
      <c r="AS114" s="51">
        <f t="shared" si="4"/>
        <v>0</v>
      </c>
      <c r="AT114" s="61" t="str">
        <f t="shared" si="5"/>
        <v/>
      </c>
      <c r="AU114" s="37"/>
      <c r="AV114" s="37"/>
      <c r="AW114" s="37"/>
      <c r="AX114" s="37"/>
      <c r="AY114" s="37"/>
    </row>
    <row r="115" ht="15.75" customHeight="1">
      <c r="A115" s="21" t="s">
        <v>24</v>
      </c>
      <c r="B115" s="62">
        <f t="shared" si="6"/>
        <v>44675</v>
      </c>
      <c r="C115" s="23">
        <v>5.0</v>
      </c>
      <c r="D115" s="23" t="s">
        <v>25</v>
      </c>
      <c r="E115" s="63" t="s">
        <v>39</v>
      </c>
      <c r="F115" s="30">
        <v>0.0</v>
      </c>
      <c r="H115" s="31">
        <v>0.0</v>
      </c>
      <c r="J115" s="31">
        <v>0.0</v>
      </c>
      <c r="L115" s="31">
        <v>0.0</v>
      </c>
      <c r="N115" s="31">
        <v>0.0</v>
      </c>
      <c r="P115" s="31">
        <v>0.0</v>
      </c>
      <c r="Q115" s="29"/>
      <c r="R115" s="30">
        <v>120.0</v>
      </c>
      <c r="T115" s="31">
        <v>120.0</v>
      </c>
      <c r="V115" s="31">
        <v>0.0</v>
      </c>
      <c r="X115" s="31">
        <v>0.0</v>
      </c>
      <c r="Z115" s="31">
        <v>0.0</v>
      </c>
      <c r="AB115" s="31">
        <v>0.0</v>
      </c>
      <c r="AC115" s="29"/>
      <c r="AD115" s="33"/>
      <c r="AF115" s="34"/>
      <c r="AH115" s="34"/>
      <c r="AJ115" s="34"/>
      <c r="AL115" s="34"/>
      <c r="AN115" s="34"/>
      <c r="AO115" s="29"/>
      <c r="AP115" s="38">
        <f t="shared" si="7"/>
        <v>3264</v>
      </c>
      <c r="AQ115" s="44">
        <f t="shared" si="2"/>
        <v>240</v>
      </c>
      <c r="AR115" s="23">
        <f t="shared" si="3"/>
        <v>0</v>
      </c>
      <c r="AS115" s="23">
        <f t="shared" si="4"/>
        <v>240</v>
      </c>
      <c r="AT115" s="36">
        <f t="shared" si="5"/>
        <v>13.6</v>
      </c>
      <c r="AU115" s="37"/>
      <c r="AV115" s="37"/>
      <c r="AW115" s="37"/>
      <c r="AX115" s="37"/>
      <c r="AY115" s="37"/>
    </row>
    <row r="116" ht="15.75" customHeight="1">
      <c r="A116" s="39" t="s">
        <v>27</v>
      </c>
      <c r="B116" s="40">
        <f t="shared" si="6"/>
        <v>44676</v>
      </c>
      <c r="C116" s="41">
        <v>5.0</v>
      </c>
      <c r="D116" s="41" t="s">
        <v>25</v>
      </c>
      <c r="E116" s="43" t="s">
        <v>39</v>
      </c>
      <c r="F116" s="30">
        <v>0.0</v>
      </c>
      <c r="H116" s="31">
        <v>0.0</v>
      </c>
      <c r="J116" s="31">
        <v>0.0</v>
      </c>
      <c r="L116" s="31">
        <v>0.0</v>
      </c>
      <c r="N116" s="31">
        <v>0.0</v>
      </c>
      <c r="P116" s="31">
        <v>0.0</v>
      </c>
      <c r="Q116" s="29"/>
      <c r="R116" s="30">
        <v>120.0</v>
      </c>
      <c r="T116" s="31">
        <v>120.0</v>
      </c>
      <c r="V116" s="31">
        <v>0.0</v>
      </c>
      <c r="X116" s="31">
        <v>0.0</v>
      </c>
      <c r="Z116" s="31">
        <v>0.0</v>
      </c>
      <c r="AB116" s="31">
        <v>0.0</v>
      </c>
      <c r="AC116" s="29"/>
      <c r="AD116" s="33"/>
      <c r="AF116" s="34"/>
      <c r="AH116" s="34"/>
      <c r="AJ116" s="34"/>
      <c r="AL116" s="34"/>
      <c r="AN116" s="34"/>
      <c r="AO116" s="29"/>
      <c r="AP116" s="47">
        <f t="shared" si="7"/>
        <v>3264</v>
      </c>
      <c r="AQ116" s="48">
        <f t="shared" si="2"/>
        <v>240</v>
      </c>
      <c r="AR116" s="41">
        <f t="shared" si="3"/>
        <v>0</v>
      </c>
      <c r="AS116" s="41">
        <f t="shared" si="4"/>
        <v>240</v>
      </c>
      <c r="AT116" s="46">
        <f t="shared" si="5"/>
        <v>13.6</v>
      </c>
      <c r="AU116" s="37"/>
      <c r="AV116" s="37"/>
      <c r="AW116" s="37"/>
      <c r="AX116" s="37"/>
      <c r="AY116" s="37"/>
    </row>
    <row r="117" ht="15.75" customHeight="1">
      <c r="A117" s="39" t="s">
        <v>28</v>
      </c>
      <c r="B117" s="40">
        <f t="shared" si="6"/>
        <v>44677</v>
      </c>
      <c r="C117" s="41">
        <v>5.0</v>
      </c>
      <c r="D117" s="41" t="s">
        <v>25</v>
      </c>
      <c r="E117" s="43" t="s">
        <v>39</v>
      </c>
      <c r="F117" s="30">
        <v>0.0</v>
      </c>
      <c r="H117" s="31">
        <v>0.0</v>
      </c>
      <c r="J117" s="31">
        <v>0.0</v>
      </c>
      <c r="L117" s="31">
        <v>0.0</v>
      </c>
      <c r="N117" s="31">
        <v>0.0</v>
      </c>
      <c r="P117" s="31">
        <v>0.0</v>
      </c>
      <c r="Q117" s="29"/>
      <c r="R117" s="30">
        <v>120.0</v>
      </c>
      <c r="T117" s="31">
        <v>120.0</v>
      </c>
      <c r="V117" s="31">
        <v>0.0</v>
      </c>
      <c r="X117" s="31">
        <v>0.0</v>
      </c>
      <c r="Z117" s="31">
        <v>0.0</v>
      </c>
      <c r="AB117" s="31">
        <v>0.0</v>
      </c>
      <c r="AC117" s="29"/>
      <c r="AD117" s="33"/>
      <c r="AF117" s="34"/>
      <c r="AH117" s="34"/>
      <c r="AJ117" s="34"/>
      <c r="AL117" s="34"/>
      <c r="AN117" s="34"/>
      <c r="AO117" s="29"/>
      <c r="AP117" s="47">
        <f t="shared" si="7"/>
        <v>3264</v>
      </c>
      <c r="AQ117" s="48">
        <f t="shared" si="2"/>
        <v>240</v>
      </c>
      <c r="AR117" s="41">
        <f t="shared" si="3"/>
        <v>0</v>
      </c>
      <c r="AS117" s="41">
        <f t="shared" si="4"/>
        <v>240</v>
      </c>
      <c r="AT117" s="46">
        <f t="shared" si="5"/>
        <v>13.6</v>
      </c>
      <c r="AU117" s="37"/>
      <c r="AV117" s="37"/>
      <c r="AW117" s="37"/>
      <c r="AX117" s="37"/>
      <c r="AY117" s="37"/>
    </row>
    <row r="118" ht="15.75" customHeight="1">
      <c r="A118" s="39" t="s">
        <v>29</v>
      </c>
      <c r="B118" s="40">
        <f t="shared" si="6"/>
        <v>44678</v>
      </c>
      <c r="C118" s="41">
        <v>5.0</v>
      </c>
      <c r="D118" s="41" t="s">
        <v>25</v>
      </c>
      <c r="E118" s="43" t="s">
        <v>39</v>
      </c>
      <c r="F118" s="30">
        <v>0.0</v>
      </c>
      <c r="H118" s="31">
        <v>0.0</v>
      </c>
      <c r="J118" s="31">
        <v>0.0</v>
      </c>
      <c r="L118" s="31">
        <v>0.0</v>
      </c>
      <c r="N118" s="31">
        <v>0.0</v>
      </c>
      <c r="P118" s="31">
        <v>0.0</v>
      </c>
      <c r="Q118" s="29"/>
      <c r="R118" s="30">
        <v>120.0</v>
      </c>
      <c r="T118" s="31">
        <v>120.0</v>
      </c>
      <c r="V118" s="31">
        <v>0.0</v>
      </c>
      <c r="X118" s="31">
        <v>0.0</v>
      </c>
      <c r="Z118" s="31">
        <v>0.0</v>
      </c>
      <c r="AB118" s="31">
        <v>0.0</v>
      </c>
      <c r="AC118" s="29"/>
      <c r="AD118" s="33"/>
      <c r="AF118" s="34"/>
      <c r="AH118" s="34"/>
      <c r="AJ118" s="34"/>
      <c r="AL118" s="34"/>
      <c r="AN118" s="34"/>
      <c r="AO118" s="29"/>
      <c r="AP118" s="47">
        <f t="shared" si="7"/>
        <v>3264</v>
      </c>
      <c r="AQ118" s="48">
        <f t="shared" si="2"/>
        <v>240</v>
      </c>
      <c r="AR118" s="41">
        <f t="shared" si="3"/>
        <v>0</v>
      </c>
      <c r="AS118" s="41">
        <f t="shared" si="4"/>
        <v>240</v>
      </c>
      <c r="AT118" s="46">
        <f t="shared" si="5"/>
        <v>13.6</v>
      </c>
      <c r="AU118" s="37"/>
      <c r="AV118" s="37"/>
      <c r="AW118" s="37"/>
      <c r="AX118" s="37"/>
      <c r="AY118" s="37"/>
    </row>
    <row r="119" ht="15.75" customHeight="1">
      <c r="A119" s="39" t="s">
        <v>30</v>
      </c>
      <c r="B119" s="40">
        <f t="shared" si="6"/>
        <v>44679</v>
      </c>
      <c r="C119" s="41">
        <v>5.0</v>
      </c>
      <c r="D119" s="41" t="s">
        <v>25</v>
      </c>
      <c r="E119" s="43" t="s">
        <v>39</v>
      </c>
      <c r="F119" s="30">
        <v>0.0</v>
      </c>
      <c r="H119" s="31">
        <v>0.0</v>
      </c>
      <c r="J119" s="31">
        <v>0.0</v>
      </c>
      <c r="L119" s="31">
        <v>0.0</v>
      </c>
      <c r="N119" s="31">
        <v>0.0</v>
      </c>
      <c r="P119" s="31">
        <v>0.0</v>
      </c>
      <c r="Q119" s="29"/>
      <c r="R119" s="30">
        <v>120.0</v>
      </c>
      <c r="T119" s="31">
        <v>120.0</v>
      </c>
      <c r="V119" s="31">
        <v>0.0</v>
      </c>
      <c r="X119" s="31">
        <v>0.0</v>
      </c>
      <c r="Z119" s="31">
        <v>0.0</v>
      </c>
      <c r="AB119" s="31">
        <v>0.0</v>
      </c>
      <c r="AC119" s="29"/>
      <c r="AD119" s="33"/>
      <c r="AF119" s="34"/>
      <c r="AH119" s="34"/>
      <c r="AJ119" s="34"/>
      <c r="AL119" s="34"/>
      <c r="AN119" s="34"/>
      <c r="AO119" s="29"/>
      <c r="AP119" s="47">
        <f t="shared" si="7"/>
        <v>3264</v>
      </c>
      <c r="AQ119" s="48">
        <f t="shared" si="2"/>
        <v>240</v>
      </c>
      <c r="AR119" s="41">
        <f t="shared" si="3"/>
        <v>0</v>
      </c>
      <c r="AS119" s="41">
        <f t="shared" si="4"/>
        <v>240</v>
      </c>
      <c r="AT119" s="46">
        <f t="shared" si="5"/>
        <v>13.6</v>
      </c>
      <c r="AU119" s="37"/>
      <c r="AV119" s="37"/>
      <c r="AW119" s="37"/>
      <c r="AX119" s="37"/>
      <c r="AY119" s="37"/>
    </row>
    <row r="120" ht="15.75" customHeight="1">
      <c r="A120" s="39" t="s">
        <v>31</v>
      </c>
      <c r="B120" s="40">
        <f t="shared" si="6"/>
        <v>44680</v>
      </c>
      <c r="C120" s="41">
        <v>5.0</v>
      </c>
      <c r="D120" s="41" t="s">
        <v>25</v>
      </c>
      <c r="E120" s="43" t="s">
        <v>39</v>
      </c>
      <c r="F120" s="30">
        <v>0.0</v>
      </c>
      <c r="H120" s="31">
        <v>0.0</v>
      </c>
      <c r="J120" s="31">
        <v>0.0</v>
      </c>
      <c r="L120" s="31">
        <v>0.0</v>
      </c>
      <c r="N120" s="31">
        <v>0.0</v>
      </c>
      <c r="P120" s="31">
        <v>0.0</v>
      </c>
      <c r="Q120" s="29"/>
      <c r="R120" s="30">
        <v>120.0</v>
      </c>
      <c r="T120" s="31">
        <v>120.0</v>
      </c>
      <c r="V120" s="31">
        <v>0.0</v>
      </c>
      <c r="X120" s="31">
        <v>0.0</v>
      </c>
      <c r="Z120" s="31">
        <v>0.0</v>
      </c>
      <c r="AB120" s="31">
        <v>0.0</v>
      </c>
      <c r="AC120" s="29"/>
      <c r="AD120" s="33"/>
      <c r="AF120" s="34"/>
      <c r="AH120" s="34"/>
      <c r="AJ120" s="34"/>
      <c r="AL120" s="34"/>
      <c r="AN120" s="34"/>
      <c r="AO120" s="29"/>
      <c r="AP120" s="47">
        <f t="shared" si="7"/>
        <v>3264</v>
      </c>
      <c r="AQ120" s="48">
        <f t="shared" si="2"/>
        <v>240</v>
      </c>
      <c r="AR120" s="41">
        <f t="shared" si="3"/>
        <v>0</v>
      </c>
      <c r="AS120" s="41">
        <f t="shared" si="4"/>
        <v>240</v>
      </c>
      <c r="AT120" s="46">
        <f t="shared" si="5"/>
        <v>13.6</v>
      </c>
      <c r="AU120" s="37"/>
      <c r="AV120" s="37"/>
      <c r="AW120" s="37"/>
      <c r="AX120" s="37"/>
      <c r="AY120" s="37"/>
    </row>
    <row r="121" ht="15.75" customHeight="1">
      <c r="A121" s="49" t="s">
        <v>32</v>
      </c>
      <c r="B121" s="50">
        <f t="shared" si="6"/>
        <v>44681</v>
      </c>
      <c r="C121" s="51">
        <v>5.0</v>
      </c>
      <c r="D121" s="51" t="s">
        <v>25</v>
      </c>
      <c r="E121" s="53" t="s">
        <v>39</v>
      </c>
      <c r="F121" s="64">
        <v>0.0</v>
      </c>
      <c r="G121" s="55"/>
      <c r="H121" s="65">
        <v>0.0</v>
      </c>
      <c r="I121" s="55"/>
      <c r="J121" s="65">
        <v>0.0</v>
      </c>
      <c r="K121" s="55"/>
      <c r="L121" s="65">
        <v>0.0</v>
      </c>
      <c r="M121" s="55"/>
      <c r="N121" s="65">
        <v>0.0</v>
      </c>
      <c r="O121" s="55"/>
      <c r="P121" s="65">
        <v>0.0</v>
      </c>
      <c r="Q121" s="58"/>
      <c r="R121" s="64">
        <v>0.0</v>
      </c>
      <c r="S121" s="55"/>
      <c r="T121" s="65">
        <v>0.0</v>
      </c>
      <c r="U121" s="55"/>
      <c r="V121" s="65">
        <v>0.0</v>
      </c>
      <c r="W121" s="55"/>
      <c r="X121" s="65">
        <v>0.0</v>
      </c>
      <c r="Y121" s="55"/>
      <c r="Z121" s="65">
        <v>0.0</v>
      </c>
      <c r="AA121" s="55"/>
      <c r="AB121" s="65">
        <v>0.0</v>
      </c>
      <c r="AC121" s="58"/>
      <c r="AD121" s="66"/>
      <c r="AE121" s="55"/>
      <c r="AF121" s="67"/>
      <c r="AG121" s="55"/>
      <c r="AH121" s="67"/>
      <c r="AI121" s="55"/>
      <c r="AJ121" s="67"/>
      <c r="AK121" s="55"/>
      <c r="AL121" s="67"/>
      <c r="AM121" s="55"/>
      <c r="AN121" s="67"/>
      <c r="AO121" s="58"/>
      <c r="AP121" s="68">
        <f t="shared" si="7"/>
        <v>0</v>
      </c>
      <c r="AQ121" s="69">
        <f t="shared" si="2"/>
        <v>0</v>
      </c>
      <c r="AR121" s="51">
        <f t="shared" si="3"/>
        <v>0</v>
      </c>
      <c r="AS121" s="51">
        <f t="shared" si="4"/>
        <v>0</v>
      </c>
      <c r="AT121" s="61" t="str">
        <f t="shared" si="5"/>
        <v/>
      </c>
      <c r="AU121" s="37"/>
      <c r="AV121" s="37"/>
      <c r="AW121" s="37"/>
      <c r="AX121" s="37"/>
      <c r="AY121" s="37"/>
    </row>
    <row r="122" ht="15.75" customHeight="1">
      <c r="A122" s="21" t="s">
        <v>24</v>
      </c>
      <c r="B122" s="62">
        <f t="shared" si="6"/>
        <v>44682</v>
      </c>
      <c r="C122" s="23">
        <v>5.0</v>
      </c>
      <c r="D122" s="23" t="s">
        <v>33</v>
      </c>
      <c r="E122" s="63" t="s">
        <v>39</v>
      </c>
      <c r="F122" s="30">
        <v>0.0</v>
      </c>
      <c r="H122" s="31">
        <v>0.0</v>
      </c>
      <c r="J122" s="31">
        <v>0.0</v>
      </c>
      <c r="L122" s="31">
        <v>0.0</v>
      </c>
      <c r="N122" s="31">
        <v>0.0</v>
      </c>
      <c r="P122" s="31">
        <v>0.0</v>
      </c>
      <c r="Q122" s="29"/>
      <c r="R122" s="30">
        <v>120.0</v>
      </c>
      <c r="T122" s="31">
        <v>120.0</v>
      </c>
      <c r="V122" s="31">
        <v>0.0</v>
      </c>
      <c r="X122" s="31">
        <v>0.0</v>
      </c>
      <c r="Z122" s="31">
        <v>0.0</v>
      </c>
      <c r="AB122" s="31">
        <v>0.0</v>
      </c>
      <c r="AC122" s="29"/>
      <c r="AD122" s="33"/>
      <c r="AF122" s="34"/>
      <c r="AH122" s="34"/>
      <c r="AJ122" s="34"/>
      <c r="AL122" s="34"/>
      <c r="AN122" s="34"/>
      <c r="AO122" s="29"/>
      <c r="AP122" s="38">
        <f t="shared" si="7"/>
        <v>3264</v>
      </c>
      <c r="AQ122" s="44">
        <f t="shared" si="2"/>
        <v>240</v>
      </c>
      <c r="AR122" s="23">
        <f t="shared" si="3"/>
        <v>0</v>
      </c>
      <c r="AS122" s="23">
        <f t="shared" si="4"/>
        <v>240</v>
      </c>
      <c r="AT122" s="36">
        <f t="shared" si="5"/>
        <v>13.6</v>
      </c>
      <c r="AU122" s="37"/>
      <c r="AV122" s="37"/>
      <c r="AW122" s="37"/>
      <c r="AX122" s="37"/>
      <c r="AY122" s="37"/>
    </row>
    <row r="123" ht="15.75" customHeight="1">
      <c r="A123" s="39" t="s">
        <v>27</v>
      </c>
      <c r="B123" s="40">
        <f t="shared" si="6"/>
        <v>44683</v>
      </c>
      <c r="C123" s="41">
        <v>5.0</v>
      </c>
      <c r="D123" s="41" t="s">
        <v>33</v>
      </c>
      <c r="E123" s="43" t="s">
        <v>39</v>
      </c>
      <c r="F123" s="30">
        <v>0.0</v>
      </c>
      <c r="H123" s="31">
        <v>0.0</v>
      </c>
      <c r="J123" s="31">
        <v>0.0</v>
      </c>
      <c r="L123" s="31">
        <v>0.0</v>
      </c>
      <c r="N123" s="31">
        <v>0.0</v>
      </c>
      <c r="P123" s="31">
        <v>0.0</v>
      </c>
      <c r="Q123" s="29"/>
      <c r="R123" s="30">
        <v>120.0</v>
      </c>
      <c r="T123" s="31">
        <v>120.0</v>
      </c>
      <c r="V123" s="31">
        <v>0.0</v>
      </c>
      <c r="X123" s="31">
        <v>0.0</v>
      </c>
      <c r="Z123" s="31">
        <v>0.0</v>
      </c>
      <c r="AB123" s="31">
        <v>0.0</v>
      </c>
      <c r="AC123" s="29"/>
      <c r="AD123" s="33"/>
      <c r="AF123" s="34"/>
      <c r="AH123" s="34"/>
      <c r="AJ123" s="34"/>
      <c r="AL123" s="34"/>
      <c r="AN123" s="34"/>
      <c r="AO123" s="29"/>
      <c r="AP123" s="47">
        <f t="shared" si="7"/>
        <v>3264</v>
      </c>
      <c r="AQ123" s="48">
        <f t="shared" si="2"/>
        <v>240</v>
      </c>
      <c r="AR123" s="41">
        <f t="shared" si="3"/>
        <v>0</v>
      </c>
      <c r="AS123" s="41">
        <f t="shared" si="4"/>
        <v>240</v>
      </c>
      <c r="AT123" s="46">
        <f t="shared" si="5"/>
        <v>13.6</v>
      </c>
      <c r="AU123" s="37"/>
      <c r="AV123" s="37"/>
      <c r="AW123" s="37"/>
      <c r="AX123" s="37"/>
      <c r="AY123" s="37"/>
    </row>
    <row r="124" ht="15.75" customHeight="1">
      <c r="A124" s="39" t="s">
        <v>28</v>
      </c>
      <c r="B124" s="40">
        <f t="shared" si="6"/>
        <v>44684</v>
      </c>
      <c r="C124" s="41">
        <v>5.0</v>
      </c>
      <c r="D124" s="41" t="s">
        <v>33</v>
      </c>
      <c r="E124" s="43" t="s">
        <v>39</v>
      </c>
      <c r="F124" s="30">
        <v>0.0</v>
      </c>
      <c r="H124" s="31">
        <v>0.0</v>
      </c>
      <c r="J124" s="31">
        <v>0.0</v>
      </c>
      <c r="L124" s="31">
        <v>0.0</v>
      </c>
      <c r="N124" s="31">
        <v>0.0</v>
      </c>
      <c r="P124" s="31">
        <v>0.0</v>
      </c>
      <c r="Q124" s="29"/>
      <c r="R124" s="30">
        <v>120.0</v>
      </c>
      <c r="T124" s="31">
        <v>120.0</v>
      </c>
      <c r="V124" s="31">
        <v>0.0</v>
      </c>
      <c r="X124" s="31">
        <v>0.0</v>
      </c>
      <c r="Z124" s="31">
        <v>0.0</v>
      </c>
      <c r="AB124" s="31">
        <v>0.0</v>
      </c>
      <c r="AC124" s="29"/>
      <c r="AD124" s="33"/>
      <c r="AF124" s="34"/>
      <c r="AH124" s="34"/>
      <c r="AJ124" s="34"/>
      <c r="AL124" s="34"/>
      <c r="AN124" s="34"/>
      <c r="AO124" s="29"/>
      <c r="AP124" s="47">
        <f t="shared" si="7"/>
        <v>3264</v>
      </c>
      <c r="AQ124" s="48">
        <f t="shared" si="2"/>
        <v>240</v>
      </c>
      <c r="AR124" s="41">
        <f t="shared" si="3"/>
        <v>0</v>
      </c>
      <c r="AS124" s="41">
        <f t="shared" si="4"/>
        <v>240</v>
      </c>
      <c r="AT124" s="46">
        <f t="shared" si="5"/>
        <v>13.6</v>
      </c>
      <c r="AU124" s="37"/>
      <c r="AV124" s="37"/>
      <c r="AW124" s="37"/>
      <c r="AX124" s="37"/>
      <c r="AY124" s="37"/>
    </row>
    <row r="125" ht="15.75" customHeight="1">
      <c r="A125" s="39" t="s">
        <v>29</v>
      </c>
      <c r="B125" s="40">
        <f t="shared" si="6"/>
        <v>44685</v>
      </c>
      <c r="C125" s="41">
        <v>5.0</v>
      </c>
      <c r="D125" s="41" t="s">
        <v>33</v>
      </c>
      <c r="E125" s="43" t="s">
        <v>39</v>
      </c>
      <c r="F125" s="30">
        <v>0.0</v>
      </c>
      <c r="H125" s="31">
        <v>0.0</v>
      </c>
      <c r="J125" s="31">
        <v>0.0</v>
      </c>
      <c r="L125" s="31">
        <v>0.0</v>
      </c>
      <c r="N125" s="31">
        <v>0.0</v>
      </c>
      <c r="P125" s="31">
        <v>0.0</v>
      </c>
      <c r="Q125" s="29"/>
      <c r="R125" s="30">
        <v>120.0</v>
      </c>
      <c r="T125" s="31">
        <v>120.0</v>
      </c>
      <c r="V125" s="31">
        <v>0.0</v>
      </c>
      <c r="X125" s="31">
        <v>0.0</v>
      </c>
      <c r="Z125" s="31">
        <v>0.0</v>
      </c>
      <c r="AB125" s="31">
        <v>80.0</v>
      </c>
      <c r="AC125" s="29"/>
      <c r="AD125" s="33"/>
      <c r="AF125" s="34"/>
      <c r="AH125" s="34"/>
      <c r="AJ125" s="34"/>
      <c r="AL125" s="34"/>
      <c r="AN125" s="34"/>
      <c r="AO125" s="29"/>
      <c r="AP125" s="47">
        <f t="shared" si="7"/>
        <v>3712</v>
      </c>
      <c r="AQ125" s="48">
        <f t="shared" si="2"/>
        <v>240</v>
      </c>
      <c r="AR125" s="41">
        <f t="shared" si="3"/>
        <v>80</v>
      </c>
      <c r="AS125" s="41">
        <f t="shared" si="4"/>
        <v>320</v>
      </c>
      <c r="AT125" s="46">
        <f t="shared" si="5"/>
        <v>11.6</v>
      </c>
      <c r="AU125" s="37"/>
      <c r="AV125" s="37"/>
      <c r="AW125" s="37"/>
      <c r="AX125" s="37"/>
      <c r="AY125" s="37"/>
    </row>
    <row r="126" ht="15.75" customHeight="1">
      <c r="A126" s="39" t="s">
        <v>30</v>
      </c>
      <c r="B126" s="40">
        <f t="shared" si="6"/>
        <v>44686</v>
      </c>
      <c r="C126" s="41">
        <v>5.0</v>
      </c>
      <c r="D126" s="41" t="s">
        <v>33</v>
      </c>
      <c r="E126" s="43" t="s">
        <v>39</v>
      </c>
      <c r="F126" s="30">
        <v>0.0</v>
      </c>
      <c r="H126" s="31">
        <v>0.0</v>
      </c>
      <c r="J126" s="31">
        <v>0.0</v>
      </c>
      <c r="L126" s="31">
        <v>0.0</v>
      </c>
      <c r="N126" s="31">
        <v>0.0</v>
      </c>
      <c r="P126" s="31">
        <v>0.0</v>
      </c>
      <c r="Q126" s="29"/>
      <c r="R126" s="30">
        <v>120.0</v>
      </c>
      <c r="T126" s="31">
        <v>120.0</v>
      </c>
      <c r="V126" s="31">
        <v>0.0</v>
      </c>
      <c r="X126" s="31">
        <v>0.0</v>
      </c>
      <c r="Z126" s="31">
        <v>0.0</v>
      </c>
      <c r="AB126" s="31">
        <v>0.0</v>
      </c>
      <c r="AC126" s="29"/>
      <c r="AD126" s="33"/>
      <c r="AF126" s="34"/>
      <c r="AH126" s="34"/>
      <c r="AJ126" s="34"/>
      <c r="AL126" s="34"/>
      <c r="AN126" s="34"/>
      <c r="AO126" s="29"/>
      <c r="AP126" s="47">
        <f t="shared" si="7"/>
        <v>3264</v>
      </c>
      <c r="AQ126" s="48">
        <f t="shared" si="2"/>
        <v>240</v>
      </c>
      <c r="AR126" s="41">
        <f t="shared" si="3"/>
        <v>0</v>
      </c>
      <c r="AS126" s="41">
        <f t="shared" si="4"/>
        <v>240</v>
      </c>
      <c r="AT126" s="46">
        <f t="shared" si="5"/>
        <v>13.6</v>
      </c>
      <c r="AU126" s="37"/>
      <c r="AV126" s="37"/>
      <c r="AW126" s="37"/>
      <c r="AX126" s="37"/>
      <c r="AY126" s="37"/>
    </row>
    <row r="127" ht="15.75" customHeight="1">
      <c r="A127" s="39" t="s">
        <v>31</v>
      </c>
      <c r="B127" s="40">
        <f t="shared" si="6"/>
        <v>44687</v>
      </c>
      <c r="C127" s="41">
        <v>5.0</v>
      </c>
      <c r="D127" s="41" t="s">
        <v>33</v>
      </c>
      <c r="E127" s="43" t="s">
        <v>39</v>
      </c>
      <c r="F127" s="30">
        <v>0.0</v>
      </c>
      <c r="H127" s="31">
        <v>0.0</v>
      </c>
      <c r="J127" s="31">
        <v>0.0</v>
      </c>
      <c r="L127" s="31">
        <v>0.0</v>
      </c>
      <c r="N127" s="31">
        <v>0.0</v>
      </c>
      <c r="P127" s="31">
        <v>0.0</v>
      </c>
      <c r="Q127" s="29"/>
      <c r="R127" s="30">
        <v>120.0</v>
      </c>
      <c r="T127" s="31">
        <v>120.0</v>
      </c>
      <c r="V127" s="31">
        <v>0.0</v>
      </c>
      <c r="X127" s="31">
        <v>0.0</v>
      </c>
      <c r="Z127" s="31">
        <v>0.0</v>
      </c>
      <c r="AB127" s="31">
        <v>0.0</v>
      </c>
      <c r="AC127" s="29"/>
      <c r="AD127" s="33"/>
      <c r="AF127" s="34"/>
      <c r="AH127" s="34"/>
      <c r="AJ127" s="34"/>
      <c r="AL127" s="34"/>
      <c r="AN127" s="34"/>
      <c r="AO127" s="29"/>
      <c r="AP127" s="47">
        <f t="shared" si="7"/>
        <v>3264</v>
      </c>
      <c r="AQ127" s="48">
        <f t="shared" si="2"/>
        <v>240</v>
      </c>
      <c r="AR127" s="41">
        <f t="shared" si="3"/>
        <v>0</v>
      </c>
      <c r="AS127" s="41">
        <f t="shared" si="4"/>
        <v>240</v>
      </c>
      <c r="AT127" s="46">
        <f t="shared" si="5"/>
        <v>13.6</v>
      </c>
      <c r="AU127" s="37"/>
      <c r="AV127" s="37"/>
      <c r="AW127" s="37"/>
      <c r="AX127" s="37"/>
      <c r="AY127" s="37"/>
    </row>
    <row r="128" ht="15.75" customHeight="1">
      <c r="A128" s="49" t="s">
        <v>32</v>
      </c>
      <c r="B128" s="50">
        <f t="shared" si="6"/>
        <v>44688</v>
      </c>
      <c r="C128" s="51">
        <v>5.0</v>
      </c>
      <c r="D128" s="51" t="s">
        <v>33</v>
      </c>
      <c r="E128" s="53" t="s">
        <v>39</v>
      </c>
      <c r="F128" s="64">
        <v>0.0</v>
      </c>
      <c r="G128" s="55"/>
      <c r="H128" s="65">
        <v>0.0</v>
      </c>
      <c r="I128" s="55"/>
      <c r="J128" s="65">
        <v>0.0</v>
      </c>
      <c r="K128" s="55"/>
      <c r="L128" s="65">
        <v>0.0</v>
      </c>
      <c r="M128" s="55"/>
      <c r="N128" s="65">
        <v>0.0</v>
      </c>
      <c r="O128" s="55"/>
      <c r="P128" s="65">
        <v>0.0</v>
      </c>
      <c r="Q128" s="58"/>
      <c r="R128" s="64">
        <v>0.0</v>
      </c>
      <c r="S128" s="55"/>
      <c r="T128" s="65">
        <v>0.0</v>
      </c>
      <c r="U128" s="55"/>
      <c r="V128" s="65">
        <v>0.0</v>
      </c>
      <c r="W128" s="55"/>
      <c r="X128" s="65">
        <v>0.0</v>
      </c>
      <c r="Y128" s="55"/>
      <c r="Z128" s="65">
        <v>0.0</v>
      </c>
      <c r="AA128" s="55"/>
      <c r="AB128" s="65">
        <v>0.0</v>
      </c>
      <c r="AC128" s="58"/>
      <c r="AD128" s="66"/>
      <c r="AE128" s="55"/>
      <c r="AF128" s="67"/>
      <c r="AG128" s="55"/>
      <c r="AH128" s="67"/>
      <c r="AI128" s="55"/>
      <c r="AJ128" s="67"/>
      <c r="AK128" s="55"/>
      <c r="AL128" s="67"/>
      <c r="AM128" s="55"/>
      <c r="AN128" s="67"/>
      <c r="AO128" s="58"/>
      <c r="AP128" s="68">
        <f t="shared" si="7"/>
        <v>0</v>
      </c>
      <c r="AQ128" s="69">
        <f t="shared" si="2"/>
        <v>0</v>
      </c>
      <c r="AR128" s="51">
        <f t="shared" si="3"/>
        <v>0</v>
      </c>
      <c r="AS128" s="51">
        <f t="shared" si="4"/>
        <v>0</v>
      </c>
      <c r="AT128" s="61" t="str">
        <f t="shared" si="5"/>
        <v/>
      </c>
      <c r="AU128" s="37"/>
      <c r="AV128" s="37"/>
      <c r="AW128" s="37"/>
      <c r="AX128" s="37"/>
      <c r="AY128" s="37"/>
    </row>
    <row r="129" ht="15.75" customHeight="1">
      <c r="A129" s="21" t="s">
        <v>24</v>
      </c>
      <c r="B129" s="62">
        <f t="shared" si="6"/>
        <v>44689</v>
      </c>
      <c r="C129" s="23">
        <v>5.0</v>
      </c>
      <c r="D129" s="23" t="s">
        <v>34</v>
      </c>
      <c r="E129" s="63" t="s">
        <v>39</v>
      </c>
      <c r="F129" s="30">
        <v>0.0</v>
      </c>
      <c r="H129" s="31">
        <v>0.0</v>
      </c>
      <c r="J129" s="31">
        <v>0.0</v>
      </c>
      <c r="L129" s="31">
        <v>0.0</v>
      </c>
      <c r="N129" s="31">
        <v>0.0</v>
      </c>
      <c r="P129" s="31">
        <v>0.0</v>
      </c>
      <c r="Q129" s="29"/>
      <c r="R129" s="30">
        <v>120.0</v>
      </c>
      <c r="T129" s="31">
        <v>120.0</v>
      </c>
      <c r="V129" s="31">
        <v>0.0</v>
      </c>
      <c r="X129" s="31">
        <v>0.0</v>
      </c>
      <c r="Z129" s="31">
        <v>0.0</v>
      </c>
      <c r="AB129" s="31">
        <v>0.0</v>
      </c>
      <c r="AC129" s="29"/>
      <c r="AD129" s="33"/>
      <c r="AF129" s="34"/>
      <c r="AH129" s="34"/>
      <c r="AJ129" s="34"/>
      <c r="AL129" s="34"/>
      <c r="AN129" s="34"/>
      <c r="AO129" s="29"/>
      <c r="AP129" s="38">
        <f t="shared" si="7"/>
        <v>3264</v>
      </c>
      <c r="AQ129" s="44">
        <f t="shared" si="2"/>
        <v>240</v>
      </c>
      <c r="AR129" s="23">
        <f t="shared" si="3"/>
        <v>0</v>
      </c>
      <c r="AS129" s="23">
        <f t="shared" si="4"/>
        <v>240</v>
      </c>
      <c r="AT129" s="36">
        <f t="shared" si="5"/>
        <v>13.6</v>
      </c>
      <c r="AU129" s="37"/>
      <c r="AV129" s="37"/>
      <c r="AW129" s="37"/>
      <c r="AX129" s="37"/>
      <c r="AY129" s="37"/>
    </row>
    <row r="130" ht="15.75" customHeight="1">
      <c r="A130" s="39" t="s">
        <v>27</v>
      </c>
      <c r="B130" s="40">
        <f t="shared" si="6"/>
        <v>44690</v>
      </c>
      <c r="C130" s="41">
        <v>5.0</v>
      </c>
      <c r="D130" s="41" t="s">
        <v>34</v>
      </c>
      <c r="E130" s="43" t="s">
        <v>39</v>
      </c>
      <c r="F130" s="30">
        <v>0.0</v>
      </c>
      <c r="H130" s="31">
        <v>0.0</v>
      </c>
      <c r="J130" s="31">
        <v>0.0</v>
      </c>
      <c r="L130" s="31">
        <v>0.0</v>
      </c>
      <c r="N130" s="31">
        <v>0.0</v>
      </c>
      <c r="P130" s="31">
        <v>0.0</v>
      </c>
      <c r="Q130" s="29"/>
      <c r="R130" s="30">
        <v>120.0</v>
      </c>
      <c r="T130" s="31">
        <v>120.0</v>
      </c>
      <c r="V130" s="31">
        <v>0.0</v>
      </c>
      <c r="X130" s="31">
        <v>0.0</v>
      </c>
      <c r="Z130" s="31">
        <v>0.0</v>
      </c>
      <c r="AB130" s="31">
        <v>0.0</v>
      </c>
      <c r="AC130" s="29"/>
      <c r="AD130" s="33"/>
      <c r="AF130" s="34"/>
      <c r="AH130" s="34"/>
      <c r="AJ130" s="34"/>
      <c r="AL130" s="34"/>
      <c r="AN130" s="34"/>
      <c r="AO130" s="29"/>
      <c r="AP130" s="47">
        <f t="shared" si="7"/>
        <v>3264</v>
      </c>
      <c r="AQ130" s="48">
        <f t="shared" si="2"/>
        <v>240</v>
      </c>
      <c r="AR130" s="41">
        <f t="shared" si="3"/>
        <v>0</v>
      </c>
      <c r="AS130" s="41">
        <f t="shared" si="4"/>
        <v>240</v>
      </c>
      <c r="AT130" s="46">
        <f t="shared" si="5"/>
        <v>13.6</v>
      </c>
      <c r="AU130" s="37"/>
      <c r="AV130" s="37"/>
      <c r="AW130" s="37"/>
      <c r="AX130" s="37"/>
      <c r="AY130" s="37"/>
    </row>
    <row r="131" ht="15.75" customHeight="1">
      <c r="A131" s="39" t="s">
        <v>28</v>
      </c>
      <c r="B131" s="40">
        <f t="shared" si="6"/>
        <v>44691</v>
      </c>
      <c r="C131" s="41">
        <v>5.0</v>
      </c>
      <c r="D131" s="41" t="s">
        <v>34</v>
      </c>
      <c r="E131" s="43" t="s">
        <v>39</v>
      </c>
      <c r="F131" s="30">
        <v>0.0</v>
      </c>
      <c r="H131" s="31">
        <v>0.0</v>
      </c>
      <c r="J131" s="31">
        <v>0.0</v>
      </c>
      <c r="L131" s="31">
        <v>0.0</v>
      </c>
      <c r="N131" s="31">
        <v>0.0</v>
      </c>
      <c r="P131" s="31">
        <v>0.0</v>
      </c>
      <c r="Q131" s="29"/>
      <c r="R131" s="30">
        <v>120.0</v>
      </c>
      <c r="T131" s="31">
        <v>120.0</v>
      </c>
      <c r="V131" s="31">
        <v>0.0</v>
      </c>
      <c r="X131" s="31">
        <v>0.0</v>
      </c>
      <c r="Z131" s="31">
        <v>0.0</v>
      </c>
      <c r="AB131" s="31">
        <v>40.0</v>
      </c>
      <c r="AC131" s="29"/>
      <c r="AD131" s="33"/>
      <c r="AF131" s="34"/>
      <c r="AH131" s="34"/>
      <c r="AJ131" s="34"/>
      <c r="AL131" s="34"/>
      <c r="AN131" s="34"/>
      <c r="AO131" s="29"/>
      <c r="AP131" s="47">
        <f t="shared" si="7"/>
        <v>3488</v>
      </c>
      <c r="AQ131" s="48">
        <f t="shared" si="2"/>
        <v>240</v>
      </c>
      <c r="AR131" s="41">
        <f t="shared" si="3"/>
        <v>40</v>
      </c>
      <c r="AS131" s="41">
        <f t="shared" si="4"/>
        <v>280</v>
      </c>
      <c r="AT131" s="46">
        <f t="shared" si="5"/>
        <v>12.45714286</v>
      </c>
      <c r="AU131" s="37"/>
      <c r="AV131" s="37"/>
      <c r="AW131" s="37"/>
      <c r="AX131" s="37"/>
      <c r="AY131" s="37"/>
    </row>
    <row r="132" ht="15.75" customHeight="1">
      <c r="A132" s="39" t="s">
        <v>29</v>
      </c>
      <c r="B132" s="40">
        <f t="shared" si="6"/>
        <v>44692</v>
      </c>
      <c r="C132" s="41">
        <v>5.0</v>
      </c>
      <c r="D132" s="41" t="s">
        <v>34</v>
      </c>
      <c r="E132" s="43" t="s">
        <v>39</v>
      </c>
      <c r="F132" s="30">
        <v>0.0</v>
      </c>
      <c r="H132" s="31">
        <v>0.0</v>
      </c>
      <c r="J132" s="31">
        <v>0.0</v>
      </c>
      <c r="L132" s="31">
        <v>0.0</v>
      </c>
      <c r="N132" s="31">
        <v>0.0</v>
      </c>
      <c r="P132" s="31">
        <v>0.0</v>
      </c>
      <c r="Q132" s="29"/>
      <c r="R132" s="30">
        <v>120.0</v>
      </c>
      <c r="T132" s="31">
        <v>120.0</v>
      </c>
      <c r="V132" s="31">
        <v>0.0</v>
      </c>
      <c r="X132" s="31">
        <v>0.0</v>
      </c>
      <c r="Z132" s="31">
        <v>0.0</v>
      </c>
      <c r="AB132" s="31">
        <v>0.0</v>
      </c>
      <c r="AC132" s="29"/>
      <c r="AD132" s="33"/>
      <c r="AF132" s="34"/>
      <c r="AH132" s="34"/>
      <c r="AJ132" s="34"/>
      <c r="AL132" s="34"/>
      <c r="AN132" s="34"/>
      <c r="AO132" s="29"/>
      <c r="AP132" s="47">
        <f t="shared" si="7"/>
        <v>3264</v>
      </c>
      <c r="AQ132" s="48">
        <f t="shared" si="2"/>
        <v>240</v>
      </c>
      <c r="AR132" s="41">
        <f t="shared" si="3"/>
        <v>0</v>
      </c>
      <c r="AS132" s="41">
        <f t="shared" si="4"/>
        <v>240</v>
      </c>
      <c r="AT132" s="46">
        <f t="shared" si="5"/>
        <v>13.6</v>
      </c>
      <c r="AU132" s="37"/>
      <c r="AV132" s="37"/>
      <c r="AW132" s="37"/>
      <c r="AX132" s="37"/>
      <c r="AY132" s="37"/>
    </row>
    <row r="133" ht="15.75" customHeight="1">
      <c r="A133" s="39" t="s">
        <v>30</v>
      </c>
      <c r="B133" s="40">
        <f t="shared" si="6"/>
        <v>44693</v>
      </c>
      <c r="C133" s="41">
        <v>5.0</v>
      </c>
      <c r="D133" s="41" t="s">
        <v>34</v>
      </c>
      <c r="E133" s="43" t="s">
        <v>39</v>
      </c>
      <c r="F133" s="30">
        <v>0.0</v>
      </c>
      <c r="H133" s="31">
        <v>0.0</v>
      </c>
      <c r="J133" s="31">
        <v>0.0</v>
      </c>
      <c r="L133" s="31">
        <v>0.0</v>
      </c>
      <c r="N133" s="31">
        <v>0.0</v>
      </c>
      <c r="P133" s="31">
        <v>0.0</v>
      </c>
      <c r="Q133" s="29"/>
      <c r="R133" s="30">
        <v>120.0</v>
      </c>
      <c r="T133" s="31">
        <v>120.0</v>
      </c>
      <c r="V133" s="31">
        <v>0.0</v>
      </c>
      <c r="X133" s="31">
        <v>0.0</v>
      </c>
      <c r="Z133" s="31">
        <v>0.0</v>
      </c>
      <c r="AB133" s="31">
        <v>0.0</v>
      </c>
      <c r="AC133" s="29"/>
      <c r="AD133" s="33"/>
      <c r="AF133" s="34"/>
      <c r="AH133" s="34"/>
      <c r="AJ133" s="34"/>
      <c r="AL133" s="34"/>
      <c r="AN133" s="34"/>
      <c r="AO133" s="29"/>
      <c r="AP133" s="47">
        <f t="shared" si="7"/>
        <v>3264</v>
      </c>
      <c r="AQ133" s="48">
        <f t="shared" si="2"/>
        <v>240</v>
      </c>
      <c r="AR133" s="41">
        <f t="shared" si="3"/>
        <v>0</v>
      </c>
      <c r="AS133" s="41">
        <f t="shared" si="4"/>
        <v>240</v>
      </c>
      <c r="AT133" s="46">
        <f t="shared" si="5"/>
        <v>13.6</v>
      </c>
      <c r="AU133" s="37"/>
      <c r="AV133" s="37"/>
      <c r="AW133" s="37"/>
      <c r="AX133" s="37"/>
      <c r="AY133" s="37"/>
    </row>
    <row r="134" ht="15.75" customHeight="1">
      <c r="A134" s="39" t="s">
        <v>31</v>
      </c>
      <c r="B134" s="40">
        <f t="shared" si="6"/>
        <v>44694</v>
      </c>
      <c r="C134" s="41">
        <v>5.0</v>
      </c>
      <c r="D134" s="41" t="s">
        <v>34</v>
      </c>
      <c r="E134" s="43" t="s">
        <v>39</v>
      </c>
      <c r="F134" s="30">
        <v>0.0</v>
      </c>
      <c r="H134" s="31">
        <v>0.0</v>
      </c>
      <c r="J134" s="31">
        <v>0.0</v>
      </c>
      <c r="L134" s="31">
        <v>0.0</v>
      </c>
      <c r="N134" s="31">
        <v>0.0</v>
      </c>
      <c r="P134" s="31">
        <v>0.0</v>
      </c>
      <c r="Q134" s="29"/>
      <c r="R134" s="30">
        <v>120.0</v>
      </c>
      <c r="T134" s="31">
        <v>120.0</v>
      </c>
      <c r="V134" s="31">
        <v>0.0</v>
      </c>
      <c r="X134" s="31">
        <v>0.0</v>
      </c>
      <c r="Z134" s="31">
        <v>0.0</v>
      </c>
      <c r="AB134" s="31">
        <v>0.0</v>
      </c>
      <c r="AC134" s="29"/>
      <c r="AD134" s="33"/>
      <c r="AF134" s="34"/>
      <c r="AH134" s="34"/>
      <c r="AJ134" s="34"/>
      <c r="AL134" s="34"/>
      <c r="AN134" s="34"/>
      <c r="AO134" s="29"/>
      <c r="AP134" s="47">
        <f t="shared" si="7"/>
        <v>3264</v>
      </c>
      <c r="AQ134" s="48">
        <f t="shared" si="2"/>
        <v>240</v>
      </c>
      <c r="AR134" s="41">
        <f t="shared" si="3"/>
        <v>0</v>
      </c>
      <c r="AS134" s="41">
        <f t="shared" si="4"/>
        <v>240</v>
      </c>
      <c r="AT134" s="46">
        <f t="shared" si="5"/>
        <v>13.6</v>
      </c>
      <c r="AU134" s="37"/>
      <c r="AV134" s="37"/>
      <c r="AW134" s="37"/>
      <c r="AX134" s="37"/>
      <c r="AY134" s="37"/>
    </row>
    <row r="135" ht="15.75" customHeight="1">
      <c r="A135" s="49" t="s">
        <v>32</v>
      </c>
      <c r="B135" s="50">
        <f t="shared" si="6"/>
        <v>44695</v>
      </c>
      <c r="C135" s="51">
        <v>5.0</v>
      </c>
      <c r="D135" s="51" t="s">
        <v>34</v>
      </c>
      <c r="E135" s="53" t="s">
        <v>39</v>
      </c>
      <c r="F135" s="64">
        <v>0.0</v>
      </c>
      <c r="G135" s="55"/>
      <c r="H135" s="65">
        <v>0.0</v>
      </c>
      <c r="I135" s="55"/>
      <c r="J135" s="65">
        <v>0.0</v>
      </c>
      <c r="K135" s="55"/>
      <c r="L135" s="65">
        <v>0.0</v>
      </c>
      <c r="M135" s="55"/>
      <c r="N135" s="65">
        <v>0.0</v>
      </c>
      <c r="O135" s="55"/>
      <c r="P135" s="65">
        <v>0.0</v>
      </c>
      <c r="Q135" s="58"/>
      <c r="R135" s="64">
        <v>0.0</v>
      </c>
      <c r="S135" s="55"/>
      <c r="T135" s="65">
        <v>0.0</v>
      </c>
      <c r="U135" s="55"/>
      <c r="V135" s="65">
        <v>0.0</v>
      </c>
      <c r="W135" s="55"/>
      <c r="X135" s="65">
        <v>0.0</v>
      </c>
      <c r="Y135" s="55"/>
      <c r="Z135" s="65">
        <v>0.0</v>
      </c>
      <c r="AA135" s="55"/>
      <c r="AB135" s="65">
        <v>0.0</v>
      </c>
      <c r="AC135" s="58"/>
      <c r="AD135" s="66"/>
      <c r="AE135" s="55"/>
      <c r="AF135" s="67"/>
      <c r="AG135" s="55"/>
      <c r="AH135" s="67"/>
      <c r="AI135" s="55"/>
      <c r="AJ135" s="67"/>
      <c r="AK135" s="55"/>
      <c r="AL135" s="67"/>
      <c r="AM135" s="55"/>
      <c r="AN135" s="67"/>
      <c r="AO135" s="58"/>
      <c r="AP135" s="68">
        <f t="shared" si="7"/>
        <v>0</v>
      </c>
      <c r="AQ135" s="69">
        <f t="shared" si="2"/>
        <v>0</v>
      </c>
      <c r="AR135" s="51">
        <f t="shared" si="3"/>
        <v>0</v>
      </c>
      <c r="AS135" s="51">
        <f t="shared" si="4"/>
        <v>0</v>
      </c>
      <c r="AT135" s="61" t="str">
        <f t="shared" si="5"/>
        <v/>
      </c>
      <c r="AU135" s="37"/>
      <c r="AV135" s="37"/>
      <c r="AW135" s="37"/>
      <c r="AX135" s="37"/>
      <c r="AY135" s="37"/>
    </row>
    <row r="136" ht="15.75" customHeight="1">
      <c r="A136" s="21" t="s">
        <v>24</v>
      </c>
      <c r="B136" s="62">
        <f t="shared" si="6"/>
        <v>44696</v>
      </c>
      <c r="C136" s="23">
        <v>5.0</v>
      </c>
      <c r="D136" s="23" t="s">
        <v>35</v>
      </c>
      <c r="E136" s="63" t="s">
        <v>39</v>
      </c>
      <c r="F136" s="30">
        <v>0.0</v>
      </c>
      <c r="H136" s="31">
        <v>0.0</v>
      </c>
      <c r="J136" s="31">
        <v>0.0</v>
      </c>
      <c r="L136" s="31">
        <v>0.0</v>
      </c>
      <c r="N136" s="31">
        <v>0.0</v>
      </c>
      <c r="P136" s="31">
        <v>0.0</v>
      </c>
      <c r="Q136" s="29"/>
      <c r="R136" s="30">
        <v>120.0</v>
      </c>
      <c r="T136" s="31">
        <v>120.0</v>
      </c>
      <c r="V136" s="31">
        <v>0.0</v>
      </c>
      <c r="X136" s="31">
        <v>0.0</v>
      </c>
      <c r="Z136" s="31">
        <v>0.0</v>
      </c>
      <c r="AB136" s="31">
        <v>0.0</v>
      </c>
      <c r="AC136" s="29"/>
      <c r="AD136" s="33"/>
      <c r="AF136" s="34"/>
      <c r="AH136" s="34"/>
      <c r="AJ136" s="34"/>
      <c r="AL136" s="34"/>
      <c r="AN136" s="34"/>
      <c r="AO136" s="29"/>
      <c r="AP136" s="38">
        <f t="shared" si="7"/>
        <v>3264</v>
      </c>
      <c r="AQ136" s="44">
        <f t="shared" si="2"/>
        <v>240</v>
      </c>
      <c r="AR136" s="23">
        <f t="shared" si="3"/>
        <v>0</v>
      </c>
      <c r="AS136" s="23">
        <f t="shared" si="4"/>
        <v>240</v>
      </c>
      <c r="AT136" s="36">
        <f t="shared" si="5"/>
        <v>13.6</v>
      </c>
      <c r="AU136" s="37"/>
      <c r="AV136" s="37"/>
      <c r="AW136" s="37"/>
      <c r="AX136" s="37"/>
      <c r="AY136" s="37"/>
    </row>
    <row r="137" ht="15.75" customHeight="1">
      <c r="A137" s="39" t="s">
        <v>27</v>
      </c>
      <c r="B137" s="40">
        <f t="shared" si="6"/>
        <v>44697</v>
      </c>
      <c r="C137" s="41">
        <v>5.0</v>
      </c>
      <c r="D137" s="41" t="s">
        <v>35</v>
      </c>
      <c r="E137" s="43" t="s">
        <v>39</v>
      </c>
      <c r="F137" s="30">
        <v>0.0</v>
      </c>
      <c r="H137" s="31">
        <v>0.0</v>
      </c>
      <c r="J137" s="31">
        <v>0.0</v>
      </c>
      <c r="L137" s="31">
        <v>0.0</v>
      </c>
      <c r="N137" s="31">
        <v>0.0</v>
      </c>
      <c r="P137" s="31">
        <v>0.0</v>
      </c>
      <c r="Q137" s="29"/>
      <c r="R137" s="30">
        <v>120.0</v>
      </c>
      <c r="T137" s="31">
        <v>120.0</v>
      </c>
      <c r="V137" s="31">
        <v>0.0</v>
      </c>
      <c r="X137" s="31">
        <v>0.0</v>
      </c>
      <c r="Z137" s="31">
        <v>0.0</v>
      </c>
      <c r="AB137" s="31">
        <v>0.0</v>
      </c>
      <c r="AC137" s="29"/>
      <c r="AD137" s="33"/>
      <c r="AF137" s="34"/>
      <c r="AH137" s="34"/>
      <c r="AJ137" s="34"/>
      <c r="AL137" s="34"/>
      <c r="AN137" s="34"/>
      <c r="AO137" s="29"/>
      <c r="AP137" s="47">
        <f t="shared" si="7"/>
        <v>3264</v>
      </c>
      <c r="AQ137" s="48">
        <f t="shared" si="2"/>
        <v>240</v>
      </c>
      <c r="AR137" s="41">
        <f t="shared" si="3"/>
        <v>0</v>
      </c>
      <c r="AS137" s="41">
        <f t="shared" si="4"/>
        <v>240</v>
      </c>
      <c r="AT137" s="46">
        <f t="shared" si="5"/>
        <v>13.6</v>
      </c>
      <c r="AU137" s="37"/>
      <c r="AV137" s="37"/>
      <c r="AW137" s="37"/>
      <c r="AX137" s="37"/>
      <c r="AY137" s="37"/>
    </row>
    <row r="138" ht="15.75" customHeight="1">
      <c r="A138" s="39" t="s">
        <v>28</v>
      </c>
      <c r="B138" s="40">
        <f t="shared" si="6"/>
        <v>44698</v>
      </c>
      <c r="C138" s="41">
        <v>5.0</v>
      </c>
      <c r="D138" s="41" t="s">
        <v>35</v>
      </c>
      <c r="E138" s="43" t="s">
        <v>39</v>
      </c>
      <c r="F138" s="30">
        <v>0.0</v>
      </c>
      <c r="H138" s="31">
        <v>0.0</v>
      </c>
      <c r="J138" s="31">
        <v>0.0</v>
      </c>
      <c r="L138" s="31">
        <v>0.0</v>
      </c>
      <c r="N138" s="31">
        <v>0.0</v>
      </c>
      <c r="P138" s="31">
        <v>0.0</v>
      </c>
      <c r="Q138" s="29"/>
      <c r="R138" s="30">
        <v>120.0</v>
      </c>
      <c r="T138" s="31">
        <v>0.0</v>
      </c>
      <c r="V138" s="31">
        <v>0.0</v>
      </c>
      <c r="X138" s="31">
        <v>0.0</v>
      </c>
      <c r="Z138" s="31">
        <v>0.0</v>
      </c>
      <c r="AB138" s="31">
        <v>0.0</v>
      </c>
      <c r="AC138" s="29"/>
      <c r="AD138" s="33"/>
      <c r="AF138" s="34"/>
      <c r="AH138" s="34"/>
      <c r="AJ138" s="34"/>
      <c r="AL138" s="34"/>
      <c r="AN138" s="34"/>
      <c r="AO138" s="29"/>
      <c r="AP138" s="47">
        <f t="shared" si="7"/>
        <v>1632</v>
      </c>
      <c r="AQ138" s="48">
        <f t="shared" si="2"/>
        <v>120</v>
      </c>
      <c r="AR138" s="41">
        <f t="shared" si="3"/>
        <v>0</v>
      </c>
      <c r="AS138" s="41">
        <f t="shared" si="4"/>
        <v>120</v>
      </c>
      <c r="AT138" s="46">
        <f t="shared" si="5"/>
        <v>13.6</v>
      </c>
      <c r="AU138" s="37"/>
      <c r="AV138" s="37"/>
      <c r="AW138" s="37"/>
      <c r="AX138" s="37"/>
      <c r="AY138" s="37"/>
    </row>
    <row r="139" ht="15.75" customHeight="1">
      <c r="A139" s="39" t="s">
        <v>29</v>
      </c>
      <c r="B139" s="40">
        <f t="shared" si="6"/>
        <v>44699</v>
      </c>
      <c r="C139" s="41">
        <v>5.0</v>
      </c>
      <c r="D139" s="41" t="s">
        <v>35</v>
      </c>
      <c r="E139" s="43" t="s">
        <v>39</v>
      </c>
      <c r="F139" s="30">
        <v>0.0</v>
      </c>
      <c r="H139" s="31">
        <v>0.0</v>
      </c>
      <c r="J139" s="31">
        <v>0.0</v>
      </c>
      <c r="L139" s="31">
        <v>0.0</v>
      </c>
      <c r="N139" s="31">
        <v>0.0</v>
      </c>
      <c r="P139" s="31">
        <v>0.0</v>
      </c>
      <c r="Q139" s="29"/>
      <c r="R139" s="30">
        <v>120.0</v>
      </c>
      <c r="T139" s="31">
        <v>120.0</v>
      </c>
      <c r="V139" s="31">
        <v>0.0</v>
      </c>
      <c r="X139" s="31">
        <v>0.0</v>
      </c>
      <c r="Z139" s="31">
        <v>0.0</v>
      </c>
      <c r="AB139" s="31">
        <v>0.0</v>
      </c>
      <c r="AC139" s="29"/>
      <c r="AD139" s="33"/>
      <c r="AF139" s="34"/>
      <c r="AH139" s="34"/>
      <c r="AJ139" s="34"/>
      <c r="AL139" s="34"/>
      <c r="AN139" s="34"/>
      <c r="AO139" s="29"/>
      <c r="AP139" s="47">
        <f t="shared" si="7"/>
        <v>3264</v>
      </c>
      <c r="AQ139" s="48">
        <f t="shared" si="2"/>
        <v>240</v>
      </c>
      <c r="AR139" s="41">
        <f t="shared" si="3"/>
        <v>0</v>
      </c>
      <c r="AS139" s="41">
        <f t="shared" si="4"/>
        <v>240</v>
      </c>
      <c r="AT139" s="46">
        <f t="shared" si="5"/>
        <v>13.6</v>
      </c>
      <c r="AU139" s="37"/>
      <c r="AV139" s="37"/>
      <c r="AW139" s="37"/>
      <c r="AX139" s="37"/>
      <c r="AY139" s="37"/>
    </row>
    <row r="140" ht="15.75" customHeight="1">
      <c r="A140" s="39" t="s">
        <v>30</v>
      </c>
      <c r="B140" s="40">
        <f t="shared" si="6"/>
        <v>44700</v>
      </c>
      <c r="C140" s="41">
        <v>5.0</v>
      </c>
      <c r="D140" s="41" t="s">
        <v>35</v>
      </c>
      <c r="E140" s="43" t="s">
        <v>39</v>
      </c>
      <c r="F140" s="30">
        <v>0.0</v>
      </c>
      <c r="H140" s="31">
        <v>0.0</v>
      </c>
      <c r="J140" s="31">
        <v>0.0</v>
      </c>
      <c r="L140" s="31">
        <v>0.0</v>
      </c>
      <c r="N140" s="31">
        <v>0.0</v>
      </c>
      <c r="P140" s="31">
        <v>0.0</v>
      </c>
      <c r="Q140" s="29"/>
      <c r="R140" s="30">
        <v>120.0</v>
      </c>
      <c r="T140" s="31">
        <v>120.0</v>
      </c>
      <c r="V140" s="31">
        <v>0.0</v>
      </c>
      <c r="X140" s="31">
        <v>0.0</v>
      </c>
      <c r="Z140" s="31">
        <v>0.0</v>
      </c>
      <c r="AB140" s="31">
        <v>0.0</v>
      </c>
      <c r="AC140" s="29"/>
      <c r="AD140" s="33"/>
      <c r="AF140" s="34"/>
      <c r="AH140" s="34"/>
      <c r="AJ140" s="34"/>
      <c r="AL140" s="34"/>
      <c r="AN140" s="34"/>
      <c r="AO140" s="29"/>
      <c r="AP140" s="47">
        <f t="shared" si="7"/>
        <v>3264</v>
      </c>
      <c r="AQ140" s="48">
        <f t="shared" si="2"/>
        <v>240</v>
      </c>
      <c r="AR140" s="41">
        <f t="shared" si="3"/>
        <v>0</v>
      </c>
      <c r="AS140" s="41">
        <f t="shared" si="4"/>
        <v>240</v>
      </c>
      <c r="AT140" s="46">
        <f t="shared" si="5"/>
        <v>13.6</v>
      </c>
      <c r="AU140" s="37"/>
      <c r="AV140" s="37"/>
      <c r="AW140" s="37"/>
      <c r="AX140" s="37"/>
      <c r="AY140" s="37"/>
    </row>
    <row r="141" ht="15.75" customHeight="1">
      <c r="A141" s="39" t="s">
        <v>31</v>
      </c>
      <c r="B141" s="40">
        <f t="shared" si="6"/>
        <v>44701</v>
      </c>
      <c r="C141" s="41">
        <v>5.0</v>
      </c>
      <c r="D141" s="41" t="s">
        <v>35</v>
      </c>
      <c r="E141" s="43" t="s">
        <v>39</v>
      </c>
      <c r="F141" s="30">
        <v>0.0</v>
      </c>
      <c r="H141" s="31">
        <v>0.0</v>
      </c>
      <c r="J141" s="31">
        <v>0.0</v>
      </c>
      <c r="L141" s="31">
        <v>0.0</v>
      </c>
      <c r="N141" s="31">
        <v>0.0</v>
      </c>
      <c r="P141" s="31">
        <v>0.0</v>
      </c>
      <c r="Q141" s="29"/>
      <c r="R141" s="30">
        <v>120.0</v>
      </c>
      <c r="T141" s="31">
        <v>155.0</v>
      </c>
      <c r="V141" s="31">
        <v>0.0</v>
      </c>
      <c r="X141" s="31">
        <v>0.0</v>
      </c>
      <c r="Z141" s="31">
        <v>0.0</v>
      </c>
      <c r="AB141" s="31">
        <v>0.0</v>
      </c>
      <c r="AC141" s="29"/>
      <c r="AD141" s="33"/>
      <c r="AF141" s="34"/>
      <c r="AH141" s="34"/>
      <c r="AJ141" s="34"/>
      <c r="AL141" s="34"/>
      <c r="AN141" s="34"/>
      <c r="AO141" s="29"/>
      <c r="AP141" s="47">
        <f t="shared" si="7"/>
        <v>3740</v>
      </c>
      <c r="AQ141" s="48">
        <f t="shared" si="2"/>
        <v>275</v>
      </c>
      <c r="AR141" s="41">
        <f t="shared" si="3"/>
        <v>0</v>
      </c>
      <c r="AS141" s="41">
        <f t="shared" si="4"/>
        <v>275</v>
      </c>
      <c r="AT141" s="46">
        <f t="shared" si="5"/>
        <v>13.6</v>
      </c>
      <c r="AU141" s="37"/>
      <c r="AV141" s="37"/>
      <c r="AW141" s="37"/>
      <c r="AX141" s="37"/>
      <c r="AY141" s="37"/>
    </row>
    <row r="142" ht="15.75" customHeight="1">
      <c r="A142" s="49" t="s">
        <v>32</v>
      </c>
      <c r="B142" s="50">
        <f t="shared" si="6"/>
        <v>44702</v>
      </c>
      <c r="C142" s="51">
        <v>5.0</v>
      </c>
      <c r="D142" s="51" t="s">
        <v>35</v>
      </c>
      <c r="E142" s="53" t="s">
        <v>39</v>
      </c>
      <c r="F142" s="64">
        <v>0.0</v>
      </c>
      <c r="G142" s="55"/>
      <c r="H142" s="65">
        <v>0.0</v>
      </c>
      <c r="I142" s="55"/>
      <c r="J142" s="65">
        <v>0.0</v>
      </c>
      <c r="K142" s="55"/>
      <c r="L142" s="65">
        <v>0.0</v>
      </c>
      <c r="M142" s="55"/>
      <c r="N142" s="65">
        <v>0.0</v>
      </c>
      <c r="O142" s="55"/>
      <c r="P142" s="65">
        <v>0.0</v>
      </c>
      <c r="Q142" s="58"/>
      <c r="R142" s="64">
        <v>0.0</v>
      </c>
      <c r="S142" s="55"/>
      <c r="T142" s="65">
        <v>0.0</v>
      </c>
      <c r="U142" s="55"/>
      <c r="V142" s="65">
        <v>0.0</v>
      </c>
      <c r="W142" s="55"/>
      <c r="X142" s="65">
        <v>0.0</v>
      </c>
      <c r="Y142" s="55"/>
      <c r="Z142" s="65">
        <v>0.0</v>
      </c>
      <c r="AA142" s="55"/>
      <c r="AB142" s="65">
        <v>0.0</v>
      </c>
      <c r="AC142" s="58"/>
      <c r="AD142" s="66"/>
      <c r="AE142" s="55"/>
      <c r="AF142" s="67"/>
      <c r="AG142" s="55"/>
      <c r="AH142" s="67"/>
      <c r="AI142" s="55"/>
      <c r="AJ142" s="67"/>
      <c r="AK142" s="55"/>
      <c r="AL142" s="67"/>
      <c r="AM142" s="55"/>
      <c r="AN142" s="67"/>
      <c r="AO142" s="58"/>
      <c r="AP142" s="68">
        <f t="shared" si="7"/>
        <v>0</v>
      </c>
      <c r="AQ142" s="69">
        <f t="shared" si="2"/>
        <v>0</v>
      </c>
      <c r="AR142" s="51">
        <f t="shared" si="3"/>
        <v>0</v>
      </c>
      <c r="AS142" s="51">
        <f t="shared" si="4"/>
        <v>0</v>
      </c>
      <c r="AT142" s="61" t="str">
        <f t="shared" si="5"/>
        <v/>
      </c>
      <c r="AU142" s="37"/>
      <c r="AV142" s="37"/>
      <c r="AW142" s="37"/>
      <c r="AX142" s="37"/>
      <c r="AY142" s="37"/>
    </row>
    <row r="143" ht="15.75" customHeight="1">
      <c r="A143" s="21" t="s">
        <v>24</v>
      </c>
      <c r="B143" s="62">
        <f t="shared" si="6"/>
        <v>44703</v>
      </c>
      <c r="C143" s="23">
        <v>6.0</v>
      </c>
      <c r="D143" s="23" t="s">
        <v>25</v>
      </c>
      <c r="E143" s="63" t="s">
        <v>39</v>
      </c>
      <c r="F143" s="30">
        <v>0.0</v>
      </c>
      <c r="H143" s="31">
        <v>0.0</v>
      </c>
      <c r="J143" s="31">
        <v>0.0</v>
      </c>
      <c r="L143" s="31">
        <v>0.0</v>
      </c>
      <c r="N143" s="31">
        <v>0.0</v>
      </c>
      <c r="P143" s="31">
        <v>0.0</v>
      </c>
      <c r="Q143" s="29"/>
      <c r="R143" s="30">
        <v>120.0</v>
      </c>
      <c r="T143" s="31">
        <v>120.0</v>
      </c>
      <c r="V143" s="31">
        <v>0.0</v>
      </c>
      <c r="X143" s="31">
        <v>0.0</v>
      </c>
      <c r="Z143" s="31">
        <v>0.0</v>
      </c>
      <c r="AB143" s="31">
        <v>0.0</v>
      </c>
      <c r="AC143" s="29"/>
      <c r="AD143" s="33"/>
      <c r="AF143" s="34"/>
      <c r="AH143" s="34"/>
      <c r="AJ143" s="34"/>
      <c r="AL143" s="34"/>
      <c r="AN143" s="34"/>
      <c r="AO143" s="29"/>
      <c r="AP143" s="38">
        <f t="shared" si="7"/>
        <v>3264</v>
      </c>
      <c r="AQ143" s="44">
        <f t="shared" si="2"/>
        <v>240</v>
      </c>
      <c r="AR143" s="23">
        <f t="shared" si="3"/>
        <v>0</v>
      </c>
      <c r="AS143" s="23">
        <f t="shared" si="4"/>
        <v>240</v>
      </c>
      <c r="AT143" s="36">
        <f t="shared" si="5"/>
        <v>13.6</v>
      </c>
      <c r="AU143" s="37"/>
      <c r="AV143" s="37"/>
      <c r="AW143" s="37"/>
      <c r="AX143" s="37"/>
      <c r="AY143" s="37"/>
    </row>
    <row r="144" ht="15.75" customHeight="1">
      <c r="A144" s="39" t="s">
        <v>27</v>
      </c>
      <c r="B144" s="40">
        <f t="shared" si="6"/>
        <v>44704</v>
      </c>
      <c r="C144" s="41">
        <v>6.0</v>
      </c>
      <c r="D144" s="41" t="s">
        <v>25</v>
      </c>
      <c r="E144" s="43" t="s">
        <v>39</v>
      </c>
      <c r="F144" s="30">
        <v>0.0</v>
      </c>
      <c r="H144" s="31">
        <v>0.0</v>
      </c>
      <c r="J144" s="31">
        <v>0.0</v>
      </c>
      <c r="L144" s="31">
        <v>0.0</v>
      </c>
      <c r="N144" s="31">
        <v>0.0</v>
      </c>
      <c r="P144" s="31">
        <v>0.0</v>
      </c>
      <c r="Q144" s="29"/>
      <c r="R144" s="30">
        <v>120.0</v>
      </c>
      <c r="T144" s="31">
        <v>120.0</v>
      </c>
      <c r="V144" s="31">
        <v>0.0</v>
      </c>
      <c r="X144" s="31">
        <v>0.0</v>
      </c>
      <c r="Z144" s="31">
        <v>0.0</v>
      </c>
      <c r="AB144" s="31">
        <v>0.0</v>
      </c>
      <c r="AC144" s="29"/>
      <c r="AD144" s="33"/>
      <c r="AF144" s="34"/>
      <c r="AH144" s="34"/>
      <c r="AJ144" s="34"/>
      <c r="AL144" s="34"/>
      <c r="AN144" s="34"/>
      <c r="AO144" s="29"/>
      <c r="AP144" s="47">
        <f t="shared" si="7"/>
        <v>3264</v>
      </c>
      <c r="AQ144" s="48">
        <f t="shared" si="2"/>
        <v>240</v>
      </c>
      <c r="AR144" s="41">
        <f t="shared" si="3"/>
        <v>0</v>
      </c>
      <c r="AS144" s="41">
        <f t="shared" si="4"/>
        <v>240</v>
      </c>
      <c r="AT144" s="46">
        <f t="shared" si="5"/>
        <v>13.6</v>
      </c>
      <c r="AU144" s="37"/>
      <c r="AV144" s="37"/>
      <c r="AW144" s="37"/>
      <c r="AX144" s="37"/>
      <c r="AY144" s="37"/>
    </row>
    <row r="145" ht="15.75" customHeight="1">
      <c r="A145" s="39" t="s">
        <v>28</v>
      </c>
      <c r="B145" s="40">
        <f t="shared" si="6"/>
        <v>44705</v>
      </c>
      <c r="C145" s="41">
        <v>6.0</v>
      </c>
      <c r="D145" s="41" t="s">
        <v>25</v>
      </c>
      <c r="E145" s="43" t="s">
        <v>39</v>
      </c>
      <c r="F145" s="30">
        <v>0.0</v>
      </c>
      <c r="H145" s="31">
        <v>0.0</v>
      </c>
      <c r="J145" s="31">
        <v>0.0</v>
      </c>
      <c r="L145" s="31">
        <v>0.0</v>
      </c>
      <c r="N145" s="31">
        <v>0.0</v>
      </c>
      <c r="P145" s="31">
        <v>0.0</v>
      </c>
      <c r="Q145" s="29"/>
      <c r="R145" s="30">
        <v>0.0</v>
      </c>
      <c r="T145" s="31">
        <v>120.0</v>
      </c>
      <c r="V145" s="31">
        <v>120.0</v>
      </c>
      <c r="X145" s="31">
        <v>0.0</v>
      </c>
      <c r="Z145" s="31">
        <v>120.0</v>
      </c>
      <c r="AB145" s="31">
        <v>0.0</v>
      </c>
      <c r="AC145" s="29"/>
      <c r="AD145" s="33"/>
      <c r="AF145" s="34"/>
      <c r="AH145" s="34"/>
      <c r="AJ145" s="34"/>
      <c r="AL145" s="34"/>
      <c r="AN145" s="34"/>
      <c r="AO145" s="29"/>
      <c r="AP145" s="47">
        <f t="shared" si="7"/>
        <v>4512</v>
      </c>
      <c r="AQ145" s="48">
        <f t="shared" si="2"/>
        <v>360</v>
      </c>
      <c r="AR145" s="41">
        <f t="shared" si="3"/>
        <v>0</v>
      </c>
      <c r="AS145" s="41">
        <f t="shared" si="4"/>
        <v>360</v>
      </c>
      <c r="AT145" s="46">
        <f t="shared" si="5"/>
        <v>12.53333333</v>
      </c>
      <c r="AU145" s="37"/>
      <c r="AV145" s="37"/>
      <c r="AW145" s="37"/>
      <c r="AX145" s="37"/>
      <c r="AY145" s="37"/>
    </row>
    <row r="146" ht="15.75" customHeight="1">
      <c r="A146" s="39" t="s">
        <v>29</v>
      </c>
      <c r="B146" s="40">
        <f t="shared" si="6"/>
        <v>44706</v>
      </c>
      <c r="C146" s="41">
        <v>6.0</v>
      </c>
      <c r="D146" s="41" t="s">
        <v>25</v>
      </c>
      <c r="E146" s="43" t="s">
        <v>39</v>
      </c>
      <c r="F146" s="30">
        <v>0.0</v>
      </c>
      <c r="H146" s="31">
        <v>0.0</v>
      </c>
      <c r="J146" s="31">
        <v>0.0</v>
      </c>
      <c r="L146" s="31">
        <v>0.0</v>
      </c>
      <c r="N146" s="31">
        <v>0.0</v>
      </c>
      <c r="P146" s="31">
        <v>0.0</v>
      </c>
      <c r="Q146" s="29"/>
      <c r="R146" s="30">
        <v>0.0</v>
      </c>
      <c r="T146" s="31">
        <v>120.0</v>
      </c>
      <c r="V146" s="31">
        <v>100.0</v>
      </c>
      <c r="X146" s="31">
        <v>0.0</v>
      </c>
      <c r="Z146" s="31">
        <v>120.0</v>
      </c>
      <c r="AB146" s="31">
        <v>0.0</v>
      </c>
      <c r="AC146" s="29"/>
      <c r="AD146" s="33"/>
      <c r="AF146" s="34"/>
      <c r="AH146" s="34"/>
      <c r="AJ146" s="34"/>
      <c r="AL146" s="34"/>
      <c r="AN146" s="34"/>
      <c r="AO146" s="29"/>
      <c r="AP146" s="47">
        <f t="shared" si="7"/>
        <v>4240</v>
      </c>
      <c r="AQ146" s="48">
        <f t="shared" si="2"/>
        <v>340</v>
      </c>
      <c r="AR146" s="41">
        <f t="shared" si="3"/>
        <v>0</v>
      </c>
      <c r="AS146" s="41">
        <f t="shared" si="4"/>
        <v>340</v>
      </c>
      <c r="AT146" s="46">
        <f t="shared" si="5"/>
        <v>12.47058824</v>
      </c>
      <c r="AU146" s="37"/>
      <c r="AV146" s="37"/>
      <c r="AW146" s="37"/>
      <c r="AX146" s="37"/>
      <c r="AY146" s="37"/>
    </row>
    <row r="147" ht="15.75" customHeight="1">
      <c r="A147" s="39" t="s">
        <v>30</v>
      </c>
      <c r="B147" s="40">
        <f t="shared" si="6"/>
        <v>44707</v>
      </c>
      <c r="C147" s="41">
        <v>6.0</v>
      </c>
      <c r="D147" s="41" t="s">
        <v>25</v>
      </c>
      <c r="E147" s="43" t="s">
        <v>39</v>
      </c>
      <c r="F147" s="30">
        <v>0.0</v>
      </c>
      <c r="H147" s="31">
        <v>0.0</v>
      </c>
      <c r="J147" s="31">
        <v>0.0</v>
      </c>
      <c r="L147" s="31">
        <v>0.0</v>
      </c>
      <c r="N147" s="31">
        <v>0.0</v>
      </c>
      <c r="P147" s="31">
        <v>0.0</v>
      </c>
      <c r="Q147" s="29"/>
      <c r="R147" s="30">
        <v>120.0</v>
      </c>
      <c r="T147" s="31">
        <v>120.0</v>
      </c>
      <c r="V147" s="31">
        <v>0.0</v>
      </c>
      <c r="X147" s="31">
        <v>0.0</v>
      </c>
      <c r="Z147" s="31">
        <v>0.0</v>
      </c>
      <c r="AB147" s="31">
        <v>0.0</v>
      </c>
      <c r="AC147" s="29"/>
      <c r="AD147" s="33"/>
      <c r="AF147" s="34"/>
      <c r="AH147" s="34"/>
      <c r="AJ147" s="34"/>
      <c r="AL147" s="34"/>
      <c r="AN147" s="34"/>
      <c r="AO147" s="29"/>
      <c r="AP147" s="47">
        <f t="shared" si="7"/>
        <v>3264</v>
      </c>
      <c r="AQ147" s="48">
        <f t="shared" si="2"/>
        <v>240</v>
      </c>
      <c r="AR147" s="41">
        <f t="shared" si="3"/>
        <v>0</v>
      </c>
      <c r="AS147" s="41">
        <f t="shared" si="4"/>
        <v>240</v>
      </c>
      <c r="AT147" s="46">
        <f t="shared" si="5"/>
        <v>13.6</v>
      </c>
      <c r="AU147" s="37"/>
      <c r="AV147" s="37"/>
      <c r="AW147" s="37"/>
      <c r="AX147" s="37"/>
      <c r="AY147" s="37"/>
    </row>
    <row r="148" ht="15.75" customHeight="1">
      <c r="A148" s="39" t="s">
        <v>31</v>
      </c>
      <c r="B148" s="40">
        <f t="shared" si="6"/>
        <v>44708</v>
      </c>
      <c r="C148" s="41">
        <v>6.0</v>
      </c>
      <c r="D148" s="41" t="s">
        <v>25</v>
      </c>
      <c r="E148" s="43" t="s">
        <v>39</v>
      </c>
      <c r="F148" s="30">
        <v>0.0</v>
      </c>
      <c r="H148" s="31">
        <v>0.0</v>
      </c>
      <c r="J148" s="31">
        <v>0.0</v>
      </c>
      <c r="L148" s="31">
        <v>0.0</v>
      </c>
      <c r="N148" s="31">
        <v>0.0</v>
      </c>
      <c r="P148" s="31">
        <v>0.0</v>
      </c>
      <c r="Q148" s="29"/>
      <c r="R148" s="30">
        <v>120.0</v>
      </c>
      <c r="T148" s="31">
        <v>120.0</v>
      </c>
      <c r="V148" s="31">
        <v>0.0</v>
      </c>
      <c r="X148" s="31">
        <v>0.0</v>
      </c>
      <c r="Z148" s="31">
        <v>0.0</v>
      </c>
      <c r="AB148" s="31">
        <v>0.0</v>
      </c>
      <c r="AC148" s="29"/>
      <c r="AD148" s="33"/>
      <c r="AF148" s="34"/>
      <c r="AH148" s="34"/>
      <c r="AJ148" s="34"/>
      <c r="AL148" s="34"/>
      <c r="AN148" s="34"/>
      <c r="AO148" s="29"/>
      <c r="AP148" s="47">
        <f t="shared" si="7"/>
        <v>3264</v>
      </c>
      <c r="AQ148" s="48">
        <f t="shared" si="2"/>
        <v>240</v>
      </c>
      <c r="AR148" s="41">
        <f t="shared" si="3"/>
        <v>0</v>
      </c>
      <c r="AS148" s="41">
        <f t="shared" si="4"/>
        <v>240</v>
      </c>
      <c r="AT148" s="46">
        <f t="shared" si="5"/>
        <v>13.6</v>
      </c>
      <c r="AU148" s="37"/>
      <c r="AV148" s="37"/>
      <c r="AW148" s="37"/>
      <c r="AX148" s="37"/>
      <c r="AY148" s="37"/>
    </row>
    <row r="149" ht="15.75" customHeight="1">
      <c r="A149" s="49" t="s">
        <v>32</v>
      </c>
      <c r="B149" s="50">
        <f t="shared" si="6"/>
        <v>44709</v>
      </c>
      <c r="C149" s="51">
        <v>6.0</v>
      </c>
      <c r="D149" s="51" t="s">
        <v>25</v>
      </c>
      <c r="E149" s="53" t="s">
        <v>39</v>
      </c>
      <c r="F149" s="64">
        <v>0.0</v>
      </c>
      <c r="G149" s="55"/>
      <c r="H149" s="65">
        <v>0.0</v>
      </c>
      <c r="I149" s="55"/>
      <c r="J149" s="65">
        <v>0.0</v>
      </c>
      <c r="K149" s="55"/>
      <c r="L149" s="65">
        <v>0.0</v>
      </c>
      <c r="M149" s="55"/>
      <c r="N149" s="65">
        <v>0.0</v>
      </c>
      <c r="O149" s="55"/>
      <c r="P149" s="65">
        <v>0.0</v>
      </c>
      <c r="Q149" s="58"/>
      <c r="R149" s="64">
        <v>0.0</v>
      </c>
      <c r="S149" s="55"/>
      <c r="T149" s="65">
        <v>0.0</v>
      </c>
      <c r="U149" s="55"/>
      <c r="V149" s="65">
        <v>0.0</v>
      </c>
      <c r="W149" s="55"/>
      <c r="X149" s="65">
        <v>0.0</v>
      </c>
      <c r="Y149" s="55"/>
      <c r="Z149" s="65">
        <v>0.0</v>
      </c>
      <c r="AA149" s="55"/>
      <c r="AB149" s="65">
        <v>0.0</v>
      </c>
      <c r="AC149" s="58"/>
      <c r="AD149" s="66"/>
      <c r="AE149" s="55"/>
      <c r="AF149" s="67"/>
      <c r="AG149" s="55"/>
      <c r="AH149" s="67"/>
      <c r="AI149" s="55"/>
      <c r="AJ149" s="67"/>
      <c r="AK149" s="55"/>
      <c r="AL149" s="67"/>
      <c r="AM149" s="55"/>
      <c r="AN149" s="67"/>
      <c r="AO149" s="58"/>
      <c r="AP149" s="68">
        <f t="shared" si="7"/>
        <v>0</v>
      </c>
      <c r="AQ149" s="69">
        <f t="shared" si="2"/>
        <v>0</v>
      </c>
      <c r="AR149" s="51">
        <f t="shared" si="3"/>
        <v>0</v>
      </c>
      <c r="AS149" s="51">
        <f t="shared" si="4"/>
        <v>0</v>
      </c>
      <c r="AT149" s="61" t="str">
        <f t="shared" si="5"/>
        <v/>
      </c>
      <c r="AU149" s="37"/>
      <c r="AV149" s="37"/>
      <c r="AW149" s="37"/>
      <c r="AX149" s="37"/>
      <c r="AY149" s="37"/>
    </row>
    <row r="150" ht="15.75" customHeight="1">
      <c r="A150" s="21" t="s">
        <v>24</v>
      </c>
      <c r="B150" s="62">
        <f t="shared" si="6"/>
        <v>44710</v>
      </c>
      <c r="C150" s="23">
        <v>6.0</v>
      </c>
      <c r="D150" s="23" t="s">
        <v>33</v>
      </c>
      <c r="E150" s="63" t="s">
        <v>39</v>
      </c>
      <c r="F150" s="30">
        <v>0.0</v>
      </c>
      <c r="H150" s="31">
        <v>0.0</v>
      </c>
      <c r="J150" s="31">
        <v>0.0</v>
      </c>
      <c r="L150" s="31">
        <v>0.0</v>
      </c>
      <c r="N150" s="31">
        <v>0.0</v>
      </c>
      <c r="P150" s="31">
        <v>0.0</v>
      </c>
      <c r="Q150" s="29"/>
      <c r="R150" s="30">
        <v>120.0</v>
      </c>
      <c r="T150" s="31">
        <v>120.0</v>
      </c>
      <c r="V150" s="31">
        <v>0.0</v>
      </c>
      <c r="X150" s="31">
        <v>0.0</v>
      </c>
      <c r="Z150" s="31">
        <v>0.0</v>
      </c>
      <c r="AB150" s="31">
        <v>0.0</v>
      </c>
      <c r="AC150" s="29"/>
      <c r="AD150" s="33"/>
      <c r="AF150" s="34"/>
      <c r="AH150" s="34"/>
      <c r="AJ150" s="34"/>
      <c r="AL150" s="34"/>
      <c r="AN150" s="34"/>
      <c r="AO150" s="29"/>
      <c r="AP150" s="38">
        <f t="shared" si="7"/>
        <v>3264</v>
      </c>
      <c r="AQ150" s="44">
        <f t="shared" si="2"/>
        <v>240</v>
      </c>
      <c r="AR150" s="23">
        <f t="shared" si="3"/>
        <v>0</v>
      </c>
      <c r="AS150" s="23">
        <f t="shared" si="4"/>
        <v>240</v>
      </c>
      <c r="AT150" s="36">
        <f t="shared" si="5"/>
        <v>13.6</v>
      </c>
      <c r="AU150" s="37"/>
      <c r="AV150" s="37"/>
      <c r="AW150" s="37"/>
      <c r="AX150" s="37"/>
      <c r="AY150" s="37"/>
    </row>
    <row r="151" ht="15.75" customHeight="1">
      <c r="A151" s="39" t="s">
        <v>27</v>
      </c>
      <c r="B151" s="40">
        <f t="shared" si="6"/>
        <v>44711</v>
      </c>
      <c r="C151" s="41">
        <v>6.0</v>
      </c>
      <c r="D151" s="41" t="s">
        <v>33</v>
      </c>
      <c r="E151" s="43" t="s">
        <v>39</v>
      </c>
      <c r="F151" s="30">
        <v>0.0</v>
      </c>
      <c r="H151" s="31">
        <v>0.0</v>
      </c>
      <c r="J151" s="31">
        <v>0.0</v>
      </c>
      <c r="L151" s="31">
        <v>0.0</v>
      </c>
      <c r="N151" s="31">
        <v>0.0</v>
      </c>
      <c r="P151" s="31">
        <v>0.0</v>
      </c>
      <c r="Q151" s="29"/>
      <c r="R151" s="30">
        <v>120.0</v>
      </c>
      <c r="T151" s="31">
        <v>120.0</v>
      </c>
      <c r="V151" s="31">
        <v>0.0</v>
      </c>
      <c r="X151" s="31">
        <v>0.0</v>
      </c>
      <c r="Z151" s="31">
        <v>0.0</v>
      </c>
      <c r="AB151" s="31">
        <v>0.0</v>
      </c>
      <c r="AC151" s="29"/>
      <c r="AD151" s="33"/>
      <c r="AF151" s="34"/>
      <c r="AH151" s="34"/>
      <c r="AJ151" s="34"/>
      <c r="AL151" s="34"/>
      <c r="AN151" s="34"/>
      <c r="AO151" s="29"/>
      <c r="AP151" s="47">
        <f t="shared" si="7"/>
        <v>3264</v>
      </c>
      <c r="AQ151" s="48">
        <f t="shared" si="2"/>
        <v>240</v>
      </c>
      <c r="AR151" s="41">
        <f t="shared" si="3"/>
        <v>0</v>
      </c>
      <c r="AS151" s="41">
        <f t="shared" si="4"/>
        <v>240</v>
      </c>
      <c r="AT151" s="46">
        <f t="shared" si="5"/>
        <v>13.6</v>
      </c>
      <c r="AU151" s="37"/>
      <c r="AV151" s="37"/>
      <c r="AW151" s="37"/>
      <c r="AX151" s="37"/>
      <c r="AY151" s="37"/>
    </row>
    <row r="152" ht="15.75" customHeight="1">
      <c r="A152" s="39" t="s">
        <v>28</v>
      </c>
      <c r="B152" s="40">
        <f t="shared" si="6"/>
        <v>44712</v>
      </c>
      <c r="C152" s="41">
        <v>6.0</v>
      </c>
      <c r="D152" s="41" t="s">
        <v>33</v>
      </c>
      <c r="E152" s="43" t="s">
        <v>39</v>
      </c>
      <c r="F152" s="30">
        <v>0.0</v>
      </c>
      <c r="H152" s="31">
        <v>0.0</v>
      </c>
      <c r="J152" s="31">
        <v>0.0</v>
      </c>
      <c r="L152" s="31">
        <v>0.0</v>
      </c>
      <c r="N152" s="31">
        <v>0.0</v>
      </c>
      <c r="P152" s="31">
        <v>0.0</v>
      </c>
      <c r="Q152" s="29"/>
      <c r="R152" s="30">
        <v>120.0</v>
      </c>
      <c r="T152" s="31">
        <v>120.0</v>
      </c>
      <c r="V152" s="31">
        <v>0.0</v>
      </c>
      <c r="X152" s="31">
        <v>0.0</v>
      </c>
      <c r="Z152" s="31">
        <v>0.0</v>
      </c>
      <c r="AB152" s="31">
        <v>50.0</v>
      </c>
      <c r="AC152" s="29"/>
      <c r="AD152" s="33"/>
      <c r="AF152" s="34"/>
      <c r="AH152" s="34"/>
      <c r="AJ152" s="34"/>
      <c r="AL152" s="34"/>
      <c r="AN152" s="34"/>
      <c r="AO152" s="29"/>
      <c r="AP152" s="47">
        <f t="shared" si="7"/>
        <v>3544</v>
      </c>
      <c r="AQ152" s="48">
        <f t="shared" si="2"/>
        <v>240</v>
      </c>
      <c r="AR152" s="41">
        <f t="shared" si="3"/>
        <v>50</v>
      </c>
      <c r="AS152" s="41">
        <f t="shared" si="4"/>
        <v>290</v>
      </c>
      <c r="AT152" s="46">
        <f t="shared" si="5"/>
        <v>12.22068966</v>
      </c>
      <c r="AU152" s="37"/>
      <c r="AV152" s="37"/>
      <c r="AW152" s="37"/>
      <c r="AX152" s="37"/>
      <c r="AY152" s="37"/>
    </row>
    <row r="153" ht="15.75" customHeight="1">
      <c r="A153" s="39" t="s">
        <v>29</v>
      </c>
      <c r="B153" s="40">
        <f t="shared" si="6"/>
        <v>44713</v>
      </c>
      <c r="C153" s="41">
        <v>6.0</v>
      </c>
      <c r="D153" s="41" t="s">
        <v>33</v>
      </c>
      <c r="E153" s="43" t="s">
        <v>39</v>
      </c>
      <c r="F153" s="30">
        <v>0.0</v>
      </c>
      <c r="H153" s="31">
        <v>0.0</v>
      </c>
      <c r="J153" s="31">
        <v>0.0</v>
      </c>
      <c r="L153" s="31">
        <v>0.0</v>
      </c>
      <c r="N153" s="31">
        <v>0.0</v>
      </c>
      <c r="P153" s="31">
        <v>0.0</v>
      </c>
      <c r="Q153" s="29"/>
      <c r="R153" s="30">
        <v>120.0</v>
      </c>
      <c r="T153" s="31">
        <v>120.0</v>
      </c>
      <c r="V153" s="31">
        <v>0.0</v>
      </c>
      <c r="X153" s="31">
        <v>0.0</v>
      </c>
      <c r="Z153" s="31">
        <v>0.0</v>
      </c>
      <c r="AB153" s="31">
        <v>0.0</v>
      </c>
      <c r="AC153" s="29"/>
      <c r="AD153" s="33"/>
      <c r="AF153" s="34"/>
      <c r="AH153" s="34"/>
      <c r="AJ153" s="34"/>
      <c r="AL153" s="34"/>
      <c r="AN153" s="34"/>
      <c r="AO153" s="29"/>
      <c r="AP153" s="47">
        <f t="shared" si="7"/>
        <v>3264</v>
      </c>
      <c r="AQ153" s="48">
        <f t="shared" si="2"/>
        <v>240</v>
      </c>
      <c r="AR153" s="41">
        <f t="shared" si="3"/>
        <v>0</v>
      </c>
      <c r="AS153" s="41">
        <f t="shared" si="4"/>
        <v>240</v>
      </c>
      <c r="AT153" s="46">
        <f t="shared" si="5"/>
        <v>13.6</v>
      </c>
      <c r="AU153" s="37"/>
      <c r="AV153" s="37"/>
      <c r="AW153" s="37"/>
      <c r="AX153" s="37"/>
      <c r="AY153" s="37"/>
    </row>
    <row r="154" ht="15.75" customHeight="1">
      <c r="A154" s="39" t="s">
        <v>30</v>
      </c>
      <c r="B154" s="40">
        <f t="shared" si="6"/>
        <v>44714</v>
      </c>
      <c r="C154" s="41">
        <v>6.0</v>
      </c>
      <c r="D154" s="41" t="s">
        <v>33</v>
      </c>
      <c r="E154" s="43" t="s">
        <v>39</v>
      </c>
      <c r="F154" s="30">
        <v>0.0</v>
      </c>
      <c r="H154" s="31">
        <v>0.0</v>
      </c>
      <c r="J154" s="31">
        <v>0.0</v>
      </c>
      <c r="L154" s="31">
        <v>0.0</v>
      </c>
      <c r="N154" s="31">
        <v>0.0</v>
      </c>
      <c r="P154" s="31">
        <v>0.0</v>
      </c>
      <c r="Q154" s="29"/>
      <c r="R154" s="30">
        <v>120.0</v>
      </c>
      <c r="T154" s="31">
        <v>120.0</v>
      </c>
      <c r="V154" s="31">
        <v>0.0</v>
      </c>
      <c r="X154" s="31">
        <v>0.0</v>
      </c>
      <c r="Z154" s="31">
        <v>0.0</v>
      </c>
      <c r="AB154" s="31">
        <v>0.0</v>
      </c>
      <c r="AC154" s="29"/>
      <c r="AD154" s="33"/>
      <c r="AF154" s="34"/>
      <c r="AH154" s="34"/>
      <c r="AJ154" s="34"/>
      <c r="AL154" s="34"/>
      <c r="AN154" s="34"/>
      <c r="AO154" s="29"/>
      <c r="AP154" s="47">
        <f t="shared" si="7"/>
        <v>3264</v>
      </c>
      <c r="AQ154" s="48">
        <f t="shared" si="2"/>
        <v>240</v>
      </c>
      <c r="AR154" s="41">
        <f t="shared" si="3"/>
        <v>0</v>
      </c>
      <c r="AS154" s="41">
        <f t="shared" si="4"/>
        <v>240</v>
      </c>
      <c r="AT154" s="46">
        <f t="shared" si="5"/>
        <v>13.6</v>
      </c>
      <c r="AU154" s="37"/>
      <c r="AV154" s="37"/>
      <c r="AW154" s="37"/>
      <c r="AX154" s="37"/>
      <c r="AY154" s="37"/>
    </row>
    <row r="155" ht="15.75" customHeight="1">
      <c r="A155" s="39" t="s">
        <v>31</v>
      </c>
      <c r="B155" s="40">
        <f t="shared" si="6"/>
        <v>44715</v>
      </c>
      <c r="C155" s="41">
        <v>6.0</v>
      </c>
      <c r="D155" s="41" t="s">
        <v>33</v>
      </c>
      <c r="E155" s="43" t="s">
        <v>39</v>
      </c>
      <c r="F155" s="30">
        <v>0.0</v>
      </c>
      <c r="H155" s="31">
        <v>0.0</v>
      </c>
      <c r="J155" s="31">
        <v>0.0</v>
      </c>
      <c r="L155" s="31">
        <v>0.0</v>
      </c>
      <c r="N155" s="31">
        <v>0.0</v>
      </c>
      <c r="P155" s="31">
        <v>0.0</v>
      </c>
      <c r="Q155" s="29"/>
      <c r="R155" s="30">
        <v>120.0</v>
      </c>
      <c r="T155" s="31">
        <v>120.0</v>
      </c>
      <c r="V155" s="31">
        <v>0.0</v>
      </c>
      <c r="X155" s="31">
        <v>0.0</v>
      </c>
      <c r="Z155" s="31">
        <v>0.0</v>
      </c>
      <c r="AB155" s="31">
        <v>0.0</v>
      </c>
      <c r="AC155" s="29"/>
      <c r="AD155" s="33"/>
      <c r="AF155" s="34"/>
      <c r="AH155" s="34"/>
      <c r="AJ155" s="34"/>
      <c r="AL155" s="34"/>
      <c r="AN155" s="34"/>
      <c r="AO155" s="29"/>
      <c r="AP155" s="47">
        <f t="shared" si="7"/>
        <v>3264</v>
      </c>
      <c r="AQ155" s="48">
        <f t="shared" si="2"/>
        <v>240</v>
      </c>
      <c r="AR155" s="41">
        <f t="shared" si="3"/>
        <v>0</v>
      </c>
      <c r="AS155" s="41">
        <f t="shared" si="4"/>
        <v>240</v>
      </c>
      <c r="AT155" s="46">
        <f t="shared" si="5"/>
        <v>13.6</v>
      </c>
      <c r="AU155" s="37"/>
      <c r="AV155" s="37"/>
      <c r="AW155" s="37"/>
      <c r="AX155" s="37"/>
      <c r="AY155" s="37"/>
    </row>
    <row r="156" ht="15.75" customHeight="1">
      <c r="A156" s="49" t="s">
        <v>32</v>
      </c>
      <c r="B156" s="50">
        <f t="shared" si="6"/>
        <v>44716</v>
      </c>
      <c r="C156" s="51">
        <v>6.0</v>
      </c>
      <c r="D156" s="51" t="s">
        <v>33</v>
      </c>
      <c r="E156" s="53" t="s">
        <v>39</v>
      </c>
      <c r="F156" s="64">
        <v>0.0</v>
      </c>
      <c r="G156" s="55"/>
      <c r="H156" s="65">
        <v>0.0</v>
      </c>
      <c r="I156" s="55"/>
      <c r="J156" s="65">
        <v>0.0</v>
      </c>
      <c r="K156" s="55"/>
      <c r="L156" s="65">
        <v>0.0</v>
      </c>
      <c r="M156" s="55"/>
      <c r="N156" s="65">
        <v>0.0</v>
      </c>
      <c r="O156" s="55"/>
      <c r="P156" s="65">
        <v>0.0</v>
      </c>
      <c r="Q156" s="58"/>
      <c r="R156" s="64">
        <v>0.0</v>
      </c>
      <c r="S156" s="55"/>
      <c r="T156" s="65">
        <v>0.0</v>
      </c>
      <c r="U156" s="55"/>
      <c r="V156" s="65">
        <v>0.0</v>
      </c>
      <c r="W156" s="55"/>
      <c r="X156" s="65">
        <v>0.0</v>
      </c>
      <c r="Y156" s="55"/>
      <c r="Z156" s="65">
        <v>0.0</v>
      </c>
      <c r="AA156" s="55"/>
      <c r="AB156" s="65">
        <v>0.0</v>
      </c>
      <c r="AC156" s="58"/>
      <c r="AD156" s="66"/>
      <c r="AE156" s="55"/>
      <c r="AF156" s="67"/>
      <c r="AG156" s="55"/>
      <c r="AH156" s="67"/>
      <c r="AI156" s="55"/>
      <c r="AJ156" s="67"/>
      <c r="AK156" s="55"/>
      <c r="AL156" s="67"/>
      <c r="AM156" s="55"/>
      <c r="AN156" s="67"/>
      <c r="AO156" s="58"/>
      <c r="AP156" s="68">
        <f t="shared" si="7"/>
        <v>0</v>
      </c>
      <c r="AQ156" s="69">
        <f t="shared" si="2"/>
        <v>0</v>
      </c>
      <c r="AR156" s="51">
        <f t="shared" si="3"/>
        <v>0</v>
      </c>
      <c r="AS156" s="51">
        <f t="shared" si="4"/>
        <v>0</v>
      </c>
      <c r="AT156" s="61" t="str">
        <f t="shared" si="5"/>
        <v/>
      </c>
      <c r="AU156" s="37"/>
      <c r="AV156" s="37"/>
      <c r="AW156" s="37"/>
      <c r="AX156" s="37"/>
      <c r="AY156" s="37"/>
    </row>
    <row r="157" ht="15.75" customHeight="1">
      <c r="A157" s="21" t="s">
        <v>24</v>
      </c>
      <c r="B157" s="62">
        <f t="shared" si="6"/>
        <v>44717</v>
      </c>
      <c r="C157" s="23">
        <v>6.0</v>
      </c>
      <c r="D157" s="23" t="s">
        <v>34</v>
      </c>
      <c r="E157" s="63" t="s">
        <v>39</v>
      </c>
      <c r="F157" s="30">
        <v>0.0</v>
      </c>
      <c r="H157" s="31">
        <v>0.0</v>
      </c>
      <c r="J157" s="31">
        <v>0.0</v>
      </c>
      <c r="L157" s="31">
        <v>0.0</v>
      </c>
      <c r="N157" s="31">
        <v>0.0</v>
      </c>
      <c r="P157" s="31">
        <v>0.0</v>
      </c>
      <c r="Q157" s="29"/>
      <c r="R157" s="30">
        <v>0.0</v>
      </c>
      <c r="T157" s="31">
        <v>120.0</v>
      </c>
      <c r="V157" s="31">
        <v>120.0</v>
      </c>
      <c r="X157" s="31">
        <v>0.0</v>
      </c>
      <c r="Z157" s="31">
        <v>120.0</v>
      </c>
      <c r="AB157" s="31">
        <v>0.0</v>
      </c>
      <c r="AC157" s="29"/>
      <c r="AD157" s="33"/>
      <c r="AF157" s="34"/>
      <c r="AH157" s="34"/>
      <c r="AJ157" s="34"/>
      <c r="AL157" s="34"/>
      <c r="AN157" s="34"/>
      <c r="AO157" s="29"/>
      <c r="AP157" s="38">
        <f t="shared" si="7"/>
        <v>4512</v>
      </c>
      <c r="AQ157" s="44">
        <f t="shared" si="2"/>
        <v>360</v>
      </c>
      <c r="AR157" s="23">
        <f t="shared" si="3"/>
        <v>0</v>
      </c>
      <c r="AS157" s="23">
        <f t="shared" si="4"/>
        <v>360</v>
      </c>
      <c r="AT157" s="36">
        <f t="shared" si="5"/>
        <v>12.53333333</v>
      </c>
      <c r="AU157" s="37"/>
      <c r="AV157" s="37"/>
      <c r="AW157" s="37"/>
      <c r="AX157" s="37"/>
      <c r="AY157" s="37"/>
    </row>
    <row r="158" ht="15.75" customHeight="1">
      <c r="A158" s="39" t="s">
        <v>27</v>
      </c>
      <c r="B158" s="40">
        <f t="shared" si="6"/>
        <v>44718</v>
      </c>
      <c r="C158" s="41">
        <v>6.0</v>
      </c>
      <c r="D158" s="41" t="s">
        <v>34</v>
      </c>
      <c r="E158" s="43" t="s">
        <v>39</v>
      </c>
      <c r="F158" s="30">
        <v>0.0</v>
      </c>
      <c r="H158" s="31">
        <v>0.0</v>
      </c>
      <c r="J158" s="31">
        <v>0.0</v>
      </c>
      <c r="L158" s="31">
        <v>0.0</v>
      </c>
      <c r="N158" s="31">
        <v>0.0</v>
      </c>
      <c r="P158" s="31">
        <v>0.0</v>
      </c>
      <c r="Q158" s="29"/>
      <c r="R158" s="30">
        <v>0.0</v>
      </c>
      <c r="T158" s="31">
        <v>120.0</v>
      </c>
      <c r="V158" s="31">
        <v>0.0</v>
      </c>
      <c r="X158" s="31">
        <v>0.0</v>
      </c>
      <c r="Z158" s="31">
        <v>120.0</v>
      </c>
      <c r="AB158" s="31">
        <v>0.0</v>
      </c>
      <c r="AC158" s="29"/>
      <c r="AD158" s="33"/>
      <c r="AF158" s="34"/>
      <c r="AH158" s="34"/>
      <c r="AJ158" s="34"/>
      <c r="AL158" s="34"/>
      <c r="AN158" s="34"/>
      <c r="AO158" s="29"/>
      <c r="AP158" s="47">
        <f t="shared" si="7"/>
        <v>2880</v>
      </c>
      <c r="AQ158" s="48">
        <f t="shared" si="2"/>
        <v>240</v>
      </c>
      <c r="AR158" s="41">
        <f t="shared" si="3"/>
        <v>0</v>
      </c>
      <c r="AS158" s="41">
        <f t="shared" si="4"/>
        <v>240</v>
      </c>
      <c r="AT158" s="46">
        <f t="shared" si="5"/>
        <v>12</v>
      </c>
      <c r="AU158" s="37"/>
      <c r="AV158" s="37"/>
      <c r="AW158" s="37"/>
      <c r="AX158" s="37"/>
      <c r="AY158" s="37"/>
    </row>
    <row r="159" ht="15.75" customHeight="1">
      <c r="A159" s="39" t="s">
        <v>28</v>
      </c>
      <c r="B159" s="40">
        <f t="shared" si="6"/>
        <v>44719</v>
      </c>
      <c r="C159" s="41">
        <v>6.0</v>
      </c>
      <c r="D159" s="41" t="s">
        <v>34</v>
      </c>
      <c r="E159" s="43" t="s">
        <v>39</v>
      </c>
      <c r="F159" s="30">
        <v>0.0</v>
      </c>
      <c r="H159" s="31">
        <v>0.0</v>
      </c>
      <c r="J159" s="31">
        <v>0.0</v>
      </c>
      <c r="L159" s="31">
        <v>0.0</v>
      </c>
      <c r="N159" s="31">
        <v>0.0</v>
      </c>
      <c r="P159" s="31">
        <v>0.0</v>
      </c>
      <c r="Q159" s="29"/>
      <c r="R159" s="30">
        <v>120.0</v>
      </c>
      <c r="T159" s="31">
        <v>120.0</v>
      </c>
      <c r="V159" s="31">
        <v>0.0</v>
      </c>
      <c r="X159" s="31">
        <v>0.0</v>
      </c>
      <c r="Z159" s="31">
        <v>0.0</v>
      </c>
      <c r="AB159" s="31">
        <v>0.0</v>
      </c>
      <c r="AC159" s="29"/>
      <c r="AD159" s="33"/>
      <c r="AF159" s="34"/>
      <c r="AH159" s="34"/>
      <c r="AJ159" s="34"/>
      <c r="AL159" s="34"/>
      <c r="AN159" s="34"/>
      <c r="AO159" s="29"/>
      <c r="AP159" s="47">
        <f t="shared" si="7"/>
        <v>3264</v>
      </c>
      <c r="AQ159" s="48">
        <f t="shared" si="2"/>
        <v>240</v>
      </c>
      <c r="AR159" s="41">
        <f t="shared" si="3"/>
        <v>0</v>
      </c>
      <c r="AS159" s="41">
        <f t="shared" si="4"/>
        <v>240</v>
      </c>
      <c r="AT159" s="46">
        <f t="shared" si="5"/>
        <v>13.6</v>
      </c>
      <c r="AU159" s="37"/>
      <c r="AV159" s="37"/>
      <c r="AW159" s="37"/>
      <c r="AX159" s="37"/>
      <c r="AY159" s="37"/>
    </row>
    <row r="160" ht="15.75" customHeight="1">
      <c r="A160" s="39" t="s">
        <v>29</v>
      </c>
      <c r="B160" s="40">
        <f t="shared" si="6"/>
        <v>44720</v>
      </c>
      <c r="C160" s="41">
        <v>6.0</v>
      </c>
      <c r="D160" s="41" t="s">
        <v>34</v>
      </c>
      <c r="E160" s="43" t="s">
        <v>39</v>
      </c>
      <c r="F160" s="30">
        <v>0.0</v>
      </c>
      <c r="H160" s="31">
        <v>0.0</v>
      </c>
      <c r="J160" s="31">
        <v>0.0</v>
      </c>
      <c r="L160" s="31">
        <v>0.0</v>
      </c>
      <c r="N160" s="31">
        <v>0.0</v>
      </c>
      <c r="P160" s="31">
        <v>0.0</v>
      </c>
      <c r="Q160" s="29"/>
      <c r="R160" s="30">
        <v>0.0</v>
      </c>
      <c r="T160" s="31">
        <v>120.0</v>
      </c>
      <c r="V160" s="31">
        <v>0.0</v>
      </c>
      <c r="X160" s="31">
        <v>0.0</v>
      </c>
      <c r="Z160" s="31">
        <v>120.0</v>
      </c>
      <c r="AB160" s="31">
        <v>0.0</v>
      </c>
      <c r="AC160" s="29"/>
      <c r="AD160" s="33"/>
      <c r="AF160" s="34"/>
      <c r="AH160" s="34"/>
      <c r="AJ160" s="34"/>
      <c r="AL160" s="34"/>
      <c r="AN160" s="34"/>
      <c r="AO160" s="29"/>
      <c r="AP160" s="47">
        <f t="shared" si="7"/>
        <v>2880</v>
      </c>
      <c r="AQ160" s="48">
        <f t="shared" si="2"/>
        <v>240</v>
      </c>
      <c r="AR160" s="41">
        <f t="shared" si="3"/>
        <v>0</v>
      </c>
      <c r="AS160" s="41">
        <f t="shared" si="4"/>
        <v>240</v>
      </c>
      <c r="AT160" s="46">
        <f t="shared" si="5"/>
        <v>12</v>
      </c>
      <c r="AU160" s="37"/>
      <c r="AV160" s="37"/>
      <c r="AW160" s="37"/>
      <c r="AX160" s="37"/>
      <c r="AY160" s="37"/>
    </row>
    <row r="161" ht="15.75" customHeight="1">
      <c r="A161" s="39" t="s">
        <v>30</v>
      </c>
      <c r="B161" s="40">
        <f t="shared" si="6"/>
        <v>44721</v>
      </c>
      <c r="C161" s="41">
        <v>6.0</v>
      </c>
      <c r="D161" s="41" t="s">
        <v>34</v>
      </c>
      <c r="E161" s="43" t="s">
        <v>39</v>
      </c>
      <c r="F161" s="30">
        <v>0.0</v>
      </c>
      <c r="H161" s="31">
        <v>0.0</v>
      </c>
      <c r="J161" s="31">
        <v>0.0</v>
      </c>
      <c r="L161" s="31">
        <v>0.0</v>
      </c>
      <c r="N161" s="31">
        <v>0.0</v>
      </c>
      <c r="P161" s="31">
        <v>0.0</v>
      </c>
      <c r="Q161" s="29"/>
      <c r="R161" s="30">
        <v>0.0</v>
      </c>
      <c r="T161" s="31">
        <v>120.0</v>
      </c>
      <c r="V161" s="31">
        <v>120.0</v>
      </c>
      <c r="X161" s="31">
        <v>0.0</v>
      </c>
      <c r="Z161" s="31">
        <v>120.0</v>
      </c>
      <c r="AB161" s="31">
        <v>0.0</v>
      </c>
      <c r="AC161" s="29"/>
      <c r="AD161" s="33"/>
      <c r="AF161" s="34"/>
      <c r="AH161" s="34"/>
      <c r="AJ161" s="34"/>
      <c r="AL161" s="34"/>
      <c r="AN161" s="34"/>
      <c r="AO161" s="29"/>
      <c r="AP161" s="47">
        <f t="shared" si="7"/>
        <v>4512</v>
      </c>
      <c r="AQ161" s="48">
        <f t="shared" si="2"/>
        <v>360</v>
      </c>
      <c r="AR161" s="41">
        <f t="shared" si="3"/>
        <v>0</v>
      </c>
      <c r="AS161" s="41">
        <f t="shared" si="4"/>
        <v>360</v>
      </c>
      <c r="AT161" s="46">
        <f t="shared" si="5"/>
        <v>12.53333333</v>
      </c>
      <c r="AU161" s="37"/>
      <c r="AV161" s="37"/>
      <c r="AW161" s="37"/>
      <c r="AX161" s="37"/>
      <c r="AY161" s="37"/>
    </row>
    <row r="162" ht="15.75" customHeight="1">
      <c r="A162" s="39" t="s">
        <v>31</v>
      </c>
      <c r="B162" s="40">
        <f t="shared" si="6"/>
        <v>44722</v>
      </c>
      <c r="C162" s="41">
        <v>6.0</v>
      </c>
      <c r="D162" s="41" t="s">
        <v>34</v>
      </c>
      <c r="E162" s="43" t="s">
        <v>39</v>
      </c>
      <c r="F162" s="30">
        <v>0.0</v>
      </c>
      <c r="H162" s="31">
        <v>0.0</v>
      </c>
      <c r="J162" s="31">
        <v>0.0</v>
      </c>
      <c r="L162" s="31">
        <v>0.0</v>
      </c>
      <c r="N162" s="31">
        <v>0.0</v>
      </c>
      <c r="P162" s="31">
        <v>0.0</v>
      </c>
      <c r="Q162" s="29"/>
      <c r="R162" s="30">
        <v>120.0</v>
      </c>
      <c r="T162" s="31">
        <v>120.0</v>
      </c>
      <c r="V162" s="31">
        <v>0.0</v>
      </c>
      <c r="X162" s="31">
        <v>0.0</v>
      </c>
      <c r="Z162" s="31">
        <v>0.0</v>
      </c>
      <c r="AB162" s="31">
        <v>0.0</v>
      </c>
      <c r="AC162" s="29"/>
      <c r="AD162" s="33"/>
      <c r="AF162" s="34"/>
      <c r="AH162" s="34"/>
      <c r="AJ162" s="34"/>
      <c r="AL162" s="34"/>
      <c r="AN162" s="34"/>
      <c r="AO162" s="29"/>
      <c r="AP162" s="47">
        <f t="shared" si="7"/>
        <v>3264</v>
      </c>
      <c r="AQ162" s="48">
        <f t="shared" si="2"/>
        <v>240</v>
      </c>
      <c r="AR162" s="41">
        <f t="shared" si="3"/>
        <v>0</v>
      </c>
      <c r="AS162" s="41">
        <f t="shared" si="4"/>
        <v>240</v>
      </c>
      <c r="AT162" s="46">
        <f t="shared" si="5"/>
        <v>13.6</v>
      </c>
      <c r="AU162" s="37"/>
      <c r="AV162" s="37"/>
      <c r="AW162" s="37"/>
      <c r="AX162" s="37"/>
      <c r="AY162" s="37"/>
    </row>
    <row r="163" ht="15.75" customHeight="1">
      <c r="A163" s="49" t="s">
        <v>32</v>
      </c>
      <c r="B163" s="50">
        <f t="shared" si="6"/>
        <v>44723</v>
      </c>
      <c r="C163" s="51">
        <v>6.0</v>
      </c>
      <c r="D163" s="51" t="s">
        <v>34</v>
      </c>
      <c r="E163" s="53" t="s">
        <v>39</v>
      </c>
      <c r="F163" s="64">
        <v>0.0</v>
      </c>
      <c r="G163" s="55"/>
      <c r="H163" s="65">
        <v>0.0</v>
      </c>
      <c r="I163" s="55"/>
      <c r="J163" s="65">
        <v>0.0</v>
      </c>
      <c r="K163" s="55"/>
      <c r="L163" s="65">
        <v>0.0</v>
      </c>
      <c r="M163" s="55"/>
      <c r="N163" s="65">
        <v>0.0</v>
      </c>
      <c r="O163" s="55"/>
      <c r="P163" s="65">
        <v>0.0</v>
      </c>
      <c r="Q163" s="58"/>
      <c r="R163" s="64">
        <v>0.0</v>
      </c>
      <c r="S163" s="55"/>
      <c r="T163" s="65">
        <v>0.0</v>
      </c>
      <c r="U163" s="55"/>
      <c r="V163" s="65">
        <v>0.0</v>
      </c>
      <c r="W163" s="55"/>
      <c r="X163" s="65">
        <v>0.0</v>
      </c>
      <c r="Y163" s="55"/>
      <c r="Z163" s="65">
        <v>0.0</v>
      </c>
      <c r="AA163" s="55"/>
      <c r="AB163" s="65">
        <v>0.0</v>
      </c>
      <c r="AC163" s="58"/>
      <c r="AD163" s="66"/>
      <c r="AE163" s="55"/>
      <c r="AF163" s="67"/>
      <c r="AG163" s="55"/>
      <c r="AH163" s="67"/>
      <c r="AI163" s="55"/>
      <c r="AJ163" s="67"/>
      <c r="AK163" s="55"/>
      <c r="AL163" s="67"/>
      <c r="AM163" s="55"/>
      <c r="AN163" s="67"/>
      <c r="AO163" s="58"/>
      <c r="AP163" s="68">
        <f t="shared" si="7"/>
        <v>0</v>
      </c>
      <c r="AQ163" s="69">
        <f t="shared" si="2"/>
        <v>0</v>
      </c>
      <c r="AR163" s="51">
        <f t="shared" si="3"/>
        <v>0</v>
      </c>
      <c r="AS163" s="51">
        <f t="shared" si="4"/>
        <v>0</v>
      </c>
      <c r="AT163" s="61" t="str">
        <f t="shared" si="5"/>
        <v/>
      </c>
      <c r="AU163" s="37"/>
      <c r="AV163" s="37"/>
      <c r="AW163" s="37"/>
      <c r="AX163" s="37"/>
      <c r="AY163" s="37"/>
    </row>
    <row r="164" ht="15.75" customHeight="1">
      <c r="A164" s="21" t="s">
        <v>24</v>
      </c>
      <c r="B164" s="62">
        <f t="shared" si="6"/>
        <v>44724</v>
      </c>
      <c r="C164" s="23">
        <v>6.0</v>
      </c>
      <c r="D164" s="23" t="s">
        <v>35</v>
      </c>
      <c r="E164" s="63" t="s">
        <v>39</v>
      </c>
      <c r="F164" s="30">
        <v>0.0</v>
      </c>
      <c r="H164" s="31">
        <v>0.0</v>
      </c>
      <c r="J164" s="31">
        <v>0.0</v>
      </c>
      <c r="L164" s="31">
        <v>0.0</v>
      </c>
      <c r="N164" s="31">
        <v>0.0</v>
      </c>
      <c r="P164" s="31">
        <v>0.0</v>
      </c>
      <c r="Q164" s="29"/>
      <c r="R164" s="30">
        <v>0.0</v>
      </c>
      <c r="T164" s="31">
        <v>120.0</v>
      </c>
      <c r="V164" s="31">
        <v>120.0</v>
      </c>
      <c r="X164" s="31">
        <v>0.0</v>
      </c>
      <c r="Z164" s="31">
        <v>120.0</v>
      </c>
      <c r="AB164" s="31">
        <v>0.0</v>
      </c>
      <c r="AC164" s="29"/>
      <c r="AD164" s="33"/>
      <c r="AF164" s="34"/>
      <c r="AH164" s="34"/>
      <c r="AJ164" s="34"/>
      <c r="AL164" s="34"/>
      <c r="AN164" s="34"/>
      <c r="AO164" s="29"/>
      <c r="AP164" s="38">
        <f t="shared" si="7"/>
        <v>4512</v>
      </c>
      <c r="AQ164" s="44">
        <f t="shared" si="2"/>
        <v>360</v>
      </c>
      <c r="AR164" s="23">
        <f t="shared" si="3"/>
        <v>0</v>
      </c>
      <c r="AS164" s="23">
        <f t="shared" si="4"/>
        <v>360</v>
      </c>
      <c r="AT164" s="36">
        <f t="shared" si="5"/>
        <v>12.53333333</v>
      </c>
      <c r="AU164" s="37"/>
      <c r="AV164" s="37"/>
      <c r="AW164" s="37"/>
      <c r="AX164" s="37"/>
      <c r="AY164" s="37"/>
    </row>
    <row r="165" ht="15.75" customHeight="1">
      <c r="A165" s="39" t="s">
        <v>27</v>
      </c>
      <c r="B165" s="40">
        <f t="shared" si="6"/>
        <v>44725</v>
      </c>
      <c r="C165" s="41">
        <v>6.0</v>
      </c>
      <c r="D165" s="41" t="s">
        <v>35</v>
      </c>
      <c r="E165" s="43" t="s">
        <v>39</v>
      </c>
      <c r="F165" s="30">
        <v>0.0</v>
      </c>
      <c r="H165" s="31">
        <v>0.0</v>
      </c>
      <c r="J165" s="31">
        <v>0.0</v>
      </c>
      <c r="L165" s="31">
        <v>0.0</v>
      </c>
      <c r="N165" s="31">
        <v>0.0</v>
      </c>
      <c r="P165" s="31">
        <v>0.0</v>
      </c>
      <c r="Q165" s="29"/>
      <c r="R165" s="30">
        <v>0.0</v>
      </c>
      <c r="T165" s="31">
        <v>120.0</v>
      </c>
      <c r="V165" s="31">
        <v>120.0</v>
      </c>
      <c r="X165" s="31">
        <v>0.0</v>
      </c>
      <c r="Z165" s="31">
        <v>120.0</v>
      </c>
      <c r="AB165" s="31">
        <v>0.0</v>
      </c>
      <c r="AC165" s="29"/>
      <c r="AD165" s="33"/>
      <c r="AF165" s="34"/>
      <c r="AH165" s="34"/>
      <c r="AJ165" s="34"/>
      <c r="AL165" s="34"/>
      <c r="AN165" s="34"/>
      <c r="AO165" s="29"/>
      <c r="AP165" s="47">
        <f t="shared" si="7"/>
        <v>4512</v>
      </c>
      <c r="AQ165" s="48">
        <f t="shared" si="2"/>
        <v>360</v>
      </c>
      <c r="AR165" s="41">
        <f t="shared" si="3"/>
        <v>0</v>
      </c>
      <c r="AS165" s="41">
        <f t="shared" si="4"/>
        <v>360</v>
      </c>
      <c r="AT165" s="46">
        <f t="shared" si="5"/>
        <v>12.53333333</v>
      </c>
      <c r="AU165" s="37"/>
      <c r="AV165" s="37"/>
      <c r="AW165" s="37"/>
      <c r="AX165" s="37"/>
      <c r="AY165" s="37"/>
    </row>
    <row r="166" ht="15.75" customHeight="1">
      <c r="A166" s="39" t="s">
        <v>28</v>
      </c>
      <c r="B166" s="40">
        <f t="shared" si="6"/>
        <v>44726</v>
      </c>
      <c r="C166" s="41">
        <v>6.0</v>
      </c>
      <c r="D166" s="41" t="s">
        <v>35</v>
      </c>
      <c r="E166" s="43" t="s">
        <v>39</v>
      </c>
      <c r="F166" s="30">
        <v>0.0</v>
      </c>
      <c r="H166" s="31">
        <v>0.0</v>
      </c>
      <c r="J166" s="31">
        <v>0.0</v>
      </c>
      <c r="L166" s="31">
        <v>0.0</v>
      </c>
      <c r="N166" s="31">
        <v>0.0</v>
      </c>
      <c r="P166" s="31">
        <v>0.0</v>
      </c>
      <c r="Q166" s="29"/>
      <c r="R166" s="30">
        <v>120.0</v>
      </c>
      <c r="T166" s="31">
        <v>120.0</v>
      </c>
      <c r="V166" s="31">
        <v>0.0</v>
      </c>
      <c r="X166" s="31">
        <v>0.0</v>
      </c>
      <c r="Z166" s="31">
        <v>0.0</v>
      </c>
      <c r="AB166" s="31">
        <v>30.0</v>
      </c>
      <c r="AC166" s="29"/>
      <c r="AD166" s="33"/>
      <c r="AF166" s="34"/>
      <c r="AH166" s="34"/>
      <c r="AJ166" s="34"/>
      <c r="AL166" s="34"/>
      <c r="AN166" s="34"/>
      <c r="AO166" s="29"/>
      <c r="AP166" s="47">
        <f t="shared" si="7"/>
        <v>3432</v>
      </c>
      <c r="AQ166" s="48">
        <f t="shared" si="2"/>
        <v>240</v>
      </c>
      <c r="AR166" s="41">
        <f t="shared" si="3"/>
        <v>30</v>
      </c>
      <c r="AS166" s="41">
        <f t="shared" si="4"/>
        <v>270</v>
      </c>
      <c r="AT166" s="46">
        <f t="shared" si="5"/>
        <v>12.71111111</v>
      </c>
      <c r="AU166" s="37"/>
      <c r="AV166" s="37"/>
      <c r="AW166" s="37"/>
      <c r="AX166" s="37"/>
      <c r="AY166" s="37"/>
    </row>
    <row r="167" ht="15.75" customHeight="1">
      <c r="A167" s="39" t="s">
        <v>29</v>
      </c>
      <c r="B167" s="40">
        <f t="shared" si="6"/>
        <v>44727</v>
      </c>
      <c r="C167" s="41">
        <v>6.0</v>
      </c>
      <c r="D167" s="41" t="s">
        <v>35</v>
      </c>
      <c r="E167" s="43" t="s">
        <v>39</v>
      </c>
      <c r="F167" s="30">
        <v>0.0</v>
      </c>
      <c r="H167" s="31">
        <v>0.0</v>
      </c>
      <c r="J167" s="31">
        <v>0.0</v>
      </c>
      <c r="L167" s="31">
        <v>0.0</v>
      </c>
      <c r="N167" s="31">
        <v>0.0</v>
      </c>
      <c r="P167" s="31">
        <v>0.0</v>
      </c>
      <c r="Q167" s="29"/>
      <c r="R167" s="30">
        <v>0.0</v>
      </c>
      <c r="T167" s="31">
        <v>120.0</v>
      </c>
      <c r="V167" s="31">
        <v>120.0</v>
      </c>
      <c r="X167" s="31">
        <v>0.0</v>
      </c>
      <c r="Z167" s="31">
        <v>120.0</v>
      </c>
      <c r="AB167" s="31">
        <v>0.0</v>
      </c>
      <c r="AC167" s="29"/>
      <c r="AD167" s="33"/>
      <c r="AF167" s="34"/>
      <c r="AH167" s="34"/>
      <c r="AJ167" s="34"/>
      <c r="AL167" s="34"/>
      <c r="AN167" s="34"/>
      <c r="AO167" s="29"/>
      <c r="AP167" s="47">
        <f t="shared" si="7"/>
        <v>4512</v>
      </c>
      <c r="AQ167" s="48">
        <f t="shared" si="2"/>
        <v>360</v>
      </c>
      <c r="AR167" s="41">
        <f t="shared" si="3"/>
        <v>0</v>
      </c>
      <c r="AS167" s="41">
        <f t="shared" si="4"/>
        <v>360</v>
      </c>
      <c r="AT167" s="46">
        <f t="shared" si="5"/>
        <v>12.53333333</v>
      </c>
      <c r="AU167" s="37"/>
      <c r="AV167" s="37"/>
      <c r="AW167" s="37"/>
      <c r="AX167" s="37"/>
      <c r="AY167" s="37"/>
    </row>
    <row r="168" ht="15.75" customHeight="1">
      <c r="A168" s="39" t="s">
        <v>30</v>
      </c>
      <c r="B168" s="40">
        <f t="shared" si="6"/>
        <v>44728</v>
      </c>
      <c r="C168" s="41">
        <v>6.0</v>
      </c>
      <c r="D168" s="41" t="s">
        <v>35</v>
      </c>
      <c r="E168" s="43" t="s">
        <v>39</v>
      </c>
      <c r="F168" s="30">
        <v>0.0</v>
      </c>
      <c r="H168" s="31">
        <v>0.0</v>
      </c>
      <c r="J168" s="31">
        <v>0.0</v>
      </c>
      <c r="L168" s="31">
        <v>0.0</v>
      </c>
      <c r="N168" s="31">
        <v>0.0</v>
      </c>
      <c r="P168" s="31">
        <v>0.0</v>
      </c>
      <c r="Q168" s="29"/>
      <c r="R168" s="30">
        <v>0.0</v>
      </c>
      <c r="T168" s="31">
        <v>120.0</v>
      </c>
      <c r="V168" s="31">
        <v>120.0</v>
      </c>
      <c r="X168" s="31">
        <v>0.0</v>
      </c>
      <c r="Z168" s="31">
        <v>120.0</v>
      </c>
      <c r="AB168" s="31">
        <v>0.0</v>
      </c>
      <c r="AC168" s="29"/>
      <c r="AD168" s="33"/>
      <c r="AF168" s="34"/>
      <c r="AH168" s="34"/>
      <c r="AJ168" s="34"/>
      <c r="AL168" s="34"/>
      <c r="AN168" s="34"/>
      <c r="AO168" s="29"/>
      <c r="AP168" s="47">
        <f t="shared" si="7"/>
        <v>4512</v>
      </c>
      <c r="AQ168" s="48">
        <f t="shared" si="2"/>
        <v>360</v>
      </c>
      <c r="AR168" s="41">
        <f t="shared" si="3"/>
        <v>0</v>
      </c>
      <c r="AS168" s="41">
        <f t="shared" si="4"/>
        <v>360</v>
      </c>
      <c r="AT168" s="46">
        <f t="shared" si="5"/>
        <v>12.53333333</v>
      </c>
      <c r="AU168" s="37"/>
      <c r="AV168" s="37"/>
      <c r="AW168" s="37"/>
      <c r="AX168" s="37"/>
      <c r="AY168" s="37"/>
    </row>
    <row r="169" ht="15.75" customHeight="1">
      <c r="A169" s="39" t="s">
        <v>31</v>
      </c>
      <c r="B169" s="40">
        <f t="shared" si="6"/>
        <v>44729</v>
      </c>
      <c r="C169" s="41">
        <v>6.0</v>
      </c>
      <c r="D169" s="41" t="s">
        <v>35</v>
      </c>
      <c r="E169" s="43" t="s">
        <v>39</v>
      </c>
      <c r="F169" s="30">
        <v>0.0</v>
      </c>
      <c r="H169" s="31">
        <v>0.0</v>
      </c>
      <c r="J169" s="31">
        <v>0.0</v>
      </c>
      <c r="L169" s="31">
        <v>0.0</v>
      </c>
      <c r="N169" s="31">
        <v>0.0</v>
      </c>
      <c r="P169" s="31">
        <v>0.0</v>
      </c>
      <c r="Q169" s="29"/>
      <c r="R169" s="30">
        <v>120.0</v>
      </c>
      <c r="T169" s="31">
        <v>120.0</v>
      </c>
      <c r="V169" s="31">
        <v>0.0</v>
      </c>
      <c r="X169" s="31">
        <v>0.0</v>
      </c>
      <c r="Z169" s="31">
        <v>0.0</v>
      </c>
      <c r="AB169" s="31">
        <v>0.0</v>
      </c>
      <c r="AC169" s="29"/>
      <c r="AD169" s="33"/>
      <c r="AF169" s="34"/>
      <c r="AH169" s="34"/>
      <c r="AJ169" s="34"/>
      <c r="AL169" s="34"/>
      <c r="AN169" s="34"/>
      <c r="AO169" s="29"/>
      <c r="AP169" s="47">
        <f t="shared" si="7"/>
        <v>3264</v>
      </c>
      <c r="AQ169" s="48">
        <f t="shared" si="2"/>
        <v>240</v>
      </c>
      <c r="AR169" s="41">
        <f t="shared" si="3"/>
        <v>0</v>
      </c>
      <c r="AS169" s="41">
        <f t="shared" si="4"/>
        <v>240</v>
      </c>
      <c r="AT169" s="46">
        <f t="shared" si="5"/>
        <v>13.6</v>
      </c>
      <c r="AU169" s="37"/>
      <c r="AV169" s="37"/>
      <c r="AW169" s="37"/>
      <c r="AX169" s="37"/>
      <c r="AY169" s="37"/>
    </row>
    <row r="170" ht="15.75" customHeight="1">
      <c r="A170" s="49" t="s">
        <v>32</v>
      </c>
      <c r="B170" s="50">
        <f t="shared" si="6"/>
        <v>44730</v>
      </c>
      <c r="C170" s="51">
        <v>6.0</v>
      </c>
      <c r="D170" s="51" t="s">
        <v>35</v>
      </c>
      <c r="E170" s="53" t="s">
        <v>39</v>
      </c>
      <c r="F170" s="64">
        <v>0.0</v>
      </c>
      <c r="G170" s="55"/>
      <c r="H170" s="65">
        <v>0.0</v>
      </c>
      <c r="I170" s="55"/>
      <c r="J170" s="65">
        <v>0.0</v>
      </c>
      <c r="K170" s="55"/>
      <c r="L170" s="65">
        <v>0.0</v>
      </c>
      <c r="M170" s="55"/>
      <c r="N170" s="65">
        <v>0.0</v>
      </c>
      <c r="O170" s="55"/>
      <c r="P170" s="65">
        <v>0.0</v>
      </c>
      <c r="Q170" s="58"/>
      <c r="R170" s="64">
        <v>0.0</v>
      </c>
      <c r="S170" s="55"/>
      <c r="T170" s="65">
        <v>0.0</v>
      </c>
      <c r="U170" s="55"/>
      <c r="V170" s="65">
        <v>0.0</v>
      </c>
      <c r="W170" s="55"/>
      <c r="X170" s="65">
        <v>0.0</v>
      </c>
      <c r="Y170" s="55"/>
      <c r="Z170" s="65">
        <v>0.0</v>
      </c>
      <c r="AA170" s="55"/>
      <c r="AB170" s="65">
        <v>0.0</v>
      </c>
      <c r="AC170" s="58"/>
      <c r="AD170" s="66"/>
      <c r="AE170" s="55"/>
      <c r="AF170" s="67"/>
      <c r="AG170" s="55"/>
      <c r="AH170" s="67"/>
      <c r="AI170" s="55"/>
      <c r="AJ170" s="67"/>
      <c r="AK170" s="55"/>
      <c r="AL170" s="67"/>
      <c r="AM170" s="55"/>
      <c r="AN170" s="67"/>
      <c r="AO170" s="58"/>
      <c r="AP170" s="68">
        <f t="shared" si="7"/>
        <v>0</v>
      </c>
      <c r="AQ170" s="69">
        <f t="shared" si="2"/>
        <v>0</v>
      </c>
      <c r="AR170" s="51">
        <f t="shared" si="3"/>
        <v>0</v>
      </c>
      <c r="AS170" s="51">
        <f t="shared" si="4"/>
        <v>0</v>
      </c>
      <c r="AT170" s="61" t="str">
        <f t="shared" si="5"/>
        <v/>
      </c>
      <c r="AU170" s="37"/>
      <c r="AV170" s="37"/>
      <c r="AW170" s="37"/>
      <c r="AX170" s="37"/>
      <c r="AY170" s="37"/>
    </row>
    <row r="171" ht="15.75" customHeight="1">
      <c r="A171" s="21" t="s">
        <v>24</v>
      </c>
      <c r="B171" s="62">
        <f t="shared" si="6"/>
        <v>44731</v>
      </c>
      <c r="C171" s="23">
        <v>7.0</v>
      </c>
      <c r="D171" s="23" t="s">
        <v>25</v>
      </c>
      <c r="E171" s="25" t="s">
        <v>40</v>
      </c>
      <c r="F171" s="30">
        <v>0.0</v>
      </c>
      <c r="H171" s="31">
        <v>0.0</v>
      </c>
      <c r="J171" s="31">
        <v>0.0</v>
      </c>
      <c r="L171" s="31">
        <v>0.0</v>
      </c>
      <c r="N171" s="31">
        <v>0.0</v>
      </c>
      <c r="P171" s="31">
        <v>0.0</v>
      </c>
      <c r="Q171" s="29"/>
      <c r="R171" s="30">
        <v>0.0</v>
      </c>
      <c r="T171" s="31">
        <v>120.0</v>
      </c>
      <c r="V171" s="31">
        <v>0.0</v>
      </c>
      <c r="X171" s="31">
        <v>0.0</v>
      </c>
      <c r="Z171" s="31">
        <v>120.0</v>
      </c>
      <c r="AB171" s="31">
        <v>0.0</v>
      </c>
      <c r="AC171" s="29"/>
      <c r="AD171" s="33"/>
      <c r="AF171" s="34"/>
      <c r="AH171" s="34"/>
      <c r="AJ171" s="34"/>
      <c r="AL171" s="34"/>
      <c r="AN171" s="34"/>
      <c r="AO171" s="29"/>
      <c r="AP171" s="38">
        <f t="shared" si="7"/>
        <v>2880</v>
      </c>
      <c r="AQ171" s="44">
        <f t="shared" si="2"/>
        <v>240</v>
      </c>
      <c r="AR171" s="23">
        <f t="shared" si="3"/>
        <v>0</v>
      </c>
      <c r="AS171" s="23">
        <f t="shared" si="4"/>
        <v>240</v>
      </c>
      <c r="AT171" s="36">
        <f t="shared" si="5"/>
        <v>12</v>
      </c>
      <c r="AU171" s="37"/>
      <c r="AV171" s="37"/>
      <c r="AW171" s="37"/>
      <c r="AX171" s="37"/>
      <c r="AY171" s="37"/>
    </row>
    <row r="172" ht="15.75" customHeight="1">
      <c r="A172" s="39" t="s">
        <v>27</v>
      </c>
      <c r="B172" s="40">
        <f t="shared" si="6"/>
        <v>44732</v>
      </c>
      <c r="C172" s="41">
        <v>7.0</v>
      </c>
      <c r="D172" s="41" t="s">
        <v>25</v>
      </c>
      <c r="E172" s="43" t="s">
        <v>40</v>
      </c>
      <c r="F172" s="30">
        <v>0.0</v>
      </c>
      <c r="H172" s="31">
        <v>0.0</v>
      </c>
      <c r="J172" s="31">
        <v>0.0</v>
      </c>
      <c r="L172" s="31">
        <v>0.0</v>
      </c>
      <c r="N172" s="31">
        <v>0.0</v>
      </c>
      <c r="P172" s="31">
        <v>0.0</v>
      </c>
      <c r="Q172" s="29"/>
      <c r="R172" s="30">
        <v>0.0</v>
      </c>
      <c r="T172" s="31">
        <v>120.0</v>
      </c>
      <c r="V172" s="31">
        <v>0.0</v>
      </c>
      <c r="X172" s="31">
        <v>0.0</v>
      </c>
      <c r="Z172" s="31">
        <v>120.0</v>
      </c>
      <c r="AB172" s="31">
        <v>0.0</v>
      </c>
      <c r="AC172" s="29"/>
      <c r="AD172" s="33"/>
      <c r="AF172" s="34"/>
      <c r="AH172" s="34"/>
      <c r="AJ172" s="34"/>
      <c r="AL172" s="34"/>
      <c r="AN172" s="34"/>
      <c r="AO172" s="29"/>
      <c r="AP172" s="47">
        <f t="shared" si="7"/>
        <v>2880</v>
      </c>
      <c r="AQ172" s="48">
        <f t="shared" si="2"/>
        <v>240</v>
      </c>
      <c r="AR172" s="41">
        <f t="shared" si="3"/>
        <v>0</v>
      </c>
      <c r="AS172" s="41">
        <f t="shared" si="4"/>
        <v>240</v>
      </c>
      <c r="AT172" s="46">
        <f t="shared" si="5"/>
        <v>12</v>
      </c>
      <c r="AU172" s="37"/>
      <c r="AV172" s="37"/>
      <c r="AW172" s="37"/>
      <c r="AX172" s="37"/>
      <c r="AY172" s="37"/>
    </row>
    <row r="173" ht="15.75" customHeight="1">
      <c r="A173" s="39" t="s">
        <v>28</v>
      </c>
      <c r="B173" s="40">
        <f t="shared" si="6"/>
        <v>44733</v>
      </c>
      <c r="C173" s="41">
        <v>7.0</v>
      </c>
      <c r="D173" s="41" t="s">
        <v>25</v>
      </c>
      <c r="E173" s="43" t="s">
        <v>40</v>
      </c>
      <c r="F173" s="30">
        <v>0.0</v>
      </c>
      <c r="H173" s="31">
        <v>0.0</v>
      </c>
      <c r="J173" s="31">
        <v>0.0</v>
      </c>
      <c r="L173" s="31">
        <v>0.0</v>
      </c>
      <c r="N173" s="31">
        <v>0.0</v>
      </c>
      <c r="P173" s="31">
        <v>0.0</v>
      </c>
      <c r="Q173" s="29"/>
      <c r="R173" s="30">
        <v>120.0</v>
      </c>
      <c r="T173" s="31">
        <v>120.0</v>
      </c>
      <c r="V173" s="31">
        <v>0.0</v>
      </c>
      <c r="X173" s="31">
        <v>0.0</v>
      </c>
      <c r="Z173" s="31">
        <v>0.0</v>
      </c>
      <c r="AB173" s="31">
        <v>25.0</v>
      </c>
      <c r="AC173" s="29"/>
      <c r="AD173" s="33"/>
      <c r="AF173" s="34"/>
      <c r="AH173" s="34"/>
      <c r="AJ173" s="34"/>
      <c r="AL173" s="34"/>
      <c r="AN173" s="34"/>
      <c r="AO173" s="29"/>
      <c r="AP173" s="47">
        <f t="shared" si="7"/>
        <v>3404</v>
      </c>
      <c r="AQ173" s="48">
        <f t="shared" si="2"/>
        <v>240</v>
      </c>
      <c r="AR173" s="41">
        <f t="shared" si="3"/>
        <v>25</v>
      </c>
      <c r="AS173" s="41">
        <f t="shared" si="4"/>
        <v>265</v>
      </c>
      <c r="AT173" s="46">
        <f t="shared" si="5"/>
        <v>12.84528302</v>
      </c>
      <c r="AU173" s="37"/>
      <c r="AV173" s="37"/>
      <c r="AW173" s="37"/>
      <c r="AX173" s="37"/>
      <c r="AY173" s="37"/>
    </row>
    <row r="174" ht="15.75" customHeight="1">
      <c r="A174" s="39" t="s">
        <v>29</v>
      </c>
      <c r="B174" s="40">
        <f t="shared" si="6"/>
        <v>44734</v>
      </c>
      <c r="C174" s="41">
        <v>7.0</v>
      </c>
      <c r="D174" s="41" t="s">
        <v>25</v>
      </c>
      <c r="E174" s="43" t="s">
        <v>40</v>
      </c>
      <c r="F174" s="30">
        <v>0.0</v>
      </c>
      <c r="H174" s="31">
        <v>0.0</v>
      </c>
      <c r="J174" s="31">
        <v>0.0</v>
      </c>
      <c r="L174" s="31">
        <v>0.0</v>
      </c>
      <c r="N174" s="31">
        <v>0.0</v>
      </c>
      <c r="P174" s="31">
        <v>0.0</v>
      </c>
      <c r="Q174" s="29"/>
      <c r="R174" s="30">
        <v>0.0</v>
      </c>
      <c r="T174" s="31">
        <v>120.0</v>
      </c>
      <c r="V174" s="31">
        <v>120.0</v>
      </c>
      <c r="X174" s="31">
        <v>0.0</v>
      </c>
      <c r="Z174" s="31">
        <v>120.0</v>
      </c>
      <c r="AB174" s="31">
        <v>0.0</v>
      </c>
      <c r="AC174" s="29"/>
      <c r="AD174" s="33"/>
      <c r="AF174" s="34"/>
      <c r="AH174" s="34"/>
      <c r="AJ174" s="34"/>
      <c r="AL174" s="34"/>
      <c r="AN174" s="34"/>
      <c r="AO174" s="29"/>
      <c r="AP174" s="47">
        <f t="shared" si="7"/>
        <v>4512</v>
      </c>
      <c r="AQ174" s="48">
        <f t="shared" si="2"/>
        <v>360</v>
      </c>
      <c r="AR174" s="41">
        <f t="shared" si="3"/>
        <v>0</v>
      </c>
      <c r="AS174" s="41">
        <f t="shared" si="4"/>
        <v>360</v>
      </c>
      <c r="AT174" s="46">
        <f t="shared" si="5"/>
        <v>12.53333333</v>
      </c>
      <c r="AU174" s="37"/>
      <c r="AV174" s="37"/>
      <c r="AW174" s="37"/>
      <c r="AX174" s="37"/>
      <c r="AY174" s="37"/>
    </row>
    <row r="175" ht="15.75" customHeight="1">
      <c r="A175" s="39" t="s">
        <v>30</v>
      </c>
      <c r="B175" s="40">
        <f t="shared" si="6"/>
        <v>44735</v>
      </c>
      <c r="C175" s="41">
        <v>7.0</v>
      </c>
      <c r="D175" s="41" t="s">
        <v>25</v>
      </c>
      <c r="E175" s="43" t="s">
        <v>40</v>
      </c>
      <c r="F175" s="30">
        <v>0.0</v>
      </c>
      <c r="H175" s="31">
        <v>0.0</v>
      </c>
      <c r="J175" s="31">
        <v>0.0</v>
      </c>
      <c r="L175" s="31">
        <v>0.0</v>
      </c>
      <c r="N175" s="31">
        <v>0.0</v>
      </c>
      <c r="P175" s="31">
        <v>0.0</v>
      </c>
      <c r="Q175" s="29"/>
      <c r="R175" s="30">
        <v>0.0</v>
      </c>
      <c r="T175" s="31">
        <v>120.0</v>
      </c>
      <c r="V175" s="31">
        <v>120.0</v>
      </c>
      <c r="X175" s="31">
        <v>0.0</v>
      </c>
      <c r="Z175" s="31">
        <v>120.0</v>
      </c>
      <c r="AB175" s="31">
        <v>0.0</v>
      </c>
      <c r="AC175" s="29"/>
      <c r="AD175" s="33"/>
      <c r="AF175" s="34"/>
      <c r="AH175" s="34"/>
      <c r="AJ175" s="34"/>
      <c r="AL175" s="34"/>
      <c r="AN175" s="34"/>
      <c r="AO175" s="29"/>
      <c r="AP175" s="47">
        <f t="shared" si="7"/>
        <v>4512</v>
      </c>
      <c r="AQ175" s="48">
        <f t="shared" si="2"/>
        <v>360</v>
      </c>
      <c r="AR175" s="41">
        <f t="shared" si="3"/>
        <v>0</v>
      </c>
      <c r="AS175" s="41">
        <f t="shared" si="4"/>
        <v>360</v>
      </c>
      <c r="AT175" s="46">
        <f t="shared" si="5"/>
        <v>12.53333333</v>
      </c>
      <c r="AU175" s="37"/>
      <c r="AV175" s="37"/>
      <c r="AW175" s="37"/>
      <c r="AX175" s="37"/>
      <c r="AY175" s="37"/>
    </row>
    <row r="176" ht="15.75" customHeight="1">
      <c r="A176" s="39" t="s">
        <v>31</v>
      </c>
      <c r="B176" s="40">
        <f t="shared" si="6"/>
        <v>44736</v>
      </c>
      <c r="C176" s="41">
        <v>7.0</v>
      </c>
      <c r="D176" s="41" t="s">
        <v>25</v>
      </c>
      <c r="E176" s="43" t="s">
        <v>40</v>
      </c>
      <c r="F176" s="30">
        <v>0.0</v>
      </c>
      <c r="H176" s="31">
        <v>0.0</v>
      </c>
      <c r="J176" s="31">
        <v>0.0</v>
      </c>
      <c r="L176" s="31">
        <v>0.0</v>
      </c>
      <c r="N176" s="31">
        <v>0.0</v>
      </c>
      <c r="P176" s="31">
        <v>0.0</v>
      </c>
      <c r="Q176" s="29"/>
      <c r="R176" s="30">
        <v>120.0</v>
      </c>
      <c r="T176" s="31">
        <v>120.0</v>
      </c>
      <c r="V176" s="31">
        <v>0.0</v>
      </c>
      <c r="X176" s="31">
        <v>0.0</v>
      </c>
      <c r="Z176" s="31">
        <v>0.0</v>
      </c>
      <c r="AB176" s="31">
        <v>50.0</v>
      </c>
      <c r="AC176" s="29"/>
      <c r="AD176" s="33"/>
      <c r="AF176" s="34"/>
      <c r="AH176" s="34"/>
      <c r="AJ176" s="34"/>
      <c r="AL176" s="34"/>
      <c r="AN176" s="34"/>
      <c r="AO176" s="29"/>
      <c r="AP176" s="47">
        <f t="shared" si="7"/>
        <v>3544</v>
      </c>
      <c r="AQ176" s="48">
        <f t="shared" si="2"/>
        <v>240</v>
      </c>
      <c r="AR176" s="41">
        <f t="shared" si="3"/>
        <v>50</v>
      </c>
      <c r="AS176" s="41">
        <f t="shared" si="4"/>
        <v>290</v>
      </c>
      <c r="AT176" s="46">
        <f t="shared" si="5"/>
        <v>12.22068966</v>
      </c>
      <c r="AU176" s="37"/>
      <c r="AV176" s="37"/>
      <c r="AW176" s="37"/>
      <c r="AX176" s="37"/>
      <c r="AY176" s="37"/>
    </row>
    <row r="177" ht="15.75" customHeight="1">
      <c r="A177" s="49" t="s">
        <v>32</v>
      </c>
      <c r="B177" s="50">
        <f t="shared" si="6"/>
        <v>44737</v>
      </c>
      <c r="C177" s="51">
        <v>7.0</v>
      </c>
      <c r="D177" s="51" t="s">
        <v>25</v>
      </c>
      <c r="E177" s="53" t="s">
        <v>40</v>
      </c>
      <c r="F177" s="64">
        <v>0.0</v>
      </c>
      <c r="G177" s="55"/>
      <c r="H177" s="65">
        <v>0.0</v>
      </c>
      <c r="I177" s="55"/>
      <c r="J177" s="65">
        <v>0.0</v>
      </c>
      <c r="K177" s="55"/>
      <c r="L177" s="65">
        <v>0.0</v>
      </c>
      <c r="M177" s="55"/>
      <c r="N177" s="65">
        <v>0.0</v>
      </c>
      <c r="O177" s="55"/>
      <c r="P177" s="65">
        <v>0.0</v>
      </c>
      <c r="Q177" s="58"/>
      <c r="R177" s="64">
        <v>0.0</v>
      </c>
      <c r="S177" s="55"/>
      <c r="T177" s="65">
        <v>0.0</v>
      </c>
      <c r="U177" s="55"/>
      <c r="V177" s="65">
        <v>0.0</v>
      </c>
      <c r="W177" s="55"/>
      <c r="X177" s="65">
        <v>0.0</v>
      </c>
      <c r="Y177" s="55"/>
      <c r="Z177" s="65">
        <v>0.0</v>
      </c>
      <c r="AA177" s="55"/>
      <c r="AB177" s="65">
        <v>0.0</v>
      </c>
      <c r="AC177" s="58"/>
      <c r="AD177" s="66"/>
      <c r="AE177" s="55"/>
      <c r="AF177" s="67"/>
      <c r="AG177" s="55"/>
      <c r="AH177" s="67"/>
      <c r="AI177" s="55"/>
      <c r="AJ177" s="67"/>
      <c r="AK177" s="55"/>
      <c r="AL177" s="67"/>
      <c r="AM177" s="55"/>
      <c r="AN177" s="67"/>
      <c r="AO177" s="58"/>
      <c r="AP177" s="68">
        <f t="shared" si="7"/>
        <v>0</v>
      </c>
      <c r="AQ177" s="69">
        <f t="shared" si="2"/>
        <v>0</v>
      </c>
      <c r="AR177" s="51">
        <f t="shared" si="3"/>
        <v>0</v>
      </c>
      <c r="AS177" s="51">
        <f t="shared" si="4"/>
        <v>0</v>
      </c>
      <c r="AT177" s="61" t="str">
        <f t="shared" si="5"/>
        <v/>
      </c>
      <c r="AU177" s="37"/>
      <c r="AV177" s="37"/>
      <c r="AW177" s="37"/>
      <c r="AX177" s="37"/>
      <c r="AY177" s="37"/>
    </row>
    <row r="178" ht="15.75" customHeight="1">
      <c r="A178" s="21" t="s">
        <v>24</v>
      </c>
      <c r="B178" s="62">
        <f t="shared" si="6"/>
        <v>44738</v>
      </c>
      <c r="C178" s="23">
        <v>7.0</v>
      </c>
      <c r="D178" s="23" t="s">
        <v>33</v>
      </c>
      <c r="E178" s="63" t="s">
        <v>40</v>
      </c>
      <c r="F178" s="30">
        <v>0.0</v>
      </c>
      <c r="H178" s="31">
        <v>0.0</v>
      </c>
      <c r="J178" s="31">
        <v>0.0</v>
      </c>
      <c r="L178" s="31">
        <v>0.0</v>
      </c>
      <c r="N178" s="31">
        <v>0.0</v>
      </c>
      <c r="P178" s="31">
        <v>0.0</v>
      </c>
      <c r="Q178" s="29"/>
      <c r="R178" s="30">
        <v>0.0</v>
      </c>
      <c r="T178" s="31">
        <v>120.0</v>
      </c>
      <c r="V178" s="31">
        <v>120.0</v>
      </c>
      <c r="X178" s="31">
        <v>0.0</v>
      </c>
      <c r="Z178" s="31">
        <v>120.0</v>
      </c>
      <c r="AB178" s="31">
        <v>0.0</v>
      </c>
      <c r="AC178" s="29"/>
      <c r="AD178" s="33"/>
      <c r="AF178" s="34"/>
      <c r="AH178" s="34"/>
      <c r="AJ178" s="34"/>
      <c r="AL178" s="34"/>
      <c r="AN178" s="34"/>
      <c r="AO178" s="29"/>
      <c r="AP178" s="38">
        <f t="shared" si="7"/>
        <v>4512</v>
      </c>
      <c r="AQ178" s="44">
        <f t="shared" si="2"/>
        <v>360</v>
      </c>
      <c r="AR178" s="23">
        <f t="shared" si="3"/>
        <v>0</v>
      </c>
      <c r="AS178" s="23">
        <f t="shared" si="4"/>
        <v>360</v>
      </c>
      <c r="AT178" s="36">
        <f t="shared" si="5"/>
        <v>12.53333333</v>
      </c>
      <c r="AU178" s="37"/>
      <c r="AV178" s="37"/>
      <c r="AW178" s="37"/>
      <c r="AX178" s="37"/>
      <c r="AY178" s="37"/>
    </row>
    <row r="179" ht="15.75" customHeight="1">
      <c r="A179" s="39" t="s">
        <v>27</v>
      </c>
      <c r="B179" s="40">
        <f t="shared" si="6"/>
        <v>44739</v>
      </c>
      <c r="C179" s="41">
        <v>7.0</v>
      </c>
      <c r="D179" s="41" t="s">
        <v>33</v>
      </c>
      <c r="E179" s="43" t="s">
        <v>40</v>
      </c>
      <c r="F179" s="30">
        <v>0.0</v>
      </c>
      <c r="H179" s="31">
        <v>0.0</v>
      </c>
      <c r="J179" s="31">
        <v>0.0</v>
      </c>
      <c r="L179" s="31">
        <v>0.0</v>
      </c>
      <c r="N179" s="31">
        <v>0.0</v>
      </c>
      <c r="P179" s="31">
        <v>0.0</v>
      </c>
      <c r="Q179" s="29"/>
      <c r="R179" s="30">
        <v>0.0</v>
      </c>
      <c r="T179" s="31">
        <v>120.0</v>
      </c>
      <c r="V179" s="31">
        <v>120.0</v>
      </c>
      <c r="X179" s="31">
        <v>0.0</v>
      </c>
      <c r="Z179" s="31">
        <v>120.0</v>
      </c>
      <c r="AB179" s="31">
        <v>0.0</v>
      </c>
      <c r="AC179" s="29"/>
      <c r="AD179" s="33"/>
      <c r="AF179" s="34"/>
      <c r="AH179" s="34"/>
      <c r="AJ179" s="34"/>
      <c r="AL179" s="34"/>
      <c r="AN179" s="34"/>
      <c r="AO179" s="29"/>
      <c r="AP179" s="47">
        <f t="shared" si="7"/>
        <v>4512</v>
      </c>
      <c r="AQ179" s="48">
        <f t="shared" si="2"/>
        <v>360</v>
      </c>
      <c r="AR179" s="41">
        <f t="shared" si="3"/>
        <v>0</v>
      </c>
      <c r="AS179" s="41">
        <f t="shared" si="4"/>
        <v>360</v>
      </c>
      <c r="AT179" s="46">
        <f t="shared" si="5"/>
        <v>12.53333333</v>
      </c>
      <c r="AU179" s="37"/>
      <c r="AV179" s="37"/>
      <c r="AW179" s="37"/>
      <c r="AX179" s="37"/>
      <c r="AY179" s="37"/>
    </row>
    <row r="180" ht="15.75" customHeight="1">
      <c r="A180" s="39" t="s">
        <v>28</v>
      </c>
      <c r="B180" s="40">
        <f t="shared" si="6"/>
        <v>44740</v>
      </c>
      <c r="C180" s="41">
        <v>7.0</v>
      </c>
      <c r="D180" s="41" t="s">
        <v>33</v>
      </c>
      <c r="E180" s="43" t="s">
        <v>40</v>
      </c>
      <c r="F180" s="30">
        <v>0.0</v>
      </c>
      <c r="H180" s="31">
        <v>0.0</v>
      </c>
      <c r="J180" s="31">
        <v>0.0</v>
      </c>
      <c r="L180" s="31">
        <v>0.0</v>
      </c>
      <c r="N180" s="31">
        <v>0.0</v>
      </c>
      <c r="P180" s="31">
        <v>0.0</v>
      </c>
      <c r="Q180" s="29"/>
      <c r="R180" s="30">
        <v>120.0</v>
      </c>
      <c r="T180" s="31">
        <v>120.0</v>
      </c>
      <c r="V180" s="31">
        <v>0.0</v>
      </c>
      <c r="X180" s="31">
        <v>0.0</v>
      </c>
      <c r="Z180" s="31">
        <v>0.0</v>
      </c>
      <c r="AB180" s="31">
        <v>0.0</v>
      </c>
      <c r="AC180" s="29"/>
      <c r="AD180" s="33"/>
      <c r="AF180" s="34"/>
      <c r="AH180" s="34"/>
      <c r="AJ180" s="34"/>
      <c r="AL180" s="34"/>
      <c r="AN180" s="34"/>
      <c r="AO180" s="29"/>
      <c r="AP180" s="47">
        <f t="shared" si="7"/>
        <v>3264</v>
      </c>
      <c r="AQ180" s="48">
        <f t="shared" si="2"/>
        <v>240</v>
      </c>
      <c r="AR180" s="41">
        <f t="shared" si="3"/>
        <v>0</v>
      </c>
      <c r="AS180" s="41">
        <f t="shared" si="4"/>
        <v>240</v>
      </c>
      <c r="AT180" s="46">
        <f t="shared" si="5"/>
        <v>13.6</v>
      </c>
      <c r="AU180" s="37"/>
      <c r="AV180" s="37"/>
      <c r="AW180" s="37"/>
      <c r="AX180" s="37"/>
      <c r="AY180" s="37"/>
    </row>
    <row r="181" ht="15.75" customHeight="1">
      <c r="A181" s="39" t="s">
        <v>29</v>
      </c>
      <c r="B181" s="40">
        <f t="shared" si="6"/>
        <v>44741</v>
      </c>
      <c r="C181" s="41">
        <v>7.0</v>
      </c>
      <c r="D181" s="41" t="s">
        <v>33</v>
      </c>
      <c r="E181" s="43" t="s">
        <v>40</v>
      </c>
      <c r="F181" s="30">
        <v>0.0</v>
      </c>
      <c r="H181" s="31">
        <v>0.0</v>
      </c>
      <c r="J181" s="31">
        <v>0.0</v>
      </c>
      <c r="L181" s="31">
        <v>0.0</v>
      </c>
      <c r="N181" s="31">
        <v>0.0</v>
      </c>
      <c r="P181" s="31">
        <v>0.0</v>
      </c>
      <c r="Q181" s="29"/>
      <c r="R181" s="30">
        <v>0.0</v>
      </c>
      <c r="T181" s="31">
        <v>120.0</v>
      </c>
      <c r="V181" s="31">
        <v>120.0</v>
      </c>
      <c r="X181" s="31">
        <v>0.0</v>
      </c>
      <c r="Z181" s="31">
        <v>120.0</v>
      </c>
      <c r="AB181" s="31">
        <v>0.0</v>
      </c>
      <c r="AC181" s="29"/>
      <c r="AD181" s="33"/>
      <c r="AF181" s="34"/>
      <c r="AH181" s="34"/>
      <c r="AJ181" s="34"/>
      <c r="AL181" s="34"/>
      <c r="AN181" s="34"/>
      <c r="AO181" s="29"/>
      <c r="AP181" s="47">
        <f t="shared" si="7"/>
        <v>4512</v>
      </c>
      <c r="AQ181" s="48">
        <f t="shared" si="2"/>
        <v>360</v>
      </c>
      <c r="AR181" s="41">
        <f t="shared" si="3"/>
        <v>0</v>
      </c>
      <c r="AS181" s="41">
        <f t="shared" si="4"/>
        <v>360</v>
      </c>
      <c r="AT181" s="46">
        <f t="shared" si="5"/>
        <v>12.53333333</v>
      </c>
      <c r="AU181" s="37"/>
      <c r="AV181" s="37"/>
      <c r="AW181" s="37"/>
      <c r="AX181" s="37"/>
      <c r="AY181" s="37"/>
    </row>
    <row r="182" ht="15.75" customHeight="1">
      <c r="A182" s="39" t="s">
        <v>30</v>
      </c>
      <c r="B182" s="40">
        <f t="shared" si="6"/>
        <v>44742</v>
      </c>
      <c r="C182" s="41">
        <v>7.0</v>
      </c>
      <c r="D182" s="41" t="s">
        <v>33</v>
      </c>
      <c r="E182" s="43" t="s">
        <v>40</v>
      </c>
      <c r="F182" s="30">
        <v>0.0</v>
      </c>
      <c r="H182" s="31">
        <v>0.0</v>
      </c>
      <c r="J182" s="31">
        <v>0.0</v>
      </c>
      <c r="L182" s="31">
        <v>0.0</v>
      </c>
      <c r="N182" s="31">
        <v>0.0</v>
      </c>
      <c r="P182" s="31">
        <v>0.0</v>
      </c>
      <c r="Q182" s="29"/>
      <c r="R182" s="30">
        <v>120.0</v>
      </c>
      <c r="T182" s="31">
        <v>120.0</v>
      </c>
      <c r="V182" s="31">
        <v>0.0</v>
      </c>
      <c r="X182" s="31">
        <v>0.0</v>
      </c>
      <c r="Z182" s="31">
        <v>0.0</v>
      </c>
      <c r="AB182" s="31">
        <v>0.0</v>
      </c>
      <c r="AC182" s="29"/>
      <c r="AD182" s="33"/>
      <c r="AF182" s="34"/>
      <c r="AH182" s="34"/>
      <c r="AJ182" s="34"/>
      <c r="AL182" s="34"/>
      <c r="AN182" s="34"/>
      <c r="AO182" s="29"/>
      <c r="AP182" s="47">
        <f t="shared" si="7"/>
        <v>3264</v>
      </c>
      <c r="AQ182" s="48">
        <f t="shared" si="2"/>
        <v>240</v>
      </c>
      <c r="AR182" s="41">
        <f t="shared" si="3"/>
        <v>0</v>
      </c>
      <c r="AS182" s="41">
        <f t="shared" si="4"/>
        <v>240</v>
      </c>
      <c r="AT182" s="46">
        <f t="shared" si="5"/>
        <v>13.6</v>
      </c>
      <c r="AU182" s="37"/>
      <c r="AV182" s="37"/>
      <c r="AW182" s="37"/>
      <c r="AX182" s="37"/>
      <c r="AY182" s="37"/>
    </row>
    <row r="183" ht="15.75" customHeight="1">
      <c r="A183" s="39" t="s">
        <v>31</v>
      </c>
      <c r="B183" s="40">
        <f t="shared" si="6"/>
        <v>44743</v>
      </c>
      <c r="C183" s="41">
        <v>7.0</v>
      </c>
      <c r="D183" s="41" t="s">
        <v>33</v>
      </c>
      <c r="E183" s="43" t="s">
        <v>40</v>
      </c>
      <c r="F183" s="30">
        <v>0.0</v>
      </c>
      <c r="H183" s="31">
        <v>0.0</v>
      </c>
      <c r="J183" s="31">
        <v>0.0</v>
      </c>
      <c r="L183" s="31">
        <v>0.0</v>
      </c>
      <c r="N183" s="31">
        <v>0.0</v>
      </c>
      <c r="P183" s="31">
        <v>0.0</v>
      </c>
      <c r="Q183" s="29"/>
      <c r="R183" s="30">
        <v>120.0</v>
      </c>
      <c r="T183" s="31">
        <v>120.0</v>
      </c>
      <c r="V183" s="31">
        <v>0.0</v>
      </c>
      <c r="X183" s="31">
        <v>0.0</v>
      </c>
      <c r="Z183" s="31">
        <v>0.0</v>
      </c>
      <c r="AB183" s="31">
        <v>0.0</v>
      </c>
      <c r="AC183" s="29"/>
      <c r="AD183" s="33"/>
      <c r="AF183" s="34"/>
      <c r="AH183" s="34"/>
      <c r="AJ183" s="34"/>
      <c r="AL183" s="34"/>
      <c r="AN183" s="34"/>
      <c r="AO183" s="29"/>
      <c r="AP183" s="47">
        <f t="shared" si="7"/>
        <v>3264</v>
      </c>
      <c r="AQ183" s="48">
        <f t="shared" si="2"/>
        <v>240</v>
      </c>
      <c r="AR183" s="41">
        <f t="shared" si="3"/>
        <v>0</v>
      </c>
      <c r="AS183" s="41">
        <f t="shared" si="4"/>
        <v>240</v>
      </c>
      <c r="AT183" s="46">
        <f t="shared" si="5"/>
        <v>13.6</v>
      </c>
      <c r="AU183" s="37"/>
      <c r="AV183" s="37"/>
      <c r="AW183" s="37"/>
      <c r="AX183" s="37"/>
      <c r="AY183" s="37"/>
    </row>
    <row r="184" ht="15.75" customHeight="1">
      <c r="A184" s="49" t="s">
        <v>32</v>
      </c>
      <c r="B184" s="50">
        <f t="shared" si="6"/>
        <v>44744</v>
      </c>
      <c r="C184" s="51">
        <v>7.0</v>
      </c>
      <c r="D184" s="51" t="s">
        <v>33</v>
      </c>
      <c r="E184" s="53" t="s">
        <v>40</v>
      </c>
      <c r="F184" s="64">
        <v>0.0</v>
      </c>
      <c r="G184" s="55"/>
      <c r="H184" s="65">
        <v>0.0</v>
      </c>
      <c r="I184" s="55"/>
      <c r="J184" s="65">
        <v>0.0</v>
      </c>
      <c r="K184" s="55"/>
      <c r="L184" s="65">
        <v>0.0</v>
      </c>
      <c r="M184" s="55"/>
      <c r="N184" s="65">
        <v>0.0</v>
      </c>
      <c r="O184" s="55"/>
      <c r="P184" s="65">
        <v>0.0</v>
      </c>
      <c r="Q184" s="58"/>
      <c r="R184" s="64">
        <v>0.0</v>
      </c>
      <c r="S184" s="55"/>
      <c r="T184" s="65">
        <v>0.0</v>
      </c>
      <c r="U184" s="55"/>
      <c r="V184" s="65">
        <v>0.0</v>
      </c>
      <c r="W184" s="55"/>
      <c r="X184" s="65">
        <v>0.0</v>
      </c>
      <c r="Y184" s="55"/>
      <c r="Z184" s="65">
        <v>0.0</v>
      </c>
      <c r="AA184" s="55"/>
      <c r="AB184" s="65">
        <v>0.0</v>
      </c>
      <c r="AC184" s="58"/>
      <c r="AD184" s="66"/>
      <c r="AE184" s="55"/>
      <c r="AF184" s="67"/>
      <c r="AG184" s="55"/>
      <c r="AH184" s="67"/>
      <c r="AI184" s="55"/>
      <c r="AJ184" s="67"/>
      <c r="AK184" s="55"/>
      <c r="AL184" s="67"/>
      <c r="AM184" s="55"/>
      <c r="AN184" s="67"/>
      <c r="AO184" s="58"/>
      <c r="AP184" s="68">
        <f t="shared" si="7"/>
        <v>0</v>
      </c>
      <c r="AQ184" s="69">
        <f t="shared" si="2"/>
        <v>0</v>
      </c>
      <c r="AR184" s="51">
        <f t="shared" si="3"/>
        <v>0</v>
      </c>
      <c r="AS184" s="51">
        <f t="shared" si="4"/>
        <v>0</v>
      </c>
      <c r="AT184" s="61" t="str">
        <f t="shared" si="5"/>
        <v/>
      </c>
      <c r="AU184" s="37"/>
      <c r="AV184" s="37"/>
      <c r="AW184" s="37"/>
      <c r="AX184" s="37"/>
      <c r="AY184" s="37"/>
    </row>
    <row r="185" ht="15.75" customHeight="1">
      <c r="A185" s="21" t="s">
        <v>24</v>
      </c>
      <c r="B185" s="62">
        <f t="shared" si="6"/>
        <v>44745</v>
      </c>
      <c r="C185" s="23">
        <v>7.0</v>
      </c>
      <c r="D185" s="23" t="s">
        <v>34</v>
      </c>
      <c r="E185" s="63" t="s">
        <v>40</v>
      </c>
      <c r="F185" s="30">
        <v>0.0</v>
      </c>
      <c r="H185" s="31">
        <v>0.0</v>
      </c>
      <c r="J185" s="31">
        <v>0.0</v>
      </c>
      <c r="L185" s="31">
        <v>0.0</v>
      </c>
      <c r="N185" s="31">
        <v>0.0</v>
      </c>
      <c r="P185" s="31">
        <v>0.0</v>
      </c>
      <c r="Q185" s="29"/>
      <c r="R185" s="30">
        <v>25.0</v>
      </c>
      <c r="T185" s="31">
        <v>120.0</v>
      </c>
      <c r="V185" s="31">
        <v>0.0</v>
      </c>
      <c r="X185" s="31">
        <v>0.0</v>
      </c>
      <c r="Z185" s="31">
        <v>120.0</v>
      </c>
      <c r="AB185" s="31">
        <v>0.0</v>
      </c>
      <c r="AC185" s="29"/>
      <c r="AD185" s="33"/>
      <c r="AF185" s="34"/>
      <c r="AH185" s="34"/>
      <c r="AJ185" s="34"/>
      <c r="AL185" s="34"/>
      <c r="AN185" s="34"/>
      <c r="AO185" s="29"/>
      <c r="AP185" s="38">
        <f t="shared" si="7"/>
        <v>3220</v>
      </c>
      <c r="AQ185" s="44">
        <f t="shared" si="2"/>
        <v>265</v>
      </c>
      <c r="AR185" s="23">
        <f t="shared" si="3"/>
        <v>0</v>
      </c>
      <c r="AS185" s="23">
        <f t="shared" si="4"/>
        <v>265</v>
      </c>
      <c r="AT185" s="36">
        <f t="shared" si="5"/>
        <v>12.1509434</v>
      </c>
      <c r="AU185" s="37"/>
      <c r="AV185" s="37"/>
      <c r="AW185" s="37"/>
      <c r="AX185" s="37"/>
      <c r="AY185" s="37"/>
    </row>
    <row r="186" ht="15.75" customHeight="1">
      <c r="A186" s="39" t="s">
        <v>27</v>
      </c>
      <c r="B186" s="40">
        <f t="shared" si="6"/>
        <v>44746</v>
      </c>
      <c r="C186" s="41">
        <v>7.0</v>
      </c>
      <c r="D186" s="41" t="s">
        <v>34</v>
      </c>
      <c r="E186" s="43" t="s">
        <v>40</v>
      </c>
      <c r="F186" s="30">
        <v>0.0</v>
      </c>
      <c r="H186" s="31">
        <v>0.0</v>
      </c>
      <c r="J186" s="31">
        <v>0.0</v>
      </c>
      <c r="L186" s="31">
        <v>0.0</v>
      </c>
      <c r="N186" s="31">
        <v>0.0</v>
      </c>
      <c r="P186" s="31">
        <v>0.0</v>
      </c>
      <c r="Q186" s="29"/>
      <c r="R186" s="30">
        <v>0.0</v>
      </c>
      <c r="T186" s="31">
        <v>120.0</v>
      </c>
      <c r="V186" s="31">
        <v>120.0</v>
      </c>
      <c r="X186" s="31">
        <v>0.0</v>
      </c>
      <c r="Z186" s="31">
        <v>120.0</v>
      </c>
      <c r="AB186" s="31">
        <v>0.0</v>
      </c>
      <c r="AC186" s="29"/>
      <c r="AD186" s="33"/>
      <c r="AF186" s="34"/>
      <c r="AH186" s="34"/>
      <c r="AJ186" s="34"/>
      <c r="AL186" s="34"/>
      <c r="AN186" s="34"/>
      <c r="AO186" s="29"/>
      <c r="AP186" s="47">
        <f t="shared" si="7"/>
        <v>4512</v>
      </c>
      <c r="AQ186" s="48">
        <f t="shared" si="2"/>
        <v>360</v>
      </c>
      <c r="AR186" s="41">
        <f t="shared" si="3"/>
        <v>0</v>
      </c>
      <c r="AS186" s="41">
        <f t="shared" si="4"/>
        <v>360</v>
      </c>
      <c r="AT186" s="46">
        <f t="shared" si="5"/>
        <v>12.53333333</v>
      </c>
      <c r="AU186" s="37"/>
      <c r="AV186" s="37"/>
      <c r="AW186" s="37"/>
      <c r="AX186" s="37"/>
      <c r="AY186" s="37"/>
    </row>
    <row r="187" ht="15.75" customHeight="1">
      <c r="A187" s="39" t="s">
        <v>28</v>
      </c>
      <c r="B187" s="40">
        <f t="shared" si="6"/>
        <v>44747</v>
      </c>
      <c r="C187" s="41">
        <v>7.0</v>
      </c>
      <c r="D187" s="41" t="s">
        <v>34</v>
      </c>
      <c r="E187" s="43" t="s">
        <v>40</v>
      </c>
      <c r="F187" s="30">
        <v>0.0</v>
      </c>
      <c r="H187" s="31">
        <v>0.0</v>
      </c>
      <c r="J187" s="31">
        <v>0.0</v>
      </c>
      <c r="L187" s="31">
        <v>0.0</v>
      </c>
      <c r="N187" s="31">
        <v>0.0</v>
      </c>
      <c r="P187" s="31">
        <v>0.0</v>
      </c>
      <c r="Q187" s="29"/>
      <c r="R187" s="30">
        <v>25.0</v>
      </c>
      <c r="T187" s="31">
        <v>100.0</v>
      </c>
      <c r="V187" s="31">
        <v>0.0</v>
      </c>
      <c r="X187" s="31">
        <v>0.0</v>
      </c>
      <c r="Z187" s="31">
        <v>100.0</v>
      </c>
      <c r="AB187" s="31">
        <v>0.0</v>
      </c>
      <c r="AC187" s="29"/>
      <c r="AD187" s="33"/>
      <c r="AF187" s="34"/>
      <c r="AH187" s="34"/>
      <c r="AJ187" s="34"/>
      <c r="AL187" s="34"/>
      <c r="AN187" s="34"/>
      <c r="AO187" s="29"/>
      <c r="AP187" s="47">
        <f t="shared" si="7"/>
        <v>2740</v>
      </c>
      <c r="AQ187" s="48">
        <f t="shared" si="2"/>
        <v>225</v>
      </c>
      <c r="AR187" s="41">
        <f t="shared" si="3"/>
        <v>0</v>
      </c>
      <c r="AS187" s="41">
        <f t="shared" si="4"/>
        <v>225</v>
      </c>
      <c r="AT187" s="46">
        <f t="shared" si="5"/>
        <v>12.17777778</v>
      </c>
      <c r="AU187" s="37"/>
      <c r="AV187" s="37"/>
      <c r="AW187" s="37"/>
      <c r="AX187" s="37"/>
      <c r="AY187" s="37"/>
    </row>
    <row r="188" ht="15.75" customHeight="1">
      <c r="A188" s="39" t="s">
        <v>29</v>
      </c>
      <c r="B188" s="40">
        <f t="shared" si="6"/>
        <v>44748</v>
      </c>
      <c r="C188" s="41">
        <v>7.0</v>
      </c>
      <c r="D188" s="41" t="s">
        <v>34</v>
      </c>
      <c r="E188" s="43" t="s">
        <v>40</v>
      </c>
      <c r="F188" s="30">
        <v>0.0</v>
      </c>
      <c r="H188" s="31">
        <v>0.0</v>
      </c>
      <c r="J188" s="31">
        <v>0.0</v>
      </c>
      <c r="L188" s="31">
        <v>0.0</v>
      </c>
      <c r="N188" s="31">
        <v>0.0</v>
      </c>
      <c r="P188" s="31">
        <v>0.0</v>
      </c>
      <c r="Q188" s="29"/>
      <c r="R188" s="30">
        <v>0.0</v>
      </c>
      <c r="T188" s="31">
        <v>100.0</v>
      </c>
      <c r="V188" s="31">
        <v>100.0</v>
      </c>
      <c r="X188" s="31">
        <v>0.0</v>
      </c>
      <c r="Z188" s="31">
        <v>100.0</v>
      </c>
      <c r="AB188" s="31">
        <v>0.0</v>
      </c>
      <c r="AC188" s="29"/>
      <c r="AD188" s="33"/>
      <c r="AF188" s="34"/>
      <c r="AH188" s="34"/>
      <c r="AJ188" s="34"/>
      <c r="AL188" s="34"/>
      <c r="AN188" s="34"/>
      <c r="AO188" s="29"/>
      <c r="AP188" s="47">
        <f t="shared" si="7"/>
        <v>3760</v>
      </c>
      <c r="AQ188" s="48">
        <f t="shared" si="2"/>
        <v>300</v>
      </c>
      <c r="AR188" s="41">
        <f t="shared" si="3"/>
        <v>0</v>
      </c>
      <c r="AS188" s="41">
        <f t="shared" si="4"/>
        <v>300</v>
      </c>
      <c r="AT188" s="46">
        <f t="shared" si="5"/>
        <v>12.53333333</v>
      </c>
      <c r="AU188" s="37"/>
      <c r="AV188" s="37"/>
      <c r="AW188" s="37"/>
      <c r="AX188" s="37"/>
      <c r="AY188" s="37"/>
    </row>
    <row r="189" ht="15.75" customHeight="1">
      <c r="A189" s="39" t="s">
        <v>30</v>
      </c>
      <c r="B189" s="40">
        <f t="shared" si="6"/>
        <v>44749</v>
      </c>
      <c r="C189" s="41">
        <v>7.0</v>
      </c>
      <c r="D189" s="41" t="s">
        <v>34</v>
      </c>
      <c r="E189" s="43" t="s">
        <v>40</v>
      </c>
      <c r="F189" s="30">
        <v>0.0</v>
      </c>
      <c r="H189" s="31">
        <v>0.0</v>
      </c>
      <c r="J189" s="31">
        <v>0.0</v>
      </c>
      <c r="L189" s="31">
        <v>0.0</v>
      </c>
      <c r="N189" s="31">
        <v>0.0</v>
      </c>
      <c r="P189" s="31">
        <v>0.0</v>
      </c>
      <c r="Q189" s="29"/>
      <c r="R189" s="30">
        <v>0.0</v>
      </c>
      <c r="T189" s="31">
        <v>100.0</v>
      </c>
      <c r="V189" s="31">
        <v>100.0</v>
      </c>
      <c r="X189" s="31">
        <v>0.0</v>
      </c>
      <c r="Z189" s="31">
        <v>100.0</v>
      </c>
      <c r="AB189" s="31">
        <v>20.0</v>
      </c>
      <c r="AC189" s="29"/>
      <c r="AD189" s="33"/>
      <c r="AF189" s="34"/>
      <c r="AH189" s="34"/>
      <c r="AJ189" s="34"/>
      <c r="AL189" s="34"/>
      <c r="AN189" s="34"/>
      <c r="AO189" s="29"/>
      <c r="AP189" s="47">
        <f t="shared" si="7"/>
        <v>3872</v>
      </c>
      <c r="AQ189" s="48">
        <f t="shared" si="2"/>
        <v>300</v>
      </c>
      <c r="AR189" s="41">
        <f t="shared" si="3"/>
        <v>20</v>
      </c>
      <c r="AS189" s="41">
        <f t="shared" si="4"/>
        <v>320</v>
      </c>
      <c r="AT189" s="46">
        <f t="shared" si="5"/>
        <v>12.1</v>
      </c>
      <c r="AU189" s="37"/>
      <c r="AV189" s="37"/>
      <c r="AW189" s="37"/>
      <c r="AX189" s="37"/>
      <c r="AY189" s="37"/>
    </row>
    <row r="190" ht="15.75" customHeight="1">
      <c r="A190" s="39" t="s">
        <v>31</v>
      </c>
      <c r="B190" s="40">
        <f t="shared" si="6"/>
        <v>44750</v>
      </c>
      <c r="C190" s="41">
        <v>7.0</v>
      </c>
      <c r="D190" s="41" t="s">
        <v>34</v>
      </c>
      <c r="E190" s="43" t="s">
        <v>40</v>
      </c>
      <c r="F190" s="30">
        <v>0.0</v>
      </c>
      <c r="H190" s="31">
        <v>0.0</v>
      </c>
      <c r="J190" s="31">
        <v>0.0</v>
      </c>
      <c r="L190" s="31">
        <v>0.0</v>
      </c>
      <c r="N190" s="31">
        <v>0.0</v>
      </c>
      <c r="P190" s="31">
        <v>0.0</v>
      </c>
      <c r="Q190" s="29"/>
      <c r="R190" s="30">
        <v>100.0</v>
      </c>
      <c r="T190" s="31">
        <v>100.0</v>
      </c>
      <c r="V190" s="31">
        <v>0.0</v>
      </c>
      <c r="X190" s="31">
        <v>0.0</v>
      </c>
      <c r="Z190" s="31">
        <v>0.0</v>
      </c>
      <c r="AB190" s="31">
        <v>10.0</v>
      </c>
      <c r="AC190" s="29"/>
      <c r="AD190" s="33"/>
      <c r="AF190" s="34"/>
      <c r="AH190" s="34"/>
      <c r="AJ190" s="34"/>
      <c r="AL190" s="34"/>
      <c r="AN190" s="34"/>
      <c r="AO190" s="29"/>
      <c r="AP190" s="47">
        <f t="shared" si="7"/>
        <v>2776</v>
      </c>
      <c r="AQ190" s="48">
        <f t="shared" si="2"/>
        <v>200</v>
      </c>
      <c r="AR190" s="41">
        <f t="shared" si="3"/>
        <v>10</v>
      </c>
      <c r="AS190" s="41">
        <f t="shared" si="4"/>
        <v>210</v>
      </c>
      <c r="AT190" s="46">
        <f t="shared" si="5"/>
        <v>13.21904762</v>
      </c>
      <c r="AU190" s="37"/>
      <c r="AV190" s="37"/>
      <c r="AW190" s="37"/>
      <c r="AX190" s="37"/>
      <c r="AY190" s="37"/>
    </row>
    <row r="191" ht="15.75" customHeight="1">
      <c r="A191" s="49" t="s">
        <v>32</v>
      </c>
      <c r="B191" s="50">
        <f t="shared" si="6"/>
        <v>44751</v>
      </c>
      <c r="C191" s="51">
        <v>7.0</v>
      </c>
      <c r="D191" s="51" t="s">
        <v>34</v>
      </c>
      <c r="E191" s="53" t="s">
        <v>40</v>
      </c>
      <c r="F191" s="64">
        <v>0.0</v>
      </c>
      <c r="G191" s="55"/>
      <c r="H191" s="65">
        <v>0.0</v>
      </c>
      <c r="I191" s="55"/>
      <c r="J191" s="65">
        <v>0.0</v>
      </c>
      <c r="K191" s="55"/>
      <c r="L191" s="65">
        <v>0.0</v>
      </c>
      <c r="M191" s="55"/>
      <c r="N191" s="65">
        <v>0.0</v>
      </c>
      <c r="O191" s="55"/>
      <c r="P191" s="65">
        <v>0.0</v>
      </c>
      <c r="Q191" s="58"/>
      <c r="R191" s="64">
        <v>0.0</v>
      </c>
      <c r="S191" s="55"/>
      <c r="T191" s="65">
        <v>0.0</v>
      </c>
      <c r="U191" s="55"/>
      <c r="V191" s="65">
        <v>0.0</v>
      </c>
      <c r="W191" s="55"/>
      <c r="X191" s="65">
        <v>0.0</v>
      </c>
      <c r="Y191" s="55"/>
      <c r="Z191" s="65">
        <v>0.0</v>
      </c>
      <c r="AA191" s="55"/>
      <c r="AB191" s="65">
        <v>0.0</v>
      </c>
      <c r="AC191" s="58"/>
      <c r="AD191" s="66"/>
      <c r="AE191" s="55"/>
      <c r="AF191" s="67"/>
      <c r="AG191" s="55"/>
      <c r="AH191" s="67"/>
      <c r="AI191" s="55"/>
      <c r="AJ191" s="67"/>
      <c r="AK191" s="55"/>
      <c r="AL191" s="67"/>
      <c r="AM191" s="55"/>
      <c r="AN191" s="67"/>
      <c r="AO191" s="58"/>
      <c r="AP191" s="68">
        <f t="shared" si="7"/>
        <v>0</v>
      </c>
      <c r="AQ191" s="69">
        <f t="shared" si="2"/>
        <v>0</v>
      </c>
      <c r="AR191" s="51">
        <f t="shared" si="3"/>
        <v>0</v>
      </c>
      <c r="AS191" s="51">
        <f t="shared" si="4"/>
        <v>0</v>
      </c>
      <c r="AT191" s="61" t="str">
        <f t="shared" si="5"/>
        <v/>
      </c>
      <c r="AU191" s="37"/>
      <c r="AV191" s="37"/>
      <c r="AW191" s="37"/>
      <c r="AX191" s="37"/>
      <c r="AY191" s="37"/>
    </row>
    <row r="192" ht="15.75" customHeight="1">
      <c r="A192" s="21" t="s">
        <v>24</v>
      </c>
      <c r="B192" s="62">
        <f t="shared" si="6"/>
        <v>44752</v>
      </c>
      <c r="C192" s="23">
        <v>7.0</v>
      </c>
      <c r="D192" s="23" t="s">
        <v>35</v>
      </c>
      <c r="E192" s="63" t="s">
        <v>40</v>
      </c>
      <c r="F192" s="30">
        <v>0.0</v>
      </c>
      <c r="H192" s="31">
        <v>0.0</v>
      </c>
      <c r="J192" s="31">
        <v>0.0</v>
      </c>
      <c r="L192" s="31">
        <v>0.0</v>
      </c>
      <c r="N192" s="31">
        <v>0.0</v>
      </c>
      <c r="P192" s="31">
        <v>0.0</v>
      </c>
      <c r="Q192" s="29"/>
      <c r="R192" s="30">
        <v>0.0</v>
      </c>
      <c r="T192" s="31">
        <v>0.0</v>
      </c>
      <c r="V192" s="31">
        <v>0.0</v>
      </c>
      <c r="X192" s="31">
        <v>0.0</v>
      </c>
      <c r="Z192" s="31">
        <v>0.0</v>
      </c>
      <c r="AB192" s="31">
        <v>0.0</v>
      </c>
      <c r="AC192" s="29"/>
      <c r="AD192" s="33"/>
      <c r="AF192" s="34"/>
      <c r="AH192" s="34"/>
      <c r="AJ192" s="34"/>
      <c r="AL192" s="34"/>
      <c r="AN192" s="34"/>
      <c r="AO192" s="29"/>
      <c r="AP192" s="38">
        <f t="shared" si="7"/>
        <v>0</v>
      </c>
      <c r="AQ192" s="44">
        <f t="shared" si="2"/>
        <v>0</v>
      </c>
      <c r="AR192" s="23">
        <f t="shared" si="3"/>
        <v>0</v>
      </c>
      <c r="AS192" s="23">
        <f t="shared" si="4"/>
        <v>0</v>
      </c>
      <c r="AT192" s="36" t="str">
        <f t="shared" si="5"/>
        <v/>
      </c>
      <c r="AU192" s="37"/>
      <c r="AV192" s="37"/>
      <c r="AW192" s="37"/>
      <c r="AX192" s="37"/>
      <c r="AY192" s="37"/>
    </row>
    <row r="193" ht="15.75" customHeight="1">
      <c r="A193" s="39" t="s">
        <v>27</v>
      </c>
      <c r="B193" s="40">
        <f t="shared" si="6"/>
        <v>44753</v>
      </c>
      <c r="C193" s="41">
        <v>7.0</v>
      </c>
      <c r="D193" s="41" t="s">
        <v>35</v>
      </c>
      <c r="E193" s="43" t="s">
        <v>40</v>
      </c>
      <c r="F193" s="30">
        <v>0.0</v>
      </c>
      <c r="H193" s="31">
        <v>0.0</v>
      </c>
      <c r="J193" s="31">
        <v>0.0</v>
      </c>
      <c r="L193" s="31">
        <v>0.0</v>
      </c>
      <c r="N193" s="31">
        <v>0.0</v>
      </c>
      <c r="P193" s="31">
        <v>0.0</v>
      </c>
      <c r="Q193" s="29"/>
      <c r="R193" s="30">
        <v>100.0</v>
      </c>
      <c r="T193" s="31">
        <v>100.0</v>
      </c>
      <c r="V193" s="31">
        <v>0.0</v>
      </c>
      <c r="X193" s="31">
        <v>0.0</v>
      </c>
      <c r="Z193" s="31">
        <v>0.0</v>
      </c>
      <c r="AB193" s="31">
        <v>15.0</v>
      </c>
      <c r="AC193" s="29"/>
      <c r="AD193" s="33"/>
      <c r="AF193" s="34"/>
      <c r="AH193" s="34"/>
      <c r="AJ193" s="34"/>
      <c r="AL193" s="34"/>
      <c r="AN193" s="34"/>
      <c r="AO193" s="29"/>
      <c r="AP193" s="47">
        <f t="shared" si="7"/>
        <v>2804</v>
      </c>
      <c r="AQ193" s="48">
        <f t="shared" si="2"/>
        <v>200</v>
      </c>
      <c r="AR193" s="41">
        <f t="shared" si="3"/>
        <v>15</v>
      </c>
      <c r="AS193" s="41">
        <f t="shared" si="4"/>
        <v>215</v>
      </c>
      <c r="AT193" s="46">
        <f t="shared" si="5"/>
        <v>13.04186047</v>
      </c>
      <c r="AU193" s="37"/>
      <c r="AV193" s="37"/>
      <c r="AW193" s="37"/>
      <c r="AX193" s="37"/>
      <c r="AY193" s="37"/>
    </row>
    <row r="194" ht="15.75" customHeight="1">
      <c r="A194" s="39" t="s">
        <v>28</v>
      </c>
      <c r="B194" s="40">
        <f t="shared" si="6"/>
        <v>44754</v>
      </c>
      <c r="C194" s="41">
        <v>7.0</v>
      </c>
      <c r="D194" s="41" t="s">
        <v>35</v>
      </c>
      <c r="E194" s="43" t="s">
        <v>40</v>
      </c>
      <c r="F194" s="30">
        <v>0.0</v>
      </c>
      <c r="H194" s="31">
        <v>0.0</v>
      </c>
      <c r="J194" s="31">
        <v>0.0</v>
      </c>
      <c r="L194" s="31">
        <v>0.0</v>
      </c>
      <c r="N194" s="31">
        <v>0.0</v>
      </c>
      <c r="P194" s="31">
        <v>0.0</v>
      </c>
      <c r="Q194" s="29"/>
      <c r="R194" s="30">
        <v>100.0</v>
      </c>
      <c r="T194" s="31">
        <v>100.0</v>
      </c>
      <c r="V194" s="31">
        <v>0.0</v>
      </c>
      <c r="X194" s="31">
        <v>0.0</v>
      </c>
      <c r="Z194" s="31">
        <v>0.0</v>
      </c>
      <c r="AB194" s="31">
        <v>15.0</v>
      </c>
      <c r="AC194" s="29"/>
      <c r="AD194" s="33"/>
      <c r="AF194" s="34"/>
      <c r="AH194" s="34"/>
      <c r="AJ194" s="34"/>
      <c r="AL194" s="34"/>
      <c r="AN194" s="34"/>
      <c r="AO194" s="29"/>
      <c r="AP194" s="47">
        <f t="shared" si="7"/>
        <v>2804</v>
      </c>
      <c r="AQ194" s="48">
        <f t="shared" si="2"/>
        <v>200</v>
      </c>
      <c r="AR194" s="41">
        <f t="shared" si="3"/>
        <v>15</v>
      </c>
      <c r="AS194" s="41">
        <f t="shared" si="4"/>
        <v>215</v>
      </c>
      <c r="AT194" s="46">
        <f t="shared" si="5"/>
        <v>13.04186047</v>
      </c>
      <c r="AU194" s="37"/>
      <c r="AV194" s="37"/>
      <c r="AW194" s="37"/>
      <c r="AX194" s="37"/>
      <c r="AY194" s="37"/>
    </row>
    <row r="195" ht="15.75" customHeight="1">
      <c r="A195" s="39" t="s">
        <v>29</v>
      </c>
      <c r="B195" s="40">
        <f t="shared" si="6"/>
        <v>44755</v>
      </c>
      <c r="C195" s="41">
        <v>7.0</v>
      </c>
      <c r="D195" s="41" t="s">
        <v>35</v>
      </c>
      <c r="E195" s="43" t="s">
        <v>40</v>
      </c>
      <c r="F195" s="30">
        <v>0.0</v>
      </c>
      <c r="H195" s="31">
        <v>0.0</v>
      </c>
      <c r="J195" s="31">
        <v>0.0</v>
      </c>
      <c r="L195" s="31">
        <v>0.0</v>
      </c>
      <c r="N195" s="31">
        <v>0.0</v>
      </c>
      <c r="P195" s="31">
        <v>0.0</v>
      </c>
      <c r="Q195" s="29"/>
      <c r="R195" s="30">
        <v>0.0</v>
      </c>
      <c r="T195" s="31">
        <v>100.0</v>
      </c>
      <c r="V195" s="31">
        <v>100.0</v>
      </c>
      <c r="X195" s="31">
        <v>0.0</v>
      </c>
      <c r="Z195" s="31">
        <v>100.0</v>
      </c>
      <c r="AB195" s="31">
        <v>5.0</v>
      </c>
      <c r="AC195" s="29"/>
      <c r="AD195" s="33"/>
      <c r="AF195" s="34"/>
      <c r="AH195" s="34"/>
      <c r="AJ195" s="34"/>
      <c r="AL195" s="34"/>
      <c r="AN195" s="34"/>
      <c r="AO195" s="29"/>
      <c r="AP195" s="47">
        <f t="shared" si="7"/>
        <v>3788</v>
      </c>
      <c r="AQ195" s="48">
        <f t="shared" si="2"/>
        <v>300</v>
      </c>
      <c r="AR195" s="41">
        <f t="shared" si="3"/>
        <v>5</v>
      </c>
      <c r="AS195" s="41">
        <f t="shared" si="4"/>
        <v>305</v>
      </c>
      <c r="AT195" s="46">
        <f t="shared" si="5"/>
        <v>12.41967213</v>
      </c>
      <c r="AU195" s="37"/>
      <c r="AV195" s="37"/>
      <c r="AW195" s="37"/>
      <c r="AX195" s="37"/>
      <c r="AY195" s="37"/>
    </row>
    <row r="196" ht="15.75" customHeight="1">
      <c r="A196" s="39" t="s">
        <v>30</v>
      </c>
      <c r="B196" s="40">
        <f t="shared" si="6"/>
        <v>44756</v>
      </c>
      <c r="C196" s="41">
        <v>7.0</v>
      </c>
      <c r="D196" s="41" t="s">
        <v>35</v>
      </c>
      <c r="E196" s="43" t="s">
        <v>40</v>
      </c>
      <c r="F196" s="30">
        <v>0.0</v>
      </c>
      <c r="H196" s="31">
        <v>0.0</v>
      </c>
      <c r="J196" s="31">
        <v>0.0</v>
      </c>
      <c r="L196" s="31">
        <v>0.0</v>
      </c>
      <c r="N196" s="31">
        <v>0.0</v>
      </c>
      <c r="P196" s="31">
        <v>0.0</v>
      </c>
      <c r="Q196" s="29"/>
      <c r="R196" s="30">
        <v>0.0</v>
      </c>
      <c r="T196" s="31">
        <v>100.0</v>
      </c>
      <c r="V196" s="31">
        <v>100.0</v>
      </c>
      <c r="X196" s="31">
        <v>0.0</v>
      </c>
      <c r="Z196" s="31">
        <v>100.0</v>
      </c>
      <c r="AB196" s="31">
        <v>0.0</v>
      </c>
      <c r="AC196" s="29"/>
      <c r="AD196" s="33"/>
      <c r="AF196" s="34"/>
      <c r="AH196" s="34"/>
      <c r="AJ196" s="34"/>
      <c r="AL196" s="34"/>
      <c r="AN196" s="34"/>
      <c r="AO196" s="29"/>
      <c r="AP196" s="47">
        <f t="shared" si="7"/>
        <v>3760</v>
      </c>
      <c r="AQ196" s="48">
        <f t="shared" si="2"/>
        <v>300</v>
      </c>
      <c r="AR196" s="41">
        <f t="shared" si="3"/>
        <v>0</v>
      </c>
      <c r="AS196" s="41">
        <f t="shared" si="4"/>
        <v>300</v>
      </c>
      <c r="AT196" s="46">
        <f t="shared" si="5"/>
        <v>12.53333333</v>
      </c>
      <c r="AU196" s="37"/>
      <c r="AV196" s="37"/>
      <c r="AW196" s="37"/>
      <c r="AX196" s="37"/>
      <c r="AY196" s="37"/>
    </row>
    <row r="197" ht="15.75" customHeight="1">
      <c r="A197" s="39" t="s">
        <v>31</v>
      </c>
      <c r="B197" s="40">
        <f t="shared" si="6"/>
        <v>44757</v>
      </c>
      <c r="C197" s="41">
        <v>7.0</v>
      </c>
      <c r="D197" s="41" t="s">
        <v>35</v>
      </c>
      <c r="E197" s="43" t="s">
        <v>40</v>
      </c>
      <c r="F197" s="30">
        <v>0.0</v>
      </c>
      <c r="H197" s="31">
        <v>0.0</v>
      </c>
      <c r="J197" s="31">
        <v>0.0</v>
      </c>
      <c r="L197" s="31">
        <v>0.0</v>
      </c>
      <c r="N197" s="31">
        <v>0.0</v>
      </c>
      <c r="P197" s="31">
        <v>0.0</v>
      </c>
      <c r="Q197" s="29"/>
      <c r="R197" s="30">
        <v>25.0</v>
      </c>
      <c r="T197" s="31">
        <v>100.0</v>
      </c>
      <c r="V197" s="31">
        <v>0.0</v>
      </c>
      <c r="X197" s="31">
        <v>0.0</v>
      </c>
      <c r="Z197" s="31">
        <v>100.0</v>
      </c>
      <c r="AB197" s="31">
        <v>0.0</v>
      </c>
      <c r="AC197" s="29"/>
      <c r="AD197" s="33"/>
      <c r="AF197" s="34"/>
      <c r="AH197" s="34"/>
      <c r="AJ197" s="34"/>
      <c r="AL197" s="34"/>
      <c r="AN197" s="34"/>
      <c r="AO197" s="29"/>
      <c r="AP197" s="47">
        <f t="shared" si="7"/>
        <v>2740</v>
      </c>
      <c r="AQ197" s="48">
        <f t="shared" si="2"/>
        <v>225</v>
      </c>
      <c r="AR197" s="41">
        <f t="shared" si="3"/>
        <v>0</v>
      </c>
      <c r="AS197" s="41">
        <f t="shared" si="4"/>
        <v>225</v>
      </c>
      <c r="AT197" s="46">
        <f t="shared" si="5"/>
        <v>12.17777778</v>
      </c>
      <c r="AU197" s="37"/>
      <c r="AV197" s="37"/>
      <c r="AW197" s="37"/>
      <c r="AX197" s="37"/>
      <c r="AY197" s="37"/>
    </row>
    <row r="198" ht="15.75" customHeight="1">
      <c r="A198" s="49" t="s">
        <v>32</v>
      </c>
      <c r="B198" s="50">
        <f t="shared" si="6"/>
        <v>44758</v>
      </c>
      <c r="C198" s="51">
        <v>7.0</v>
      </c>
      <c r="D198" s="51" t="s">
        <v>35</v>
      </c>
      <c r="E198" s="53" t="s">
        <v>40</v>
      </c>
      <c r="F198" s="64">
        <v>0.0</v>
      </c>
      <c r="G198" s="55"/>
      <c r="H198" s="65">
        <v>0.0</v>
      </c>
      <c r="I198" s="55"/>
      <c r="J198" s="65">
        <v>0.0</v>
      </c>
      <c r="K198" s="55"/>
      <c r="L198" s="65">
        <v>0.0</v>
      </c>
      <c r="M198" s="55"/>
      <c r="N198" s="65">
        <v>0.0</v>
      </c>
      <c r="O198" s="55"/>
      <c r="P198" s="65">
        <v>0.0</v>
      </c>
      <c r="Q198" s="58"/>
      <c r="R198" s="64">
        <v>0.0</v>
      </c>
      <c r="S198" s="55"/>
      <c r="T198" s="65">
        <v>0.0</v>
      </c>
      <c r="U198" s="55"/>
      <c r="V198" s="65">
        <v>0.0</v>
      </c>
      <c r="W198" s="55"/>
      <c r="X198" s="65">
        <v>0.0</v>
      </c>
      <c r="Y198" s="55"/>
      <c r="Z198" s="65">
        <v>0.0</v>
      </c>
      <c r="AA198" s="55"/>
      <c r="AB198" s="65">
        <v>0.0</v>
      </c>
      <c r="AC198" s="58"/>
      <c r="AD198" s="66"/>
      <c r="AE198" s="55"/>
      <c r="AF198" s="67"/>
      <c r="AG198" s="55"/>
      <c r="AH198" s="67"/>
      <c r="AI198" s="55"/>
      <c r="AJ198" s="67"/>
      <c r="AK198" s="55"/>
      <c r="AL198" s="67"/>
      <c r="AM198" s="55"/>
      <c r="AN198" s="67"/>
      <c r="AO198" s="58"/>
      <c r="AP198" s="68">
        <f t="shared" si="7"/>
        <v>0</v>
      </c>
      <c r="AQ198" s="69">
        <f t="shared" si="2"/>
        <v>0</v>
      </c>
      <c r="AR198" s="51">
        <f t="shared" si="3"/>
        <v>0</v>
      </c>
      <c r="AS198" s="51">
        <f t="shared" si="4"/>
        <v>0</v>
      </c>
      <c r="AT198" s="61" t="str">
        <f t="shared" si="5"/>
        <v/>
      </c>
      <c r="AU198" s="37"/>
      <c r="AV198" s="37"/>
      <c r="AW198" s="37"/>
      <c r="AX198" s="37"/>
      <c r="AY198" s="37"/>
    </row>
    <row r="199" ht="15.75" customHeight="1">
      <c r="A199" s="21" t="s">
        <v>24</v>
      </c>
      <c r="B199" s="62">
        <f t="shared" si="6"/>
        <v>44759</v>
      </c>
      <c r="C199" s="23">
        <v>8.0</v>
      </c>
      <c r="D199" s="23" t="s">
        <v>25</v>
      </c>
      <c r="E199" s="63" t="s">
        <v>40</v>
      </c>
      <c r="F199" s="30">
        <v>0.0</v>
      </c>
      <c r="H199" s="31">
        <v>0.0</v>
      </c>
      <c r="J199" s="31">
        <v>0.0</v>
      </c>
      <c r="L199" s="31">
        <v>0.0</v>
      </c>
      <c r="N199" s="31">
        <v>0.0</v>
      </c>
      <c r="P199" s="31">
        <v>0.0</v>
      </c>
      <c r="Q199" s="29"/>
      <c r="R199" s="30">
        <v>50.0</v>
      </c>
      <c r="T199" s="31">
        <v>150.0</v>
      </c>
      <c r="V199" s="31">
        <v>150.0</v>
      </c>
      <c r="X199" s="31">
        <v>0.0</v>
      </c>
      <c r="Z199" s="31">
        <v>150.0</v>
      </c>
      <c r="AB199" s="31">
        <v>0.0</v>
      </c>
      <c r="AC199" s="29"/>
      <c r="AD199" s="33"/>
      <c r="AF199" s="34"/>
      <c r="AH199" s="34"/>
      <c r="AJ199" s="34"/>
      <c r="AL199" s="34"/>
      <c r="AN199" s="34"/>
      <c r="AO199" s="29"/>
      <c r="AP199" s="38">
        <f t="shared" si="7"/>
        <v>6320</v>
      </c>
      <c r="AQ199" s="44">
        <f t="shared" si="2"/>
        <v>500</v>
      </c>
      <c r="AR199" s="23">
        <f t="shared" si="3"/>
        <v>0</v>
      </c>
      <c r="AS199" s="23">
        <f t="shared" si="4"/>
        <v>500</v>
      </c>
      <c r="AT199" s="36">
        <f t="shared" si="5"/>
        <v>12.64</v>
      </c>
      <c r="AU199" s="37"/>
      <c r="AV199" s="37"/>
      <c r="AW199" s="37"/>
      <c r="AX199" s="37"/>
      <c r="AY199" s="37"/>
    </row>
    <row r="200" ht="15.75" customHeight="1">
      <c r="A200" s="39" t="s">
        <v>27</v>
      </c>
      <c r="B200" s="40">
        <f t="shared" si="6"/>
        <v>44760</v>
      </c>
      <c r="C200" s="41">
        <v>8.0</v>
      </c>
      <c r="D200" s="41" t="s">
        <v>25</v>
      </c>
      <c r="E200" s="43" t="s">
        <v>40</v>
      </c>
      <c r="F200" s="30">
        <v>0.0</v>
      </c>
      <c r="H200" s="31">
        <v>0.0</v>
      </c>
      <c r="J200" s="31">
        <v>0.0</v>
      </c>
      <c r="L200" s="31">
        <v>0.0</v>
      </c>
      <c r="N200" s="31">
        <v>0.0</v>
      </c>
      <c r="P200" s="31">
        <v>0.0</v>
      </c>
      <c r="Q200" s="29"/>
      <c r="R200" s="30">
        <v>50.0</v>
      </c>
      <c r="T200" s="31">
        <v>150.0</v>
      </c>
      <c r="V200" s="31">
        <v>100.0</v>
      </c>
      <c r="X200" s="31">
        <v>0.0</v>
      </c>
      <c r="Z200" s="31">
        <v>100.0</v>
      </c>
      <c r="AB200" s="31">
        <v>40.0</v>
      </c>
      <c r="AC200" s="29"/>
      <c r="AD200" s="33"/>
      <c r="AF200" s="34"/>
      <c r="AH200" s="34"/>
      <c r="AJ200" s="34"/>
      <c r="AL200" s="34"/>
      <c r="AN200" s="34"/>
      <c r="AO200" s="29"/>
      <c r="AP200" s="47">
        <f t="shared" si="7"/>
        <v>5344</v>
      </c>
      <c r="AQ200" s="48">
        <f t="shared" si="2"/>
        <v>400</v>
      </c>
      <c r="AR200" s="41">
        <f t="shared" si="3"/>
        <v>40</v>
      </c>
      <c r="AS200" s="41">
        <f t="shared" si="4"/>
        <v>440</v>
      </c>
      <c r="AT200" s="46">
        <f t="shared" si="5"/>
        <v>12.14545455</v>
      </c>
      <c r="AU200" s="37"/>
      <c r="AV200" s="37"/>
      <c r="AW200" s="37"/>
      <c r="AX200" s="37"/>
      <c r="AY200" s="37"/>
    </row>
    <row r="201" ht="15.75" customHeight="1">
      <c r="A201" s="39" t="s">
        <v>28</v>
      </c>
      <c r="B201" s="40">
        <f t="shared" si="6"/>
        <v>44761</v>
      </c>
      <c r="C201" s="41">
        <v>8.0</v>
      </c>
      <c r="D201" s="41" t="s">
        <v>25</v>
      </c>
      <c r="E201" s="43" t="s">
        <v>40</v>
      </c>
      <c r="F201" s="30">
        <v>0.0</v>
      </c>
      <c r="H201" s="31">
        <v>0.0</v>
      </c>
      <c r="J201" s="31">
        <v>0.0</v>
      </c>
      <c r="L201" s="31">
        <v>0.0</v>
      </c>
      <c r="N201" s="31">
        <v>0.0</v>
      </c>
      <c r="P201" s="31">
        <v>0.0</v>
      </c>
      <c r="Q201" s="29"/>
      <c r="R201" s="30">
        <v>150.0</v>
      </c>
      <c r="T201" s="31">
        <v>150.0</v>
      </c>
      <c r="V201" s="31">
        <v>0.0</v>
      </c>
      <c r="X201" s="31">
        <v>0.0</v>
      </c>
      <c r="Z201" s="31">
        <v>0.0</v>
      </c>
      <c r="AB201" s="31">
        <v>65.0</v>
      </c>
      <c r="AC201" s="29"/>
      <c r="AD201" s="33"/>
      <c r="AF201" s="34"/>
      <c r="AH201" s="34"/>
      <c r="AJ201" s="34"/>
      <c r="AL201" s="34"/>
      <c r="AN201" s="34"/>
      <c r="AO201" s="29"/>
      <c r="AP201" s="47">
        <f t="shared" si="7"/>
        <v>4444</v>
      </c>
      <c r="AQ201" s="48">
        <f t="shared" si="2"/>
        <v>300</v>
      </c>
      <c r="AR201" s="41">
        <f t="shared" si="3"/>
        <v>65</v>
      </c>
      <c r="AS201" s="41">
        <f t="shared" si="4"/>
        <v>365</v>
      </c>
      <c r="AT201" s="46">
        <f t="shared" si="5"/>
        <v>12.17534247</v>
      </c>
      <c r="AU201" s="37"/>
      <c r="AV201" s="37"/>
      <c r="AW201" s="37"/>
      <c r="AX201" s="37"/>
      <c r="AY201" s="37"/>
    </row>
    <row r="202" ht="15.75" customHeight="1">
      <c r="A202" s="39" t="s">
        <v>29</v>
      </c>
      <c r="B202" s="40">
        <f t="shared" si="6"/>
        <v>44762</v>
      </c>
      <c r="C202" s="41">
        <v>8.0</v>
      </c>
      <c r="D202" s="41" t="s">
        <v>25</v>
      </c>
      <c r="E202" s="43" t="s">
        <v>40</v>
      </c>
      <c r="F202" s="30">
        <v>0.0</v>
      </c>
      <c r="H202" s="31">
        <v>0.0</v>
      </c>
      <c r="J202" s="31">
        <v>0.0</v>
      </c>
      <c r="L202" s="31">
        <v>0.0</v>
      </c>
      <c r="N202" s="31">
        <v>0.0</v>
      </c>
      <c r="P202" s="31">
        <v>0.0</v>
      </c>
      <c r="Q202" s="29"/>
      <c r="R202" s="30">
        <v>50.0</v>
      </c>
      <c r="T202" s="31">
        <v>150.0</v>
      </c>
      <c r="V202" s="31">
        <v>100.0</v>
      </c>
      <c r="X202" s="31">
        <v>0.0</v>
      </c>
      <c r="Z202" s="31">
        <v>100.0</v>
      </c>
      <c r="AB202" s="31">
        <v>30.0</v>
      </c>
      <c r="AC202" s="29"/>
      <c r="AD202" s="33"/>
      <c r="AF202" s="34"/>
      <c r="AH202" s="34"/>
      <c r="AJ202" s="34"/>
      <c r="AL202" s="34"/>
      <c r="AN202" s="34"/>
      <c r="AO202" s="29"/>
      <c r="AP202" s="47">
        <f t="shared" si="7"/>
        <v>5288</v>
      </c>
      <c r="AQ202" s="48">
        <f t="shared" si="2"/>
        <v>400</v>
      </c>
      <c r="AR202" s="41">
        <f t="shared" si="3"/>
        <v>30</v>
      </c>
      <c r="AS202" s="41">
        <f t="shared" si="4"/>
        <v>430</v>
      </c>
      <c r="AT202" s="46">
        <f t="shared" si="5"/>
        <v>12.29767442</v>
      </c>
      <c r="AU202" s="37"/>
      <c r="AV202" s="37"/>
      <c r="AW202" s="37"/>
      <c r="AX202" s="37"/>
      <c r="AY202" s="37"/>
    </row>
    <row r="203" ht="15.75" customHeight="1">
      <c r="A203" s="39" t="s">
        <v>30</v>
      </c>
      <c r="B203" s="40">
        <f t="shared" si="6"/>
        <v>44763</v>
      </c>
      <c r="C203" s="41">
        <v>8.0</v>
      </c>
      <c r="D203" s="41" t="s">
        <v>25</v>
      </c>
      <c r="E203" s="43" t="s">
        <v>40</v>
      </c>
      <c r="F203" s="30">
        <v>0.0</v>
      </c>
      <c r="H203" s="31">
        <v>0.0</v>
      </c>
      <c r="J203" s="31">
        <v>0.0</v>
      </c>
      <c r="L203" s="31">
        <v>0.0</v>
      </c>
      <c r="N203" s="31">
        <v>0.0</v>
      </c>
      <c r="P203" s="31">
        <v>0.0</v>
      </c>
      <c r="Q203" s="29"/>
      <c r="R203" s="30">
        <v>50.0</v>
      </c>
      <c r="T203" s="31">
        <v>150.0</v>
      </c>
      <c r="V203" s="31">
        <v>120.0</v>
      </c>
      <c r="X203" s="31">
        <v>0.0</v>
      </c>
      <c r="Z203" s="31">
        <v>150.0</v>
      </c>
      <c r="AB203" s="31">
        <v>15.0</v>
      </c>
      <c r="AC203" s="29"/>
      <c r="AD203" s="33"/>
      <c r="AF203" s="34"/>
      <c r="AH203" s="34"/>
      <c r="AJ203" s="34"/>
      <c r="AL203" s="34"/>
      <c r="AN203" s="34"/>
      <c r="AO203" s="29"/>
      <c r="AP203" s="47">
        <f t="shared" si="7"/>
        <v>5996</v>
      </c>
      <c r="AQ203" s="48">
        <f t="shared" si="2"/>
        <v>470</v>
      </c>
      <c r="AR203" s="41">
        <f t="shared" si="3"/>
        <v>15</v>
      </c>
      <c r="AS203" s="41">
        <f t="shared" si="4"/>
        <v>485</v>
      </c>
      <c r="AT203" s="46">
        <f t="shared" si="5"/>
        <v>12.3628866</v>
      </c>
      <c r="AU203" s="37"/>
      <c r="AV203" s="37"/>
      <c r="AW203" s="37"/>
      <c r="AX203" s="37"/>
      <c r="AY203" s="37"/>
    </row>
    <row r="204" ht="15.75" customHeight="1">
      <c r="A204" s="39" t="s">
        <v>31</v>
      </c>
      <c r="B204" s="40">
        <f t="shared" si="6"/>
        <v>44764</v>
      </c>
      <c r="C204" s="41">
        <v>8.0</v>
      </c>
      <c r="D204" s="41" t="s">
        <v>25</v>
      </c>
      <c r="E204" s="43" t="s">
        <v>40</v>
      </c>
      <c r="F204" s="30">
        <v>0.0</v>
      </c>
      <c r="H204" s="31">
        <v>0.0</v>
      </c>
      <c r="J204" s="31">
        <v>0.0</v>
      </c>
      <c r="L204" s="31">
        <v>0.0</v>
      </c>
      <c r="N204" s="31">
        <v>0.0</v>
      </c>
      <c r="P204" s="31">
        <v>0.0</v>
      </c>
      <c r="Q204" s="29"/>
      <c r="R204" s="30">
        <v>150.0</v>
      </c>
      <c r="T204" s="31">
        <v>150.0</v>
      </c>
      <c r="V204" s="31">
        <v>0.0</v>
      </c>
      <c r="X204" s="31">
        <v>0.0</v>
      </c>
      <c r="Z204" s="31">
        <v>0.0</v>
      </c>
      <c r="AB204" s="31">
        <v>15.0</v>
      </c>
      <c r="AC204" s="29"/>
      <c r="AD204" s="33"/>
      <c r="AF204" s="34"/>
      <c r="AH204" s="34"/>
      <c r="AJ204" s="34"/>
      <c r="AL204" s="34"/>
      <c r="AN204" s="34"/>
      <c r="AO204" s="29"/>
      <c r="AP204" s="47">
        <f t="shared" si="7"/>
        <v>4164</v>
      </c>
      <c r="AQ204" s="48">
        <f t="shared" si="2"/>
        <v>300</v>
      </c>
      <c r="AR204" s="41">
        <f t="shared" si="3"/>
        <v>15</v>
      </c>
      <c r="AS204" s="41">
        <f t="shared" si="4"/>
        <v>315</v>
      </c>
      <c r="AT204" s="46">
        <f t="shared" si="5"/>
        <v>13.21904762</v>
      </c>
      <c r="AU204" s="37"/>
      <c r="AV204" s="37"/>
      <c r="AW204" s="37"/>
      <c r="AX204" s="37"/>
      <c r="AY204" s="37"/>
    </row>
    <row r="205" ht="15.75" customHeight="1">
      <c r="A205" s="49" t="s">
        <v>32</v>
      </c>
      <c r="B205" s="50">
        <f t="shared" si="6"/>
        <v>44765</v>
      </c>
      <c r="C205" s="51">
        <v>8.0</v>
      </c>
      <c r="D205" s="51" t="s">
        <v>25</v>
      </c>
      <c r="E205" s="53" t="s">
        <v>40</v>
      </c>
      <c r="F205" s="64">
        <v>0.0</v>
      </c>
      <c r="G205" s="55"/>
      <c r="H205" s="65">
        <v>0.0</v>
      </c>
      <c r="I205" s="55"/>
      <c r="J205" s="65">
        <v>0.0</v>
      </c>
      <c r="K205" s="55"/>
      <c r="L205" s="65">
        <v>0.0</v>
      </c>
      <c r="M205" s="55"/>
      <c r="N205" s="65">
        <v>0.0</v>
      </c>
      <c r="O205" s="55"/>
      <c r="P205" s="65">
        <v>0.0</v>
      </c>
      <c r="Q205" s="58"/>
      <c r="R205" s="64">
        <v>0.0</v>
      </c>
      <c r="S205" s="55"/>
      <c r="T205" s="65">
        <v>0.0</v>
      </c>
      <c r="U205" s="55"/>
      <c r="V205" s="65">
        <v>0.0</v>
      </c>
      <c r="W205" s="55"/>
      <c r="X205" s="65">
        <v>0.0</v>
      </c>
      <c r="Y205" s="55"/>
      <c r="Z205" s="65">
        <v>0.0</v>
      </c>
      <c r="AA205" s="55"/>
      <c r="AB205" s="65">
        <v>0.0</v>
      </c>
      <c r="AC205" s="58"/>
      <c r="AD205" s="66"/>
      <c r="AE205" s="55"/>
      <c r="AF205" s="67"/>
      <c r="AG205" s="55"/>
      <c r="AH205" s="67"/>
      <c r="AI205" s="55"/>
      <c r="AJ205" s="67"/>
      <c r="AK205" s="55"/>
      <c r="AL205" s="67"/>
      <c r="AM205" s="55"/>
      <c r="AN205" s="67"/>
      <c r="AO205" s="58"/>
      <c r="AP205" s="68">
        <f t="shared" si="7"/>
        <v>0</v>
      </c>
      <c r="AQ205" s="69">
        <f t="shared" si="2"/>
        <v>0</v>
      </c>
      <c r="AR205" s="51">
        <f t="shared" si="3"/>
        <v>0</v>
      </c>
      <c r="AS205" s="51">
        <f t="shared" si="4"/>
        <v>0</v>
      </c>
      <c r="AT205" s="61" t="str">
        <f t="shared" si="5"/>
        <v/>
      </c>
      <c r="AU205" s="37"/>
      <c r="AV205" s="37"/>
      <c r="AW205" s="37"/>
      <c r="AX205" s="37"/>
      <c r="AY205" s="37"/>
    </row>
    <row r="206" ht="15.75" customHeight="1">
      <c r="A206" s="21" t="s">
        <v>24</v>
      </c>
      <c r="B206" s="62">
        <f t="shared" si="6"/>
        <v>44766</v>
      </c>
      <c r="C206" s="23">
        <v>8.0</v>
      </c>
      <c r="D206" s="23" t="s">
        <v>33</v>
      </c>
      <c r="E206" s="63" t="s">
        <v>40</v>
      </c>
      <c r="F206" s="30">
        <v>0.0</v>
      </c>
      <c r="H206" s="31">
        <v>0.0</v>
      </c>
      <c r="J206" s="31">
        <v>0.0</v>
      </c>
      <c r="L206" s="31">
        <v>0.0</v>
      </c>
      <c r="N206" s="31">
        <v>0.0</v>
      </c>
      <c r="P206" s="31">
        <v>0.0</v>
      </c>
      <c r="Q206" s="29"/>
      <c r="R206" s="30">
        <v>0.0</v>
      </c>
      <c r="T206" s="31">
        <v>120.0</v>
      </c>
      <c r="V206" s="31">
        <v>120.0</v>
      </c>
      <c r="X206" s="31">
        <v>0.0</v>
      </c>
      <c r="Z206" s="31">
        <v>120.0</v>
      </c>
      <c r="AB206" s="31">
        <v>0.0</v>
      </c>
      <c r="AC206" s="29"/>
      <c r="AD206" s="33"/>
      <c r="AF206" s="34"/>
      <c r="AH206" s="34"/>
      <c r="AJ206" s="34"/>
      <c r="AL206" s="34"/>
      <c r="AN206" s="34"/>
      <c r="AO206" s="29"/>
      <c r="AP206" s="38">
        <f t="shared" si="7"/>
        <v>4512</v>
      </c>
      <c r="AQ206" s="44">
        <f t="shared" si="2"/>
        <v>360</v>
      </c>
      <c r="AR206" s="23">
        <f t="shared" si="3"/>
        <v>0</v>
      </c>
      <c r="AS206" s="23">
        <f t="shared" si="4"/>
        <v>360</v>
      </c>
      <c r="AT206" s="36">
        <f t="shared" si="5"/>
        <v>12.53333333</v>
      </c>
      <c r="AU206" s="37"/>
      <c r="AV206" s="37"/>
      <c r="AW206" s="37"/>
      <c r="AX206" s="37"/>
      <c r="AY206" s="37"/>
    </row>
    <row r="207" ht="15.75" customHeight="1">
      <c r="A207" s="39" t="s">
        <v>27</v>
      </c>
      <c r="B207" s="40">
        <f t="shared" si="6"/>
        <v>44767</v>
      </c>
      <c r="C207" s="41">
        <v>8.0</v>
      </c>
      <c r="D207" s="41" t="s">
        <v>33</v>
      </c>
      <c r="E207" s="43" t="s">
        <v>40</v>
      </c>
      <c r="F207" s="30">
        <v>0.0</v>
      </c>
      <c r="H207" s="31">
        <v>0.0</v>
      </c>
      <c r="J207" s="31">
        <v>0.0</v>
      </c>
      <c r="L207" s="31">
        <v>0.0</v>
      </c>
      <c r="N207" s="31">
        <v>0.0</v>
      </c>
      <c r="P207" s="31">
        <v>0.0</v>
      </c>
      <c r="Q207" s="29"/>
      <c r="R207" s="30">
        <v>0.0</v>
      </c>
      <c r="T207" s="31">
        <v>120.0</v>
      </c>
      <c r="V207" s="31">
        <v>120.0</v>
      </c>
      <c r="X207" s="31">
        <v>0.0</v>
      </c>
      <c r="Z207" s="31">
        <v>120.0</v>
      </c>
      <c r="AB207" s="31">
        <v>0.0</v>
      </c>
      <c r="AC207" s="29"/>
      <c r="AD207" s="33"/>
      <c r="AF207" s="34"/>
      <c r="AH207" s="34"/>
      <c r="AJ207" s="34"/>
      <c r="AL207" s="34"/>
      <c r="AN207" s="34"/>
      <c r="AO207" s="29"/>
      <c r="AP207" s="47">
        <f t="shared" si="7"/>
        <v>4512</v>
      </c>
      <c r="AQ207" s="48">
        <f t="shared" si="2"/>
        <v>360</v>
      </c>
      <c r="AR207" s="41">
        <f t="shared" si="3"/>
        <v>0</v>
      </c>
      <c r="AS207" s="41">
        <f t="shared" si="4"/>
        <v>360</v>
      </c>
      <c r="AT207" s="46">
        <f t="shared" si="5"/>
        <v>12.53333333</v>
      </c>
      <c r="AU207" s="37"/>
      <c r="AV207" s="37"/>
      <c r="AW207" s="37"/>
      <c r="AX207" s="37"/>
      <c r="AY207" s="37"/>
    </row>
    <row r="208" ht="15.75" customHeight="1">
      <c r="A208" s="39" t="s">
        <v>28</v>
      </c>
      <c r="B208" s="40">
        <f t="shared" si="6"/>
        <v>44768</v>
      </c>
      <c r="C208" s="41">
        <v>8.0</v>
      </c>
      <c r="D208" s="41" t="s">
        <v>33</v>
      </c>
      <c r="E208" s="43" t="s">
        <v>40</v>
      </c>
      <c r="F208" s="30">
        <v>0.0</v>
      </c>
      <c r="H208" s="31">
        <v>0.0</v>
      </c>
      <c r="J208" s="31">
        <v>0.0</v>
      </c>
      <c r="L208" s="31">
        <v>0.0</v>
      </c>
      <c r="N208" s="31">
        <v>0.0</v>
      </c>
      <c r="P208" s="31">
        <v>0.0</v>
      </c>
      <c r="Q208" s="29"/>
      <c r="R208" s="30">
        <v>25.0</v>
      </c>
      <c r="T208" s="31">
        <v>120.0</v>
      </c>
      <c r="V208" s="31">
        <v>0.0</v>
      </c>
      <c r="X208" s="31">
        <v>0.0</v>
      </c>
      <c r="Z208" s="31">
        <v>120.0</v>
      </c>
      <c r="AB208" s="31">
        <v>0.0</v>
      </c>
      <c r="AC208" s="29"/>
      <c r="AD208" s="33"/>
      <c r="AF208" s="34"/>
      <c r="AH208" s="34"/>
      <c r="AJ208" s="34"/>
      <c r="AL208" s="34"/>
      <c r="AN208" s="34"/>
      <c r="AO208" s="29"/>
      <c r="AP208" s="47">
        <f t="shared" si="7"/>
        <v>3220</v>
      </c>
      <c r="AQ208" s="48">
        <f t="shared" si="2"/>
        <v>265</v>
      </c>
      <c r="AR208" s="41">
        <f t="shared" si="3"/>
        <v>0</v>
      </c>
      <c r="AS208" s="41">
        <f t="shared" si="4"/>
        <v>265</v>
      </c>
      <c r="AT208" s="46">
        <f t="shared" si="5"/>
        <v>12.1509434</v>
      </c>
      <c r="AU208" s="37"/>
      <c r="AV208" s="37"/>
      <c r="AW208" s="37"/>
      <c r="AX208" s="37"/>
      <c r="AY208" s="37"/>
    </row>
    <row r="209" ht="15.75" customHeight="1">
      <c r="A209" s="39" t="s">
        <v>29</v>
      </c>
      <c r="B209" s="40">
        <f t="shared" si="6"/>
        <v>44769</v>
      </c>
      <c r="C209" s="41">
        <v>8.0</v>
      </c>
      <c r="D209" s="41" t="s">
        <v>33</v>
      </c>
      <c r="E209" s="43" t="s">
        <v>40</v>
      </c>
      <c r="F209" s="30">
        <v>0.0</v>
      </c>
      <c r="H209" s="31">
        <v>0.0</v>
      </c>
      <c r="J209" s="31">
        <v>0.0</v>
      </c>
      <c r="L209" s="31">
        <v>0.0</v>
      </c>
      <c r="N209" s="31">
        <v>0.0</v>
      </c>
      <c r="P209" s="31">
        <v>0.0</v>
      </c>
      <c r="Q209" s="29"/>
      <c r="R209" s="30">
        <v>0.0</v>
      </c>
      <c r="T209" s="31">
        <v>120.0</v>
      </c>
      <c r="V209" s="31">
        <v>0.0</v>
      </c>
      <c r="X209" s="31">
        <v>0.0</v>
      </c>
      <c r="Z209" s="31">
        <v>120.0</v>
      </c>
      <c r="AB209" s="31">
        <v>0.0</v>
      </c>
      <c r="AC209" s="29"/>
      <c r="AD209" s="33"/>
      <c r="AF209" s="34"/>
      <c r="AH209" s="34"/>
      <c r="AJ209" s="34"/>
      <c r="AL209" s="34"/>
      <c r="AN209" s="34"/>
      <c r="AO209" s="29"/>
      <c r="AP209" s="47">
        <f t="shared" si="7"/>
        <v>2880</v>
      </c>
      <c r="AQ209" s="48">
        <f t="shared" si="2"/>
        <v>240</v>
      </c>
      <c r="AR209" s="41">
        <f t="shared" si="3"/>
        <v>0</v>
      </c>
      <c r="AS209" s="41">
        <f t="shared" si="4"/>
        <v>240</v>
      </c>
      <c r="AT209" s="46">
        <f t="shared" si="5"/>
        <v>12</v>
      </c>
      <c r="AU209" s="37"/>
      <c r="AV209" s="37"/>
      <c r="AW209" s="37"/>
      <c r="AX209" s="37"/>
      <c r="AY209" s="37"/>
    </row>
    <row r="210" ht="15.75" customHeight="1">
      <c r="A210" s="39" t="s">
        <v>30</v>
      </c>
      <c r="B210" s="40">
        <f t="shared" si="6"/>
        <v>44770</v>
      </c>
      <c r="C210" s="41">
        <v>8.0</v>
      </c>
      <c r="D210" s="41" t="s">
        <v>33</v>
      </c>
      <c r="E210" s="43" t="s">
        <v>40</v>
      </c>
      <c r="F210" s="30">
        <v>0.0</v>
      </c>
      <c r="H210" s="31">
        <v>0.0</v>
      </c>
      <c r="J210" s="31">
        <v>0.0</v>
      </c>
      <c r="L210" s="31">
        <v>0.0</v>
      </c>
      <c r="N210" s="31">
        <v>0.0</v>
      </c>
      <c r="P210" s="31">
        <v>0.0</v>
      </c>
      <c r="Q210" s="29"/>
      <c r="R210" s="30">
        <v>0.0</v>
      </c>
      <c r="T210" s="31">
        <v>120.0</v>
      </c>
      <c r="V210" s="31">
        <v>120.0</v>
      </c>
      <c r="X210" s="31">
        <v>0.0</v>
      </c>
      <c r="Z210" s="31">
        <v>120.0</v>
      </c>
      <c r="AB210" s="31">
        <v>0.0</v>
      </c>
      <c r="AC210" s="29"/>
      <c r="AD210" s="33"/>
      <c r="AF210" s="34"/>
      <c r="AH210" s="34"/>
      <c r="AJ210" s="34"/>
      <c r="AL210" s="34"/>
      <c r="AN210" s="34"/>
      <c r="AO210" s="29"/>
      <c r="AP210" s="47">
        <f t="shared" si="7"/>
        <v>4512</v>
      </c>
      <c r="AQ210" s="48">
        <f t="shared" si="2"/>
        <v>360</v>
      </c>
      <c r="AR210" s="41">
        <f t="shared" si="3"/>
        <v>0</v>
      </c>
      <c r="AS210" s="41">
        <f t="shared" si="4"/>
        <v>360</v>
      </c>
      <c r="AT210" s="46">
        <f t="shared" si="5"/>
        <v>12.53333333</v>
      </c>
      <c r="AU210" s="37"/>
      <c r="AV210" s="37"/>
      <c r="AW210" s="37"/>
      <c r="AX210" s="37"/>
      <c r="AY210" s="37"/>
    </row>
    <row r="211" ht="15.75" customHeight="1">
      <c r="A211" s="39" t="s">
        <v>31</v>
      </c>
      <c r="B211" s="40">
        <f t="shared" si="6"/>
        <v>44771</v>
      </c>
      <c r="C211" s="41">
        <v>8.0</v>
      </c>
      <c r="D211" s="41" t="s">
        <v>33</v>
      </c>
      <c r="E211" s="43" t="s">
        <v>40</v>
      </c>
      <c r="F211" s="30">
        <v>0.0</v>
      </c>
      <c r="H211" s="31">
        <v>0.0</v>
      </c>
      <c r="J211" s="31">
        <v>0.0</v>
      </c>
      <c r="L211" s="31">
        <v>0.0</v>
      </c>
      <c r="N211" s="31">
        <v>0.0</v>
      </c>
      <c r="P211" s="31">
        <v>0.0</v>
      </c>
      <c r="Q211" s="29"/>
      <c r="R211" s="30">
        <v>120.0</v>
      </c>
      <c r="T211" s="31">
        <v>120.0</v>
      </c>
      <c r="V211" s="31">
        <v>0.0</v>
      </c>
      <c r="X211" s="31">
        <v>0.0</v>
      </c>
      <c r="Z211" s="31">
        <v>0.0</v>
      </c>
      <c r="AB211" s="31">
        <v>10.0</v>
      </c>
      <c r="AC211" s="29"/>
      <c r="AD211" s="33"/>
      <c r="AF211" s="34"/>
      <c r="AH211" s="34"/>
      <c r="AJ211" s="34"/>
      <c r="AL211" s="34"/>
      <c r="AN211" s="34"/>
      <c r="AO211" s="29"/>
      <c r="AP211" s="47">
        <f t="shared" si="7"/>
        <v>3320</v>
      </c>
      <c r="AQ211" s="48">
        <f t="shared" si="2"/>
        <v>240</v>
      </c>
      <c r="AR211" s="41">
        <f t="shared" si="3"/>
        <v>10</v>
      </c>
      <c r="AS211" s="41">
        <f t="shared" si="4"/>
        <v>250</v>
      </c>
      <c r="AT211" s="46">
        <f t="shared" si="5"/>
        <v>13.28</v>
      </c>
      <c r="AU211" s="37"/>
      <c r="AV211" s="37"/>
      <c r="AW211" s="37"/>
      <c r="AX211" s="37"/>
      <c r="AY211" s="37"/>
    </row>
    <row r="212" ht="15.75" customHeight="1">
      <c r="A212" s="49" t="s">
        <v>32</v>
      </c>
      <c r="B212" s="50">
        <f t="shared" si="6"/>
        <v>44772</v>
      </c>
      <c r="C212" s="51">
        <v>8.0</v>
      </c>
      <c r="D212" s="51" t="s">
        <v>33</v>
      </c>
      <c r="E212" s="53" t="s">
        <v>40</v>
      </c>
      <c r="F212" s="64">
        <v>0.0</v>
      </c>
      <c r="G212" s="55"/>
      <c r="H212" s="65">
        <v>0.0</v>
      </c>
      <c r="I212" s="55"/>
      <c r="J212" s="65">
        <v>0.0</v>
      </c>
      <c r="K212" s="55"/>
      <c r="L212" s="65">
        <v>0.0</v>
      </c>
      <c r="M212" s="55"/>
      <c r="N212" s="65">
        <v>0.0</v>
      </c>
      <c r="O212" s="55"/>
      <c r="P212" s="65">
        <v>0.0</v>
      </c>
      <c r="Q212" s="58"/>
      <c r="R212" s="64">
        <v>0.0</v>
      </c>
      <c r="S212" s="55"/>
      <c r="T212" s="65">
        <v>0.0</v>
      </c>
      <c r="U212" s="55"/>
      <c r="V212" s="65">
        <v>0.0</v>
      </c>
      <c r="W212" s="55"/>
      <c r="X212" s="65">
        <v>0.0</v>
      </c>
      <c r="Y212" s="55"/>
      <c r="Z212" s="65">
        <v>0.0</v>
      </c>
      <c r="AA212" s="55"/>
      <c r="AB212" s="65">
        <v>0.0</v>
      </c>
      <c r="AC212" s="58"/>
      <c r="AD212" s="66"/>
      <c r="AE212" s="55"/>
      <c r="AF212" s="67"/>
      <c r="AG212" s="55"/>
      <c r="AH212" s="67"/>
      <c r="AI212" s="55"/>
      <c r="AJ212" s="67"/>
      <c r="AK212" s="55"/>
      <c r="AL212" s="67"/>
      <c r="AM212" s="55"/>
      <c r="AN212" s="67"/>
      <c r="AO212" s="58"/>
      <c r="AP212" s="68">
        <f t="shared" si="7"/>
        <v>0</v>
      </c>
      <c r="AQ212" s="69">
        <f t="shared" si="2"/>
        <v>0</v>
      </c>
      <c r="AR212" s="51">
        <f t="shared" si="3"/>
        <v>0</v>
      </c>
      <c r="AS212" s="51">
        <f t="shared" si="4"/>
        <v>0</v>
      </c>
      <c r="AT212" s="61" t="str">
        <f t="shared" si="5"/>
        <v/>
      </c>
      <c r="AU212" s="37"/>
      <c r="AV212" s="37"/>
      <c r="AW212" s="37"/>
      <c r="AX212" s="37"/>
      <c r="AY212" s="37"/>
    </row>
    <row r="213" ht="15.75" customHeight="1">
      <c r="A213" s="21" t="s">
        <v>24</v>
      </c>
      <c r="B213" s="62">
        <f t="shared" si="6"/>
        <v>44773</v>
      </c>
      <c r="C213" s="23">
        <v>8.0</v>
      </c>
      <c r="D213" s="23" t="s">
        <v>34</v>
      </c>
      <c r="E213" s="63" t="s">
        <v>40</v>
      </c>
      <c r="F213" s="30">
        <v>0.0</v>
      </c>
      <c r="H213" s="31">
        <v>0.0</v>
      </c>
      <c r="J213" s="31">
        <v>0.0</v>
      </c>
      <c r="L213" s="31">
        <v>0.0</v>
      </c>
      <c r="N213" s="31">
        <v>0.0</v>
      </c>
      <c r="P213" s="31">
        <v>0.0</v>
      </c>
      <c r="Q213" s="29"/>
      <c r="R213" s="30">
        <v>0.0</v>
      </c>
      <c r="T213" s="31">
        <v>120.0</v>
      </c>
      <c r="V213" s="31">
        <v>0.0</v>
      </c>
      <c r="X213" s="31">
        <v>0.0</v>
      </c>
      <c r="Z213" s="31">
        <v>120.0</v>
      </c>
      <c r="AB213" s="31">
        <v>10.0</v>
      </c>
      <c r="AC213" s="29"/>
      <c r="AD213" s="33"/>
      <c r="AF213" s="34"/>
      <c r="AH213" s="34"/>
      <c r="AJ213" s="34"/>
      <c r="AL213" s="34"/>
      <c r="AN213" s="34"/>
      <c r="AO213" s="29"/>
      <c r="AP213" s="38">
        <f t="shared" si="7"/>
        <v>2936</v>
      </c>
      <c r="AQ213" s="44">
        <f t="shared" si="2"/>
        <v>240</v>
      </c>
      <c r="AR213" s="23">
        <f t="shared" si="3"/>
        <v>10</v>
      </c>
      <c r="AS213" s="23">
        <f t="shared" si="4"/>
        <v>250</v>
      </c>
      <c r="AT213" s="36">
        <f t="shared" si="5"/>
        <v>11.744</v>
      </c>
      <c r="AU213" s="37"/>
      <c r="AV213" s="37"/>
      <c r="AW213" s="37"/>
      <c r="AX213" s="37"/>
      <c r="AY213" s="37"/>
    </row>
    <row r="214" ht="15.75" customHeight="1">
      <c r="A214" s="39" t="s">
        <v>27</v>
      </c>
      <c r="B214" s="40">
        <f t="shared" si="6"/>
        <v>44774</v>
      </c>
      <c r="C214" s="41">
        <v>8.0</v>
      </c>
      <c r="D214" s="41" t="s">
        <v>34</v>
      </c>
      <c r="E214" s="43" t="s">
        <v>40</v>
      </c>
      <c r="F214" s="30">
        <v>0.0</v>
      </c>
      <c r="H214" s="31">
        <v>0.0</v>
      </c>
      <c r="J214" s="31">
        <v>0.0</v>
      </c>
      <c r="L214" s="31">
        <v>0.0</v>
      </c>
      <c r="N214" s="31">
        <v>0.0</v>
      </c>
      <c r="P214" s="31">
        <v>0.0</v>
      </c>
      <c r="Q214" s="29"/>
      <c r="R214" s="30">
        <v>0.0</v>
      </c>
      <c r="T214" s="31">
        <v>120.0</v>
      </c>
      <c r="V214" s="31">
        <v>120.0</v>
      </c>
      <c r="X214" s="31">
        <v>0.0</v>
      </c>
      <c r="Z214" s="31">
        <v>120.0</v>
      </c>
      <c r="AB214" s="31">
        <v>0.0</v>
      </c>
      <c r="AC214" s="29"/>
      <c r="AD214" s="33"/>
      <c r="AF214" s="34"/>
      <c r="AH214" s="34"/>
      <c r="AJ214" s="34"/>
      <c r="AL214" s="34"/>
      <c r="AN214" s="34"/>
      <c r="AO214" s="29"/>
      <c r="AP214" s="47">
        <f t="shared" si="7"/>
        <v>4512</v>
      </c>
      <c r="AQ214" s="48">
        <f t="shared" si="2"/>
        <v>360</v>
      </c>
      <c r="AR214" s="41">
        <f t="shared" si="3"/>
        <v>0</v>
      </c>
      <c r="AS214" s="41">
        <f t="shared" si="4"/>
        <v>360</v>
      </c>
      <c r="AT214" s="46">
        <f t="shared" si="5"/>
        <v>12.53333333</v>
      </c>
      <c r="AU214" s="37"/>
      <c r="AV214" s="37"/>
      <c r="AW214" s="37"/>
      <c r="AX214" s="37"/>
      <c r="AY214" s="37"/>
    </row>
    <row r="215" ht="15.75" customHeight="1">
      <c r="A215" s="39" t="s">
        <v>28</v>
      </c>
      <c r="B215" s="40">
        <f t="shared" si="6"/>
        <v>44775</v>
      </c>
      <c r="C215" s="41">
        <v>8.0</v>
      </c>
      <c r="D215" s="41" t="s">
        <v>34</v>
      </c>
      <c r="E215" s="43" t="s">
        <v>40</v>
      </c>
      <c r="F215" s="30">
        <v>0.0</v>
      </c>
      <c r="H215" s="31">
        <v>0.0</v>
      </c>
      <c r="J215" s="31">
        <v>0.0</v>
      </c>
      <c r="L215" s="31">
        <v>0.0</v>
      </c>
      <c r="N215" s="31">
        <v>0.0</v>
      </c>
      <c r="P215" s="31">
        <v>0.0</v>
      </c>
      <c r="Q215" s="29"/>
      <c r="R215" s="30">
        <v>0.0</v>
      </c>
      <c r="T215" s="31">
        <v>120.0</v>
      </c>
      <c r="V215" s="31">
        <v>120.0</v>
      </c>
      <c r="X215" s="31">
        <v>0.0</v>
      </c>
      <c r="Z215" s="31">
        <v>120.0</v>
      </c>
      <c r="AB215" s="31">
        <v>0.0</v>
      </c>
      <c r="AC215" s="29"/>
      <c r="AD215" s="33"/>
      <c r="AF215" s="34"/>
      <c r="AH215" s="34"/>
      <c r="AJ215" s="34"/>
      <c r="AL215" s="34"/>
      <c r="AN215" s="34"/>
      <c r="AO215" s="29"/>
      <c r="AP215" s="47">
        <f t="shared" si="7"/>
        <v>4512</v>
      </c>
      <c r="AQ215" s="48">
        <f t="shared" si="2"/>
        <v>360</v>
      </c>
      <c r="AR215" s="41">
        <f t="shared" si="3"/>
        <v>0</v>
      </c>
      <c r="AS215" s="41">
        <f t="shared" si="4"/>
        <v>360</v>
      </c>
      <c r="AT215" s="46">
        <f t="shared" si="5"/>
        <v>12.53333333</v>
      </c>
      <c r="AU215" s="37"/>
      <c r="AV215" s="37"/>
      <c r="AW215" s="37"/>
      <c r="AX215" s="37"/>
      <c r="AY215" s="37"/>
    </row>
    <row r="216" ht="15.75" customHeight="1">
      <c r="A216" s="39" t="s">
        <v>29</v>
      </c>
      <c r="B216" s="40">
        <f t="shared" si="6"/>
        <v>44776</v>
      </c>
      <c r="C216" s="41">
        <v>8.0</v>
      </c>
      <c r="D216" s="41" t="s">
        <v>34</v>
      </c>
      <c r="E216" s="43" t="s">
        <v>40</v>
      </c>
      <c r="F216" s="30">
        <v>0.0</v>
      </c>
      <c r="H216" s="31">
        <v>0.0</v>
      </c>
      <c r="J216" s="31">
        <v>0.0</v>
      </c>
      <c r="L216" s="31">
        <v>0.0</v>
      </c>
      <c r="N216" s="31">
        <v>0.0</v>
      </c>
      <c r="P216" s="31">
        <v>0.0</v>
      </c>
      <c r="Q216" s="29"/>
      <c r="R216" s="30">
        <v>0.0</v>
      </c>
      <c r="T216" s="31">
        <v>120.0</v>
      </c>
      <c r="V216" s="31">
        <v>120.0</v>
      </c>
      <c r="X216" s="31">
        <v>0.0</v>
      </c>
      <c r="Z216" s="31">
        <v>120.0</v>
      </c>
      <c r="AB216" s="31">
        <v>0.0</v>
      </c>
      <c r="AC216" s="29"/>
      <c r="AD216" s="33"/>
      <c r="AF216" s="34"/>
      <c r="AH216" s="34"/>
      <c r="AJ216" s="34"/>
      <c r="AL216" s="34"/>
      <c r="AN216" s="34"/>
      <c r="AO216" s="29"/>
      <c r="AP216" s="47">
        <f t="shared" si="7"/>
        <v>4512</v>
      </c>
      <c r="AQ216" s="48">
        <f t="shared" si="2"/>
        <v>360</v>
      </c>
      <c r="AR216" s="41">
        <f t="shared" si="3"/>
        <v>0</v>
      </c>
      <c r="AS216" s="41">
        <f t="shared" si="4"/>
        <v>360</v>
      </c>
      <c r="AT216" s="46">
        <f t="shared" si="5"/>
        <v>12.53333333</v>
      </c>
      <c r="AU216" s="37"/>
      <c r="AV216" s="37"/>
      <c r="AW216" s="37"/>
      <c r="AX216" s="37"/>
      <c r="AY216" s="37"/>
    </row>
    <row r="217" ht="15.75" customHeight="1">
      <c r="A217" s="39" t="s">
        <v>30</v>
      </c>
      <c r="B217" s="40">
        <f t="shared" si="6"/>
        <v>44777</v>
      </c>
      <c r="C217" s="41">
        <v>8.0</v>
      </c>
      <c r="D217" s="41" t="s">
        <v>34</v>
      </c>
      <c r="E217" s="43" t="s">
        <v>40</v>
      </c>
      <c r="F217" s="30">
        <v>0.0</v>
      </c>
      <c r="H217" s="31">
        <v>0.0</v>
      </c>
      <c r="J217" s="31">
        <v>0.0</v>
      </c>
      <c r="L217" s="31">
        <v>0.0</v>
      </c>
      <c r="N217" s="31">
        <v>0.0</v>
      </c>
      <c r="P217" s="31">
        <v>0.0</v>
      </c>
      <c r="Q217" s="29"/>
      <c r="R217" s="30">
        <v>0.0</v>
      </c>
      <c r="T217" s="31">
        <v>120.0</v>
      </c>
      <c r="V217" s="31">
        <v>120.0</v>
      </c>
      <c r="X217" s="31">
        <v>0.0</v>
      </c>
      <c r="Z217" s="31">
        <v>120.0</v>
      </c>
      <c r="AB217" s="31">
        <v>0.0</v>
      </c>
      <c r="AC217" s="29"/>
      <c r="AD217" s="33"/>
      <c r="AF217" s="34"/>
      <c r="AH217" s="34"/>
      <c r="AJ217" s="34"/>
      <c r="AL217" s="34"/>
      <c r="AN217" s="34"/>
      <c r="AO217" s="29"/>
      <c r="AP217" s="47">
        <f t="shared" si="7"/>
        <v>4512</v>
      </c>
      <c r="AQ217" s="48">
        <f t="shared" si="2"/>
        <v>360</v>
      </c>
      <c r="AR217" s="41">
        <f t="shared" si="3"/>
        <v>0</v>
      </c>
      <c r="AS217" s="41">
        <f t="shared" si="4"/>
        <v>360</v>
      </c>
      <c r="AT217" s="46">
        <f t="shared" si="5"/>
        <v>12.53333333</v>
      </c>
      <c r="AU217" s="37"/>
      <c r="AV217" s="37"/>
      <c r="AW217" s="37"/>
      <c r="AX217" s="37"/>
      <c r="AY217" s="37"/>
    </row>
    <row r="218" ht="15.75" customHeight="1">
      <c r="A218" s="39" t="s">
        <v>31</v>
      </c>
      <c r="B218" s="40">
        <f t="shared" si="6"/>
        <v>44778</v>
      </c>
      <c r="C218" s="41">
        <v>8.0</v>
      </c>
      <c r="D218" s="41" t="s">
        <v>34</v>
      </c>
      <c r="E218" s="43" t="s">
        <v>40</v>
      </c>
      <c r="F218" s="30">
        <v>0.0</v>
      </c>
      <c r="H218" s="31">
        <v>0.0</v>
      </c>
      <c r="J218" s="31">
        <v>0.0</v>
      </c>
      <c r="L218" s="31">
        <v>0.0</v>
      </c>
      <c r="N218" s="31">
        <v>0.0</v>
      </c>
      <c r="P218" s="31">
        <v>0.0</v>
      </c>
      <c r="Q218" s="29"/>
      <c r="R218" s="30">
        <v>120.0</v>
      </c>
      <c r="T218" s="31">
        <v>120.0</v>
      </c>
      <c r="V218" s="31">
        <v>0.0</v>
      </c>
      <c r="X218" s="31">
        <v>0.0</v>
      </c>
      <c r="Z218" s="31">
        <v>0.0</v>
      </c>
      <c r="AB218" s="31">
        <v>0.0</v>
      </c>
      <c r="AC218" s="29"/>
      <c r="AD218" s="33"/>
      <c r="AF218" s="34"/>
      <c r="AH218" s="34"/>
      <c r="AJ218" s="34"/>
      <c r="AL218" s="34"/>
      <c r="AN218" s="34"/>
      <c r="AO218" s="29"/>
      <c r="AP218" s="47">
        <f t="shared" si="7"/>
        <v>3264</v>
      </c>
      <c r="AQ218" s="48">
        <f t="shared" si="2"/>
        <v>240</v>
      </c>
      <c r="AR218" s="41">
        <f t="shared" si="3"/>
        <v>0</v>
      </c>
      <c r="AS218" s="41">
        <f t="shared" si="4"/>
        <v>240</v>
      </c>
      <c r="AT218" s="46">
        <f t="shared" si="5"/>
        <v>13.6</v>
      </c>
      <c r="AU218" s="37"/>
      <c r="AV218" s="37"/>
      <c r="AW218" s="37"/>
      <c r="AX218" s="37"/>
      <c r="AY218" s="37"/>
    </row>
    <row r="219" ht="15.75" customHeight="1">
      <c r="A219" s="49" t="s">
        <v>32</v>
      </c>
      <c r="B219" s="50">
        <f t="shared" si="6"/>
        <v>44779</v>
      </c>
      <c r="C219" s="51">
        <v>8.0</v>
      </c>
      <c r="D219" s="51" t="s">
        <v>34</v>
      </c>
      <c r="E219" s="53" t="s">
        <v>40</v>
      </c>
      <c r="F219" s="64">
        <v>0.0</v>
      </c>
      <c r="G219" s="55"/>
      <c r="H219" s="65">
        <v>0.0</v>
      </c>
      <c r="I219" s="55"/>
      <c r="J219" s="65">
        <v>0.0</v>
      </c>
      <c r="K219" s="55"/>
      <c r="L219" s="65">
        <v>0.0</v>
      </c>
      <c r="M219" s="55"/>
      <c r="N219" s="65">
        <v>0.0</v>
      </c>
      <c r="O219" s="55"/>
      <c r="P219" s="65">
        <v>0.0</v>
      </c>
      <c r="Q219" s="58"/>
      <c r="R219" s="64">
        <v>0.0</v>
      </c>
      <c r="S219" s="55"/>
      <c r="T219" s="65">
        <v>0.0</v>
      </c>
      <c r="U219" s="55"/>
      <c r="V219" s="65">
        <v>0.0</v>
      </c>
      <c r="W219" s="55"/>
      <c r="X219" s="65">
        <v>0.0</v>
      </c>
      <c r="Y219" s="55"/>
      <c r="Z219" s="65">
        <v>0.0</v>
      </c>
      <c r="AA219" s="55"/>
      <c r="AB219" s="65">
        <v>0.0</v>
      </c>
      <c r="AC219" s="58"/>
      <c r="AD219" s="66"/>
      <c r="AE219" s="55"/>
      <c r="AF219" s="67"/>
      <c r="AG219" s="55"/>
      <c r="AH219" s="67"/>
      <c r="AI219" s="55"/>
      <c r="AJ219" s="67"/>
      <c r="AK219" s="55"/>
      <c r="AL219" s="67"/>
      <c r="AM219" s="55"/>
      <c r="AN219" s="67"/>
      <c r="AO219" s="58"/>
      <c r="AP219" s="68">
        <f t="shared" si="7"/>
        <v>0</v>
      </c>
      <c r="AQ219" s="69">
        <f t="shared" si="2"/>
        <v>0</v>
      </c>
      <c r="AR219" s="51">
        <f t="shared" si="3"/>
        <v>0</v>
      </c>
      <c r="AS219" s="51">
        <f t="shared" si="4"/>
        <v>0</v>
      </c>
      <c r="AT219" s="61" t="str">
        <f t="shared" si="5"/>
        <v/>
      </c>
      <c r="AU219" s="37"/>
      <c r="AV219" s="37"/>
      <c r="AW219" s="37"/>
      <c r="AX219" s="37"/>
      <c r="AY219" s="37"/>
    </row>
    <row r="220" ht="15.75" customHeight="1">
      <c r="A220" s="21" t="s">
        <v>24</v>
      </c>
      <c r="B220" s="62">
        <f t="shared" si="6"/>
        <v>44780</v>
      </c>
      <c r="C220" s="23">
        <v>8.0</v>
      </c>
      <c r="D220" s="23" t="s">
        <v>35</v>
      </c>
      <c r="E220" s="63" t="s">
        <v>40</v>
      </c>
      <c r="F220" s="30">
        <v>0.0</v>
      </c>
      <c r="H220" s="31">
        <v>0.0</v>
      </c>
      <c r="J220" s="31">
        <v>0.0</v>
      </c>
      <c r="L220" s="31">
        <v>0.0</v>
      </c>
      <c r="N220" s="31">
        <v>0.0</v>
      </c>
      <c r="P220" s="31">
        <v>0.0</v>
      </c>
      <c r="Q220" s="29"/>
      <c r="R220" s="30">
        <v>0.0</v>
      </c>
      <c r="T220" s="31">
        <v>120.0</v>
      </c>
      <c r="V220" s="31">
        <v>120.0</v>
      </c>
      <c r="X220" s="31">
        <v>0.0</v>
      </c>
      <c r="Z220" s="31">
        <v>120.0</v>
      </c>
      <c r="AB220" s="31">
        <v>0.0</v>
      </c>
      <c r="AC220" s="29"/>
      <c r="AD220" s="33"/>
      <c r="AF220" s="34"/>
      <c r="AH220" s="34"/>
      <c r="AJ220" s="34"/>
      <c r="AL220" s="34"/>
      <c r="AN220" s="34"/>
      <c r="AO220" s="29"/>
      <c r="AP220" s="38">
        <f t="shared" si="7"/>
        <v>4512</v>
      </c>
      <c r="AQ220" s="44">
        <f t="shared" si="2"/>
        <v>360</v>
      </c>
      <c r="AR220" s="23">
        <f t="shared" si="3"/>
        <v>0</v>
      </c>
      <c r="AS220" s="23">
        <f t="shared" si="4"/>
        <v>360</v>
      </c>
      <c r="AT220" s="36">
        <f t="shared" si="5"/>
        <v>12.53333333</v>
      </c>
      <c r="AU220" s="37"/>
      <c r="AV220" s="37"/>
      <c r="AW220" s="37"/>
      <c r="AX220" s="37"/>
      <c r="AY220" s="37"/>
    </row>
    <row r="221" ht="15.75" customHeight="1">
      <c r="A221" s="39" t="s">
        <v>27</v>
      </c>
      <c r="B221" s="40">
        <f t="shared" si="6"/>
        <v>44781</v>
      </c>
      <c r="C221" s="41">
        <v>8.0</v>
      </c>
      <c r="D221" s="41" t="s">
        <v>35</v>
      </c>
      <c r="E221" s="43" t="s">
        <v>40</v>
      </c>
      <c r="F221" s="30">
        <v>0.0</v>
      </c>
      <c r="H221" s="31">
        <v>0.0</v>
      </c>
      <c r="J221" s="31">
        <v>0.0</v>
      </c>
      <c r="L221" s="31">
        <v>0.0</v>
      </c>
      <c r="N221" s="31">
        <v>0.0</v>
      </c>
      <c r="P221" s="31">
        <v>0.0</v>
      </c>
      <c r="Q221" s="29"/>
      <c r="R221" s="30">
        <v>0.0</v>
      </c>
      <c r="T221" s="31">
        <v>120.0</v>
      </c>
      <c r="V221" s="31">
        <v>120.0</v>
      </c>
      <c r="X221" s="31">
        <v>0.0</v>
      </c>
      <c r="Z221" s="31">
        <v>120.0</v>
      </c>
      <c r="AB221" s="31">
        <v>0.0</v>
      </c>
      <c r="AC221" s="29"/>
      <c r="AD221" s="33"/>
      <c r="AF221" s="34"/>
      <c r="AH221" s="34"/>
      <c r="AJ221" s="34"/>
      <c r="AL221" s="34"/>
      <c r="AN221" s="34"/>
      <c r="AO221" s="29"/>
      <c r="AP221" s="47">
        <f t="shared" si="7"/>
        <v>4512</v>
      </c>
      <c r="AQ221" s="48">
        <f t="shared" si="2"/>
        <v>360</v>
      </c>
      <c r="AR221" s="41">
        <f t="shared" si="3"/>
        <v>0</v>
      </c>
      <c r="AS221" s="41">
        <f t="shared" si="4"/>
        <v>360</v>
      </c>
      <c r="AT221" s="46">
        <f t="shared" si="5"/>
        <v>12.53333333</v>
      </c>
      <c r="AU221" s="37"/>
      <c r="AV221" s="37"/>
      <c r="AW221" s="37"/>
      <c r="AX221" s="37"/>
      <c r="AY221" s="37"/>
    </row>
    <row r="222" ht="15.75" customHeight="1">
      <c r="A222" s="39" t="s">
        <v>28</v>
      </c>
      <c r="B222" s="40">
        <f t="shared" si="6"/>
        <v>44782</v>
      </c>
      <c r="C222" s="41">
        <v>8.0</v>
      </c>
      <c r="D222" s="41" t="s">
        <v>35</v>
      </c>
      <c r="E222" s="43" t="s">
        <v>40</v>
      </c>
      <c r="F222" s="30">
        <v>0.0</v>
      </c>
      <c r="H222" s="31">
        <v>0.0</v>
      </c>
      <c r="J222" s="31">
        <v>0.0</v>
      </c>
      <c r="L222" s="31">
        <v>0.0</v>
      </c>
      <c r="N222" s="31">
        <v>0.0</v>
      </c>
      <c r="P222" s="31">
        <v>0.0</v>
      </c>
      <c r="Q222" s="29"/>
      <c r="R222" s="30">
        <v>120.0</v>
      </c>
      <c r="T222" s="31">
        <v>120.0</v>
      </c>
      <c r="V222" s="31">
        <v>0.0</v>
      </c>
      <c r="X222" s="31">
        <v>0.0</v>
      </c>
      <c r="Z222" s="31">
        <v>0.0</v>
      </c>
      <c r="AB222" s="31">
        <v>0.0</v>
      </c>
      <c r="AC222" s="29"/>
      <c r="AD222" s="33"/>
      <c r="AF222" s="34"/>
      <c r="AH222" s="34"/>
      <c r="AJ222" s="34"/>
      <c r="AL222" s="34"/>
      <c r="AN222" s="34"/>
      <c r="AO222" s="29"/>
      <c r="AP222" s="47">
        <f t="shared" si="7"/>
        <v>3264</v>
      </c>
      <c r="AQ222" s="48">
        <f t="shared" si="2"/>
        <v>240</v>
      </c>
      <c r="AR222" s="41">
        <f t="shared" si="3"/>
        <v>0</v>
      </c>
      <c r="AS222" s="41">
        <f t="shared" si="4"/>
        <v>240</v>
      </c>
      <c r="AT222" s="46">
        <f t="shared" si="5"/>
        <v>13.6</v>
      </c>
      <c r="AU222" s="37"/>
      <c r="AV222" s="37"/>
      <c r="AW222" s="37"/>
      <c r="AX222" s="37"/>
      <c r="AY222" s="37"/>
    </row>
    <row r="223" ht="15.75" customHeight="1">
      <c r="A223" s="39" t="s">
        <v>29</v>
      </c>
      <c r="B223" s="40">
        <f t="shared" si="6"/>
        <v>44783</v>
      </c>
      <c r="C223" s="41">
        <v>8.0</v>
      </c>
      <c r="D223" s="41" t="s">
        <v>35</v>
      </c>
      <c r="E223" s="43" t="s">
        <v>40</v>
      </c>
      <c r="F223" s="30">
        <v>0.0</v>
      </c>
      <c r="H223" s="31">
        <v>0.0</v>
      </c>
      <c r="J223" s="31">
        <v>0.0</v>
      </c>
      <c r="L223" s="31">
        <v>0.0</v>
      </c>
      <c r="N223" s="31">
        <v>0.0</v>
      </c>
      <c r="P223" s="31">
        <v>0.0</v>
      </c>
      <c r="Q223" s="29"/>
      <c r="R223" s="30">
        <v>0.0</v>
      </c>
      <c r="T223" s="31">
        <v>120.0</v>
      </c>
      <c r="V223" s="31">
        <v>120.0</v>
      </c>
      <c r="X223" s="31">
        <v>0.0</v>
      </c>
      <c r="Z223" s="31">
        <v>120.0</v>
      </c>
      <c r="AB223" s="31">
        <v>0.0</v>
      </c>
      <c r="AC223" s="29"/>
      <c r="AD223" s="33"/>
      <c r="AF223" s="34"/>
      <c r="AH223" s="34"/>
      <c r="AJ223" s="34"/>
      <c r="AL223" s="34"/>
      <c r="AN223" s="34"/>
      <c r="AO223" s="29"/>
      <c r="AP223" s="47">
        <f t="shared" si="7"/>
        <v>4512</v>
      </c>
      <c r="AQ223" s="48">
        <f t="shared" si="2"/>
        <v>360</v>
      </c>
      <c r="AR223" s="41">
        <f t="shared" si="3"/>
        <v>0</v>
      </c>
      <c r="AS223" s="41">
        <f t="shared" si="4"/>
        <v>360</v>
      </c>
      <c r="AT223" s="46">
        <f t="shared" si="5"/>
        <v>12.53333333</v>
      </c>
      <c r="AU223" s="37"/>
      <c r="AV223" s="37"/>
      <c r="AW223" s="37"/>
      <c r="AX223" s="37"/>
      <c r="AY223" s="37"/>
    </row>
    <row r="224" ht="15.75" customHeight="1">
      <c r="A224" s="39" t="s">
        <v>30</v>
      </c>
      <c r="B224" s="40">
        <f t="shared" si="6"/>
        <v>44784</v>
      </c>
      <c r="C224" s="41">
        <v>8.0</v>
      </c>
      <c r="D224" s="41" t="s">
        <v>35</v>
      </c>
      <c r="E224" s="43" t="s">
        <v>40</v>
      </c>
      <c r="F224" s="30">
        <v>0.0</v>
      </c>
      <c r="H224" s="31">
        <v>0.0</v>
      </c>
      <c r="J224" s="31">
        <v>0.0</v>
      </c>
      <c r="L224" s="31">
        <v>0.0</v>
      </c>
      <c r="N224" s="31">
        <v>0.0</v>
      </c>
      <c r="P224" s="31">
        <v>0.0</v>
      </c>
      <c r="Q224" s="29"/>
      <c r="R224" s="30">
        <v>0.0</v>
      </c>
      <c r="T224" s="31">
        <v>120.0</v>
      </c>
      <c r="V224" s="31">
        <v>25.0</v>
      </c>
      <c r="X224" s="31">
        <v>0.0</v>
      </c>
      <c r="Z224" s="31">
        <v>120.0</v>
      </c>
      <c r="AB224" s="31">
        <v>0.0</v>
      </c>
      <c r="AC224" s="29"/>
      <c r="AD224" s="33"/>
      <c r="AF224" s="34"/>
      <c r="AH224" s="34"/>
      <c r="AJ224" s="34"/>
      <c r="AL224" s="34"/>
      <c r="AN224" s="34"/>
      <c r="AO224" s="29"/>
      <c r="AP224" s="47">
        <f t="shared" si="7"/>
        <v>3220</v>
      </c>
      <c r="AQ224" s="48">
        <f t="shared" si="2"/>
        <v>265</v>
      </c>
      <c r="AR224" s="41">
        <f t="shared" si="3"/>
        <v>0</v>
      </c>
      <c r="AS224" s="41">
        <f t="shared" si="4"/>
        <v>265</v>
      </c>
      <c r="AT224" s="46">
        <f t="shared" si="5"/>
        <v>12.1509434</v>
      </c>
      <c r="AU224" s="37"/>
      <c r="AV224" s="37"/>
      <c r="AW224" s="37"/>
      <c r="AX224" s="37"/>
      <c r="AY224" s="37"/>
    </row>
    <row r="225" ht="15.75" customHeight="1">
      <c r="A225" s="39" t="s">
        <v>31</v>
      </c>
      <c r="B225" s="40">
        <f t="shared" si="6"/>
        <v>44785</v>
      </c>
      <c r="C225" s="41">
        <v>8.0</v>
      </c>
      <c r="D225" s="41" t="s">
        <v>35</v>
      </c>
      <c r="E225" s="43" t="s">
        <v>40</v>
      </c>
      <c r="F225" s="30">
        <v>0.0</v>
      </c>
      <c r="H225" s="31">
        <v>0.0</v>
      </c>
      <c r="J225" s="31">
        <v>0.0</v>
      </c>
      <c r="L225" s="31">
        <v>0.0</v>
      </c>
      <c r="N225" s="31">
        <v>0.0</v>
      </c>
      <c r="P225" s="31">
        <v>0.0</v>
      </c>
      <c r="Q225" s="29"/>
      <c r="R225" s="30">
        <v>120.0</v>
      </c>
      <c r="T225" s="31">
        <v>120.0</v>
      </c>
      <c r="V225" s="31">
        <v>0.0</v>
      </c>
      <c r="X225" s="31">
        <v>0.0</v>
      </c>
      <c r="Z225" s="31">
        <v>0.0</v>
      </c>
      <c r="AB225" s="31">
        <v>15.0</v>
      </c>
      <c r="AC225" s="29"/>
      <c r="AD225" s="33"/>
      <c r="AF225" s="34"/>
      <c r="AH225" s="34"/>
      <c r="AJ225" s="34"/>
      <c r="AL225" s="34"/>
      <c r="AN225" s="34"/>
      <c r="AO225" s="29"/>
      <c r="AP225" s="47">
        <f t="shared" si="7"/>
        <v>3348</v>
      </c>
      <c r="AQ225" s="48">
        <f t="shared" si="2"/>
        <v>240</v>
      </c>
      <c r="AR225" s="41">
        <f t="shared" si="3"/>
        <v>15</v>
      </c>
      <c r="AS225" s="41">
        <f t="shared" si="4"/>
        <v>255</v>
      </c>
      <c r="AT225" s="46">
        <f t="shared" si="5"/>
        <v>13.12941176</v>
      </c>
      <c r="AU225" s="37"/>
      <c r="AV225" s="37"/>
      <c r="AW225" s="37"/>
      <c r="AX225" s="37"/>
      <c r="AY225" s="37"/>
    </row>
    <row r="226" ht="15.75" customHeight="1">
      <c r="A226" s="49" t="s">
        <v>32</v>
      </c>
      <c r="B226" s="50">
        <f t="shared" si="6"/>
        <v>44786</v>
      </c>
      <c r="C226" s="51">
        <v>8.0</v>
      </c>
      <c r="D226" s="51" t="s">
        <v>35</v>
      </c>
      <c r="E226" s="53" t="s">
        <v>40</v>
      </c>
      <c r="F226" s="64">
        <v>0.0</v>
      </c>
      <c r="G226" s="55"/>
      <c r="H226" s="65">
        <v>0.0</v>
      </c>
      <c r="I226" s="55"/>
      <c r="J226" s="65">
        <v>0.0</v>
      </c>
      <c r="K226" s="55"/>
      <c r="L226" s="65">
        <v>0.0</v>
      </c>
      <c r="M226" s="55"/>
      <c r="N226" s="65">
        <v>0.0</v>
      </c>
      <c r="O226" s="55"/>
      <c r="P226" s="65">
        <v>0.0</v>
      </c>
      <c r="Q226" s="58"/>
      <c r="R226" s="64">
        <v>0.0</v>
      </c>
      <c r="S226" s="55"/>
      <c r="T226" s="65">
        <v>0.0</v>
      </c>
      <c r="U226" s="55"/>
      <c r="V226" s="65">
        <v>0.0</v>
      </c>
      <c r="W226" s="55"/>
      <c r="X226" s="65">
        <v>0.0</v>
      </c>
      <c r="Y226" s="55"/>
      <c r="Z226" s="65">
        <v>0.0</v>
      </c>
      <c r="AA226" s="55"/>
      <c r="AB226" s="65">
        <v>0.0</v>
      </c>
      <c r="AC226" s="58"/>
      <c r="AD226" s="66"/>
      <c r="AE226" s="55"/>
      <c r="AF226" s="67"/>
      <c r="AG226" s="55"/>
      <c r="AH226" s="67"/>
      <c r="AI226" s="55"/>
      <c r="AJ226" s="67"/>
      <c r="AK226" s="55"/>
      <c r="AL226" s="67"/>
      <c r="AM226" s="55"/>
      <c r="AN226" s="67"/>
      <c r="AO226" s="58"/>
      <c r="AP226" s="68">
        <f t="shared" si="7"/>
        <v>0</v>
      </c>
      <c r="AQ226" s="69">
        <f t="shared" si="2"/>
        <v>0</v>
      </c>
      <c r="AR226" s="51">
        <f t="shared" si="3"/>
        <v>0</v>
      </c>
      <c r="AS226" s="51">
        <f t="shared" si="4"/>
        <v>0</v>
      </c>
      <c r="AT226" s="61" t="str">
        <f t="shared" si="5"/>
        <v/>
      </c>
      <c r="AU226" s="37"/>
      <c r="AV226" s="37"/>
      <c r="AW226" s="37"/>
      <c r="AX226" s="37"/>
      <c r="AY226" s="37"/>
    </row>
    <row r="227" ht="15.75" customHeight="1">
      <c r="A227" s="21" t="s">
        <v>24</v>
      </c>
      <c r="B227" s="62">
        <f t="shared" si="6"/>
        <v>44787</v>
      </c>
      <c r="C227" s="23">
        <v>9.0</v>
      </c>
      <c r="D227" s="23" t="s">
        <v>25</v>
      </c>
      <c r="E227" s="63" t="s">
        <v>40</v>
      </c>
      <c r="F227" s="30">
        <v>0.0</v>
      </c>
      <c r="H227" s="31">
        <v>0.0</v>
      </c>
      <c r="J227" s="31">
        <v>0.0</v>
      </c>
      <c r="L227" s="31">
        <v>0.0</v>
      </c>
      <c r="N227" s="31">
        <v>0.0</v>
      </c>
      <c r="P227" s="31">
        <v>0.0</v>
      </c>
      <c r="Q227" s="29"/>
      <c r="R227" s="30">
        <v>0.0</v>
      </c>
      <c r="T227" s="31">
        <v>120.0</v>
      </c>
      <c r="V227" s="31">
        <v>120.0</v>
      </c>
      <c r="X227" s="31">
        <v>0.0</v>
      </c>
      <c r="Z227" s="31">
        <v>120.0</v>
      </c>
      <c r="AB227" s="31">
        <v>0.0</v>
      </c>
      <c r="AC227" s="29"/>
      <c r="AD227" s="33"/>
      <c r="AF227" s="34"/>
      <c r="AH227" s="34"/>
      <c r="AJ227" s="34"/>
      <c r="AL227" s="34"/>
      <c r="AN227" s="34"/>
      <c r="AO227" s="29"/>
      <c r="AP227" s="38">
        <f t="shared" si="7"/>
        <v>4512</v>
      </c>
      <c r="AQ227" s="44">
        <f t="shared" si="2"/>
        <v>360</v>
      </c>
      <c r="AR227" s="23">
        <f t="shared" si="3"/>
        <v>0</v>
      </c>
      <c r="AS227" s="23">
        <f t="shared" si="4"/>
        <v>360</v>
      </c>
      <c r="AT227" s="36">
        <f t="shared" si="5"/>
        <v>12.53333333</v>
      </c>
      <c r="AU227" s="37"/>
      <c r="AV227" s="37"/>
      <c r="AW227" s="37"/>
      <c r="AX227" s="37"/>
      <c r="AY227" s="37"/>
    </row>
    <row r="228" ht="15.75" customHeight="1">
      <c r="A228" s="39" t="s">
        <v>27</v>
      </c>
      <c r="B228" s="40">
        <f t="shared" si="6"/>
        <v>44788</v>
      </c>
      <c r="C228" s="41">
        <v>9.0</v>
      </c>
      <c r="D228" s="41" t="s">
        <v>25</v>
      </c>
      <c r="E228" s="43" t="s">
        <v>40</v>
      </c>
      <c r="F228" s="30">
        <v>0.0</v>
      </c>
      <c r="H228" s="31">
        <v>0.0</v>
      </c>
      <c r="J228" s="31">
        <v>0.0</v>
      </c>
      <c r="L228" s="31">
        <v>0.0</v>
      </c>
      <c r="N228" s="31">
        <v>0.0</v>
      </c>
      <c r="P228" s="31">
        <v>0.0</v>
      </c>
      <c r="Q228" s="29"/>
      <c r="R228" s="30">
        <v>0.0</v>
      </c>
      <c r="T228" s="31">
        <v>120.0</v>
      </c>
      <c r="V228" s="31">
        <v>120.0</v>
      </c>
      <c r="X228" s="31">
        <v>0.0</v>
      </c>
      <c r="Z228" s="31">
        <v>120.0</v>
      </c>
      <c r="AB228" s="31">
        <v>0.0</v>
      </c>
      <c r="AC228" s="29"/>
      <c r="AD228" s="33"/>
      <c r="AF228" s="34"/>
      <c r="AH228" s="34"/>
      <c r="AJ228" s="34"/>
      <c r="AL228" s="34"/>
      <c r="AN228" s="34"/>
      <c r="AO228" s="29"/>
      <c r="AP228" s="47">
        <f t="shared" si="7"/>
        <v>4512</v>
      </c>
      <c r="AQ228" s="48">
        <f t="shared" si="2"/>
        <v>360</v>
      </c>
      <c r="AR228" s="41">
        <f t="shared" si="3"/>
        <v>0</v>
      </c>
      <c r="AS228" s="41">
        <f t="shared" si="4"/>
        <v>360</v>
      </c>
      <c r="AT228" s="46">
        <f t="shared" si="5"/>
        <v>12.53333333</v>
      </c>
      <c r="AU228" s="37"/>
      <c r="AV228" s="37"/>
      <c r="AW228" s="37"/>
      <c r="AX228" s="37"/>
      <c r="AY228" s="37"/>
    </row>
    <row r="229" ht="15.75" customHeight="1">
      <c r="A229" s="39" t="s">
        <v>28</v>
      </c>
      <c r="B229" s="40">
        <f t="shared" si="6"/>
        <v>44789</v>
      </c>
      <c r="C229" s="41">
        <v>9.0</v>
      </c>
      <c r="D229" s="41" t="s">
        <v>25</v>
      </c>
      <c r="E229" s="43" t="s">
        <v>40</v>
      </c>
      <c r="F229" s="30">
        <v>0.0</v>
      </c>
      <c r="H229" s="31">
        <v>0.0</v>
      </c>
      <c r="J229" s="31">
        <v>0.0</v>
      </c>
      <c r="L229" s="31">
        <v>0.0</v>
      </c>
      <c r="N229" s="31">
        <v>0.0</v>
      </c>
      <c r="P229" s="31">
        <v>0.0</v>
      </c>
      <c r="Q229" s="29"/>
      <c r="R229" s="30">
        <v>120.0</v>
      </c>
      <c r="T229" s="31">
        <v>120.0</v>
      </c>
      <c r="V229" s="31">
        <v>0.0</v>
      </c>
      <c r="X229" s="31">
        <v>0.0</v>
      </c>
      <c r="Z229" s="31">
        <v>0.0</v>
      </c>
      <c r="AB229" s="31">
        <v>0.0</v>
      </c>
      <c r="AC229" s="29"/>
      <c r="AD229" s="33"/>
      <c r="AF229" s="34"/>
      <c r="AH229" s="34"/>
      <c r="AJ229" s="34"/>
      <c r="AL229" s="34"/>
      <c r="AN229" s="34"/>
      <c r="AO229" s="29"/>
      <c r="AP229" s="47">
        <f t="shared" si="7"/>
        <v>3264</v>
      </c>
      <c r="AQ229" s="48">
        <f t="shared" si="2"/>
        <v>240</v>
      </c>
      <c r="AR229" s="41">
        <f t="shared" si="3"/>
        <v>0</v>
      </c>
      <c r="AS229" s="41">
        <f t="shared" si="4"/>
        <v>240</v>
      </c>
      <c r="AT229" s="46">
        <f t="shared" si="5"/>
        <v>13.6</v>
      </c>
      <c r="AU229" s="37"/>
      <c r="AV229" s="37"/>
      <c r="AW229" s="37"/>
      <c r="AX229" s="37"/>
      <c r="AY229" s="37"/>
    </row>
    <row r="230" ht="15.75" customHeight="1">
      <c r="A230" s="39" t="s">
        <v>29</v>
      </c>
      <c r="B230" s="40">
        <f t="shared" si="6"/>
        <v>44790</v>
      </c>
      <c r="C230" s="41">
        <v>9.0</v>
      </c>
      <c r="D230" s="41" t="s">
        <v>25</v>
      </c>
      <c r="E230" s="43" t="s">
        <v>40</v>
      </c>
      <c r="F230" s="30">
        <v>0.0</v>
      </c>
      <c r="H230" s="31">
        <v>0.0</v>
      </c>
      <c r="J230" s="31">
        <v>0.0</v>
      </c>
      <c r="L230" s="31">
        <v>0.0</v>
      </c>
      <c r="N230" s="31">
        <v>0.0</v>
      </c>
      <c r="P230" s="31">
        <v>0.0</v>
      </c>
      <c r="Q230" s="29"/>
      <c r="R230" s="30">
        <v>0.0</v>
      </c>
      <c r="T230" s="31">
        <v>120.0</v>
      </c>
      <c r="V230" s="31">
        <v>120.0</v>
      </c>
      <c r="X230" s="31">
        <v>0.0</v>
      </c>
      <c r="Z230" s="31">
        <v>120.0</v>
      </c>
      <c r="AB230" s="31">
        <v>0.0</v>
      </c>
      <c r="AC230" s="29"/>
      <c r="AD230" s="33"/>
      <c r="AF230" s="34"/>
      <c r="AH230" s="34"/>
      <c r="AJ230" s="34"/>
      <c r="AL230" s="34"/>
      <c r="AN230" s="34"/>
      <c r="AO230" s="29"/>
      <c r="AP230" s="47">
        <f t="shared" si="7"/>
        <v>4512</v>
      </c>
      <c r="AQ230" s="48">
        <f t="shared" si="2"/>
        <v>360</v>
      </c>
      <c r="AR230" s="41">
        <f t="shared" si="3"/>
        <v>0</v>
      </c>
      <c r="AS230" s="41">
        <f t="shared" si="4"/>
        <v>360</v>
      </c>
      <c r="AT230" s="46">
        <f t="shared" si="5"/>
        <v>12.53333333</v>
      </c>
      <c r="AU230" s="37"/>
      <c r="AV230" s="37"/>
      <c r="AW230" s="37"/>
      <c r="AX230" s="37"/>
      <c r="AY230" s="37"/>
    </row>
    <row r="231" ht="15.75" customHeight="1">
      <c r="A231" s="39" t="s">
        <v>30</v>
      </c>
      <c r="B231" s="40">
        <f t="shared" si="6"/>
        <v>44791</v>
      </c>
      <c r="C231" s="41">
        <v>9.0</v>
      </c>
      <c r="D231" s="41" t="s">
        <v>25</v>
      </c>
      <c r="E231" s="43" t="s">
        <v>40</v>
      </c>
      <c r="F231" s="30">
        <v>0.0</v>
      </c>
      <c r="H231" s="31">
        <v>0.0</v>
      </c>
      <c r="J231" s="31">
        <v>0.0</v>
      </c>
      <c r="L231" s="31">
        <v>0.0</v>
      </c>
      <c r="N231" s="31">
        <v>0.0</v>
      </c>
      <c r="P231" s="31">
        <v>0.0</v>
      </c>
      <c r="Q231" s="29"/>
      <c r="R231" s="30">
        <v>0.0</v>
      </c>
      <c r="T231" s="31">
        <v>120.0</v>
      </c>
      <c r="V231" s="31">
        <v>25.0</v>
      </c>
      <c r="X231" s="31">
        <v>0.0</v>
      </c>
      <c r="Z231" s="31">
        <v>120.0</v>
      </c>
      <c r="AB231" s="31">
        <v>0.0</v>
      </c>
      <c r="AC231" s="29"/>
      <c r="AD231" s="33"/>
      <c r="AF231" s="34"/>
      <c r="AH231" s="34"/>
      <c r="AJ231" s="34"/>
      <c r="AL231" s="34"/>
      <c r="AN231" s="34"/>
      <c r="AO231" s="29"/>
      <c r="AP231" s="47">
        <f t="shared" si="7"/>
        <v>3220</v>
      </c>
      <c r="AQ231" s="48">
        <f t="shared" si="2"/>
        <v>265</v>
      </c>
      <c r="AR231" s="41">
        <f t="shared" si="3"/>
        <v>0</v>
      </c>
      <c r="AS231" s="41">
        <f t="shared" si="4"/>
        <v>265</v>
      </c>
      <c r="AT231" s="46">
        <f t="shared" si="5"/>
        <v>12.1509434</v>
      </c>
      <c r="AU231" s="37"/>
      <c r="AV231" s="37"/>
      <c r="AW231" s="37"/>
      <c r="AX231" s="37"/>
      <c r="AY231" s="37"/>
    </row>
    <row r="232" ht="15.75" customHeight="1">
      <c r="A232" s="39" t="s">
        <v>31</v>
      </c>
      <c r="B232" s="40">
        <f t="shared" si="6"/>
        <v>44792</v>
      </c>
      <c r="C232" s="41">
        <v>9.0</v>
      </c>
      <c r="D232" s="41" t="s">
        <v>25</v>
      </c>
      <c r="E232" s="43" t="s">
        <v>40</v>
      </c>
      <c r="F232" s="30">
        <v>0.0</v>
      </c>
      <c r="H232" s="31">
        <v>0.0</v>
      </c>
      <c r="J232" s="31">
        <v>0.0</v>
      </c>
      <c r="L232" s="31">
        <v>0.0</v>
      </c>
      <c r="N232" s="31">
        <v>0.0</v>
      </c>
      <c r="P232" s="31">
        <v>0.0</v>
      </c>
      <c r="Q232" s="29"/>
      <c r="R232" s="30">
        <v>120.0</v>
      </c>
      <c r="T232" s="31">
        <v>120.0</v>
      </c>
      <c r="V232" s="31">
        <v>0.0</v>
      </c>
      <c r="X232" s="31">
        <v>0.0</v>
      </c>
      <c r="Z232" s="31">
        <v>0.0</v>
      </c>
      <c r="AB232" s="31">
        <v>15.0</v>
      </c>
      <c r="AC232" s="29"/>
      <c r="AD232" s="33"/>
      <c r="AF232" s="34"/>
      <c r="AH232" s="34"/>
      <c r="AJ232" s="34"/>
      <c r="AL232" s="34"/>
      <c r="AN232" s="34"/>
      <c r="AO232" s="29"/>
      <c r="AP232" s="47">
        <f t="shared" si="7"/>
        <v>3348</v>
      </c>
      <c r="AQ232" s="48">
        <f t="shared" si="2"/>
        <v>240</v>
      </c>
      <c r="AR232" s="41">
        <f t="shared" si="3"/>
        <v>15</v>
      </c>
      <c r="AS232" s="41">
        <f t="shared" si="4"/>
        <v>255</v>
      </c>
      <c r="AT232" s="46">
        <f t="shared" si="5"/>
        <v>13.12941176</v>
      </c>
      <c r="AU232" s="37"/>
      <c r="AV232" s="37"/>
      <c r="AW232" s="37"/>
      <c r="AX232" s="37"/>
      <c r="AY232" s="37"/>
    </row>
    <row r="233" ht="15.75" customHeight="1">
      <c r="A233" s="49" t="s">
        <v>32</v>
      </c>
      <c r="B233" s="50">
        <f t="shared" si="6"/>
        <v>44793</v>
      </c>
      <c r="C233" s="51">
        <v>9.0</v>
      </c>
      <c r="D233" s="51" t="s">
        <v>25</v>
      </c>
      <c r="E233" s="53" t="s">
        <v>40</v>
      </c>
      <c r="F233" s="64">
        <v>0.0</v>
      </c>
      <c r="G233" s="55"/>
      <c r="H233" s="65">
        <v>0.0</v>
      </c>
      <c r="I233" s="55"/>
      <c r="J233" s="65">
        <v>0.0</v>
      </c>
      <c r="K233" s="55"/>
      <c r="L233" s="65">
        <v>0.0</v>
      </c>
      <c r="M233" s="55"/>
      <c r="N233" s="65">
        <v>0.0</v>
      </c>
      <c r="O233" s="55"/>
      <c r="P233" s="65">
        <v>0.0</v>
      </c>
      <c r="Q233" s="58"/>
      <c r="R233" s="64">
        <v>0.0</v>
      </c>
      <c r="S233" s="55"/>
      <c r="T233" s="65">
        <v>0.0</v>
      </c>
      <c r="U233" s="55"/>
      <c r="V233" s="65">
        <v>0.0</v>
      </c>
      <c r="W233" s="55"/>
      <c r="X233" s="65">
        <v>0.0</v>
      </c>
      <c r="Y233" s="55"/>
      <c r="Z233" s="65">
        <v>0.0</v>
      </c>
      <c r="AA233" s="55"/>
      <c r="AB233" s="65">
        <v>0.0</v>
      </c>
      <c r="AC233" s="58"/>
      <c r="AD233" s="66"/>
      <c r="AE233" s="55"/>
      <c r="AF233" s="67"/>
      <c r="AG233" s="55"/>
      <c r="AH233" s="67"/>
      <c r="AI233" s="55"/>
      <c r="AJ233" s="67"/>
      <c r="AK233" s="55"/>
      <c r="AL233" s="67"/>
      <c r="AM233" s="55"/>
      <c r="AN233" s="67"/>
      <c r="AO233" s="58"/>
      <c r="AP233" s="68">
        <f t="shared" si="7"/>
        <v>0</v>
      </c>
      <c r="AQ233" s="69">
        <f t="shared" si="2"/>
        <v>0</v>
      </c>
      <c r="AR233" s="51">
        <f t="shared" si="3"/>
        <v>0</v>
      </c>
      <c r="AS233" s="51">
        <f t="shared" si="4"/>
        <v>0</v>
      </c>
      <c r="AT233" s="61" t="str">
        <f t="shared" si="5"/>
        <v/>
      </c>
      <c r="AU233" s="37"/>
      <c r="AV233" s="37"/>
      <c r="AW233" s="37"/>
      <c r="AX233" s="37"/>
      <c r="AY233" s="37"/>
    </row>
    <row r="234" ht="15.75" customHeight="1">
      <c r="A234" s="21" t="s">
        <v>24</v>
      </c>
      <c r="B234" s="62">
        <f t="shared" si="6"/>
        <v>44794</v>
      </c>
      <c r="C234" s="23">
        <v>9.0</v>
      </c>
      <c r="D234" s="23" t="s">
        <v>33</v>
      </c>
      <c r="E234" s="63" t="s">
        <v>40</v>
      </c>
      <c r="F234" s="30">
        <v>0.0</v>
      </c>
      <c r="H234" s="31">
        <v>0.0</v>
      </c>
      <c r="J234" s="31">
        <v>0.0</v>
      </c>
      <c r="L234" s="31">
        <v>0.0</v>
      </c>
      <c r="N234" s="31">
        <v>0.0</v>
      </c>
      <c r="P234" s="31">
        <v>0.0</v>
      </c>
      <c r="Q234" s="29"/>
      <c r="R234" s="30">
        <v>120.0</v>
      </c>
      <c r="T234" s="31">
        <v>120.0</v>
      </c>
      <c r="V234" s="31">
        <v>0.0</v>
      </c>
      <c r="X234" s="31">
        <v>0.0</v>
      </c>
      <c r="Z234" s="31">
        <v>0.0</v>
      </c>
      <c r="AB234" s="31">
        <v>0.0</v>
      </c>
      <c r="AC234" s="29"/>
      <c r="AD234" s="33"/>
      <c r="AF234" s="34"/>
      <c r="AH234" s="34"/>
      <c r="AJ234" s="34"/>
      <c r="AL234" s="34"/>
      <c r="AN234" s="34"/>
      <c r="AO234" s="29"/>
      <c r="AP234" s="38">
        <f t="shared" si="7"/>
        <v>3264</v>
      </c>
      <c r="AQ234" s="44">
        <f t="shared" si="2"/>
        <v>240</v>
      </c>
      <c r="AR234" s="23">
        <f t="shared" si="3"/>
        <v>0</v>
      </c>
      <c r="AS234" s="23">
        <f t="shared" si="4"/>
        <v>240</v>
      </c>
      <c r="AT234" s="36">
        <f t="shared" si="5"/>
        <v>13.6</v>
      </c>
      <c r="AU234" s="37"/>
      <c r="AV234" s="37"/>
      <c r="AW234" s="37"/>
      <c r="AX234" s="37"/>
      <c r="AY234" s="37"/>
    </row>
    <row r="235" ht="15.75" customHeight="1">
      <c r="A235" s="39" t="s">
        <v>27</v>
      </c>
      <c r="B235" s="40">
        <f t="shared" si="6"/>
        <v>44795</v>
      </c>
      <c r="C235" s="41">
        <v>9.0</v>
      </c>
      <c r="D235" s="41" t="s">
        <v>33</v>
      </c>
      <c r="E235" s="43" t="s">
        <v>40</v>
      </c>
      <c r="F235" s="30">
        <v>0.0</v>
      </c>
      <c r="H235" s="31">
        <v>0.0</v>
      </c>
      <c r="J235" s="31">
        <v>0.0</v>
      </c>
      <c r="L235" s="31">
        <v>0.0</v>
      </c>
      <c r="N235" s="31">
        <v>0.0</v>
      </c>
      <c r="P235" s="31">
        <v>0.0</v>
      </c>
      <c r="Q235" s="29"/>
      <c r="R235" s="30">
        <v>120.0</v>
      </c>
      <c r="T235" s="31">
        <v>120.0</v>
      </c>
      <c r="V235" s="31">
        <v>0.0</v>
      </c>
      <c r="X235" s="31">
        <v>0.0</v>
      </c>
      <c r="Z235" s="31">
        <v>0.0</v>
      </c>
      <c r="AB235" s="31">
        <v>0.0</v>
      </c>
      <c r="AC235" s="29"/>
      <c r="AD235" s="33"/>
      <c r="AF235" s="34"/>
      <c r="AH235" s="34"/>
      <c r="AJ235" s="34"/>
      <c r="AL235" s="34"/>
      <c r="AN235" s="34"/>
      <c r="AO235" s="29"/>
      <c r="AP235" s="47">
        <f t="shared" si="7"/>
        <v>3264</v>
      </c>
      <c r="AQ235" s="48">
        <f t="shared" si="2"/>
        <v>240</v>
      </c>
      <c r="AR235" s="41">
        <f t="shared" si="3"/>
        <v>0</v>
      </c>
      <c r="AS235" s="41">
        <f t="shared" si="4"/>
        <v>240</v>
      </c>
      <c r="AT235" s="46">
        <f t="shared" si="5"/>
        <v>13.6</v>
      </c>
      <c r="AU235" s="37"/>
      <c r="AV235" s="37"/>
      <c r="AW235" s="37"/>
      <c r="AX235" s="37"/>
      <c r="AY235" s="37"/>
    </row>
    <row r="236" ht="15.75" customHeight="1">
      <c r="A236" s="39" t="s">
        <v>28</v>
      </c>
      <c r="B236" s="40">
        <f t="shared" si="6"/>
        <v>44796</v>
      </c>
      <c r="C236" s="41">
        <v>9.0</v>
      </c>
      <c r="D236" s="41" t="s">
        <v>33</v>
      </c>
      <c r="E236" s="43" t="s">
        <v>40</v>
      </c>
      <c r="F236" s="30">
        <v>0.0</v>
      </c>
      <c r="H236" s="31">
        <v>0.0</v>
      </c>
      <c r="J236" s="31">
        <v>0.0</v>
      </c>
      <c r="L236" s="31">
        <v>0.0</v>
      </c>
      <c r="N236" s="31">
        <v>0.0</v>
      </c>
      <c r="P236" s="31">
        <v>0.0</v>
      </c>
      <c r="Q236" s="29"/>
      <c r="R236" s="30">
        <v>120.0</v>
      </c>
      <c r="T236" s="31">
        <v>120.0</v>
      </c>
      <c r="V236" s="31">
        <v>0.0</v>
      </c>
      <c r="X236" s="31">
        <v>0.0</v>
      </c>
      <c r="Z236" s="31">
        <v>0.0</v>
      </c>
      <c r="AB236" s="31">
        <v>0.0</v>
      </c>
      <c r="AC236" s="29"/>
      <c r="AD236" s="33"/>
      <c r="AF236" s="34"/>
      <c r="AH236" s="34"/>
      <c r="AJ236" s="34"/>
      <c r="AL236" s="34"/>
      <c r="AN236" s="34"/>
      <c r="AO236" s="29"/>
      <c r="AP236" s="47">
        <f t="shared" si="7"/>
        <v>3264</v>
      </c>
      <c r="AQ236" s="48">
        <f t="shared" si="2"/>
        <v>240</v>
      </c>
      <c r="AR236" s="41">
        <f t="shared" si="3"/>
        <v>0</v>
      </c>
      <c r="AS236" s="41">
        <f t="shared" si="4"/>
        <v>240</v>
      </c>
      <c r="AT236" s="46">
        <f t="shared" si="5"/>
        <v>13.6</v>
      </c>
      <c r="AU236" s="37"/>
      <c r="AV236" s="37"/>
      <c r="AW236" s="37"/>
      <c r="AX236" s="37"/>
      <c r="AY236" s="37"/>
    </row>
    <row r="237" ht="15.75" customHeight="1">
      <c r="A237" s="39" t="s">
        <v>29</v>
      </c>
      <c r="B237" s="40">
        <f t="shared" si="6"/>
        <v>44797</v>
      </c>
      <c r="C237" s="41">
        <v>9.0</v>
      </c>
      <c r="D237" s="41" t="s">
        <v>33</v>
      </c>
      <c r="E237" s="43" t="s">
        <v>40</v>
      </c>
      <c r="F237" s="30">
        <v>0.0</v>
      </c>
      <c r="H237" s="31">
        <v>0.0</v>
      </c>
      <c r="J237" s="31">
        <v>0.0</v>
      </c>
      <c r="L237" s="31">
        <v>0.0</v>
      </c>
      <c r="N237" s="31">
        <v>0.0</v>
      </c>
      <c r="P237" s="31">
        <v>0.0</v>
      </c>
      <c r="Q237" s="29"/>
      <c r="R237" s="30">
        <v>120.0</v>
      </c>
      <c r="T237" s="31">
        <v>120.0</v>
      </c>
      <c r="V237" s="31">
        <v>0.0</v>
      </c>
      <c r="X237" s="31">
        <v>0.0</v>
      </c>
      <c r="Z237" s="31">
        <v>0.0</v>
      </c>
      <c r="AB237" s="31">
        <v>12.0</v>
      </c>
      <c r="AC237" s="29"/>
      <c r="AD237" s="33"/>
      <c r="AF237" s="34"/>
      <c r="AH237" s="34"/>
      <c r="AJ237" s="34"/>
      <c r="AL237" s="34"/>
      <c r="AN237" s="34"/>
      <c r="AO237" s="29"/>
      <c r="AP237" s="47">
        <f t="shared" si="7"/>
        <v>3331.2</v>
      </c>
      <c r="AQ237" s="48">
        <f t="shared" si="2"/>
        <v>240</v>
      </c>
      <c r="AR237" s="41">
        <f t="shared" si="3"/>
        <v>12</v>
      </c>
      <c r="AS237" s="41">
        <f t="shared" si="4"/>
        <v>252</v>
      </c>
      <c r="AT237" s="46">
        <f t="shared" si="5"/>
        <v>13.21904762</v>
      </c>
      <c r="AU237" s="37"/>
      <c r="AV237" s="37"/>
      <c r="AW237" s="37"/>
      <c r="AX237" s="37"/>
      <c r="AY237" s="37"/>
    </row>
    <row r="238" ht="15.75" customHeight="1">
      <c r="A238" s="39" t="s">
        <v>30</v>
      </c>
      <c r="B238" s="40">
        <f t="shared" si="6"/>
        <v>44798</v>
      </c>
      <c r="C238" s="41">
        <v>9.0</v>
      </c>
      <c r="D238" s="41" t="s">
        <v>33</v>
      </c>
      <c r="E238" s="43" t="s">
        <v>40</v>
      </c>
      <c r="F238" s="30">
        <v>0.0</v>
      </c>
      <c r="H238" s="31">
        <v>0.0</v>
      </c>
      <c r="J238" s="31">
        <v>0.0</v>
      </c>
      <c r="L238" s="31">
        <v>0.0</v>
      </c>
      <c r="N238" s="31">
        <v>0.0</v>
      </c>
      <c r="P238" s="31">
        <v>0.0</v>
      </c>
      <c r="Q238" s="29"/>
      <c r="R238" s="30">
        <v>120.0</v>
      </c>
      <c r="T238" s="31">
        <v>120.0</v>
      </c>
      <c r="V238" s="31">
        <v>0.0</v>
      </c>
      <c r="X238" s="31">
        <v>0.0</v>
      </c>
      <c r="Z238" s="31">
        <v>0.0</v>
      </c>
      <c r="AB238" s="31">
        <v>15.0</v>
      </c>
      <c r="AC238" s="29"/>
      <c r="AD238" s="33"/>
      <c r="AF238" s="34"/>
      <c r="AH238" s="34"/>
      <c r="AJ238" s="34"/>
      <c r="AL238" s="34"/>
      <c r="AN238" s="34"/>
      <c r="AO238" s="29"/>
      <c r="AP238" s="47">
        <f t="shared" si="7"/>
        <v>3348</v>
      </c>
      <c r="AQ238" s="48">
        <f t="shared" si="2"/>
        <v>240</v>
      </c>
      <c r="AR238" s="41">
        <f t="shared" si="3"/>
        <v>15</v>
      </c>
      <c r="AS238" s="41">
        <f t="shared" si="4"/>
        <v>255</v>
      </c>
      <c r="AT238" s="46">
        <f t="shared" si="5"/>
        <v>13.12941176</v>
      </c>
      <c r="AU238" s="37"/>
      <c r="AV238" s="37"/>
      <c r="AW238" s="37"/>
      <c r="AX238" s="37"/>
      <c r="AY238" s="37"/>
    </row>
    <row r="239" ht="15.75" customHeight="1">
      <c r="A239" s="39" t="s">
        <v>31</v>
      </c>
      <c r="B239" s="40">
        <f t="shared" si="6"/>
        <v>44799</v>
      </c>
      <c r="C239" s="41">
        <v>9.0</v>
      </c>
      <c r="D239" s="41" t="s">
        <v>33</v>
      </c>
      <c r="E239" s="43" t="s">
        <v>40</v>
      </c>
      <c r="F239" s="30">
        <v>0.0</v>
      </c>
      <c r="H239" s="31">
        <v>0.0</v>
      </c>
      <c r="J239" s="31">
        <v>0.0</v>
      </c>
      <c r="L239" s="31">
        <v>0.0</v>
      </c>
      <c r="N239" s="31">
        <v>0.0</v>
      </c>
      <c r="P239" s="31">
        <v>0.0</v>
      </c>
      <c r="Q239" s="29"/>
      <c r="R239" s="30">
        <v>0.0</v>
      </c>
      <c r="T239" s="31">
        <v>0.0</v>
      </c>
      <c r="V239" s="31">
        <v>0.0</v>
      </c>
      <c r="X239" s="31">
        <v>0.0</v>
      </c>
      <c r="Z239" s="31">
        <v>0.0</v>
      </c>
      <c r="AB239" s="31">
        <v>0.0</v>
      </c>
      <c r="AC239" s="29"/>
      <c r="AD239" s="33"/>
      <c r="AF239" s="34"/>
      <c r="AH239" s="34"/>
      <c r="AJ239" s="34"/>
      <c r="AL239" s="34"/>
      <c r="AN239" s="34"/>
      <c r="AO239" s="29"/>
      <c r="AP239" s="47">
        <f t="shared" si="7"/>
        <v>0</v>
      </c>
      <c r="AQ239" s="48">
        <f t="shared" si="2"/>
        <v>0</v>
      </c>
      <c r="AR239" s="41">
        <f t="shared" si="3"/>
        <v>0</v>
      </c>
      <c r="AS239" s="41">
        <f t="shared" si="4"/>
        <v>0</v>
      </c>
      <c r="AT239" s="46" t="str">
        <f t="shared" si="5"/>
        <v/>
      </c>
      <c r="AU239" s="37"/>
      <c r="AV239" s="37"/>
      <c r="AW239" s="37"/>
      <c r="AX239" s="37"/>
      <c r="AY239" s="37"/>
    </row>
    <row r="240" ht="15.75" customHeight="1">
      <c r="A240" s="49" t="s">
        <v>32</v>
      </c>
      <c r="B240" s="50">
        <f t="shared" si="6"/>
        <v>44800</v>
      </c>
      <c r="C240" s="51">
        <v>9.0</v>
      </c>
      <c r="D240" s="51" t="s">
        <v>33</v>
      </c>
      <c r="E240" s="53" t="s">
        <v>40</v>
      </c>
      <c r="F240" s="64">
        <v>0.0</v>
      </c>
      <c r="G240" s="55"/>
      <c r="H240" s="65">
        <v>0.0</v>
      </c>
      <c r="I240" s="55"/>
      <c r="J240" s="65">
        <v>0.0</v>
      </c>
      <c r="K240" s="55"/>
      <c r="L240" s="65">
        <v>0.0</v>
      </c>
      <c r="M240" s="55"/>
      <c r="N240" s="65">
        <v>0.0</v>
      </c>
      <c r="O240" s="55"/>
      <c r="P240" s="65">
        <v>0.0</v>
      </c>
      <c r="Q240" s="58"/>
      <c r="R240" s="64">
        <v>0.0</v>
      </c>
      <c r="S240" s="55"/>
      <c r="T240" s="65">
        <v>0.0</v>
      </c>
      <c r="U240" s="55"/>
      <c r="V240" s="65">
        <v>0.0</v>
      </c>
      <c r="W240" s="55"/>
      <c r="X240" s="65">
        <v>0.0</v>
      </c>
      <c r="Y240" s="55"/>
      <c r="Z240" s="65">
        <v>0.0</v>
      </c>
      <c r="AA240" s="55"/>
      <c r="AB240" s="65">
        <v>0.0</v>
      </c>
      <c r="AC240" s="58"/>
      <c r="AD240" s="66"/>
      <c r="AE240" s="55"/>
      <c r="AF240" s="67"/>
      <c r="AG240" s="55"/>
      <c r="AH240" s="67"/>
      <c r="AI240" s="55"/>
      <c r="AJ240" s="67"/>
      <c r="AK240" s="55"/>
      <c r="AL240" s="67"/>
      <c r="AM240" s="55"/>
      <c r="AN240" s="67"/>
      <c r="AO240" s="58"/>
      <c r="AP240" s="68">
        <f t="shared" si="7"/>
        <v>0</v>
      </c>
      <c r="AQ240" s="69">
        <f t="shared" si="2"/>
        <v>0</v>
      </c>
      <c r="AR240" s="51">
        <f t="shared" si="3"/>
        <v>0</v>
      </c>
      <c r="AS240" s="51">
        <f t="shared" si="4"/>
        <v>0</v>
      </c>
      <c r="AT240" s="61" t="str">
        <f t="shared" si="5"/>
        <v/>
      </c>
      <c r="AU240" s="37"/>
      <c r="AV240" s="37"/>
      <c r="AW240" s="37"/>
      <c r="AX240" s="37"/>
      <c r="AY240" s="37"/>
    </row>
    <row r="241" ht="15.75" customHeight="1">
      <c r="A241" s="21" t="s">
        <v>24</v>
      </c>
      <c r="B241" s="62">
        <f t="shared" si="6"/>
        <v>44801</v>
      </c>
      <c r="C241" s="23">
        <v>9.0</v>
      </c>
      <c r="D241" s="23" t="s">
        <v>34</v>
      </c>
      <c r="E241" s="63" t="s">
        <v>40</v>
      </c>
      <c r="F241" s="30">
        <v>0.0</v>
      </c>
      <c r="H241" s="31">
        <v>0.0</v>
      </c>
      <c r="J241" s="31">
        <v>0.0</v>
      </c>
      <c r="L241" s="31">
        <v>0.0</v>
      </c>
      <c r="N241" s="31">
        <v>0.0</v>
      </c>
      <c r="P241" s="31">
        <v>0.0</v>
      </c>
      <c r="Q241" s="29"/>
      <c r="R241" s="30">
        <v>120.0</v>
      </c>
      <c r="T241" s="31">
        <v>120.0</v>
      </c>
      <c r="V241" s="31">
        <v>0.0</v>
      </c>
      <c r="X241" s="31">
        <v>0.0</v>
      </c>
      <c r="Z241" s="31">
        <v>0.0</v>
      </c>
      <c r="AB241" s="31">
        <v>0.0</v>
      </c>
      <c r="AC241" s="29"/>
      <c r="AD241" s="33"/>
      <c r="AF241" s="34"/>
      <c r="AH241" s="34"/>
      <c r="AJ241" s="34"/>
      <c r="AL241" s="34"/>
      <c r="AN241" s="34"/>
      <c r="AO241" s="29"/>
      <c r="AP241" s="38">
        <f t="shared" si="7"/>
        <v>3264</v>
      </c>
      <c r="AQ241" s="44">
        <f t="shared" si="2"/>
        <v>240</v>
      </c>
      <c r="AR241" s="23">
        <f t="shared" si="3"/>
        <v>0</v>
      </c>
      <c r="AS241" s="23">
        <f t="shared" si="4"/>
        <v>240</v>
      </c>
      <c r="AT241" s="36">
        <f t="shared" si="5"/>
        <v>13.6</v>
      </c>
      <c r="AU241" s="37"/>
      <c r="AV241" s="37"/>
      <c r="AW241" s="37"/>
      <c r="AX241" s="37"/>
      <c r="AY241" s="37"/>
    </row>
    <row r="242" ht="15.75" customHeight="1">
      <c r="A242" s="39" t="s">
        <v>27</v>
      </c>
      <c r="B242" s="40">
        <f t="shared" si="6"/>
        <v>44802</v>
      </c>
      <c r="C242" s="41">
        <v>9.0</v>
      </c>
      <c r="D242" s="41" t="s">
        <v>34</v>
      </c>
      <c r="E242" s="43" t="s">
        <v>40</v>
      </c>
      <c r="F242" s="30">
        <v>0.0</v>
      </c>
      <c r="H242" s="31">
        <v>0.0</v>
      </c>
      <c r="J242" s="31">
        <v>0.0</v>
      </c>
      <c r="L242" s="31">
        <v>0.0</v>
      </c>
      <c r="N242" s="31">
        <v>0.0</v>
      </c>
      <c r="P242" s="31">
        <v>0.0</v>
      </c>
      <c r="Q242" s="29"/>
      <c r="R242" s="30">
        <v>120.0</v>
      </c>
      <c r="T242" s="31">
        <v>120.0</v>
      </c>
      <c r="V242" s="31">
        <v>0.0</v>
      </c>
      <c r="X242" s="31">
        <v>0.0</v>
      </c>
      <c r="Z242" s="31">
        <v>0.0</v>
      </c>
      <c r="AB242" s="31">
        <v>0.0</v>
      </c>
      <c r="AC242" s="29"/>
      <c r="AD242" s="33"/>
      <c r="AF242" s="34"/>
      <c r="AH242" s="34"/>
      <c r="AJ242" s="34"/>
      <c r="AL242" s="34"/>
      <c r="AN242" s="34"/>
      <c r="AO242" s="29"/>
      <c r="AP242" s="47">
        <f t="shared" si="7"/>
        <v>3264</v>
      </c>
      <c r="AQ242" s="48">
        <f t="shared" si="2"/>
        <v>240</v>
      </c>
      <c r="AR242" s="41">
        <f t="shared" si="3"/>
        <v>0</v>
      </c>
      <c r="AS242" s="41">
        <f t="shared" si="4"/>
        <v>240</v>
      </c>
      <c r="AT242" s="46">
        <f t="shared" si="5"/>
        <v>13.6</v>
      </c>
      <c r="AU242" s="37"/>
      <c r="AV242" s="37"/>
      <c r="AW242" s="37"/>
      <c r="AX242" s="37"/>
      <c r="AY242" s="37"/>
    </row>
    <row r="243" ht="15.75" customHeight="1">
      <c r="A243" s="39" t="s">
        <v>28</v>
      </c>
      <c r="B243" s="40">
        <f t="shared" si="6"/>
        <v>44803</v>
      </c>
      <c r="C243" s="41">
        <v>9.0</v>
      </c>
      <c r="D243" s="41" t="s">
        <v>34</v>
      </c>
      <c r="E243" s="43" t="s">
        <v>40</v>
      </c>
      <c r="F243" s="30">
        <v>0.0</v>
      </c>
      <c r="H243" s="31">
        <v>0.0</v>
      </c>
      <c r="J243" s="31">
        <v>0.0</v>
      </c>
      <c r="L243" s="31">
        <v>0.0</v>
      </c>
      <c r="N243" s="31">
        <v>0.0</v>
      </c>
      <c r="P243" s="31">
        <v>0.0</v>
      </c>
      <c r="Q243" s="29"/>
      <c r="R243" s="30">
        <v>120.0</v>
      </c>
      <c r="T243" s="31">
        <v>120.0</v>
      </c>
      <c r="V243" s="31">
        <v>0.0</v>
      </c>
      <c r="X243" s="31">
        <v>0.0</v>
      </c>
      <c r="Z243" s="31">
        <v>0.0</v>
      </c>
      <c r="AB243" s="31">
        <v>0.0</v>
      </c>
      <c r="AC243" s="29"/>
      <c r="AD243" s="33"/>
      <c r="AF243" s="34"/>
      <c r="AH243" s="34"/>
      <c r="AJ243" s="34"/>
      <c r="AL243" s="34"/>
      <c r="AN243" s="34"/>
      <c r="AO243" s="29"/>
      <c r="AP243" s="47">
        <f t="shared" si="7"/>
        <v>3264</v>
      </c>
      <c r="AQ243" s="48">
        <f t="shared" si="2"/>
        <v>240</v>
      </c>
      <c r="AR243" s="41">
        <f t="shared" si="3"/>
        <v>0</v>
      </c>
      <c r="AS243" s="41">
        <f t="shared" si="4"/>
        <v>240</v>
      </c>
      <c r="AT243" s="46">
        <f t="shared" si="5"/>
        <v>13.6</v>
      </c>
      <c r="AU243" s="37"/>
      <c r="AV243" s="37"/>
      <c r="AW243" s="37"/>
      <c r="AX243" s="37"/>
      <c r="AY243" s="37"/>
    </row>
    <row r="244" ht="15.75" customHeight="1">
      <c r="A244" s="39" t="s">
        <v>29</v>
      </c>
      <c r="B244" s="40">
        <f t="shared" si="6"/>
        <v>44804</v>
      </c>
      <c r="C244" s="41">
        <v>9.0</v>
      </c>
      <c r="D244" s="41" t="s">
        <v>34</v>
      </c>
      <c r="E244" s="43" t="s">
        <v>40</v>
      </c>
      <c r="F244" s="30">
        <v>0.0</v>
      </c>
      <c r="H244" s="31">
        <v>0.0</v>
      </c>
      <c r="J244" s="31">
        <v>0.0</v>
      </c>
      <c r="L244" s="31">
        <v>0.0</v>
      </c>
      <c r="N244" s="31">
        <v>0.0</v>
      </c>
      <c r="P244" s="31">
        <v>0.0</v>
      </c>
      <c r="Q244" s="29"/>
      <c r="R244" s="30">
        <v>120.0</v>
      </c>
      <c r="T244" s="31">
        <v>120.0</v>
      </c>
      <c r="V244" s="31">
        <v>0.0</v>
      </c>
      <c r="X244" s="31">
        <v>0.0</v>
      </c>
      <c r="Z244" s="31">
        <v>0.0</v>
      </c>
      <c r="AB244" s="31">
        <v>6.0</v>
      </c>
      <c r="AC244" s="29"/>
      <c r="AD244" s="33"/>
      <c r="AF244" s="34"/>
      <c r="AH244" s="34"/>
      <c r="AJ244" s="34"/>
      <c r="AL244" s="34"/>
      <c r="AN244" s="34"/>
      <c r="AO244" s="29"/>
      <c r="AP244" s="47">
        <f t="shared" si="7"/>
        <v>3297.6</v>
      </c>
      <c r="AQ244" s="48">
        <f t="shared" si="2"/>
        <v>240</v>
      </c>
      <c r="AR244" s="41">
        <f t="shared" si="3"/>
        <v>6</v>
      </c>
      <c r="AS244" s="41">
        <f t="shared" si="4"/>
        <v>246</v>
      </c>
      <c r="AT244" s="46">
        <f t="shared" si="5"/>
        <v>13.40487805</v>
      </c>
      <c r="AU244" s="37"/>
      <c r="AV244" s="37"/>
      <c r="AW244" s="37"/>
      <c r="AX244" s="37"/>
      <c r="AY244" s="37"/>
    </row>
    <row r="245" ht="15.75" customHeight="1">
      <c r="A245" s="39" t="s">
        <v>30</v>
      </c>
      <c r="B245" s="40">
        <f t="shared" si="6"/>
        <v>44805</v>
      </c>
      <c r="C245" s="41">
        <v>9.0</v>
      </c>
      <c r="D245" s="41" t="s">
        <v>34</v>
      </c>
      <c r="E245" s="43" t="s">
        <v>40</v>
      </c>
      <c r="F245" s="30">
        <v>0.0</v>
      </c>
      <c r="H245" s="31">
        <v>0.0</v>
      </c>
      <c r="J245" s="31">
        <v>0.0</v>
      </c>
      <c r="L245" s="31">
        <v>0.0</v>
      </c>
      <c r="N245" s="31">
        <v>0.0</v>
      </c>
      <c r="P245" s="31">
        <v>0.0</v>
      </c>
      <c r="Q245" s="29"/>
      <c r="R245" s="30">
        <v>120.0</v>
      </c>
      <c r="T245" s="31">
        <v>120.0</v>
      </c>
      <c r="V245" s="31">
        <v>0.0</v>
      </c>
      <c r="X245" s="31">
        <v>0.0</v>
      </c>
      <c r="Z245" s="31">
        <v>0.0</v>
      </c>
      <c r="AB245" s="31">
        <v>16.0</v>
      </c>
      <c r="AC245" s="29"/>
      <c r="AD245" s="33"/>
      <c r="AF245" s="34"/>
      <c r="AH245" s="34"/>
      <c r="AJ245" s="34"/>
      <c r="AL245" s="34"/>
      <c r="AN245" s="34"/>
      <c r="AO245" s="29"/>
      <c r="AP245" s="47">
        <f t="shared" si="7"/>
        <v>3353.6</v>
      </c>
      <c r="AQ245" s="48">
        <f t="shared" si="2"/>
        <v>240</v>
      </c>
      <c r="AR245" s="41">
        <f t="shared" si="3"/>
        <v>16</v>
      </c>
      <c r="AS245" s="41">
        <f t="shared" si="4"/>
        <v>256</v>
      </c>
      <c r="AT245" s="46">
        <f t="shared" si="5"/>
        <v>13.1</v>
      </c>
      <c r="AU245" s="37"/>
      <c r="AV245" s="37"/>
      <c r="AW245" s="37"/>
      <c r="AX245" s="37"/>
      <c r="AY245" s="37"/>
    </row>
    <row r="246" ht="15.75" customHeight="1">
      <c r="A246" s="39" t="s">
        <v>31</v>
      </c>
      <c r="B246" s="40">
        <f t="shared" si="6"/>
        <v>44806</v>
      </c>
      <c r="C246" s="41">
        <v>9.0</v>
      </c>
      <c r="D246" s="41" t="s">
        <v>34</v>
      </c>
      <c r="E246" s="43" t="s">
        <v>40</v>
      </c>
      <c r="F246" s="30">
        <v>0.0</v>
      </c>
      <c r="H246" s="31">
        <v>0.0</v>
      </c>
      <c r="J246" s="31">
        <v>0.0</v>
      </c>
      <c r="L246" s="31">
        <v>0.0</v>
      </c>
      <c r="N246" s="31">
        <v>0.0</v>
      </c>
      <c r="P246" s="31">
        <v>0.0</v>
      </c>
      <c r="Q246" s="29"/>
      <c r="R246" s="30">
        <v>0.0</v>
      </c>
      <c r="T246" s="31">
        <v>0.0</v>
      </c>
      <c r="V246" s="31">
        <v>0.0</v>
      </c>
      <c r="X246" s="31">
        <v>0.0</v>
      </c>
      <c r="Z246" s="31">
        <v>0.0</v>
      </c>
      <c r="AB246" s="31">
        <v>0.0</v>
      </c>
      <c r="AC246" s="29"/>
      <c r="AD246" s="33"/>
      <c r="AF246" s="34"/>
      <c r="AH246" s="34"/>
      <c r="AJ246" s="34"/>
      <c r="AL246" s="34"/>
      <c r="AN246" s="34"/>
      <c r="AO246" s="29"/>
      <c r="AP246" s="47">
        <f t="shared" si="7"/>
        <v>0</v>
      </c>
      <c r="AQ246" s="48">
        <f t="shared" si="2"/>
        <v>0</v>
      </c>
      <c r="AR246" s="41">
        <f t="shared" si="3"/>
        <v>0</v>
      </c>
      <c r="AS246" s="41">
        <f t="shared" si="4"/>
        <v>0</v>
      </c>
      <c r="AT246" s="46" t="str">
        <f t="shared" si="5"/>
        <v/>
      </c>
      <c r="AU246" s="37"/>
      <c r="AV246" s="37"/>
      <c r="AW246" s="37"/>
      <c r="AX246" s="37"/>
      <c r="AY246" s="37"/>
    </row>
    <row r="247" ht="15.75" customHeight="1">
      <c r="A247" s="49" t="s">
        <v>32</v>
      </c>
      <c r="B247" s="50">
        <f t="shared" si="6"/>
        <v>44807</v>
      </c>
      <c r="C247" s="51">
        <v>9.0</v>
      </c>
      <c r="D247" s="51" t="s">
        <v>34</v>
      </c>
      <c r="E247" s="53" t="s">
        <v>40</v>
      </c>
      <c r="F247" s="64">
        <v>0.0</v>
      </c>
      <c r="G247" s="55"/>
      <c r="H247" s="65">
        <v>0.0</v>
      </c>
      <c r="I247" s="55"/>
      <c r="J247" s="65">
        <v>0.0</v>
      </c>
      <c r="K247" s="55"/>
      <c r="L247" s="65">
        <v>0.0</v>
      </c>
      <c r="M247" s="55"/>
      <c r="N247" s="65">
        <v>0.0</v>
      </c>
      <c r="O247" s="55"/>
      <c r="P247" s="65">
        <v>0.0</v>
      </c>
      <c r="Q247" s="58"/>
      <c r="R247" s="64">
        <v>0.0</v>
      </c>
      <c r="S247" s="55"/>
      <c r="T247" s="65">
        <v>0.0</v>
      </c>
      <c r="U247" s="55"/>
      <c r="V247" s="65">
        <v>0.0</v>
      </c>
      <c r="W247" s="55"/>
      <c r="X247" s="65">
        <v>0.0</v>
      </c>
      <c r="Y247" s="55"/>
      <c r="Z247" s="65">
        <v>0.0</v>
      </c>
      <c r="AA247" s="55"/>
      <c r="AB247" s="65">
        <v>0.0</v>
      </c>
      <c r="AC247" s="58"/>
      <c r="AD247" s="66"/>
      <c r="AE247" s="55"/>
      <c r="AF247" s="67"/>
      <c r="AG247" s="55"/>
      <c r="AH247" s="67"/>
      <c r="AI247" s="55"/>
      <c r="AJ247" s="67"/>
      <c r="AK247" s="55"/>
      <c r="AL247" s="67"/>
      <c r="AM247" s="55"/>
      <c r="AN247" s="67"/>
      <c r="AO247" s="58"/>
      <c r="AP247" s="68">
        <f t="shared" si="7"/>
        <v>0</v>
      </c>
      <c r="AQ247" s="69">
        <f t="shared" si="2"/>
        <v>0</v>
      </c>
      <c r="AR247" s="51">
        <f t="shared" si="3"/>
        <v>0</v>
      </c>
      <c r="AS247" s="51">
        <f t="shared" si="4"/>
        <v>0</v>
      </c>
      <c r="AT247" s="61" t="str">
        <f t="shared" si="5"/>
        <v/>
      </c>
      <c r="AU247" s="37"/>
      <c r="AV247" s="37"/>
      <c r="AW247" s="37"/>
      <c r="AX247" s="37"/>
      <c r="AY247" s="37"/>
    </row>
    <row r="248" ht="15.75" customHeight="1">
      <c r="A248" s="21" t="s">
        <v>24</v>
      </c>
      <c r="B248" s="62">
        <f t="shared" si="6"/>
        <v>44808</v>
      </c>
      <c r="C248" s="23">
        <v>9.0</v>
      </c>
      <c r="D248" s="23" t="s">
        <v>35</v>
      </c>
      <c r="E248" s="25" t="s">
        <v>26</v>
      </c>
      <c r="F248" s="30">
        <v>0.0</v>
      </c>
      <c r="H248" s="31">
        <v>0.0</v>
      </c>
      <c r="J248" s="31">
        <v>0.0</v>
      </c>
      <c r="L248" s="31">
        <v>0.0</v>
      </c>
      <c r="N248" s="31">
        <v>0.0</v>
      </c>
      <c r="P248" s="31">
        <v>0.0</v>
      </c>
      <c r="Q248" s="29"/>
      <c r="R248" s="30">
        <v>0.0</v>
      </c>
      <c r="T248" s="31">
        <v>0.0</v>
      </c>
      <c r="V248" s="31">
        <v>0.0</v>
      </c>
      <c r="X248" s="31">
        <v>0.0</v>
      </c>
      <c r="Z248" s="31">
        <v>0.0</v>
      </c>
      <c r="AB248" s="31">
        <v>0.0</v>
      </c>
      <c r="AC248" s="29"/>
      <c r="AD248" s="33"/>
      <c r="AF248" s="34"/>
      <c r="AH248" s="34"/>
      <c r="AJ248" s="34"/>
      <c r="AL248" s="34"/>
      <c r="AN248" s="34"/>
      <c r="AO248" s="29"/>
      <c r="AP248" s="38">
        <f t="shared" si="7"/>
        <v>0</v>
      </c>
      <c r="AQ248" s="44">
        <f t="shared" si="2"/>
        <v>0</v>
      </c>
      <c r="AR248" s="23">
        <f t="shared" si="3"/>
        <v>0</v>
      </c>
      <c r="AS248" s="23">
        <f t="shared" si="4"/>
        <v>0</v>
      </c>
      <c r="AT248" s="36" t="str">
        <f t="shared" si="5"/>
        <v/>
      </c>
      <c r="AU248" s="37"/>
      <c r="AV248" s="37"/>
      <c r="AW248" s="37"/>
      <c r="AX248" s="37"/>
      <c r="AY248" s="37"/>
    </row>
    <row r="249" ht="15.75" customHeight="1">
      <c r="A249" s="39" t="s">
        <v>27</v>
      </c>
      <c r="B249" s="40">
        <f t="shared" si="6"/>
        <v>44809</v>
      </c>
      <c r="C249" s="41">
        <v>9.0</v>
      </c>
      <c r="D249" s="41" t="s">
        <v>35</v>
      </c>
      <c r="E249" s="43" t="s">
        <v>26</v>
      </c>
      <c r="F249" s="30">
        <v>0.0</v>
      </c>
      <c r="H249" s="31">
        <v>0.0</v>
      </c>
      <c r="J249" s="31">
        <v>0.0</v>
      </c>
      <c r="L249" s="31">
        <v>0.0</v>
      </c>
      <c r="N249" s="31">
        <v>0.0</v>
      </c>
      <c r="P249" s="31">
        <v>0.0</v>
      </c>
      <c r="Q249" s="29"/>
      <c r="R249" s="30">
        <v>110.0</v>
      </c>
      <c r="T249" s="31">
        <v>110.0</v>
      </c>
      <c r="V249" s="31">
        <v>0.0</v>
      </c>
      <c r="X249" s="31">
        <v>0.0</v>
      </c>
      <c r="Z249" s="31">
        <v>0.0</v>
      </c>
      <c r="AB249" s="31">
        <v>0.0</v>
      </c>
      <c r="AC249" s="29"/>
      <c r="AD249" s="33"/>
      <c r="AF249" s="34"/>
      <c r="AH249" s="34"/>
      <c r="AJ249" s="34"/>
      <c r="AL249" s="34"/>
      <c r="AN249" s="34"/>
      <c r="AO249" s="29"/>
      <c r="AP249" s="47">
        <f t="shared" si="7"/>
        <v>2992</v>
      </c>
      <c r="AQ249" s="48">
        <f t="shared" si="2"/>
        <v>220</v>
      </c>
      <c r="AR249" s="41">
        <f t="shared" si="3"/>
        <v>0</v>
      </c>
      <c r="AS249" s="41">
        <f t="shared" si="4"/>
        <v>220</v>
      </c>
      <c r="AT249" s="46">
        <f t="shared" si="5"/>
        <v>13.6</v>
      </c>
      <c r="AU249" s="37"/>
      <c r="AV249" s="37"/>
      <c r="AW249" s="37"/>
      <c r="AX249" s="37"/>
      <c r="AY249" s="37"/>
    </row>
    <row r="250" ht="15.75" customHeight="1">
      <c r="A250" s="39" t="s">
        <v>28</v>
      </c>
      <c r="B250" s="40">
        <f t="shared" si="6"/>
        <v>44810</v>
      </c>
      <c r="C250" s="41">
        <v>9.0</v>
      </c>
      <c r="D250" s="41" t="s">
        <v>35</v>
      </c>
      <c r="E250" s="43" t="s">
        <v>26</v>
      </c>
      <c r="F250" s="30">
        <v>0.0</v>
      </c>
      <c r="H250" s="31">
        <v>0.0</v>
      </c>
      <c r="J250" s="31">
        <v>0.0</v>
      </c>
      <c r="L250" s="31">
        <v>0.0</v>
      </c>
      <c r="N250" s="31">
        <v>0.0</v>
      </c>
      <c r="P250" s="31">
        <v>0.0</v>
      </c>
      <c r="Q250" s="29"/>
      <c r="R250" s="30">
        <v>110.0</v>
      </c>
      <c r="T250" s="31">
        <v>110.0</v>
      </c>
      <c r="V250" s="31">
        <v>0.0</v>
      </c>
      <c r="X250" s="31">
        <v>0.0</v>
      </c>
      <c r="Z250" s="31">
        <v>0.0</v>
      </c>
      <c r="AB250" s="31">
        <v>0.0</v>
      </c>
      <c r="AC250" s="29"/>
      <c r="AD250" s="33"/>
      <c r="AF250" s="34"/>
      <c r="AH250" s="34"/>
      <c r="AJ250" s="34"/>
      <c r="AL250" s="34"/>
      <c r="AN250" s="34"/>
      <c r="AO250" s="29"/>
      <c r="AP250" s="47">
        <f t="shared" si="7"/>
        <v>2992</v>
      </c>
      <c r="AQ250" s="48">
        <f t="shared" si="2"/>
        <v>220</v>
      </c>
      <c r="AR250" s="41">
        <f t="shared" si="3"/>
        <v>0</v>
      </c>
      <c r="AS250" s="41">
        <f t="shared" si="4"/>
        <v>220</v>
      </c>
      <c r="AT250" s="46">
        <f t="shared" si="5"/>
        <v>13.6</v>
      </c>
      <c r="AU250" s="37"/>
      <c r="AV250" s="37"/>
      <c r="AW250" s="37"/>
      <c r="AX250" s="37"/>
      <c r="AY250" s="37"/>
    </row>
    <row r="251" ht="15.75" customHeight="1">
      <c r="A251" s="39" t="s">
        <v>29</v>
      </c>
      <c r="B251" s="40">
        <f t="shared" si="6"/>
        <v>44811</v>
      </c>
      <c r="C251" s="41">
        <v>9.0</v>
      </c>
      <c r="D251" s="41" t="s">
        <v>35</v>
      </c>
      <c r="E251" s="43" t="s">
        <v>26</v>
      </c>
      <c r="F251" s="30">
        <v>0.0</v>
      </c>
      <c r="H251" s="31">
        <v>0.0</v>
      </c>
      <c r="J251" s="31">
        <v>0.0</v>
      </c>
      <c r="L251" s="31">
        <v>0.0</v>
      </c>
      <c r="N251" s="31">
        <v>0.0</v>
      </c>
      <c r="P251" s="31">
        <v>0.0</v>
      </c>
      <c r="Q251" s="29"/>
      <c r="R251" s="30">
        <v>110.0</v>
      </c>
      <c r="T251" s="31">
        <v>110.0</v>
      </c>
      <c r="V251" s="31">
        <v>0.0</v>
      </c>
      <c r="X251" s="31">
        <v>0.0</v>
      </c>
      <c r="Z251" s="31">
        <v>0.0</v>
      </c>
      <c r="AB251" s="31">
        <v>0.0</v>
      </c>
      <c r="AC251" s="29"/>
      <c r="AD251" s="33"/>
      <c r="AF251" s="34"/>
      <c r="AH251" s="34"/>
      <c r="AJ251" s="34"/>
      <c r="AL251" s="34"/>
      <c r="AN251" s="34"/>
      <c r="AO251" s="29"/>
      <c r="AP251" s="47">
        <f t="shared" si="7"/>
        <v>2992</v>
      </c>
      <c r="AQ251" s="48">
        <f t="shared" si="2"/>
        <v>220</v>
      </c>
      <c r="AR251" s="41">
        <f t="shared" si="3"/>
        <v>0</v>
      </c>
      <c r="AS251" s="41">
        <f t="shared" si="4"/>
        <v>220</v>
      </c>
      <c r="AT251" s="46">
        <f t="shared" si="5"/>
        <v>13.6</v>
      </c>
      <c r="AU251" s="37"/>
      <c r="AV251" s="37"/>
      <c r="AW251" s="37"/>
      <c r="AX251" s="37"/>
      <c r="AY251" s="37"/>
    </row>
    <row r="252" ht="15.75" customHeight="1">
      <c r="A252" s="39" t="s">
        <v>30</v>
      </c>
      <c r="B252" s="40">
        <f t="shared" si="6"/>
        <v>44812</v>
      </c>
      <c r="C252" s="41">
        <v>9.0</v>
      </c>
      <c r="D252" s="41" t="s">
        <v>35</v>
      </c>
      <c r="E252" s="43" t="s">
        <v>26</v>
      </c>
      <c r="F252" s="30">
        <v>0.0</v>
      </c>
      <c r="H252" s="31">
        <v>0.0</v>
      </c>
      <c r="J252" s="31">
        <v>0.0</v>
      </c>
      <c r="L252" s="31">
        <v>0.0</v>
      </c>
      <c r="N252" s="31">
        <v>0.0</v>
      </c>
      <c r="P252" s="31">
        <v>0.0</v>
      </c>
      <c r="Q252" s="29"/>
      <c r="R252" s="30">
        <v>110.0</v>
      </c>
      <c r="T252" s="31">
        <v>110.0</v>
      </c>
      <c r="V252" s="31">
        <v>0.0</v>
      </c>
      <c r="X252" s="31">
        <v>0.0</v>
      </c>
      <c r="Z252" s="31">
        <v>0.0</v>
      </c>
      <c r="AB252" s="31">
        <v>0.0</v>
      </c>
      <c r="AC252" s="29"/>
      <c r="AD252" s="33"/>
      <c r="AF252" s="34"/>
      <c r="AH252" s="34"/>
      <c r="AJ252" s="34"/>
      <c r="AL252" s="34"/>
      <c r="AN252" s="34"/>
      <c r="AO252" s="29"/>
      <c r="AP252" s="47">
        <f t="shared" si="7"/>
        <v>2992</v>
      </c>
      <c r="AQ252" s="48">
        <f t="shared" si="2"/>
        <v>220</v>
      </c>
      <c r="AR252" s="41">
        <f t="shared" si="3"/>
        <v>0</v>
      </c>
      <c r="AS252" s="41">
        <f t="shared" si="4"/>
        <v>220</v>
      </c>
      <c r="AT252" s="46">
        <f t="shared" si="5"/>
        <v>13.6</v>
      </c>
      <c r="AU252" s="37"/>
      <c r="AV252" s="37"/>
      <c r="AW252" s="37"/>
      <c r="AX252" s="37"/>
      <c r="AY252" s="37"/>
    </row>
    <row r="253" ht="15.75" customHeight="1">
      <c r="A253" s="39" t="s">
        <v>31</v>
      </c>
      <c r="B253" s="40">
        <f t="shared" si="6"/>
        <v>44813</v>
      </c>
      <c r="C253" s="41">
        <v>9.0</v>
      </c>
      <c r="D253" s="41" t="s">
        <v>35</v>
      </c>
      <c r="E253" s="43" t="s">
        <v>26</v>
      </c>
      <c r="F253" s="30">
        <v>0.0</v>
      </c>
      <c r="H253" s="31">
        <v>0.0</v>
      </c>
      <c r="J253" s="31">
        <v>0.0</v>
      </c>
      <c r="L253" s="31">
        <v>0.0</v>
      </c>
      <c r="N253" s="31">
        <v>0.0</v>
      </c>
      <c r="P253" s="31">
        <v>0.0</v>
      </c>
      <c r="Q253" s="29"/>
      <c r="R253" s="30">
        <v>0.0</v>
      </c>
      <c r="T253" s="31">
        <v>0.0</v>
      </c>
      <c r="V253" s="31">
        <v>0.0</v>
      </c>
      <c r="X253" s="31">
        <v>0.0</v>
      </c>
      <c r="Z253" s="31">
        <v>0.0</v>
      </c>
      <c r="AB253" s="31">
        <v>0.0</v>
      </c>
      <c r="AC253" s="29"/>
      <c r="AD253" s="33"/>
      <c r="AF253" s="34"/>
      <c r="AH253" s="34"/>
      <c r="AJ253" s="34"/>
      <c r="AL253" s="34"/>
      <c r="AN253" s="34"/>
      <c r="AO253" s="29"/>
      <c r="AP253" s="47">
        <f t="shared" si="7"/>
        <v>0</v>
      </c>
      <c r="AQ253" s="48">
        <f t="shared" si="2"/>
        <v>0</v>
      </c>
      <c r="AR253" s="41">
        <f t="shared" si="3"/>
        <v>0</v>
      </c>
      <c r="AS253" s="41">
        <f t="shared" si="4"/>
        <v>0</v>
      </c>
      <c r="AT253" s="46" t="str">
        <f t="shared" si="5"/>
        <v/>
      </c>
      <c r="AU253" s="37"/>
      <c r="AV253" s="37"/>
      <c r="AW253" s="37"/>
      <c r="AX253" s="37"/>
      <c r="AY253" s="37"/>
    </row>
    <row r="254" ht="15.75" customHeight="1">
      <c r="A254" s="49" t="s">
        <v>32</v>
      </c>
      <c r="B254" s="50">
        <f t="shared" si="6"/>
        <v>44814</v>
      </c>
      <c r="C254" s="51">
        <v>9.0</v>
      </c>
      <c r="D254" s="51" t="s">
        <v>35</v>
      </c>
      <c r="E254" s="53" t="s">
        <v>26</v>
      </c>
      <c r="F254" s="64">
        <v>0.0</v>
      </c>
      <c r="G254" s="55"/>
      <c r="H254" s="65">
        <v>0.0</v>
      </c>
      <c r="I254" s="55"/>
      <c r="J254" s="65">
        <v>0.0</v>
      </c>
      <c r="K254" s="55"/>
      <c r="L254" s="65">
        <v>0.0</v>
      </c>
      <c r="M254" s="55"/>
      <c r="N254" s="65">
        <v>0.0</v>
      </c>
      <c r="O254" s="55"/>
      <c r="P254" s="65">
        <v>0.0</v>
      </c>
      <c r="Q254" s="58"/>
      <c r="R254" s="64">
        <v>0.0</v>
      </c>
      <c r="S254" s="55"/>
      <c r="T254" s="65">
        <v>0.0</v>
      </c>
      <c r="U254" s="55"/>
      <c r="V254" s="65">
        <v>0.0</v>
      </c>
      <c r="W254" s="55"/>
      <c r="X254" s="65">
        <v>0.0</v>
      </c>
      <c r="Y254" s="55"/>
      <c r="Z254" s="65">
        <v>0.0</v>
      </c>
      <c r="AA254" s="55"/>
      <c r="AB254" s="65">
        <v>0.0</v>
      </c>
      <c r="AC254" s="58"/>
      <c r="AD254" s="66"/>
      <c r="AE254" s="55"/>
      <c r="AF254" s="67"/>
      <c r="AG254" s="55"/>
      <c r="AH254" s="67"/>
      <c r="AI254" s="55"/>
      <c r="AJ254" s="67"/>
      <c r="AK254" s="55"/>
      <c r="AL254" s="67"/>
      <c r="AM254" s="55"/>
      <c r="AN254" s="67"/>
      <c r="AO254" s="58"/>
      <c r="AP254" s="68">
        <f t="shared" si="7"/>
        <v>0</v>
      </c>
      <c r="AQ254" s="69">
        <f t="shared" si="2"/>
        <v>0</v>
      </c>
      <c r="AR254" s="51">
        <f t="shared" si="3"/>
        <v>0</v>
      </c>
      <c r="AS254" s="51">
        <f t="shared" si="4"/>
        <v>0</v>
      </c>
      <c r="AT254" s="61" t="str">
        <f t="shared" si="5"/>
        <v/>
      </c>
      <c r="AU254" s="37"/>
      <c r="AV254" s="37"/>
      <c r="AW254" s="37"/>
      <c r="AX254" s="37"/>
      <c r="AY254" s="37"/>
    </row>
    <row r="255" ht="15.75" customHeight="1">
      <c r="A255" s="21" t="s">
        <v>24</v>
      </c>
      <c r="B255" s="62">
        <f t="shared" si="6"/>
        <v>44815</v>
      </c>
      <c r="C255" s="23">
        <v>10.0</v>
      </c>
      <c r="D255" s="23" t="s">
        <v>25</v>
      </c>
      <c r="E255" s="25" t="s">
        <v>42</v>
      </c>
      <c r="F255" s="30">
        <v>0.0</v>
      </c>
      <c r="H255" s="31">
        <v>0.0</v>
      </c>
      <c r="J255" s="31">
        <v>0.0</v>
      </c>
      <c r="L255" s="31">
        <v>0.0</v>
      </c>
      <c r="N255" s="31">
        <v>0.0</v>
      </c>
      <c r="P255" s="31">
        <v>0.0</v>
      </c>
      <c r="Q255" s="29"/>
      <c r="R255" s="30">
        <v>0.0</v>
      </c>
      <c r="T255" s="31">
        <v>115.0</v>
      </c>
      <c r="V255" s="31">
        <v>115.0</v>
      </c>
      <c r="X255" s="31">
        <v>0.0</v>
      </c>
      <c r="Z255" s="31">
        <v>0.0</v>
      </c>
      <c r="AB255" s="31">
        <v>25.0</v>
      </c>
      <c r="AC255" s="29"/>
      <c r="AD255" s="33"/>
      <c r="AF255" s="34"/>
      <c r="AH255" s="34"/>
      <c r="AJ255" s="34"/>
      <c r="AL255" s="34"/>
      <c r="AN255" s="34"/>
      <c r="AO255" s="29"/>
      <c r="AP255" s="38">
        <f t="shared" si="7"/>
        <v>3268</v>
      </c>
      <c r="AQ255" s="44">
        <f t="shared" si="2"/>
        <v>230</v>
      </c>
      <c r="AR255" s="23">
        <f t="shared" si="3"/>
        <v>25</v>
      </c>
      <c r="AS255" s="23">
        <f t="shared" si="4"/>
        <v>255</v>
      </c>
      <c r="AT255" s="36">
        <f t="shared" si="5"/>
        <v>12.81568627</v>
      </c>
      <c r="AU255" s="37"/>
      <c r="AV255" s="37"/>
      <c r="AW255" s="37"/>
      <c r="AX255" s="37"/>
      <c r="AY255" s="37"/>
    </row>
    <row r="256" ht="15.75" customHeight="1">
      <c r="A256" s="39" t="s">
        <v>27</v>
      </c>
      <c r="B256" s="40">
        <f t="shared" si="6"/>
        <v>44816</v>
      </c>
      <c r="C256" s="41">
        <v>10.0</v>
      </c>
      <c r="D256" s="41" t="s">
        <v>25</v>
      </c>
      <c r="E256" s="43" t="s">
        <v>42</v>
      </c>
      <c r="F256" s="30">
        <v>0.0</v>
      </c>
      <c r="H256" s="31">
        <v>0.0</v>
      </c>
      <c r="J256" s="31">
        <v>0.0</v>
      </c>
      <c r="L256" s="31">
        <v>0.0</v>
      </c>
      <c r="N256" s="31">
        <v>0.0</v>
      </c>
      <c r="P256" s="31">
        <v>0.0</v>
      </c>
      <c r="Q256" s="29"/>
      <c r="R256" s="30">
        <v>115.0</v>
      </c>
      <c r="T256" s="31">
        <v>115.0</v>
      </c>
      <c r="V256" s="31">
        <v>0.0</v>
      </c>
      <c r="X256" s="31">
        <v>0.0</v>
      </c>
      <c r="Z256" s="31">
        <v>0.0</v>
      </c>
      <c r="AB256" s="31">
        <v>25.0</v>
      </c>
      <c r="AC256" s="29"/>
      <c r="AD256" s="33"/>
      <c r="AF256" s="34"/>
      <c r="AH256" s="34"/>
      <c r="AJ256" s="34"/>
      <c r="AL256" s="34"/>
      <c r="AN256" s="34"/>
      <c r="AO256" s="29"/>
      <c r="AP256" s="47">
        <f t="shared" si="7"/>
        <v>3268</v>
      </c>
      <c r="AQ256" s="48">
        <f t="shared" si="2"/>
        <v>230</v>
      </c>
      <c r="AR256" s="41">
        <f t="shared" si="3"/>
        <v>25</v>
      </c>
      <c r="AS256" s="41">
        <f t="shared" si="4"/>
        <v>255</v>
      </c>
      <c r="AT256" s="46">
        <f t="shared" si="5"/>
        <v>12.81568627</v>
      </c>
      <c r="AU256" s="37"/>
      <c r="AV256" s="37"/>
      <c r="AW256" s="37"/>
      <c r="AX256" s="37"/>
      <c r="AY256" s="37"/>
    </row>
    <row r="257" ht="15.75" customHeight="1">
      <c r="A257" s="39" t="s">
        <v>28</v>
      </c>
      <c r="B257" s="40">
        <f t="shared" si="6"/>
        <v>44817</v>
      </c>
      <c r="C257" s="41">
        <v>10.0</v>
      </c>
      <c r="D257" s="41" t="s">
        <v>25</v>
      </c>
      <c r="E257" s="43" t="s">
        <v>42</v>
      </c>
      <c r="F257" s="30">
        <v>0.0</v>
      </c>
      <c r="H257" s="31">
        <v>0.0</v>
      </c>
      <c r="J257" s="31">
        <v>0.0</v>
      </c>
      <c r="L257" s="31">
        <v>0.0</v>
      </c>
      <c r="N257" s="31">
        <v>0.0</v>
      </c>
      <c r="P257" s="31">
        <v>0.0</v>
      </c>
      <c r="Q257" s="29"/>
      <c r="R257" s="30">
        <v>115.0</v>
      </c>
      <c r="T257" s="31">
        <v>115.0</v>
      </c>
      <c r="V257" s="31">
        <v>0.0</v>
      </c>
      <c r="X257" s="31">
        <v>0.0</v>
      </c>
      <c r="Z257" s="31">
        <v>0.0</v>
      </c>
      <c r="AB257" s="31">
        <v>25.0</v>
      </c>
      <c r="AC257" s="29"/>
      <c r="AD257" s="33"/>
      <c r="AF257" s="34"/>
      <c r="AH257" s="34"/>
      <c r="AJ257" s="34"/>
      <c r="AL257" s="34"/>
      <c r="AN257" s="34"/>
      <c r="AO257" s="29"/>
      <c r="AP257" s="47">
        <f t="shared" si="7"/>
        <v>3268</v>
      </c>
      <c r="AQ257" s="48">
        <f t="shared" si="2"/>
        <v>230</v>
      </c>
      <c r="AR257" s="41">
        <f t="shared" si="3"/>
        <v>25</v>
      </c>
      <c r="AS257" s="41">
        <f t="shared" si="4"/>
        <v>255</v>
      </c>
      <c r="AT257" s="46">
        <f t="shared" si="5"/>
        <v>12.81568627</v>
      </c>
      <c r="AU257" s="37"/>
      <c r="AV257" s="37"/>
      <c r="AW257" s="37"/>
      <c r="AX257" s="37"/>
      <c r="AY257" s="37"/>
    </row>
    <row r="258" ht="15.75" customHeight="1">
      <c r="A258" s="39" t="s">
        <v>29</v>
      </c>
      <c r="B258" s="40">
        <f t="shared" si="6"/>
        <v>44818</v>
      </c>
      <c r="C258" s="41">
        <v>10.0</v>
      </c>
      <c r="D258" s="41" t="s">
        <v>25</v>
      </c>
      <c r="E258" s="43" t="s">
        <v>42</v>
      </c>
      <c r="F258" s="30">
        <v>0.0</v>
      </c>
      <c r="H258" s="31">
        <v>0.0</v>
      </c>
      <c r="J258" s="31">
        <v>0.0</v>
      </c>
      <c r="L258" s="31">
        <v>0.0</v>
      </c>
      <c r="N258" s="31">
        <v>0.0</v>
      </c>
      <c r="P258" s="31">
        <v>0.0</v>
      </c>
      <c r="Q258" s="29"/>
      <c r="R258" s="30">
        <v>115.0</v>
      </c>
      <c r="T258" s="31">
        <v>115.0</v>
      </c>
      <c r="V258" s="31">
        <v>0.0</v>
      </c>
      <c r="X258" s="31">
        <v>0.0</v>
      </c>
      <c r="Z258" s="31">
        <v>0.0</v>
      </c>
      <c r="AB258" s="31">
        <v>25.0</v>
      </c>
      <c r="AC258" s="29"/>
      <c r="AD258" s="33"/>
      <c r="AF258" s="34"/>
      <c r="AH258" s="34"/>
      <c r="AJ258" s="34"/>
      <c r="AL258" s="34"/>
      <c r="AN258" s="34"/>
      <c r="AO258" s="29"/>
      <c r="AP258" s="47">
        <f t="shared" si="7"/>
        <v>3268</v>
      </c>
      <c r="AQ258" s="48">
        <f t="shared" si="2"/>
        <v>230</v>
      </c>
      <c r="AR258" s="41">
        <f t="shared" si="3"/>
        <v>25</v>
      </c>
      <c r="AS258" s="41">
        <f t="shared" si="4"/>
        <v>255</v>
      </c>
      <c r="AT258" s="46">
        <f t="shared" si="5"/>
        <v>12.81568627</v>
      </c>
      <c r="AU258" s="37"/>
      <c r="AV258" s="37"/>
      <c r="AW258" s="37"/>
      <c r="AX258" s="37"/>
      <c r="AY258" s="37"/>
    </row>
    <row r="259" ht="15.75" customHeight="1">
      <c r="A259" s="39" t="s">
        <v>30</v>
      </c>
      <c r="B259" s="40">
        <f t="shared" si="6"/>
        <v>44819</v>
      </c>
      <c r="C259" s="41">
        <v>10.0</v>
      </c>
      <c r="D259" s="41" t="s">
        <v>25</v>
      </c>
      <c r="E259" s="43" t="s">
        <v>42</v>
      </c>
      <c r="F259" s="30">
        <v>0.0</v>
      </c>
      <c r="H259" s="31">
        <v>0.0</v>
      </c>
      <c r="J259" s="31">
        <v>0.0</v>
      </c>
      <c r="L259" s="31">
        <v>0.0</v>
      </c>
      <c r="N259" s="31">
        <v>0.0</v>
      </c>
      <c r="P259" s="31">
        <v>0.0</v>
      </c>
      <c r="Q259" s="29"/>
      <c r="R259" s="30">
        <v>115.0</v>
      </c>
      <c r="T259" s="31">
        <v>115.0</v>
      </c>
      <c r="V259" s="31">
        <v>0.0</v>
      </c>
      <c r="X259" s="31">
        <v>0.0</v>
      </c>
      <c r="Z259" s="31">
        <v>0.0</v>
      </c>
      <c r="AB259" s="31">
        <v>25.0</v>
      </c>
      <c r="AC259" s="29"/>
      <c r="AD259" s="33"/>
      <c r="AF259" s="34"/>
      <c r="AH259" s="34"/>
      <c r="AJ259" s="34"/>
      <c r="AL259" s="34"/>
      <c r="AN259" s="34"/>
      <c r="AO259" s="29"/>
      <c r="AP259" s="47">
        <f t="shared" si="7"/>
        <v>3268</v>
      </c>
      <c r="AQ259" s="48">
        <f t="shared" si="2"/>
        <v>230</v>
      </c>
      <c r="AR259" s="41">
        <f t="shared" si="3"/>
        <v>25</v>
      </c>
      <c r="AS259" s="41">
        <f t="shared" si="4"/>
        <v>255</v>
      </c>
      <c r="AT259" s="46">
        <f t="shared" si="5"/>
        <v>12.81568627</v>
      </c>
      <c r="AU259" s="37"/>
      <c r="AV259" s="37"/>
      <c r="AW259" s="37"/>
      <c r="AX259" s="37"/>
      <c r="AY259" s="37"/>
    </row>
    <row r="260" ht="15.75" customHeight="1">
      <c r="A260" s="39" t="s">
        <v>31</v>
      </c>
      <c r="B260" s="40">
        <f t="shared" si="6"/>
        <v>44820</v>
      </c>
      <c r="C260" s="41">
        <v>10.0</v>
      </c>
      <c r="D260" s="41" t="s">
        <v>25</v>
      </c>
      <c r="E260" s="43" t="s">
        <v>42</v>
      </c>
      <c r="F260" s="30">
        <v>0.0</v>
      </c>
      <c r="H260" s="31">
        <v>0.0</v>
      </c>
      <c r="J260" s="31">
        <v>0.0</v>
      </c>
      <c r="L260" s="31">
        <v>0.0</v>
      </c>
      <c r="N260" s="31">
        <v>0.0</v>
      </c>
      <c r="P260" s="31">
        <v>0.0</v>
      </c>
      <c r="Q260" s="29"/>
      <c r="R260" s="30">
        <v>115.0</v>
      </c>
      <c r="T260" s="31">
        <v>115.0</v>
      </c>
      <c r="V260" s="31">
        <v>0.0</v>
      </c>
      <c r="X260" s="31">
        <v>0.0</v>
      </c>
      <c r="Z260" s="31">
        <v>0.0</v>
      </c>
      <c r="AB260" s="31">
        <v>25.0</v>
      </c>
      <c r="AC260" s="29"/>
      <c r="AD260" s="33"/>
      <c r="AF260" s="34"/>
      <c r="AH260" s="34"/>
      <c r="AJ260" s="34"/>
      <c r="AL260" s="34"/>
      <c r="AN260" s="34"/>
      <c r="AO260" s="29"/>
      <c r="AP260" s="47">
        <f t="shared" si="7"/>
        <v>3268</v>
      </c>
      <c r="AQ260" s="48">
        <f t="shared" si="2"/>
        <v>230</v>
      </c>
      <c r="AR260" s="41">
        <f t="shared" si="3"/>
        <v>25</v>
      </c>
      <c r="AS260" s="41">
        <f t="shared" si="4"/>
        <v>255</v>
      </c>
      <c r="AT260" s="46">
        <f t="shared" si="5"/>
        <v>12.81568627</v>
      </c>
      <c r="AU260" s="37"/>
      <c r="AV260" s="37"/>
      <c r="AW260" s="37"/>
      <c r="AX260" s="37"/>
      <c r="AY260" s="37"/>
    </row>
    <row r="261" ht="15.75" customHeight="1">
      <c r="A261" s="49" t="s">
        <v>32</v>
      </c>
      <c r="B261" s="50">
        <f t="shared" si="6"/>
        <v>44821</v>
      </c>
      <c r="C261" s="51">
        <v>10.0</v>
      </c>
      <c r="D261" s="51" t="s">
        <v>25</v>
      </c>
      <c r="E261" s="53" t="s">
        <v>42</v>
      </c>
      <c r="F261" s="64">
        <v>0.0</v>
      </c>
      <c r="G261" s="55"/>
      <c r="H261" s="65">
        <v>0.0</v>
      </c>
      <c r="I261" s="55"/>
      <c r="J261" s="65">
        <v>0.0</v>
      </c>
      <c r="K261" s="55"/>
      <c r="L261" s="65">
        <v>0.0</v>
      </c>
      <c r="M261" s="55"/>
      <c r="N261" s="65">
        <v>0.0</v>
      </c>
      <c r="O261" s="55"/>
      <c r="P261" s="65">
        <v>0.0</v>
      </c>
      <c r="Q261" s="58"/>
      <c r="R261" s="64">
        <v>0.0</v>
      </c>
      <c r="S261" s="55"/>
      <c r="T261" s="65">
        <v>0.0</v>
      </c>
      <c r="U261" s="55"/>
      <c r="V261" s="65">
        <v>0.0</v>
      </c>
      <c r="W261" s="55"/>
      <c r="X261" s="65">
        <v>0.0</v>
      </c>
      <c r="Y261" s="55"/>
      <c r="Z261" s="65">
        <v>0.0</v>
      </c>
      <c r="AA261" s="55"/>
      <c r="AB261" s="65">
        <v>0.0</v>
      </c>
      <c r="AC261" s="58"/>
      <c r="AD261" s="66"/>
      <c r="AE261" s="55"/>
      <c r="AF261" s="67"/>
      <c r="AG261" s="55"/>
      <c r="AH261" s="67"/>
      <c r="AI261" s="55"/>
      <c r="AJ261" s="67"/>
      <c r="AK261" s="55"/>
      <c r="AL261" s="67"/>
      <c r="AM261" s="55"/>
      <c r="AN261" s="67"/>
      <c r="AO261" s="58"/>
      <c r="AP261" s="68">
        <f t="shared" si="7"/>
        <v>0</v>
      </c>
      <c r="AQ261" s="69">
        <f t="shared" si="2"/>
        <v>0</v>
      </c>
      <c r="AR261" s="51">
        <f t="shared" si="3"/>
        <v>0</v>
      </c>
      <c r="AS261" s="51">
        <f t="shared" si="4"/>
        <v>0</v>
      </c>
      <c r="AT261" s="61" t="str">
        <f t="shared" si="5"/>
        <v/>
      </c>
      <c r="AU261" s="37"/>
      <c r="AV261" s="37"/>
      <c r="AW261" s="37"/>
      <c r="AX261" s="37"/>
      <c r="AY261" s="37"/>
    </row>
    <row r="262" ht="15.75" customHeight="1">
      <c r="A262" s="21" t="s">
        <v>24</v>
      </c>
      <c r="B262" s="62">
        <f t="shared" si="6"/>
        <v>44822</v>
      </c>
      <c r="C262" s="23">
        <v>10.0</v>
      </c>
      <c r="D262" s="23" t="s">
        <v>33</v>
      </c>
      <c r="E262" s="63" t="s">
        <v>42</v>
      </c>
      <c r="F262" s="30">
        <v>0.0</v>
      </c>
      <c r="H262" s="31">
        <v>0.0</v>
      </c>
      <c r="J262" s="31">
        <v>0.0</v>
      </c>
      <c r="L262" s="31">
        <v>0.0</v>
      </c>
      <c r="N262" s="31">
        <v>0.0</v>
      </c>
      <c r="P262" s="31">
        <v>0.0</v>
      </c>
      <c r="Q262" s="29"/>
      <c r="R262" s="30">
        <v>135.0</v>
      </c>
      <c r="T262" s="31">
        <v>135.0</v>
      </c>
      <c r="V262" s="31">
        <v>0.0</v>
      </c>
      <c r="X262" s="31">
        <v>0.0</v>
      </c>
      <c r="Z262" s="31">
        <v>0.0</v>
      </c>
      <c r="AB262" s="31">
        <v>40.0</v>
      </c>
      <c r="AC262" s="29"/>
      <c r="AD262" s="33"/>
      <c r="AF262" s="34"/>
      <c r="AH262" s="34"/>
      <c r="AJ262" s="34"/>
      <c r="AL262" s="34"/>
      <c r="AN262" s="34"/>
      <c r="AO262" s="29"/>
      <c r="AP262" s="38">
        <f t="shared" si="7"/>
        <v>3896</v>
      </c>
      <c r="AQ262" s="44">
        <f t="shared" si="2"/>
        <v>270</v>
      </c>
      <c r="AR262" s="23">
        <f t="shared" si="3"/>
        <v>40</v>
      </c>
      <c r="AS262" s="23">
        <f t="shared" si="4"/>
        <v>310</v>
      </c>
      <c r="AT262" s="36">
        <f t="shared" si="5"/>
        <v>12.56774194</v>
      </c>
      <c r="AU262" s="37"/>
      <c r="AV262" s="37"/>
      <c r="AW262" s="37"/>
      <c r="AX262" s="37"/>
      <c r="AY262" s="37"/>
    </row>
    <row r="263" ht="15.75" customHeight="1">
      <c r="A263" s="39" t="s">
        <v>27</v>
      </c>
      <c r="B263" s="40">
        <f t="shared" si="6"/>
        <v>44823</v>
      </c>
      <c r="C263" s="41">
        <v>10.0</v>
      </c>
      <c r="D263" s="41" t="s">
        <v>33</v>
      </c>
      <c r="E263" s="43" t="s">
        <v>42</v>
      </c>
      <c r="F263" s="30">
        <v>0.0</v>
      </c>
      <c r="H263" s="31">
        <v>0.0</v>
      </c>
      <c r="J263" s="31">
        <v>0.0</v>
      </c>
      <c r="L263" s="31">
        <v>0.0</v>
      </c>
      <c r="N263" s="31">
        <v>0.0</v>
      </c>
      <c r="P263" s="31">
        <v>0.0</v>
      </c>
      <c r="Q263" s="29"/>
      <c r="R263" s="30">
        <v>135.0</v>
      </c>
      <c r="T263" s="31">
        <v>135.0</v>
      </c>
      <c r="V263" s="31">
        <v>0.0</v>
      </c>
      <c r="X263" s="31">
        <v>0.0</v>
      </c>
      <c r="Z263" s="31">
        <v>0.0</v>
      </c>
      <c r="AB263" s="31">
        <v>40.0</v>
      </c>
      <c r="AC263" s="29"/>
      <c r="AD263" s="33"/>
      <c r="AF263" s="34"/>
      <c r="AH263" s="34"/>
      <c r="AJ263" s="34"/>
      <c r="AL263" s="34"/>
      <c r="AN263" s="34"/>
      <c r="AO263" s="29"/>
      <c r="AP263" s="47">
        <f t="shared" si="7"/>
        <v>3896</v>
      </c>
      <c r="AQ263" s="48">
        <f t="shared" si="2"/>
        <v>270</v>
      </c>
      <c r="AR263" s="41">
        <f t="shared" si="3"/>
        <v>40</v>
      </c>
      <c r="AS263" s="41">
        <f t="shared" si="4"/>
        <v>310</v>
      </c>
      <c r="AT263" s="46">
        <f t="shared" si="5"/>
        <v>12.56774194</v>
      </c>
      <c r="AU263" s="37"/>
      <c r="AV263" s="37"/>
      <c r="AW263" s="37"/>
      <c r="AX263" s="37"/>
      <c r="AY263" s="37"/>
    </row>
    <row r="264" ht="15.75" customHeight="1">
      <c r="A264" s="39" t="s">
        <v>28</v>
      </c>
      <c r="B264" s="40">
        <f t="shared" si="6"/>
        <v>44824</v>
      </c>
      <c r="C264" s="41">
        <v>10.0</v>
      </c>
      <c r="D264" s="41" t="s">
        <v>33</v>
      </c>
      <c r="E264" s="43" t="s">
        <v>42</v>
      </c>
      <c r="F264" s="30">
        <v>0.0</v>
      </c>
      <c r="H264" s="31">
        <v>0.0</v>
      </c>
      <c r="J264" s="31">
        <v>0.0</v>
      </c>
      <c r="L264" s="31">
        <v>0.0</v>
      </c>
      <c r="N264" s="31">
        <v>0.0</v>
      </c>
      <c r="P264" s="31">
        <v>0.0</v>
      </c>
      <c r="Q264" s="29"/>
      <c r="R264" s="30">
        <v>135.0</v>
      </c>
      <c r="T264" s="31">
        <v>135.0</v>
      </c>
      <c r="V264" s="31">
        <v>0.0</v>
      </c>
      <c r="X264" s="31">
        <v>0.0</v>
      </c>
      <c r="Z264" s="31">
        <v>0.0</v>
      </c>
      <c r="AB264" s="31">
        <v>40.0</v>
      </c>
      <c r="AC264" s="29"/>
      <c r="AD264" s="33"/>
      <c r="AF264" s="34"/>
      <c r="AH264" s="34"/>
      <c r="AJ264" s="34"/>
      <c r="AL264" s="34"/>
      <c r="AN264" s="34"/>
      <c r="AO264" s="29"/>
      <c r="AP264" s="47">
        <f t="shared" si="7"/>
        <v>3896</v>
      </c>
      <c r="AQ264" s="48">
        <f t="shared" si="2"/>
        <v>270</v>
      </c>
      <c r="AR264" s="41">
        <f t="shared" si="3"/>
        <v>40</v>
      </c>
      <c r="AS264" s="41">
        <f t="shared" si="4"/>
        <v>310</v>
      </c>
      <c r="AT264" s="46">
        <f t="shared" si="5"/>
        <v>12.56774194</v>
      </c>
      <c r="AU264" s="37"/>
      <c r="AV264" s="37"/>
      <c r="AW264" s="37"/>
      <c r="AX264" s="37"/>
      <c r="AY264" s="37"/>
    </row>
    <row r="265" ht="15.75" customHeight="1">
      <c r="A265" s="39" t="s">
        <v>29</v>
      </c>
      <c r="B265" s="40">
        <f t="shared" si="6"/>
        <v>44825</v>
      </c>
      <c r="C265" s="41">
        <v>10.0</v>
      </c>
      <c r="D265" s="41" t="s">
        <v>33</v>
      </c>
      <c r="E265" s="43" t="s">
        <v>42</v>
      </c>
      <c r="F265" s="30">
        <v>0.0</v>
      </c>
      <c r="H265" s="31">
        <v>0.0</v>
      </c>
      <c r="J265" s="31">
        <v>0.0</v>
      </c>
      <c r="L265" s="31">
        <v>0.0</v>
      </c>
      <c r="N265" s="31">
        <v>0.0</v>
      </c>
      <c r="P265" s="31">
        <v>0.0</v>
      </c>
      <c r="Q265" s="29"/>
      <c r="R265" s="30">
        <v>135.0</v>
      </c>
      <c r="T265" s="31">
        <v>135.0</v>
      </c>
      <c r="V265" s="31">
        <v>0.0</v>
      </c>
      <c r="X265" s="31">
        <v>0.0</v>
      </c>
      <c r="Z265" s="31">
        <v>0.0</v>
      </c>
      <c r="AB265" s="31">
        <v>50.0</v>
      </c>
      <c r="AC265" s="29"/>
      <c r="AD265" s="33"/>
      <c r="AF265" s="34"/>
      <c r="AH265" s="34"/>
      <c r="AJ265" s="34"/>
      <c r="AL265" s="34"/>
      <c r="AN265" s="34"/>
      <c r="AO265" s="29"/>
      <c r="AP265" s="47">
        <f t="shared" si="7"/>
        <v>3952</v>
      </c>
      <c r="AQ265" s="48">
        <f t="shared" si="2"/>
        <v>270</v>
      </c>
      <c r="AR265" s="41">
        <f t="shared" si="3"/>
        <v>50</v>
      </c>
      <c r="AS265" s="41">
        <f t="shared" si="4"/>
        <v>320</v>
      </c>
      <c r="AT265" s="46">
        <f t="shared" si="5"/>
        <v>12.35</v>
      </c>
      <c r="AU265" s="37"/>
      <c r="AV265" s="37"/>
      <c r="AW265" s="37"/>
      <c r="AX265" s="37"/>
      <c r="AY265" s="37"/>
    </row>
    <row r="266" ht="15.75" customHeight="1">
      <c r="A266" s="39" t="s">
        <v>30</v>
      </c>
      <c r="B266" s="40">
        <f t="shared" si="6"/>
        <v>44826</v>
      </c>
      <c r="C266" s="41">
        <v>10.0</v>
      </c>
      <c r="D266" s="41" t="s">
        <v>33</v>
      </c>
      <c r="E266" s="43" t="s">
        <v>42</v>
      </c>
      <c r="F266" s="30">
        <v>0.0</v>
      </c>
      <c r="H266" s="31">
        <v>0.0</v>
      </c>
      <c r="J266" s="31">
        <v>0.0</v>
      </c>
      <c r="L266" s="31">
        <v>0.0</v>
      </c>
      <c r="N266" s="31">
        <v>0.0</v>
      </c>
      <c r="P266" s="31">
        <v>0.0</v>
      </c>
      <c r="Q266" s="29"/>
      <c r="R266" s="30">
        <v>135.0</v>
      </c>
      <c r="T266" s="31">
        <v>135.0</v>
      </c>
      <c r="V266" s="31">
        <v>0.0</v>
      </c>
      <c r="X266" s="31">
        <v>0.0</v>
      </c>
      <c r="Z266" s="31">
        <v>0.0</v>
      </c>
      <c r="AB266" s="31">
        <v>50.0</v>
      </c>
      <c r="AC266" s="29"/>
      <c r="AD266" s="33"/>
      <c r="AF266" s="34"/>
      <c r="AH266" s="34"/>
      <c r="AJ266" s="34"/>
      <c r="AL266" s="34"/>
      <c r="AN266" s="34"/>
      <c r="AO266" s="29"/>
      <c r="AP266" s="47">
        <f t="shared" si="7"/>
        <v>3952</v>
      </c>
      <c r="AQ266" s="48">
        <f t="shared" si="2"/>
        <v>270</v>
      </c>
      <c r="AR266" s="41">
        <f t="shared" si="3"/>
        <v>50</v>
      </c>
      <c r="AS266" s="41">
        <f t="shared" si="4"/>
        <v>320</v>
      </c>
      <c r="AT266" s="46">
        <f t="shared" si="5"/>
        <v>12.35</v>
      </c>
      <c r="AU266" s="37"/>
      <c r="AV266" s="37"/>
      <c r="AW266" s="37"/>
      <c r="AX266" s="37"/>
      <c r="AY266" s="37"/>
    </row>
    <row r="267" ht="15.75" customHeight="1">
      <c r="A267" s="39" t="s">
        <v>31</v>
      </c>
      <c r="B267" s="40">
        <f t="shared" si="6"/>
        <v>44827</v>
      </c>
      <c r="C267" s="41">
        <v>10.0</v>
      </c>
      <c r="D267" s="41" t="s">
        <v>33</v>
      </c>
      <c r="E267" s="43" t="s">
        <v>42</v>
      </c>
      <c r="F267" s="30">
        <v>0.0</v>
      </c>
      <c r="H267" s="31">
        <v>0.0</v>
      </c>
      <c r="J267" s="31">
        <v>0.0</v>
      </c>
      <c r="L267" s="31">
        <v>0.0</v>
      </c>
      <c r="N267" s="31">
        <v>0.0</v>
      </c>
      <c r="P267" s="31">
        <v>0.0</v>
      </c>
      <c r="Q267" s="29"/>
      <c r="R267" s="30">
        <v>135.0</v>
      </c>
      <c r="T267" s="31">
        <v>135.0</v>
      </c>
      <c r="V267" s="31">
        <v>0.0</v>
      </c>
      <c r="X267" s="31">
        <v>0.0</v>
      </c>
      <c r="Z267" s="31">
        <v>0.0</v>
      </c>
      <c r="AB267" s="31">
        <v>50.0</v>
      </c>
      <c r="AC267" s="29"/>
      <c r="AD267" s="33"/>
      <c r="AF267" s="34"/>
      <c r="AH267" s="34"/>
      <c r="AJ267" s="34"/>
      <c r="AL267" s="34"/>
      <c r="AN267" s="34"/>
      <c r="AO267" s="29"/>
      <c r="AP267" s="47">
        <f t="shared" si="7"/>
        <v>3952</v>
      </c>
      <c r="AQ267" s="48">
        <f t="shared" si="2"/>
        <v>270</v>
      </c>
      <c r="AR267" s="41">
        <f t="shared" si="3"/>
        <v>50</v>
      </c>
      <c r="AS267" s="41">
        <f t="shared" si="4"/>
        <v>320</v>
      </c>
      <c r="AT267" s="46">
        <f t="shared" si="5"/>
        <v>12.35</v>
      </c>
      <c r="AU267" s="37"/>
      <c r="AV267" s="37"/>
      <c r="AW267" s="37"/>
      <c r="AX267" s="37"/>
      <c r="AY267" s="37"/>
    </row>
    <row r="268" ht="15.75" customHeight="1">
      <c r="A268" s="49" t="s">
        <v>32</v>
      </c>
      <c r="B268" s="50">
        <f t="shared" si="6"/>
        <v>44828</v>
      </c>
      <c r="C268" s="51">
        <v>10.0</v>
      </c>
      <c r="D268" s="51" t="s">
        <v>33</v>
      </c>
      <c r="E268" s="53" t="s">
        <v>42</v>
      </c>
      <c r="F268" s="64">
        <v>0.0</v>
      </c>
      <c r="G268" s="55"/>
      <c r="H268" s="65">
        <v>0.0</v>
      </c>
      <c r="I268" s="55"/>
      <c r="J268" s="65">
        <v>0.0</v>
      </c>
      <c r="K268" s="55"/>
      <c r="L268" s="65">
        <v>0.0</v>
      </c>
      <c r="M268" s="55"/>
      <c r="N268" s="65">
        <v>0.0</v>
      </c>
      <c r="O268" s="55"/>
      <c r="P268" s="65">
        <v>0.0</v>
      </c>
      <c r="Q268" s="58"/>
      <c r="R268" s="64">
        <v>0.0</v>
      </c>
      <c r="S268" s="55"/>
      <c r="T268" s="65">
        <v>0.0</v>
      </c>
      <c r="U268" s="55"/>
      <c r="V268" s="65">
        <v>0.0</v>
      </c>
      <c r="W268" s="55"/>
      <c r="X268" s="65">
        <v>0.0</v>
      </c>
      <c r="Y268" s="55"/>
      <c r="Z268" s="65">
        <v>0.0</v>
      </c>
      <c r="AA268" s="55"/>
      <c r="AB268" s="65">
        <v>0.0</v>
      </c>
      <c r="AC268" s="58"/>
      <c r="AD268" s="66"/>
      <c r="AE268" s="55"/>
      <c r="AF268" s="67"/>
      <c r="AG268" s="55"/>
      <c r="AH268" s="67"/>
      <c r="AI268" s="55"/>
      <c r="AJ268" s="67"/>
      <c r="AK268" s="55"/>
      <c r="AL268" s="67"/>
      <c r="AM268" s="55"/>
      <c r="AN268" s="67"/>
      <c r="AO268" s="58"/>
      <c r="AP268" s="68">
        <f t="shared" si="7"/>
        <v>0</v>
      </c>
      <c r="AQ268" s="69">
        <f t="shared" si="2"/>
        <v>0</v>
      </c>
      <c r="AR268" s="51">
        <f t="shared" si="3"/>
        <v>0</v>
      </c>
      <c r="AS268" s="51">
        <f t="shared" si="4"/>
        <v>0</v>
      </c>
      <c r="AT268" s="61" t="str">
        <f t="shared" si="5"/>
        <v/>
      </c>
      <c r="AU268" s="37"/>
      <c r="AV268" s="37"/>
      <c r="AW268" s="37"/>
      <c r="AX268" s="37"/>
      <c r="AY268" s="37"/>
    </row>
    <row r="269" ht="15.75" customHeight="1">
      <c r="A269" s="21" t="s">
        <v>24</v>
      </c>
      <c r="B269" s="62">
        <f t="shared" si="6"/>
        <v>44829</v>
      </c>
      <c r="C269" s="23">
        <v>10.0</v>
      </c>
      <c r="D269" s="23" t="s">
        <v>34</v>
      </c>
      <c r="E269" s="63" t="s">
        <v>42</v>
      </c>
      <c r="F269" s="30">
        <v>0.0</v>
      </c>
      <c r="H269" s="31">
        <v>0.0</v>
      </c>
      <c r="J269" s="31">
        <v>0.0</v>
      </c>
      <c r="L269" s="31">
        <v>0.0</v>
      </c>
      <c r="N269" s="31">
        <v>0.0</v>
      </c>
      <c r="P269" s="31">
        <v>0.0</v>
      </c>
      <c r="Q269" s="29"/>
      <c r="R269" s="30">
        <v>150.0</v>
      </c>
      <c r="T269" s="31">
        <v>150.0</v>
      </c>
      <c r="V269" s="31">
        <v>0.0</v>
      </c>
      <c r="X269" s="31">
        <v>0.0</v>
      </c>
      <c r="Z269" s="31">
        <v>0.0</v>
      </c>
      <c r="AB269" s="31">
        <v>50.0</v>
      </c>
      <c r="AC269" s="29"/>
      <c r="AD269" s="33"/>
      <c r="AF269" s="34"/>
      <c r="AH269" s="34"/>
      <c r="AJ269" s="34"/>
      <c r="AL269" s="34"/>
      <c r="AN269" s="34"/>
      <c r="AO269" s="29"/>
      <c r="AP269" s="38">
        <f t="shared" si="7"/>
        <v>4360</v>
      </c>
      <c r="AQ269" s="44">
        <f t="shared" si="2"/>
        <v>300</v>
      </c>
      <c r="AR269" s="23">
        <f t="shared" si="3"/>
        <v>50</v>
      </c>
      <c r="AS269" s="23">
        <f t="shared" si="4"/>
        <v>350</v>
      </c>
      <c r="AT269" s="36">
        <f t="shared" si="5"/>
        <v>12.45714286</v>
      </c>
      <c r="AU269" s="37"/>
      <c r="AV269" s="37"/>
      <c r="AW269" s="37"/>
      <c r="AX269" s="37"/>
      <c r="AY269" s="37"/>
    </row>
    <row r="270" ht="15.75" customHeight="1">
      <c r="A270" s="39" t="s">
        <v>27</v>
      </c>
      <c r="B270" s="40">
        <f t="shared" si="6"/>
        <v>44830</v>
      </c>
      <c r="C270" s="41">
        <v>10.0</v>
      </c>
      <c r="D270" s="41" t="s">
        <v>34</v>
      </c>
      <c r="E270" s="43" t="s">
        <v>42</v>
      </c>
      <c r="F270" s="30">
        <v>0.0</v>
      </c>
      <c r="H270" s="31">
        <v>0.0</v>
      </c>
      <c r="J270" s="31">
        <v>0.0</v>
      </c>
      <c r="L270" s="31">
        <v>0.0</v>
      </c>
      <c r="N270" s="31">
        <v>0.0</v>
      </c>
      <c r="P270" s="31">
        <v>0.0</v>
      </c>
      <c r="Q270" s="29"/>
      <c r="R270" s="30">
        <v>150.0</v>
      </c>
      <c r="T270" s="31">
        <v>150.0</v>
      </c>
      <c r="V270" s="31">
        <v>0.0</v>
      </c>
      <c r="X270" s="31">
        <v>0.0</v>
      </c>
      <c r="Z270" s="31">
        <v>0.0</v>
      </c>
      <c r="AB270" s="31">
        <v>50.0</v>
      </c>
      <c r="AC270" s="29"/>
      <c r="AD270" s="33"/>
      <c r="AF270" s="34"/>
      <c r="AH270" s="34"/>
      <c r="AJ270" s="34"/>
      <c r="AL270" s="34"/>
      <c r="AN270" s="34"/>
      <c r="AO270" s="29"/>
      <c r="AP270" s="47">
        <f t="shared" si="7"/>
        <v>4360</v>
      </c>
      <c r="AQ270" s="48">
        <f t="shared" si="2"/>
        <v>300</v>
      </c>
      <c r="AR270" s="41">
        <f t="shared" si="3"/>
        <v>50</v>
      </c>
      <c r="AS270" s="41">
        <f t="shared" si="4"/>
        <v>350</v>
      </c>
      <c r="AT270" s="46">
        <f t="shared" si="5"/>
        <v>12.45714286</v>
      </c>
      <c r="AU270" s="37"/>
      <c r="AV270" s="37"/>
      <c r="AW270" s="37"/>
      <c r="AX270" s="37"/>
      <c r="AY270" s="37"/>
    </row>
    <row r="271" ht="15.75" customHeight="1">
      <c r="A271" s="39" t="s">
        <v>28</v>
      </c>
      <c r="B271" s="40">
        <f t="shared" si="6"/>
        <v>44831</v>
      </c>
      <c r="C271" s="41">
        <v>10.0</v>
      </c>
      <c r="D271" s="41" t="s">
        <v>34</v>
      </c>
      <c r="E271" s="43" t="s">
        <v>42</v>
      </c>
      <c r="F271" s="30">
        <v>0.0</v>
      </c>
      <c r="H271" s="31">
        <v>0.0</v>
      </c>
      <c r="J271" s="31">
        <v>0.0</v>
      </c>
      <c r="L271" s="31">
        <v>0.0</v>
      </c>
      <c r="N271" s="31">
        <v>0.0</v>
      </c>
      <c r="P271" s="31">
        <v>0.0</v>
      </c>
      <c r="Q271" s="29"/>
      <c r="R271" s="30">
        <v>150.0</v>
      </c>
      <c r="T271" s="31">
        <v>150.0</v>
      </c>
      <c r="V271" s="31">
        <v>0.0</v>
      </c>
      <c r="X271" s="31">
        <v>0.0</v>
      </c>
      <c r="Z271" s="31">
        <v>0.0</v>
      </c>
      <c r="AB271" s="31">
        <v>50.0</v>
      </c>
      <c r="AC271" s="29"/>
      <c r="AD271" s="33"/>
      <c r="AF271" s="34"/>
      <c r="AH271" s="34"/>
      <c r="AJ271" s="34"/>
      <c r="AL271" s="34"/>
      <c r="AN271" s="34"/>
      <c r="AO271" s="29"/>
      <c r="AP271" s="47">
        <f t="shared" si="7"/>
        <v>4360</v>
      </c>
      <c r="AQ271" s="48">
        <f t="shared" si="2"/>
        <v>300</v>
      </c>
      <c r="AR271" s="41">
        <f t="shared" si="3"/>
        <v>50</v>
      </c>
      <c r="AS271" s="41">
        <f t="shared" si="4"/>
        <v>350</v>
      </c>
      <c r="AT271" s="46">
        <f t="shared" si="5"/>
        <v>12.45714286</v>
      </c>
      <c r="AU271" s="37"/>
      <c r="AV271" s="37"/>
      <c r="AW271" s="37"/>
      <c r="AX271" s="37"/>
      <c r="AY271" s="37"/>
    </row>
    <row r="272" ht="15.75" customHeight="1">
      <c r="A272" s="39" t="s">
        <v>29</v>
      </c>
      <c r="B272" s="40">
        <f t="shared" si="6"/>
        <v>44832</v>
      </c>
      <c r="C272" s="41">
        <v>10.0</v>
      </c>
      <c r="D272" s="41" t="s">
        <v>34</v>
      </c>
      <c r="E272" s="43" t="s">
        <v>42</v>
      </c>
      <c r="F272" s="30">
        <v>0.0</v>
      </c>
      <c r="H272" s="31">
        <v>0.0</v>
      </c>
      <c r="J272" s="31">
        <v>0.0</v>
      </c>
      <c r="L272" s="31">
        <v>0.0</v>
      </c>
      <c r="N272" s="31">
        <v>0.0</v>
      </c>
      <c r="P272" s="31">
        <v>0.0</v>
      </c>
      <c r="Q272" s="29"/>
      <c r="R272" s="30">
        <v>150.0</v>
      </c>
      <c r="T272" s="31">
        <v>50.0</v>
      </c>
      <c r="V272" s="31">
        <v>0.0</v>
      </c>
      <c r="X272" s="31">
        <v>0.0</v>
      </c>
      <c r="Z272" s="31">
        <v>0.0</v>
      </c>
      <c r="AB272" s="31">
        <v>50.0</v>
      </c>
      <c r="AC272" s="29"/>
      <c r="AD272" s="33"/>
      <c r="AF272" s="34"/>
      <c r="AH272" s="34"/>
      <c r="AJ272" s="34"/>
      <c r="AL272" s="34"/>
      <c r="AN272" s="34"/>
      <c r="AO272" s="29"/>
      <c r="AP272" s="47">
        <f t="shared" si="7"/>
        <v>3000</v>
      </c>
      <c r="AQ272" s="48">
        <f t="shared" si="2"/>
        <v>200</v>
      </c>
      <c r="AR272" s="41">
        <f t="shared" si="3"/>
        <v>50</v>
      </c>
      <c r="AS272" s="41">
        <f t="shared" si="4"/>
        <v>250</v>
      </c>
      <c r="AT272" s="46">
        <f t="shared" si="5"/>
        <v>12</v>
      </c>
      <c r="AU272" s="37"/>
      <c r="AV272" s="37"/>
      <c r="AW272" s="37"/>
      <c r="AX272" s="37"/>
      <c r="AY272" s="37"/>
    </row>
    <row r="273" ht="15.75" customHeight="1">
      <c r="A273" s="39" t="s">
        <v>30</v>
      </c>
      <c r="B273" s="40">
        <f t="shared" si="6"/>
        <v>44833</v>
      </c>
      <c r="C273" s="41">
        <v>10.0</v>
      </c>
      <c r="D273" s="41" t="s">
        <v>34</v>
      </c>
      <c r="E273" s="43" t="s">
        <v>42</v>
      </c>
      <c r="F273" s="30">
        <v>0.0</v>
      </c>
      <c r="H273" s="31">
        <v>0.0</v>
      </c>
      <c r="J273" s="31">
        <v>0.0</v>
      </c>
      <c r="L273" s="31">
        <v>0.0</v>
      </c>
      <c r="N273" s="31">
        <v>0.0</v>
      </c>
      <c r="P273" s="31">
        <v>0.0</v>
      </c>
      <c r="Q273" s="29"/>
      <c r="R273" s="30">
        <v>150.0</v>
      </c>
      <c r="T273" s="31">
        <v>150.0</v>
      </c>
      <c r="V273" s="31">
        <v>0.0</v>
      </c>
      <c r="X273" s="31">
        <v>0.0</v>
      </c>
      <c r="Z273" s="31">
        <v>0.0</v>
      </c>
      <c r="AB273" s="31">
        <v>50.0</v>
      </c>
      <c r="AC273" s="29"/>
      <c r="AD273" s="33"/>
      <c r="AF273" s="34"/>
      <c r="AH273" s="34"/>
      <c r="AJ273" s="34"/>
      <c r="AL273" s="34"/>
      <c r="AN273" s="34"/>
      <c r="AO273" s="29"/>
      <c r="AP273" s="47">
        <f t="shared" si="7"/>
        <v>4360</v>
      </c>
      <c r="AQ273" s="48">
        <f t="shared" si="2"/>
        <v>300</v>
      </c>
      <c r="AR273" s="41">
        <f t="shared" si="3"/>
        <v>50</v>
      </c>
      <c r="AS273" s="41">
        <f t="shared" si="4"/>
        <v>350</v>
      </c>
      <c r="AT273" s="46">
        <f t="shared" si="5"/>
        <v>12.45714286</v>
      </c>
      <c r="AU273" s="37"/>
      <c r="AV273" s="37"/>
      <c r="AW273" s="37"/>
      <c r="AX273" s="37"/>
      <c r="AY273" s="37"/>
    </row>
    <row r="274" ht="15.75" customHeight="1">
      <c r="A274" s="39" t="s">
        <v>31</v>
      </c>
      <c r="B274" s="40">
        <f t="shared" si="6"/>
        <v>44834</v>
      </c>
      <c r="C274" s="41">
        <v>10.0</v>
      </c>
      <c r="D274" s="41" t="s">
        <v>34</v>
      </c>
      <c r="E274" s="43" t="s">
        <v>42</v>
      </c>
      <c r="F274" s="30">
        <v>0.0</v>
      </c>
      <c r="H274" s="31">
        <v>0.0</v>
      </c>
      <c r="J274" s="31">
        <v>0.0</v>
      </c>
      <c r="L274" s="31">
        <v>0.0</v>
      </c>
      <c r="N274" s="31">
        <v>0.0</v>
      </c>
      <c r="P274" s="31">
        <v>0.0</v>
      </c>
      <c r="Q274" s="29"/>
      <c r="R274" s="30">
        <v>150.0</v>
      </c>
      <c r="T274" s="31">
        <v>150.0</v>
      </c>
      <c r="V274" s="31">
        <v>0.0</v>
      </c>
      <c r="X274" s="31">
        <v>0.0</v>
      </c>
      <c r="Z274" s="31">
        <v>0.0</v>
      </c>
      <c r="AB274" s="31">
        <v>0.0</v>
      </c>
      <c r="AC274" s="29"/>
      <c r="AD274" s="33"/>
      <c r="AF274" s="34"/>
      <c r="AH274" s="34"/>
      <c r="AJ274" s="34"/>
      <c r="AL274" s="34"/>
      <c r="AN274" s="34"/>
      <c r="AO274" s="29"/>
      <c r="AP274" s="47">
        <f t="shared" si="7"/>
        <v>4080</v>
      </c>
      <c r="AQ274" s="48">
        <f t="shared" si="2"/>
        <v>300</v>
      </c>
      <c r="AR274" s="41">
        <f t="shared" si="3"/>
        <v>0</v>
      </c>
      <c r="AS274" s="41">
        <f t="shared" si="4"/>
        <v>300</v>
      </c>
      <c r="AT274" s="46">
        <f t="shared" si="5"/>
        <v>13.6</v>
      </c>
      <c r="AU274" s="37"/>
      <c r="AV274" s="37"/>
      <c r="AW274" s="37"/>
      <c r="AX274" s="37"/>
      <c r="AY274" s="37"/>
    </row>
    <row r="275" ht="15.75" customHeight="1">
      <c r="A275" s="49" t="s">
        <v>32</v>
      </c>
      <c r="B275" s="50">
        <f t="shared" si="6"/>
        <v>44835</v>
      </c>
      <c r="C275" s="51">
        <v>10.0</v>
      </c>
      <c r="D275" s="51" t="s">
        <v>34</v>
      </c>
      <c r="E275" s="53" t="s">
        <v>42</v>
      </c>
      <c r="F275" s="64">
        <v>0.0</v>
      </c>
      <c r="G275" s="55"/>
      <c r="H275" s="65">
        <v>0.0</v>
      </c>
      <c r="I275" s="55"/>
      <c r="J275" s="65">
        <v>0.0</v>
      </c>
      <c r="K275" s="55"/>
      <c r="L275" s="65">
        <v>0.0</v>
      </c>
      <c r="M275" s="55"/>
      <c r="N275" s="65">
        <v>0.0</v>
      </c>
      <c r="O275" s="55"/>
      <c r="P275" s="65">
        <v>0.0</v>
      </c>
      <c r="Q275" s="58"/>
      <c r="R275" s="64">
        <v>0.0</v>
      </c>
      <c r="S275" s="55"/>
      <c r="T275" s="65">
        <v>0.0</v>
      </c>
      <c r="U275" s="55"/>
      <c r="V275" s="65">
        <v>0.0</v>
      </c>
      <c r="W275" s="55"/>
      <c r="X275" s="65">
        <v>0.0</v>
      </c>
      <c r="Y275" s="55"/>
      <c r="Z275" s="65">
        <v>0.0</v>
      </c>
      <c r="AA275" s="55"/>
      <c r="AB275" s="65">
        <v>0.0</v>
      </c>
      <c r="AC275" s="58"/>
      <c r="AD275" s="66"/>
      <c r="AE275" s="55"/>
      <c r="AF275" s="67"/>
      <c r="AG275" s="55"/>
      <c r="AH275" s="67"/>
      <c r="AI275" s="55"/>
      <c r="AJ275" s="67"/>
      <c r="AK275" s="55"/>
      <c r="AL275" s="67"/>
      <c r="AM275" s="55"/>
      <c r="AN275" s="67"/>
      <c r="AO275" s="58"/>
      <c r="AP275" s="68">
        <f t="shared" si="7"/>
        <v>0</v>
      </c>
      <c r="AQ275" s="69">
        <f t="shared" si="2"/>
        <v>0</v>
      </c>
      <c r="AR275" s="51">
        <f t="shared" si="3"/>
        <v>0</v>
      </c>
      <c r="AS275" s="51">
        <f t="shared" si="4"/>
        <v>0</v>
      </c>
      <c r="AT275" s="61" t="str">
        <f t="shared" si="5"/>
        <v/>
      </c>
      <c r="AU275" s="37"/>
      <c r="AV275" s="37"/>
      <c r="AW275" s="37"/>
      <c r="AX275" s="37"/>
      <c r="AY275" s="37"/>
    </row>
    <row r="276" ht="15.75" customHeight="1">
      <c r="A276" s="21" t="s">
        <v>24</v>
      </c>
      <c r="B276" s="62">
        <f t="shared" si="6"/>
        <v>44836</v>
      </c>
      <c r="C276" s="23">
        <v>10.0</v>
      </c>
      <c r="D276" s="23" t="s">
        <v>35</v>
      </c>
      <c r="E276" s="63" t="s">
        <v>42</v>
      </c>
      <c r="F276" s="30">
        <v>0.0</v>
      </c>
      <c r="H276" s="31">
        <v>0.0</v>
      </c>
      <c r="J276" s="31">
        <v>0.0</v>
      </c>
      <c r="L276" s="31">
        <v>0.0</v>
      </c>
      <c r="N276" s="31">
        <v>0.0</v>
      </c>
      <c r="P276" s="31">
        <v>0.0</v>
      </c>
      <c r="Q276" s="29"/>
      <c r="R276" s="30">
        <v>40.0</v>
      </c>
      <c r="T276" s="31">
        <v>40.0</v>
      </c>
      <c r="V276" s="31">
        <v>0.0</v>
      </c>
      <c r="X276" s="31">
        <v>0.0</v>
      </c>
      <c r="Z276" s="31">
        <v>0.0</v>
      </c>
      <c r="AB276" s="31">
        <v>0.0</v>
      </c>
      <c r="AC276" s="29"/>
      <c r="AD276" s="33"/>
      <c r="AF276" s="34"/>
      <c r="AH276" s="34"/>
      <c r="AJ276" s="34"/>
      <c r="AL276" s="34"/>
      <c r="AN276" s="34"/>
      <c r="AO276" s="29"/>
      <c r="AP276" s="38">
        <f t="shared" si="7"/>
        <v>1088</v>
      </c>
      <c r="AQ276" s="44">
        <f t="shared" si="2"/>
        <v>80</v>
      </c>
      <c r="AR276" s="23">
        <f t="shared" si="3"/>
        <v>0</v>
      </c>
      <c r="AS276" s="23">
        <f t="shared" si="4"/>
        <v>80</v>
      </c>
      <c r="AT276" s="36">
        <f t="shared" si="5"/>
        <v>13.6</v>
      </c>
      <c r="AU276" s="37"/>
      <c r="AV276" s="37"/>
      <c r="AW276" s="37"/>
      <c r="AX276" s="37"/>
      <c r="AY276" s="37"/>
    </row>
    <row r="277" ht="15.75" customHeight="1">
      <c r="A277" s="39" t="s">
        <v>27</v>
      </c>
      <c r="B277" s="40">
        <f t="shared" si="6"/>
        <v>44837</v>
      </c>
      <c r="C277" s="41">
        <v>10.0</v>
      </c>
      <c r="D277" s="41" t="s">
        <v>35</v>
      </c>
      <c r="E277" s="43" t="s">
        <v>42</v>
      </c>
      <c r="F277" s="30">
        <v>0.0</v>
      </c>
      <c r="H277" s="31">
        <v>0.0</v>
      </c>
      <c r="J277" s="31">
        <v>0.0</v>
      </c>
      <c r="L277" s="31">
        <v>0.0</v>
      </c>
      <c r="N277" s="31">
        <v>0.0</v>
      </c>
      <c r="P277" s="31">
        <v>0.0</v>
      </c>
      <c r="Q277" s="29"/>
      <c r="R277" s="30">
        <v>40.0</v>
      </c>
      <c r="T277" s="31">
        <v>40.0</v>
      </c>
      <c r="V277" s="31">
        <v>0.0</v>
      </c>
      <c r="X277" s="31">
        <v>0.0</v>
      </c>
      <c r="Z277" s="31">
        <v>0.0</v>
      </c>
      <c r="AB277" s="31">
        <v>0.0</v>
      </c>
      <c r="AC277" s="29"/>
      <c r="AD277" s="33"/>
      <c r="AF277" s="34"/>
      <c r="AH277" s="34"/>
      <c r="AJ277" s="34"/>
      <c r="AL277" s="34"/>
      <c r="AN277" s="34"/>
      <c r="AO277" s="29"/>
      <c r="AP277" s="47">
        <f t="shared" si="7"/>
        <v>1088</v>
      </c>
      <c r="AQ277" s="48">
        <f t="shared" si="2"/>
        <v>80</v>
      </c>
      <c r="AR277" s="41">
        <f t="shared" si="3"/>
        <v>0</v>
      </c>
      <c r="AS277" s="41">
        <f t="shared" si="4"/>
        <v>80</v>
      </c>
      <c r="AT277" s="46">
        <f t="shared" si="5"/>
        <v>13.6</v>
      </c>
      <c r="AU277" s="37"/>
      <c r="AV277" s="37"/>
      <c r="AW277" s="37"/>
      <c r="AX277" s="37"/>
      <c r="AY277" s="37"/>
    </row>
    <row r="278" ht="15.75" customHeight="1">
      <c r="A278" s="39" t="s">
        <v>28</v>
      </c>
      <c r="B278" s="40">
        <f t="shared" si="6"/>
        <v>44838</v>
      </c>
      <c r="C278" s="41">
        <v>10.0</v>
      </c>
      <c r="D278" s="41" t="s">
        <v>35</v>
      </c>
      <c r="E278" s="43" t="s">
        <v>42</v>
      </c>
      <c r="F278" s="30">
        <v>0.0</v>
      </c>
      <c r="H278" s="31">
        <v>0.0</v>
      </c>
      <c r="J278" s="31">
        <v>0.0</v>
      </c>
      <c r="L278" s="31">
        <v>0.0</v>
      </c>
      <c r="N278" s="31">
        <v>0.0</v>
      </c>
      <c r="P278" s="31">
        <v>0.0</v>
      </c>
      <c r="Q278" s="29"/>
      <c r="R278" s="30">
        <v>40.0</v>
      </c>
      <c r="T278" s="31">
        <v>40.0</v>
      </c>
      <c r="V278" s="31">
        <v>0.0</v>
      </c>
      <c r="X278" s="31">
        <v>0.0</v>
      </c>
      <c r="Z278" s="31">
        <v>0.0</v>
      </c>
      <c r="AB278" s="31">
        <v>0.0</v>
      </c>
      <c r="AC278" s="29"/>
      <c r="AD278" s="33"/>
      <c r="AF278" s="34"/>
      <c r="AH278" s="34"/>
      <c r="AJ278" s="34"/>
      <c r="AL278" s="34"/>
      <c r="AN278" s="34"/>
      <c r="AO278" s="29"/>
      <c r="AP278" s="47">
        <f t="shared" si="7"/>
        <v>1088</v>
      </c>
      <c r="AQ278" s="48">
        <f t="shared" si="2"/>
        <v>80</v>
      </c>
      <c r="AR278" s="41">
        <f t="shared" si="3"/>
        <v>0</v>
      </c>
      <c r="AS278" s="41">
        <f t="shared" si="4"/>
        <v>80</v>
      </c>
      <c r="AT278" s="46">
        <f t="shared" si="5"/>
        <v>13.6</v>
      </c>
      <c r="AU278" s="37"/>
      <c r="AV278" s="37"/>
      <c r="AW278" s="37"/>
      <c r="AX278" s="37"/>
      <c r="AY278" s="37"/>
    </row>
    <row r="279" ht="15.75" customHeight="1">
      <c r="A279" s="39" t="s">
        <v>29</v>
      </c>
      <c r="B279" s="40">
        <f t="shared" si="6"/>
        <v>44839</v>
      </c>
      <c r="C279" s="41">
        <v>10.0</v>
      </c>
      <c r="D279" s="41" t="s">
        <v>35</v>
      </c>
      <c r="E279" s="43" t="s">
        <v>42</v>
      </c>
      <c r="F279" s="30">
        <v>0.0</v>
      </c>
      <c r="H279" s="31">
        <v>0.0</v>
      </c>
      <c r="J279" s="31">
        <v>0.0</v>
      </c>
      <c r="L279" s="31">
        <v>0.0</v>
      </c>
      <c r="N279" s="31">
        <v>0.0</v>
      </c>
      <c r="P279" s="31">
        <v>0.0</v>
      </c>
      <c r="Q279" s="29"/>
      <c r="R279" s="30">
        <v>40.0</v>
      </c>
      <c r="T279" s="31">
        <v>40.0</v>
      </c>
      <c r="V279" s="31">
        <v>0.0</v>
      </c>
      <c r="X279" s="31">
        <v>0.0</v>
      </c>
      <c r="Z279" s="31">
        <v>0.0</v>
      </c>
      <c r="AB279" s="31">
        <v>0.0</v>
      </c>
      <c r="AC279" s="29"/>
      <c r="AD279" s="33"/>
      <c r="AF279" s="34"/>
      <c r="AH279" s="34"/>
      <c r="AJ279" s="34"/>
      <c r="AL279" s="34"/>
      <c r="AN279" s="34"/>
      <c r="AO279" s="29"/>
      <c r="AP279" s="47">
        <f t="shared" si="7"/>
        <v>1088</v>
      </c>
      <c r="AQ279" s="48">
        <f t="shared" si="2"/>
        <v>80</v>
      </c>
      <c r="AR279" s="41">
        <f t="shared" si="3"/>
        <v>0</v>
      </c>
      <c r="AS279" s="41">
        <f t="shared" si="4"/>
        <v>80</v>
      </c>
      <c r="AT279" s="46">
        <f t="shared" si="5"/>
        <v>13.6</v>
      </c>
      <c r="AU279" s="37"/>
      <c r="AV279" s="37"/>
      <c r="AW279" s="37"/>
      <c r="AX279" s="37"/>
      <c r="AY279" s="37"/>
    </row>
    <row r="280" ht="15.75" customHeight="1">
      <c r="A280" s="39" t="s">
        <v>30</v>
      </c>
      <c r="B280" s="40">
        <f t="shared" si="6"/>
        <v>44840</v>
      </c>
      <c r="C280" s="41">
        <v>10.0</v>
      </c>
      <c r="D280" s="41" t="s">
        <v>35</v>
      </c>
      <c r="E280" s="43" t="s">
        <v>42</v>
      </c>
      <c r="F280" s="30">
        <v>0.0</v>
      </c>
      <c r="H280" s="31">
        <v>0.0</v>
      </c>
      <c r="J280" s="31">
        <v>0.0</v>
      </c>
      <c r="L280" s="31">
        <v>0.0</v>
      </c>
      <c r="N280" s="31">
        <v>0.0</v>
      </c>
      <c r="P280" s="31">
        <v>0.0</v>
      </c>
      <c r="Q280" s="29"/>
      <c r="R280" s="30">
        <v>40.0</v>
      </c>
      <c r="T280" s="31">
        <v>40.0</v>
      </c>
      <c r="V280" s="31">
        <v>0.0</v>
      </c>
      <c r="X280" s="31">
        <v>0.0</v>
      </c>
      <c r="Z280" s="31">
        <v>0.0</v>
      </c>
      <c r="AB280" s="31">
        <v>0.0</v>
      </c>
      <c r="AC280" s="29"/>
      <c r="AD280" s="33"/>
      <c r="AF280" s="34"/>
      <c r="AH280" s="34"/>
      <c r="AJ280" s="34"/>
      <c r="AL280" s="34"/>
      <c r="AN280" s="34"/>
      <c r="AO280" s="29"/>
      <c r="AP280" s="47">
        <f t="shared" si="7"/>
        <v>1088</v>
      </c>
      <c r="AQ280" s="48">
        <f t="shared" si="2"/>
        <v>80</v>
      </c>
      <c r="AR280" s="41">
        <f t="shared" si="3"/>
        <v>0</v>
      </c>
      <c r="AS280" s="41">
        <f t="shared" si="4"/>
        <v>80</v>
      </c>
      <c r="AT280" s="46">
        <f t="shared" si="5"/>
        <v>13.6</v>
      </c>
      <c r="AU280" s="37"/>
      <c r="AV280" s="37"/>
      <c r="AW280" s="37"/>
      <c r="AX280" s="37"/>
      <c r="AY280" s="37"/>
    </row>
    <row r="281" ht="15.75" customHeight="1">
      <c r="A281" s="39" t="s">
        <v>31</v>
      </c>
      <c r="B281" s="40">
        <f t="shared" si="6"/>
        <v>44841</v>
      </c>
      <c r="C281" s="41">
        <v>10.0</v>
      </c>
      <c r="D281" s="41" t="s">
        <v>35</v>
      </c>
      <c r="E281" s="43" t="s">
        <v>42</v>
      </c>
      <c r="F281" s="30">
        <v>0.0</v>
      </c>
      <c r="H281" s="31">
        <v>0.0</v>
      </c>
      <c r="J281" s="31">
        <v>0.0</v>
      </c>
      <c r="L281" s="31">
        <v>0.0</v>
      </c>
      <c r="N281" s="31">
        <v>0.0</v>
      </c>
      <c r="P281" s="31">
        <v>0.0</v>
      </c>
      <c r="Q281" s="29"/>
      <c r="R281" s="30">
        <v>0.0</v>
      </c>
      <c r="T281" s="31">
        <v>0.0</v>
      </c>
      <c r="V281" s="31">
        <v>0.0</v>
      </c>
      <c r="X281" s="31">
        <v>0.0</v>
      </c>
      <c r="Z281" s="31">
        <v>0.0</v>
      </c>
      <c r="AB281" s="31">
        <v>0.0</v>
      </c>
      <c r="AC281" s="29"/>
      <c r="AD281" s="33"/>
      <c r="AF281" s="34"/>
      <c r="AH281" s="34"/>
      <c r="AJ281" s="34"/>
      <c r="AL281" s="34"/>
      <c r="AN281" s="34"/>
      <c r="AO281" s="29"/>
      <c r="AP281" s="47">
        <f t="shared" si="7"/>
        <v>0</v>
      </c>
      <c r="AQ281" s="48">
        <f t="shared" si="2"/>
        <v>0</v>
      </c>
      <c r="AR281" s="41">
        <f t="shared" si="3"/>
        <v>0</v>
      </c>
      <c r="AS281" s="41">
        <f t="shared" si="4"/>
        <v>0</v>
      </c>
      <c r="AT281" s="46" t="str">
        <f t="shared" si="5"/>
        <v/>
      </c>
      <c r="AU281" s="37"/>
      <c r="AV281" s="37"/>
      <c r="AW281" s="37"/>
      <c r="AX281" s="37"/>
      <c r="AY281" s="37"/>
    </row>
    <row r="282" ht="15.75" customHeight="1">
      <c r="A282" s="49" t="s">
        <v>32</v>
      </c>
      <c r="B282" s="50">
        <f t="shared" si="6"/>
        <v>44842</v>
      </c>
      <c r="C282" s="51">
        <v>10.0</v>
      </c>
      <c r="D282" s="51" t="s">
        <v>35</v>
      </c>
      <c r="E282" s="53" t="s">
        <v>42</v>
      </c>
      <c r="F282" s="64">
        <v>0.0</v>
      </c>
      <c r="G282" s="55"/>
      <c r="H282" s="65">
        <v>0.0</v>
      </c>
      <c r="I282" s="55"/>
      <c r="J282" s="65">
        <v>0.0</v>
      </c>
      <c r="K282" s="55"/>
      <c r="L282" s="65">
        <v>0.0</v>
      </c>
      <c r="M282" s="55"/>
      <c r="N282" s="65">
        <v>0.0</v>
      </c>
      <c r="O282" s="55"/>
      <c r="P282" s="65">
        <v>0.0</v>
      </c>
      <c r="Q282" s="58"/>
      <c r="R282" s="64">
        <v>0.0</v>
      </c>
      <c r="S282" s="55"/>
      <c r="T282" s="65">
        <v>0.0</v>
      </c>
      <c r="U282" s="55"/>
      <c r="V282" s="65">
        <v>0.0</v>
      </c>
      <c r="W282" s="55"/>
      <c r="X282" s="65">
        <v>0.0</v>
      </c>
      <c r="Y282" s="55"/>
      <c r="Z282" s="65">
        <v>0.0</v>
      </c>
      <c r="AA282" s="55"/>
      <c r="AB282" s="65">
        <v>0.0</v>
      </c>
      <c r="AC282" s="58"/>
      <c r="AD282" s="66"/>
      <c r="AE282" s="55"/>
      <c r="AF282" s="67"/>
      <c r="AG282" s="55"/>
      <c r="AH282" s="67"/>
      <c r="AI282" s="55"/>
      <c r="AJ282" s="67"/>
      <c r="AK282" s="55"/>
      <c r="AL282" s="67"/>
      <c r="AM282" s="55"/>
      <c r="AN282" s="67"/>
      <c r="AO282" s="58"/>
      <c r="AP282" s="68">
        <f t="shared" si="7"/>
        <v>0</v>
      </c>
      <c r="AQ282" s="69">
        <f t="shared" si="2"/>
        <v>0</v>
      </c>
      <c r="AR282" s="51">
        <f t="shared" si="3"/>
        <v>0</v>
      </c>
      <c r="AS282" s="51">
        <f t="shared" si="4"/>
        <v>0</v>
      </c>
      <c r="AT282" s="61" t="str">
        <f t="shared" si="5"/>
        <v/>
      </c>
      <c r="AU282" s="37"/>
      <c r="AV282" s="37"/>
      <c r="AW282" s="37"/>
      <c r="AX282" s="37"/>
      <c r="AY282" s="37"/>
    </row>
    <row r="283" ht="15.75" customHeight="1">
      <c r="A283" s="21" t="s">
        <v>24</v>
      </c>
      <c r="B283" s="62">
        <f t="shared" si="6"/>
        <v>44843</v>
      </c>
      <c r="C283" s="23">
        <v>11.0</v>
      </c>
      <c r="D283" s="23" t="s">
        <v>25</v>
      </c>
      <c r="E283" s="63" t="s">
        <v>42</v>
      </c>
      <c r="F283" s="30">
        <v>0.0</v>
      </c>
      <c r="H283" s="31">
        <v>0.0</v>
      </c>
      <c r="J283" s="31">
        <v>0.0</v>
      </c>
      <c r="L283" s="31">
        <v>0.0</v>
      </c>
      <c r="N283" s="31">
        <v>0.0</v>
      </c>
      <c r="P283" s="31">
        <v>0.0</v>
      </c>
      <c r="Q283" s="29"/>
      <c r="R283" s="30">
        <v>40.0</v>
      </c>
      <c r="T283" s="31">
        <v>40.0</v>
      </c>
      <c r="V283" s="31">
        <v>0.0</v>
      </c>
      <c r="X283" s="31">
        <v>0.0</v>
      </c>
      <c r="Z283" s="31">
        <v>0.0</v>
      </c>
      <c r="AB283" s="31">
        <v>0.0</v>
      </c>
      <c r="AC283" s="29"/>
      <c r="AD283" s="33"/>
      <c r="AF283" s="34"/>
      <c r="AH283" s="34"/>
      <c r="AJ283" s="34"/>
      <c r="AL283" s="34"/>
      <c r="AN283" s="34"/>
      <c r="AO283" s="29"/>
      <c r="AP283" s="38">
        <f t="shared" si="7"/>
        <v>1088</v>
      </c>
      <c r="AQ283" s="44">
        <f t="shared" si="2"/>
        <v>80</v>
      </c>
      <c r="AR283" s="23">
        <f t="shared" si="3"/>
        <v>0</v>
      </c>
      <c r="AS283" s="23">
        <f t="shared" si="4"/>
        <v>80</v>
      </c>
      <c r="AT283" s="36">
        <f t="shared" si="5"/>
        <v>13.6</v>
      </c>
      <c r="AU283" s="37"/>
      <c r="AV283" s="37"/>
      <c r="AW283" s="37"/>
      <c r="AX283" s="37"/>
      <c r="AY283" s="37"/>
    </row>
    <row r="284" ht="15.75" customHeight="1">
      <c r="A284" s="39" t="s">
        <v>27</v>
      </c>
      <c r="B284" s="40">
        <f t="shared" si="6"/>
        <v>44844</v>
      </c>
      <c r="C284" s="41">
        <v>11.0</v>
      </c>
      <c r="D284" s="41" t="s">
        <v>25</v>
      </c>
      <c r="E284" s="43" t="s">
        <v>42</v>
      </c>
      <c r="F284" s="30">
        <v>0.0</v>
      </c>
      <c r="H284" s="31">
        <v>0.0</v>
      </c>
      <c r="J284" s="31">
        <v>0.0</v>
      </c>
      <c r="L284" s="31">
        <v>0.0</v>
      </c>
      <c r="N284" s="31">
        <v>0.0</v>
      </c>
      <c r="P284" s="31">
        <v>0.0</v>
      </c>
      <c r="Q284" s="29"/>
      <c r="R284" s="30">
        <v>40.0</v>
      </c>
      <c r="T284" s="31">
        <v>40.0</v>
      </c>
      <c r="V284" s="31">
        <v>0.0</v>
      </c>
      <c r="X284" s="31">
        <v>0.0</v>
      </c>
      <c r="Z284" s="31">
        <v>0.0</v>
      </c>
      <c r="AB284" s="31">
        <v>0.0</v>
      </c>
      <c r="AC284" s="29"/>
      <c r="AD284" s="33"/>
      <c r="AF284" s="34"/>
      <c r="AH284" s="34"/>
      <c r="AJ284" s="34"/>
      <c r="AL284" s="34"/>
      <c r="AN284" s="34"/>
      <c r="AO284" s="29"/>
      <c r="AP284" s="47">
        <f t="shared" si="7"/>
        <v>1088</v>
      </c>
      <c r="AQ284" s="48">
        <f t="shared" si="2"/>
        <v>80</v>
      </c>
      <c r="AR284" s="41">
        <f t="shared" si="3"/>
        <v>0</v>
      </c>
      <c r="AS284" s="41">
        <f t="shared" si="4"/>
        <v>80</v>
      </c>
      <c r="AT284" s="46">
        <f t="shared" si="5"/>
        <v>13.6</v>
      </c>
      <c r="AU284" s="37"/>
      <c r="AV284" s="37"/>
      <c r="AW284" s="37"/>
      <c r="AX284" s="37"/>
      <c r="AY284" s="37"/>
    </row>
    <row r="285" ht="15.75" customHeight="1">
      <c r="A285" s="39" t="s">
        <v>28</v>
      </c>
      <c r="B285" s="40">
        <f t="shared" si="6"/>
        <v>44845</v>
      </c>
      <c r="C285" s="41">
        <v>11.0</v>
      </c>
      <c r="D285" s="41" t="s">
        <v>25</v>
      </c>
      <c r="E285" s="43" t="s">
        <v>42</v>
      </c>
      <c r="F285" s="30">
        <v>0.0</v>
      </c>
      <c r="H285" s="31">
        <v>0.0</v>
      </c>
      <c r="J285" s="31">
        <v>0.0</v>
      </c>
      <c r="L285" s="31">
        <v>0.0</v>
      </c>
      <c r="N285" s="31">
        <v>0.0</v>
      </c>
      <c r="P285" s="31">
        <v>0.0</v>
      </c>
      <c r="Q285" s="29"/>
      <c r="R285" s="30">
        <v>40.0</v>
      </c>
      <c r="T285" s="31">
        <v>40.0</v>
      </c>
      <c r="V285" s="31">
        <v>0.0</v>
      </c>
      <c r="X285" s="31">
        <v>0.0</v>
      </c>
      <c r="Z285" s="31">
        <v>0.0</v>
      </c>
      <c r="AB285" s="31">
        <v>0.0</v>
      </c>
      <c r="AC285" s="29"/>
      <c r="AD285" s="33"/>
      <c r="AF285" s="34"/>
      <c r="AH285" s="34"/>
      <c r="AJ285" s="34"/>
      <c r="AL285" s="34"/>
      <c r="AN285" s="34"/>
      <c r="AO285" s="29"/>
      <c r="AP285" s="47">
        <f t="shared" si="7"/>
        <v>1088</v>
      </c>
      <c r="AQ285" s="48">
        <f t="shared" si="2"/>
        <v>80</v>
      </c>
      <c r="AR285" s="41">
        <f t="shared" si="3"/>
        <v>0</v>
      </c>
      <c r="AS285" s="41">
        <f t="shared" si="4"/>
        <v>80</v>
      </c>
      <c r="AT285" s="46">
        <f t="shared" si="5"/>
        <v>13.6</v>
      </c>
      <c r="AU285" s="37"/>
      <c r="AV285" s="37"/>
      <c r="AW285" s="37"/>
      <c r="AX285" s="37"/>
      <c r="AY285" s="37"/>
    </row>
    <row r="286" ht="15.75" customHeight="1">
      <c r="A286" s="39" t="s">
        <v>29</v>
      </c>
      <c r="B286" s="40">
        <f t="shared" si="6"/>
        <v>44846</v>
      </c>
      <c r="C286" s="41">
        <v>11.0</v>
      </c>
      <c r="D286" s="41" t="s">
        <v>25</v>
      </c>
      <c r="E286" s="43" t="s">
        <v>42</v>
      </c>
      <c r="F286" s="30">
        <v>0.0</v>
      </c>
      <c r="H286" s="31">
        <v>0.0</v>
      </c>
      <c r="J286" s="31">
        <v>0.0</v>
      </c>
      <c r="L286" s="31">
        <v>0.0</v>
      </c>
      <c r="N286" s="31">
        <v>0.0</v>
      </c>
      <c r="P286" s="31">
        <v>0.0</v>
      </c>
      <c r="Q286" s="29"/>
      <c r="R286" s="30">
        <v>40.0</v>
      </c>
      <c r="T286" s="31">
        <v>40.0</v>
      </c>
      <c r="V286" s="31">
        <v>0.0</v>
      </c>
      <c r="X286" s="31">
        <v>0.0</v>
      </c>
      <c r="Z286" s="31">
        <v>0.0</v>
      </c>
      <c r="AB286" s="31">
        <v>0.0</v>
      </c>
      <c r="AC286" s="29"/>
      <c r="AD286" s="33"/>
      <c r="AF286" s="34"/>
      <c r="AH286" s="34"/>
      <c r="AJ286" s="34"/>
      <c r="AL286" s="34"/>
      <c r="AN286" s="34"/>
      <c r="AO286" s="29"/>
      <c r="AP286" s="47">
        <f t="shared" si="7"/>
        <v>1088</v>
      </c>
      <c r="AQ286" s="48">
        <f t="shared" si="2"/>
        <v>80</v>
      </c>
      <c r="AR286" s="41">
        <f t="shared" si="3"/>
        <v>0</v>
      </c>
      <c r="AS286" s="41">
        <f t="shared" si="4"/>
        <v>80</v>
      </c>
      <c r="AT286" s="46">
        <f t="shared" si="5"/>
        <v>13.6</v>
      </c>
      <c r="AU286" s="37"/>
      <c r="AV286" s="37"/>
      <c r="AW286" s="37"/>
      <c r="AX286" s="37"/>
      <c r="AY286" s="37"/>
    </row>
    <row r="287" ht="15.75" customHeight="1">
      <c r="A287" s="39" t="s">
        <v>30</v>
      </c>
      <c r="B287" s="40">
        <f t="shared" si="6"/>
        <v>44847</v>
      </c>
      <c r="C287" s="41">
        <v>11.0</v>
      </c>
      <c r="D287" s="41" t="s">
        <v>25</v>
      </c>
      <c r="E287" s="43" t="s">
        <v>42</v>
      </c>
      <c r="F287" s="30">
        <v>0.0</v>
      </c>
      <c r="H287" s="31">
        <v>0.0</v>
      </c>
      <c r="J287" s="31">
        <v>0.0</v>
      </c>
      <c r="L287" s="31">
        <v>0.0</v>
      </c>
      <c r="N287" s="31">
        <v>0.0</v>
      </c>
      <c r="P287" s="31">
        <v>0.0</v>
      </c>
      <c r="Q287" s="29"/>
      <c r="R287" s="30">
        <v>40.0</v>
      </c>
      <c r="T287" s="31">
        <v>40.0</v>
      </c>
      <c r="V287" s="31">
        <v>0.0</v>
      </c>
      <c r="X287" s="31">
        <v>0.0</v>
      </c>
      <c r="Z287" s="31">
        <v>0.0</v>
      </c>
      <c r="AB287" s="31">
        <v>0.0</v>
      </c>
      <c r="AC287" s="29"/>
      <c r="AD287" s="33"/>
      <c r="AF287" s="34"/>
      <c r="AH287" s="34"/>
      <c r="AJ287" s="34"/>
      <c r="AL287" s="34"/>
      <c r="AN287" s="34"/>
      <c r="AO287" s="29"/>
      <c r="AP287" s="47">
        <f t="shared" si="7"/>
        <v>1088</v>
      </c>
      <c r="AQ287" s="48">
        <f t="shared" si="2"/>
        <v>80</v>
      </c>
      <c r="AR287" s="41">
        <f t="shared" si="3"/>
        <v>0</v>
      </c>
      <c r="AS287" s="41">
        <f t="shared" si="4"/>
        <v>80</v>
      </c>
      <c r="AT287" s="46">
        <f t="shared" si="5"/>
        <v>13.6</v>
      </c>
      <c r="AU287" s="37"/>
      <c r="AV287" s="37"/>
      <c r="AW287" s="37"/>
      <c r="AX287" s="37"/>
      <c r="AY287" s="37"/>
    </row>
    <row r="288" ht="15.75" customHeight="1">
      <c r="A288" s="39" t="s">
        <v>31</v>
      </c>
      <c r="B288" s="40">
        <f t="shared" si="6"/>
        <v>44848</v>
      </c>
      <c r="C288" s="41">
        <v>11.0</v>
      </c>
      <c r="D288" s="41" t="s">
        <v>25</v>
      </c>
      <c r="E288" s="43" t="s">
        <v>42</v>
      </c>
      <c r="F288" s="30">
        <v>0.0</v>
      </c>
      <c r="H288" s="31">
        <v>0.0</v>
      </c>
      <c r="J288" s="31">
        <v>0.0</v>
      </c>
      <c r="L288" s="31">
        <v>0.0</v>
      </c>
      <c r="N288" s="31">
        <v>0.0</v>
      </c>
      <c r="P288" s="31">
        <v>0.0</v>
      </c>
      <c r="Q288" s="29"/>
      <c r="R288" s="30">
        <v>0.0</v>
      </c>
      <c r="T288" s="31">
        <v>0.0</v>
      </c>
      <c r="V288" s="31">
        <v>0.0</v>
      </c>
      <c r="X288" s="31">
        <v>0.0</v>
      </c>
      <c r="Z288" s="31">
        <v>0.0</v>
      </c>
      <c r="AB288" s="31">
        <v>0.0</v>
      </c>
      <c r="AC288" s="29"/>
      <c r="AD288" s="33"/>
      <c r="AF288" s="34"/>
      <c r="AH288" s="34"/>
      <c r="AJ288" s="34"/>
      <c r="AL288" s="34"/>
      <c r="AN288" s="34"/>
      <c r="AO288" s="29"/>
      <c r="AP288" s="47">
        <f t="shared" si="7"/>
        <v>0</v>
      </c>
      <c r="AQ288" s="48">
        <f t="shared" si="2"/>
        <v>0</v>
      </c>
      <c r="AR288" s="41">
        <f t="shared" si="3"/>
        <v>0</v>
      </c>
      <c r="AS288" s="41">
        <f t="shared" si="4"/>
        <v>0</v>
      </c>
      <c r="AT288" s="46" t="str">
        <f t="shared" si="5"/>
        <v/>
      </c>
      <c r="AU288" s="37"/>
      <c r="AV288" s="37"/>
      <c r="AW288" s="37"/>
      <c r="AX288" s="37"/>
      <c r="AY288" s="37"/>
    </row>
    <row r="289" ht="15.75" customHeight="1">
      <c r="A289" s="49" t="s">
        <v>32</v>
      </c>
      <c r="B289" s="50">
        <f t="shared" si="6"/>
        <v>44849</v>
      </c>
      <c r="C289" s="51">
        <v>11.0</v>
      </c>
      <c r="D289" s="51" t="s">
        <v>25</v>
      </c>
      <c r="E289" s="53" t="s">
        <v>42</v>
      </c>
      <c r="F289" s="64">
        <v>0.0</v>
      </c>
      <c r="G289" s="55"/>
      <c r="H289" s="65">
        <v>0.0</v>
      </c>
      <c r="I289" s="55"/>
      <c r="J289" s="65">
        <v>0.0</v>
      </c>
      <c r="K289" s="55"/>
      <c r="L289" s="65">
        <v>0.0</v>
      </c>
      <c r="M289" s="55"/>
      <c r="N289" s="65">
        <v>0.0</v>
      </c>
      <c r="O289" s="55"/>
      <c r="P289" s="65">
        <v>0.0</v>
      </c>
      <c r="Q289" s="58"/>
      <c r="R289" s="64">
        <v>0.0</v>
      </c>
      <c r="S289" s="55"/>
      <c r="T289" s="65">
        <v>0.0</v>
      </c>
      <c r="U289" s="55"/>
      <c r="V289" s="65">
        <v>0.0</v>
      </c>
      <c r="W289" s="55"/>
      <c r="X289" s="65">
        <v>0.0</v>
      </c>
      <c r="Y289" s="55"/>
      <c r="Z289" s="65">
        <v>0.0</v>
      </c>
      <c r="AA289" s="55"/>
      <c r="AB289" s="65">
        <v>0.0</v>
      </c>
      <c r="AC289" s="58"/>
      <c r="AD289" s="66"/>
      <c r="AE289" s="55"/>
      <c r="AF289" s="67"/>
      <c r="AG289" s="55"/>
      <c r="AH289" s="67"/>
      <c r="AI289" s="55"/>
      <c r="AJ289" s="67"/>
      <c r="AK289" s="55"/>
      <c r="AL289" s="67"/>
      <c r="AM289" s="55"/>
      <c r="AN289" s="67"/>
      <c r="AO289" s="58"/>
      <c r="AP289" s="68">
        <f t="shared" si="7"/>
        <v>0</v>
      </c>
      <c r="AQ289" s="69">
        <f t="shared" si="2"/>
        <v>0</v>
      </c>
      <c r="AR289" s="51">
        <f t="shared" si="3"/>
        <v>0</v>
      </c>
      <c r="AS289" s="51">
        <f t="shared" si="4"/>
        <v>0</v>
      </c>
      <c r="AT289" s="61" t="str">
        <f t="shared" si="5"/>
        <v/>
      </c>
      <c r="AU289" s="37"/>
      <c r="AV289" s="37"/>
      <c r="AW289" s="37"/>
      <c r="AX289" s="37"/>
      <c r="AY289" s="37"/>
    </row>
    <row r="290" ht="15.75" customHeight="1">
      <c r="A290" s="21" t="s">
        <v>24</v>
      </c>
      <c r="B290" s="62">
        <f t="shared" si="6"/>
        <v>44850</v>
      </c>
      <c r="C290" s="23">
        <v>11.0</v>
      </c>
      <c r="D290" s="23" t="s">
        <v>33</v>
      </c>
      <c r="E290" s="63" t="s">
        <v>42</v>
      </c>
      <c r="F290" s="30">
        <v>0.0</v>
      </c>
      <c r="H290" s="31">
        <v>0.0</v>
      </c>
      <c r="J290" s="31">
        <v>0.0</v>
      </c>
      <c r="L290" s="31">
        <v>0.0</v>
      </c>
      <c r="N290" s="31">
        <v>0.0</v>
      </c>
      <c r="P290" s="31">
        <v>0.0</v>
      </c>
      <c r="Q290" s="29"/>
      <c r="R290" s="30">
        <v>40.0</v>
      </c>
      <c r="T290" s="31">
        <v>40.0</v>
      </c>
      <c r="V290" s="31">
        <v>0.0</v>
      </c>
      <c r="X290" s="31">
        <v>0.0</v>
      </c>
      <c r="Z290" s="31">
        <v>0.0</v>
      </c>
      <c r="AB290" s="31">
        <v>0.0</v>
      </c>
      <c r="AC290" s="29"/>
      <c r="AD290" s="33"/>
      <c r="AF290" s="34"/>
      <c r="AH290" s="34"/>
      <c r="AJ290" s="34"/>
      <c r="AL290" s="34"/>
      <c r="AN290" s="34"/>
      <c r="AO290" s="29"/>
      <c r="AP290" s="38">
        <f t="shared" si="7"/>
        <v>1088</v>
      </c>
      <c r="AQ290" s="44">
        <f t="shared" si="2"/>
        <v>80</v>
      </c>
      <c r="AR290" s="23">
        <f t="shared" si="3"/>
        <v>0</v>
      </c>
      <c r="AS290" s="23">
        <f t="shared" si="4"/>
        <v>80</v>
      </c>
      <c r="AT290" s="36">
        <f t="shared" si="5"/>
        <v>13.6</v>
      </c>
      <c r="AU290" s="37"/>
      <c r="AV290" s="37"/>
      <c r="AW290" s="37"/>
      <c r="AX290" s="37"/>
      <c r="AY290" s="37"/>
    </row>
    <row r="291" ht="15.75" customHeight="1">
      <c r="A291" s="39" t="s">
        <v>27</v>
      </c>
      <c r="B291" s="40">
        <f t="shared" si="6"/>
        <v>44851</v>
      </c>
      <c r="C291" s="41">
        <v>11.0</v>
      </c>
      <c r="D291" s="41" t="s">
        <v>33</v>
      </c>
      <c r="E291" s="43" t="s">
        <v>42</v>
      </c>
      <c r="F291" s="30">
        <v>0.0</v>
      </c>
      <c r="H291" s="31">
        <v>0.0</v>
      </c>
      <c r="J291" s="31">
        <v>0.0</v>
      </c>
      <c r="L291" s="31">
        <v>0.0</v>
      </c>
      <c r="N291" s="31">
        <v>0.0</v>
      </c>
      <c r="P291" s="31">
        <v>0.0</v>
      </c>
      <c r="Q291" s="29"/>
      <c r="R291" s="30">
        <v>40.0</v>
      </c>
      <c r="T291" s="31">
        <v>40.0</v>
      </c>
      <c r="V291" s="31">
        <v>0.0</v>
      </c>
      <c r="X291" s="31">
        <v>0.0</v>
      </c>
      <c r="Z291" s="31">
        <v>0.0</v>
      </c>
      <c r="AB291" s="31">
        <v>0.0</v>
      </c>
      <c r="AC291" s="29"/>
      <c r="AD291" s="33"/>
      <c r="AF291" s="34"/>
      <c r="AH291" s="34"/>
      <c r="AJ291" s="34"/>
      <c r="AL291" s="34"/>
      <c r="AN291" s="34"/>
      <c r="AO291" s="29"/>
      <c r="AP291" s="47">
        <f t="shared" si="7"/>
        <v>1088</v>
      </c>
      <c r="AQ291" s="48">
        <f t="shared" si="2"/>
        <v>80</v>
      </c>
      <c r="AR291" s="41">
        <f t="shared" si="3"/>
        <v>0</v>
      </c>
      <c r="AS291" s="41">
        <f t="shared" si="4"/>
        <v>80</v>
      </c>
      <c r="AT291" s="46">
        <f t="shared" si="5"/>
        <v>13.6</v>
      </c>
      <c r="AU291" s="37"/>
      <c r="AV291" s="37"/>
      <c r="AW291" s="37"/>
      <c r="AX291" s="37"/>
      <c r="AY291" s="37"/>
    </row>
    <row r="292" ht="15.75" customHeight="1">
      <c r="A292" s="39" t="s">
        <v>28</v>
      </c>
      <c r="B292" s="40">
        <f t="shared" si="6"/>
        <v>44852</v>
      </c>
      <c r="C292" s="41">
        <v>11.0</v>
      </c>
      <c r="D292" s="41" t="s">
        <v>33</v>
      </c>
      <c r="E292" s="43" t="s">
        <v>42</v>
      </c>
      <c r="F292" s="30">
        <v>0.0</v>
      </c>
      <c r="H292" s="31">
        <v>0.0</v>
      </c>
      <c r="J292" s="31">
        <v>0.0</v>
      </c>
      <c r="L292" s="31">
        <v>0.0</v>
      </c>
      <c r="N292" s="31">
        <v>0.0</v>
      </c>
      <c r="P292" s="31">
        <v>0.0</v>
      </c>
      <c r="Q292" s="29"/>
      <c r="R292" s="30">
        <v>40.0</v>
      </c>
      <c r="T292" s="31">
        <v>40.0</v>
      </c>
      <c r="V292" s="31">
        <v>0.0</v>
      </c>
      <c r="X292" s="31">
        <v>0.0</v>
      </c>
      <c r="Z292" s="31">
        <v>0.0</v>
      </c>
      <c r="AB292" s="31">
        <v>0.0</v>
      </c>
      <c r="AC292" s="29"/>
      <c r="AD292" s="33"/>
      <c r="AF292" s="34"/>
      <c r="AH292" s="34"/>
      <c r="AJ292" s="34"/>
      <c r="AL292" s="34"/>
      <c r="AN292" s="34"/>
      <c r="AO292" s="29"/>
      <c r="AP292" s="47">
        <f t="shared" si="7"/>
        <v>1088</v>
      </c>
      <c r="AQ292" s="48">
        <f t="shared" si="2"/>
        <v>80</v>
      </c>
      <c r="AR292" s="41">
        <f t="shared" si="3"/>
        <v>0</v>
      </c>
      <c r="AS292" s="41">
        <f t="shared" si="4"/>
        <v>80</v>
      </c>
      <c r="AT292" s="46">
        <f t="shared" si="5"/>
        <v>13.6</v>
      </c>
      <c r="AU292" s="37"/>
      <c r="AV292" s="37"/>
      <c r="AW292" s="37"/>
      <c r="AX292" s="37"/>
      <c r="AY292" s="37"/>
    </row>
    <row r="293" ht="15.75" customHeight="1">
      <c r="A293" s="39" t="s">
        <v>29</v>
      </c>
      <c r="B293" s="40">
        <f t="shared" si="6"/>
        <v>44853</v>
      </c>
      <c r="C293" s="41">
        <v>11.0</v>
      </c>
      <c r="D293" s="41" t="s">
        <v>33</v>
      </c>
      <c r="E293" s="43" t="s">
        <v>42</v>
      </c>
      <c r="F293" s="30">
        <v>0.0</v>
      </c>
      <c r="H293" s="31">
        <v>0.0</v>
      </c>
      <c r="J293" s="31">
        <v>0.0</v>
      </c>
      <c r="L293" s="31">
        <v>0.0</v>
      </c>
      <c r="N293" s="31">
        <v>0.0</v>
      </c>
      <c r="P293" s="31">
        <v>0.0</v>
      </c>
      <c r="Q293" s="29"/>
      <c r="R293" s="30">
        <v>40.0</v>
      </c>
      <c r="T293" s="31">
        <v>40.0</v>
      </c>
      <c r="V293" s="31">
        <v>0.0</v>
      </c>
      <c r="X293" s="31">
        <v>0.0</v>
      </c>
      <c r="Z293" s="31">
        <v>0.0</v>
      </c>
      <c r="AB293" s="31">
        <v>0.0</v>
      </c>
      <c r="AC293" s="29"/>
      <c r="AD293" s="33"/>
      <c r="AF293" s="34"/>
      <c r="AH293" s="34"/>
      <c r="AJ293" s="34"/>
      <c r="AL293" s="34"/>
      <c r="AN293" s="34"/>
      <c r="AO293" s="29"/>
      <c r="AP293" s="47">
        <f t="shared" si="7"/>
        <v>1088</v>
      </c>
      <c r="AQ293" s="48">
        <f t="shared" si="2"/>
        <v>80</v>
      </c>
      <c r="AR293" s="41">
        <f t="shared" si="3"/>
        <v>0</v>
      </c>
      <c r="AS293" s="41">
        <f t="shared" si="4"/>
        <v>80</v>
      </c>
      <c r="AT293" s="46">
        <f t="shared" si="5"/>
        <v>13.6</v>
      </c>
      <c r="AU293" s="37"/>
      <c r="AV293" s="37"/>
      <c r="AW293" s="37"/>
      <c r="AX293" s="37"/>
      <c r="AY293" s="37"/>
    </row>
    <row r="294" ht="15.75" customHeight="1">
      <c r="A294" s="39" t="s">
        <v>30</v>
      </c>
      <c r="B294" s="40">
        <f t="shared" si="6"/>
        <v>44854</v>
      </c>
      <c r="C294" s="41">
        <v>11.0</v>
      </c>
      <c r="D294" s="41" t="s">
        <v>33</v>
      </c>
      <c r="E294" s="43" t="s">
        <v>42</v>
      </c>
      <c r="F294" s="30">
        <v>0.0</v>
      </c>
      <c r="H294" s="31">
        <v>0.0</v>
      </c>
      <c r="J294" s="31">
        <v>0.0</v>
      </c>
      <c r="L294" s="31">
        <v>0.0</v>
      </c>
      <c r="N294" s="31">
        <v>0.0</v>
      </c>
      <c r="P294" s="31">
        <v>0.0</v>
      </c>
      <c r="Q294" s="29"/>
      <c r="R294" s="30">
        <v>40.0</v>
      </c>
      <c r="T294" s="31">
        <v>40.0</v>
      </c>
      <c r="V294" s="31">
        <v>0.0</v>
      </c>
      <c r="X294" s="31">
        <v>0.0</v>
      </c>
      <c r="Z294" s="31">
        <v>0.0</v>
      </c>
      <c r="AB294" s="31">
        <v>0.0</v>
      </c>
      <c r="AC294" s="29"/>
      <c r="AD294" s="33"/>
      <c r="AF294" s="34"/>
      <c r="AH294" s="34"/>
      <c r="AJ294" s="34"/>
      <c r="AL294" s="34"/>
      <c r="AN294" s="34"/>
      <c r="AO294" s="29"/>
      <c r="AP294" s="47">
        <f t="shared" si="7"/>
        <v>1088</v>
      </c>
      <c r="AQ294" s="48">
        <f t="shared" si="2"/>
        <v>80</v>
      </c>
      <c r="AR294" s="41">
        <f t="shared" si="3"/>
        <v>0</v>
      </c>
      <c r="AS294" s="41">
        <f t="shared" si="4"/>
        <v>80</v>
      </c>
      <c r="AT294" s="46">
        <f t="shared" si="5"/>
        <v>13.6</v>
      </c>
      <c r="AU294" s="37"/>
      <c r="AV294" s="37"/>
      <c r="AW294" s="37"/>
      <c r="AX294" s="37"/>
      <c r="AY294" s="37"/>
    </row>
    <row r="295" ht="15.75" customHeight="1">
      <c r="A295" s="39" t="s">
        <v>31</v>
      </c>
      <c r="B295" s="40">
        <f t="shared" si="6"/>
        <v>44855</v>
      </c>
      <c r="C295" s="41">
        <v>11.0</v>
      </c>
      <c r="D295" s="41" t="s">
        <v>33</v>
      </c>
      <c r="E295" s="43" t="s">
        <v>42</v>
      </c>
      <c r="F295" s="30">
        <v>0.0</v>
      </c>
      <c r="H295" s="31">
        <v>0.0</v>
      </c>
      <c r="J295" s="31">
        <v>0.0</v>
      </c>
      <c r="L295" s="31">
        <v>0.0</v>
      </c>
      <c r="N295" s="31">
        <v>0.0</v>
      </c>
      <c r="P295" s="31">
        <v>0.0</v>
      </c>
      <c r="Q295" s="29"/>
      <c r="R295" s="30">
        <v>0.0</v>
      </c>
      <c r="T295" s="31">
        <v>0.0</v>
      </c>
      <c r="V295" s="31">
        <v>0.0</v>
      </c>
      <c r="X295" s="31">
        <v>0.0</v>
      </c>
      <c r="Z295" s="31">
        <v>0.0</v>
      </c>
      <c r="AB295" s="31">
        <v>0.0</v>
      </c>
      <c r="AC295" s="29"/>
      <c r="AD295" s="33"/>
      <c r="AF295" s="34"/>
      <c r="AH295" s="34"/>
      <c r="AJ295" s="34"/>
      <c r="AL295" s="34"/>
      <c r="AN295" s="34"/>
      <c r="AO295" s="29"/>
      <c r="AP295" s="47">
        <f t="shared" si="7"/>
        <v>0</v>
      </c>
      <c r="AQ295" s="48">
        <f t="shared" si="2"/>
        <v>0</v>
      </c>
      <c r="AR295" s="41">
        <f t="shared" si="3"/>
        <v>0</v>
      </c>
      <c r="AS295" s="41">
        <f t="shared" si="4"/>
        <v>0</v>
      </c>
      <c r="AT295" s="46" t="str">
        <f t="shared" si="5"/>
        <v/>
      </c>
      <c r="AU295" s="37"/>
      <c r="AV295" s="37"/>
      <c r="AW295" s="37"/>
      <c r="AX295" s="37"/>
      <c r="AY295" s="37"/>
    </row>
    <row r="296" ht="15.75" customHeight="1">
      <c r="A296" s="49" t="s">
        <v>32</v>
      </c>
      <c r="B296" s="50">
        <f t="shared" si="6"/>
        <v>44856</v>
      </c>
      <c r="C296" s="51">
        <v>11.0</v>
      </c>
      <c r="D296" s="51" t="s">
        <v>33</v>
      </c>
      <c r="E296" s="53" t="s">
        <v>42</v>
      </c>
      <c r="F296" s="64">
        <v>0.0</v>
      </c>
      <c r="G296" s="55"/>
      <c r="H296" s="65">
        <v>0.0</v>
      </c>
      <c r="I296" s="55"/>
      <c r="J296" s="65">
        <v>0.0</v>
      </c>
      <c r="K296" s="55"/>
      <c r="L296" s="65">
        <v>0.0</v>
      </c>
      <c r="M296" s="55"/>
      <c r="N296" s="65">
        <v>0.0</v>
      </c>
      <c r="O296" s="55"/>
      <c r="P296" s="65">
        <v>0.0</v>
      </c>
      <c r="Q296" s="58"/>
      <c r="R296" s="64">
        <v>0.0</v>
      </c>
      <c r="S296" s="55"/>
      <c r="T296" s="65">
        <v>0.0</v>
      </c>
      <c r="U296" s="55"/>
      <c r="V296" s="65">
        <v>0.0</v>
      </c>
      <c r="W296" s="55"/>
      <c r="X296" s="65">
        <v>0.0</v>
      </c>
      <c r="Y296" s="55"/>
      <c r="Z296" s="65">
        <v>0.0</v>
      </c>
      <c r="AA296" s="55"/>
      <c r="AB296" s="65">
        <v>0.0</v>
      </c>
      <c r="AC296" s="58"/>
      <c r="AD296" s="66"/>
      <c r="AE296" s="55"/>
      <c r="AF296" s="67"/>
      <c r="AG296" s="55"/>
      <c r="AH296" s="67"/>
      <c r="AI296" s="55"/>
      <c r="AJ296" s="67"/>
      <c r="AK296" s="55"/>
      <c r="AL296" s="67"/>
      <c r="AM296" s="55"/>
      <c r="AN296" s="67"/>
      <c r="AO296" s="58"/>
      <c r="AP296" s="68">
        <f t="shared" si="7"/>
        <v>0</v>
      </c>
      <c r="AQ296" s="69">
        <f t="shared" si="2"/>
        <v>0</v>
      </c>
      <c r="AR296" s="51">
        <f t="shared" si="3"/>
        <v>0</v>
      </c>
      <c r="AS296" s="51">
        <f t="shared" si="4"/>
        <v>0</v>
      </c>
      <c r="AT296" s="61" t="str">
        <f t="shared" si="5"/>
        <v/>
      </c>
      <c r="AU296" s="37"/>
      <c r="AV296" s="37"/>
      <c r="AW296" s="37"/>
      <c r="AX296" s="37"/>
      <c r="AY296" s="37"/>
    </row>
    <row r="297" ht="15.75" customHeight="1">
      <c r="A297" s="21" t="s">
        <v>24</v>
      </c>
      <c r="B297" s="62">
        <f t="shared" si="6"/>
        <v>44857</v>
      </c>
      <c r="C297" s="23">
        <v>11.0</v>
      </c>
      <c r="D297" s="23" t="s">
        <v>34</v>
      </c>
      <c r="E297" s="63" t="s">
        <v>42</v>
      </c>
      <c r="F297" s="30">
        <v>0.0</v>
      </c>
      <c r="H297" s="31">
        <v>0.0</v>
      </c>
      <c r="J297" s="31">
        <v>0.0</v>
      </c>
      <c r="L297" s="31">
        <v>0.0</v>
      </c>
      <c r="N297" s="31">
        <v>0.0</v>
      </c>
      <c r="P297" s="31">
        <v>0.0</v>
      </c>
      <c r="Q297" s="29"/>
      <c r="R297" s="30">
        <v>40.0</v>
      </c>
      <c r="T297" s="31">
        <v>40.0</v>
      </c>
      <c r="V297" s="31">
        <v>0.0</v>
      </c>
      <c r="X297" s="31">
        <v>0.0</v>
      </c>
      <c r="Z297" s="31">
        <v>0.0</v>
      </c>
      <c r="AB297" s="31">
        <v>0.0</v>
      </c>
      <c r="AC297" s="29"/>
      <c r="AD297" s="33"/>
      <c r="AF297" s="34"/>
      <c r="AH297" s="34"/>
      <c r="AJ297" s="34"/>
      <c r="AL297" s="34"/>
      <c r="AN297" s="34"/>
      <c r="AO297" s="29"/>
      <c r="AP297" s="38">
        <f t="shared" si="7"/>
        <v>1088</v>
      </c>
      <c r="AQ297" s="44">
        <f t="shared" si="2"/>
        <v>80</v>
      </c>
      <c r="AR297" s="23">
        <f t="shared" si="3"/>
        <v>0</v>
      </c>
      <c r="AS297" s="23">
        <f t="shared" si="4"/>
        <v>80</v>
      </c>
      <c r="AT297" s="36">
        <f t="shared" si="5"/>
        <v>13.6</v>
      </c>
      <c r="AU297" s="37"/>
      <c r="AV297" s="37"/>
      <c r="AW297" s="37"/>
      <c r="AX297" s="37"/>
      <c r="AY297" s="37"/>
    </row>
    <row r="298" ht="15.75" customHeight="1">
      <c r="A298" s="39" t="s">
        <v>27</v>
      </c>
      <c r="B298" s="40">
        <f t="shared" si="6"/>
        <v>44858</v>
      </c>
      <c r="C298" s="41">
        <v>11.0</v>
      </c>
      <c r="D298" s="41" t="s">
        <v>34</v>
      </c>
      <c r="E298" s="43" t="s">
        <v>42</v>
      </c>
      <c r="F298" s="30">
        <v>0.0</v>
      </c>
      <c r="H298" s="31">
        <v>0.0</v>
      </c>
      <c r="J298" s="31">
        <v>0.0</v>
      </c>
      <c r="L298" s="31">
        <v>0.0</v>
      </c>
      <c r="N298" s="31">
        <v>0.0</v>
      </c>
      <c r="P298" s="31">
        <v>0.0</v>
      </c>
      <c r="Q298" s="29"/>
      <c r="R298" s="30">
        <v>40.0</v>
      </c>
      <c r="T298" s="31">
        <v>40.0</v>
      </c>
      <c r="V298" s="31">
        <v>0.0</v>
      </c>
      <c r="X298" s="31">
        <v>0.0</v>
      </c>
      <c r="Z298" s="31">
        <v>0.0</v>
      </c>
      <c r="AB298" s="31">
        <v>0.0</v>
      </c>
      <c r="AC298" s="29"/>
      <c r="AD298" s="33"/>
      <c r="AF298" s="34"/>
      <c r="AH298" s="34"/>
      <c r="AJ298" s="34"/>
      <c r="AL298" s="34"/>
      <c r="AN298" s="34"/>
      <c r="AO298" s="29"/>
      <c r="AP298" s="47">
        <f t="shared" si="7"/>
        <v>1088</v>
      </c>
      <c r="AQ298" s="48">
        <f t="shared" si="2"/>
        <v>80</v>
      </c>
      <c r="AR298" s="41">
        <f t="shared" si="3"/>
        <v>0</v>
      </c>
      <c r="AS298" s="41">
        <f t="shared" si="4"/>
        <v>80</v>
      </c>
      <c r="AT298" s="46">
        <f t="shared" si="5"/>
        <v>13.6</v>
      </c>
      <c r="AU298" s="37"/>
      <c r="AV298" s="37"/>
      <c r="AW298" s="37"/>
      <c r="AX298" s="37"/>
      <c r="AY298" s="37"/>
    </row>
    <row r="299" ht="15.75" customHeight="1">
      <c r="A299" s="39" t="s">
        <v>28</v>
      </c>
      <c r="B299" s="40">
        <f t="shared" si="6"/>
        <v>44859</v>
      </c>
      <c r="C299" s="41">
        <v>11.0</v>
      </c>
      <c r="D299" s="41" t="s">
        <v>34</v>
      </c>
      <c r="E299" s="43" t="s">
        <v>42</v>
      </c>
      <c r="F299" s="30">
        <v>0.0</v>
      </c>
      <c r="H299" s="31">
        <v>0.0</v>
      </c>
      <c r="J299" s="31">
        <v>0.0</v>
      </c>
      <c r="L299" s="31">
        <v>0.0</v>
      </c>
      <c r="N299" s="31">
        <v>0.0</v>
      </c>
      <c r="P299" s="31">
        <v>0.0</v>
      </c>
      <c r="Q299" s="29"/>
      <c r="R299" s="30">
        <v>40.0</v>
      </c>
      <c r="T299" s="31">
        <v>40.0</v>
      </c>
      <c r="V299" s="31">
        <v>0.0</v>
      </c>
      <c r="X299" s="31">
        <v>0.0</v>
      </c>
      <c r="Z299" s="31">
        <v>0.0</v>
      </c>
      <c r="AB299" s="31">
        <v>0.0</v>
      </c>
      <c r="AC299" s="29"/>
      <c r="AD299" s="33"/>
      <c r="AF299" s="34"/>
      <c r="AH299" s="34"/>
      <c r="AJ299" s="34"/>
      <c r="AL299" s="34"/>
      <c r="AN299" s="34"/>
      <c r="AO299" s="29"/>
      <c r="AP299" s="47">
        <f t="shared" si="7"/>
        <v>1088</v>
      </c>
      <c r="AQ299" s="48">
        <f t="shared" si="2"/>
        <v>80</v>
      </c>
      <c r="AR299" s="41">
        <f t="shared" si="3"/>
        <v>0</v>
      </c>
      <c r="AS299" s="41">
        <f t="shared" si="4"/>
        <v>80</v>
      </c>
      <c r="AT299" s="46">
        <f t="shared" si="5"/>
        <v>13.6</v>
      </c>
      <c r="AU299" s="37"/>
      <c r="AV299" s="37"/>
      <c r="AW299" s="37"/>
      <c r="AX299" s="37"/>
      <c r="AY299" s="37"/>
    </row>
    <row r="300" ht="15.75" customHeight="1">
      <c r="A300" s="39" t="s">
        <v>29</v>
      </c>
      <c r="B300" s="40">
        <f t="shared" si="6"/>
        <v>44860</v>
      </c>
      <c r="C300" s="41">
        <v>11.0</v>
      </c>
      <c r="D300" s="41" t="s">
        <v>34</v>
      </c>
      <c r="E300" s="43" t="s">
        <v>42</v>
      </c>
      <c r="F300" s="30">
        <v>0.0</v>
      </c>
      <c r="H300" s="31">
        <v>0.0</v>
      </c>
      <c r="J300" s="31">
        <v>0.0</v>
      </c>
      <c r="L300" s="31">
        <v>0.0</v>
      </c>
      <c r="N300" s="31">
        <v>0.0</v>
      </c>
      <c r="P300" s="31">
        <v>0.0</v>
      </c>
      <c r="Q300" s="29"/>
      <c r="R300" s="30">
        <v>40.0</v>
      </c>
      <c r="T300" s="31">
        <v>40.0</v>
      </c>
      <c r="V300" s="31">
        <v>0.0</v>
      </c>
      <c r="X300" s="31">
        <v>0.0</v>
      </c>
      <c r="Z300" s="31">
        <v>0.0</v>
      </c>
      <c r="AB300" s="31">
        <v>0.0</v>
      </c>
      <c r="AC300" s="29"/>
      <c r="AD300" s="33"/>
      <c r="AF300" s="34"/>
      <c r="AH300" s="34"/>
      <c r="AJ300" s="34"/>
      <c r="AL300" s="34"/>
      <c r="AN300" s="34"/>
      <c r="AO300" s="29"/>
      <c r="AP300" s="47">
        <f t="shared" si="7"/>
        <v>1088</v>
      </c>
      <c r="AQ300" s="48">
        <f t="shared" si="2"/>
        <v>80</v>
      </c>
      <c r="AR300" s="41">
        <f t="shared" si="3"/>
        <v>0</v>
      </c>
      <c r="AS300" s="41">
        <f t="shared" si="4"/>
        <v>80</v>
      </c>
      <c r="AT300" s="46">
        <f t="shared" si="5"/>
        <v>13.6</v>
      </c>
      <c r="AU300" s="37"/>
      <c r="AV300" s="37"/>
      <c r="AW300" s="37"/>
      <c r="AX300" s="37"/>
      <c r="AY300" s="37"/>
    </row>
    <row r="301" ht="15.75" customHeight="1">
      <c r="A301" s="39" t="s">
        <v>30</v>
      </c>
      <c r="B301" s="40">
        <f t="shared" si="6"/>
        <v>44861</v>
      </c>
      <c r="C301" s="41">
        <v>11.0</v>
      </c>
      <c r="D301" s="41" t="s">
        <v>34</v>
      </c>
      <c r="E301" s="43" t="s">
        <v>42</v>
      </c>
      <c r="F301" s="30">
        <v>0.0</v>
      </c>
      <c r="H301" s="31">
        <v>0.0</v>
      </c>
      <c r="J301" s="31">
        <v>0.0</v>
      </c>
      <c r="L301" s="31">
        <v>0.0</v>
      </c>
      <c r="N301" s="31">
        <v>0.0</v>
      </c>
      <c r="P301" s="31">
        <v>0.0</v>
      </c>
      <c r="Q301" s="29"/>
      <c r="R301" s="30">
        <v>10.0</v>
      </c>
      <c r="T301" s="31">
        <v>0.0</v>
      </c>
      <c r="V301" s="31">
        <v>0.0</v>
      </c>
      <c r="X301" s="31">
        <v>0.0</v>
      </c>
      <c r="Z301" s="31">
        <v>0.0</v>
      </c>
      <c r="AB301" s="31">
        <v>0.0</v>
      </c>
      <c r="AC301" s="29"/>
      <c r="AD301" s="33"/>
      <c r="AF301" s="34"/>
      <c r="AH301" s="34"/>
      <c r="AJ301" s="34"/>
      <c r="AL301" s="34"/>
      <c r="AN301" s="34"/>
      <c r="AO301" s="29"/>
      <c r="AP301" s="47">
        <f t="shared" si="7"/>
        <v>136</v>
      </c>
      <c r="AQ301" s="48">
        <f t="shared" si="2"/>
        <v>10</v>
      </c>
      <c r="AR301" s="41">
        <f t="shared" si="3"/>
        <v>0</v>
      </c>
      <c r="AS301" s="41">
        <f t="shared" si="4"/>
        <v>10</v>
      </c>
      <c r="AT301" s="46">
        <f t="shared" si="5"/>
        <v>13.6</v>
      </c>
      <c r="AU301" s="37"/>
      <c r="AV301" s="37"/>
      <c r="AW301" s="37"/>
      <c r="AX301" s="37"/>
      <c r="AY301" s="37"/>
    </row>
    <row r="302" ht="15.75" customHeight="1">
      <c r="A302" s="39" t="s">
        <v>31</v>
      </c>
      <c r="B302" s="40">
        <f t="shared" si="6"/>
        <v>44862</v>
      </c>
      <c r="C302" s="41">
        <v>11.0</v>
      </c>
      <c r="D302" s="41" t="s">
        <v>34</v>
      </c>
      <c r="E302" s="43" t="s">
        <v>42</v>
      </c>
      <c r="F302" s="30">
        <v>0.0</v>
      </c>
      <c r="H302" s="31">
        <v>0.0</v>
      </c>
      <c r="J302" s="31">
        <v>0.0</v>
      </c>
      <c r="L302" s="31">
        <v>0.0</v>
      </c>
      <c r="N302" s="31">
        <v>0.0</v>
      </c>
      <c r="P302" s="31">
        <v>0.0</v>
      </c>
      <c r="Q302" s="29"/>
      <c r="R302" s="30">
        <v>0.0</v>
      </c>
      <c r="T302" s="31">
        <v>0.0</v>
      </c>
      <c r="V302" s="31">
        <v>0.0</v>
      </c>
      <c r="X302" s="31">
        <v>0.0</v>
      </c>
      <c r="Z302" s="31">
        <v>0.0</v>
      </c>
      <c r="AB302" s="31">
        <v>0.0</v>
      </c>
      <c r="AC302" s="29"/>
      <c r="AD302" s="33"/>
      <c r="AF302" s="34"/>
      <c r="AH302" s="34"/>
      <c r="AJ302" s="34"/>
      <c r="AL302" s="34"/>
      <c r="AN302" s="34"/>
      <c r="AO302" s="29"/>
      <c r="AP302" s="47">
        <f t="shared" si="7"/>
        <v>0</v>
      </c>
      <c r="AQ302" s="48">
        <f t="shared" si="2"/>
        <v>0</v>
      </c>
      <c r="AR302" s="41">
        <f t="shared" si="3"/>
        <v>0</v>
      </c>
      <c r="AS302" s="41">
        <f t="shared" si="4"/>
        <v>0</v>
      </c>
      <c r="AT302" s="46" t="str">
        <f t="shared" si="5"/>
        <v/>
      </c>
      <c r="AU302" s="37"/>
      <c r="AV302" s="37"/>
      <c r="AW302" s="37"/>
      <c r="AX302" s="37"/>
      <c r="AY302" s="37"/>
    </row>
    <row r="303" ht="15.75" customHeight="1">
      <c r="A303" s="49" t="s">
        <v>32</v>
      </c>
      <c r="B303" s="50">
        <f t="shared" si="6"/>
        <v>44863</v>
      </c>
      <c r="C303" s="51">
        <v>11.0</v>
      </c>
      <c r="D303" s="51" t="s">
        <v>34</v>
      </c>
      <c r="E303" s="53" t="s">
        <v>42</v>
      </c>
      <c r="F303" s="64">
        <v>0.0</v>
      </c>
      <c r="G303" s="55"/>
      <c r="H303" s="65">
        <v>0.0</v>
      </c>
      <c r="I303" s="55"/>
      <c r="J303" s="65">
        <v>0.0</v>
      </c>
      <c r="K303" s="55"/>
      <c r="L303" s="65">
        <v>0.0</v>
      </c>
      <c r="M303" s="55"/>
      <c r="N303" s="65">
        <v>0.0</v>
      </c>
      <c r="O303" s="55"/>
      <c r="P303" s="65">
        <v>0.0</v>
      </c>
      <c r="Q303" s="58"/>
      <c r="R303" s="64">
        <v>0.0</v>
      </c>
      <c r="S303" s="55"/>
      <c r="T303" s="65">
        <v>0.0</v>
      </c>
      <c r="U303" s="55"/>
      <c r="V303" s="65">
        <v>0.0</v>
      </c>
      <c r="W303" s="55"/>
      <c r="X303" s="65">
        <v>0.0</v>
      </c>
      <c r="Y303" s="55"/>
      <c r="Z303" s="65">
        <v>0.0</v>
      </c>
      <c r="AA303" s="55"/>
      <c r="AB303" s="65">
        <v>0.0</v>
      </c>
      <c r="AC303" s="58"/>
      <c r="AD303" s="66"/>
      <c r="AE303" s="55"/>
      <c r="AF303" s="67"/>
      <c r="AG303" s="55"/>
      <c r="AH303" s="67"/>
      <c r="AI303" s="55"/>
      <c r="AJ303" s="67"/>
      <c r="AK303" s="55"/>
      <c r="AL303" s="67"/>
      <c r="AM303" s="55"/>
      <c r="AN303" s="67"/>
      <c r="AO303" s="58"/>
      <c r="AP303" s="68">
        <f t="shared" si="7"/>
        <v>0</v>
      </c>
      <c r="AQ303" s="69">
        <f t="shared" si="2"/>
        <v>0</v>
      </c>
      <c r="AR303" s="51">
        <f t="shared" si="3"/>
        <v>0</v>
      </c>
      <c r="AS303" s="51">
        <f t="shared" si="4"/>
        <v>0</v>
      </c>
      <c r="AT303" s="61" t="str">
        <f t="shared" si="5"/>
        <v/>
      </c>
      <c r="AU303" s="37"/>
      <c r="AV303" s="37"/>
      <c r="AW303" s="37"/>
      <c r="AX303" s="37"/>
      <c r="AY303" s="37"/>
    </row>
    <row r="304" ht="15.75" customHeight="1">
      <c r="A304" s="21" t="s">
        <v>24</v>
      </c>
      <c r="B304" s="62">
        <f t="shared" si="6"/>
        <v>44864</v>
      </c>
      <c r="C304" s="23">
        <v>11.0</v>
      </c>
      <c r="D304" s="23" t="s">
        <v>35</v>
      </c>
      <c r="E304" s="63" t="s">
        <v>42</v>
      </c>
      <c r="F304" s="30">
        <v>0.0</v>
      </c>
      <c r="H304" s="31">
        <v>0.0</v>
      </c>
      <c r="J304" s="31">
        <v>0.0</v>
      </c>
      <c r="L304" s="31">
        <v>0.0</v>
      </c>
      <c r="N304" s="31">
        <v>0.0</v>
      </c>
      <c r="P304" s="31">
        <v>0.0</v>
      </c>
      <c r="Q304" s="29"/>
      <c r="R304" s="30">
        <v>40.0</v>
      </c>
      <c r="T304" s="31">
        <v>40.0</v>
      </c>
      <c r="V304" s="31">
        <v>0.0</v>
      </c>
      <c r="X304" s="31">
        <v>0.0</v>
      </c>
      <c r="Z304" s="31">
        <v>0.0</v>
      </c>
      <c r="AB304" s="31">
        <v>0.0</v>
      </c>
      <c r="AC304" s="29"/>
      <c r="AD304" s="33"/>
      <c r="AF304" s="34"/>
      <c r="AH304" s="34"/>
      <c r="AJ304" s="34"/>
      <c r="AL304" s="34"/>
      <c r="AN304" s="34"/>
      <c r="AO304" s="29"/>
      <c r="AP304" s="38">
        <f t="shared" si="7"/>
        <v>1088</v>
      </c>
      <c r="AQ304" s="44">
        <f t="shared" si="2"/>
        <v>80</v>
      </c>
      <c r="AR304" s="23">
        <f t="shared" si="3"/>
        <v>0</v>
      </c>
      <c r="AS304" s="23">
        <f t="shared" si="4"/>
        <v>80</v>
      </c>
      <c r="AT304" s="36">
        <f t="shared" si="5"/>
        <v>13.6</v>
      </c>
      <c r="AU304" s="37"/>
      <c r="AV304" s="37"/>
      <c r="AW304" s="37"/>
      <c r="AX304" s="37"/>
      <c r="AY304" s="37"/>
    </row>
    <row r="305" ht="15.75" customHeight="1">
      <c r="A305" s="39" t="s">
        <v>27</v>
      </c>
      <c r="B305" s="40">
        <f t="shared" si="6"/>
        <v>44865</v>
      </c>
      <c r="C305" s="41">
        <v>11.0</v>
      </c>
      <c r="D305" s="41" t="s">
        <v>35</v>
      </c>
      <c r="E305" s="43" t="s">
        <v>42</v>
      </c>
      <c r="F305" s="30">
        <v>0.0</v>
      </c>
      <c r="H305" s="31">
        <v>0.0</v>
      </c>
      <c r="J305" s="31">
        <v>0.0</v>
      </c>
      <c r="L305" s="31">
        <v>0.0</v>
      </c>
      <c r="N305" s="31">
        <v>0.0</v>
      </c>
      <c r="P305" s="31">
        <v>0.0</v>
      </c>
      <c r="Q305" s="29"/>
      <c r="R305" s="30">
        <v>40.0</v>
      </c>
      <c r="T305" s="31">
        <v>40.0</v>
      </c>
      <c r="V305" s="31">
        <v>0.0</v>
      </c>
      <c r="X305" s="31">
        <v>0.0</v>
      </c>
      <c r="Z305" s="31">
        <v>0.0</v>
      </c>
      <c r="AB305" s="31">
        <v>0.0</v>
      </c>
      <c r="AC305" s="29"/>
      <c r="AD305" s="33"/>
      <c r="AF305" s="34"/>
      <c r="AH305" s="34"/>
      <c r="AJ305" s="34"/>
      <c r="AL305" s="34"/>
      <c r="AN305" s="34"/>
      <c r="AO305" s="29"/>
      <c r="AP305" s="47">
        <f t="shared" si="7"/>
        <v>1088</v>
      </c>
      <c r="AQ305" s="48">
        <f t="shared" si="2"/>
        <v>80</v>
      </c>
      <c r="AR305" s="41">
        <f t="shared" si="3"/>
        <v>0</v>
      </c>
      <c r="AS305" s="41">
        <f t="shared" si="4"/>
        <v>80</v>
      </c>
      <c r="AT305" s="46">
        <f t="shared" si="5"/>
        <v>13.6</v>
      </c>
      <c r="AU305" s="37"/>
      <c r="AV305" s="37"/>
      <c r="AW305" s="37"/>
      <c r="AX305" s="37"/>
      <c r="AY305" s="37"/>
    </row>
    <row r="306" ht="15.75" customHeight="1">
      <c r="A306" s="39" t="s">
        <v>28</v>
      </c>
      <c r="B306" s="40">
        <f t="shared" si="6"/>
        <v>44866</v>
      </c>
      <c r="C306" s="41">
        <v>11.0</v>
      </c>
      <c r="D306" s="41" t="s">
        <v>35</v>
      </c>
      <c r="E306" s="43" t="s">
        <v>42</v>
      </c>
      <c r="F306" s="30">
        <v>0.0</v>
      </c>
      <c r="H306" s="31">
        <v>0.0</v>
      </c>
      <c r="J306" s="31">
        <v>0.0</v>
      </c>
      <c r="L306" s="31">
        <v>0.0</v>
      </c>
      <c r="N306" s="31">
        <v>0.0</v>
      </c>
      <c r="P306" s="31">
        <v>0.0</v>
      </c>
      <c r="Q306" s="29"/>
      <c r="R306" s="30">
        <v>40.0</v>
      </c>
      <c r="T306" s="31">
        <v>40.0</v>
      </c>
      <c r="V306" s="31">
        <v>0.0</v>
      </c>
      <c r="X306" s="31">
        <v>0.0</v>
      </c>
      <c r="Z306" s="31">
        <v>0.0</v>
      </c>
      <c r="AB306" s="31">
        <v>0.0</v>
      </c>
      <c r="AC306" s="29"/>
      <c r="AD306" s="33"/>
      <c r="AF306" s="34"/>
      <c r="AH306" s="34"/>
      <c r="AJ306" s="34"/>
      <c r="AL306" s="34"/>
      <c r="AN306" s="34"/>
      <c r="AO306" s="29"/>
      <c r="AP306" s="47">
        <f t="shared" si="7"/>
        <v>1088</v>
      </c>
      <c r="AQ306" s="48">
        <f t="shared" si="2"/>
        <v>80</v>
      </c>
      <c r="AR306" s="41">
        <f t="shared" si="3"/>
        <v>0</v>
      </c>
      <c r="AS306" s="41">
        <f t="shared" si="4"/>
        <v>80</v>
      </c>
      <c r="AT306" s="46">
        <f t="shared" si="5"/>
        <v>13.6</v>
      </c>
      <c r="AU306" s="37"/>
      <c r="AV306" s="37"/>
      <c r="AW306" s="37"/>
      <c r="AX306" s="37"/>
      <c r="AY306" s="37"/>
    </row>
    <row r="307" ht="15.75" customHeight="1">
      <c r="A307" s="39" t="s">
        <v>29</v>
      </c>
      <c r="B307" s="40">
        <f t="shared" si="6"/>
        <v>44867</v>
      </c>
      <c r="C307" s="41">
        <v>11.0</v>
      </c>
      <c r="D307" s="41" t="s">
        <v>35</v>
      </c>
      <c r="E307" s="43" t="s">
        <v>42</v>
      </c>
      <c r="F307" s="30">
        <v>0.0</v>
      </c>
      <c r="H307" s="31">
        <v>0.0</v>
      </c>
      <c r="J307" s="31">
        <v>0.0</v>
      </c>
      <c r="L307" s="31">
        <v>0.0</v>
      </c>
      <c r="N307" s="31">
        <v>0.0</v>
      </c>
      <c r="P307" s="31">
        <v>0.0</v>
      </c>
      <c r="Q307" s="29"/>
      <c r="R307" s="30">
        <v>40.0</v>
      </c>
      <c r="T307" s="31">
        <v>40.0</v>
      </c>
      <c r="V307" s="31">
        <v>0.0</v>
      </c>
      <c r="X307" s="31">
        <v>0.0</v>
      </c>
      <c r="Z307" s="31">
        <v>0.0</v>
      </c>
      <c r="AB307" s="31">
        <v>0.0</v>
      </c>
      <c r="AC307" s="29"/>
      <c r="AD307" s="33"/>
      <c r="AF307" s="34"/>
      <c r="AH307" s="34"/>
      <c r="AJ307" s="34"/>
      <c r="AL307" s="34"/>
      <c r="AN307" s="34"/>
      <c r="AO307" s="29"/>
      <c r="AP307" s="47">
        <f t="shared" si="7"/>
        <v>1088</v>
      </c>
      <c r="AQ307" s="48">
        <f t="shared" si="2"/>
        <v>80</v>
      </c>
      <c r="AR307" s="41">
        <f t="shared" si="3"/>
        <v>0</v>
      </c>
      <c r="AS307" s="41">
        <f t="shared" si="4"/>
        <v>80</v>
      </c>
      <c r="AT307" s="46">
        <f t="shared" si="5"/>
        <v>13.6</v>
      </c>
      <c r="AU307" s="37"/>
      <c r="AV307" s="37"/>
      <c r="AW307" s="37"/>
      <c r="AX307" s="37"/>
      <c r="AY307" s="37"/>
    </row>
    <row r="308" ht="15.75" customHeight="1">
      <c r="A308" s="39" t="s">
        <v>30</v>
      </c>
      <c r="B308" s="40">
        <f t="shared" si="6"/>
        <v>44868</v>
      </c>
      <c r="C308" s="41">
        <v>11.0</v>
      </c>
      <c r="D308" s="41" t="s">
        <v>35</v>
      </c>
      <c r="E308" s="43" t="s">
        <v>42</v>
      </c>
      <c r="F308" s="30">
        <v>0.0</v>
      </c>
      <c r="H308" s="31">
        <v>0.0</v>
      </c>
      <c r="J308" s="31">
        <v>0.0</v>
      </c>
      <c r="L308" s="31">
        <v>0.0</v>
      </c>
      <c r="N308" s="31">
        <v>0.0</v>
      </c>
      <c r="P308" s="31">
        <v>0.0</v>
      </c>
      <c r="Q308" s="29"/>
      <c r="R308" s="30">
        <v>40.0</v>
      </c>
      <c r="T308" s="31">
        <v>40.0</v>
      </c>
      <c r="V308" s="31">
        <v>0.0</v>
      </c>
      <c r="X308" s="31">
        <v>0.0</v>
      </c>
      <c r="Z308" s="31">
        <v>0.0</v>
      </c>
      <c r="AB308" s="31">
        <v>0.0</v>
      </c>
      <c r="AC308" s="29"/>
      <c r="AD308" s="33"/>
      <c r="AF308" s="34"/>
      <c r="AH308" s="34"/>
      <c r="AJ308" s="34"/>
      <c r="AL308" s="34"/>
      <c r="AN308" s="34"/>
      <c r="AO308" s="29"/>
      <c r="AP308" s="47">
        <f t="shared" si="7"/>
        <v>1088</v>
      </c>
      <c r="AQ308" s="48">
        <f t="shared" si="2"/>
        <v>80</v>
      </c>
      <c r="AR308" s="41">
        <f t="shared" si="3"/>
        <v>0</v>
      </c>
      <c r="AS308" s="41">
        <f t="shared" si="4"/>
        <v>80</v>
      </c>
      <c r="AT308" s="46">
        <f t="shared" si="5"/>
        <v>13.6</v>
      </c>
      <c r="AU308" s="37"/>
      <c r="AV308" s="37"/>
      <c r="AW308" s="37"/>
      <c r="AX308" s="37"/>
      <c r="AY308" s="37"/>
    </row>
    <row r="309" ht="15.75" customHeight="1">
      <c r="A309" s="39" t="s">
        <v>31</v>
      </c>
      <c r="B309" s="40">
        <f t="shared" si="6"/>
        <v>44869</v>
      </c>
      <c r="C309" s="41">
        <v>11.0</v>
      </c>
      <c r="D309" s="41" t="s">
        <v>35</v>
      </c>
      <c r="E309" s="43" t="s">
        <v>42</v>
      </c>
      <c r="F309" s="30">
        <v>0.0</v>
      </c>
      <c r="H309" s="31">
        <v>0.0</v>
      </c>
      <c r="J309" s="31">
        <v>0.0</v>
      </c>
      <c r="L309" s="31">
        <v>0.0</v>
      </c>
      <c r="N309" s="31">
        <v>0.0</v>
      </c>
      <c r="P309" s="31">
        <v>0.0</v>
      </c>
      <c r="Q309" s="29"/>
      <c r="R309" s="30">
        <v>0.0</v>
      </c>
      <c r="T309" s="31">
        <v>0.0</v>
      </c>
      <c r="V309" s="31">
        <v>0.0</v>
      </c>
      <c r="X309" s="31">
        <v>0.0</v>
      </c>
      <c r="Z309" s="31">
        <v>0.0</v>
      </c>
      <c r="AB309" s="31">
        <v>0.0</v>
      </c>
      <c r="AC309" s="29"/>
      <c r="AD309" s="33"/>
      <c r="AF309" s="34"/>
      <c r="AH309" s="34"/>
      <c r="AJ309" s="34"/>
      <c r="AL309" s="34"/>
      <c r="AN309" s="34"/>
      <c r="AO309" s="29"/>
      <c r="AP309" s="47">
        <f t="shared" si="7"/>
        <v>0</v>
      </c>
      <c r="AQ309" s="48">
        <f t="shared" si="2"/>
        <v>0</v>
      </c>
      <c r="AR309" s="41">
        <f t="shared" si="3"/>
        <v>0</v>
      </c>
      <c r="AS309" s="41">
        <f t="shared" si="4"/>
        <v>0</v>
      </c>
      <c r="AT309" s="46" t="str">
        <f t="shared" si="5"/>
        <v/>
      </c>
      <c r="AU309" s="37"/>
      <c r="AV309" s="37"/>
      <c r="AW309" s="37"/>
      <c r="AX309" s="37"/>
      <c r="AY309" s="37"/>
    </row>
    <row r="310" ht="15.75" customHeight="1">
      <c r="A310" s="49" t="s">
        <v>32</v>
      </c>
      <c r="B310" s="50">
        <f t="shared" si="6"/>
        <v>44870</v>
      </c>
      <c r="C310" s="51">
        <v>11.0</v>
      </c>
      <c r="D310" s="51" t="s">
        <v>35</v>
      </c>
      <c r="E310" s="53" t="s">
        <v>42</v>
      </c>
      <c r="F310" s="64">
        <v>0.0</v>
      </c>
      <c r="G310" s="55"/>
      <c r="H310" s="65">
        <v>0.0</v>
      </c>
      <c r="I310" s="55"/>
      <c r="J310" s="65">
        <v>0.0</v>
      </c>
      <c r="K310" s="55"/>
      <c r="L310" s="65">
        <v>0.0</v>
      </c>
      <c r="M310" s="55"/>
      <c r="N310" s="65">
        <v>0.0</v>
      </c>
      <c r="O310" s="55"/>
      <c r="P310" s="65">
        <v>0.0</v>
      </c>
      <c r="Q310" s="58"/>
      <c r="R310" s="64">
        <v>0.0</v>
      </c>
      <c r="S310" s="55"/>
      <c r="T310" s="65">
        <v>0.0</v>
      </c>
      <c r="U310" s="55"/>
      <c r="V310" s="65">
        <v>0.0</v>
      </c>
      <c r="W310" s="55"/>
      <c r="X310" s="65">
        <v>0.0</v>
      </c>
      <c r="Y310" s="55"/>
      <c r="Z310" s="65">
        <v>0.0</v>
      </c>
      <c r="AA310" s="55"/>
      <c r="AB310" s="65">
        <v>0.0</v>
      </c>
      <c r="AC310" s="58"/>
      <c r="AD310" s="66"/>
      <c r="AE310" s="55"/>
      <c r="AF310" s="67"/>
      <c r="AG310" s="55"/>
      <c r="AH310" s="67"/>
      <c r="AI310" s="55"/>
      <c r="AJ310" s="67"/>
      <c r="AK310" s="55"/>
      <c r="AL310" s="67"/>
      <c r="AM310" s="55"/>
      <c r="AN310" s="67"/>
      <c r="AO310" s="58"/>
      <c r="AP310" s="68">
        <f t="shared" si="7"/>
        <v>0</v>
      </c>
      <c r="AQ310" s="69">
        <f t="shared" si="2"/>
        <v>0</v>
      </c>
      <c r="AR310" s="51">
        <f t="shared" si="3"/>
        <v>0</v>
      </c>
      <c r="AS310" s="51">
        <f t="shared" si="4"/>
        <v>0</v>
      </c>
      <c r="AT310" s="61" t="str">
        <f t="shared" si="5"/>
        <v/>
      </c>
      <c r="AU310" s="37"/>
      <c r="AV310" s="37"/>
      <c r="AW310" s="37"/>
      <c r="AX310" s="37"/>
      <c r="AY310" s="37"/>
    </row>
    <row r="311" ht="15.75" customHeight="1">
      <c r="A311" s="21" t="s">
        <v>24</v>
      </c>
      <c r="B311" s="62">
        <f t="shared" si="6"/>
        <v>44871</v>
      </c>
      <c r="C311" s="23">
        <v>12.0</v>
      </c>
      <c r="D311" s="23" t="s">
        <v>25</v>
      </c>
      <c r="E311" s="63" t="s">
        <v>42</v>
      </c>
      <c r="F311" s="30">
        <v>0.0</v>
      </c>
      <c r="H311" s="31">
        <v>0.0</v>
      </c>
      <c r="J311" s="31">
        <v>0.0</v>
      </c>
      <c r="L311" s="31">
        <v>0.0</v>
      </c>
      <c r="N311" s="31">
        <v>0.0</v>
      </c>
      <c r="P311" s="31">
        <v>0.0</v>
      </c>
      <c r="Q311" s="29"/>
      <c r="R311" s="30">
        <v>75.0</v>
      </c>
      <c r="T311" s="31">
        <v>75.0</v>
      </c>
      <c r="V311" s="31">
        <v>0.0</v>
      </c>
      <c r="X311" s="31">
        <v>0.0</v>
      </c>
      <c r="Z311" s="31">
        <v>0.0</v>
      </c>
      <c r="AB311" s="31">
        <v>0.0</v>
      </c>
      <c r="AC311" s="29"/>
      <c r="AD311" s="33"/>
      <c r="AF311" s="34"/>
      <c r="AH311" s="34"/>
      <c r="AJ311" s="34"/>
      <c r="AL311" s="34"/>
      <c r="AN311" s="34"/>
      <c r="AO311" s="29"/>
      <c r="AP311" s="38">
        <f t="shared" si="7"/>
        <v>2040</v>
      </c>
      <c r="AQ311" s="44">
        <f t="shared" si="2"/>
        <v>150</v>
      </c>
      <c r="AR311" s="23">
        <f t="shared" si="3"/>
        <v>0</v>
      </c>
      <c r="AS311" s="23">
        <f t="shared" si="4"/>
        <v>150</v>
      </c>
      <c r="AT311" s="36">
        <f t="shared" si="5"/>
        <v>13.6</v>
      </c>
      <c r="AU311" s="37"/>
      <c r="AV311" s="37"/>
      <c r="AW311" s="37"/>
      <c r="AX311" s="37"/>
      <c r="AY311" s="37"/>
    </row>
    <row r="312" ht="15.75" customHeight="1">
      <c r="A312" s="39" t="s">
        <v>27</v>
      </c>
      <c r="B312" s="40">
        <f t="shared" si="6"/>
        <v>44872</v>
      </c>
      <c r="C312" s="41">
        <v>12.0</v>
      </c>
      <c r="D312" s="41" t="s">
        <v>25</v>
      </c>
      <c r="E312" s="43" t="s">
        <v>42</v>
      </c>
      <c r="F312" s="30">
        <v>0.0</v>
      </c>
      <c r="H312" s="31">
        <v>0.0</v>
      </c>
      <c r="J312" s="31">
        <v>0.0</v>
      </c>
      <c r="L312" s="31">
        <v>0.0</v>
      </c>
      <c r="N312" s="31">
        <v>0.0</v>
      </c>
      <c r="P312" s="31">
        <v>0.0</v>
      </c>
      <c r="Q312" s="29"/>
      <c r="R312" s="30">
        <v>70.0</v>
      </c>
      <c r="T312" s="31">
        <v>70.0</v>
      </c>
      <c r="V312" s="31">
        <v>0.0</v>
      </c>
      <c r="X312" s="31">
        <v>0.0</v>
      </c>
      <c r="Z312" s="31">
        <v>0.0</v>
      </c>
      <c r="AB312" s="31">
        <v>20.0</v>
      </c>
      <c r="AC312" s="29"/>
      <c r="AD312" s="33"/>
      <c r="AF312" s="34"/>
      <c r="AH312" s="34"/>
      <c r="AJ312" s="34"/>
      <c r="AL312" s="34"/>
      <c r="AN312" s="34"/>
      <c r="AO312" s="29"/>
      <c r="AP312" s="47">
        <f t="shared" si="7"/>
        <v>2016</v>
      </c>
      <c r="AQ312" s="48">
        <f t="shared" si="2"/>
        <v>140</v>
      </c>
      <c r="AR312" s="41">
        <f t="shared" si="3"/>
        <v>20</v>
      </c>
      <c r="AS312" s="41">
        <f t="shared" si="4"/>
        <v>160</v>
      </c>
      <c r="AT312" s="46">
        <f t="shared" si="5"/>
        <v>12.6</v>
      </c>
      <c r="AU312" s="37"/>
      <c r="AV312" s="37"/>
      <c r="AW312" s="37"/>
      <c r="AX312" s="37"/>
      <c r="AY312" s="37"/>
    </row>
    <row r="313" ht="15.75" customHeight="1">
      <c r="A313" s="39" t="s">
        <v>28</v>
      </c>
      <c r="B313" s="40">
        <f t="shared" si="6"/>
        <v>44873</v>
      </c>
      <c r="C313" s="41">
        <v>12.0</v>
      </c>
      <c r="D313" s="41" t="s">
        <v>25</v>
      </c>
      <c r="E313" s="43" t="s">
        <v>42</v>
      </c>
      <c r="F313" s="30">
        <v>0.0</v>
      </c>
      <c r="H313" s="31">
        <v>0.0</v>
      </c>
      <c r="J313" s="31">
        <v>0.0</v>
      </c>
      <c r="L313" s="31">
        <v>0.0</v>
      </c>
      <c r="N313" s="31">
        <v>0.0</v>
      </c>
      <c r="P313" s="31">
        <v>0.0</v>
      </c>
      <c r="Q313" s="29"/>
      <c r="R313" s="30">
        <v>70.0</v>
      </c>
      <c r="T313" s="31">
        <v>70.0</v>
      </c>
      <c r="V313" s="31">
        <v>0.0</v>
      </c>
      <c r="X313" s="31">
        <v>0.0</v>
      </c>
      <c r="Z313" s="31">
        <v>0.0</v>
      </c>
      <c r="AB313" s="31">
        <v>0.0</v>
      </c>
      <c r="AC313" s="29"/>
      <c r="AD313" s="33"/>
      <c r="AF313" s="34"/>
      <c r="AH313" s="34"/>
      <c r="AJ313" s="34"/>
      <c r="AL313" s="34"/>
      <c r="AN313" s="34"/>
      <c r="AO313" s="29"/>
      <c r="AP313" s="47">
        <f t="shared" si="7"/>
        <v>1904</v>
      </c>
      <c r="AQ313" s="48">
        <f t="shared" si="2"/>
        <v>140</v>
      </c>
      <c r="AR313" s="41">
        <f t="shared" si="3"/>
        <v>0</v>
      </c>
      <c r="AS313" s="41">
        <f t="shared" si="4"/>
        <v>140</v>
      </c>
      <c r="AT313" s="46">
        <f t="shared" si="5"/>
        <v>13.6</v>
      </c>
      <c r="AU313" s="37"/>
      <c r="AV313" s="37"/>
      <c r="AW313" s="37"/>
      <c r="AX313" s="37"/>
      <c r="AY313" s="37"/>
    </row>
    <row r="314" ht="15.75" customHeight="1">
      <c r="A314" s="39" t="s">
        <v>29</v>
      </c>
      <c r="B314" s="40">
        <f t="shared" si="6"/>
        <v>44874</v>
      </c>
      <c r="C314" s="41">
        <v>12.0</v>
      </c>
      <c r="D314" s="41" t="s">
        <v>25</v>
      </c>
      <c r="E314" s="43" t="s">
        <v>42</v>
      </c>
      <c r="F314" s="30">
        <v>0.0</v>
      </c>
      <c r="H314" s="31">
        <v>0.0</v>
      </c>
      <c r="J314" s="31">
        <v>0.0</v>
      </c>
      <c r="L314" s="31">
        <v>0.0</v>
      </c>
      <c r="N314" s="31">
        <v>0.0</v>
      </c>
      <c r="P314" s="31">
        <v>0.0</v>
      </c>
      <c r="Q314" s="29"/>
      <c r="R314" s="30">
        <v>70.0</v>
      </c>
      <c r="T314" s="31">
        <v>70.0</v>
      </c>
      <c r="V314" s="31">
        <v>0.0</v>
      </c>
      <c r="X314" s="31">
        <v>0.0</v>
      </c>
      <c r="Z314" s="31">
        <v>0.0</v>
      </c>
      <c r="AB314" s="31">
        <v>0.0</v>
      </c>
      <c r="AC314" s="29"/>
      <c r="AD314" s="33"/>
      <c r="AF314" s="34"/>
      <c r="AH314" s="34"/>
      <c r="AJ314" s="34"/>
      <c r="AL314" s="34"/>
      <c r="AN314" s="34"/>
      <c r="AO314" s="29"/>
      <c r="AP314" s="47">
        <f t="shared" si="7"/>
        <v>1904</v>
      </c>
      <c r="AQ314" s="48">
        <f t="shared" si="2"/>
        <v>140</v>
      </c>
      <c r="AR314" s="41">
        <f t="shared" si="3"/>
        <v>0</v>
      </c>
      <c r="AS314" s="41">
        <f t="shared" si="4"/>
        <v>140</v>
      </c>
      <c r="AT314" s="46">
        <f t="shared" si="5"/>
        <v>13.6</v>
      </c>
      <c r="AU314" s="37"/>
      <c r="AV314" s="37"/>
      <c r="AW314" s="37"/>
      <c r="AX314" s="37"/>
      <c r="AY314" s="37"/>
    </row>
    <row r="315" ht="15.75" customHeight="1">
      <c r="A315" s="39" t="s">
        <v>30</v>
      </c>
      <c r="B315" s="40">
        <f t="shared" si="6"/>
        <v>44875</v>
      </c>
      <c r="C315" s="41">
        <v>12.0</v>
      </c>
      <c r="D315" s="41" t="s">
        <v>25</v>
      </c>
      <c r="E315" s="43" t="s">
        <v>42</v>
      </c>
      <c r="F315" s="30">
        <v>0.0</v>
      </c>
      <c r="H315" s="31">
        <v>0.0</v>
      </c>
      <c r="J315" s="31">
        <v>0.0</v>
      </c>
      <c r="L315" s="31">
        <v>0.0</v>
      </c>
      <c r="N315" s="31">
        <v>0.0</v>
      </c>
      <c r="P315" s="31">
        <v>0.0</v>
      </c>
      <c r="Q315" s="29"/>
      <c r="R315" s="30">
        <v>70.0</v>
      </c>
      <c r="T315" s="31">
        <v>70.0</v>
      </c>
      <c r="V315" s="31">
        <v>0.0</v>
      </c>
      <c r="X315" s="31">
        <v>0.0</v>
      </c>
      <c r="Z315" s="31">
        <v>0.0</v>
      </c>
      <c r="AB315" s="31">
        <v>0.0</v>
      </c>
      <c r="AC315" s="29"/>
      <c r="AD315" s="33"/>
      <c r="AF315" s="34"/>
      <c r="AH315" s="34"/>
      <c r="AJ315" s="34"/>
      <c r="AL315" s="34"/>
      <c r="AN315" s="34"/>
      <c r="AO315" s="29"/>
      <c r="AP315" s="47">
        <f t="shared" si="7"/>
        <v>1904</v>
      </c>
      <c r="AQ315" s="48">
        <f t="shared" si="2"/>
        <v>140</v>
      </c>
      <c r="AR315" s="41">
        <f t="shared" si="3"/>
        <v>0</v>
      </c>
      <c r="AS315" s="41">
        <f t="shared" si="4"/>
        <v>140</v>
      </c>
      <c r="AT315" s="46">
        <f t="shared" si="5"/>
        <v>13.6</v>
      </c>
      <c r="AU315" s="37"/>
      <c r="AV315" s="37"/>
      <c r="AW315" s="37"/>
      <c r="AX315" s="37"/>
      <c r="AY315" s="37"/>
    </row>
    <row r="316" ht="15.75" customHeight="1">
      <c r="A316" s="39" t="s">
        <v>31</v>
      </c>
      <c r="B316" s="40">
        <f t="shared" si="6"/>
        <v>44876</v>
      </c>
      <c r="C316" s="41">
        <v>12.0</v>
      </c>
      <c r="D316" s="41" t="s">
        <v>25</v>
      </c>
      <c r="E316" s="43" t="s">
        <v>42</v>
      </c>
      <c r="F316" s="30">
        <v>0.0</v>
      </c>
      <c r="H316" s="31">
        <v>0.0</v>
      </c>
      <c r="J316" s="31">
        <v>0.0</v>
      </c>
      <c r="L316" s="31">
        <v>0.0</v>
      </c>
      <c r="N316" s="31">
        <v>0.0</v>
      </c>
      <c r="P316" s="31">
        <v>0.0</v>
      </c>
      <c r="Q316" s="29"/>
      <c r="R316" s="30">
        <v>70.0</v>
      </c>
      <c r="T316" s="31">
        <v>70.0</v>
      </c>
      <c r="V316" s="31">
        <v>0.0</v>
      </c>
      <c r="X316" s="31">
        <v>0.0</v>
      </c>
      <c r="Z316" s="31">
        <v>0.0</v>
      </c>
      <c r="AB316" s="31">
        <v>0.0</v>
      </c>
      <c r="AC316" s="29"/>
      <c r="AD316" s="33"/>
      <c r="AF316" s="34"/>
      <c r="AH316" s="34"/>
      <c r="AJ316" s="34"/>
      <c r="AL316" s="34"/>
      <c r="AN316" s="34"/>
      <c r="AO316" s="29"/>
      <c r="AP316" s="47">
        <f t="shared" si="7"/>
        <v>1904</v>
      </c>
      <c r="AQ316" s="48">
        <f t="shared" si="2"/>
        <v>140</v>
      </c>
      <c r="AR316" s="41">
        <f t="shared" si="3"/>
        <v>0</v>
      </c>
      <c r="AS316" s="41">
        <f t="shared" si="4"/>
        <v>140</v>
      </c>
      <c r="AT316" s="46">
        <f t="shared" si="5"/>
        <v>13.6</v>
      </c>
      <c r="AU316" s="37"/>
      <c r="AV316" s="37"/>
      <c r="AW316" s="37"/>
      <c r="AX316" s="37"/>
      <c r="AY316" s="37"/>
    </row>
    <row r="317" ht="15.75" customHeight="1">
      <c r="A317" s="49" t="s">
        <v>32</v>
      </c>
      <c r="B317" s="50">
        <f t="shared" si="6"/>
        <v>44877</v>
      </c>
      <c r="C317" s="51">
        <v>12.0</v>
      </c>
      <c r="D317" s="51" t="s">
        <v>25</v>
      </c>
      <c r="E317" s="53" t="s">
        <v>42</v>
      </c>
      <c r="F317" s="64">
        <v>0.0</v>
      </c>
      <c r="G317" s="55"/>
      <c r="H317" s="65">
        <v>0.0</v>
      </c>
      <c r="I317" s="55"/>
      <c r="J317" s="65">
        <v>0.0</v>
      </c>
      <c r="K317" s="55"/>
      <c r="L317" s="65">
        <v>0.0</v>
      </c>
      <c r="M317" s="55"/>
      <c r="N317" s="65">
        <v>0.0</v>
      </c>
      <c r="O317" s="55"/>
      <c r="P317" s="65">
        <v>0.0</v>
      </c>
      <c r="Q317" s="58"/>
      <c r="R317" s="64">
        <v>0.0</v>
      </c>
      <c r="S317" s="55"/>
      <c r="T317" s="65">
        <v>0.0</v>
      </c>
      <c r="U317" s="55"/>
      <c r="V317" s="65">
        <v>0.0</v>
      </c>
      <c r="W317" s="55"/>
      <c r="X317" s="65">
        <v>0.0</v>
      </c>
      <c r="Y317" s="55"/>
      <c r="Z317" s="65">
        <v>0.0</v>
      </c>
      <c r="AA317" s="55"/>
      <c r="AB317" s="65">
        <v>0.0</v>
      </c>
      <c r="AC317" s="58"/>
      <c r="AD317" s="66"/>
      <c r="AE317" s="55"/>
      <c r="AF317" s="67"/>
      <c r="AG317" s="55"/>
      <c r="AH317" s="67"/>
      <c r="AI317" s="55"/>
      <c r="AJ317" s="67"/>
      <c r="AK317" s="55"/>
      <c r="AL317" s="67"/>
      <c r="AM317" s="55"/>
      <c r="AN317" s="67"/>
      <c r="AO317" s="58"/>
      <c r="AP317" s="68">
        <f t="shared" si="7"/>
        <v>0</v>
      </c>
      <c r="AQ317" s="69">
        <f t="shared" si="2"/>
        <v>0</v>
      </c>
      <c r="AR317" s="51">
        <f t="shared" si="3"/>
        <v>0</v>
      </c>
      <c r="AS317" s="51">
        <f t="shared" si="4"/>
        <v>0</v>
      </c>
      <c r="AT317" s="61" t="str">
        <f t="shared" si="5"/>
        <v/>
      </c>
      <c r="AU317" s="37"/>
      <c r="AV317" s="37"/>
      <c r="AW317" s="37"/>
      <c r="AX317" s="37"/>
      <c r="AY317" s="37"/>
    </row>
    <row r="318" ht="15.75" customHeight="1">
      <c r="A318" s="21" t="s">
        <v>24</v>
      </c>
      <c r="B318" s="62">
        <f t="shared" si="6"/>
        <v>44878</v>
      </c>
      <c r="C318" s="23">
        <v>12.0</v>
      </c>
      <c r="D318" s="23" t="s">
        <v>33</v>
      </c>
      <c r="E318" s="63" t="s">
        <v>42</v>
      </c>
      <c r="F318" s="30">
        <v>0.0</v>
      </c>
      <c r="H318" s="31">
        <v>0.0</v>
      </c>
      <c r="J318" s="31">
        <v>0.0</v>
      </c>
      <c r="L318" s="31">
        <v>0.0</v>
      </c>
      <c r="N318" s="31">
        <v>0.0</v>
      </c>
      <c r="P318" s="31">
        <v>0.0</v>
      </c>
      <c r="Q318" s="29"/>
      <c r="R318" s="30">
        <v>70.0</v>
      </c>
      <c r="T318" s="31">
        <v>70.0</v>
      </c>
      <c r="V318" s="31">
        <v>0.0</v>
      </c>
      <c r="X318" s="31">
        <v>0.0</v>
      </c>
      <c r="Z318" s="31">
        <v>0.0</v>
      </c>
      <c r="AB318" s="31">
        <v>0.0</v>
      </c>
      <c r="AC318" s="29"/>
      <c r="AD318" s="33"/>
      <c r="AF318" s="34"/>
      <c r="AH318" s="34"/>
      <c r="AJ318" s="34"/>
      <c r="AL318" s="34"/>
      <c r="AN318" s="34"/>
      <c r="AO318" s="29"/>
      <c r="AP318" s="38">
        <f t="shared" si="7"/>
        <v>1904</v>
      </c>
      <c r="AQ318" s="44">
        <f t="shared" si="2"/>
        <v>140</v>
      </c>
      <c r="AR318" s="23">
        <f t="shared" si="3"/>
        <v>0</v>
      </c>
      <c r="AS318" s="23">
        <f t="shared" si="4"/>
        <v>140</v>
      </c>
      <c r="AT318" s="36">
        <f t="shared" si="5"/>
        <v>13.6</v>
      </c>
      <c r="AU318" s="37"/>
      <c r="AV318" s="37"/>
      <c r="AW318" s="37"/>
      <c r="AX318" s="37"/>
      <c r="AY318" s="37"/>
    </row>
    <row r="319" ht="15.75" customHeight="1">
      <c r="A319" s="39" t="s">
        <v>27</v>
      </c>
      <c r="B319" s="40">
        <f t="shared" si="6"/>
        <v>44879</v>
      </c>
      <c r="C319" s="41">
        <v>12.0</v>
      </c>
      <c r="D319" s="41" t="s">
        <v>33</v>
      </c>
      <c r="E319" s="43" t="s">
        <v>42</v>
      </c>
      <c r="F319" s="30">
        <v>0.0</v>
      </c>
      <c r="H319" s="31">
        <v>0.0</v>
      </c>
      <c r="J319" s="31">
        <v>0.0</v>
      </c>
      <c r="L319" s="31">
        <v>0.0</v>
      </c>
      <c r="N319" s="31">
        <v>0.0</v>
      </c>
      <c r="P319" s="31">
        <v>0.0</v>
      </c>
      <c r="Q319" s="29"/>
      <c r="R319" s="30">
        <v>73.0</v>
      </c>
      <c r="T319" s="31">
        <v>73.0</v>
      </c>
      <c r="V319" s="31">
        <v>0.0</v>
      </c>
      <c r="X319" s="31">
        <v>0.0</v>
      </c>
      <c r="Z319" s="31">
        <v>0.0</v>
      </c>
      <c r="AB319" s="31">
        <v>0.0</v>
      </c>
      <c r="AC319" s="29"/>
      <c r="AD319" s="33"/>
      <c r="AF319" s="34"/>
      <c r="AH319" s="34"/>
      <c r="AJ319" s="34"/>
      <c r="AL319" s="34"/>
      <c r="AN319" s="34"/>
      <c r="AO319" s="29"/>
      <c r="AP319" s="47">
        <f t="shared" si="7"/>
        <v>1985.6</v>
      </c>
      <c r="AQ319" s="48">
        <f t="shared" si="2"/>
        <v>146</v>
      </c>
      <c r="AR319" s="41">
        <f t="shared" si="3"/>
        <v>0</v>
      </c>
      <c r="AS319" s="41">
        <f t="shared" si="4"/>
        <v>146</v>
      </c>
      <c r="AT319" s="46">
        <f t="shared" si="5"/>
        <v>13.6</v>
      </c>
      <c r="AU319" s="37"/>
      <c r="AV319" s="37"/>
      <c r="AW319" s="37"/>
      <c r="AX319" s="37"/>
      <c r="AY319" s="37"/>
    </row>
    <row r="320" ht="15.75" customHeight="1">
      <c r="A320" s="39" t="s">
        <v>28</v>
      </c>
      <c r="B320" s="40">
        <f t="shared" si="6"/>
        <v>44880</v>
      </c>
      <c r="C320" s="41">
        <v>12.0</v>
      </c>
      <c r="D320" s="41" t="s">
        <v>33</v>
      </c>
      <c r="E320" s="43" t="s">
        <v>42</v>
      </c>
      <c r="F320" s="30">
        <v>0.0</v>
      </c>
      <c r="H320" s="31">
        <v>0.0</v>
      </c>
      <c r="J320" s="31">
        <v>0.0</v>
      </c>
      <c r="L320" s="31">
        <v>0.0</v>
      </c>
      <c r="N320" s="31">
        <v>0.0</v>
      </c>
      <c r="P320" s="31">
        <v>0.0</v>
      </c>
      <c r="Q320" s="29"/>
      <c r="R320" s="30">
        <v>70.0</v>
      </c>
      <c r="T320" s="31">
        <v>70.0</v>
      </c>
      <c r="V320" s="31">
        <v>0.0</v>
      </c>
      <c r="X320" s="31">
        <v>0.0</v>
      </c>
      <c r="Z320" s="31">
        <v>0.0</v>
      </c>
      <c r="AB320" s="31">
        <v>0.0</v>
      </c>
      <c r="AC320" s="29"/>
      <c r="AD320" s="33"/>
      <c r="AF320" s="34"/>
      <c r="AH320" s="34"/>
      <c r="AJ320" s="34"/>
      <c r="AL320" s="34"/>
      <c r="AN320" s="34"/>
      <c r="AO320" s="29"/>
      <c r="AP320" s="47">
        <f t="shared" si="7"/>
        <v>1904</v>
      </c>
      <c r="AQ320" s="48">
        <f t="shared" si="2"/>
        <v>140</v>
      </c>
      <c r="AR320" s="41">
        <f t="shared" si="3"/>
        <v>0</v>
      </c>
      <c r="AS320" s="41">
        <f t="shared" si="4"/>
        <v>140</v>
      </c>
      <c r="AT320" s="46">
        <f t="shared" si="5"/>
        <v>13.6</v>
      </c>
      <c r="AU320" s="37"/>
      <c r="AV320" s="37"/>
      <c r="AW320" s="37"/>
      <c r="AX320" s="37"/>
      <c r="AY320" s="37"/>
    </row>
    <row r="321" ht="15.75" customHeight="1">
      <c r="A321" s="39" t="s">
        <v>29</v>
      </c>
      <c r="B321" s="40">
        <f t="shared" si="6"/>
        <v>44881</v>
      </c>
      <c r="C321" s="41">
        <v>12.0</v>
      </c>
      <c r="D321" s="41" t="s">
        <v>33</v>
      </c>
      <c r="E321" s="43" t="s">
        <v>42</v>
      </c>
      <c r="F321" s="30">
        <v>0.0</v>
      </c>
      <c r="H321" s="31">
        <v>0.0</v>
      </c>
      <c r="J321" s="31">
        <v>0.0</v>
      </c>
      <c r="L321" s="31">
        <v>0.0</v>
      </c>
      <c r="N321" s="31">
        <v>0.0</v>
      </c>
      <c r="P321" s="31">
        <v>0.0</v>
      </c>
      <c r="Q321" s="29"/>
      <c r="R321" s="30">
        <v>70.0</v>
      </c>
      <c r="T321" s="31">
        <v>70.0</v>
      </c>
      <c r="V321" s="31">
        <v>0.0</v>
      </c>
      <c r="X321" s="31">
        <v>0.0</v>
      </c>
      <c r="Z321" s="31">
        <v>0.0</v>
      </c>
      <c r="AB321" s="31">
        <v>0.0</v>
      </c>
      <c r="AC321" s="29"/>
      <c r="AD321" s="33"/>
      <c r="AF321" s="34"/>
      <c r="AH321" s="34"/>
      <c r="AJ321" s="34"/>
      <c r="AL321" s="34"/>
      <c r="AN321" s="34"/>
      <c r="AO321" s="29"/>
      <c r="AP321" s="47">
        <f t="shared" si="7"/>
        <v>1904</v>
      </c>
      <c r="AQ321" s="48">
        <f t="shared" si="2"/>
        <v>140</v>
      </c>
      <c r="AR321" s="41">
        <f t="shared" si="3"/>
        <v>0</v>
      </c>
      <c r="AS321" s="41">
        <f t="shared" si="4"/>
        <v>140</v>
      </c>
      <c r="AT321" s="46">
        <f t="shared" si="5"/>
        <v>13.6</v>
      </c>
      <c r="AU321" s="37"/>
      <c r="AV321" s="37"/>
      <c r="AW321" s="37"/>
      <c r="AX321" s="37"/>
      <c r="AY321" s="37"/>
    </row>
    <row r="322" ht="15.75" customHeight="1">
      <c r="A322" s="39" t="s">
        <v>30</v>
      </c>
      <c r="B322" s="40">
        <f t="shared" si="6"/>
        <v>44882</v>
      </c>
      <c r="C322" s="41">
        <v>12.0</v>
      </c>
      <c r="D322" s="41" t="s">
        <v>33</v>
      </c>
      <c r="E322" s="43" t="s">
        <v>42</v>
      </c>
      <c r="F322" s="30">
        <v>0.0</v>
      </c>
      <c r="H322" s="31">
        <v>0.0</v>
      </c>
      <c r="J322" s="31">
        <v>0.0</v>
      </c>
      <c r="L322" s="31">
        <v>0.0</v>
      </c>
      <c r="N322" s="31">
        <v>0.0</v>
      </c>
      <c r="P322" s="31">
        <v>0.0</v>
      </c>
      <c r="Q322" s="29"/>
      <c r="R322" s="30">
        <v>70.0</v>
      </c>
      <c r="T322" s="31">
        <v>70.0</v>
      </c>
      <c r="V322" s="31">
        <v>0.0</v>
      </c>
      <c r="X322" s="31">
        <v>0.0</v>
      </c>
      <c r="Z322" s="31">
        <v>0.0</v>
      </c>
      <c r="AB322" s="31">
        <v>0.0</v>
      </c>
      <c r="AC322" s="29"/>
      <c r="AD322" s="33"/>
      <c r="AF322" s="34"/>
      <c r="AH322" s="34"/>
      <c r="AJ322" s="34"/>
      <c r="AL322" s="34"/>
      <c r="AN322" s="34"/>
      <c r="AO322" s="29"/>
      <c r="AP322" s="47">
        <f t="shared" si="7"/>
        <v>1904</v>
      </c>
      <c r="AQ322" s="48">
        <f t="shared" si="2"/>
        <v>140</v>
      </c>
      <c r="AR322" s="41">
        <f t="shared" si="3"/>
        <v>0</v>
      </c>
      <c r="AS322" s="41">
        <f t="shared" si="4"/>
        <v>140</v>
      </c>
      <c r="AT322" s="46">
        <f t="shared" si="5"/>
        <v>13.6</v>
      </c>
      <c r="AU322" s="37"/>
      <c r="AV322" s="37"/>
      <c r="AW322" s="37"/>
      <c r="AX322" s="37"/>
      <c r="AY322" s="37"/>
    </row>
    <row r="323" ht="15.75" customHeight="1">
      <c r="A323" s="39" t="s">
        <v>31</v>
      </c>
      <c r="B323" s="40">
        <f t="shared" si="6"/>
        <v>44883</v>
      </c>
      <c r="C323" s="41">
        <v>12.0</v>
      </c>
      <c r="D323" s="41" t="s">
        <v>33</v>
      </c>
      <c r="E323" s="43" t="s">
        <v>42</v>
      </c>
      <c r="F323" s="30">
        <v>0.0</v>
      </c>
      <c r="H323" s="31">
        <v>0.0</v>
      </c>
      <c r="J323" s="31">
        <v>0.0</v>
      </c>
      <c r="L323" s="31">
        <v>0.0</v>
      </c>
      <c r="N323" s="31">
        <v>0.0</v>
      </c>
      <c r="P323" s="31">
        <v>0.0</v>
      </c>
      <c r="Q323" s="29"/>
      <c r="R323" s="30">
        <v>0.0</v>
      </c>
      <c r="T323" s="31">
        <v>0.0</v>
      </c>
      <c r="V323" s="31">
        <v>0.0</v>
      </c>
      <c r="X323" s="31">
        <v>0.0</v>
      </c>
      <c r="Z323" s="31">
        <v>0.0</v>
      </c>
      <c r="AB323" s="31">
        <v>0.0</v>
      </c>
      <c r="AC323" s="29"/>
      <c r="AD323" s="33"/>
      <c r="AF323" s="34"/>
      <c r="AH323" s="34"/>
      <c r="AJ323" s="34"/>
      <c r="AL323" s="34"/>
      <c r="AN323" s="34"/>
      <c r="AO323" s="29"/>
      <c r="AP323" s="47">
        <f t="shared" si="7"/>
        <v>0</v>
      </c>
      <c r="AQ323" s="48">
        <f t="shared" si="2"/>
        <v>0</v>
      </c>
      <c r="AR323" s="41">
        <f t="shared" si="3"/>
        <v>0</v>
      </c>
      <c r="AS323" s="41">
        <f t="shared" si="4"/>
        <v>0</v>
      </c>
      <c r="AT323" s="46" t="str">
        <f t="shared" si="5"/>
        <v/>
      </c>
      <c r="AU323" s="37"/>
      <c r="AV323" s="37"/>
      <c r="AW323" s="37"/>
      <c r="AX323" s="37"/>
      <c r="AY323" s="37"/>
    </row>
    <row r="324" ht="15.75" customHeight="1">
      <c r="A324" s="49" t="s">
        <v>32</v>
      </c>
      <c r="B324" s="50">
        <f t="shared" si="6"/>
        <v>44884</v>
      </c>
      <c r="C324" s="51">
        <v>12.0</v>
      </c>
      <c r="D324" s="51" t="s">
        <v>33</v>
      </c>
      <c r="E324" s="53" t="s">
        <v>42</v>
      </c>
      <c r="F324" s="64">
        <v>0.0</v>
      </c>
      <c r="G324" s="55"/>
      <c r="H324" s="65">
        <v>0.0</v>
      </c>
      <c r="I324" s="55"/>
      <c r="J324" s="65">
        <v>0.0</v>
      </c>
      <c r="K324" s="55"/>
      <c r="L324" s="65">
        <v>0.0</v>
      </c>
      <c r="M324" s="55"/>
      <c r="N324" s="65">
        <v>0.0</v>
      </c>
      <c r="O324" s="55"/>
      <c r="P324" s="65">
        <v>0.0</v>
      </c>
      <c r="Q324" s="58"/>
      <c r="R324" s="64">
        <v>0.0</v>
      </c>
      <c r="S324" s="55"/>
      <c r="T324" s="65">
        <v>0.0</v>
      </c>
      <c r="U324" s="55"/>
      <c r="V324" s="65">
        <v>0.0</v>
      </c>
      <c r="W324" s="55"/>
      <c r="X324" s="65">
        <v>0.0</v>
      </c>
      <c r="Y324" s="55"/>
      <c r="Z324" s="65">
        <v>0.0</v>
      </c>
      <c r="AA324" s="55"/>
      <c r="AB324" s="65">
        <v>0.0</v>
      </c>
      <c r="AC324" s="58"/>
      <c r="AD324" s="66"/>
      <c r="AE324" s="55"/>
      <c r="AF324" s="67"/>
      <c r="AG324" s="55"/>
      <c r="AH324" s="67"/>
      <c r="AI324" s="55"/>
      <c r="AJ324" s="67"/>
      <c r="AK324" s="55"/>
      <c r="AL324" s="67"/>
      <c r="AM324" s="55"/>
      <c r="AN324" s="67"/>
      <c r="AO324" s="58"/>
      <c r="AP324" s="68">
        <f t="shared" si="7"/>
        <v>0</v>
      </c>
      <c r="AQ324" s="69">
        <f t="shared" si="2"/>
        <v>0</v>
      </c>
      <c r="AR324" s="51">
        <f t="shared" si="3"/>
        <v>0</v>
      </c>
      <c r="AS324" s="51">
        <f t="shared" si="4"/>
        <v>0</v>
      </c>
      <c r="AT324" s="61" t="str">
        <f t="shared" si="5"/>
        <v/>
      </c>
      <c r="AU324" s="37"/>
      <c r="AV324" s="37"/>
      <c r="AW324" s="37"/>
      <c r="AX324" s="37"/>
      <c r="AY324" s="37"/>
    </row>
    <row r="325" ht="15.75" customHeight="1">
      <c r="A325" s="21" t="s">
        <v>24</v>
      </c>
      <c r="B325" s="62">
        <f t="shared" si="6"/>
        <v>44885</v>
      </c>
      <c r="C325" s="23">
        <v>12.0</v>
      </c>
      <c r="D325" s="23" t="s">
        <v>34</v>
      </c>
      <c r="E325" s="25" t="s">
        <v>43</v>
      </c>
      <c r="F325" s="26"/>
      <c r="H325" s="27"/>
      <c r="J325" s="27"/>
      <c r="L325" s="27"/>
      <c r="N325" s="27"/>
      <c r="P325" s="27"/>
      <c r="Q325" s="29"/>
      <c r="R325" s="26"/>
      <c r="T325" s="27"/>
      <c r="V325" s="27"/>
      <c r="X325" s="27"/>
      <c r="Z325" s="27"/>
      <c r="AB325" s="27"/>
      <c r="AC325" s="29"/>
      <c r="AD325" s="26"/>
      <c r="AF325" s="27"/>
      <c r="AH325" s="27"/>
      <c r="AJ325" s="27"/>
      <c r="AL325" s="27"/>
      <c r="AN325" s="27"/>
      <c r="AO325" s="29"/>
      <c r="AP325" s="35">
        <f t="shared" si="7"/>
        <v>0</v>
      </c>
      <c r="AQ325" s="23">
        <f t="shared" si="2"/>
        <v>0</v>
      </c>
      <c r="AR325" s="23">
        <f t="shared" si="3"/>
        <v>0</v>
      </c>
      <c r="AS325" s="23">
        <f t="shared" si="4"/>
        <v>0</v>
      </c>
      <c r="AT325" s="36" t="str">
        <f t="shared" si="5"/>
        <v/>
      </c>
      <c r="AU325" s="37"/>
      <c r="AV325" s="37"/>
      <c r="AW325" s="37"/>
      <c r="AX325" s="37"/>
      <c r="AY325" s="37"/>
    </row>
    <row r="326" ht="15.75" customHeight="1">
      <c r="A326" s="39" t="s">
        <v>27</v>
      </c>
      <c r="B326" s="40">
        <f t="shared" si="6"/>
        <v>44886</v>
      </c>
      <c r="C326" s="41">
        <v>12.0</v>
      </c>
      <c r="D326" s="41" t="s">
        <v>34</v>
      </c>
      <c r="E326" s="43" t="s">
        <v>43</v>
      </c>
      <c r="F326" s="26"/>
      <c r="H326" s="27"/>
      <c r="J326" s="27"/>
      <c r="L326" s="27"/>
      <c r="N326" s="27"/>
      <c r="P326" s="27"/>
      <c r="Q326" s="29"/>
      <c r="R326" s="26"/>
      <c r="T326" s="27"/>
      <c r="V326" s="27"/>
      <c r="X326" s="27"/>
      <c r="Z326" s="27"/>
      <c r="AB326" s="27"/>
      <c r="AC326" s="29"/>
      <c r="AD326" s="26"/>
      <c r="AF326" s="27"/>
      <c r="AH326" s="27"/>
      <c r="AJ326" s="27"/>
      <c r="AL326" s="27"/>
      <c r="AN326" s="27"/>
      <c r="AO326" s="29"/>
      <c r="AP326" s="45">
        <f t="shared" si="7"/>
        <v>0</v>
      </c>
      <c r="AQ326" s="41">
        <f t="shared" si="2"/>
        <v>0</v>
      </c>
      <c r="AR326" s="41">
        <f t="shared" si="3"/>
        <v>0</v>
      </c>
      <c r="AS326" s="41">
        <f t="shared" si="4"/>
        <v>0</v>
      </c>
      <c r="AT326" s="46" t="str">
        <f t="shared" si="5"/>
        <v/>
      </c>
      <c r="AU326" s="37"/>
      <c r="AV326" s="37"/>
      <c r="AW326" s="37"/>
      <c r="AX326" s="37"/>
      <c r="AY326" s="37"/>
    </row>
    <row r="327" ht="15.75" customHeight="1">
      <c r="A327" s="39" t="s">
        <v>28</v>
      </c>
      <c r="B327" s="40">
        <f t="shared" si="6"/>
        <v>44887</v>
      </c>
      <c r="C327" s="41">
        <v>12.0</v>
      </c>
      <c r="D327" s="41" t="s">
        <v>34</v>
      </c>
      <c r="E327" s="43" t="s">
        <v>43</v>
      </c>
      <c r="F327" s="26"/>
      <c r="H327" s="27"/>
      <c r="J327" s="27"/>
      <c r="L327" s="27"/>
      <c r="N327" s="27"/>
      <c r="P327" s="27"/>
      <c r="Q327" s="29"/>
      <c r="R327" s="26"/>
      <c r="T327" s="27"/>
      <c r="V327" s="27"/>
      <c r="X327" s="27"/>
      <c r="Z327" s="27"/>
      <c r="AB327" s="27"/>
      <c r="AC327" s="29"/>
      <c r="AD327" s="26"/>
      <c r="AF327" s="27"/>
      <c r="AH327" s="27"/>
      <c r="AJ327" s="27"/>
      <c r="AL327" s="27"/>
      <c r="AN327" s="27"/>
      <c r="AO327" s="29"/>
      <c r="AP327" s="45">
        <f t="shared" si="7"/>
        <v>0</v>
      </c>
      <c r="AQ327" s="41">
        <f t="shared" si="2"/>
        <v>0</v>
      </c>
      <c r="AR327" s="41">
        <f t="shared" si="3"/>
        <v>0</v>
      </c>
      <c r="AS327" s="41">
        <f t="shared" si="4"/>
        <v>0</v>
      </c>
      <c r="AT327" s="46" t="str">
        <f t="shared" si="5"/>
        <v/>
      </c>
      <c r="AU327" s="37"/>
      <c r="AV327" s="37"/>
      <c r="AW327" s="37"/>
      <c r="AX327" s="37"/>
      <c r="AY327" s="37"/>
    </row>
    <row r="328" ht="15.75" customHeight="1">
      <c r="A328" s="39" t="s">
        <v>29</v>
      </c>
      <c r="B328" s="40">
        <f t="shared" si="6"/>
        <v>44888</v>
      </c>
      <c r="C328" s="41">
        <v>12.0</v>
      </c>
      <c r="D328" s="41" t="s">
        <v>34</v>
      </c>
      <c r="E328" s="43" t="s">
        <v>43</v>
      </c>
      <c r="F328" s="26"/>
      <c r="H328" s="27"/>
      <c r="J328" s="27"/>
      <c r="L328" s="27"/>
      <c r="N328" s="27"/>
      <c r="P328" s="27"/>
      <c r="Q328" s="29"/>
      <c r="R328" s="26"/>
      <c r="T328" s="27"/>
      <c r="V328" s="27"/>
      <c r="X328" s="27"/>
      <c r="Z328" s="27"/>
      <c r="AB328" s="27"/>
      <c r="AC328" s="29"/>
      <c r="AD328" s="26"/>
      <c r="AF328" s="27"/>
      <c r="AH328" s="27"/>
      <c r="AJ328" s="27"/>
      <c r="AL328" s="27"/>
      <c r="AN328" s="27"/>
      <c r="AO328" s="29"/>
      <c r="AP328" s="45">
        <f t="shared" si="7"/>
        <v>0</v>
      </c>
      <c r="AQ328" s="41">
        <f t="shared" si="2"/>
        <v>0</v>
      </c>
      <c r="AR328" s="41">
        <f t="shared" si="3"/>
        <v>0</v>
      </c>
      <c r="AS328" s="41">
        <f t="shared" si="4"/>
        <v>0</v>
      </c>
      <c r="AT328" s="46" t="str">
        <f t="shared" si="5"/>
        <v/>
      </c>
      <c r="AU328" s="37"/>
      <c r="AV328" s="37"/>
      <c r="AW328" s="37"/>
      <c r="AX328" s="37"/>
      <c r="AY328" s="37"/>
    </row>
    <row r="329" ht="15.75" customHeight="1">
      <c r="A329" s="39" t="s">
        <v>30</v>
      </c>
      <c r="B329" s="40">
        <f t="shared" si="6"/>
        <v>44889</v>
      </c>
      <c r="C329" s="41">
        <v>12.0</v>
      </c>
      <c r="D329" s="41" t="s">
        <v>34</v>
      </c>
      <c r="E329" s="43" t="s">
        <v>43</v>
      </c>
      <c r="F329" s="26"/>
      <c r="H329" s="27"/>
      <c r="J329" s="27"/>
      <c r="L329" s="27"/>
      <c r="N329" s="27"/>
      <c r="P329" s="27"/>
      <c r="Q329" s="29"/>
      <c r="R329" s="26"/>
      <c r="T329" s="27"/>
      <c r="V329" s="27"/>
      <c r="X329" s="27"/>
      <c r="Z329" s="27"/>
      <c r="AB329" s="27"/>
      <c r="AC329" s="29"/>
      <c r="AD329" s="26"/>
      <c r="AF329" s="27"/>
      <c r="AH329" s="27"/>
      <c r="AJ329" s="27"/>
      <c r="AL329" s="27"/>
      <c r="AN329" s="27"/>
      <c r="AO329" s="29"/>
      <c r="AP329" s="45">
        <f t="shared" si="7"/>
        <v>0</v>
      </c>
      <c r="AQ329" s="41">
        <f t="shared" si="2"/>
        <v>0</v>
      </c>
      <c r="AR329" s="41">
        <f t="shared" si="3"/>
        <v>0</v>
      </c>
      <c r="AS329" s="41">
        <f t="shared" si="4"/>
        <v>0</v>
      </c>
      <c r="AT329" s="46" t="str">
        <f t="shared" si="5"/>
        <v/>
      </c>
      <c r="AU329" s="37"/>
      <c r="AV329" s="37"/>
      <c r="AW329" s="37"/>
      <c r="AX329" s="37"/>
      <c r="AY329" s="37"/>
    </row>
    <row r="330" ht="15.75" customHeight="1">
      <c r="A330" s="39" t="s">
        <v>31</v>
      </c>
      <c r="B330" s="40">
        <f t="shared" si="6"/>
        <v>44890</v>
      </c>
      <c r="C330" s="41">
        <v>12.0</v>
      </c>
      <c r="D330" s="41" t="s">
        <v>34</v>
      </c>
      <c r="E330" s="43" t="s">
        <v>43</v>
      </c>
      <c r="F330" s="26"/>
      <c r="H330" s="27"/>
      <c r="J330" s="27"/>
      <c r="L330" s="27"/>
      <c r="N330" s="27"/>
      <c r="P330" s="27"/>
      <c r="Q330" s="29"/>
      <c r="R330" s="26"/>
      <c r="T330" s="27"/>
      <c r="V330" s="27"/>
      <c r="X330" s="27"/>
      <c r="Z330" s="27"/>
      <c r="AB330" s="27"/>
      <c r="AC330" s="29"/>
      <c r="AD330" s="26"/>
      <c r="AF330" s="27"/>
      <c r="AH330" s="27"/>
      <c r="AJ330" s="27"/>
      <c r="AL330" s="27"/>
      <c r="AN330" s="27"/>
      <c r="AO330" s="29"/>
      <c r="AP330" s="45">
        <f t="shared" si="7"/>
        <v>0</v>
      </c>
      <c r="AQ330" s="41">
        <f t="shared" si="2"/>
        <v>0</v>
      </c>
      <c r="AR330" s="41">
        <f t="shared" si="3"/>
        <v>0</v>
      </c>
      <c r="AS330" s="41">
        <f t="shared" si="4"/>
        <v>0</v>
      </c>
      <c r="AT330" s="46" t="str">
        <f t="shared" si="5"/>
        <v/>
      </c>
      <c r="AU330" s="37"/>
      <c r="AV330" s="37"/>
      <c r="AW330" s="37"/>
      <c r="AX330" s="37"/>
      <c r="AY330" s="37"/>
    </row>
    <row r="331" ht="15.75" customHeight="1">
      <c r="A331" s="49" t="s">
        <v>32</v>
      </c>
      <c r="B331" s="50">
        <f t="shared" si="6"/>
        <v>44891</v>
      </c>
      <c r="C331" s="51">
        <v>12.0</v>
      </c>
      <c r="D331" s="51" t="s">
        <v>34</v>
      </c>
      <c r="E331" s="53" t="s">
        <v>43</v>
      </c>
      <c r="F331" s="54"/>
      <c r="G331" s="55"/>
      <c r="H331" s="56"/>
      <c r="I331" s="55"/>
      <c r="J331" s="56"/>
      <c r="K331" s="55"/>
      <c r="L331" s="56"/>
      <c r="M331" s="55"/>
      <c r="N331" s="56"/>
      <c r="O331" s="55"/>
      <c r="P331" s="56"/>
      <c r="Q331" s="58"/>
      <c r="R331" s="54"/>
      <c r="S331" s="55"/>
      <c r="T331" s="56"/>
      <c r="U331" s="55"/>
      <c r="V331" s="56"/>
      <c r="W331" s="55"/>
      <c r="X331" s="56"/>
      <c r="Y331" s="55"/>
      <c r="Z331" s="56"/>
      <c r="AA331" s="55"/>
      <c r="AB331" s="56"/>
      <c r="AC331" s="58"/>
      <c r="AD331" s="54"/>
      <c r="AE331" s="55"/>
      <c r="AF331" s="56"/>
      <c r="AG331" s="55"/>
      <c r="AH331" s="56"/>
      <c r="AI331" s="55"/>
      <c r="AJ331" s="56"/>
      <c r="AK331" s="55"/>
      <c r="AL331" s="56"/>
      <c r="AM331" s="55"/>
      <c r="AN331" s="56"/>
      <c r="AO331" s="58"/>
      <c r="AP331" s="60">
        <f t="shared" si="7"/>
        <v>0</v>
      </c>
      <c r="AQ331" s="51">
        <f t="shared" si="2"/>
        <v>0</v>
      </c>
      <c r="AR331" s="51">
        <f t="shared" si="3"/>
        <v>0</v>
      </c>
      <c r="AS331" s="51">
        <f t="shared" si="4"/>
        <v>0</v>
      </c>
      <c r="AT331" s="61" t="str">
        <f t="shared" si="5"/>
        <v/>
      </c>
      <c r="AU331" s="37"/>
      <c r="AV331" s="37"/>
      <c r="AW331" s="37"/>
      <c r="AX331" s="37"/>
      <c r="AY331" s="37"/>
    </row>
    <row r="332" ht="15.75" customHeight="1">
      <c r="A332" s="21" t="s">
        <v>24</v>
      </c>
      <c r="B332" s="62">
        <f t="shared" si="6"/>
        <v>44892</v>
      </c>
      <c r="C332" s="23">
        <v>12.0</v>
      </c>
      <c r="D332" s="23" t="s">
        <v>35</v>
      </c>
      <c r="E332" s="25" t="s">
        <v>26</v>
      </c>
      <c r="F332" s="26"/>
      <c r="H332" s="27"/>
      <c r="J332" s="27"/>
      <c r="L332" s="27"/>
      <c r="N332" s="27"/>
      <c r="P332" s="27"/>
      <c r="Q332" s="29"/>
      <c r="R332" s="26"/>
      <c r="T332" s="27"/>
      <c r="V332" s="27"/>
      <c r="X332" s="27"/>
      <c r="Z332" s="27"/>
      <c r="AB332" s="27"/>
      <c r="AC332" s="29"/>
      <c r="AD332" s="26"/>
      <c r="AF332" s="27"/>
      <c r="AH332" s="27"/>
      <c r="AJ332" s="27"/>
      <c r="AL332" s="27"/>
      <c r="AN332" s="27"/>
      <c r="AO332" s="29"/>
      <c r="AP332" s="35">
        <f t="shared" si="7"/>
        <v>0</v>
      </c>
      <c r="AQ332" s="23">
        <f t="shared" si="2"/>
        <v>0</v>
      </c>
      <c r="AR332" s="23">
        <f t="shared" si="3"/>
        <v>0</v>
      </c>
      <c r="AS332" s="23">
        <f t="shared" si="4"/>
        <v>0</v>
      </c>
      <c r="AT332" s="36" t="str">
        <f t="shared" si="5"/>
        <v/>
      </c>
      <c r="AU332" s="37"/>
      <c r="AV332" s="37"/>
      <c r="AW332" s="37"/>
      <c r="AX332" s="37"/>
      <c r="AY332" s="37"/>
    </row>
    <row r="333" ht="15.75" customHeight="1">
      <c r="A333" s="39" t="s">
        <v>27</v>
      </c>
      <c r="B333" s="40">
        <f t="shared" si="6"/>
        <v>44893</v>
      </c>
      <c r="C333" s="41">
        <v>12.0</v>
      </c>
      <c r="D333" s="41" t="s">
        <v>35</v>
      </c>
      <c r="E333" s="43" t="s">
        <v>26</v>
      </c>
      <c r="F333" s="26"/>
      <c r="H333" s="27"/>
      <c r="J333" s="27"/>
      <c r="L333" s="27"/>
      <c r="N333" s="27"/>
      <c r="P333" s="27"/>
      <c r="Q333" s="29"/>
      <c r="R333" s="26"/>
      <c r="T333" s="27"/>
      <c r="V333" s="27"/>
      <c r="X333" s="27"/>
      <c r="Z333" s="27"/>
      <c r="AB333" s="27"/>
      <c r="AC333" s="29"/>
      <c r="AD333" s="26"/>
      <c r="AF333" s="27"/>
      <c r="AH333" s="27"/>
      <c r="AJ333" s="27"/>
      <c r="AL333" s="27"/>
      <c r="AN333" s="27"/>
      <c r="AO333" s="29"/>
      <c r="AP333" s="45">
        <f t="shared" si="7"/>
        <v>0</v>
      </c>
      <c r="AQ333" s="41">
        <f t="shared" si="2"/>
        <v>0</v>
      </c>
      <c r="AR333" s="41">
        <f t="shared" si="3"/>
        <v>0</v>
      </c>
      <c r="AS333" s="41">
        <f t="shared" si="4"/>
        <v>0</v>
      </c>
      <c r="AT333" s="46" t="str">
        <f t="shared" si="5"/>
        <v/>
      </c>
      <c r="AU333" s="37"/>
      <c r="AV333" s="37"/>
      <c r="AW333" s="37"/>
      <c r="AX333" s="37"/>
      <c r="AY333" s="37"/>
    </row>
    <row r="334" ht="15.75" customHeight="1">
      <c r="A334" s="39" t="s">
        <v>28</v>
      </c>
      <c r="B334" s="40">
        <f t="shared" si="6"/>
        <v>44894</v>
      </c>
      <c r="C334" s="41">
        <v>12.0</v>
      </c>
      <c r="D334" s="41" t="s">
        <v>35</v>
      </c>
      <c r="E334" s="43" t="s">
        <v>26</v>
      </c>
      <c r="F334" s="26"/>
      <c r="H334" s="27"/>
      <c r="J334" s="27"/>
      <c r="L334" s="27"/>
      <c r="N334" s="27"/>
      <c r="P334" s="27"/>
      <c r="Q334" s="29"/>
      <c r="R334" s="26"/>
      <c r="T334" s="27"/>
      <c r="V334" s="27"/>
      <c r="X334" s="27"/>
      <c r="Z334" s="27"/>
      <c r="AB334" s="27"/>
      <c r="AC334" s="29"/>
      <c r="AD334" s="26"/>
      <c r="AF334" s="27"/>
      <c r="AH334" s="27"/>
      <c r="AJ334" s="27"/>
      <c r="AL334" s="27"/>
      <c r="AN334" s="27"/>
      <c r="AO334" s="29"/>
      <c r="AP334" s="45">
        <f t="shared" si="7"/>
        <v>0</v>
      </c>
      <c r="AQ334" s="41">
        <f t="shared" si="2"/>
        <v>0</v>
      </c>
      <c r="AR334" s="41">
        <f t="shared" si="3"/>
        <v>0</v>
      </c>
      <c r="AS334" s="41">
        <f t="shared" si="4"/>
        <v>0</v>
      </c>
      <c r="AT334" s="46" t="str">
        <f t="shared" si="5"/>
        <v/>
      </c>
      <c r="AU334" s="37"/>
      <c r="AV334" s="37"/>
      <c r="AW334" s="37"/>
      <c r="AX334" s="37"/>
      <c r="AY334" s="37"/>
    </row>
    <row r="335" ht="15.75" customHeight="1">
      <c r="A335" s="39" t="s">
        <v>29</v>
      </c>
      <c r="B335" s="40">
        <f t="shared" si="6"/>
        <v>44895</v>
      </c>
      <c r="C335" s="41">
        <v>12.0</v>
      </c>
      <c r="D335" s="41" t="s">
        <v>35</v>
      </c>
      <c r="E335" s="43" t="s">
        <v>26</v>
      </c>
      <c r="F335" s="26"/>
      <c r="H335" s="27"/>
      <c r="J335" s="27"/>
      <c r="L335" s="27"/>
      <c r="N335" s="27"/>
      <c r="P335" s="27"/>
      <c r="Q335" s="29"/>
      <c r="R335" s="26"/>
      <c r="T335" s="27"/>
      <c r="V335" s="27"/>
      <c r="X335" s="27"/>
      <c r="Z335" s="27"/>
      <c r="AB335" s="27"/>
      <c r="AC335" s="29"/>
      <c r="AD335" s="26"/>
      <c r="AF335" s="27"/>
      <c r="AH335" s="27"/>
      <c r="AJ335" s="27"/>
      <c r="AL335" s="27"/>
      <c r="AN335" s="27"/>
      <c r="AO335" s="29"/>
      <c r="AP335" s="45">
        <f t="shared" si="7"/>
        <v>0</v>
      </c>
      <c r="AQ335" s="41">
        <f t="shared" si="2"/>
        <v>0</v>
      </c>
      <c r="AR335" s="41">
        <f t="shared" si="3"/>
        <v>0</v>
      </c>
      <c r="AS335" s="41">
        <f t="shared" si="4"/>
        <v>0</v>
      </c>
      <c r="AT335" s="46" t="str">
        <f t="shared" si="5"/>
        <v/>
      </c>
      <c r="AU335" s="37"/>
      <c r="AV335" s="37"/>
      <c r="AW335" s="37"/>
      <c r="AX335" s="37"/>
      <c r="AY335" s="37"/>
    </row>
    <row r="336" ht="15.75" customHeight="1">
      <c r="A336" s="39" t="s">
        <v>30</v>
      </c>
      <c r="B336" s="40">
        <f t="shared" si="6"/>
        <v>44896</v>
      </c>
      <c r="C336" s="41">
        <v>12.0</v>
      </c>
      <c r="D336" s="41" t="s">
        <v>35</v>
      </c>
      <c r="E336" s="43" t="s">
        <v>26</v>
      </c>
      <c r="F336" s="26"/>
      <c r="H336" s="27"/>
      <c r="J336" s="27"/>
      <c r="L336" s="27"/>
      <c r="N336" s="27"/>
      <c r="P336" s="27"/>
      <c r="Q336" s="29"/>
      <c r="R336" s="26"/>
      <c r="T336" s="27"/>
      <c r="V336" s="27"/>
      <c r="X336" s="27"/>
      <c r="Z336" s="27"/>
      <c r="AB336" s="27"/>
      <c r="AC336" s="29"/>
      <c r="AD336" s="26"/>
      <c r="AF336" s="27"/>
      <c r="AH336" s="27"/>
      <c r="AJ336" s="27"/>
      <c r="AL336" s="27"/>
      <c r="AN336" s="27"/>
      <c r="AO336" s="29"/>
      <c r="AP336" s="45">
        <f t="shared" si="7"/>
        <v>0</v>
      </c>
      <c r="AQ336" s="41">
        <f t="shared" si="2"/>
        <v>0</v>
      </c>
      <c r="AR336" s="41">
        <f t="shared" si="3"/>
        <v>0</v>
      </c>
      <c r="AS336" s="41">
        <f t="shared" si="4"/>
        <v>0</v>
      </c>
      <c r="AT336" s="46" t="str">
        <f t="shared" si="5"/>
        <v/>
      </c>
      <c r="AU336" s="37"/>
      <c r="AV336" s="37"/>
      <c r="AW336" s="37"/>
      <c r="AX336" s="37"/>
      <c r="AY336" s="37"/>
    </row>
    <row r="337" ht="15.75" customHeight="1">
      <c r="A337" s="39" t="s">
        <v>31</v>
      </c>
      <c r="B337" s="40">
        <f t="shared" si="6"/>
        <v>44897</v>
      </c>
      <c r="C337" s="41">
        <v>12.0</v>
      </c>
      <c r="D337" s="41" t="s">
        <v>35</v>
      </c>
      <c r="E337" s="43" t="s">
        <v>26</v>
      </c>
      <c r="F337" s="26"/>
      <c r="H337" s="27"/>
      <c r="J337" s="27"/>
      <c r="L337" s="27"/>
      <c r="N337" s="27"/>
      <c r="P337" s="27"/>
      <c r="Q337" s="29"/>
      <c r="R337" s="26"/>
      <c r="T337" s="27"/>
      <c r="V337" s="27"/>
      <c r="X337" s="27"/>
      <c r="Z337" s="27"/>
      <c r="AB337" s="27"/>
      <c r="AC337" s="29"/>
      <c r="AD337" s="26"/>
      <c r="AF337" s="27"/>
      <c r="AH337" s="27"/>
      <c r="AJ337" s="27"/>
      <c r="AL337" s="27"/>
      <c r="AN337" s="27"/>
      <c r="AO337" s="29"/>
      <c r="AP337" s="45">
        <f t="shared" si="7"/>
        <v>0</v>
      </c>
      <c r="AQ337" s="41">
        <f t="shared" si="2"/>
        <v>0</v>
      </c>
      <c r="AR337" s="41">
        <f t="shared" si="3"/>
        <v>0</v>
      </c>
      <c r="AS337" s="41">
        <f t="shared" si="4"/>
        <v>0</v>
      </c>
      <c r="AT337" s="46" t="str">
        <f t="shared" si="5"/>
        <v/>
      </c>
      <c r="AU337" s="37"/>
      <c r="AV337" s="37"/>
      <c r="AW337" s="37"/>
      <c r="AX337" s="37"/>
      <c r="AY337" s="37"/>
    </row>
    <row r="338" ht="15.75" customHeight="1">
      <c r="A338" s="49" t="s">
        <v>32</v>
      </c>
      <c r="B338" s="50">
        <f t="shared" si="6"/>
        <v>44898</v>
      </c>
      <c r="C338" s="51">
        <v>12.0</v>
      </c>
      <c r="D338" s="51" t="s">
        <v>35</v>
      </c>
      <c r="E338" s="53" t="s">
        <v>26</v>
      </c>
      <c r="F338" s="54"/>
      <c r="G338" s="55"/>
      <c r="H338" s="56"/>
      <c r="I338" s="55"/>
      <c r="J338" s="56"/>
      <c r="K338" s="55"/>
      <c r="L338" s="56"/>
      <c r="M338" s="55"/>
      <c r="N338" s="56"/>
      <c r="O338" s="55"/>
      <c r="P338" s="56"/>
      <c r="Q338" s="58"/>
      <c r="R338" s="54"/>
      <c r="S338" s="55"/>
      <c r="T338" s="56"/>
      <c r="U338" s="55"/>
      <c r="V338" s="56"/>
      <c r="W338" s="55"/>
      <c r="X338" s="56"/>
      <c r="Y338" s="55"/>
      <c r="Z338" s="56"/>
      <c r="AA338" s="55"/>
      <c r="AB338" s="56"/>
      <c r="AC338" s="58"/>
      <c r="AD338" s="54"/>
      <c r="AE338" s="55"/>
      <c r="AF338" s="56"/>
      <c r="AG338" s="55"/>
      <c r="AH338" s="56"/>
      <c r="AI338" s="55"/>
      <c r="AJ338" s="56"/>
      <c r="AK338" s="55"/>
      <c r="AL338" s="56"/>
      <c r="AM338" s="55"/>
      <c r="AN338" s="56"/>
      <c r="AO338" s="58"/>
      <c r="AP338" s="60">
        <f t="shared" si="7"/>
        <v>0</v>
      </c>
      <c r="AQ338" s="51">
        <f t="shared" si="2"/>
        <v>0</v>
      </c>
      <c r="AR338" s="51">
        <f t="shared" si="3"/>
        <v>0</v>
      </c>
      <c r="AS338" s="51">
        <f t="shared" si="4"/>
        <v>0</v>
      </c>
      <c r="AT338" s="61" t="str">
        <f t="shared" si="5"/>
        <v/>
      </c>
      <c r="AU338" s="37"/>
      <c r="AV338" s="37"/>
      <c r="AW338" s="37"/>
      <c r="AX338" s="37"/>
      <c r="AY338" s="37"/>
    </row>
    <row r="339" ht="15.75" customHeight="1">
      <c r="A339" s="21" t="s">
        <v>24</v>
      </c>
      <c r="B339" s="62">
        <f t="shared" si="6"/>
        <v>44899</v>
      </c>
      <c r="C339" s="23">
        <v>13.0</v>
      </c>
      <c r="D339" s="23" t="s">
        <v>25</v>
      </c>
      <c r="E339" s="63" t="s">
        <v>26</v>
      </c>
      <c r="F339" s="26"/>
      <c r="H339" s="27"/>
      <c r="J339" s="27"/>
      <c r="L339" s="27"/>
      <c r="N339" s="27"/>
      <c r="P339" s="27"/>
      <c r="Q339" s="29"/>
      <c r="R339" s="26"/>
      <c r="T339" s="27"/>
      <c r="V339" s="27"/>
      <c r="X339" s="27"/>
      <c r="Z339" s="27"/>
      <c r="AB339" s="27"/>
      <c r="AC339" s="29"/>
      <c r="AD339" s="26"/>
      <c r="AF339" s="27"/>
      <c r="AH339" s="27"/>
      <c r="AJ339" s="27"/>
      <c r="AL339" s="27"/>
      <c r="AN339" s="27"/>
      <c r="AO339" s="29"/>
      <c r="AP339" s="35">
        <f t="shared" si="7"/>
        <v>0</v>
      </c>
      <c r="AQ339" s="23">
        <f t="shared" si="2"/>
        <v>0</v>
      </c>
      <c r="AR339" s="23">
        <f t="shared" si="3"/>
        <v>0</v>
      </c>
      <c r="AS339" s="23">
        <f t="shared" si="4"/>
        <v>0</v>
      </c>
      <c r="AT339" s="36" t="str">
        <f t="shared" si="5"/>
        <v/>
      </c>
      <c r="AU339" s="37"/>
      <c r="AV339" s="37"/>
      <c r="AW339" s="37"/>
      <c r="AX339" s="37"/>
      <c r="AY339" s="37"/>
    </row>
    <row r="340" ht="15.75" customHeight="1">
      <c r="A340" s="39" t="s">
        <v>27</v>
      </c>
      <c r="B340" s="40">
        <f t="shared" si="6"/>
        <v>44900</v>
      </c>
      <c r="C340" s="41">
        <v>13.0</v>
      </c>
      <c r="D340" s="41" t="s">
        <v>25</v>
      </c>
      <c r="E340" s="43" t="s">
        <v>26</v>
      </c>
      <c r="F340" s="26"/>
      <c r="H340" s="27"/>
      <c r="J340" s="27"/>
      <c r="L340" s="27"/>
      <c r="N340" s="27"/>
      <c r="P340" s="27"/>
      <c r="Q340" s="29"/>
      <c r="R340" s="26"/>
      <c r="T340" s="27"/>
      <c r="V340" s="27"/>
      <c r="X340" s="27"/>
      <c r="Z340" s="27"/>
      <c r="AB340" s="27"/>
      <c r="AC340" s="29"/>
      <c r="AD340" s="26"/>
      <c r="AF340" s="27"/>
      <c r="AH340" s="27"/>
      <c r="AJ340" s="27"/>
      <c r="AL340" s="27"/>
      <c r="AN340" s="27"/>
      <c r="AO340" s="29"/>
      <c r="AP340" s="45">
        <f t="shared" si="7"/>
        <v>0</v>
      </c>
      <c r="AQ340" s="41">
        <f t="shared" si="2"/>
        <v>0</v>
      </c>
      <c r="AR340" s="41">
        <f t="shared" si="3"/>
        <v>0</v>
      </c>
      <c r="AS340" s="41">
        <f t="shared" si="4"/>
        <v>0</v>
      </c>
      <c r="AT340" s="46" t="str">
        <f t="shared" si="5"/>
        <v/>
      </c>
      <c r="AU340" s="37"/>
      <c r="AV340" s="37"/>
      <c r="AW340" s="37"/>
      <c r="AX340" s="37"/>
      <c r="AY340" s="37"/>
    </row>
    <row r="341" ht="15.75" customHeight="1">
      <c r="A341" s="39" t="s">
        <v>28</v>
      </c>
      <c r="B341" s="40">
        <f t="shared" si="6"/>
        <v>44901</v>
      </c>
      <c r="C341" s="41">
        <v>13.0</v>
      </c>
      <c r="D341" s="41" t="s">
        <v>25</v>
      </c>
      <c r="E341" s="43" t="s">
        <v>26</v>
      </c>
      <c r="F341" s="26"/>
      <c r="H341" s="27"/>
      <c r="J341" s="27"/>
      <c r="L341" s="27"/>
      <c r="N341" s="27"/>
      <c r="P341" s="27"/>
      <c r="Q341" s="29"/>
      <c r="R341" s="26"/>
      <c r="T341" s="27"/>
      <c r="V341" s="27"/>
      <c r="X341" s="27"/>
      <c r="Z341" s="27"/>
      <c r="AB341" s="27"/>
      <c r="AC341" s="29"/>
      <c r="AD341" s="26"/>
      <c r="AF341" s="27"/>
      <c r="AH341" s="27"/>
      <c r="AJ341" s="27"/>
      <c r="AL341" s="27"/>
      <c r="AN341" s="27"/>
      <c r="AO341" s="29"/>
      <c r="AP341" s="45">
        <f t="shared" si="7"/>
        <v>0</v>
      </c>
      <c r="AQ341" s="41">
        <f t="shared" si="2"/>
        <v>0</v>
      </c>
      <c r="AR341" s="41">
        <f t="shared" si="3"/>
        <v>0</v>
      </c>
      <c r="AS341" s="41">
        <f t="shared" si="4"/>
        <v>0</v>
      </c>
      <c r="AT341" s="46" t="str">
        <f t="shared" si="5"/>
        <v/>
      </c>
      <c r="AU341" s="37"/>
      <c r="AV341" s="37"/>
      <c r="AW341" s="37"/>
      <c r="AX341" s="37"/>
      <c r="AY341" s="37"/>
    </row>
    <row r="342" ht="15.75" customHeight="1">
      <c r="A342" s="39" t="s">
        <v>29</v>
      </c>
      <c r="B342" s="40">
        <f t="shared" si="6"/>
        <v>44902</v>
      </c>
      <c r="C342" s="41">
        <v>13.0</v>
      </c>
      <c r="D342" s="41" t="s">
        <v>25</v>
      </c>
      <c r="E342" s="43" t="s">
        <v>26</v>
      </c>
      <c r="F342" s="26"/>
      <c r="H342" s="27"/>
      <c r="J342" s="27"/>
      <c r="L342" s="27"/>
      <c r="N342" s="27"/>
      <c r="P342" s="27"/>
      <c r="Q342" s="29"/>
      <c r="R342" s="26"/>
      <c r="T342" s="27"/>
      <c r="V342" s="27"/>
      <c r="X342" s="27"/>
      <c r="Z342" s="27"/>
      <c r="AB342" s="27"/>
      <c r="AC342" s="29"/>
      <c r="AD342" s="26"/>
      <c r="AF342" s="27"/>
      <c r="AH342" s="27"/>
      <c r="AJ342" s="27"/>
      <c r="AL342" s="27"/>
      <c r="AN342" s="27"/>
      <c r="AO342" s="29"/>
      <c r="AP342" s="45">
        <f t="shared" si="7"/>
        <v>0</v>
      </c>
      <c r="AQ342" s="41">
        <f t="shared" si="2"/>
        <v>0</v>
      </c>
      <c r="AR342" s="41">
        <f t="shared" si="3"/>
        <v>0</v>
      </c>
      <c r="AS342" s="41">
        <f t="shared" si="4"/>
        <v>0</v>
      </c>
      <c r="AT342" s="46" t="str">
        <f t="shared" si="5"/>
        <v/>
      </c>
      <c r="AU342" s="37"/>
      <c r="AV342" s="37"/>
      <c r="AW342" s="37"/>
      <c r="AX342" s="37"/>
      <c r="AY342" s="37"/>
    </row>
    <row r="343" ht="15.75" customHeight="1">
      <c r="A343" s="39" t="s">
        <v>30</v>
      </c>
      <c r="B343" s="40">
        <f t="shared" si="6"/>
        <v>44903</v>
      </c>
      <c r="C343" s="41">
        <v>13.0</v>
      </c>
      <c r="D343" s="41" t="s">
        <v>25</v>
      </c>
      <c r="E343" s="43" t="s">
        <v>26</v>
      </c>
      <c r="F343" s="26"/>
      <c r="H343" s="27"/>
      <c r="J343" s="27"/>
      <c r="L343" s="27"/>
      <c r="N343" s="27"/>
      <c r="P343" s="27"/>
      <c r="Q343" s="29"/>
      <c r="R343" s="26"/>
      <c r="T343" s="27"/>
      <c r="V343" s="27"/>
      <c r="X343" s="27"/>
      <c r="Z343" s="27"/>
      <c r="AB343" s="27"/>
      <c r="AC343" s="29"/>
      <c r="AD343" s="26"/>
      <c r="AF343" s="27"/>
      <c r="AH343" s="27"/>
      <c r="AJ343" s="27"/>
      <c r="AL343" s="27"/>
      <c r="AN343" s="27"/>
      <c r="AO343" s="29"/>
      <c r="AP343" s="45">
        <f t="shared" si="7"/>
        <v>0</v>
      </c>
      <c r="AQ343" s="41">
        <f t="shared" si="2"/>
        <v>0</v>
      </c>
      <c r="AR343" s="41">
        <f t="shared" si="3"/>
        <v>0</v>
      </c>
      <c r="AS343" s="41">
        <f t="shared" si="4"/>
        <v>0</v>
      </c>
      <c r="AT343" s="46" t="str">
        <f t="shared" si="5"/>
        <v/>
      </c>
      <c r="AU343" s="37"/>
      <c r="AV343" s="37"/>
      <c r="AW343" s="37"/>
      <c r="AX343" s="37"/>
      <c r="AY343" s="37"/>
    </row>
    <row r="344" ht="15.75" customHeight="1">
      <c r="A344" s="39" t="s">
        <v>31</v>
      </c>
      <c r="B344" s="40">
        <f t="shared" si="6"/>
        <v>44904</v>
      </c>
      <c r="C344" s="41">
        <v>13.0</v>
      </c>
      <c r="D344" s="41" t="s">
        <v>25</v>
      </c>
      <c r="E344" s="43" t="s">
        <v>26</v>
      </c>
      <c r="F344" s="26"/>
      <c r="H344" s="27"/>
      <c r="J344" s="27"/>
      <c r="L344" s="27"/>
      <c r="N344" s="27"/>
      <c r="P344" s="27"/>
      <c r="Q344" s="29"/>
      <c r="R344" s="26"/>
      <c r="T344" s="27"/>
      <c r="V344" s="27"/>
      <c r="X344" s="27"/>
      <c r="Z344" s="27"/>
      <c r="AB344" s="27"/>
      <c r="AC344" s="29"/>
      <c r="AD344" s="26"/>
      <c r="AF344" s="27"/>
      <c r="AH344" s="27"/>
      <c r="AJ344" s="27"/>
      <c r="AL344" s="27"/>
      <c r="AN344" s="27"/>
      <c r="AO344" s="29"/>
      <c r="AP344" s="45">
        <f t="shared" si="7"/>
        <v>0</v>
      </c>
      <c r="AQ344" s="41">
        <f t="shared" si="2"/>
        <v>0</v>
      </c>
      <c r="AR344" s="41">
        <f t="shared" si="3"/>
        <v>0</v>
      </c>
      <c r="AS344" s="41">
        <f t="shared" si="4"/>
        <v>0</v>
      </c>
      <c r="AT344" s="46" t="str">
        <f t="shared" si="5"/>
        <v/>
      </c>
      <c r="AU344" s="37"/>
      <c r="AV344" s="37"/>
      <c r="AW344" s="37"/>
      <c r="AX344" s="37"/>
      <c r="AY344" s="37"/>
    </row>
    <row r="345" ht="15.75" customHeight="1">
      <c r="A345" s="49" t="s">
        <v>32</v>
      </c>
      <c r="B345" s="50">
        <f t="shared" si="6"/>
        <v>44905</v>
      </c>
      <c r="C345" s="51">
        <v>13.0</v>
      </c>
      <c r="D345" s="51" t="s">
        <v>25</v>
      </c>
      <c r="E345" s="53" t="s">
        <v>26</v>
      </c>
      <c r="F345" s="54"/>
      <c r="G345" s="55"/>
      <c r="H345" s="56"/>
      <c r="I345" s="55"/>
      <c r="J345" s="56"/>
      <c r="K345" s="55"/>
      <c r="L345" s="56"/>
      <c r="M345" s="55"/>
      <c r="N345" s="56"/>
      <c r="O345" s="55"/>
      <c r="P345" s="56"/>
      <c r="Q345" s="58"/>
      <c r="R345" s="54"/>
      <c r="S345" s="55"/>
      <c r="T345" s="56"/>
      <c r="U345" s="55"/>
      <c r="V345" s="56"/>
      <c r="W345" s="55"/>
      <c r="X345" s="56"/>
      <c r="Y345" s="55"/>
      <c r="Z345" s="56"/>
      <c r="AA345" s="55"/>
      <c r="AB345" s="56"/>
      <c r="AC345" s="58"/>
      <c r="AD345" s="54"/>
      <c r="AE345" s="55"/>
      <c r="AF345" s="56"/>
      <c r="AG345" s="55"/>
      <c r="AH345" s="56"/>
      <c r="AI345" s="55"/>
      <c r="AJ345" s="56"/>
      <c r="AK345" s="55"/>
      <c r="AL345" s="56"/>
      <c r="AM345" s="55"/>
      <c r="AN345" s="56"/>
      <c r="AO345" s="58"/>
      <c r="AP345" s="60">
        <f t="shared" si="7"/>
        <v>0</v>
      </c>
      <c r="AQ345" s="51">
        <f t="shared" si="2"/>
        <v>0</v>
      </c>
      <c r="AR345" s="51">
        <f t="shared" si="3"/>
        <v>0</v>
      </c>
      <c r="AS345" s="51">
        <f t="shared" si="4"/>
        <v>0</v>
      </c>
      <c r="AT345" s="61" t="str">
        <f t="shared" si="5"/>
        <v/>
      </c>
      <c r="AU345" s="37"/>
      <c r="AV345" s="37"/>
      <c r="AW345" s="37"/>
      <c r="AX345" s="37"/>
      <c r="AY345" s="37"/>
    </row>
    <row r="346" ht="15.75" customHeight="1">
      <c r="A346" s="21" t="s">
        <v>24</v>
      </c>
      <c r="B346" s="62">
        <f t="shared" si="6"/>
        <v>44906</v>
      </c>
      <c r="C346" s="23">
        <v>13.0</v>
      </c>
      <c r="D346" s="23" t="s">
        <v>33</v>
      </c>
      <c r="E346" s="63" t="s">
        <v>26</v>
      </c>
      <c r="F346" s="26"/>
      <c r="H346" s="27"/>
      <c r="J346" s="27"/>
      <c r="L346" s="27"/>
      <c r="N346" s="27"/>
      <c r="P346" s="27"/>
      <c r="Q346" s="29"/>
      <c r="R346" s="26"/>
      <c r="T346" s="27"/>
      <c r="V346" s="27"/>
      <c r="X346" s="27"/>
      <c r="Z346" s="27"/>
      <c r="AB346" s="27"/>
      <c r="AC346" s="29"/>
      <c r="AD346" s="26"/>
      <c r="AF346" s="27"/>
      <c r="AH346" s="27"/>
      <c r="AJ346" s="27"/>
      <c r="AL346" s="27"/>
      <c r="AN346" s="27"/>
      <c r="AO346" s="29"/>
      <c r="AP346" s="35">
        <f t="shared" si="7"/>
        <v>0</v>
      </c>
      <c r="AQ346" s="23">
        <f t="shared" si="2"/>
        <v>0</v>
      </c>
      <c r="AR346" s="23">
        <f t="shared" si="3"/>
        <v>0</v>
      </c>
      <c r="AS346" s="23">
        <f t="shared" si="4"/>
        <v>0</v>
      </c>
      <c r="AT346" s="36" t="str">
        <f t="shared" si="5"/>
        <v/>
      </c>
      <c r="AU346" s="37"/>
      <c r="AV346" s="37"/>
      <c r="AW346" s="37"/>
      <c r="AX346" s="37"/>
      <c r="AY346" s="37"/>
    </row>
    <row r="347" ht="15.75" customHeight="1">
      <c r="A347" s="39" t="s">
        <v>27</v>
      </c>
      <c r="B347" s="40">
        <f t="shared" si="6"/>
        <v>44907</v>
      </c>
      <c r="C347" s="41">
        <v>13.0</v>
      </c>
      <c r="D347" s="41" t="s">
        <v>33</v>
      </c>
      <c r="E347" s="43" t="s">
        <v>26</v>
      </c>
      <c r="F347" s="26"/>
      <c r="H347" s="27"/>
      <c r="J347" s="27"/>
      <c r="L347" s="27"/>
      <c r="N347" s="27"/>
      <c r="P347" s="27"/>
      <c r="Q347" s="29"/>
      <c r="R347" s="26"/>
      <c r="T347" s="27"/>
      <c r="V347" s="27"/>
      <c r="X347" s="27"/>
      <c r="Z347" s="27"/>
      <c r="AB347" s="27"/>
      <c r="AC347" s="29"/>
      <c r="AD347" s="26"/>
      <c r="AF347" s="27"/>
      <c r="AH347" s="27"/>
      <c r="AJ347" s="27"/>
      <c r="AL347" s="27"/>
      <c r="AN347" s="27"/>
      <c r="AO347" s="29"/>
      <c r="AP347" s="45">
        <f t="shared" si="7"/>
        <v>0</v>
      </c>
      <c r="AQ347" s="41">
        <f t="shared" si="2"/>
        <v>0</v>
      </c>
      <c r="AR347" s="41">
        <f t="shared" si="3"/>
        <v>0</v>
      </c>
      <c r="AS347" s="41">
        <f t="shared" si="4"/>
        <v>0</v>
      </c>
      <c r="AT347" s="46" t="str">
        <f t="shared" si="5"/>
        <v/>
      </c>
      <c r="AU347" s="37"/>
      <c r="AV347" s="37"/>
      <c r="AW347" s="37"/>
      <c r="AX347" s="37"/>
      <c r="AY347" s="37"/>
    </row>
    <row r="348" ht="15.75" customHeight="1">
      <c r="A348" s="39" t="s">
        <v>28</v>
      </c>
      <c r="B348" s="40">
        <f t="shared" si="6"/>
        <v>44908</v>
      </c>
      <c r="C348" s="41">
        <v>13.0</v>
      </c>
      <c r="D348" s="41" t="s">
        <v>33</v>
      </c>
      <c r="E348" s="43" t="s">
        <v>26</v>
      </c>
      <c r="F348" s="26"/>
      <c r="H348" s="27"/>
      <c r="J348" s="27"/>
      <c r="L348" s="27"/>
      <c r="N348" s="27"/>
      <c r="P348" s="27"/>
      <c r="Q348" s="29"/>
      <c r="R348" s="26"/>
      <c r="T348" s="27"/>
      <c r="V348" s="27"/>
      <c r="X348" s="27"/>
      <c r="Z348" s="27"/>
      <c r="AB348" s="27"/>
      <c r="AC348" s="29"/>
      <c r="AD348" s="26"/>
      <c r="AF348" s="27"/>
      <c r="AH348" s="27"/>
      <c r="AJ348" s="27"/>
      <c r="AL348" s="27"/>
      <c r="AN348" s="27"/>
      <c r="AO348" s="29"/>
      <c r="AP348" s="45">
        <f t="shared" si="7"/>
        <v>0</v>
      </c>
      <c r="AQ348" s="41">
        <f t="shared" si="2"/>
        <v>0</v>
      </c>
      <c r="AR348" s="41">
        <f t="shared" si="3"/>
        <v>0</v>
      </c>
      <c r="AS348" s="41">
        <f t="shared" si="4"/>
        <v>0</v>
      </c>
      <c r="AT348" s="46" t="str">
        <f t="shared" si="5"/>
        <v/>
      </c>
      <c r="AU348" s="37"/>
      <c r="AV348" s="37"/>
      <c r="AW348" s="37"/>
      <c r="AX348" s="37"/>
      <c r="AY348" s="37"/>
    </row>
    <row r="349" ht="15.75" customHeight="1">
      <c r="A349" s="39" t="s">
        <v>29</v>
      </c>
      <c r="B349" s="40">
        <f t="shared" si="6"/>
        <v>44909</v>
      </c>
      <c r="C349" s="41">
        <v>13.0</v>
      </c>
      <c r="D349" s="41" t="s">
        <v>33</v>
      </c>
      <c r="E349" s="43" t="s">
        <v>26</v>
      </c>
      <c r="F349" s="26"/>
      <c r="H349" s="27"/>
      <c r="J349" s="27"/>
      <c r="L349" s="27"/>
      <c r="N349" s="27"/>
      <c r="P349" s="27"/>
      <c r="Q349" s="29"/>
      <c r="R349" s="26"/>
      <c r="T349" s="27"/>
      <c r="V349" s="27"/>
      <c r="X349" s="27"/>
      <c r="Z349" s="27"/>
      <c r="AB349" s="27"/>
      <c r="AC349" s="29"/>
      <c r="AD349" s="26"/>
      <c r="AF349" s="27"/>
      <c r="AH349" s="27"/>
      <c r="AJ349" s="27"/>
      <c r="AL349" s="27"/>
      <c r="AN349" s="27"/>
      <c r="AO349" s="29"/>
      <c r="AP349" s="45">
        <f t="shared" si="7"/>
        <v>0</v>
      </c>
      <c r="AQ349" s="41">
        <f t="shared" si="2"/>
        <v>0</v>
      </c>
      <c r="AR349" s="41">
        <f t="shared" si="3"/>
        <v>0</v>
      </c>
      <c r="AS349" s="41">
        <f t="shared" si="4"/>
        <v>0</v>
      </c>
      <c r="AT349" s="46" t="str">
        <f t="shared" si="5"/>
        <v/>
      </c>
      <c r="AU349" s="37"/>
      <c r="AV349" s="37"/>
      <c r="AW349" s="37"/>
      <c r="AX349" s="37"/>
      <c r="AY349" s="37"/>
    </row>
    <row r="350" ht="15.75" customHeight="1">
      <c r="A350" s="39" t="s">
        <v>30</v>
      </c>
      <c r="B350" s="40">
        <f t="shared" si="6"/>
        <v>44910</v>
      </c>
      <c r="C350" s="41">
        <v>13.0</v>
      </c>
      <c r="D350" s="41" t="s">
        <v>33</v>
      </c>
      <c r="E350" s="43" t="s">
        <v>26</v>
      </c>
      <c r="F350" s="26"/>
      <c r="H350" s="27"/>
      <c r="J350" s="27"/>
      <c r="L350" s="27"/>
      <c r="N350" s="27"/>
      <c r="P350" s="27"/>
      <c r="Q350" s="29"/>
      <c r="R350" s="26"/>
      <c r="T350" s="27"/>
      <c r="V350" s="27"/>
      <c r="X350" s="27"/>
      <c r="Z350" s="27"/>
      <c r="AB350" s="27"/>
      <c r="AC350" s="29"/>
      <c r="AD350" s="26"/>
      <c r="AF350" s="27"/>
      <c r="AH350" s="27"/>
      <c r="AJ350" s="27"/>
      <c r="AL350" s="27"/>
      <c r="AN350" s="27"/>
      <c r="AO350" s="29"/>
      <c r="AP350" s="45">
        <f t="shared" si="7"/>
        <v>0</v>
      </c>
      <c r="AQ350" s="41">
        <f t="shared" si="2"/>
        <v>0</v>
      </c>
      <c r="AR350" s="41">
        <f t="shared" si="3"/>
        <v>0</v>
      </c>
      <c r="AS350" s="41">
        <f t="shared" si="4"/>
        <v>0</v>
      </c>
      <c r="AT350" s="46" t="str">
        <f t="shared" si="5"/>
        <v/>
      </c>
      <c r="AU350" s="37"/>
      <c r="AV350" s="37"/>
      <c r="AW350" s="37"/>
      <c r="AX350" s="37"/>
      <c r="AY350" s="37"/>
    </row>
    <row r="351" ht="15.75" customHeight="1">
      <c r="A351" s="39" t="s">
        <v>31</v>
      </c>
      <c r="B351" s="40">
        <f t="shared" si="6"/>
        <v>44911</v>
      </c>
      <c r="C351" s="41">
        <v>13.0</v>
      </c>
      <c r="D351" s="41" t="s">
        <v>33</v>
      </c>
      <c r="E351" s="43" t="s">
        <v>26</v>
      </c>
      <c r="F351" s="26"/>
      <c r="H351" s="27"/>
      <c r="J351" s="27"/>
      <c r="L351" s="27"/>
      <c r="N351" s="27"/>
      <c r="P351" s="27"/>
      <c r="Q351" s="29"/>
      <c r="R351" s="26"/>
      <c r="T351" s="27"/>
      <c r="V351" s="27"/>
      <c r="X351" s="27"/>
      <c r="Z351" s="27"/>
      <c r="AB351" s="27"/>
      <c r="AC351" s="29"/>
      <c r="AD351" s="26"/>
      <c r="AF351" s="27"/>
      <c r="AH351" s="27"/>
      <c r="AJ351" s="27"/>
      <c r="AL351" s="27"/>
      <c r="AN351" s="27"/>
      <c r="AO351" s="29"/>
      <c r="AP351" s="45">
        <f t="shared" si="7"/>
        <v>0</v>
      </c>
      <c r="AQ351" s="41">
        <f t="shared" si="2"/>
        <v>0</v>
      </c>
      <c r="AR351" s="41">
        <f t="shared" si="3"/>
        <v>0</v>
      </c>
      <c r="AS351" s="41">
        <f t="shared" si="4"/>
        <v>0</v>
      </c>
      <c r="AT351" s="46" t="str">
        <f t="shared" si="5"/>
        <v/>
      </c>
      <c r="AU351" s="37"/>
      <c r="AV351" s="37"/>
      <c r="AW351" s="37"/>
      <c r="AX351" s="37"/>
      <c r="AY351" s="37"/>
    </row>
    <row r="352" ht="15.75" customHeight="1">
      <c r="A352" s="49" t="s">
        <v>32</v>
      </c>
      <c r="B352" s="50">
        <f t="shared" si="6"/>
        <v>44912</v>
      </c>
      <c r="C352" s="51">
        <v>13.0</v>
      </c>
      <c r="D352" s="51" t="s">
        <v>33</v>
      </c>
      <c r="E352" s="53" t="s">
        <v>26</v>
      </c>
      <c r="F352" s="54"/>
      <c r="G352" s="55"/>
      <c r="H352" s="56"/>
      <c r="I352" s="55"/>
      <c r="J352" s="56"/>
      <c r="K352" s="55"/>
      <c r="L352" s="56"/>
      <c r="M352" s="55"/>
      <c r="N352" s="56"/>
      <c r="O352" s="55"/>
      <c r="P352" s="56"/>
      <c r="Q352" s="58"/>
      <c r="R352" s="54"/>
      <c r="S352" s="55"/>
      <c r="T352" s="56"/>
      <c r="U352" s="55"/>
      <c r="V352" s="56"/>
      <c r="W352" s="55"/>
      <c r="X352" s="56"/>
      <c r="Y352" s="55"/>
      <c r="Z352" s="56"/>
      <c r="AA352" s="55"/>
      <c r="AB352" s="56"/>
      <c r="AC352" s="58"/>
      <c r="AD352" s="54"/>
      <c r="AE352" s="55"/>
      <c r="AF352" s="56"/>
      <c r="AG352" s="55"/>
      <c r="AH352" s="56"/>
      <c r="AI352" s="55"/>
      <c r="AJ352" s="56"/>
      <c r="AK352" s="55"/>
      <c r="AL352" s="56"/>
      <c r="AM352" s="55"/>
      <c r="AN352" s="56"/>
      <c r="AO352" s="58"/>
      <c r="AP352" s="60">
        <f t="shared" si="7"/>
        <v>0</v>
      </c>
      <c r="AQ352" s="51">
        <f t="shared" si="2"/>
        <v>0</v>
      </c>
      <c r="AR352" s="51">
        <f t="shared" si="3"/>
        <v>0</v>
      </c>
      <c r="AS352" s="51">
        <f t="shared" si="4"/>
        <v>0</v>
      </c>
      <c r="AT352" s="61" t="str">
        <f t="shared" si="5"/>
        <v/>
      </c>
      <c r="AU352" s="37"/>
      <c r="AV352" s="37"/>
      <c r="AW352" s="37"/>
      <c r="AX352" s="37"/>
      <c r="AY352" s="37"/>
    </row>
    <row r="353" ht="15.75" customHeight="1">
      <c r="A353" s="21" t="s">
        <v>24</v>
      </c>
      <c r="B353" s="62">
        <f t="shared" si="6"/>
        <v>44913</v>
      </c>
      <c r="C353" s="23">
        <v>13.0</v>
      </c>
      <c r="D353" s="23" t="s">
        <v>34</v>
      </c>
      <c r="E353" s="63" t="s">
        <v>43</v>
      </c>
      <c r="F353" s="26"/>
      <c r="H353" s="27"/>
      <c r="J353" s="27"/>
      <c r="L353" s="27"/>
      <c r="N353" s="27"/>
      <c r="P353" s="27"/>
      <c r="Q353" s="29"/>
      <c r="R353" s="26"/>
      <c r="T353" s="27"/>
      <c r="V353" s="27"/>
      <c r="X353" s="27"/>
      <c r="Z353" s="27"/>
      <c r="AB353" s="27"/>
      <c r="AC353" s="29"/>
      <c r="AD353" s="26"/>
      <c r="AF353" s="27"/>
      <c r="AH353" s="27"/>
      <c r="AJ353" s="27"/>
      <c r="AL353" s="27"/>
      <c r="AN353" s="27"/>
      <c r="AO353" s="29"/>
      <c r="AP353" s="35">
        <f t="shared" si="7"/>
        <v>0</v>
      </c>
      <c r="AQ353" s="23">
        <f t="shared" si="2"/>
        <v>0</v>
      </c>
      <c r="AR353" s="23">
        <f t="shared" si="3"/>
        <v>0</v>
      </c>
      <c r="AS353" s="23">
        <f t="shared" si="4"/>
        <v>0</v>
      </c>
      <c r="AT353" s="36" t="str">
        <f t="shared" si="5"/>
        <v/>
      </c>
      <c r="AU353" s="37"/>
      <c r="AV353" s="37"/>
      <c r="AW353" s="37"/>
      <c r="AX353" s="37"/>
      <c r="AY353" s="37"/>
    </row>
    <row r="354" ht="15.75" customHeight="1">
      <c r="A354" s="39" t="s">
        <v>27</v>
      </c>
      <c r="B354" s="40">
        <f t="shared" si="6"/>
        <v>44914</v>
      </c>
      <c r="C354" s="41">
        <v>13.0</v>
      </c>
      <c r="D354" s="41" t="s">
        <v>34</v>
      </c>
      <c r="E354" s="43" t="s">
        <v>43</v>
      </c>
      <c r="F354" s="26"/>
      <c r="H354" s="27"/>
      <c r="J354" s="27"/>
      <c r="L354" s="27"/>
      <c r="N354" s="27"/>
      <c r="P354" s="27"/>
      <c r="Q354" s="29"/>
      <c r="R354" s="26"/>
      <c r="T354" s="27"/>
      <c r="V354" s="27"/>
      <c r="X354" s="27"/>
      <c r="Z354" s="27"/>
      <c r="AB354" s="27"/>
      <c r="AC354" s="29"/>
      <c r="AD354" s="26"/>
      <c r="AF354" s="27"/>
      <c r="AH354" s="27"/>
      <c r="AJ354" s="27"/>
      <c r="AL354" s="27"/>
      <c r="AN354" s="27"/>
      <c r="AO354" s="29"/>
      <c r="AP354" s="45">
        <f t="shared" si="7"/>
        <v>0</v>
      </c>
      <c r="AQ354" s="41">
        <f t="shared" si="2"/>
        <v>0</v>
      </c>
      <c r="AR354" s="41">
        <f t="shared" si="3"/>
        <v>0</v>
      </c>
      <c r="AS354" s="41">
        <f t="shared" si="4"/>
        <v>0</v>
      </c>
      <c r="AT354" s="46" t="str">
        <f t="shared" si="5"/>
        <v/>
      </c>
      <c r="AU354" s="37"/>
      <c r="AV354" s="37"/>
      <c r="AW354" s="37"/>
      <c r="AX354" s="37"/>
      <c r="AY354" s="37"/>
    </row>
    <row r="355" ht="15.75" customHeight="1">
      <c r="A355" s="39" t="s">
        <v>28</v>
      </c>
      <c r="B355" s="40">
        <f t="shared" si="6"/>
        <v>44915</v>
      </c>
      <c r="C355" s="41">
        <v>13.0</v>
      </c>
      <c r="D355" s="41" t="s">
        <v>34</v>
      </c>
      <c r="E355" s="43" t="s">
        <v>43</v>
      </c>
      <c r="F355" s="26"/>
      <c r="H355" s="27"/>
      <c r="J355" s="27"/>
      <c r="L355" s="27"/>
      <c r="N355" s="27"/>
      <c r="P355" s="27"/>
      <c r="Q355" s="29"/>
      <c r="R355" s="26"/>
      <c r="T355" s="27"/>
      <c r="V355" s="27"/>
      <c r="X355" s="27"/>
      <c r="Z355" s="27"/>
      <c r="AB355" s="27"/>
      <c r="AC355" s="29"/>
      <c r="AD355" s="26"/>
      <c r="AF355" s="27"/>
      <c r="AH355" s="27"/>
      <c r="AJ355" s="27"/>
      <c r="AL355" s="27"/>
      <c r="AN355" s="27"/>
      <c r="AO355" s="29"/>
      <c r="AP355" s="45">
        <f t="shared" si="7"/>
        <v>0</v>
      </c>
      <c r="AQ355" s="41">
        <f t="shared" si="2"/>
        <v>0</v>
      </c>
      <c r="AR355" s="41">
        <f t="shared" si="3"/>
        <v>0</v>
      </c>
      <c r="AS355" s="41">
        <f t="shared" si="4"/>
        <v>0</v>
      </c>
      <c r="AT355" s="46" t="str">
        <f t="shared" si="5"/>
        <v/>
      </c>
      <c r="AU355" s="37"/>
      <c r="AV355" s="37"/>
      <c r="AW355" s="37"/>
      <c r="AX355" s="37"/>
      <c r="AY355" s="37"/>
    </row>
    <row r="356" ht="15.75" customHeight="1">
      <c r="A356" s="39" t="s">
        <v>29</v>
      </c>
      <c r="B356" s="40">
        <f t="shared" si="6"/>
        <v>44916</v>
      </c>
      <c r="C356" s="41">
        <v>13.0</v>
      </c>
      <c r="D356" s="41" t="s">
        <v>34</v>
      </c>
      <c r="E356" s="43" t="s">
        <v>43</v>
      </c>
      <c r="F356" s="26"/>
      <c r="H356" s="27"/>
      <c r="J356" s="27"/>
      <c r="L356" s="27"/>
      <c r="N356" s="27"/>
      <c r="P356" s="27"/>
      <c r="Q356" s="29"/>
      <c r="R356" s="26"/>
      <c r="T356" s="27"/>
      <c r="V356" s="27"/>
      <c r="X356" s="27"/>
      <c r="Z356" s="27"/>
      <c r="AB356" s="27"/>
      <c r="AC356" s="29"/>
      <c r="AD356" s="26"/>
      <c r="AF356" s="27"/>
      <c r="AH356" s="27"/>
      <c r="AJ356" s="27"/>
      <c r="AL356" s="27"/>
      <c r="AN356" s="27"/>
      <c r="AO356" s="29"/>
      <c r="AP356" s="45">
        <f t="shared" si="7"/>
        <v>0</v>
      </c>
      <c r="AQ356" s="41">
        <f t="shared" si="2"/>
        <v>0</v>
      </c>
      <c r="AR356" s="41">
        <f t="shared" si="3"/>
        <v>0</v>
      </c>
      <c r="AS356" s="41">
        <f t="shared" si="4"/>
        <v>0</v>
      </c>
      <c r="AT356" s="46" t="str">
        <f t="shared" si="5"/>
        <v/>
      </c>
      <c r="AU356" s="37"/>
      <c r="AV356" s="37"/>
      <c r="AW356" s="37"/>
      <c r="AX356" s="37"/>
      <c r="AY356" s="37"/>
    </row>
    <row r="357" ht="15.75" customHeight="1">
      <c r="A357" s="39" t="s">
        <v>30</v>
      </c>
      <c r="B357" s="40">
        <f t="shared" si="6"/>
        <v>44917</v>
      </c>
      <c r="C357" s="41">
        <v>13.0</v>
      </c>
      <c r="D357" s="41" t="s">
        <v>34</v>
      </c>
      <c r="E357" s="43" t="s">
        <v>43</v>
      </c>
      <c r="F357" s="26"/>
      <c r="H357" s="27"/>
      <c r="J357" s="27"/>
      <c r="L357" s="27"/>
      <c r="N357" s="27"/>
      <c r="P357" s="27"/>
      <c r="Q357" s="29"/>
      <c r="R357" s="26"/>
      <c r="T357" s="27"/>
      <c r="V357" s="27"/>
      <c r="X357" s="27"/>
      <c r="Z357" s="27"/>
      <c r="AB357" s="27"/>
      <c r="AC357" s="29"/>
      <c r="AD357" s="26"/>
      <c r="AF357" s="27"/>
      <c r="AH357" s="27"/>
      <c r="AJ357" s="27"/>
      <c r="AL357" s="27"/>
      <c r="AN357" s="27"/>
      <c r="AO357" s="29"/>
      <c r="AP357" s="45">
        <f t="shared" si="7"/>
        <v>0</v>
      </c>
      <c r="AQ357" s="41">
        <f t="shared" si="2"/>
        <v>0</v>
      </c>
      <c r="AR357" s="41">
        <f t="shared" si="3"/>
        <v>0</v>
      </c>
      <c r="AS357" s="41">
        <f t="shared" si="4"/>
        <v>0</v>
      </c>
      <c r="AT357" s="46" t="str">
        <f t="shared" si="5"/>
        <v/>
      </c>
      <c r="AU357" s="37"/>
      <c r="AV357" s="37"/>
      <c r="AW357" s="37"/>
      <c r="AX357" s="37"/>
      <c r="AY357" s="37"/>
    </row>
    <row r="358" ht="15.75" customHeight="1">
      <c r="A358" s="39" t="s">
        <v>31</v>
      </c>
      <c r="B358" s="40">
        <f t="shared" si="6"/>
        <v>44918</v>
      </c>
      <c r="C358" s="41">
        <v>13.0</v>
      </c>
      <c r="D358" s="41" t="s">
        <v>34</v>
      </c>
      <c r="E358" s="43" t="s">
        <v>43</v>
      </c>
      <c r="F358" s="26"/>
      <c r="H358" s="27"/>
      <c r="J358" s="27"/>
      <c r="L358" s="27"/>
      <c r="N358" s="27"/>
      <c r="P358" s="27"/>
      <c r="Q358" s="29"/>
      <c r="R358" s="26"/>
      <c r="T358" s="27"/>
      <c r="V358" s="27"/>
      <c r="X358" s="27"/>
      <c r="Z358" s="27"/>
      <c r="AB358" s="27"/>
      <c r="AC358" s="29"/>
      <c r="AD358" s="26"/>
      <c r="AF358" s="27"/>
      <c r="AH358" s="27"/>
      <c r="AJ358" s="27"/>
      <c r="AL358" s="27"/>
      <c r="AN358" s="27"/>
      <c r="AO358" s="29"/>
      <c r="AP358" s="45">
        <f t="shared" si="7"/>
        <v>0</v>
      </c>
      <c r="AQ358" s="41">
        <f t="shared" si="2"/>
        <v>0</v>
      </c>
      <c r="AR358" s="41">
        <f t="shared" si="3"/>
        <v>0</v>
      </c>
      <c r="AS358" s="41">
        <f t="shared" si="4"/>
        <v>0</v>
      </c>
      <c r="AT358" s="46" t="str">
        <f t="shared" si="5"/>
        <v/>
      </c>
      <c r="AU358" s="37"/>
      <c r="AV358" s="37"/>
      <c r="AW358" s="37"/>
      <c r="AX358" s="37"/>
      <c r="AY358" s="37"/>
    </row>
    <row r="359" ht="15.75" customHeight="1">
      <c r="A359" s="49" t="s">
        <v>32</v>
      </c>
      <c r="B359" s="50">
        <f t="shared" si="6"/>
        <v>44919</v>
      </c>
      <c r="C359" s="51">
        <v>13.0</v>
      </c>
      <c r="D359" s="51" t="s">
        <v>34</v>
      </c>
      <c r="E359" s="53" t="s">
        <v>43</v>
      </c>
      <c r="F359" s="54"/>
      <c r="G359" s="55"/>
      <c r="H359" s="56"/>
      <c r="I359" s="55"/>
      <c r="J359" s="56"/>
      <c r="K359" s="55"/>
      <c r="L359" s="56"/>
      <c r="M359" s="55"/>
      <c r="N359" s="56"/>
      <c r="O359" s="55"/>
      <c r="P359" s="56"/>
      <c r="Q359" s="58"/>
      <c r="R359" s="54"/>
      <c r="S359" s="55"/>
      <c r="T359" s="56"/>
      <c r="U359" s="55"/>
      <c r="V359" s="56"/>
      <c r="W359" s="55"/>
      <c r="X359" s="56"/>
      <c r="Y359" s="55"/>
      <c r="Z359" s="56"/>
      <c r="AA359" s="55"/>
      <c r="AB359" s="56"/>
      <c r="AC359" s="58"/>
      <c r="AD359" s="54"/>
      <c r="AE359" s="55"/>
      <c r="AF359" s="56"/>
      <c r="AG359" s="55"/>
      <c r="AH359" s="56"/>
      <c r="AI359" s="55"/>
      <c r="AJ359" s="56"/>
      <c r="AK359" s="55"/>
      <c r="AL359" s="56"/>
      <c r="AM359" s="55"/>
      <c r="AN359" s="56"/>
      <c r="AO359" s="58"/>
      <c r="AP359" s="60">
        <f t="shared" si="7"/>
        <v>0</v>
      </c>
      <c r="AQ359" s="51">
        <f t="shared" si="2"/>
        <v>0</v>
      </c>
      <c r="AR359" s="51">
        <f t="shared" si="3"/>
        <v>0</v>
      </c>
      <c r="AS359" s="51">
        <f t="shared" si="4"/>
        <v>0</v>
      </c>
      <c r="AT359" s="61" t="str">
        <f t="shared" si="5"/>
        <v/>
      </c>
      <c r="AU359" s="37"/>
      <c r="AV359" s="37"/>
      <c r="AW359" s="37"/>
      <c r="AX359" s="37"/>
      <c r="AY359" s="37"/>
    </row>
    <row r="360" ht="15.75" customHeight="1">
      <c r="A360" s="72"/>
      <c r="B360" s="73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</row>
    <row r="361" ht="15.75" customHeight="1">
      <c r="A361" s="72"/>
      <c r="B361" s="73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P361" s="75">
        <f>SUM(AP3:AP359)</f>
        <v>1204488</v>
      </c>
      <c r="AQ361" s="76" t="s">
        <v>44</v>
      </c>
      <c r="AR361" s="74"/>
      <c r="AS361" s="77">
        <f>SUM(AS3:AS359)</f>
        <v>84930</v>
      </c>
      <c r="AT361" s="74"/>
      <c r="AU361" s="74"/>
      <c r="AV361" s="74"/>
      <c r="AW361" s="74"/>
      <c r="AX361" s="74"/>
      <c r="AY361" s="74"/>
    </row>
    <row r="362" ht="15.75" customHeight="1">
      <c r="A362" s="72"/>
      <c r="B362" s="73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P362" s="78">
        <f>AP361/0.8</f>
        <v>1505610</v>
      </c>
      <c r="AQ362" s="76" t="s">
        <v>45</v>
      </c>
      <c r="AR362" s="74"/>
      <c r="AS362" s="74"/>
      <c r="AT362" s="74"/>
      <c r="AU362" s="74"/>
      <c r="AV362" s="74"/>
      <c r="AW362" s="74"/>
      <c r="AX362" s="74"/>
      <c r="AY362" s="74"/>
    </row>
    <row r="363" ht="15.75" customHeight="1">
      <c r="A363" s="79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8"/>
      <c r="AQ363" s="74"/>
      <c r="AR363" s="74"/>
      <c r="AS363" s="74"/>
      <c r="AT363" s="74"/>
      <c r="AU363" s="74"/>
      <c r="AV363" s="74"/>
      <c r="AW363" s="74"/>
      <c r="AX363" s="74"/>
      <c r="AY363" s="74"/>
    </row>
    <row r="364" ht="15.75" customHeight="1">
      <c r="A364" s="79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81"/>
      <c r="AP364" s="79"/>
      <c r="AQ364" s="79"/>
      <c r="AR364" s="79"/>
      <c r="AS364" s="74"/>
      <c r="AT364" s="74"/>
      <c r="AU364" s="74"/>
      <c r="AV364" s="74"/>
      <c r="AW364" s="74"/>
      <c r="AX364" s="74"/>
      <c r="AY364" s="74"/>
    </row>
    <row r="365" ht="15.75" customHeight="1">
      <c r="A365" s="79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81"/>
      <c r="AP365" s="81" t="s">
        <v>46</v>
      </c>
      <c r="AQ365" s="79" t="s">
        <v>47</v>
      </c>
      <c r="AR365" s="79" t="s">
        <v>48</v>
      </c>
      <c r="AS365" s="79" t="s">
        <v>49</v>
      </c>
      <c r="AT365" s="80"/>
      <c r="AU365" s="74"/>
      <c r="AV365" s="74"/>
      <c r="AW365" s="74"/>
      <c r="AX365" s="74"/>
      <c r="AY365" s="74"/>
    </row>
    <row r="366" ht="15.75" customHeight="1">
      <c r="A366" s="79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1"/>
      <c r="W366" s="79"/>
      <c r="X366" s="79"/>
      <c r="Y366" s="79"/>
      <c r="Z366" s="80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81"/>
      <c r="AP366" s="81">
        <v>1.0</v>
      </c>
      <c r="AQ366" s="83">
        <f t="shared" ref="AQ366:AQ378" si="8">sumif($C$3:$C$359, AP366, $AP$3:$AP$359)</f>
        <v>43792</v>
      </c>
      <c r="AR366" s="81">
        <f>sum(R3:AC30)</f>
        <v>3220</v>
      </c>
      <c r="AS366" s="79">
        <v>0.0</v>
      </c>
      <c r="AT366" s="80"/>
      <c r="AU366" s="74"/>
      <c r="AV366" s="74"/>
      <c r="AW366" s="74"/>
      <c r="AX366" s="74"/>
      <c r="AY366" s="74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1"/>
      <c r="W367" s="83"/>
      <c r="X367" s="81"/>
      <c r="Y367" s="80"/>
      <c r="Z367" s="80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81"/>
      <c r="AP367" s="81">
        <v>2.0</v>
      </c>
      <c r="AQ367" s="83">
        <f t="shared" si="8"/>
        <v>194904</v>
      </c>
      <c r="AR367" s="81">
        <f>sum(R31:AC58)</f>
        <v>9150</v>
      </c>
      <c r="AS367" s="81">
        <f>sum(F31:Q58)</f>
        <v>2620</v>
      </c>
      <c r="AT367" s="80"/>
      <c r="AU367" s="74"/>
      <c r="AV367" s="74"/>
      <c r="AW367" s="74"/>
      <c r="AX367" s="74"/>
      <c r="AY367" s="74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1"/>
      <c r="W368" s="83"/>
      <c r="X368" s="81"/>
      <c r="Y368" s="81"/>
      <c r="Z368" s="80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81"/>
      <c r="AP368" s="81">
        <v>3.0</v>
      </c>
      <c r="AQ368" s="83">
        <f t="shared" si="8"/>
        <v>329484</v>
      </c>
      <c r="AR368" s="81">
        <f>sum(R59:AC86)</f>
        <v>16505</v>
      </c>
      <c r="AS368" s="81">
        <f>sum(F59:Q86)</f>
        <v>4230</v>
      </c>
      <c r="AT368" s="80"/>
      <c r="AU368" s="74"/>
      <c r="AV368" s="74"/>
      <c r="AW368" s="74"/>
      <c r="AX368" s="74"/>
      <c r="AY368" s="74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1"/>
      <c r="W369" s="83"/>
      <c r="X369" s="81"/>
      <c r="Y369" s="81"/>
      <c r="Z369" s="80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81"/>
      <c r="AP369" s="81">
        <v>4.0</v>
      </c>
      <c r="AQ369" s="83">
        <f t="shared" si="8"/>
        <v>103320</v>
      </c>
      <c r="AR369" s="81">
        <f>sum(R87:AC114)</f>
        <v>7950</v>
      </c>
      <c r="AS369" s="79">
        <v>0.0</v>
      </c>
      <c r="AT369" s="80"/>
      <c r="AU369" s="74"/>
      <c r="AV369" s="74"/>
      <c r="AW369" s="74"/>
      <c r="AX369" s="74"/>
      <c r="AY369" s="74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1"/>
      <c r="W370" s="83"/>
      <c r="X370" s="81"/>
      <c r="Y370" s="80"/>
      <c r="Z370" s="80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81"/>
      <c r="AP370" s="81">
        <v>5.0</v>
      </c>
      <c r="AQ370" s="83">
        <f t="shared" si="8"/>
        <v>77852</v>
      </c>
      <c r="AR370" s="81">
        <f>sum(R115:AC142)</f>
        <v>5795</v>
      </c>
      <c r="AS370" s="79">
        <v>0.0</v>
      </c>
      <c r="AT370" s="80"/>
      <c r="AU370" s="74"/>
      <c r="AV370" s="74"/>
      <c r="AW370" s="74"/>
      <c r="AX370" s="74"/>
      <c r="AY370" s="74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1"/>
      <c r="W371" s="83"/>
      <c r="X371" s="81"/>
      <c r="Y371" s="80"/>
      <c r="Z371" s="80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81"/>
      <c r="AP371" s="81">
        <v>6.0</v>
      </c>
      <c r="AQ371" s="83">
        <f t="shared" si="8"/>
        <v>87728</v>
      </c>
      <c r="AR371" s="81">
        <f>sum(R143:AC170)</f>
        <v>6780</v>
      </c>
      <c r="AS371" s="79">
        <v>0.0</v>
      </c>
      <c r="AT371" s="80"/>
      <c r="AU371" s="74"/>
      <c r="AV371" s="74"/>
      <c r="AW371" s="74"/>
      <c r="AX371" s="74"/>
      <c r="AY371" s="74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1"/>
      <c r="W372" s="83"/>
      <c r="X372" s="81"/>
      <c r="Y372" s="80"/>
      <c r="Z372" s="80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81"/>
      <c r="AP372" s="81">
        <v>7.0</v>
      </c>
      <c r="AQ372" s="83">
        <f t="shared" si="8"/>
        <v>81836</v>
      </c>
      <c r="AR372" s="81">
        <f>sum(R171:AC198)</f>
        <v>6495</v>
      </c>
      <c r="AS372" s="79">
        <v>0.0</v>
      </c>
      <c r="AT372" s="80"/>
      <c r="AU372" s="74"/>
      <c r="AV372" s="74"/>
      <c r="AW372" s="74"/>
      <c r="AX372" s="74"/>
      <c r="AY372" s="74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1"/>
      <c r="W373" s="83"/>
      <c r="X373" s="81"/>
      <c r="Y373" s="80"/>
      <c r="Z373" s="80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81"/>
      <c r="AP373" s="81">
        <v>8.0</v>
      </c>
      <c r="AQ373" s="83">
        <f t="shared" si="8"/>
        <v>102128</v>
      </c>
      <c r="AR373" s="81">
        <f>sum(R199:AC226)</f>
        <v>8140</v>
      </c>
      <c r="AS373" s="79">
        <v>0.0</v>
      </c>
      <c r="AT373" s="80"/>
      <c r="AU373" s="74"/>
      <c r="AV373" s="74"/>
      <c r="AW373" s="74"/>
      <c r="AX373" s="74"/>
      <c r="AY373" s="74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1"/>
      <c r="W374" s="83"/>
      <c r="X374" s="81"/>
      <c r="Y374" s="80"/>
      <c r="Z374" s="80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81"/>
      <c r="AP374" s="81">
        <v>9.0</v>
      </c>
      <c r="AQ374" s="83">
        <f t="shared" si="8"/>
        <v>68250.4</v>
      </c>
      <c r="AR374" s="81">
        <f>sum(R227:AC254)</f>
        <v>5169</v>
      </c>
      <c r="AS374" s="79">
        <v>0.0</v>
      </c>
      <c r="AT374" s="80"/>
      <c r="AU374" s="74"/>
      <c r="AV374" s="74"/>
      <c r="AW374" s="74"/>
      <c r="AX374" s="74"/>
      <c r="AY374" s="74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1"/>
      <c r="W375" s="83"/>
      <c r="X375" s="81"/>
      <c r="Y375" s="80"/>
      <c r="Z375" s="80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81"/>
      <c r="AP375" s="81">
        <v>10.0</v>
      </c>
      <c r="AQ375" s="83">
        <f t="shared" si="8"/>
        <v>73112</v>
      </c>
      <c r="AR375" s="81">
        <f>sum(R255:AC282)</f>
        <v>5770</v>
      </c>
      <c r="AS375" s="79">
        <v>0.0</v>
      </c>
      <c r="AT375" s="80"/>
      <c r="AU375" s="74"/>
      <c r="AV375" s="74"/>
      <c r="AW375" s="74"/>
      <c r="AX375" s="74"/>
      <c r="AY375" s="74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1"/>
      <c r="W376" s="83"/>
      <c r="X376" s="81"/>
      <c r="Y376" s="80"/>
      <c r="Z376" s="80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81"/>
      <c r="AP376" s="81">
        <v>11.0</v>
      </c>
      <c r="AQ376" s="83">
        <f t="shared" si="8"/>
        <v>20808</v>
      </c>
      <c r="AR376" s="81">
        <f>sum(R283:AC310)</f>
        <v>1530</v>
      </c>
      <c r="AS376" s="79">
        <v>0.0</v>
      </c>
      <c r="AT376" s="80"/>
      <c r="AU376" s="74"/>
      <c r="AV376" s="74"/>
      <c r="AW376" s="74"/>
      <c r="AX376" s="74"/>
      <c r="AY376" s="74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1"/>
      <c r="W377" s="83"/>
      <c r="X377" s="81"/>
      <c r="Y377" s="80"/>
      <c r="Z377" s="80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81"/>
      <c r="AP377" s="81">
        <v>12.0</v>
      </c>
      <c r="AQ377" s="83">
        <f t="shared" si="8"/>
        <v>21273.6</v>
      </c>
      <c r="AR377" s="81">
        <f>sum(R311:AC338)</f>
        <v>1576</v>
      </c>
      <c r="AS377" s="79">
        <v>0.0</v>
      </c>
      <c r="AT377" s="80"/>
      <c r="AU377" s="74"/>
      <c r="AV377" s="74"/>
      <c r="AW377" s="74"/>
      <c r="AX377" s="74"/>
      <c r="AY377" s="74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1"/>
      <c r="W378" s="83"/>
      <c r="X378" s="81"/>
      <c r="Y378" s="80"/>
      <c r="Z378" s="80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81">
        <v>13.0</v>
      </c>
      <c r="AQ378" s="83">
        <f t="shared" si="8"/>
        <v>0</v>
      </c>
      <c r="AR378" s="81">
        <f>sum(R339:AC359)</f>
        <v>0</v>
      </c>
      <c r="AS378" s="79">
        <v>0.0</v>
      </c>
      <c r="AT378" s="80"/>
      <c r="AU378" s="74"/>
      <c r="AV378" s="74"/>
      <c r="AW378" s="74"/>
      <c r="AX378" s="74"/>
      <c r="AY378" s="74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1"/>
      <c r="W379" s="79"/>
      <c r="X379" s="81"/>
      <c r="Y379" s="80"/>
      <c r="Z379" s="80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</row>
    <row r="380" ht="15.75" customHeight="1">
      <c r="A380" s="8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</row>
    <row r="381" ht="15.75" customHeight="1">
      <c r="A381" s="8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</row>
    <row r="382" ht="15.75" customHeight="1">
      <c r="A382" s="8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</row>
    <row r="383" ht="15.75" customHeight="1">
      <c r="A383" s="8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</row>
    <row r="384" ht="15.75" customHeight="1">
      <c r="A384" s="8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</row>
    <row r="385" ht="15.75" customHeight="1">
      <c r="A385" s="8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</row>
    <row r="386" ht="15.75" customHeight="1">
      <c r="A386" s="8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</row>
    <row r="387" ht="15.75" customHeight="1">
      <c r="A387" s="8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</row>
    <row r="388" ht="15.75" customHeight="1">
      <c r="A388" s="8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</row>
    <row r="389" ht="15.75" customHeight="1">
      <c r="A389" s="8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</row>
    <row r="390" ht="15.75" customHeight="1">
      <c r="A390" s="8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</row>
    <row r="391" ht="15.75" customHeight="1">
      <c r="A391" s="8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</row>
    <row r="392" ht="15.75" customHeight="1">
      <c r="A392" s="8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</row>
    <row r="393" ht="15.75" customHeight="1">
      <c r="A393" s="8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</row>
    <row r="394" ht="15.75" customHeight="1">
      <c r="A394" s="8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</row>
    <row r="395" ht="15.75" customHeight="1">
      <c r="A395" s="8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</row>
    <row r="396" ht="15.75" customHeight="1">
      <c r="A396" s="8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</row>
    <row r="397" ht="15.75" customHeight="1">
      <c r="A397" s="8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</row>
    <row r="398" ht="15.75" customHeight="1">
      <c r="A398" s="8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</row>
    <row r="399" ht="15.75" customHeight="1">
      <c r="A399" s="8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</row>
    <row r="400" ht="15.75" customHeight="1">
      <c r="A400" s="8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</row>
    <row r="401" ht="15.75" customHeight="1">
      <c r="A401" s="8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</row>
    <row r="402" ht="15.75" customHeight="1">
      <c r="A402" s="8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</row>
    <row r="403" ht="15.75" customHeight="1">
      <c r="A403" s="8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</row>
    <row r="404" ht="15.75" customHeight="1">
      <c r="A404" s="8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</row>
    <row r="405" ht="15.75" customHeight="1">
      <c r="A405" s="8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</row>
    <row r="406" ht="15.75" customHeight="1">
      <c r="A406" s="8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</row>
    <row r="407" ht="15.75" customHeight="1">
      <c r="A407" s="8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</row>
    <row r="408" ht="15.75" customHeight="1">
      <c r="A408" s="8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</row>
    <row r="409" ht="15.75" customHeight="1">
      <c r="A409" s="8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</row>
    <row r="410" ht="15.75" customHeight="1">
      <c r="A410" s="8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</row>
    <row r="411" ht="15.75" customHeight="1">
      <c r="A411" s="8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</row>
    <row r="412" ht="15.75" customHeight="1">
      <c r="A412" s="8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</row>
    <row r="413" ht="15.75" customHeight="1">
      <c r="A413" s="8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</row>
    <row r="414" ht="15.75" customHeight="1">
      <c r="A414" s="8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</row>
    <row r="415" ht="15.75" customHeight="1">
      <c r="A415" s="8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</row>
    <row r="416" ht="15.75" customHeight="1">
      <c r="A416" s="8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</row>
    <row r="417" ht="15.75" customHeight="1">
      <c r="A417" s="8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</row>
    <row r="418" ht="15.75" customHeight="1">
      <c r="A418" s="8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</row>
    <row r="419" ht="15.75" customHeight="1">
      <c r="A419" s="8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</row>
    <row r="420" ht="15.75" customHeight="1">
      <c r="A420" s="8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</row>
    <row r="421" ht="15.75" customHeight="1">
      <c r="A421" s="8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</row>
    <row r="422" ht="15.75" customHeight="1">
      <c r="A422" s="8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</row>
    <row r="423" ht="15.75" customHeight="1">
      <c r="A423" s="8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</row>
    <row r="424" ht="15.75" customHeight="1">
      <c r="A424" s="8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</row>
    <row r="425" ht="15.75" customHeight="1">
      <c r="A425" s="8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</row>
    <row r="426" ht="15.75" customHeight="1">
      <c r="A426" s="8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</row>
    <row r="427" ht="15.75" customHeight="1">
      <c r="A427" s="8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</row>
    <row r="428" ht="15.75" customHeight="1">
      <c r="A428" s="8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</row>
    <row r="429" ht="15.75" customHeight="1">
      <c r="A429" s="8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</row>
    <row r="430" ht="15.75" customHeight="1">
      <c r="A430" s="8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</row>
    <row r="431" ht="15.75" customHeight="1">
      <c r="A431" s="8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</row>
    <row r="432" ht="15.75" customHeight="1">
      <c r="A432" s="8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</row>
    <row r="433" ht="15.75" customHeight="1">
      <c r="A433" s="8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</row>
    <row r="434" ht="15.75" customHeight="1">
      <c r="A434" s="8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</row>
    <row r="435" ht="15.75" customHeight="1">
      <c r="A435" s="8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</row>
    <row r="436" ht="15.75" customHeight="1">
      <c r="A436" s="8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</row>
    <row r="437" ht="15.75" customHeight="1">
      <c r="A437" s="8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</row>
    <row r="438" ht="15.75" customHeight="1">
      <c r="A438" s="8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</row>
    <row r="439" ht="15.75" customHeight="1">
      <c r="A439" s="8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</row>
    <row r="440" ht="15.75" customHeight="1">
      <c r="A440" s="8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</row>
    <row r="441" ht="15.75" customHeight="1">
      <c r="A441" s="8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</row>
    <row r="442" ht="15.75" customHeight="1">
      <c r="A442" s="8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</row>
    <row r="443" ht="15.75" customHeight="1">
      <c r="A443" s="8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</row>
    <row r="444" ht="15.75" customHeight="1">
      <c r="A444" s="8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</row>
    <row r="445" ht="15.75" customHeight="1">
      <c r="A445" s="8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</row>
    <row r="446" ht="15.75" customHeight="1">
      <c r="A446" s="8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</row>
    <row r="447" ht="15.75" customHeight="1">
      <c r="A447" s="8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</row>
    <row r="448" ht="15.75" customHeight="1">
      <c r="A448" s="8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</row>
    <row r="449" ht="15.75" customHeight="1">
      <c r="A449" s="8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</row>
    <row r="450" ht="15.75" customHeight="1">
      <c r="A450" s="8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</row>
    <row r="451" ht="15.75" customHeight="1">
      <c r="A451" s="8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</row>
    <row r="452" ht="15.75" customHeight="1">
      <c r="A452" s="8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</row>
    <row r="453" ht="15.75" customHeight="1">
      <c r="A453" s="8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</row>
    <row r="454" ht="15.75" customHeight="1">
      <c r="A454" s="8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</row>
    <row r="455" ht="15.75" customHeight="1">
      <c r="A455" s="8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</row>
    <row r="456" ht="15.75" customHeight="1">
      <c r="A456" s="8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</row>
    <row r="457" ht="15.75" customHeight="1">
      <c r="A457" s="8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</row>
    <row r="458" ht="15.75" customHeight="1">
      <c r="A458" s="8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</row>
    <row r="459" ht="15.75" customHeight="1">
      <c r="A459" s="8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</row>
    <row r="460" ht="15.75" customHeight="1">
      <c r="A460" s="8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</row>
    <row r="461" ht="15.75" customHeight="1">
      <c r="A461" s="8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</row>
    <row r="462" ht="15.75" customHeight="1">
      <c r="A462" s="8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</row>
    <row r="463" ht="15.75" customHeight="1">
      <c r="A463" s="8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</row>
    <row r="464" ht="15.75" customHeight="1">
      <c r="A464" s="8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</row>
    <row r="465" ht="15.75" customHeight="1">
      <c r="A465" s="8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</row>
    <row r="466" ht="15.75" customHeight="1">
      <c r="A466" s="8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</row>
    <row r="467" ht="15.75" customHeight="1">
      <c r="A467" s="8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</row>
    <row r="468" ht="15.75" customHeight="1">
      <c r="A468" s="8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</row>
    <row r="469" ht="15.75" customHeight="1">
      <c r="A469" s="8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</row>
    <row r="470" ht="15.75" customHeight="1">
      <c r="A470" s="8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</row>
    <row r="471" ht="15.75" customHeight="1">
      <c r="A471" s="8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</row>
    <row r="472" ht="15.75" customHeight="1">
      <c r="A472" s="8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</row>
    <row r="473" ht="15.75" customHeight="1">
      <c r="A473" s="8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</row>
    <row r="474" ht="15.75" customHeight="1">
      <c r="A474" s="8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</row>
    <row r="475" ht="15.75" customHeight="1">
      <c r="A475" s="8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</row>
    <row r="476" ht="15.75" customHeight="1">
      <c r="A476" s="8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</row>
    <row r="477" ht="15.75" customHeight="1">
      <c r="A477" s="8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</row>
    <row r="478" ht="15.75" customHeight="1">
      <c r="A478" s="8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</row>
    <row r="479" ht="15.75" customHeight="1">
      <c r="A479" s="8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</row>
    <row r="480" ht="15.75" customHeight="1">
      <c r="A480" s="8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</row>
    <row r="481" ht="15.75" customHeight="1">
      <c r="A481" s="8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</row>
    <row r="482" ht="15.75" customHeight="1">
      <c r="A482" s="8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</row>
    <row r="483" ht="15.75" customHeight="1">
      <c r="A483" s="8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</row>
    <row r="484" ht="15.75" customHeight="1">
      <c r="A484" s="8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</row>
    <row r="485" ht="15.75" customHeight="1">
      <c r="A485" s="8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</row>
    <row r="486" ht="15.75" customHeight="1">
      <c r="A486" s="8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</row>
    <row r="487" ht="15.75" customHeight="1">
      <c r="A487" s="8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</row>
    <row r="488" ht="15.75" customHeight="1">
      <c r="A488" s="8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</row>
    <row r="489" ht="15.75" customHeight="1">
      <c r="A489" s="8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</row>
    <row r="490" ht="15.75" customHeight="1">
      <c r="A490" s="8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</row>
    <row r="491" ht="15.75" customHeight="1">
      <c r="A491" s="8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</row>
    <row r="492" ht="15.75" customHeight="1">
      <c r="A492" s="8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</row>
    <row r="493" ht="15.75" customHeight="1">
      <c r="A493" s="8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</row>
    <row r="494" ht="15.75" customHeight="1">
      <c r="A494" s="8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</row>
    <row r="495" ht="15.75" customHeight="1">
      <c r="A495" s="8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</row>
    <row r="496" ht="15.75" customHeight="1">
      <c r="A496" s="8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</row>
    <row r="497" ht="15.75" customHeight="1">
      <c r="A497" s="8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</row>
    <row r="498" ht="15.75" customHeight="1">
      <c r="A498" s="8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</row>
    <row r="499" ht="15.75" customHeight="1">
      <c r="A499" s="8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</row>
    <row r="500" ht="15.75" customHeight="1">
      <c r="A500" s="8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</row>
    <row r="501" ht="15.75" customHeight="1">
      <c r="A501" s="8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</row>
    <row r="502" ht="15.75" customHeight="1">
      <c r="A502" s="8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</row>
    <row r="503" ht="15.75" customHeight="1">
      <c r="A503" s="8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</row>
    <row r="504" ht="15.75" customHeight="1">
      <c r="A504" s="8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</row>
    <row r="505" ht="15.75" customHeight="1">
      <c r="A505" s="8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</row>
    <row r="506" ht="15.75" customHeight="1">
      <c r="A506" s="8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</row>
    <row r="507" ht="15.75" customHeight="1">
      <c r="A507" s="8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</row>
    <row r="508" ht="15.75" customHeight="1">
      <c r="A508" s="8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</row>
    <row r="509" ht="15.75" customHeight="1">
      <c r="A509" s="8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</row>
    <row r="510" ht="15.75" customHeight="1">
      <c r="A510" s="8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</row>
    <row r="511" ht="15.75" customHeight="1">
      <c r="A511" s="8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</row>
    <row r="512" ht="15.75" customHeight="1">
      <c r="A512" s="8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</row>
    <row r="513" ht="15.75" customHeight="1">
      <c r="A513" s="8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</row>
    <row r="514" ht="15.75" customHeight="1">
      <c r="A514" s="8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</row>
    <row r="515" ht="15.75" customHeight="1">
      <c r="A515" s="8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</row>
    <row r="516" ht="15.75" customHeight="1">
      <c r="A516" s="8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</row>
    <row r="517" ht="15.75" customHeight="1">
      <c r="A517" s="8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</row>
    <row r="518" ht="15.75" customHeight="1">
      <c r="A518" s="8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</row>
    <row r="519" ht="15.75" customHeight="1">
      <c r="A519" s="8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</row>
    <row r="520" ht="15.75" customHeight="1">
      <c r="A520" s="8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</row>
    <row r="521" ht="15.75" customHeight="1">
      <c r="A521" s="8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</row>
    <row r="522" ht="15.75" customHeight="1">
      <c r="A522" s="8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</row>
    <row r="523" ht="15.75" customHeight="1">
      <c r="A523" s="8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</row>
    <row r="524" ht="15.75" customHeight="1">
      <c r="A524" s="8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</row>
    <row r="525" ht="15.75" customHeight="1">
      <c r="A525" s="8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</row>
    <row r="526" ht="15.75" customHeight="1">
      <c r="A526" s="8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</row>
    <row r="527" ht="15.75" customHeight="1">
      <c r="A527" s="8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</row>
    <row r="528" ht="15.75" customHeight="1">
      <c r="A528" s="8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</row>
    <row r="529" ht="15.75" customHeight="1">
      <c r="A529" s="8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</row>
    <row r="530" ht="15.75" customHeight="1">
      <c r="A530" s="8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</row>
    <row r="531" ht="15.75" customHeight="1">
      <c r="A531" s="8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</row>
    <row r="532" ht="15.75" customHeight="1">
      <c r="A532" s="8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</row>
    <row r="533" ht="15.75" customHeight="1">
      <c r="A533" s="8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</row>
    <row r="534" ht="15.75" customHeight="1">
      <c r="A534" s="8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</row>
    <row r="535" ht="15.75" customHeight="1">
      <c r="A535" s="8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</row>
    <row r="536" ht="15.75" customHeight="1">
      <c r="A536" s="8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</row>
    <row r="537" ht="15.75" customHeight="1">
      <c r="A537" s="8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</row>
    <row r="538" ht="15.75" customHeight="1">
      <c r="A538" s="8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</row>
    <row r="539" ht="15.75" customHeight="1">
      <c r="A539" s="8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</row>
    <row r="540" ht="15.75" customHeight="1">
      <c r="A540" s="8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</row>
    <row r="541" ht="15.75" customHeight="1">
      <c r="A541" s="8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</row>
    <row r="542" ht="15.75" customHeight="1">
      <c r="A542" s="8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</row>
    <row r="543" ht="15.75" customHeight="1">
      <c r="A543" s="8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</row>
    <row r="544" ht="15.75" customHeight="1">
      <c r="A544" s="8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</row>
    <row r="545" ht="15.75" customHeight="1">
      <c r="A545" s="8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</row>
    <row r="546" ht="15.75" customHeight="1">
      <c r="A546" s="8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</row>
    <row r="547" ht="15.75" customHeight="1">
      <c r="A547" s="8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</row>
    <row r="548" ht="15.75" customHeight="1">
      <c r="A548" s="8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</row>
    <row r="549" ht="15.75" customHeight="1">
      <c r="A549" s="8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</row>
    <row r="550" ht="15.75" customHeight="1">
      <c r="A550" s="8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</row>
    <row r="551" ht="15.75" customHeight="1">
      <c r="A551" s="8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</row>
    <row r="552" ht="15.75" customHeight="1">
      <c r="A552" s="8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</row>
    <row r="553" ht="15.75" customHeight="1">
      <c r="A553" s="8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</row>
    <row r="554" ht="15.75" customHeight="1">
      <c r="A554" s="8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</row>
    <row r="555" ht="15.75" customHeight="1">
      <c r="A555" s="8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</row>
    <row r="556" ht="15.75" customHeight="1">
      <c r="A556" s="8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</row>
    <row r="557" ht="15.75" customHeight="1">
      <c r="A557" s="8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</row>
    <row r="558" ht="15.75" customHeight="1">
      <c r="A558" s="8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</row>
    <row r="559" ht="15.75" customHeight="1">
      <c r="A559" s="8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</row>
    <row r="560" ht="15.75" customHeight="1">
      <c r="A560" s="8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</row>
    <row r="561" ht="15.75" customHeight="1">
      <c r="A561" s="8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</row>
    <row r="562" ht="15.75" customHeight="1">
      <c r="A562" s="8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</row>
    <row r="563" ht="15.75" customHeight="1">
      <c r="A563" s="8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</row>
    <row r="564" ht="15.75" customHeight="1">
      <c r="A564" s="8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</row>
    <row r="565" ht="15.75" customHeight="1">
      <c r="A565" s="8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</row>
    <row r="566" ht="15.75" customHeight="1">
      <c r="A566" s="8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</row>
    <row r="567" ht="15.75" customHeight="1">
      <c r="A567" s="8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</row>
    <row r="568" ht="15.75" customHeight="1">
      <c r="A568" s="8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</row>
    <row r="569" ht="15.75" customHeight="1">
      <c r="A569" s="8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</row>
    <row r="570" ht="15.75" customHeight="1">
      <c r="A570" s="8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</row>
    <row r="571" ht="15.75" customHeight="1">
      <c r="A571" s="8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</row>
    <row r="572" ht="15.75" customHeight="1">
      <c r="A572" s="8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</row>
    <row r="573" ht="15.75" customHeight="1">
      <c r="A573" s="8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</row>
    <row r="574" ht="15.75" customHeight="1">
      <c r="A574" s="8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</row>
    <row r="575" ht="15.75" customHeight="1">
      <c r="A575" s="8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</row>
    <row r="576" ht="15.75" customHeight="1">
      <c r="A576" s="8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</row>
    <row r="577" ht="15.75" customHeight="1">
      <c r="A577" s="8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</row>
    <row r="578" ht="15.75" customHeight="1">
      <c r="A578" s="8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</row>
    <row r="579" ht="15.75" customHeight="1">
      <c r="A579" s="8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</row>
    <row r="580" ht="15.75" customHeight="1">
      <c r="A580" s="8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</row>
    <row r="581" ht="15.75" customHeight="1">
      <c r="A581" s="8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</row>
    <row r="582" ht="15.75" customHeight="1">
      <c r="A582" s="8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</row>
    <row r="583" ht="15.75" customHeight="1">
      <c r="A583" s="8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</row>
    <row r="584" ht="15.75" customHeight="1">
      <c r="A584" s="8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</row>
    <row r="585" ht="15.75" customHeight="1">
      <c r="A585" s="8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</row>
    <row r="586" ht="15.75" customHeight="1">
      <c r="A586" s="8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</row>
    <row r="587" ht="15.75" customHeight="1">
      <c r="A587" s="8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</row>
    <row r="588" ht="15.75" customHeight="1">
      <c r="A588" s="8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</row>
    <row r="589" ht="15.75" customHeight="1">
      <c r="A589" s="8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</row>
    <row r="590" ht="15.75" customHeight="1">
      <c r="A590" s="8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</row>
    <row r="591" ht="15.75" customHeight="1">
      <c r="A591" s="8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</row>
    <row r="592" ht="15.75" customHeight="1">
      <c r="A592" s="8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</row>
    <row r="593" ht="15.75" customHeight="1">
      <c r="A593" s="8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</row>
    <row r="594" ht="15.75" customHeight="1">
      <c r="A594" s="8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</row>
    <row r="595" ht="15.75" customHeight="1">
      <c r="A595" s="8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</row>
    <row r="596" ht="15.75" customHeight="1">
      <c r="A596" s="8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</row>
    <row r="597" ht="15.75" customHeight="1">
      <c r="A597" s="8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</row>
    <row r="598" ht="15.75" customHeight="1">
      <c r="A598" s="8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</row>
    <row r="599" ht="15.75" customHeight="1">
      <c r="A599" s="8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</row>
    <row r="600" ht="15.75" customHeight="1">
      <c r="A600" s="8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</row>
    <row r="601" ht="15.75" customHeight="1">
      <c r="A601" s="8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</row>
    <row r="602" ht="15.75" customHeight="1">
      <c r="A602" s="8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</row>
    <row r="603" ht="15.75" customHeight="1">
      <c r="A603" s="8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</row>
    <row r="604" ht="15.75" customHeight="1">
      <c r="A604" s="8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</row>
    <row r="605" ht="15.75" customHeight="1">
      <c r="A605" s="8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</row>
    <row r="606" ht="15.75" customHeight="1">
      <c r="A606" s="8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</row>
    <row r="607" ht="15.75" customHeight="1">
      <c r="A607" s="8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</row>
    <row r="608" ht="15.75" customHeight="1">
      <c r="A608" s="8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</row>
    <row r="609" ht="15.75" customHeight="1">
      <c r="A609" s="8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</row>
    <row r="610" ht="15.75" customHeight="1">
      <c r="A610" s="8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</row>
    <row r="611" ht="15.75" customHeight="1">
      <c r="A611" s="8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</row>
    <row r="612" ht="15.75" customHeight="1">
      <c r="A612" s="8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</row>
    <row r="613" ht="15.75" customHeight="1">
      <c r="A613" s="8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</row>
    <row r="614" ht="15.75" customHeight="1">
      <c r="A614" s="8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</row>
    <row r="615" ht="15.75" customHeight="1">
      <c r="A615" s="8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</row>
    <row r="616" ht="15.75" customHeight="1">
      <c r="A616" s="8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</row>
    <row r="617" ht="15.75" customHeight="1">
      <c r="A617" s="8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</row>
    <row r="618" ht="15.75" customHeight="1">
      <c r="A618" s="8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</row>
    <row r="619" ht="15.75" customHeight="1">
      <c r="A619" s="8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</row>
    <row r="620" ht="15.75" customHeight="1">
      <c r="A620" s="8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</row>
    <row r="621" ht="15.75" customHeight="1">
      <c r="A621" s="8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</row>
    <row r="622" ht="15.75" customHeight="1">
      <c r="A622" s="8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</row>
    <row r="623" ht="15.75" customHeight="1">
      <c r="A623" s="8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</row>
    <row r="624" ht="15.75" customHeight="1">
      <c r="A624" s="8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</row>
    <row r="625" ht="15.75" customHeight="1">
      <c r="A625" s="8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</row>
    <row r="626" ht="15.75" customHeight="1">
      <c r="A626" s="8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</row>
    <row r="627" ht="15.75" customHeight="1">
      <c r="A627" s="8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</row>
    <row r="628" ht="15.75" customHeight="1">
      <c r="A628" s="8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</row>
    <row r="629" ht="15.75" customHeight="1">
      <c r="A629" s="8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</row>
    <row r="630" ht="15.75" customHeight="1">
      <c r="A630" s="8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</row>
    <row r="631" ht="15.75" customHeight="1">
      <c r="A631" s="8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</row>
    <row r="632" ht="15.75" customHeight="1">
      <c r="A632" s="8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</row>
    <row r="633" ht="15.75" customHeight="1">
      <c r="A633" s="8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</row>
    <row r="634" ht="15.75" customHeight="1">
      <c r="A634" s="8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</row>
    <row r="635" ht="15.75" customHeight="1">
      <c r="A635" s="8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</row>
    <row r="636" ht="15.75" customHeight="1">
      <c r="A636" s="8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</row>
    <row r="637" ht="15.75" customHeight="1">
      <c r="A637" s="8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</row>
    <row r="638" ht="15.75" customHeight="1">
      <c r="A638" s="8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</row>
    <row r="639" ht="15.75" customHeight="1">
      <c r="A639" s="8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</row>
    <row r="640" ht="15.75" customHeight="1">
      <c r="A640" s="8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</row>
    <row r="641" ht="15.75" customHeight="1">
      <c r="A641" s="8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</row>
    <row r="642" ht="15.75" customHeight="1">
      <c r="A642" s="8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</row>
    <row r="643" ht="15.75" customHeight="1">
      <c r="A643" s="8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</row>
    <row r="644" ht="15.75" customHeight="1">
      <c r="A644" s="8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</row>
    <row r="645" ht="15.75" customHeight="1">
      <c r="A645" s="8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</row>
    <row r="646" ht="15.75" customHeight="1">
      <c r="A646" s="8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</row>
    <row r="647" ht="15.75" customHeight="1">
      <c r="A647" s="8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</row>
    <row r="648" ht="15.75" customHeight="1">
      <c r="A648" s="8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</row>
    <row r="649" ht="15.75" customHeight="1">
      <c r="A649" s="8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</row>
    <row r="650" ht="15.75" customHeight="1">
      <c r="A650" s="8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</row>
    <row r="651" ht="15.75" customHeight="1">
      <c r="A651" s="8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</row>
    <row r="652" ht="15.75" customHeight="1">
      <c r="A652" s="8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</row>
    <row r="653" ht="15.75" customHeight="1">
      <c r="A653" s="8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</row>
    <row r="654" ht="15.75" customHeight="1">
      <c r="A654" s="8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</row>
    <row r="655" ht="15.75" customHeight="1">
      <c r="A655" s="8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</row>
    <row r="656" ht="15.75" customHeight="1">
      <c r="A656" s="8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</row>
    <row r="657" ht="15.75" customHeight="1">
      <c r="A657" s="8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</row>
    <row r="658" ht="15.75" customHeight="1">
      <c r="A658" s="8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</row>
    <row r="659" ht="15.75" customHeight="1">
      <c r="A659" s="8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</row>
    <row r="660" ht="15.75" customHeight="1">
      <c r="A660" s="8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</row>
    <row r="661" ht="15.75" customHeight="1">
      <c r="A661" s="8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</row>
    <row r="662" ht="15.75" customHeight="1">
      <c r="A662" s="8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</row>
    <row r="663" ht="15.75" customHeight="1">
      <c r="A663" s="8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</row>
    <row r="664" ht="15.75" customHeight="1">
      <c r="A664" s="8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</row>
    <row r="665" ht="15.75" customHeight="1">
      <c r="A665" s="8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</row>
    <row r="666" ht="15.75" customHeight="1">
      <c r="A666" s="8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</row>
    <row r="667" ht="15.75" customHeight="1">
      <c r="A667" s="8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</row>
    <row r="668" ht="15.75" customHeight="1">
      <c r="A668" s="8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</row>
    <row r="669" ht="15.75" customHeight="1">
      <c r="A669" s="8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</row>
    <row r="670" ht="15.75" customHeight="1">
      <c r="A670" s="8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</row>
    <row r="671" ht="15.75" customHeight="1">
      <c r="A671" s="8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</row>
    <row r="672" ht="15.75" customHeight="1">
      <c r="A672" s="8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</row>
    <row r="673" ht="15.75" customHeight="1">
      <c r="A673" s="8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</row>
    <row r="674" ht="15.75" customHeight="1">
      <c r="A674" s="8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</row>
    <row r="675" ht="15.75" customHeight="1">
      <c r="A675" s="8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</row>
    <row r="676" ht="15.75" customHeight="1">
      <c r="A676" s="8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</row>
    <row r="677" ht="15.75" customHeight="1">
      <c r="A677" s="8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</row>
    <row r="678" ht="15.75" customHeight="1">
      <c r="A678" s="8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</row>
    <row r="679" ht="15.75" customHeight="1">
      <c r="A679" s="8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</row>
    <row r="680" ht="15.75" customHeight="1">
      <c r="A680" s="8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</row>
    <row r="681" ht="15.75" customHeight="1">
      <c r="A681" s="8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</row>
    <row r="682" ht="15.75" customHeight="1">
      <c r="A682" s="8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</row>
    <row r="683" ht="15.75" customHeight="1">
      <c r="A683" s="8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</row>
    <row r="684" ht="15.75" customHeight="1">
      <c r="A684" s="8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</row>
    <row r="685" ht="15.75" customHeight="1">
      <c r="A685" s="8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</row>
    <row r="686" ht="15.75" customHeight="1">
      <c r="A686" s="8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</row>
    <row r="687" ht="15.75" customHeight="1">
      <c r="A687" s="8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</row>
    <row r="688" ht="15.75" customHeight="1">
      <c r="A688" s="8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</row>
    <row r="689" ht="15.75" customHeight="1">
      <c r="A689" s="8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</row>
    <row r="690" ht="15.75" customHeight="1">
      <c r="A690" s="8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</row>
    <row r="691" ht="15.75" customHeight="1">
      <c r="A691" s="8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</row>
    <row r="692" ht="15.75" customHeight="1">
      <c r="A692" s="8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</row>
    <row r="693" ht="15.75" customHeight="1">
      <c r="A693" s="8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</row>
    <row r="694" ht="15.75" customHeight="1">
      <c r="A694" s="8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</row>
    <row r="695" ht="15.75" customHeight="1">
      <c r="A695" s="8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</row>
    <row r="696" ht="15.75" customHeight="1">
      <c r="A696" s="8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</row>
    <row r="697" ht="15.75" customHeight="1">
      <c r="A697" s="8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</row>
    <row r="698" ht="15.75" customHeight="1">
      <c r="A698" s="8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</row>
    <row r="699" ht="15.75" customHeight="1">
      <c r="A699" s="8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</row>
    <row r="700" ht="15.75" customHeight="1">
      <c r="A700" s="8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</row>
    <row r="701" ht="15.75" customHeight="1">
      <c r="A701" s="8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</row>
    <row r="702" ht="15.75" customHeight="1">
      <c r="A702" s="8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</row>
    <row r="703" ht="15.75" customHeight="1">
      <c r="A703" s="8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</row>
    <row r="704" ht="15.75" customHeight="1">
      <c r="A704" s="8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</row>
    <row r="705" ht="15.75" customHeight="1">
      <c r="A705" s="8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</row>
    <row r="706" ht="15.75" customHeight="1">
      <c r="A706" s="8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</row>
    <row r="707" ht="15.75" customHeight="1">
      <c r="A707" s="8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</row>
    <row r="708" ht="15.75" customHeight="1">
      <c r="A708" s="8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</row>
    <row r="709" ht="15.75" customHeight="1">
      <c r="A709" s="8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</row>
    <row r="710" ht="15.75" customHeight="1">
      <c r="A710" s="8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</row>
    <row r="711" ht="15.75" customHeight="1">
      <c r="A711" s="8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</row>
    <row r="712" ht="15.75" customHeight="1">
      <c r="A712" s="8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</row>
    <row r="713" ht="15.75" customHeight="1">
      <c r="A713" s="8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</row>
    <row r="714" ht="15.75" customHeight="1">
      <c r="A714" s="8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</row>
    <row r="715" ht="15.75" customHeight="1">
      <c r="A715" s="8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</row>
    <row r="716" ht="15.75" customHeight="1">
      <c r="A716" s="8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</row>
    <row r="717" ht="15.75" customHeight="1">
      <c r="A717" s="8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</row>
    <row r="718" ht="15.75" customHeight="1">
      <c r="A718" s="8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</row>
    <row r="719" ht="15.75" customHeight="1">
      <c r="A719" s="8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</row>
    <row r="720" ht="15.75" customHeight="1">
      <c r="A720" s="8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</row>
    <row r="721" ht="15.75" customHeight="1">
      <c r="A721" s="8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</row>
    <row r="722" ht="15.75" customHeight="1">
      <c r="A722" s="8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</row>
    <row r="723" ht="15.75" customHeight="1">
      <c r="A723" s="8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</row>
    <row r="724" ht="15.75" customHeight="1">
      <c r="A724" s="8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</row>
    <row r="725" ht="15.75" customHeight="1">
      <c r="A725" s="8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</row>
    <row r="726" ht="15.75" customHeight="1">
      <c r="A726" s="8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</row>
    <row r="727" ht="15.75" customHeight="1">
      <c r="A727" s="8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</row>
    <row r="728" ht="15.75" customHeight="1">
      <c r="A728" s="8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</row>
    <row r="729" ht="15.75" customHeight="1">
      <c r="A729" s="8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</row>
    <row r="730" ht="15.75" customHeight="1">
      <c r="A730" s="8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</row>
    <row r="731" ht="15.75" customHeight="1">
      <c r="A731" s="8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</row>
    <row r="732" ht="15.75" customHeight="1">
      <c r="A732" s="8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</row>
    <row r="733" ht="15.75" customHeight="1">
      <c r="A733" s="8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</row>
    <row r="734" ht="15.75" customHeight="1">
      <c r="A734" s="8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</row>
    <row r="735" ht="15.75" customHeight="1">
      <c r="A735" s="8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</row>
    <row r="736" ht="15.75" customHeight="1">
      <c r="A736" s="8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</row>
    <row r="737" ht="15.75" customHeight="1">
      <c r="A737" s="8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</row>
    <row r="738" ht="15.75" customHeight="1">
      <c r="A738" s="8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</row>
    <row r="739" ht="15.75" customHeight="1">
      <c r="A739" s="8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</row>
    <row r="740" ht="15.75" customHeight="1">
      <c r="A740" s="8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</row>
    <row r="741" ht="15.75" customHeight="1">
      <c r="A741" s="8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</row>
    <row r="742" ht="15.75" customHeight="1">
      <c r="A742" s="8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</row>
    <row r="743" ht="15.75" customHeight="1">
      <c r="A743" s="8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</row>
    <row r="744" ht="15.75" customHeight="1">
      <c r="A744" s="8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</row>
    <row r="745" ht="15.75" customHeight="1">
      <c r="A745" s="8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</row>
    <row r="746" ht="15.75" customHeight="1">
      <c r="A746" s="8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</row>
    <row r="747" ht="15.75" customHeight="1">
      <c r="A747" s="8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</row>
    <row r="748" ht="15.75" customHeight="1">
      <c r="A748" s="8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</row>
    <row r="749" ht="15.75" customHeight="1">
      <c r="A749" s="8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</row>
    <row r="750" ht="15.75" customHeight="1">
      <c r="A750" s="8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</row>
    <row r="751" ht="15.75" customHeight="1">
      <c r="A751" s="8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</row>
    <row r="752" ht="15.75" customHeight="1">
      <c r="A752" s="8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</row>
    <row r="753" ht="15.75" customHeight="1">
      <c r="A753" s="8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</row>
    <row r="754" ht="15.75" customHeight="1">
      <c r="A754" s="8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</row>
    <row r="755" ht="15.75" customHeight="1">
      <c r="A755" s="8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</row>
    <row r="756" ht="15.75" customHeight="1">
      <c r="A756" s="8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</row>
    <row r="757" ht="15.75" customHeight="1">
      <c r="A757" s="8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</row>
    <row r="758" ht="15.75" customHeight="1">
      <c r="A758" s="8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</row>
    <row r="759" ht="15.75" customHeight="1">
      <c r="A759" s="8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</row>
    <row r="760" ht="15.75" customHeight="1">
      <c r="A760" s="8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</row>
    <row r="761" ht="15.75" customHeight="1">
      <c r="A761" s="8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</row>
    <row r="762" ht="15.75" customHeight="1">
      <c r="A762" s="8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</row>
    <row r="763" ht="15.75" customHeight="1">
      <c r="A763" s="8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</row>
    <row r="764" ht="15.75" customHeight="1">
      <c r="A764" s="8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</row>
    <row r="765" ht="15.75" customHeight="1">
      <c r="A765" s="8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</row>
    <row r="766" ht="15.75" customHeight="1">
      <c r="A766" s="8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</row>
    <row r="767" ht="15.75" customHeight="1">
      <c r="A767" s="8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</row>
    <row r="768" ht="15.75" customHeight="1">
      <c r="A768" s="8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</row>
    <row r="769" ht="15.75" customHeight="1">
      <c r="A769" s="8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</row>
    <row r="770" ht="15.75" customHeight="1">
      <c r="A770" s="8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</row>
    <row r="771" ht="15.75" customHeight="1">
      <c r="A771" s="8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</row>
    <row r="772" ht="15.75" customHeight="1">
      <c r="A772" s="8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</row>
    <row r="773" ht="15.75" customHeight="1">
      <c r="A773" s="8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</row>
    <row r="774" ht="15.75" customHeight="1">
      <c r="A774" s="8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</row>
    <row r="775" ht="15.75" customHeight="1">
      <c r="A775" s="8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</row>
    <row r="776" ht="15.75" customHeight="1">
      <c r="A776" s="8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</row>
    <row r="777" ht="15.75" customHeight="1">
      <c r="A777" s="8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</row>
    <row r="778" ht="15.75" customHeight="1">
      <c r="A778" s="8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</row>
    <row r="779" ht="15.75" customHeight="1">
      <c r="A779" s="8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</row>
    <row r="780" ht="15.75" customHeight="1">
      <c r="A780" s="8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</row>
    <row r="781" ht="15.75" customHeight="1">
      <c r="A781" s="8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</row>
    <row r="782" ht="15.75" customHeight="1">
      <c r="A782" s="8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</row>
    <row r="783" ht="15.75" customHeight="1">
      <c r="A783" s="8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</row>
    <row r="784" ht="15.75" customHeight="1">
      <c r="A784" s="8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</row>
    <row r="785" ht="15.75" customHeight="1">
      <c r="A785" s="8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</row>
    <row r="786" ht="15.75" customHeight="1">
      <c r="A786" s="8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</row>
    <row r="787" ht="15.75" customHeight="1">
      <c r="A787" s="8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</row>
    <row r="788" ht="15.75" customHeight="1">
      <c r="A788" s="8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</row>
    <row r="789" ht="15.75" customHeight="1">
      <c r="A789" s="8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</row>
    <row r="790" ht="15.75" customHeight="1">
      <c r="A790" s="8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</row>
    <row r="791" ht="15.75" customHeight="1">
      <c r="A791" s="8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</row>
    <row r="792" ht="15.75" customHeight="1">
      <c r="A792" s="8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</row>
    <row r="793" ht="15.75" customHeight="1">
      <c r="A793" s="8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</row>
    <row r="794" ht="15.75" customHeight="1">
      <c r="A794" s="8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</row>
    <row r="795" ht="15.75" customHeight="1">
      <c r="A795" s="8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</row>
    <row r="796" ht="15.75" customHeight="1">
      <c r="A796" s="8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</row>
    <row r="797" ht="15.75" customHeight="1">
      <c r="A797" s="8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</row>
    <row r="798" ht="15.75" customHeight="1">
      <c r="A798" s="8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</row>
    <row r="799" ht="15.75" customHeight="1">
      <c r="A799" s="8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</row>
    <row r="800" ht="15.75" customHeight="1">
      <c r="A800" s="8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</row>
    <row r="801" ht="15.75" customHeight="1">
      <c r="A801" s="8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</row>
    <row r="802" ht="15.75" customHeight="1">
      <c r="A802" s="8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</row>
    <row r="803" ht="15.75" customHeight="1">
      <c r="A803" s="8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</row>
    <row r="804" ht="15.75" customHeight="1">
      <c r="A804" s="8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</row>
    <row r="805" ht="15.75" customHeight="1">
      <c r="A805" s="8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</row>
    <row r="806" ht="15.75" customHeight="1">
      <c r="A806" s="8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</row>
    <row r="807" ht="15.75" customHeight="1">
      <c r="A807" s="8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</row>
    <row r="808" ht="15.75" customHeight="1">
      <c r="A808" s="8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</row>
    <row r="809" ht="15.75" customHeight="1">
      <c r="A809" s="8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</row>
    <row r="810" ht="15.75" customHeight="1">
      <c r="A810" s="8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</row>
    <row r="811" ht="15.75" customHeight="1">
      <c r="A811" s="8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</row>
    <row r="812" ht="15.75" customHeight="1">
      <c r="A812" s="8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</row>
    <row r="813" ht="15.75" customHeight="1">
      <c r="A813" s="8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</row>
    <row r="814" ht="15.75" customHeight="1">
      <c r="A814" s="8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</row>
    <row r="815" ht="15.75" customHeight="1">
      <c r="A815" s="8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</row>
    <row r="816" ht="15.75" customHeight="1">
      <c r="A816" s="8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</row>
    <row r="817" ht="15.75" customHeight="1">
      <c r="A817" s="8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</row>
    <row r="818" ht="15.75" customHeight="1">
      <c r="A818" s="8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</row>
    <row r="819" ht="15.75" customHeight="1">
      <c r="A819" s="8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</row>
    <row r="820" ht="15.75" customHeight="1">
      <c r="A820" s="8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</row>
    <row r="821" ht="15.75" customHeight="1">
      <c r="A821" s="8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</row>
    <row r="822" ht="15.75" customHeight="1">
      <c r="A822" s="8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</row>
    <row r="823" ht="15.75" customHeight="1">
      <c r="A823" s="8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</row>
    <row r="824" ht="15.75" customHeight="1">
      <c r="A824" s="8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</row>
    <row r="825" ht="15.75" customHeight="1">
      <c r="A825" s="8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</row>
    <row r="826" ht="15.75" customHeight="1">
      <c r="A826" s="8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</row>
    <row r="827" ht="15.75" customHeight="1">
      <c r="A827" s="8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</row>
    <row r="828" ht="15.75" customHeight="1">
      <c r="A828" s="8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</row>
    <row r="829" ht="15.75" customHeight="1">
      <c r="A829" s="8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</row>
    <row r="830" ht="15.75" customHeight="1">
      <c r="A830" s="8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</row>
    <row r="831" ht="15.75" customHeight="1">
      <c r="A831" s="8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</row>
    <row r="832" ht="15.75" customHeight="1">
      <c r="A832" s="8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</row>
    <row r="833" ht="15.75" customHeight="1">
      <c r="A833" s="8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</row>
    <row r="834" ht="15.75" customHeight="1">
      <c r="A834" s="8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</row>
    <row r="835" ht="15.75" customHeight="1">
      <c r="A835" s="8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</row>
    <row r="836" ht="15.75" customHeight="1">
      <c r="A836" s="8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</row>
    <row r="837" ht="15.75" customHeight="1">
      <c r="A837" s="8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</row>
    <row r="838" ht="15.75" customHeight="1">
      <c r="A838" s="8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</row>
    <row r="839" ht="15.75" customHeight="1">
      <c r="A839" s="8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</row>
    <row r="840" ht="15.75" customHeight="1">
      <c r="A840" s="8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</row>
    <row r="841" ht="15.75" customHeight="1">
      <c r="A841" s="8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</row>
    <row r="842" ht="15.75" customHeight="1">
      <c r="A842" s="8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</row>
    <row r="843" ht="15.75" customHeight="1">
      <c r="A843" s="8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</row>
    <row r="844" ht="15.75" customHeight="1">
      <c r="A844" s="8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</row>
    <row r="845" ht="15.75" customHeight="1">
      <c r="A845" s="8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</row>
    <row r="846" ht="15.75" customHeight="1">
      <c r="A846" s="8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</row>
    <row r="847" ht="15.75" customHeight="1">
      <c r="A847" s="8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</row>
    <row r="848" ht="15.75" customHeight="1">
      <c r="A848" s="8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</row>
    <row r="849" ht="15.75" customHeight="1">
      <c r="A849" s="8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</row>
    <row r="850" ht="15.75" customHeight="1">
      <c r="A850" s="8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</row>
    <row r="851" ht="15.75" customHeight="1">
      <c r="A851" s="8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</row>
    <row r="852" ht="15.75" customHeight="1">
      <c r="A852" s="8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</row>
    <row r="853" ht="15.75" customHeight="1">
      <c r="A853" s="8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</row>
    <row r="854" ht="15.75" customHeight="1">
      <c r="A854" s="8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</row>
    <row r="855" ht="15.75" customHeight="1">
      <c r="A855" s="8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</row>
    <row r="856" ht="15.75" customHeight="1">
      <c r="A856" s="8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</row>
    <row r="857" ht="15.75" customHeight="1">
      <c r="A857" s="8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</row>
    <row r="858" ht="15.75" customHeight="1">
      <c r="A858" s="8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</row>
    <row r="859" ht="15.75" customHeight="1">
      <c r="A859" s="8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</row>
    <row r="860" ht="15.75" customHeight="1">
      <c r="A860" s="8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</row>
    <row r="861" ht="15.75" customHeight="1">
      <c r="A861" s="8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</row>
    <row r="862" ht="15.75" customHeight="1">
      <c r="A862" s="8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</row>
    <row r="863" ht="15.75" customHeight="1">
      <c r="A863" s="8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</row>
    <row r="864" ht="15.75" customHeight="1">
      <c r="A864" s="8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</row>
    <row r="865" ht="15.75" customHeight="1">
      <c r="A865" s="8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</row>
    <row r="866" ht="15.75" customHeight="1">
      <c r="A866" s="8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</row>
    <row r="867" ht="15.75" customHeight="1">
      <c r="A867" s="8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</row>
    <row r="868" ht="15.75" customHeight="1">
      <c r="A868" s="8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</row>
    <row r="869" ht="15.75" customHeight="1">
      <c r="A869" s="8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</row>
    <row r="870" ht="15.75" customHeight="1">
      <c r="A870" s="8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</row>
    <row r="871" ht="15.75" customHeight="1">
      <c r="A871" s="8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</row>
    <row r="872" ht="15.75" customHeight="1">
      <c r="A872" s="8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</row>
    <row r="873" ht="15.75" customHeight="1">
      <c r="A873" s="8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</row>
    <row r="874" ht="15.75" customHeight="1">
      <c r="A874" s="8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</row>
    <row r="875" ht="15.75" customHeight="1">
      <c r="A875" s="8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</row>
    <row r="876" ht="15.75" customHeight="1">
      <c r="A876" s="8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</row>
    <row r="877" ht="15.75" customHeight="1">
      <c r="A877" s="8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</row>
    <row r="878" ht="15.75" customHeight="1">
      <c r="A878" s="8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</row>
    <row r="879" ht="15.75" customHeight="1">
      <c r="A879" s="8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</row>
    <row r="880" ht="15.75" customHeight="1">
      <c r="A880" s="8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</row>
    <row r="881" ht="15.75" customHeight="1">
      <c r="A881" s="8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</row>
    <row r="882" ht="15.75" customHeight="1">
      <c r="A882" s="8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</row>
    <row r="883" ht="15.75" customHeight="1">
      <c r="A883" s="8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</row>
    <row r="884" ht="15.75" customHeight="1">
      <c r="A884" s="8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</row>
    <row r="885" ht="15.75" customHeight="1">
      <c r="A885" s="8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</row>
    <row r="886" ht="15.75" customHeight="1">
      <c r="A886" s="8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</row>
    <row r="887" ht="15.75" customHeight="1">
      <c r="A887" s="8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</row>
    <row r="888" ht="15.75" customHeight="1">
      <c r="A888" s="8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</row>
    <row r="889" ht="15.75" customHeight="1">
      <c r="A889" s="8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</row>
    <row r="890" ht="15.75" customHeight="1">
      <c r="A890" s="8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</row>
    <row r="891" ht="15.75" customHeight="1">
      <c r="A891" s="8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</row>
    <row r="892" ht="15.75" customHeight="1">
      <c r="A892" s="8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</row>
    <row r="893" ht="15.75" customHeight="1">
      <c r="A893" s="8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</row>
    <row r="894" ht="15.75" customHeight="1">
      <c r="A894" s="8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</row>
    <row r="895" ht="15.75" customHeight="1">
      <c r="A895" s="8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</row>
    <row r="896" ht="15.75" customHeight="1">
      <c r="A896" s="8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</row>
    <row r="897" ht="15.75" customHeight="1">
      <c r="A897" s="8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</row>
    <row r="898" ht="15.75" customHeight="1">
      <c r="A898" s="8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</row>
    <row r="899" ht="15.75" customHeight="1">
      <c r="A899" s="8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</row>
    <row r="900" ht="15.75" customHeight="1">
      <c r="A900" s="8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</row>
    <row r="901" ht="15.75" customHeight="1">
      <c r="A901" s="8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</row>
    <row r="902" ht="15.75" customHeight="1">
      <c r="A902" s="8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</row>
    <row r="903" ht="15.75" customHeight="1">
      <c r="A903" s="8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</row>
    <row r="904" ht="15.75" customHeight="1">
      <c r="A904" s="8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</row>
    <row r="905" ht="15.75" customHeight="1">
      <c r="A905" s="8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</row>
    <row r="906" ht="15.75" customHeight="1">
      <c r="A906" s="8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</row>
    <row r="907" ht="15.75" customHeight="1">
      <c r="A907" s="8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</row>
    <row r="908" ht="15.75" customHeight="1">
      <c r="A908" s="8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</row>
    <row r="909" ht="15.75" customHeight="1">
      <c r="A909" s="8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</row>
    <row r="910" ht="15.75" customHeight="1">
      <c r="A910" s="8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</row>
    <row r="911" ht="15.75" customHeight="1">
      <c r="A911" s="8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</row>
    <row r="912" ht="15.75" customHeight="1">
      <c r="A912" s="8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</row>
    <row r="913" ht="15.75" customHeight="1">
      <c r="A913" s="8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</row>
    <row r="914" ht="15.75" customHeight="1">
      <c r="A914" s="8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</row>
    <row r="915" ht="15.75" customHeight="1">
      <c r="A915" s="8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</row>
    <row r="916" ht="15.75" customHeight="1">
      <c r="A916" s="8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</row>
    <row r="917" ht="15.75" customHeight="1">
      <c r="A917" s="8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</row>
    <row r="918" ht="15.75" customHeight="1">
      <c r="A918" s="8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</row>
    <row r="919" ht="15.75" customHeight="1">
      <c r="A919" s="8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</row>
    <row r="920" ht="15.75" customHeight="1">
      <c r="A920" s="8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</row>
    <row r="921" ht="15.75" customHeight="1">
      <c r="A921" s="8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</row>
    <row r="922" ht="15.75" customHeight="1">
      <c r="A922" s="8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</row>
    <row r="923" ht="15.75" customHeight="1">
      <c r="A923" s="8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</row>
    <row r="924" ht="15.75" customHeight="1">
      <c r="A924" s="8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</row>
    <row r="925" ht="15.75" customHeight="1">
      <c r="A925" s="8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</row>
    <row r="926" ht="15.75" customHeight="1">
      <c r="A926" s="8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</row>
    <row r="927" ht="15.75" customHeight="1">
      <c r="A927" s="8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</row>
    <row r="928" ht="15.75" customHeight="1">
      <c r="A928" s="8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</row>
    <row r="929" ht="15.75" customHeight="1">
      <c r="A929" s="8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</row>
    <row r="930" ht="15.75" customHeight="1">
      <c r="A930" s="8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</row>
    <row r="931" ht="15.75" customHeight="1">
      <c r="A931" s="8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</row>
    <row r="932" ht="15.75" customHeight="1">
      <c r="A932" s="8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</row>
    <row r="933" ht="15.75" customHeight="1">
      <c r="A933" s="8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</row>
    <row r="934" ht="15.75" customHeight="1">
      <c r="A934" s="8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</row>
    <row r="935" ht="15.75" customHeight="1">
      <c r="A935" s="8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</row>
    <row r="936" ht="15.75" customHeight="1">
      <c r="A936" s="8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</row>
    <row r="937" ht="15.75" customHeight="1">
      <c r="A937" s="8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</row>
    <row r="938" ht="15.75" customHeight="1">
      <c r="A938" s="8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</row>
    <row r="939" ht="15.75" customHeight="1">
      <c r="A939" s="8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</row>
    <row r="940" ht="15.75" customHeight="1">
      <c r="A940" s="8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</row>
    <row r="941" ht="15.75" customHeight="1">
      <c r="A941" s="8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</row>
    <row r="942" ht="15.75" customHeight="1">
      <c r="A942" s="8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</row>
    <row r="943" ht="15.75" customHeight="1">
      <c r="A943" s="8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</row>
    <row r="944" ht="15.75" customHeight="1">
      <c r="A944" s="8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</row>
    <row r="945" ht="15.75" customHeight="1">
      <c r="A945" s="8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</row>
    <row r="946" ht="15.75" customHeight="1">
      <c r="A946" s="8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</row>
    <row r="947" ht="15.75" customHeight="1">
      <c r="A947" s="8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</row>
    <row r="948" ht="15.75" customHeight="1">
      <c r="A948" s="8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</row>
    <row r="949" ht="15.75" customHeight="1">
      <c r="A949" s="8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</row>
    <row r="950" ht="15.75" customHeight="1">
      <c r="A950" s="8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</row>
    <row r="951" ht="15.75" customHeight="1">
      <c r="A951" s="8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</row>
    <row r="952" ht="15.75" customHeight="1">
      <c r="A952" s="8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</row>
    <row r="953" ht="15.75" customHeight="1">
      <c r="A953" s="8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</row>
    <row r="954" ht="15.75" customHeight="1">
      <c r="A954" s="8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</row>
    <row r="955" ht="15.75" customHeight="1">
      <c r="A955" s="8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</row>
    <row r="956" ht="15.75" customHeight="1">
      <c r="A956" s="8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</row>
    <row r="957" ht="15.75" customHeight="1">
      <c r="A957" s="8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</row>
    <row r="958" ht="15.75" customHeight="1">
      <c r="A958" s="8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</row>
    <row r="959" ht="15.75" customHeight="1">
      <c r="A959" s="8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</row>
    <row r="960" ht="15.75" customHeight="1">
      <c r="A960" s="8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</row>
    <row r="961" ht="15.75" customHeight="1">
      <c r="A961" s="8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</row>
    <row r="962" ht="15.75" customHeight="1">
      <c r="A962" s="8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</row>
    <row r="963" ht="15.75" customHeight="1">
      <c r="A963" s="8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</row>
    <row r="964" ht="15.75" customHeight="1">
      <c r="A964" s="8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</row>
    <row r="965" ht="15.75" customHeight="1">
      <c r="A965" s="8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</row>
    <row r="966" ht="15.75" customHeight="1">
      <c r="A966" s="8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</row>
    <row r="967" ht="15.75" customHeight="1">
      <c r="A967" s="8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</row>
    <row r="968" ht="15.75" customHeight="1">
      <c r="A968" s="8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</row>
    <row r="969" ht="15.75" customHeight="1">
      <c r="A969" s="8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</row>
    <row r="970" ht="15.75" customHeight="1">
      <c r="A970" s="8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</row>
    <row r="971" ht="15.75" customHeight="1">
      <c r="A971" s="8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</row>
    <row r="972" ht="15.75" customHeight="1">
      <c r="A972" s="8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</row>
    <row r="973" ht="15.75" customHeight="1">
      <c r="A973" s="8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</row>
    <row r="974" ht="15.75" customHeight="1">
      <c r="A974" s="8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</row>
    <row r="975" ht="15.75" customHeight="1">
      <c r="A975" s="8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</row>
    <row r="976" ht="15.75" customHeight="1">
      <c r="A976" s="8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</row>
    <row r="977" ht="15.75" customHeight="1">
      <c r="A977" s="8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</row>
    <row r="978" ht="15.75" customHeight="1">
      <c r="A978" s="8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</row>
    <row r="979" ht="15.75" customHeight="1">
      <c r="A979" s="8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</row>
    <row r="980" ht="15.75" customHeight="1">
      <c r="A980" s="8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</row>
    <row r="981" ht="15.75" customHeight="1">
      <c r="A981" s="8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</row>
    <row r="982" ht="15.75" customHeight="1">
      <c r="A982" s="8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</row>
    <row r="983" ht="15.75" customHeight="1">
      <c r="A983" s="8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</row>
    <row r="984" ht="15.75" customHeight="1">
      <c r="A984" s="8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</row>
    <row r="985" ht="15.75" customHeight="1">
      <c r="A985" s="8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</row>
    <row r="986" ht="15.75" customHeight="1">
      <c r="A986" s="8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</row>
    <row r="987" ht="15.75" customHeight="1">
      <c r="A987" s="8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</row>
    <row r="988" ht="15.75" customHeight="1">
      <c r="A988" s="8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</row>
    <row r="989" ht="15.75" customHeight="1">
      <c r="A989" s="8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</row>
    <row r="990" ht="15.75" customHeight="1">
      <c r="A990" s="8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</row>
    <row r="991" ht="15.75" customHeight="1">
      <c r="A991" s="8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</row>
    <row r="992" ht="15.75" customHeight="1">
      <c r="A992" s="8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</row>
    <row r="993" ht="15.75" customHeight="1">
      <c r="A993" s="8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</row>
    <row r="994" ht="15.75" customHeight="1">
      <c r="A994" s="8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</row>
    <row r="995" ht="15.75" customHeight="1">
      <c r="A995" s="8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</row>
    <row r="996" ht="15.75" customHeight="1">
      <c r="A996" s="8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</row>
    <row r="997" ht="15.75" customHeight="1">
      <c r="A997" s="8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</row>
    <row r="998" ht="15.75" customHeight="1">
      <c r="A998" s="8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</row>
    <row r="999" ht="15.75" customHeight="1">
      <c r="A999" s="8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18" width="3.67"/>
    <col customWidth="1" min="19" max="19" width="5.78"/>
    <col customWidth="1" min="20" max="20" width="3.67"/>
    <col customWidth="1" min="21" max="21" width="5.78"/>
    <col customWidth="1" min="22" max="22" width="3.67"/>
    <col customWidth="1" min="23" max="23" width="4.89"/>
    <col customWidth="1" min="24" max="29" width="3.67"/>
    <col customWidth="1" hidden="1" min="30" max="41" width="3.67"/>
    <col customWidth="1" min="42" max="42" width="10.78"/>
    <col customWidth="1" min="43" max="43" width="22.89"/>
    <col customWidth="1" min="44" max="44" width="8.0"/>
    <col customWidth="1" min="45" max="45" width="11.44"/>
    <col customWidth="1" min="46" max="49" width="3.89"/>
  </cols>
  <sheetData>
    <row r="1" ht="15.75" customHeight="1">
      <c r="A1" s="1" t="s">
        <v>3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4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5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4" t="s">
        <v>11</v>
      </c>
      <c r="G2" s="15">
        <v>34.0</v>
      </c>
      <c r="H2" s="14" t="s">
        <v>13</v>
      </c>
      <c r="I2" s="15">
        <v>34.0</v>
      </c>
      <c r="J2" s="14" t="s">
        <v>14</v>
      </c>
      <c r="K2" s="15">
        <v>34.0</v>
      </c>
      <c r="L2" s="17" t="s">
        <v>15</v>
      </c>
      <c r="M2" s="17">
        <v>0.0</v>
      </c>
      <c r="N2" s="17" t="s">
        <v>15</v>
      </c>
      <c r="O2" s="17">
        <v>0.0</v>
      </c>
      <c r="P2" s="17" t="s">
        <v>15</v>
      </c>
      <c r="Q2" s="17">
        <v>0.0</v>
      </c>
      <c r="R2" s="14" t="s">
        <v>11</v>
      </c>
      <c r="S2" s="15">
        <v>17.0</v>
      </c>
      <c r="T2" s="14" t="s">
        <v>13</v>
      </c>
      <c r="U2" s="15">
        <v>17.0</v>
      </c>
      <c r="V2" s="14" t="s">
        <v>14</v>
      </c>
      <c r="W2" s="15">
        <v>17.0</v>
      </c>
      <c r="X2" s="14" t="s">
        <v>16</v>
      </c>
      <c r="Y2" s="15">
        <v>8.0</v>
      </c>
      <c r="Z2" s="14" t="s">
        <v>17</v>
      </c>
      <c r="AA2" s="15">
        <v>13.0</v>
      </c>
      <c r="AB2" s="14" t="s">
        <v>18</v>
      </c>
      <c r="AC2" s="15">
        <v>7.0</v>
      </c>
      <c r="AD2" s="17" t="s">
        <v>15</v>
      </c>
      <c r="AE2" s="17">
        <v>0.0</v>
      </c>
      <c r="AF2" s="17" t="s">
        <v>15</v>
      </c>
      <c r="AG2" s="17">
        <v>0.0</v>
      </c>
      <c r="AH2" s="17" t="s">
        <v>15</v>
      </c>
      <c r="AI2" s="17">
        <v>0.0</v>
      </c>
      <c r="AJ2" s="17" t="s">
        <v>15</v>
      </c>
      <c r="AK2" s="17">
        <v>0.0</v>
      </c>
      <c r="AL2" s="17" t="s">
        <v>15</v>
      </c>
      <c r="AM2" s="17">
        <v>0.0</v>
      </c>
      <c r="AN2" s="17" t="s">
        <v>15</v>
      </c>
      <c r="AO2" s="17">
        <v>0.0</v>
      </c>
      <c r="AP2" s="18" t="s">
        <v>19</v>
      </c>
      <c r="AQ2" s="18" t="s">
        <v>20</v>
      </c>
      <c r="AR2" s="18" t="s">
        <v>21</v>
      </c>
      <c r="AS2" s="18" t="s">
        <v>22</v>
      </c>
      <c r="AT2" s="18" t="s">
        <v>23</v>
      </c>
      <c r="AU2" s="19"/>
      <c r="AV2" s="20"/>
      <c r="AW2" s="20"/>
    </row>
    <row r="3" ht="15.75" customHeight="1">
      <c r="A3" s="21" t="s">
        <v>24</v>
      </c>
      <c r="B3" s="22">
        <v>44563.0</v>
      </c>
      <c r="C3" s="23">
        <v>1.0</v>
      </c>
      <c r="D3" s="24" t="s">
        <v>25</v>
      </c>
      <c r="E3" s="25" t="s">
        <v>26</v>
      </c>
      <c r="F3" s="26"/>
      <c r="H3" s="27"/>
      <c r="J3" s="27"/>
      <c r="L3" s="27"/>
      <c r="N3" s="27"/>
      <c r="P3" s="27"/>
      <c r="Q3" s="29"/>
      <c r="R3" s="26"/>
      <c r="T3" s="27"/>
      <c r="V3" s="27"/>
      <c r="X3" s="27"/>
      <c r="Z3" s="27"/>
      <c r="AB3" s="27"/>
      <c r="AC3" s="29"/>
      <c r="AD3" s="26"/>
      <c r="AF3" s="27"/>
      <c r="AH3" s="27"/>
      <c r="AJ3" s="27"/>
      <c r="AL3" s="27"/>
      <c r="AN3" s="27"/>
      <c r="AO3" s="29"/>
      <c r="AP3" s="35">
        <f t="shared" ref="AP3:AP359" si="1">(F3*G$2)+(H3*I$2)+(J3*K$2)+(L3*M$2)+(N3*O$2)+(P3*Q$2)+(R3*S$2)+(T3*U$2)+(V3*W$2)+(X3*Y$2)+(Z3*AA$2)+(AB3*AC$2)+(AD3*AE$2)+(AF3*AG$2)+(AH3*AI$2)+(AJ3*AK$2)+(AL3*AM$2)+(AN3*AO$2)</f>
        <v>0</v>
      </c>
      <c r="AQ3" s="23">
        <f t="shared" ref="AQ3:AQ359" si="2">sum(F3,H3,J3,L3,N3,P3,R3,T3,V3,X3,Z3)</f>
        <v>0</v>
      </c>
      <c r="AR3" s="23">
        <f t="shared" ref="AR3:AR359" si="3">sum(AB3)</f>
        <v>0</v>
      </c>
      <c r="AS3" s="23">
        <f t="shared" ref="AS3:AS359" si="4">sum(F3:AO3)</f>
        <v>0</v>
      </c>
      <c r="AT3" s="36" t="str">
        <f t="shared" ref="AT3:AT359" si="5">iferror(AP3/AS3,"")</f>
        <v/>
      </c>
      <c r="AU3" s="37"/>
      <c r="AV3" s="37"/>
      <c r="AW3" s="37"/>
    </row>
    <row r="4" ht="15.75" customHeight="1">
      <c r="A4" s="39" t="s">
        <v>27</v>
      </c>
      <c r="B4" s="40">
        <f t="shared" ref="B4:B359" si="6">B3+1</f>
        <v>44564</v>
      </c>
      <c r="C4" s="41">
        <v>1.0</v>
      </c>
      <c r="D4" s="42" t="s">
        <v>25</v>
      </c>
      <c r="E4" s="43" t="s">
        <v>26</v>
      </c>
      <c r="F4" s="26"/>
      <c r="H4" s="27"/>
      <c r="J4" s="27"/>
      <c r="L4" s="27"/>
      <c r="N4" s="27"/>
      <c r="P4" s="27"/>
      <c r="Q4" s="29"/>
      <c r="R4" s="26"/>
      <c r="T4" s="27"/>
      <c r="V4" s="27"/>
      <c r="X4" s="27"/>
      <c r="Z4" s="27"/>
      <c r="AB4" s="27"/>
      <c r="AC4" s="29"/>
      <c r="AD4" s="26"/>
      <c r="AF4" s="27"/>
      <c r="AH4" s="27"/>
      <c r="AJ4" s="27"/>
      <c r="AL4" s="27"/>
      <c r="AN4" s="27"/>
      <c r="AO4" s="29"/>
      <c r="AP4" s="45">
        <f t="shared" si="1"/>
        <v>0</v>
      </c>
      <c r="AQ4" s="41">
        <f t="shared" si="2"/>
        <v>0</v>
      </c>
      <c r="AR4" s="41">
        <f t="shared" si="3"/>
        <v>0</v>
      </c>
      <c r="AS4" s="41">
        <f t="shared" si="4"/>
        <v>0</v>
      </c>
      <c r="AT4" s="46" t="str">
        <f t="shared" si="5"/>
        <v/>
      </c>
      <c r="AU4" s="37"/>
      <c r="AV4" s="37"/>
      <c r="AW4" s="37"/>
    </row>
    <row r="5" ht="15.75" customHeight="1">
      <c r="A5" s="39" t="s">
        <v>28</v>
      </c>
      <c r="B5" s="40">
        <f t="shared" si="6"/>
        <v>44565</v>
      </c>
      <c r="C5" s="41">
        <v>1.0</v>
      </c>
      <c r="D5" s="42" t="s">
        <v>25</v>
      </c>
      <c r="E5" s="43" t="s">
        <v>26</v>
      </c>
      <c r="F5" s="26"/>
      <c r="H5" s="27"/>
      <c r="J5" s="27"/>
      <c r="L5" s="27"/>
      <c r="N5" s="27"/>
      <c r="P5" s="27"/>
      <c r="Q5" s="29"/>
      <c r="R5" s="26"/>
      <c r="T5" s="27"/>
      <c r="V5" s="27"/>
      <c r="X5" s="27"/>
      <c r="Z5" s="27"/>
      <c r="AB5" s="27"/>
      <c r="AC5" s="29"/>
      <c r="AD5" s="26"/>
      <c r="AF5" s="27"/>
      <c r="AH5" s="27"/>
      <c r="AJ5" s="27"/>
      <c r="AL5" s="27"/>
      <c r="AN5" s="27"/>
      <c r="AO5" s="29"/>
      <c r="AP5" s="45">
        <f t="shared" si="1"/>
        <v>0</v>
      </c>
      <c r="AQ5" s="41">
        <f t="shared" si="2"/>
        <v>0</v>
      </c>
      <c r="AR5" s="41">
        <f t="shared" si="3"/>
        <v>0</v>
      </c>
      <c r="AS5" s="41">
        <f t="shared" si="4"/>
        <v>0</v>
      </c>
      <c r="AT5" s="46" t="str">
        <f t="shared" si="5"/>
        <v/>
      </c>
      <c r="AU5" s="37"/>
      <c r="AV5" s="37"/>
      <c r="AW5" s="37"/>
    </row>
    <row r="6" ht="15.75" customHeight="1">
      <c r="A6" s="39" t="s">
        <v>29</v>
      </c>
      <c r="B6" s="40">
        <f t="shared" si="6"/>
        <v>44566</v>
      </c>
      <c r="C6" s="41">
        <v>1.0</v>
      </c>
      <c r="D6" s="42" t="s">
        <v>25</v>
      </c>
      <c r="E6" s="43" t="s">
        <v>26</v>
      </c>
      <c r="F6" s="26"/>
      <c r="H6" s="27"/>
      <c r="J6" s="27"/>
      <c r="L6" s="27"/>
      <c r="N6" s="27"/>
      <c r="P6" s="27"/>
      <c r="Q6" s="29"/>
      <c r="R6" s="26"/>
      <c r="T6" s="27"/>
      <c r="V6" s="27"/>
      <c r="X6" s="27"/>
      <c r="Z6" s="27"/>
      <c r="AB6" s="27"/>
      <c r="AC6" s="29"/>
      <c r="AD6" s="26"/>
      <c r="AF6" s="27"/>
      <c r="AH6" s="27"/>
      <c r="AJ6" s="27"/>
      <c r="AL6" s="27"/>
      <c r="AN6" s="27"/>
      <c r="AO6" s="29"/>
      <c r="AP6" s="45">
        <f t="shared" si="1"/>
        <v>0</v>
      </c>
      <c r="AQ6" s="41">
        <f t="shared" si="2"/>
        <v>0</v>
      </c>
      <c r="AR6" s="41">
        <f t="shared" si="3"/>
        <v>0</v>
      </c>
      <c r="AS6" s="41">
        <f t="shared" si="4"/>
        <v>0</v>
      </c>
      <c r="AT6" s="46" t="str">
        <f t="shared" si="5"/>
        <v/>
      </c>
      <c r="AU6" s="37"/>
      <c r="AV6" s="37"/>
      <c r="AW6" s="37"/>
    </row>
    <row r="7" ht="15.75" customHeight="1">
      <c r="A7" s="39" t="s">
        <v>30</v>
      </c>
      <c r="B7" s="40">
        <f t="shared" si="6"/>
        <v>44567</v>
      </c>
      <c r="C7" s="41">
        <v>1.0</v>
      </c>
      <c r="D7" s="42" t="s">
        <v>25</v>
      </c>
      <c r="E7" s="43" t="s">
        <v>26</v>
      </c>
      <c r="F7" s="26"/>
      <c r="H7" s="27"/>
      <c r="J7" s="27"/>
      <c r="L7" s="27"/>
      <c r="N7" s="27"/>
      <c r="P7" s="27"/>
      <c r="Q7" s="29"/>
      <c r="R7" s="26"/>
      <c r="T7" s="27"/>
      <c r="V7" s="27"/>
      <c r="X7" s="27"/>
      <c r="Z7" s="27"/>
      <c r="AB7" s="27"/>
      <c r="AC7" s="29"/>
      <c r="AD7" s="26"/>
      <c r="AF7" s="27"/>
      <c r="AH7" s="27"/>
      <c r="AJ7" s="27"/>
      <c r="AL7" s="27"/>
      <c r="AN7" s="27"/>
      <c r="AO7" s="29"/>
      <c r="AP7" s="45">
        <f t="shared" si="1"/>
        <v>0</v>
      </c>
      <c r="AQ7" s="41">
        <f t="shared" si="2"/>
        <v>0</v>
      </c>
      <c r="AR7" s="41">
        <f t="shared" si="3"/>
        <v>0</v>
      </c>
      <c r="AS7" s="41">
        <f t="shared" si="4"/>
        <v>0</v>
      </c>
      <c r="AT7" s="46" t="str">
        <f t="shared" si="5"/>
        <v/>
      </c>
      <c r="AU7" s="37"/>
      <c r="AV7" s="37"/>
      <c r="AW7" s="37"/>
    </row>
    <row r="8" ht="15.75" customHeight="1">
      <c r="A8" s="39" t="s">
        <v>31</v>
      </c>
      <c r="B8" s="40">
        <f t="shared" si="6"/>
        <v>44568</v>
      </c>
      <c r="C8" s="41">
        <v>1.0</v>
      </c>
      <c r="D8" s="42" t="s">
        <v>25</v>
      </c>
      <c r="E8" s="43" t="s">
        <v>26</v>
      </c>
      <c r="F8" s="26"/>
      <c r="H8" s="27"/>
      <c r="J8" s="27"/>
      <c r="L8" s="27"/>
      <c r="N8" s="27"/>
      <c r="P8" s="27"/>
      <c r="Q8" s="29"/>
      <c r="R8" s="26"/>
      <c r="T8" s="27"/>
      <c r="V8" s="27"/>
      <c r="X8" s="27"/>
      <c r="Z8" s="27"/>
      <c r="AB8" s="27"/>
      <c r="AC8" s="29"/>
      <c r="AD8" s="26"/>
      <c r="AF8" s="27"/>
      <c r="AH8" s="27"/>
      <c r="AJ8" s="27"/>
      <c r="AL8" s="27"/>
      <c r="AN8" s="27"/>
      <c r="AO8" s="29"/>
      <c r="AP8" s="45">
        <f t="shared" si="1"/>
        <v>0</v>
      </c>
      <c r="AQ8" s="41">
        <f t="shared" si="2"/>
        <v>0</v>
      </c>
      <c r="AR8" s="41">
        <f t="shared" si="3"/>
        <v>0</v>
      </c>
      <c r="AS8" s="41">
        <f t="shared" si="4"/>
        <v>0</v>
      </c>
      <c r="AT8" s="46" t="str">
        <f t="shared" si="5"/>
        <v/>
      </c>
      <c r="AU8" s="37"/>
      <c r="AV8" s="37"/>
      <c r="AW8" s="37"/>
    </row>
    <row r="9" ht="15.75" customHeight="1">
      <c r="A9" s="49" t="s">
        <v>32</v>
      </c>
      <c r="B9" s="50">
        <f t="shared" si="6"/>
        <v>44569</v>
      </c>
      <c r="C9" s="51">
        <v>1.0</v>
      </c>
      <c r="D9" s="52" t="s">
        <v>25</v>
      </c>
      <c r="E9" s="53" t="s">
        <v>26</v>
      </c>
      <c r="F9" s="54"/>
      <c r="G9" s="55"/>
      <c r="H9" s="56"/>
      <c r="I9" s="55"/>
      <c r="J9" s="56"/>
      <c r="K9" s="55"/>
      <c r="L9" s="56"/>
      <c r="M9" s="55"/>
      <c r="N9" s="56"/>
      <c r="O9" s="55"/>
      <c r="P9" s="56"/>
      <c r="Q9" s="58"/>
      <c r="R9" s="54"/>
      <c r="S9" s="55"/>
      <c r="T9" s="56"/>
      <c r="U9" s="55"/>
      <c r="V9" s="56"/>
      <c r="W9" s="55"/>
      <c r="X9" s="56"/>
      <c r="Y9" s="55"/>
      <c r="Z9" s="56"/>
      <c r="AA9" s="55"/>
      <c r="AB9" s="56"/>
      <c r="AC9" s="58"/>
      <c r="AD9" s="54"/>
      <c r="AE9" s="55"/>
      <c r="AF9" s="56"/>
      <c r="AG9" s="55"/>
      <c r="AH9" s="56"/>
      <c r="AI9" s="55"/>
      <c r="AJ9" s="56"/>
      <c r="AK9" s="55"/>
      <c r="AL9" s="56"/>
      <c r="AM9" s="55"/>
      <c r="AN9" s="56"/>
      <c r="AO9" s="58"/>
      <c r="AP9" s="60">
        <f t="shared" si="1"/>
        <v>0</v>
      </c>
      <c r="AQ9" s="51">
        <f t="shared" si="2"/>
        <v>0</v>
      </c>
      <c r="AR9" s="51">
        <f t="shared" si="3"/>
        <v>0</v>
      </c>
      <c r="AS9" s="51">
        <f t="shared" si="4"/>
        <v>0</v>
      </c>
      <c r="AT9" s="61" t="str">
        <f t="shared" si="5"/>
        <v/>
      </c>
      <c r="AU9" s="37"/>
      <c r="AV9" s="37"/>
      <c r="AW9" s="37"/>
    </row>
    <row r="10" ht="15.75" customHeight="1">
      <c r="A10" s="21" t="s">
        <v>24</v>
      </c>
      <c r="B10" s="62">
        <f t="shared" si="6"/>
        <v>44570</v>
      </c>
      <c r="C10" s="23">
        <v>1.0</v>
      </c>
      <c r="D10" s="23" t="s">
        <v>33</v>
      </c>
      <c r="E10" s="63" t="s">
        <v>26</v>
      </c>
      <c r="F10" s="26"/>
      <c r="H10" s="27"/>
      <c r="J10" s="27"/>
      <c r="L10" s="27"/>
      <c r="N10" s="27"/>
      <c r="P10" s="27"/>
      <c r="Q10" s="29"/>
      <c r="R10" s="28">
        <v>60.0</v>
      </c>
      <c r="T10" s="32">
        <v>60.0</v>
      </c>
      <c r="V10" s="27">
        <v>0.0</v>
      </c>
      <c r="X10" s="27">
        <v>0.0</v>
      </c>
      <c r="Z10" s="27">
        <v>0.0</v>
      </c>
      <c r="AB10" s="27">
        <v>0.0</v>
      </c>
      <c r="AC10" s="29"/>
      <c r="AD10" s="26"/>
      <c r="AF10" s="27"/>
      <c r="AH10" s="27"/>
      <c r="AJ10" s="27"/>
      <c r="AL10" s="27"/>
      <c r="AN10" s="27"/>
      <c r="AO10" s="29"/>
      <c r="AP10" s="35">
        <f t="shared" si="1"/>
        <v>2040</v>
      </c>
      <c r="AQ10" s="23">
        <f t="shared" si="2"/>
        <v>120</v>
      </c>
      <c r="AR10" s="23">
        <f t="shared" si="3"/>
        <v>0</v>
      </c>
      <c r="AS10" s="23">
        <f t="shared" si="4"/>
        <v>120</v>
      </c>
      <c r="AT10" s="36">
        <f t="shared" si="5"/>
        <v>17</v>
      </c>
      <c r="AU10" s="37"/>
      <c r="AV10" s="37"/>
      <c r="AW10" s="37"/>
    </row>
    <row r="11" ht="15.75" customHeight="1">
      <c r="A11" s="39" t="s">
        <v>27</v>
      </c>
      <c r="B11" s="40">
        <f t="shared" si="6"/>
        <v>44571</v>
      </c>
      <c r="C11" s="41">
        <v>1.0</v>
      </c>
      <c r="D11" s="41" t="s">
        <v>33</v>
      </c>
      <c r="E11" s="43" t="s">
        <v>26</v>
      </c>
      <c r="F11" s="26"/>
      <c r="H11" s="27"/>
      <c r="J11" s="27"/>
      <c r="L11" s="27"/>
      <c r="N11" s="27"/>
      <c r="P11" s="27"/>
      <c r="Q11" s="29"/>
      <c r="R11" s="28">
        <v>60.0</v>
      </c>
      <c r="T11" s="32">
        <v>60.0</v>
      </c>
      <c r="V11" s="27">
        <v>0.0</v>
      </c>
      <c r="X11" s="27">
        <v>0.0</v>
      </c>
      <c r="Z11" s="27">
        <v>0.0</v>
      </c>
      <c r="AB11" s="27">
        <v>0.0</v>
      </c>
      <c r="AC11" s="29"/>
      <c r="AD11" s="26"/>
      <c r="AF11" s="27"/>
      <c r="AH11" s="27"/>
      <c r="AJ11" s="27"/>
      <c r="AL11" s="27"/>
      <c r="AN11" s="27"/>
      <c r="AO11" s="29"/>
      <c r="AP11" s="45">
        <f t="shared" si="1"/>
        <v>2040</v>
      </c>
      <c r="AQ11" s="41">
        <f t="shared" si="2"/>
        <v>120</v>
      </c>
      <c r="AR11" s="41">
        <f t="shared" si="3"/>
        <v>0</v>
      </c>
      <c r="AS11" s="41">
        <f t="shared" si="4"/>
        <v>120</v>
      </c>
      <c r="AT11" s="46">
        <f t="shared" si="5"/>
        <v>17</v>
      </c>
      <c r="AU11" s="37"/>
      <c r="AV11" s="37"/>
      <c r="AW11" s="37"/>
    </row>
    <row r="12" ht="15.75" customHeight="1">
      <c r="A12" s="39" t="s">
        <v>28</v>
      </c>
      <c r="B12" s="40">
        <f t="shared" si="6"/>
        <v>44572</v>
      </c>
      <c r="C12" s="41">
        <v>1.0</v>
      </c>
      <c r="D12" s="41" t="s">
        <v>33</v>
      </c>
      <c r="E12" s="43" t="s">
        <v>26</v>
      </c>
      <c r="F12" s="26"/>
      <c r="H12" s="27"/>
      <c r="J12" s="27"/>
      <c r="L12" s="27"/>
      <c r="N12" s="27"/>
      <c r="P12" s="27"/>
      <c r="Q12" s="29"/>
      <c r="R12" s="28">
        <v>60.0</v>
      </c>
      <c r="T12" s="32">
        <v>60.0</v>
      </c>
      <c r="V12" s="27">
        <v>0.0</v>
      </c>
      <c r="X12" s="27">
        <v>0.0</v>
      </c>
      <c r="Z12" s="27">
        <v>0.0</v>
      </c>
      <c r="AB12" s="27">
        <v>0.0</v>
      </c>
      <c r="AC12" s="29"/>
      <c r="AD12" s="26"/>
      <c r="AF12" s="27"/>
      <c r="AH12" s="27"/>
      <c r="AJ12" s="27"/>
      <c r="AL12" s="27"/>
      <c r="AN12" s="27"/>
      <c r="AO12" s="29"/>
      <c r="AP12" s="45">
        <f t="shared" si="1"/>
        <v>2040</v>
      </c>
      <c r="AQ12" s="41">
        <f t="shared" si="2"/>
        <v>120</v>
      </c>
      <c r="AR12" s="41">
        <f t="shared" si="3"/>
        <v>0</v>
      </c>
      <c r="AS12" s="41">
        <f t="shared" si="4"/>
        <v>120</v>
      </c>
      <c r="AT12" s="46">
        <f t="shared" si="5"/>
        <v>17</v>
      </c>
      <c r="AU12" s="37"/>
      <c r="AV12" s="37"/>
      <c r="AW12" s="37"/>
    </row>
    <row r="13" ht="15.75" customHeight="1">
      <c r="A13" s="39" t="s">
        <v>29</v>
      </c>
      <c r="B13" s="40">
        <f t="shared" si="6"/>
        <v>44573</v>
      </c>
      <c r="C13" s="41">
        <v>1.0</v>
      </c>
      <c r="D13" s="41" t="s">
        <v>33</v>
      </c>
      <c r="E13" s="43" t="s">
        <v>26</v>
      </c>
      <c r="F13" s="26"/>
      <c r="H13" s="27"/>
      <c r="J13" s="27"/>
      <c r="L13" s="27"/>
      <c r="N13" s="27"/>
      <c r="P13" s="27"/>
      <c r="Q13" s="29"/>
      <c r="R13" s="28">
        <v>80.0</v>
      </c>
      <c r="T13" s="32">
        <v>80.0</v>
      </c>
      <c r="V13" s="27">
        <v>0.0</v>
      </c>
      <c r="X13" s="27">
        <v>0.0</v>
      </c>
      <c r="Z13" s="27">
        <v>0.0</v>
      </c>
      <c r="AB13" s="27">
        <v>0.0</v>
      </c>
      <c r="AC13" s="29"/>
      <c r="AD13" s="26"/>
      <c r="AF13" s="27"/>
      <c r="AH13" s="27"/>
      <c r="AJ13" s="27"/>
      <c r="AL13" s="27"/>
      <c r="AN13" s="27"/>
      <c r="AO13" s="29"/>
      <c r="AP13" s="45">
        <f t="shared" si="1"/>
        <v>2720</v>
      </c>
      <c r="AQ13" s="41">
        <f t="shared" si="2"/>
        <v>160</v>
      </c>
      <c r="AR13" s="41">
        <f t="shared" si="3"/>
        <v>0</v>
      </c>
      <c r="AS13" s="41">
        <f t="shared" si="4"/>
        <v>160</v>
      </c>
      <c r="AT13" s="46">
        <f t="shared" si="5"/>
        <v>17</v>
      </c>
      <c r="AU13" s="37"/>
      <c r="AV13" s="37"/>
      <c r="AW13" s="37"/>
    </row>
    <row r="14" ht="15.75" customHeight="1">
      <c r="A14" s="39" t="s">
        <v>30</v>
      </c>
      <c r="B14" s="40">
        <f t="shared" si="6"/>
        <v>44574</v>
      </c>
      <c r="C14" s="41">
        <v>1.0</v>
      </c>
      <c r="D14" s="41" t="s">
        <v>33</v>
      </c>
      <c r="E14" s="43" t="s">
        <v>26</v>
      </c>
      <c r="F14" s="26"/>
      <c r="H14" s="27"/>
      <c r="J14" s="27"/>
      <c r="L14" s="27"/>
      <c r="N14" s="27"/>
      <c r="P14" s="27"/>
      <c r="Q14" s="29"/>
      <c r="R14" s="28">
        <v>80.0</v>
      </c>
      <c r="T14" s="32">
        <v>80.0</v>
      </c>
      <c r="V14" s="27">
        <v>0.0</v>
      </c>
      <c r="X14" s="27">
        <v>0.0</v>
      </c>
      <c r="Z14" s="27">
        <v>0.0</v>
      </c>
      <c r="AB14" s="27">
        <v>0.0</v>
      </c>
      <c r="AC14" s="29"/>
      <c r="AD14" s="26"/>
      <c r="AF14" s="27"/>
      <c r="AH14" s="27"/>
      <c r="AJ14" s="27"/>
      <c r="AL14" s="27"/>
      <c r="AN14" s="27"/>
      <c r="AO14" s="29"/>
      <c r="AP14" s="45">
        <f t="shared" si="1"/>
        <v>2720</v>
      </c>
      <c r="AQ14" s="41">
        <f t="shared" si="2"/>
        <v>160</v>
      </c>
      <c r="AR14" s="41">
        <f t="shared" si="3"/>
        <v>0</v>
      </c>
      <c r="AS14" s="41">
        <f t="shared" si="4"/>
        <v>160</v>
      </c>
      <c r="AT14" s="46">
        <f t="shared" si="5"/>
        <v>17</v>
      </c>
      <c r="AU14" s="37"/>
      <c r="AV14" s="37"/>
      <c r="AW14" s="37"/>
    </row>
    <row r="15" ht="15.75" customHeight="1">
      <c r="A15" s="39" t="s">
        <v>31</v>
      </c>
      <c r="B15" s="40">
        <f t="shared" si="6"/>
        <v>44575</v>
      </c>
      <c r="C15" s="41">
        <v>1.0</v>
      </c>
      <c r="D15" s="41" t="s">
        <v>33</v>
      </c>
      <c r="E15" s="43" t="s">
        <v>26</v>
      </c>
      <c r="F15" s="26"/>
      <c r="H15" s="27"/>
      <c r="J15" s="27"/>
      <c r="L15" s="27"/>
      <c r="N15" s="27"/>
      <c r="P15" s="27"/>
      <c r="Q15" s="29"/>
      <c r="R15" s="28">
        <v>80.0</v>
      </c>
      <c r="T15" s="32">
        <v>80.0</v>
      </c>
      <c r="V15" s="27"/>
      <c r="X15" s="27"/>
      <c r="Z15" s="27"/>
      <c r="AB15" s="27"/>
      <c r="AC15" s="29"/>
      <c r="AD15" s="26"/>
      <c r="AF15" s="27"/>
      <c r="AH15" s="27"/>
      <c r="AJ15" s="27"/>
      <c r="AL15" s="27"/>
      <c r="AN15" s="27"/>
      <c r="AO15" s="29"/>
      <c r="AP15" s="45">
        <f t="shared" si="1"/>
        <v>2720</v>
      </c>
      <c r="AQ15" s="41">
        <f t="shared" si="2"/>
        <v>160</v>
      </c>
      <c r="AR15" s="41">
        <f t="shared" si="3"/>
        <v>0</v>
      </c>
      <c r="AS15" s="41">
        <f t="shared" si="4"/>
        <v>160</v>
      </c>
      <c r="AT15" s="46">
        <f t="shared" si="5"/>
        <v>17</v>
      </c>
      <c r="AU15" s="37"/>
      <c r="AV15" s="37"/>
      <c r="AW15" s="37"/>
    </row>
    <row r="16" ht="15.75" customHeight="1">
      <c r="A16" s="49" t="s">
        <v>32</v>
      </c>
      <c r="B16" s="50">
        <f t="shared" si="6"/>
        <v>44576</v>
      </c>
      <c r="C16" s="51">
        <v>1.0</v>
      </c>
      <c r="D16" s="51" t="s">
        <v>33</v>
      </c>
      <c r="E16" s="53" t="s">
        <v>26</v>
      </c>
      <c r="F16" s="54"/>
      <c r="G16" s="55"/>
      <c r="H16" s="56"/>
      <c r="I16" s="55"/>
      <c r="J16" s="56"/>
      <c r="K16" s="55"/>
      <c r="L16" s="56"/>
      <c r="M16" s="55"/>
      <c r="N16" s="56"/>
      <c r="O16" s="55"/>
      <c r="P16" s="56"/>
      <c r="Q16" s="58"/>
      <c r="R16" s="54"/>
      <c r="S16" s="55"/>
      <c r="T16" s="56"/>
      <c r="U16" s="55"/>
      <c r="V16" s="56"/>
      <c r="W16" s="55"/>
      <c r="X16" s="56"/>
      <c r="Y16" s="55"/>
      <c r="Z16" s="56"/>
      <c r="AA16" s="55"/>
      <c r="AB16" s="56"/>
      <c r="AC16" s="58"/>
      <c r="AD16" s="54"/>
      <c r="AE16" s="55"/>
      <c r="AF16" s="56"/>
      <c r="AG16" s="55"/>
      <c r="AH16" s="56"/>
      <c r="AI16" s="55"/>
      <c r="AJ16" s="56"/>
      <c r="AK16" s="55"/>
      <c r="AL16" s="56"/>
      <c r="AM16" s="55"/>
      <c r="AN16" s="56"/>
      <c r="AO16" s="58"/>
      <c r="AP16" s="60">
        <f t="shared" si="1"/>
        <v>0</v>
      </c>
      <c r="AQ16" s="51">
        <f t="shared" si="2"/>
        <v>0</v>
      </c>
      <c r="AR16" s="51">
        <f t="shared" si="3"/>
        <v>0</v>
      </c>
      <c r="AS16" s="51">
        <f t="shared" si="4"/>
        <v>0</v>
      </c>
      <c r="AT16" s="61" t="str">
        <f t="shared" si="5"/>
        <v/>
      </c>
      <c r="AU16" s="37"/>
      <c r="AV16" s="37"/>
      <c r="AW16" s="37"/>
    </row>
    <row r="17" ht="15.75" customHeight="1">
      <c r="A17" s="21" t="s">
        <v>24</v>
      </c>
      <c r="B17" s="62">
        <f t="shared" si="6"/>
        <v>44577</v>
      </c>
      <c r="C17" s="23">
        <v>1.0</v>
      </c>
      <c r="D17" s="23" t="s">
        <v>34</v>
      </c>
      <c r="E17" s="63" t="s">
        <v>26</v>
      </c>
      <c r="F17" s="26"/>
      <c r="H17" s="27"/>
      <c r="J17" s="27"/>
      <c r="L17" s="27"/>
      <c r="N17" s="27"/>
      <c r="P17" s="27"/>
      <c r="Q17" s="29"/>
      <c r="R17" s="28">
        <v>60.0</v>
      </c>
      <c r="T17" s="32">
        <v>60.0</v>
      </c>
      <c r="V17" s="27">
        <v>0.0</v>
      </c>
      <c r="X17" s="27">
        <v>0.0</v>
      </c>
      <c r="Z17" s="27">
        <v>0.0</v>
      </c>
      <c r="AB17" s="27">
        <v>0.0</v>
      </c>
      <c r="AC17" s="29"/>
      <c r="AD17" s="26"/>
      <c r="AF17" s="27"/>
      <c r="AH17" s="27"/>
      <c r="AJ17" s="27"/>
      <c r="AL17" s="27"/>
      <c r="AN17" s="27"/>
      <c r="AO17" s="29"/>
      <c r="AP17" s="35">
        <f t="shared" si="1"/>
        <v>2040</v>
      </c>
      <c r="AQ17" s="23">
        <f t="shared" si="2"/>
        <v>120</v>
      </c>
      <c r="AR17" s="23">
        <f t="shared" si="3"/>
        <v>0</v>
      </c>
      <c r="AS17" s="23">
        <f t="shared" si="4"/>
        <v>120</v>
      </c>
      <c r="AT17" s="36">
        <f t="shared" si="5"/>
        <v>17</v>
      </c>
      <c r="AU17" s="37"/>
      <c r="AV17" s="37"/>
      <c r="AW17" s="37"/>
    </row>
    <row r="18" ht="15.75" customHeight="1">
      <c r="A18" s="39" t="s">
        <v>27</v>
      </c>
      <c r="B18" s="40">
        <f t="shared" si="6"/>
        <v>44578</v>
      </c>
      <c r="C18" s="41">
        <v>1.0</v>
      </c>
      <c r="D18" s="41" t="s">
        <v>34</v>
      </c>
      <c r="E18" s="43" t="s">
        <v>26</v>
      </c>
      <c r="F18" s="26"/>
      <c r="H18" s="27"/>
      <c r="J18" s="27"/>
      <c r="L18" s="27"/>
      <c r="N18" s="27"/>
      <c r="P18" s="27"/>
      <c r="Q18" s="29"/>
      <c r="R18" s="28">
        <v>60.0</v>
      </c>
      <c r="T18" s="32">
        <v>60.0</v>
      </c>
      <c r="V18" s="27">
        <v>0.0</v>
      </c>
      <c r="X18" s="27">
        <v>0.0</v>
      </c>
      <c r="Z18" s="27">
        <v>0.0</v>
      </c>
      <c r="AB18" s="27">
        <v>0.0</v>
      </c>
      <c r="AC18" s="29"/>
      <c r="AD18" s="26"/>
      <c r="AF18" s="27"/>
      <c r="AH18" s="27"/>
      <c r="AJ18" s="27"/>
      <c r="AL18" s="27"/>
      <c r="AN18" s="27"/>
      <c r="AO18" s="29"/>
      <c r="AP18" s="45">
        <f t="shared" si="1"/>
        <v>2040</v>
      </c>
      <c r="AQ18" s="41">
        <f t="shared" si="2"/>
        <v>120</v>
      </c>
      <c r="AR18" s="41">
        <f t="shared" si="3"/>
        <v>0</v>
      </c>
      <c r="AS18" s="41">
        <f t="shared" si="4"/>
        <v>120</v>
      </c>
      <c r="AT18" s="46">
        <f t="shared" si="5"/>
        <v>17</v>
      </c>
      <c r="AU18" s="37"/>
      <c r="AV18" s="37"/>
      <c r="AW18" s="37"/>
    </row>
    <row r="19" ht="15.75" customHeight="1">
      <c r="A19" s="39" t="s">
        <v>28</v>
      </c>
      <c r="B19" s="40">
        <f t="shared" si="6"/>
        <v>44579</v>
      </c>
      <c r="C19" s="41">
        <v>1.0</v>
      </c>
      <c r="D19" s="41" t="s">
        <v>34</v>
      </c>
      <c r="E19" s="43" t="s">
        <v>26</v>
      </c>
      <c r="F19" s="26"/>
      <c r="H19" s="27"/>
      <c r="J19" s="27"/>
      <c r="L19" s="27"/>
      <c r="N19" s="27"/>
      <c r="P19" s="27"/>
      <c r="Q19" s="29"/>
      <c r="R19" s="28">
        <v>60.0</v>
      </c>
      <c r="T19" s="32">
        <v>60.0</v>
      </c>
      <c r="V19" s="27">
        <v>0.0</v>
      </c>
      <c r="X19" s="27">
        <v>0.0</v>
      </c>
      <c r="Z19" s="27">
        <v>0.0</v>
      </c>
      <c r="AB19" s="27">
        <v>0.0</v>
      </c>
      <c r="AC19" s="29"/>
      <c r="AD19" s="26"/>
      <c r="AF19" s="27"/>
      <c r="AH19" s="27"/>
      <c r="AJ19" s="27"/>
      <c r="AL19" s="27"/>
      <c r="AN19" s="27"/>
      <c r="AO19" s="29"/>
      <c r="AP19" s="45">
        <f t="shared" si="1"/>
        <v>2040</v>
      </c>
      <c r="AQ19" s="41">
        <f t="shared" si="2"/>
        <v>120</v>
      </c>
      <c r="AR19" s="41">
        <f t="shared" si="3"/>
        <v>0</v>
      </c>
      <c r="AS19" s="41">
        <f t="shared" si="4"/>
        <v>120</v>
      </c>
      <c r="AT19" s="46">
        <f t="shared" si="5"/>
        <v>17</v>
      </c>
      <c r="AU19" s="37"/>
      <c r="AV19" s="37"/>
      <c r="AW19" s="37"/>
    </row>
    <row r="20" ht="15.75" customHeight="1">
      <c r="A20" s="39" t="s">
        <v>29</v>
      </c>
      <c r="B20" s="40">
        <f t="shared" si="6"/>
        <v>44580</v>
      </c>
      <c r="C20" s="41">
        <v>1.0</v>
      </c>
      <c r="D20" s="41" t="s">
        <v>34</v>
      </c>
      <c r="E20" s="43" t="s">
        <v>26</v>
      </c>
      <c r="F20" s="26"/>
      <c r="H20" s="27"/>
      <c r="J20" s="27"/>
      <c r="L20" s="27"/>
      <c r="N20" s="27"/>
      <c r="P20" s="27"/>
      <c r="Q20" s="29"/>
      <c r="R20" s="28">
        <v>60.0</v>
      </c>
      <c r="T20" s="32">
        <v>60.0</v>
      </c>
      <c r="V20" s="27">
        <v>0.0</v>
      </c>
      <c r="X20" s="27">
        <v>0.0</v>
      </c>
      <c r="Z20" s="27">
        <v>0.0</v>
      </c>
      <c r="AB20" s="27">
        <v>0.0</v>
      </c>
      <c r="AC20" s="29"/>
      <c r="AD20" s="26"/>
      <c r="AF20" s="27"/>
      <c r="AH20" s="27"/>
      <c r="AJ20" s="27"/>
      <c r="AL20" s="27"/>
      <c r="AN20" s="27"/>
      <c r="AO20" s="29"/>
      <c r="AP20" s="45">
        <f t="shared" si="1"/>
        <v>2040</v>
      </c>
      <c r="AQ20" s="41">
        <f t="shared" si="2"/>
        <v>120</v>
      </c>
      <c r="AR20" s="41">
        <f t="shared" si="3"/>
        <v>0</v>
      </c>
      <c r="AS20" s="41">
        <f t="shared" si="4"/>
        <v>120</v>
      </c>
      <c r="AT20" s="46">
        <f t="shared" si="5"/>
        <v>17</v>
      </c>
      <c r="AU20" s="37"/>
      <c r="AV20" s="37"/>
      <c r="AW20" s="37"/>
    </row>
    <row r="21" ht="15.75" customHeight="1">
      <c r="A21" s="39" t="s">
        <v>30</v>
      </c>
      <c r="B21" s="40">
        <f t="shared" si="6"/>
        <v>44581</v>
      </c>
      <c r="C21" s="41">
        <v>1.0</v>
      </c>
      <c r="D21" s="41" t="s">
        <v>34</v>
      </c>
      <c r="E21" s="43" t="s">
        <v>26</v>
      </c>
      <c r="F21" s="26"/>
      <c r="H21" s="27"/>
      <c r="J21" s="27"/>
      <c r="L21" s="27"/>
      <c r="N21" s="27"/>
      <c r="P21" s="27"/>
      <c r="Q21" s="29"/>
      <c r="R21" s="28">
        <v>60.0</v>
      </c>
      <c r="T21" s="32">
        <v>60.0</v>
      </c>
      <c r="V21" s="27">
        <v>0.0</v>
      </c>
      <c r="X21" s="27">
        <v>0.0</v>
      </c>
      <c r="Z21" s="27">
        <v>0.0</v>
      </c>
      <c r="AB21" s="27">
        <v>0.0</v>
      </c>
      <c r="AC21" s="29"/>
      <c r="AD21" s="26"/>
      <c r="AF21" s="27"/>
      <c r="AH21" s="27"/>
      <c r="AJ21" s="27"/>
      <c r="AL21" s="27"/>
      <c r="AN21" s="27"/>
      <c r="AO21" s="29"/>
      <c r="AP21" s="45">
        <f t="shared" si="1"/>
        <v>2040</v>
      </c>
      <c r="AQ21" s="41">
        <f t="shared" si="2"/>
        <v>120</v>
      </c>
      <c r="AR21" s="41">
        <f t="shared" si="3"/>
        <v>0</v>
      </c>
      <c r="AS21" s="41">
        <f t="shared" si="4"/>
        <v>120</v>
      </c>
      <c r="AT21" s="46">
        <f t="shared" si="5"/>
        <v>17</v>
      </c>
      <c r="AU21" s="37"/>
      <c r="AV21" s="37"/>
      <c r="AW21" s="37"/>
    </row>
    <row r="22" ht="15.75" customHeight="1">
      <c r="A22" s="39" t="s">
        <v>31</v>
      </c>
      <c r="B22" s="40">
        <f t="shared" si="6"/>
        <v>44582</v>
      </c>
      <c r="C22" s="41">
        <v>1.0</v>
      </c>
      <c r="D22" s="41" t="s">
        <v>34</v>
      </c>
      <c r="E22" s="43" t="s">
        <v>26</v>
      </c>
      <c r="F22" s="26"/>
      <c r="H22" s="27"/>
      <c r="J22" s="27"/>
      <c r="L22" s="27"/>
      <c r="N22" s="27"/>
      <c r="P22" s="27"/>
      <c r="Q22" s="29"/>
      <c r="R22" s="26"/>
      <c r="T22" s="27"/>
      <c r="V22" s="27"/>
      <c r="X22" s="27"/>
      <c r="Z22" s="27"/>
      <c r="AB22" s="27"/>
      <c r="AC22" s="29"/>
      <c r="AD22" s="26"/>
      <c r="AF22" s="27"/>
      <c r="AH22" s="27"/>
      <c r="AJ22" s="27"/>
      <c r="AL22" s="27"/>
      <c r="AN22" s="27"/>
      <c r="AO22" s="29"/>
      <c r="AP22" s="45">
        <f t="shared" si="1"/>
        <v>0</v>
      </c>
      <c r="AQ22" s="41">
        <f t="shared" si="2"/>
        <v>0</v>
      </c>
      <c r="AR22" s="41">
        <f t="shared" si="3"/>
        <v>0</v>
      </c>
      <c r="AS22" s="41">
        <f t="shared" si="4"/>
        <v>0</v>
      </c>
      <c r="AT22" s="46" t="str">
        <f t="shared" si="5"/>
        <v/>
      </c>
      <c r="AU22" s="37"/>
      <c r="AV22" s="37"/>
      <c r="AW22" s="37"/>
    </row>
    <row r="23" ht="15.75" customHeight="1">
      <c r="A23" s="49" t="s">
        <v>32</v>
      </c>
      <c r="B23" s="50">
        <f t="shared" si="6"/>
        <v>44583</v>
      </c>
      <c r="C23" s="51">
        <v>1.0</v>
      </c>
      <c r="D23" s="51" t="s">
        <v>34</v>
      </c>
      <c r="E23" s="53" t="s">
        <v>26</v>
      </c>
      <c r="F23" s="54"/>
      <c r="G23" s="55"/>
      <c r="H23" s="56"/>
      <c r="I23" s="55"/>
      <c r="J23" s="56"/>
      <c r="K23" s="55"/>
      <c r="L23" s="56"/>
      <c r="M23" s="55"/>
      <c r="N23" s="56"/>
      <c r="O23" s="55"/>
      <c r="P23" s="56"/>
      <c r="Q23" s="58"/>
      <c r="R23" s="54"/>
      <c r="S23" s="55"/>
      <c r="T23" s="56"/>
      <c r="U23" s="55"/>
      <c r="V23" s="56"/>
      <c r="W23" s="55"/>
      <c r="X23" s="56"/>
      <c r="Y23" s="55"/>
      <c r="Z23" s="56"/>
      <c r="AA23" s="55"/>
      <c r="AB23" s="56"/>
      <c r="AC23" s="58"/>
      <c r="AD23" s="54"/>
      <c r="AE23" s="55"/>
      <c r="AF23" s="56"/>
      <c r="AG23" s="55"/>
      <c r="AH23" s="56"/>
      <c r="AI23" s="55"/>
      <c r="AJ23" s="56"/>
      <c r="AK23" s="55"/>
      <c r="AL23" s="56"/>
      <c r="AM23" s="55"/>
      <c r="AN23" s="56"/>
      <c r="AO23" s="58"/>
      <c r="AP23" s="60">
        <f t="shared" si="1"/>
        <v>0</v>
      </c>
      <c r="AQ23" s="51">
        <f t="shared" si="2"/>
        <v>0</v>
      </c>
      <c r="AR23" s="51">
        <f t="shared" si="3"/>
        <v>0</v>
      </c>
      <c r="AS23" s="51">
        <f t="shared" si="4"/>
        <v>0</v>
      </c>
      <c r="AT23" s="61" t="str">
        <f t="shared" si="5"/>
        <v/>
      </c>
      <c r="AU23" s="37"/>
      <c r="AV23" s="37"/>
      <c r="AW23" s="37"/>
    </row>
    <row r="24" ht="15.75" customHeight="1">
      <c r="A24" s="21" t="s">
        <v>24</v>
      </c>
      <c r="B24" s="62">
        <f t="shared" si="6"/>
        <v>44584</v>
      </c>
      <c r="C24" s="23">
        <v>1.0</v>
      </c>
      <c r="D24" s="23" t="s">
        <v>35</v>
      </c>
      <c r="E24" s="63" t="s">
        <v>26</v>
      </c>
      <c r="F24" s="26"/>
      <c r="H24" s="27"/>
      <c r="J24" s="27"/>
      <c r="L24" s="27"/>
      <c r="N24" s="27"/>
      <c r="P24" s="27"/>
      <c r="Q24" s="29"/>
      <c r="R24" s="26">
        <v>50.0</v>
      </c>
      <c r="T24" s="27">
        <v>50.0</v>
      </c>
      <c r="V24" s="27">
        <v>0.0</v>
      </c>
      <c r="X24" s="27">
        <v>0.0</v>
      </c>
      <c r="Z24" s="27">
        <v>0.0</v>
      </c>
      <c r="AB24" s="27">
        <v>0.0</v>
      </c>
      <c r="AC24" s="29"/>
      <c r="AD24" s="26"/>
      <c r="AF24" s="27"/>
      <c r="AH24" s="27"/>
      <c r="AJ24" s="27"/>
      <c r="AL24" s="27"/>
      <c r="AN24" s="27"/>
      <c r="AO24" s="29"/>
      <c r="AP24" s="35">
        <f t="shared" si="1"/>
        <v>1700</v>
      </c>
      <c r="AQ24" s="23">
        <f t="shared" si="2"/>
        <v>100</v>
      </c>
      <c r="AR24" s="23">
        <f t="shared" si="3"/>
        <v>0</v>
      </c>
      <c r="AS24" s="23">
        <f t="shared" si="4"/>
        <v>100</v>
      </c>
      <c r="AT24" s="36">
        <f t="shared" si="5"/>
        <v>17</v>
      </c>
      <c r="AU24" s="37"/>
      <c r="AV24" s="37"/>
      <c r="AW24" s="37"/>
    </row>
    <row r="25" ht="15.75" customHeight="1">
      <c r="A25" s="39" t="s">
        <v>27</v>
      </c>
      <c r="B25" s="40">
        <f t="shared" si="6"/>
        <v>44585</v>
      </c>
      <c r="C25" s="41">
        <v>1.0</v>
      </c>
      <c r="D25" s="41" t="s">
        <v>35</v>
      </c>
      <c r="E25" s="43" t="s">
        <v>26</v>
      </c>
      <c r="F25" s="26"/>
      <c r="H25" s="27"/>
      <c r="J25" s="27"/>
      <c r="L25" s="27"/>
      <c r="N25" s="27"/>
      <c r="P25" s="27"/>
      <c r="Q25" s="29"/>
      <c r="R25" s="26">
        <v>50.0</v>
      </c>
      <c r="T25" s="27">
        <v>50.0</v>
      </c>
      <c r="V25" s="27">
        <v>0.0</v>
      </c>
      <c r="X25" s="27">
        <v>0.0</v>
      </c>
      <c r="Z25" s="27">
        <v>0.0</v>
      </c>
      <c r="AB25" s="27">
        <v>0.0</v>
      </c>
      <c r="AC25" s="29"/>
      <c r="AD25" s="26"/>
      <c r="AF25" s="27"/>
      <c r="AH25" s="27"/>
      <c r="AJ25" s="27"/>
      <c r="AL25" s="27"/>
      <c r="AN25" s="27"/>
      <c r="AO25" s="29"/>
      <c r="AP25" s="45">
        <f t="shared" si="1"/>
        <v>1700</v>
      </c>
      <c r="AQ25" s="41">
        <f t="shared" si="2"/>
        <v>100</v>
      </c>
      <c r="AR25" s="41">
        <f t="shared" si="3"/>
        <v>0</v>
      </c>
      <c r="AS25" s="41">
        <f t="shared" si="4"/>
        <v>100</v>
      </c>
      <c r="AT25" s="46">
        <f t="shared" si="5"/>
        <v>17</v>
      </c>
      <c r="AU25" s="37"/>
      <c r="AV25" s="37"/>
      <c r="AW25" s="37"/>
    </row>
    <row r="26" ht="15.75" customHeight="1">
      <c r="A26" s="39" t="s">
        <v>28</v>
      </c>
      <c r="B26" s="40">
        <f t="shared" si="6"/>
        <v>44586</v>
      </c>
      <c r="C26" s="41">
        <v>1.0</v>
      </c>
      <c r="D26" s="41" t="s">
        <v>35</v>
      </c>
      <c r="E26" s="43" t="s">
        <v>26</v>
      </c>
      <c r="F26" s="26"/>
      <c r="H26" s="27"/>
      <c r="J26" s="27"/>
      <c r="L26" s="27"/>
      <c r="N26" s="27"/>
      <c r="P26" s="27"/>
      <c r="Q26" s="29"/>
      <c r="R26" s="26">
        <v>50.0</v>
      </c>
      <c r="T26" s="27">
        <v>50.0</v>
      </c>
      <c r="V26" s="27">
        <v>0.0</v>
      </c>
      <c r="X26" s="27">
        <v>0.0</v>
      </c>
      <c r="Z26" s="27">
        <v>0.0</v>
      </c>
      <c r="AB26" s="27">
        <v>0.0</v>
      </c>
      <c r="AC26" s="29"/>
      <c r="AD26" s="26"/>
      <c r="AF26" s="27"/>
      <c r="AH26" s="27"/>
      <c r="AJ26" s="27"/>
      <c r="AL26" s="27"/>
      <c r="AN26" s="27"/>
      <c r="AO26" s="29"/>
      <c r="AP26" s="45">
        <f t="shared" si="1"/>
        <v>1700</v>
      </c>
      <c r="AQ26" s="41">
        <f t="shared" si="2"/>
        <v>100</v>
      </c>
      <c r="AR26" s="41">
        <f t="shared" si="3"/>
        <v>0</v>
      </c>
      <c r="AS26" s="41">
        <f t="shared" si="4"/>
        <v>100</v>
      </c>
      <c r="AT26" s="46">
        <f t="shared" si="5"/>
        <v>17</v>
      </c>
      <c r="AU26" s="37"/>
      <c r="AV26" s="37"/>
      <c r="AW26" s="37"/>
    </row>
    <row r="27" ht="15.75" customHeight="1">
      <c r="A27" s="39" t="s">
        <v>29</v>
      </c>
      <c r="B27" s="40">
        <f t="shared" si="6"/>
        <v>44587</v>
      </c>
      <c r="C27" s="41">
        <v>1.0</v>
      </c>
      <c r="D27" s="41" t="s">
        <v>35</v>
      </c>
      <c r="E27" s="43" t="s">
        <v>26</v>
      </c>
      <c r="F27" s="26"/>
      <c r="H27" s="27"/>
      <c r="J27" s="27"/>
      <c r="L27" s="27"/>
      <c r="N27" s="27"/>
      <c r="P27" s="27"/>
      <c r="Q27" s="29"/>
      <c r="R27" s="26">
        <v>50.0</v>
      </c>
      <c r="T27" s="27">
        <v>50.0</v>
      </c>
      <c r="V27" s="27">
        <v>0.0</v>
      </c>
      <c r="X27" s="27">
        <v>0.0</v>
      </c>
      <c r="Z27" s="27">
        <v>0.0</v>
      </c>
      <c r="AB27" s="27">
        <v>0.0</v>
      </c>
      <c r="AC27" s="29"/>
      <c r="AD27" s="26"/>
      <c r="AF27" s="27"/>
      <c r="AH27" s="27"/>
      <c r="AJ27" s="27"/>
      <c r="AL27" s="27"/>
      <c r="AN27" s="27"/>
      <c r="AO27" s="29"/>
      <c r="AP27" s="45">
        <f t="shared" si="1"/>
        <v>1700</v>
      </c>
      <c r="AQ27" s="41">
        <f t="shared" si="2"/>
        <v>100</v>
      </c>
      <c r="AR27" s="41">
        <f t="shared" si="3"/>
        <v>0</v>
      </c>
      <c r="AS27" s="41">
        <f t="shared" si="4"/>
        <v>100</v>
      </c>
      <c r="AT27" s="46">
        <f t="shared" si="5"/>
        <v>17</v>
      </c>
      <c r="AU27" s="37"/>
      <c r="AV27" s="37"/>
      <c r="AW27" s="37"/>
    </row>
    <row r="28" ht="15.75" customHeight="1">
      <c r="A28" s="39" t="s">
        <v>30</v>
      </c>
      <c r="B28" s="40">
        <f t="shared" si="6"/>
        <v>44588</v>
      </c>
      <c r="C28" s="41">
        <v>1.0</v>
      </c>
      <c r="D28" s="41" t="s">
        <v>35</v>
      </c>
      <c r="E28" s="43" t="s">
        <v>26</v>
      </c>
      <c r="F28" s="26"/>
      <c r="H28" s="27"/>
      <c r="J28" s="27"/>
      <c r="L28" s="27"/>
      <c r="N28" s="27"/>
      <c r="P28" s="27"/>
      <c r="Q28" s="29"/>
      <c r="R28" s="26">
        <v>50.0</v>
      </c>
      <c r="T28" s="27">
        <v>50.0</v>
      </c>
      <c r="V28" s="27">
        <v>0.0</v>
      </c>
      <c r="X28" s="27">
        <v>0.0</v>
      </c>
      <c r="Z28" s="27">
        <v>0.0</v>
      </c>
      <c r="AB28" s="27">
        <v>0.0</v>
      </c>
      <c r="AC28" s="29"/>
      <c r="AD28" s="26"/>
      <c r="AF28" s="27"/>
      <c r="AH28" s="27"/>
      <c r="AJ28" s="27"/>
      <c r="AL28" s="27"/>
      <c r="AN28" s="27"/>
      <c r="AO28" s="29"/>
      <c r="AP28" s="45">
        <f t="shared" si="1"/>
        <v>1700</v>
      </c>
      <c r="AQ28" s="41">
        <f t="shared" si="2"/>
        <v>100</v>
      </c>
      <c r="AR28" s="41">
        <f t="shared" si="3"/>
        <v>0</v>
      </c>
      <c r="AS28" s="41">
        <f t="shared" si="4"/>
        <v>100</v>
      </c>
      <c r="AT28" s="46">
        <f t="shared" si="5"/>
        <v>17</v>
      </c>
      <c r="AU28" s="37"/>
      <c r="AV28" s="37"/>
      <c r="AW28" s="37"/>
    </row>
    <row r="29" ht="15.75" customHeight="1">
      <c r="A29" s="39" t="s">
        <v>31</v>
      </c>
      <c r="B29" s="40">
        <f t="shared" si="6"/>
        <v>44589</v>
      </c>
      <c r="C29" s="41">
        <v>1.0</v>
      </c>
      <c r="D29" s="41" t="s">
        <v>35</v>
      </c>
      <c r="E29" s="43" t="s">
        <v>26</v>
      </c>
      <c r="F29" s="26"/>
      <c r="H29" s="27"/>
      <c r="J29" s="27"/>
      <c r="L29" s="27"/>
      <c r="N29" s="27"/>
      <c r="P29" s="27"/>
      <c r="Q29" s="29"/>
      <c r="R29" s="26"/>
      <c r="T29" s="27"/>
      <c r="V29" s="27"/>
      <c r="X29" s="27"/>
      <c r="Z29" s="27"/>
      <c r="AB29" s="27"/>
      <c r="AC29" s="29"/>
      <c r="AD29" s="26"/>
      <c r="AF29" s="27"/>
      <c r="AH29" s="27"/>
      <c r="AJ29" s="27"/>
      <c r="AL29" s="27"/>
      <c r="AN29" s="27"/>
      <c r="AO29" s="29"/>
      <c r="AP29" s="45">
        <f t="shared" si="1"/>
        <v>0</v>
      </c>
      <c r="AQ29" s="41">
        <f t="shared" si="2"/>
        <v>0</v>
      </c>
      <c r="AR29" s="41">
        <f t="shared" si="3"/>
        <v>0</v>
      </c>
      <c r="AS29" s="41">
        <f t="shared" si="4"/>
        <v>0</v>
      </c>
      <c r="AT29" s="46" t="str">
        <f t="shared" si="5"/>
        <v/>
      </c>
      <c r="AU29" s="37"/>
      <c r="AV29" s="37"/>
      <c r="AW29" s="37"/>
    </row>
    <row r="30" ht="15.75" customHeight="1">
      <c r="A30" s="49" t="s">
        <v>32</v>
      </c>
      <c r="B30" s="50">
        <f t="shared" si="6"/>
        <v>44590</v>
      </c>
      <c r="C30" s="51">
        <v>1.0</v>
      </c>
      <c r="D30" s="51" t="s">
        <v>35</v>
      </c>
      <c r="E30" s="53" t="s">
        <v>26</v>
      </c>
      <c r="F30" s="54"/>
      <c r="G30" s="55"/>
      <c r="H30" s="56"/>
      <c r="I30" s="55"/>
      <c r="J30" s="56"/>
      <c r="K30" s="55"/>
      <c r="L30" s="56"/>
      <c r="M30" s="55"/>
      <c r="N30" s="56"/>
      <c r="O30" s="55"/>
      <c r="P30" s="56"/>
      <c r="Q30" s="58"/>
      <c r="R30" s="54"/>
      <c r="S30" s="55"/>
      <c r="T30" s="56"/>
      <c r="U30" s="55"/>
      <c r="V30" s="56"/>
      <c r="W30" s="55"/>
      <c r="X30" s="56"/>
      <c r="Y30" s="55"/>
      <c r="Z30" s="56"/>
      <c r="AA30" s="55"/>
      <c r="AB30" s="56"/>
      <c r="AC30" s="58"/>
      <c r="AD30" s="54"/>
      <c r="AE30" s="55"/>
      <c r="AF30" s="56"/>
      <c r="AG30" s="55"/>
      <c r="AH30" s="56"/>
      <c r="AI30" s="55"/>
      <c r="AJ30" s="56"/>
      <c r="AK30" s="55"/>
      <c r="AL30" s="56"/>
      <c r="AM30" s="55"/>
      <c r="AN30" s="56"/>
      <c r="AO30" s="58"/>
      <c r="AP30" s="60">
        <f t="shared" si="1"/>
        <v>0</v>
      </c>
      <c r="AQ30" s="51">
        <f t="shared" si="2"/>
        <v>0</v>
      </c>
      <c r="AR30" s="51">
        <f t="shared" si="3"/>
        <v>0</v>
      </c>
      <c r="AS30" s="51">
        <f t="shared" si="4"/>
        <v>0</v>
      </c>
      <c r="AT30" s="61" t="str">
        <f t="shared" si="5"/>
        <v/>
      </c>
      <c r="AU30" s="37"/>
      <c r="AV30" s="37"/>
      <c r="AW30" s="37"/>
    </row>
    <row r="31" ht="15.75" customHeight="1">
      <c r="A31" s="21" t="s">
        <v>24</v>
      </c>
      <c r="B31" s="62">
        <f t="shared" si="6"/>
        <v>44591</v>
      </c>
      <c r="C31" s="23">
        <v>2.0</v>
      </c>
      <c r="D31" s="23" t="s">
        <v>25</v>
      </c>
      <c r="E31" s="63" t="s">
        <v>26</v>
      </c>
      <c r="F31" s="26"/>
      <c r="H31" s="27"/>
      <c r="J31" s="27"/>
      <c r="L31" s="27"/>
      <c r="N31" s="27"/>
      <c r="P31" s="27"/>
      <c r="Q31" s="29"/>
      <c r="R31" s="26">
        <v>60.0</v>
      </c>
      <c r="T31" s="27">
        <v>60.0</v>
      </c>
      <c r="V31" s="27">
        <v>0.0</v>
      </c>
      <c r="X31" s="27">
        <v>0.0</v>
      </c>
      <c r="Z31" s="27">
        <v>0.0</v>
      </c>
      <c r="AB31" s="27">
        <v>0.0</v>
      </c>
      <c r="AC31" s="29"/>
      <c r="AD31" s="26"/>
      <c r="AF31" s="27"/>
      <c r="AH31" s="27"/>
      <c r="AJ31" s="27"/>
      <c r="AL31" s="27"/>
      <c r="AN31" s="27"/>
      <c r="AO31" s="29"/>
      <c r="AP31" s="35">
        <f t="shared" si="1"/>
        <v>2040</v>
      </c>
      <c r="AQ31" s="23">
        <f t="shared" si="2"/>
        <v>120</v>
      </c>
      <c r="AR31" s="23">
        <f t="shared" si="3"/>
        <v>0</v>
      </c>
      <c r="AS31" s="23">
        <f t="shared" si="4"/>
        <v>120</v>
      </c>
      <c r="AT31" s="36">
        <f t="shared" si="5"/>
        <v>17</v>
      </c>
      <c r="AU31" s="37"/>
      <c r="AV31" s="37"/>
      <c r="AW31" s="37"/>
    </row>
    <row r="32" ht="15.75" customHeight="1">
      <c r="A32" s="39" t="s">
        <v>27</v>
      </c>
      <c r="B32" s="40">
        <f t="shared" si="6"/>
        <v>44592</v>
      </c>
      <c r="C32" s="41">
        <v>2.0</v>
      </c>
      <c r="D32" s="41" t="s">
        <v>25</v>
      </c>
      <c r="E32" s="43" t="s">
        <v>26</v>
      </c>
      <c r="F32" s="26"/>
      <c r="H32" s="27"/>
      <c r="J32" s="27"/>
      <c r="L32" s="27"/>
      <c r="N32" s="27"/>
      <c r="P32" s="27"/>
      <c r="Q32" s="29"/>
      <c r="R32" s="26">
        <v>60.0</v>
      </c>
      <c r="T32" s="27">
        <v>60.0</v>
      </c>
      <c r="V32" s="27">
        <v>0.0</v>
      </c>
      <c r="X32" s="27">
        <v>0.0</v>
      </c>
      <c r="Z32" s="27">
        <v>0.0</v>
      </c>
      <c r="AB32" s="27">
        <v>0.0</v>
      </c>
      <c r="AC32" s="29"/>
      <c r="AD32" s="26"/>
      <c r="AF32" s="27"/>
      <c r="AH32" s="27"/>
      <c r="AJ32" s="27"/>
      <c r="AL32" s="27"/>
      <c r="AN32" s="27"/>
      <c r="AO32" s="29"/>
      <c r="AP32" s="45">
        <f t="shared" si="1"/>
        <v>2040</v>
      </c>
      <c r="AQ32" s="41">
        <f t="shared" si="2"/>
        <v>120</v>
      </c>
      <c r="AR32" s="41">
        <f t="shared" si="3"/>
        <v>0</v>
      </c>
      <c r="AS32" s="41">
        <f t="shared" si="4"/>
        <v>120</v>
      </c>
      <c r="AT32" s="46">
        <f t="shared" si="5"/>
        <v>17</v>
      </c>
      <c r="AU32" s="37"/>
      <c r="AV32" s="37"/>
      <c r="AW32" s="37"/>
    </row>
    <row r="33" ht="15.75" customHeight="1">
      <c r="A33" s="39" t="s">
        <v>28</v>
      </c>
      <c r="B33" s="40">
        <f t="shared" si="6"/>
        <v>44593</v>
      </c>
      <c r="C33" s="41">
        <v>2.0</v>
      </c>
      <c r="D33" s="41" t="s">
        <v>25</v>
      </c>
      <c r="E33" s="43" t="s">
        <v>26</v>
      </c>
      <c r="F33" s="26"/>
      <c r="H33" s="27"/>
      <c r="J33" s="27"/>
      <c r="L33" s="27"/>
      <c r="N33" s="27"/>
      <c r="P33" s="27"/>
      <c r="Q33" s="29"/>
      <c r="R33" s="26">
        <v>60.0</v>
      </c>
      <c r="T33" s="27">
        <v>60.0</v>
      </c>
      <c r="V33" s="27">
        <v>0.0</v>
      </c>
      <c r="X33" s="27">
        <v>0.0</v>
      </c>
      <c r="Z33" s="27">
        <v>0.0</v>
      </c>
      <c r="AB33" s="27">
        <v>0.0</v>
      </c>
      <c r="AC33" s="29"/>
      <c r="AD33" s="26"/>
      <c r="AF33" s="27"/>
      <c r="AH33" s="27"/>
      <c r="AJ33" s="27"/>
      <c r="AL33" s="27"/>
      <c r="AN33" s="27"/>
      <c r="AO33" s="29"/>
      <c r="AP33" s="45">
        <f t="shared" si="1"/>
        <v>2040</v>
      </c>
      <c r="AQ33" s="41">
        <f t="shared" si="2"/>
        <v>120</v>
      </c>
      <c r="AR33" s="41">
        <f t="shared" si="3"/>
        <v>0</v>
      </c>
      <c r="AS33" s="41">
        <f t="shared" si="4"/>
        <v>120</v>
      </c>
      <c r="AT33" s="46">
        <f t="shared" si="5"/>
        <v>17</v>
      </c>
      <c r="AU33" s="37"/>
      <c r="AV33" s="37"/>
      <c r="AW33" s="37"/>
    </row>
    <row r="34" ht="15.75" customHeight="1">
      <c r="A34" s="39" t="s">
        <v>29</v>
      </c>
      <c r="B34" s="40">
        <f t="shared" si="6"/>
        <v>44594</v>
      </c>
      <c r="C34" s="41">
        <v>2.0</v>
      </c>
      <c r="D34" s="41" t="s">
        <v>25</v>
      </c>
      <c r="E34" s="43" t="s">
        <v>26</v>
      </c>
      <c r="F34" s="26"/>
      <c r="H34" s="27"/>
      <c r="J34" s="27"/>
      <c r="L34" s="27"/>
      <c r="N34" s="27"/>
      <c r="P34" s="27"/>
      <c r="Q34" s="29"/>
      <c r="R34" s="26">
        <v>60.0</v>
      </c>
      <c r="T34" s="27">
        <v>60.0</v>
      </c>
      <c r="V34" s="27">
        <v>0.0</v>
      </c>
      <c r="X34" s="27">
        <v>0.0</v>
      </c>
      <c r="Z34" s="27">
        <v>0.0</v>
      </c>
      <c r="AB34" s="27">
        <v>0.0</v>
      </c>
      <c r="AC34" s="29"/>
      <c r="AD34" s="26"/>
      <c r="AF34" s="27"/>
      <c r="AH34" s="27"/>
      <c r="AJ34" s="27"/>
      <c r="AL34" s="27"/>
      <c r="AN34" s="27"/>
      <c r="AO34" s="29"/>
      <c r="AP34" s="45">
        <f t="shared" si="1"/>
        <v>2040</v>
      </c>
      <c r="AQ34" s="41">
        <f t="shared" si="2"/>
        <v>120</v>
      </c>
      <c r="AR34" s="41">
        <f t="shared" si="3"/>
        <v>0</v>
      </c>
      <c r="AS34" s="41">
        <f t="shared" si="4"/>
        <v>120</v>
      </c>
      <c r="AT34" s="46">
        <f t="shared" si="5"/>
        <v>17</v>
      </c>
      <c r="AU34" s="37"/>
      <c r="AV34" s="37"/>
      <c r="AW34" s="37"/>
    </row>
    <row r="35" ht="15.75" customHeight="1">
      <c r="A35" s="39" t="s">
        <v>30</v>
      </c>
      <c r="B35" s="40">
        <f t="shared" si="6"/>
        <v>44595</v>
      </c>
      <c r="C35" s="41">
        <v>2.0</v>
      </c>
      <c r="D35" s="41" t="s">
        <v>25</v>
      </c>
      <c r="E35" s="43" t="s">
        <v>26</v>
      </c>
      <c r="F35" s="26"/>
      <c r="H35" s="27"/>
      <c r="J35" s="27"/>
      <c r="L35" s="27"/>
      <c r="N35" s="27"/>
      <c r="P35" s="27"/>
      <c r="Q35" s="29"/>
      <c r="R35" s="26">
        <v>60.0</v>
      </c>
      <c r="T35" s="27">
        <v>60.0</v>
      </c>
      <c r="V35" s="27">
        <v>0.0</v>
      </c>
      <c r="X35" s="27">
        <v>0.0</v>
      </c>
      <c r="Z35" s="27">
        <v>0.0</v>
      </c>
      <c r="AB35" s="27">
        <v>0.0</v>
      </c>
      <c r="AC35" s="29"/>
      <c r="AD35" s="26"/>
      <c r="AF35" s="27"/>
      <c r="AH35" s="27"/>
      <c r="AJ35" s="27"/>
      <c r="AL35" s="27"/>
      <c r="AN35" s="27"/>
      <c r="AO35" s="29"/>
      <c r="AP35" s="45">
        <f t="shared" si="1"/>
        <v>2040</v>
      </c>
      <c r="AQ35" s="41">
        <f t="shared" si="2"/>
        <v>120</v>
      </c>
      <c r="AR35" s="41">
        <f t="shared" si="3"/>
        <v>0</v>
      </c>
      <c r="AS35" s="41">
        <f t="shared" si="4"/>
        <v>120</v>
      </c>
      <c r="AT35" s="46">
        <f t="shared" si="5"/>
        <v>17</v>
      </c>
      <c r="AU35" s="37"/>
      <c r="AV35" s="37"/>
      <c r="AW35" s="37"/>
    </row>
    <row r="36" ht="15.75" customHeight="1">
      <c r="A36" s="39" t="s">
        <v>31</v>
      </c>
      <c r="B36" s="40">
        <f t="shared" si="6"/>
        <v>44596</v>
      </c>
      <c r="C36" s="41">
        <v>2.0</v>
      </c>
      <c r="D36" s="41" t="s">
        <v>25</v>
      </c>
      <c r="E36" s="43" t="s">
        <v>26</v>
      </c>
      <c r="F36" s="26"/>
      <c r="H36" s="27"/>
      <c r="J36" s="27"/>
      <c r="L36" s="27"/>
      <c r="N36" s="27"/>
      <c r="P36" s="27"/>
      <c r="Q36" s="29"/>
      <c r="R36" s="26"/>
      <c r="T36" s="27"/>
      <c r="V36" s="27"/>
      <c r="X36" s="27"/>
      <c r="Z36" s="27"/>
      <c r="AB36" s="27"/>
      <c r="AC36" s="29"/>
      <c r="AD36" s="26"/>
      <c r="AF36" s="27"/>
      <c r="AH36" s="27"/>
      <c r="AJ36" s="27"/>
      <c r="AL36" s="27"/>
      <c r="AN36" s="27"/>
      <c r="AO36" s="29"/>
      <c r="AP36" s="45">
        <f t="shared" si="1"/>
        <v>0</v>
      </c>
      <c r="AQ36" s="41">
        <f t="shared" si="2"/>
        <v>0</v>
      </c>
      <c r="AR36" s="41">
        <f t="shared" si="3"/>
        <v>0</v>
      </c>
      <c r="AS36" s="41">
        <f t="shared" si="4"/>
        <v>0</v>
      </c>
      <c r="AT36" s="46" t="str">
        <f t="shared" si="5"/>
        <v/>
      </c>
      <c r="AU36" s="37"/>
      <c r="AV36" s="37"/>
      <c r="AW36" s="37"/>
    </row>
    <row r="37" ht="15.75" customHeight="1">
      <c r="A37" s="49" t="s">
        <v>32</v>
      </c>
      <c r="B37" s="50">
        <f t="shared" si="6"/>
        <v>44597</v>
      </c>
      <c r="C37" s="51">
        <v>2.0</v>
      </c>
      <c r="D37" s="51" t="s">
        <v>25</v>
      </c>
      <c r="E37" s="53" t="s">
        <v>26</v>
      </c>
      <c r="F37" s="54"/>
      <c r="G37" s="55"/>
      <c r="H37" s="56"/>
      <c r="I37" s="55"/>
      <c r="J37" s="56"/>
      <c r="K37" s="55"/>
      <c r="L37" s="56"/>
      <c r="M37" s="55"/>
      <c r="N37" s="56"/>
      <c r="O37" s="55"/>
      <c r="P37" s="56"/>
      <c r="Q37" s="58"/>
      <c r="R37" s="54"/>
      <c r="S37" s="55"/>
      <c r="T37" s="56"/>
      <c r="U37" s="55"/>
      <c r="V37" s="56"/>
      <c r="W37" s="55"/>
      <c r="X37" s="56"/>
      <c r="Y37" s="55"/>
      <c r="Z37" s="56"/>
      <c r="AA37" s="55"/>
      <c r="AB37" s="56"/>
      <c r="AC37" s="58"/>
      <c r="AD37" s="54"/>
      <c r="AE37" s="55"/>
      <c r="AF37" s="56"/>
      <c r="AG37" s="55"/>
      <c r="AH37" s="56"/>
      <c r="AI37" s="55"/>
      <c r="AJ37" s="56"/>
      <c r="AK37" s="55"/>
      <c r="AL37" s="56"/>
      <c r="AM37" s="55"/>
      <c r="AN37" s="56"/>
      <c r="AO37" s="58"/>
      <c r="AP37" s="60">
        <f t="shared" si="1"/>
        <v>0</v>
      </c>
      <c r="AQ37" s="51">
        <f t="shared" si="2"/>
        <v>0</v>
      </c>
      <c r="AR37" s="51">
        <f t="shared" si="3"/>
        <v>0</v>
      </c>
      <c r="AS37" s="51">
        <f t="shared" si="4"/>
        <v>0</v>
      </c>
      <c r="AT37" s="61" t="str">
        <f t="shared" si="5"/>
        <v/>
      </c>
      <c r="AU37" s="37"/>
      <c r="AV37" s="37"/>
      <c r="AW37" s="37"/>
    </row>
    <row r="38" ht="15.75" customHeight="1">
      <c r="A38" s="21" t="s">
        <v>24</v>
      </c>
      <c r="B38" s="62">
        <f t="shared" si="6"/>
        <v>44598</v>
      </c>
      <c r="C38" s="23">
        <v>2.0</v>
      </c>
      <c r="D38" s="23" t="s">
        <v>33</v>
      </c>
      <c r="E38" s="63" t="s">
        <v>26</v>
      </c>
      <c r="F38" s="26"/>
      <c r="H38" s="27"/>
      <c r="J38" s="27"/>
      <c r="L38" s="27"/>
      <c r="N38" s="27"/>
      <c r="P38" s="27"/>
      <c r="Q38" s="29"/>
      <c r="R38" s="26">
        <v>70.0</v>
      </c>
      <c r="T38" s="27">
        <v>70.0</v>
      </c>
      <c r="V38" s="27">
        <v>0.0</v>
      </c>
      <c r="X38" s="27">
        <v>0.0</v>
      </c>
      <c r="Z38" s="27">
        <v>0.0</v>
      </c>
      <c r="AB38" s="27">
        <v>0.0</v>
      </c>
      <c r="AC38" s="29"/>
      <c r="AD38" s="26"/>
      <c r="AF38" s="27"/>
      <c r="AH38" s="27"/>
      <c r="AJ38" s="27"/>
      <c r="AL38" s="27"/>
      <c r="AN38" s="27"/>
      <c r="AO38" s="29"/>
      <c r="AP38" s="35">
        <f t="shared" si="1"/>
        <v>2380</v>
      </c>
      <c r="AQ38" s="23">
        <f t="shared" si="2"/>
        <v>140</v>
      </c>
      <c r="AR38" s="23">
        <f t="shared" si="3"/>
        <v>0</v>
      </c>
      <c r="AS38" s="23">
        <f t="shared" si="4"/>
        <v>140</v>
      </c>
      <c r="AT38" s="36">
        <f t="shared" si="5"/>
        <v>17</v>
      </c>
      <c r="AU38" s="37"/>
      <c r="AV38" s="37"/>
      <c r="AW38" s="37"/>
    </row>
    <row r="39" ht="15.75" customHeight="1">
      <c r="A39" s="39" t="s">
        <v>27</v>
      </c>
      <c r="B39" s="40">
        <f t="shared" si="6"/>
        <v>44599</v>
      </c>
      <c r="C39" s="41">
        <v>2.0</v>
      </c>
      <c r="D39" s="41" t="s">
        <v>33</v>
      </c>
      <c r="E39" s="43" t="s">
        <v>26</v>
      </c>
      <c r="F39" s="26"/>
      <c r="H39" s="27"/>
      <c r="J39" s="27"/>
      <c r="L39" s="27"/>
      <c r="N39" s="27"/>
      <c r="P39" s="27"/>
      <c r="Q39" s="29"/>
      <c r="R39" s="26">
        <v>70.0</v>
      </c>
      <c r="T39" s="27">
        <v>70.0</v>
      </c>
      <c r="V39" s="27">
        <v>0.0</v>
      </c>
      <c r="X39" s="27">
        <v>0.0</v>
      </c>
      <c r="Z39" s="27">
        <v>0.0</v>
      </c>
      <c r="AB39" s="27">
        <v>0.0</v>
      </c>
      <c r="AC39" s="29"/>
      <c r="AD39" s="26"/>
      <c r="AF39" s="27"/>
      <c r="AH39" s="27"/>
      <c r="AJ39" s="27"/>
      <c r="AL39" s="27"/>
      <c r="AN39" s="27"/>
      <c r="AO39" s="29"/>
      <c r="AP39" s="45">
        <f t="shared" si="1"/>
        <v>2380</v>
      </c>
      <c r="AQ39" s="41">
        <f t="shared" si="2"/>
        <v>140</v>
      </c>
      <c r="AR39" s="41">
        <f t="shared" si="3"/>
        <v>0</v>
      </c>
      <c r="AS39" s="41">
        <f t="shared" si="4"/>
        <v>140</v>
      </c>
      <c r="AT39" s="46">
        <f t="shared" si="5"/>
        <v>17</v>
      </c>
      <c r="AU39" s="37"/>
      <c r="AV39" s="37"/>
      <c r="AW39" s="37"/>
    </row>
    <row r="40" ht="15.75" customHeight="1">
      <c r="A40" s="39" t="s">
        <v>28</v>
      </c>
      <c r="B40" s="40">
        <f t="shared" si="6"/>
        <v>44600</v>
      </c>
      <c r="C40" s="41">
        <v>2.0</v>
      </c>
      <c r="D40" s="41" t="s">
        <v>33</v>
      </c>
      <c r="E40" s="43" t="s">
        <v>26</v>
      </c>
      <c r="F40" s="26"/>
      <c r="H40" s="27"/>
      <c r="J40" s="27"/>
      <c r="L40" s="27"/>
      <c r="N40" s="27"/>
      <c r="P40" s="27"/>
      <c r="Q40" s="29"/>
      <c r="R40" s="26">
        <v>70.0</v>
      </c>
      <c r="T40" s="27">
        <v>70.0</v>
      </c>
      <c r="V40" s="27">
        <v>0.0</v>
      </c>
      <c r="X40" s="27">
        <v>0.0</v>
      </c>
      <c r="Z40" s="27">
        <v>0.0</v>
      </c>
      <c r="AB40" s="27">
        <v>0.0</v>
      </c>
      <c r="AC40" s="29"/>
      <c r="AD40" s="26"/>
      <c r="AF40" s="27"/>
      <c r="AH40" s="27"/>
      <c r="AJ40" s="27"/>
      <c r="AL40" s="27"/>
      <c r="AN40" s="27"/>
      <c r="AO40" s="29"/>
      <c r="AP40" s="45">
        <f t="shared" si="1"/>
        <v>2380</v>
      </c>
      <c r="AQ40" s="41">
        <f t="shared" si="2"/>
        <v>140</v>
      </c>
      <c r="AR40" s="41">
        <f t="shared" si="3"/>
        <v>0</v>
      </c>
      <c r="AS40" s="41">
        <f t="shared" si="4"/>
        <v>140</v>
      </c>
      <c r="AT40" s="46">
        <f t="shared" si="5"/>
        <v>17</v>
      </c>
      <c r="AU40" s="37"/>
      <c r="AV40" s="37"/>
      <c r="AW40" s="37"/>
    </row>
    <row r="41" ht="15.75" customHeight="1">
      <c r="A41" s="39" t="s">
        <v>29</v>
      </c>
      <c r="B41" s="40">
        <f t="shared" si="6"/>
        <v>44601</v>
      </c>
      <c r="C41" s="41">
        <v>2.0</v>
      </c>
      <c r="D41" s="41" t="s">
        <v>33</v>
      </c>
      <c r="E41" s="43" t="s">
        <v>26</v>
      </c>
      <c r="F41" s="26"/>
      <c r="H41" s="27"/>
      <c r="J41" s="27"/>
      <c r="L41" s="27"/>
      <c r="N41" s="27"/>
      <c r="P41" s="27"/>
      <c r="Q41" s="29"/>
      <c r="R41" s="26">
        <v>70.0</v>
      </c>
      <c r="T41" s="27">
        <v>70.0</v>
      </c>
      <c r="V41" s="27">
        <v>0.0</v>
      </c>
      <c r="X41" s="27">
        <v>0.0</v>
      </c>
      <c r="Z41" s="27">
        <v>0.0</v>
      </c>
      <c r="AB41" s="27">
        <v>0.0</v>
      </c>
      <c r="AC41" s="29"/>
      <c r="AD41" s="26"/>
      <c r="AF41" s="27"/>
      <c r="AH41" s="27"/>
      <c r="AJ41" s="27"/>
      <c r="AL41" s="27"/>
      <c r="AN41" s="27"/>
      <c r="AO41" s="29"/>
      <c r="AP41" s="45">
        <f t="shared" si="1"/>
        <v>2380</v>
      </c>
      <c r="AQ41" s="41">
        <f t="shared" si="2"/>
        <v>140</v>
      </c>
      <c r="AR41" s="41">
        <f t="shared" si="3"/>
        <v>0</v>
      </c>
      <c r="AS41" s="41">
        <f t="shared" si="4"/>
        <v>140</v>
      </c>
      <c r="AT41" s="46">
        <f t="shared" si="5"/>
        <v>17</v>
      </c>
      <c r="AU41" s="37"/>
      <c r="AV41" s="37"/>
      <c r="AW41" s="37"/>
    </row>
    <row r="42" ht="15.75" customHeight="1">
      <c r="A42" s="39" t="s">
        <v>30</v>
      </c>
      <c r="B42" s="40">
        <f t="shared" si="6"/>
        <v>44602</v>
      </c>
      <c r="C42" s="41">
        <v>2.0</v>
      </c>
      <c r="D42" s="41" t="s">
        <v>33</v>
      </c>
      <c r="E42" s="43" t="s">
        <v>26</v>
      </c>
      <c r="F42" s="26"/>
      <c r="H42" s="27"/>
      <c r="J42" s="27"/>
      <c r="L42" s="27"/>
      <c r="N42" s="27"/>
      <c r="P42" s="27"/>
      <c r="Q42" s="29"/>
      <c r="R42" s="26">
        <v>70.0</v>
      </c>
      <c r="T42" s="27">
        <v>70.0</v>
      </c>
      <c r="V42" s="27">
        <v>0.0</v>
      </c>
      <c r="X42" s="27">
        <v>0.0</v>
      </c>
      <c r="Z42" s="27">
        <v>0.0</v>
      </c>
      <c r="AB42" s="27">
        <v>0.0</v>
      </c>
      <c r="AC42" s="29"/>
      <c r="AD42" s="26"/>
      <c r="AF42" s="27"/>
      <c r="AH42" s="27"/>
      <c r="AJ42" s="27"/>
      <c r="AL42" s="27"/>
      <c r="AN42" s="27"/>
      <c r="AO42" s="29"/>
      <c r="AP42" s="45">
        <f t="shared" si="1"/>
        <v>2380</v>
      </c>
      <c r="AQ42" s="41">
        <f t="shared" si="2"/>
        <v>140</v>
      </c>
      <c r="AR42" s="41">
        <f t="shared" si="3"/>
        <v>0</v>
      </c>
      <c r="AS42" s="41">
        <f t="shared" si="4"/>
        <v>140</v>
      </c>
      <c r="AT42" s="46">
        <f t="shared" si="5"/>
        <v>17</v>
      </c>
      <c r="AU42" s="37"/>
      <c r="AV42" s="37"/>
      <c r="AW42" s="37"/>
    </row>
    <row r="43" ht="15.75" customHeight="1">
      <c r="A43" s="39" t="s">
        <v>31</v>
      </c>
      <c r="B43" s="40">
        <f t="shared" si="6"/>
        <v>44603</v>
      </c>
      <c r="C43" s="41">
        <v>2.0</v>
      </c>
      <c r="D43" s="41" t="s">
        <v>33</v>
      </c>
      <c r="E43" s="43" t="s">
        <v>26</v>
      </c>
      <c r="F43" s="26"/>
      <c r="H43" s="27"/>
      <c r="J43" s="27"/>
      <c r="L43" s="27"/>
      <c r="N43" s="27"/>
      <c r="P43" s="27"/>
      <c r="Q43" s="29"/>
      <c r="R43" s="26"/>
      <c r="T43" s="27"/>
      <c r="V43" s="27"/>
      <c r="X43" s="27"/>
      <c r="Z43" s="27"/>
      <c r="AB43" s="27"/>
      <c r="AC43" s="29"/>
      <c r="AD43" s="26"/>
      <c r="AF43" s="27"/>
      <c r="AH43" s="27"/>
      <c r="AJ43" s="27"/>
      <c r="AL43" s="27"/>
      <c r="AN43" s="27"/>
      <c r="AO43" s="29"/>
      <c r="AP43" s="45">
        <f t="shared" si="1"/>
        <v>0</v>
      </c>
      <c r="AQ43" s="41">
        <f t="shared" si="2"/>
        <v>0</v>
      </c>
      <c r="AR43" s="41">
        <f t="shared" si="3"/>
        <v>0</v>
      </c>
      <c r="AS43" s="41">
        <f t="shared" si="4"/>
        <v>0</v>
      </c>
      <c r="AT43" s="46" t="str">
        <f t="shared" si="5"/>
        <v/>
      </c>
      <c r="AU43" s="37"/>
      <c r="AV43" s="37"/>
      <c r="AW43" s="37"/>
    </row>
    <row r="44" ht="15.75" customHeight="1">
      <c r="A44" s="49" t="s">
        <v>32</v>
      </c>
      <c r="B44" s="50">
        <f t="shared" si="6"/>
        <v>44604</v>
      </c>
      <c r="C44" s="51">
        <v>2.0</v>
      </c>
      <c r="D44" s="51" t="s">
        <v>33</v>
      </c>
      <c r="E44" s="53" t="s">
        <v>26</v>
      </c>
      <c r="F44" s="54"/>
      <c r="G44" s="55"/>
      <c r="H44" s="56"/>
      <c r="I44" s="55"/>
      <c r="J44" s="56"/>
      <c r="K44" s="55"/>
      <c r="L44" s="56"/>
      <c r="M44" s="55"/>
      <c r="N44" s="56"/>
      <c r="O44" s="55"/>
      <c r="P44" s="56"/>
      <c r="Q44" s="58"/>
      <c r="R44" s="54"/>
      <c r="S44" s="55"/>
      <c r="T44" s="56"/>
      <c r="U44" s="55"/>
      <c r="V44" s="56"/>
      <c r="W44" s="55"/>
      <c r="X44" s="56"/>
      <c r="Y44" s="55"/>
      <c r="Z44" s="56"/>
      <c r="AA44" s="55"/>
      <c r="AB44" s="56"/>
      <c r="AC44" s="58"/>
      <c r="AD44" s="54"/>
      <c r="AE44" s="55"/>
      <c r="AF44" s="56"/>
      <c r="AG44" s="55"/>
      <c r="AH44" s="56"/>
      <c r="AI44" s="55"/>
      <c r="AJ44" s="56"/>
      <c r="AK44" s="55"/>
      <c r="AL44" s="56"/>
      <c r="AM44" s="55"/>
      <c r="AN44" s="56"/>
      <c r="AO44" s="58"/>
      <c r="AP44" s="60">
        <f t="shared" si="1"/>
        <v>0</v>
      </c>
      <c r="AQ44" s="51">
        <f t="shared" si="2"/>
        <v>0</v>
      </c>
      <c r="AR44" s="51">
        <f t="shared" si="3"/>
        <v>0</v>
      </c>
      <c r="AS44" s="51">
        <f t="shared" si="4"/>
        <v>0</v>
      </c>
      <c r="AT44" s="61" t="str">
        <f t="shared" si="5"/>
        <v/>
      </c>
      <c r="AU44" s="37"/>
      <c r="AV44" s="37"/>
      <c r="AW44" s="37"/>
    </row>
    <row r="45" ht="15.75" customHeight="1">
      <c r="A45" s="21" t="s">
        <v>24</v>
      </c>
      <c r="B45" s="62">
        <f t="shared" si="6"/>
        <v>44605</v>
      </c>
      <c r="C45" s="23">
        <v>2.0</v>
      </c>
      <c r="D45" s="23" t="s">
        <v>34</v>
      </c>
      <c r="E45" s="25" t="s">
        <v>37</v>
      </c>
      <c r="F45" s="28">
        <v>50.0</v>
      </c>
      <c r="H45" s="32">
        <v>50.0</v>
      </c>
      <c r="J45" s="27">
        <v>0.0</v>
      </c>
      <c r="L45" s="27"/>
      <c r="N45" s="27"/>
      <c r="P45" s="27"/>
      <c r="Q45" s="29"/>
      <c r="R45" s="26">
        <v>75.0</v>
      </c>
      <c r="T45" s="27">
        <v>75.0</v>
      </c>
      <c r="V45" s="27">
        <v>0.0</v>
      </c>
      <c r="X45" s="27">
        <v>0.0</v>
      </c>
      <c r="Z45" s="27">
        <v>0.0</v>
      </c>
      <c r="AB45" s="27">
        <v>0.0</v>
      </c>
      <c r="AC45" s="29"/>
      <c r="AD45" s="26"/>
      <c r="AF45" s="27"/>
      <c r="AH45" s="27"/>
      <c r="AJ45" s="27"/>
      <c r="AL45" s="27"/>
      <c r="AN45" s="27"/>
      <c r="AO45" s="29"/>
      <c r="AP45" s="35">
        <f t="shared" si="1"/>
        <v>5950</v>
      </c>
      <c r="AQ45" s="23">
        <f t="shared" si="2"/>
        <v>250</v>
      </c>
      <c r="AR45" s="23">
        <f t="shared" si="3"/>
        <v>0</v>
      </c>
      <c r="AS45" s="23">
        <f t="shared" si="4"/>
        <v>250</v>
      </c>
      <c r="AT45" s="36">
        <f t="shared" si="5"/>
        <v>23.8</v>
      </c>
      <c r="AU45" s="37"/>
      <c r="AV45" s="37"/>
      <c r="AW45" s="37"/>
    </row>
    <row r="46" ht="15.75" customHeight="1">
      <c r="A46" s="39" t="s">
        <v>27</v>
      </c>
      <c r="B46" s="40">
        <f t="shared" si="6"/>
        <v>44606</v>
      </c>
      <c r="C46" s="41">
        <v>2.0</v>
      </c>
      <c r="D46" s="41" t="s">
        <v>34</v>
      </c>
      <c r="E46" s="43" t="s">
        <v>37</v>
      </c>
      <c r="F46" s="28">
        <v>50.0</v>
      </c>
      <c r="H46" s="32">
        <v>50.0</v>
      </c>
      <c r="J46" s="27">
        <v>0.0</v>
      </c>
      <c r="L46" s="27"/>
      <c r="N46" s="27"/>
      <c r="P46" s="27"/>
      <c r="Q46" s="29"/>
      <c r="R46" s="26">
        <v>75.0</v>
      </c>
      <c r="T46" s="27">
        <v>75.0</v>
      </c>
      <c r="V46" s="27">
        <v>0.0</v>
      </c>
      <c r="X46" s="27">
        <v>0.0</v>
      </c>
      <c r="Z46" s="27">
        <v>0.0</v>
      </c>
      <c r="AB46" s="27">
        <v>0.0</v>
      </c>
      <c r="AC46" s="29"/>
      <c r="AD46" s="26"/>
      <c r="AF46" s="27"/>
      <c r="AH46" s="27"/>
      <c r="AJ46" s="27"/>
      <c r="AL46" s="27"/>
      <c r="AN46" s="27"/>
      <c r="AO46" s="29"/>
      <c r="AP46" s="45">
        <f t="shared" si="1"/>
        <v>5950</v>
      </c>
      <c r="AQ46" s="41">
        <f t="shared" si="2"/>
        <v>250</v>
      </c>
      <c r="AR46" s="41">
        <f t="shared" si="3"/>
        <v>0</v>
      </c>
      <c r="AS46" s="41">
        <f t="shared" si="4"/>
        <v>250</v>
      </c>
      <c r="AT46" s="46">
        <f t="shared" si="5"/>
        <v>23.8</v>
      </c>
      <c r="AU46" s="37"/>
      <c r="AV46" s="37"/>
      <c r="AW46" s="37"/>
    </row>
    <row r="47" ht="15.75" customHeight="1">
      <c r="A47" s="39" t="s">
        <v>28</v>
      </c>
      <c r="B47" s="40">
        <f t="shared" si="6"/>
        <v>44607</v>
      </c>
      <c r="C47" s="41">
        <v>2.0</v>
      </c>
      <c r="D47" s="41" t="s">
        <v>34</v>
      </c>
      <c r="E47" s="43" t="s">
        <v>37</v>
      </c>
      <c r="F47" s="26">
        <v>100.0</v>
      </c>
      <c r="H47" s="27">
        <v>100.0</v>
      </c>
      <c r="J47" s="27">
        <v>0.0</v>
      </c>
      <c r="L47" s="27"/>
      <c r="N47" s="27"/>
      <c r="P47" s="27"/>
      <c r="Q47" s="29"/>
      <c r="R47" s="26">
        <v>75.0</v>
      </c>
      <c r="T47" s="27">
        <v>75.0</v>
      </c>
      <c r="V47" s="27">
        <v>0.0</v>
      </c>
      <c r="X47" s="27">
        <v>0.0</v>
      </c>
      <c r="Z47" s="27">
        <v>0.0</v>
      </c>
      <c r="AB47" s="27">
        <v>0.0</v>
      </c>
      <c r="AC47" s="29"/>
      <c r="AD47" s="26"/>
      <c r="AF47" s="27"/>
      <c r="AH47" s="27"/>
      <c r="AJ47" s="27"/>
      <c r="AL47" s="27"/>
      <c r="AN47" s="27"/>
      <c r="AO47" s="29"/>
      <c r="AP47" s="45">
        <f t="shared" si="1"/>
        <v>9350</v>
      </c>
      <c r="AQ47" s="41">
        <f t="shared" si="2"/>
        <v>350</v>
      </c>
      <c r="AR47" s="41">
        <f t="shared" si="3"/>
        <v>0</v>
      </c>
      <c r="AS47" s="41">
        <f t="shared" si="4"/>
        <v>350</v>
      </c>
      <c r="AT47" s="46">
        <f t="shared" si="5"/>
        <v>26.71428571</v>
      </c>
      <c r="AU47" s="37"/>
      <c r="AV47" s="37"/>
      <c r="AW47" s="37"/>
    </row>
    <row r="48" ht="15.75" customHeight="1">
      <c r="A48" s="39" t="s">
        <v>29</v>
      </c>
      <c r="B48" s="40">
        <f t="shared" si="6"/>
        <v>44608</v>
      </c>
      <c r="C48" s="41">
        <v>2.0</v>
      </c>
      <c r="D48" s="41" t="s">
        <v>34</v>
      </c>
      <c r="E48" s="43" t="s">
        <v>37</v>
      </c>
      <c r="F48" s="26">
        <v>100.0</v>
      </c>
      <c r="H48" s="27">
        <v>100.0</v>
      </c>
      <c r="J48" s="27">
        <v>0.0</v>
      </c>
      <c r="L48" s="27"/>
      <c r="N48" s="27"/>
      <c r="P48" s="27"/>
      <c r="Q48" s="29"/>
      <c r="R48" s="26">
        <v>75.0</v>
      </c>
      <c r="T48" s="27">
        <v>75.0</v>
      </c>
      <c r="V48" s="27">
        <v>0.0</v>
      </c>
      <c r="X48" s="27">
        <v>0.0</v>
      </c>
      <c r="Z48" s="27">
        <v>0.0</v>
      </c>
      <c r="AB48" s="27">
        <v>0.0</v>
      </c>
      <c r="AC48" s="29"/>
      <c r="AD48" s="26"/>
      <c r="AF48" s="27"/>
      <c r="AH48" s="27"/>
      <c r="AJ48" s="27"/>
      <c r="AL48" s="27"/>
      <c r="AN48" s="27"/>
      <c r="AO48" s="29"/>
      <c r="AP48" s="45">
        <f t="shared" si="1"/>
        <v>9350</v>
      </c>
      <c r="AQ48" s="41">
        <f t="shared" si="2"/>
        <v>350</v>
      </c>
      <c r="AR48" s="41">
        <f t="shared" si="3"/>
        <v>0</v>
      </c>
      <c r="AS48" s="41">
        <f t="shared" si="4"/>
        <v>350</v>
      </c>
      <c r="AT48" s="46">
        <f t="shared" si="5"/>
        <v>26.71428571</v>
      </c>
      <c r="AU48" s="37"/>
      <c r="AV48" s="37"/>
      <c r="AW48" s="37"/>
    </row>
    <row r="49" ht="15.75" customHeight="1">
      <c r="A49" s="39" t="s">
        <v>30</v>
      </c>
      <c r="B49" s="40">
        <f t="shared" si="6"/>
        <v>44609</v>
      </c>
      <c r="C49" s="41">
        <v>2.0</v>
      </c>
      <c r="D49" s="41" t="s">
        <v>34</v>
      </c>
      <c r="E49" s="43" t="s">
        <v>37</v>
      </c>
      <c r="F49" s="26">
        <v>100.0</v>
      </c>
      <c r="H49" s="27">
        <v>100.0</v>
      </c>
      <c r="J49" s="27">
        <v>0.0</v>
      </c>
      <c r="L49" s="27"/>
      <c r="N49" s="27"/>
      <c r="P49" s="27"/>
      <c r="Q49" s="29"/>
      <c r="R49" s="26">
        <v>75.0</v>
      </c>
      <c r="T49" s="27">
        <v>75.0</v>
      </c>
      <c r="V49" s="27">
        <v>0.0</v>
      </c>
      <c r="X49" s="27">
        <v>0.0</v>
      </c>
      <c r="Z49" s="27">
        <v>0.0</v>
      </c>
      <c r="AB49" s="27">
        <v>0.0</v>
      </c>
      <c r="AC49" s="29"/>
      <c r="AD49" s="26"/>
      <c r="AF49" s="27"/>
      <c r="AH49" s="27"/>
      <c r="AJ49" s="27"/>
      <c r="AL49" s="27"/>
      <c r="AN49" s="27"/>
      <c r="AO49" s="29"/>
      <c r="AP49" s="45">
        <f t="shared" si="1"/>
        <v>9350</v>
      </c>
      <c r="AQ49" s="41">
        <f t="shared" si="2"/>
        <v>350</v>
      </c>
      <c r="AR49" s="41">
        <f t="shared" si="3"/>
        <v>0</v>
      </c>
      <c r="AS49" s="41">
        <f t="shared" si="4"/>
        <v>350</v>
      </c>
      <c r="AT49" s="46">
        <f t="shared" si="5"/>
        <v>26.71428571</v>
      </c>
      <c r="AU49" s="37"/>
      <c r="AV49" s="37"/>
      <c r="AW49" s="37"/>
    </row>
    <row r="50" ht="15.75" customHeight="1">
      <c r="A50" s="39" t="s">
        <v>31</v>
      </c>
      <c r="B50" s="40">
        <f t="shared" si="6"/>
        <v>44610</v>
      </c>
      <c r="C50" s="41">
        <v>2.0</v>
      </c>
      <c r="D50" s="41" t="s">
        <v>34</v>
      </c>
      <c r="E50" s="43" t="s">
        <v>37</v>
      </c>
      <c r="F50" s="26">
        <v>100.0</v>
      </c>
      <c r="H50" s="27">
        <v>100.0</v>
      </c>
      <c r="J50" s="27">
        <v>0.0</v>
      </c>
      <c r="L50" s="27"/>
      <c r="N50" s="27"/>
      <c r="P50" s="27"/>
      <c r="Q50" s="29"/>
      <c r="R50" s="26">
        <v>75.0</v>
      </c>
      <c r="T50" s="27">
        <v>75.0</v>
      </c>
      <c r="V50" s="27">
        <v>0.0</v>
      </c>
      <c r="X50" s="27">
        <v>0.0</v>
      </c>
      <c r="Z50" s="27">
        <v>0.0</v>
      </c>
      <c r="AB50" s="27">
        <v>0.0</v>
      </c>
      <c r="AC50" s="29"/>
      <c r="AD50" s="26"/>
      <c r="AF50" s="27"/>
      <c r="AH50" s="27"/>
      <c r="AJ50" s="27"/>
      <c r="AL50" s="27"/>
      <c r="AN50" s="27"/>
      <c r="AO50" s="29"/>
      <c r="AP50" s="45">
        <f t="shared" si="1"/>
        <v>9350</v>
      </c>
      <c r="AQ50" s="41">
        <f t="shared" si="2"/>
        <v>350</v>
      </c>
      <c r="AR50" s="41">
        <f t="shared" si="3"/>
        <v>0</v>
      </c>
      <c r="AS50" s="41">
        <f t="shared" si="4"/>
        <v>350</v>
      </c>
      <c r="AT50" s="46">
        <f t="shared" si="5"/>
        <v>26.71428571</v>
      </c>
      <c r="AU50" s="37"/>
      <c r="AV50" s="37"/>
      <c r="AW50" s="37"/>
    </row>
    <row r="51" ht="15.75" customHeight="1">
      <c r="A51" s="49" t="s">
        <v>32</v>
      </c>
      <c r="B51" s="50">
        <f t="shared" si="6"/>
        <v>44611</v>
      </c>
      <c r="C51" s="51">
        <v>2.0</v>
      </c>
      <c r="D51" s="51" t="s">
        <v>34</v>
      </c>
      <c r="E51" s="53" t="s">
        <v>37</v>
      </c>
      <c r="F51" s="54">
        <v>100.0</v>
      </c>
      <c r="G51" s="55"/>
      <c r="H51" s="56">
        <v>100.0</v>
      </c>
      <c r="I51" s="55"/>
      <c r="J51" s="56">
        <v>0.0</v>
      </c>
      <c r="K51" s="55"/>
      <c r="L51" s="56"/>
      <c r="M51" s="55"/>
      <c r="N51" s="56"/>
      <c r="O51" s="55"/>
      <c r="P51" s="56"/>
      <c r="Q51" s="58"/>
      <c r="R51" s="54">
        <v>75.0</v>
      </c>
      <c r="S51" s="55"/>
      <c r="T51" s="56">
        <v>75.0</v>
      </c>
      <c r="U51" s="55"/>
      <c r="V51" s="56">
        <v>0.0</v>
      </c>
      <c r="W51" s="55"/>
      <c r="X51" s="56">
        <v>0.0</v>
      </c>
      <c r="Y51" s="55"/>
      <c r="Z51" s="56">
        <v>0.0</v>
      </c>
      <c r="AA51" s="55"/>
      <c r="AB51" s="56">
        <v>0.0</v>
      </c>
      <c r="AC51" s="58"/>
      <c r="AD51" s="54"/>
      <c r="AE51" s="55"/>
      <c r="AF51" s="56"/>
      <c r="AG51" s="55"/>
      <c r="AH51" s="56"/>
      <c r="AI51" s="55"/>
      <c r="AJ51" s="56"/>
      <c r="AK51" s="55"/>
      <c r="AL51" s="56"/>
      <c r="AM51" s="55"/>
      <c r="AN51" s="56"/>
      <c r="AO51" s="58"/>
      <c r="AP51" s="60">
        <f t="shared" si="1"/>
        <v>9350</v>
      </c>
      <c r="AQ51" s="51">
        <f t="shared" si="2"/>
        <v>350</v>
      </c>
      <c r="AR51" s="51">
        <f t="shared" si="3"/>
        <v>0</v>
      </c>
      <c r="AS51" s="51">
        <f t="shared" si="4"/>
        <v>350</v>
      </c>
      <c r="AT51" s="61">
        <f t="shared" si="5"/>
        <v>26.71428571</v>
      </c>
      <c r="AU51" s="37"/>
      <c r="AV51" s="37"/>
      <c r="AW51" s="37"/>
    </row>
    <row r="52" ht="15.75" customHeight="1">
      <c r="A52" s="21" t="s">
        <v>24</v>
      </c>
      <c r="B52" s="62">
        <f t="shared" si="6"/>
        <v>44612</v>
      </c>
      <c r="C52" s="23">
        <v>2.0</v>
      </c>
      <c r="D52" s="23" t="s">
        <v>35</v>
      </c>
      <c r="E52" s="63" t="s">
        <v>37</v>
      </c>
      <c r="F52" s="26">
        <v>100.0</v>
      </c>
      <c r="H52" s="27">
        <v>100.0</v>
      </c>
      <c r="J52" s="27">
        <v>0.0</v>
      </c>
      <c r="L52" s="27"/>
      <c r="N52" s="27"/>
      <c r="P52" s="27"/>
      <c r="Q52" s="29"/>
      <c r="R52" s="26">
        <v>100.0</v>
      </c>
      <c r="T52" s="27">
        <v>100.0</v>
      </c>
      <c r="V52" s="27">
        <v>0.0</v>
      </c>
      <c r="X52" s="27">
        <v>0.0</v>
      </c>
      <c r="Z52" s="27">
        <v>0.0</v>
      </c>
      <c r="AB52" s="27">
        <v>0.0</v>
      </c>
      <c r="AC52" s="29"/>
      <c r="AD52" s="26"/>
      <c r="AF52" s="27"/>
      <c r="AH52" s="27"/>
      <c r="AJ52" s="27"/>
      <c r="AL52" s="27"/>
      <c r="AN52" s="27"/>
      <c r="AO52" s="29"/>
      <c r="AP52" s="35">
        <f t="shared" si="1"/>
        <v>10200</v>
      </c>
      <c r="AQ52" s="23">
        <f t="shared" si="2"/>
        <v>400</v>
      </c>
      <c r="AR52" s="23">
        <f t="shared" si="3"/>
        <v>0</v>
      </c>
      <c r="AS52" s="23">
        <f t="shared" si="4"/>
        <v>400</v>
      </c>
      <c r="AT52" s="36">
        <f t="shared" si="5"/>
        <v>25.5</v>
      </c>
      <c r="AU52" s="37"/>
      <c r="AV52" s="37"/>
      <c r="AW52" s="37"/>
    </row>
    <row r="53" ht="15.75" customHeight="1">
      <c r="A53" s="39" t="s">
        <v>27</v>
      </c>
      <c r="B53" s="40">
        <f t="shared" si="6"/>
        <v>44613</v>
      </c>
      <c r="C53" s="41">
        <v>2.0</v>
      </c>
      <c r="D53" s="41" t="s">
        <v>35</v>
      </c>
      <c r="E53" s="43" t="s">
        <v>37</v>
      </c>
      <c r="F53" s="26">
        <v>100.0</v>
      </c>
      <c r="H53" s="27">
        <v>100.0</v>
      </c>
      <c r="J53" s="27">
        <v>0.0</v>
      </c>
      <c r="L53" s="27"/>
      <c r="N53" s="27"/>
      <c r="P53" s="27"/>
      <c r="Q53" s="29"/>
      <c r="R53" s="26">
        <v>100.0</v>
      </c>
      <c r="T53" s="27">
        <v>100.0</v>
      </c>
      <c r="V53" s="27">
        <v>0.0</v>
      </c>
      <c r="X53" s="27">
        <v>0.0</v>
      </c>
      <c r="Z53" s="27">
        <v>0.0</v>
      </c>
      <c r="AB53" s="27">
        <v>0.0</v>
      </c>
      <c r="AC53" s="29"/>
      <c r="AD53" s="26"/>
      <c r="AF53" s="27"/>
      <c r="AH53" s="27"/>
      <c r="AJ53" s="27"/>
      <c r="AL53" s="27"/>
      <c r="AN53" s="27"/>
      <c r="AO53" s="29"/>
      <c r="AP53" s="45">
        <f t="shared" si="1"/>
        <v>10200</v>
      </c>
      <c r="AQ53" s="41">
        <f t="shared" si="2"/>
        <v>400</v>
      </c>
      <c r="AR53" s="41">
        <f t="shared" si="3"/>
        <v>0</v>
      </c>
      <c r="AS53" s="41">
        <f t="shared" si="4"/>
        <v>400</v>
      </c>
      <c r="AT53" s="46">
        <f t="shared" si="5"/>
        <v>25.5</v>
      </c>
      <c r="AU53" s="37"/>
      <c r="AV53" s="37"/>
      <c r="AW53" s="37"/>
    </row>
    <row r="54" ht="15.75" customHeight="1">
      <c r="A54" s="39" t="s">
        <v>28</v>
      </c>
      <c r="B54" s="40">
        <f t="shared" si="6"/>
        <v>44614</v>
      </c>
      <c r="C54" s="41">
        <v>2.0</v>
      </c>
      <c r="D54" s="41" t="s">
        <v>35</v>
      </c>
      <c r="E54" s="43" t="s">
        <v>37</v>
      </c>
      <c r="F54" s="26">
        <v>100.0</v>
      </c>
      <c r="H54" s="27">
        <v>100.0</v>
      </c>
      <c r="J54" s="27">
        <v>0.0</v>
      </c>
      <c r="L54" s="27"/>
      <c r="N54" s="27"/>
      <c r="P54" s="27"/>
      <c r="Q54" s="29"/>
      <c r="R54" s="26">
        <v>100.0</v>
      </c>
      <c r="T54" s="27">
        <v>100.0</v>
      </c>
      <c r="V54" s="27">
        <v>0.0</v>
      </c>
      <c r="X54" s="27">
        <v>0.0</v>
      </c>
      <c r="Z54" s="27">
        <v>0.0</v>
      </c>
      <c r="AB54" s="27">
        <v>0.0</v>
      </c>
      <c r="AC54" s="29"/>
      <c r="AD54" s="26"/>
      <c r="AF54" s="27"/>
      <c r="AH54" s="27"/>
      <c r="AJ54" s="27"/>
      <c r="AL54" s="27"/>
      <c r="AN54" s="27"/>
      <c r="AO54" s="29"/>
      <c r="AP54" s="45">
        <f t="shared" si="1"/>
        <v>10200</v>
      </c>
      <c r="AQ54" s="41">
        <f t="shared" si="2"/>
        <v>400</v>
      </c>
      <c r="AR54" s="41">
        <f t="shared" si="3"/>
        <v>0</v>
      </c>
      <c r="AS54" s="41">
        <f t="shared" si="4"/>
        <v>400</v>
      </c>
      <c r="AT54" s="46">
        <f t="shared" si="5"/>
        <v>25.5</v>
      </c>
      <c r="AU54" s="37"/>
      <c r="AV54" s="37"/>
      <c r="AW54" s="37"/>
    </row>
    <row r="55" ht="15.75" customHeight="1">
      <c r="A55" s="39" t="s">
        <v>29</v>
      </c>
      <c r="B55" s="40">
        <f t="shared" si="6"/>
        <v>44615</v>
      </c>
      <c r="C55" s="41">
        <v>2.0</v>
      </c>
      <c r="D55" s="41" t="s">
        <v>35</v>
      </c>
      <c r="E55" s="43" t="s">
        <v>37</v>
      </c>
      <c r="F55" s="26">
        <v>100.0</v>
      </c>
      <c r="H55" s="27">
        <v>100.0</v>
      </c>
      <c r="J55" s="27">
        <v>0.0</v>
      </c>
      <c r="L55" s="27"/>
      <c r="N55" s="27"/>
      <c r="P55" s="27"/>
      <c r="Q55" s="29"/>
      <c r="R55" s="26">
        <v>100.0</v>
      </c>
      <c r="T55" s="27">
        <v>100.0</v>
      </c>
      <c r="V55" s="27">
        <v>0.0</v>
      </c>
      <c r="X55" s="27">
        <v>0.0</v>
      </c>
      <c r="Z55" s="27">
        <v>0.0</v>
      </c>
      <c r="AB55" s="27">
        <v>0.0</v>
      </c>
      <c r="AC55" s="29"/>
      <c r="AD55" s="26"/>
      <c r="AF55" s="27"/>
      <c r="AH55" s="27"/>
      <c r="AJ55" s="27"/>
      <c r="AL55" s="27"/>
      <c r="AN55" s="27"/>
      <c r="AO55" s="29"/>
      <c r="AP55" s="45">
        <f t="shared" si="1"/>
        <v>10200</v>
      </c>
      <c r="AQ55" s="41">
        <f t="shared" si="2"/>
        <v>400</v>
      </c>
      <c r="AR55" s="41">
        <f t="shared" si="3"/>
        <v>0</v>
      </c>
      <c r="AS55" s="41">
        <f t="shared" si="4"/>
        <v>400</v>
      </c>
      <c r="AT55" s="46">
        <f t="shared" si="5"/>
        <v>25.5</v>
      </c>
      <c r="AU55" s="37"/>
      <c r="AV55" s="37"/>
      <c r="AW55" s="37"/>
    </row>
    <row r="56" ht="15.75" customHeight="1">
      <c r="A56" s="39" t="s">
        <v>30</v>
      </c>
      <c r="B56" s="40">
        <f t="shared" si="6"/>
        <v>44616</v>
      </c>
      <c r="C56" s="41">
        <v>2.0</v>
      </c>
      <c r="D56" s="41" t="s">
        <v>35</v>
      </c>
      <c r="E56" s="43" t="s">
        <v>37</v>
      </c>
      <c r="F56" s="26">
        <v>100.0</v>
      </c>
      <c r="H56" s="27">
        <v>100.0</v>
      </c>
      <c r="J56" s="27">
        <v>0.0</v>
      </c>
      <c r="L56" s="27"/>
      <c r="N56" s="27"/>
      <c r="P56" s="27"/>
      <c r="Q56" s="29"/>
      <c r="R56" s="26">
        <v>100.0</v>
      </c>
      <c r="T56" s="27">
        <v>100.0</v>
      </c>
      <c r="V56" s="27">
        <v>0.0</v>
      </c>
      <c r="X56" s="27">
        <v>0.0</v>
      </c>
      <c r="Z56" s="27">
        <v>0.0</v>
      </c>
      <c r="AB56" s="27">
        <v>0.0</v>
      </c>
      <c r="AC56" s="29"/>
      <c r="AD56" s="26"/>
      <c r="AF56" s="27"/>
      <c r="AH56" s="27"/>
      <c r="AJ56" s="27"/>
      <c r="AL56" s="27"/>
      <c r="AN56" s="27"/>
      <c r="AO56" s="29"/>
      <c r="AP56" s="45">
        <f t="shared" si="1"/>
        <v>10200</v>
      </c>
      <c r="AQ56" s="41">
        <f t="shared" si="2"/>
        <v>400</v>
      </c>
      <c r="AR56" s="41">
        <f t="shared" si="3"/>
        <v>0</v>
      </c>
      <c r="AS56" s="41">
        <f t="shared" si="4"/>
        <v>400</v>
      </c>
      <c r="AT56" s="46">
        <f t="shared" si="5"/>
        <v>25.5</v>
      </c>
      <c r="AU56" s="37"/>
      <c r="AV56" s="37"/>
      <c r="AW56" s="37"/>
    </row>
    <row r="57" ht="15.75" customHeight="1">
      <c r="A57" s="39" t="s">
        <v>31</v>
      </c>
      <c r="B57" s="40">
        <f t="shared" si="6"/>
        <v>44617</v>
      </c>
      <c r="C57" s="41">
        <v>2.0</v>
      </c>
      <c r="D57" s="41" t="s">
        <v>35</v>
      </c>
      <c r="E57" s="43" t="s">
        <v>37</v>
      </c>
      <c r="F57" s="26">
        <v>100.0</v>
      </c>
      <c r="H57" s="27">
        <v>100.0</v>
      </c>
      <c r="J57" s="27">
        <v>0.0</v>
      </c>
      <c r="L57" s="27"/>
      <c r="N57" s="27"/>
      <c r="P57" s="27"/>
      <c r="Q57" s="29"/>
      <c r="R57" s="26">
        <v>100.0</v>
      </c>
      <c r="T57" s="27">
        <v>100.0</v>
      </c>
      <c r="V57" s="27">
        <v>0.0</v>
      </c>
      <c r="X57" s="27">
        <v>0.0</v>
      </c>
      <c r="Z57" s="27">
        <v>0.0</v>
      </c>
      <c r="AB57" s="27">
        <v>0.0</v>
      </c>
      <c r="AC57" s="29"/>
      <c r="AD57" s="26"/>
      <c r="AF57" s="27"/>
      <c r="AH57" s="27"/>
      <c r="AJ57" s="27"/>
      <c r="AL57" s="27"/>
      <c r="AN57" s="27"/>
      <c r="AO57" s="29"/>
      <c r="AP57" s="45">
        <f t="shared" si="1"/>
        <v>10200</v>
      </c>
      <c r="AQ57" s="41">
        <f t="shared" si="2"/>
        <v>400</v>
      </c>
      <c r="AR57" s="41">
        <f t="shared" si="3"/>
        <v>0</v>
      </c>
      <c r="AS57" s="41">
        <f t="shared" si="4"/>
        <v>400</v>
      </c>
      <c r="AT57" s="46">
        <f t="shared" si="5"/>
        <v>25.5</v>
      </c>
      <c r="AU57" s="37"/>
      <c r="AV57" s="37"/>
      <c r="AW57" s="37"/>
    </row>
    <row r="58" ht="15.75" customHeight="1">
      <c r="A58" s="49" t="s">
        <v>32</v>
      </c>
      <c r="B58" s="50">
        <f t="shared" si="6"/>
        <v>44618</v>
      </c>
      <c r="C58" s="51">
        <v>2.0</v>
      </c>
      <c r="D58" s="51" t="s">
        <v>35</v>
      </c>
      <c r="E58" s="53" t="s">
        <v>37</v>
      </c>
      <c r="F58" s="54">
        <v>100.0</v>
      </c>
      <c r="G58" s="55"/>
      <c r="H58" s="56">
        <v>100.0</v>
      </c>
      <c r="I58" s="55"/>
      <c r="J58" s="56">
        <v>0.0</v>
      </c>
      <c r="K58" s="55"/>
      <c r="L58" s="56"/>
      <c r="M58" s="55"/>
      <c r="N58" s="56"/>
      <c r="O58" s="55"/>
      <c r="P58" s="56"/>
      <c r="Q58" s="58"/>
      <c r="R58" s="54">
        <v>100.0</v>
      </c>
      <c r="S58" s="55"/>
      <c r="T58" s="56">
        <v>100.0</v>
      </c>
      <c r="U58" s="55"/>
      <c r="V58" s="56">
        <v>0.0</v>
      </c>
      <c r="W58" s="55"/>
      <c r="X58" s="56">
        <v>0.0</v>
      </c>
      <c r="Y58" s="55"/>
      <c r="Z58" s="56">
        <v>0.0</v>
      </c>
      <c r="AA58" s="55"/>
      <c r="AB58" s="56">
        <v>0.0</v>
      </c>
      <c r="AC58" s="58"/>
      <c r="AD58" s="54"/>
      <c r="AE58" s="55"/>
      <c r="AF58" s="56"/>
      <c r="AG58" s="55"/>
      <c r="AH58" s="56"/>
      <c r="AI58" s="55"/>
      <c r="AJ58" s="56"/>
      <c r="AK58" s="55"/>
      <c r="AL58" s="56"/>
      <c r="AM58" s="55"/>
      <c r="AN58" s="56"/>
      <c r="AO58" s="58"/>
      <c r="AP58" s="60">
        <f t="shared" si="1"/>
        <v>10200</v>
      </c>
      <c r="AQ58" s="51">
        <f t="shared" si="2"/>
        <v>400</v>
      </c>
      <c r="AR58" s="51">
        <f t="shared" si="3"/>
        <v>0</v>
      </c>
      <c r="AS58" s="51">
        <f t="shared" si="4"/>
        <v>400</v>
      </c>
      <c r="AT58" s="61">
        <f t="shared" si="5"/>
        <v>25.5</v>
      </c>
      <c r="AU58" s="37"/>
      <c r="AV58" s="37"/>
      <c r="AW58" s="37"/>
    </row>
    <row r="59" ht="15.75" customHeight="1">
      <c r="A59" s="21" t="s">
        <v>24</v>
      </c>
      <c r="B59" s="62">
        <f t="shared" si="6"/>
        <v>44619</v>
      </c>
      <c r="C59" s="23">
        <v>3.0</v>
      </c>
      <c r="D59" s="23" t="s">
        <v>25</v>
      </c>
      <c r="E59" s="63" t="s">
        <v>37</v>
      </c>
      <c r="F59" s="26">
        <v>100.0</v>
      </c>
      <c r="H59" s="27">
        <v>100.0</v>
      </c>
      <c r="J59" s="27">
        <v>0.0</v>
      </c>
      <c r="L59" s="27"/>
      <c r="N59" s="27"/>
      <c r="P59" s="27"/>
      <c r="Q59" s="29"/>
      <c r="R59" s="26">
        <v>150.0</v>
      </c>
      <c r="T59" s="27">
        <v>150.0</v>
      </c>
      <c r="V59" s="27">
        <v>0.0</v>
      </c>
      <c r="X59" s="27">
        <v>0.0</v>
      </c>
      <c r="Z59" s="27">
        <v>0.0</v>
      </c>
      <c r="AB59" s="27">
        <v>0.0</v>
      </c>
      <c r="AC59" s="29"/>
      <c r="AD59" s="26"/>
      <c r="AF59" s="27"/>
      <c r="AH59" s="27"/>
      <c r="AJ59" s="27"/>
      <c r="AL59" s="27"/>
      <c r="AN59" s="27"/>
      <c r="AO59" s="29"/>
      <c r="AP59" s="35">
        <f t="shared" si="1"/>
        <v>11900</v>
      </c>
      <c r="AQ59" s="23">
        <f t="shared" si="2"/>
        <v>500</v>
      </c>
      <c r="AR59" s="23">
        <f t="shared" si="3"/>
        <v>0</v>
      </c>
      <c r="AS59" s="23">
        <f t="shared" si="4"/>
        <v>500</v>
      </c>
      <c r="AT59" s="36">
        <f t="shared" si="5"/>
        <v>23.8</v>
      </c>
      <c r="AU59" s="37"/>
      <c r="AV59" s="37"/>
      <c r="AW59" s="37"/>
    </row>
    <row r="60" ht="15.75" customHeight="1">
      <c r="A60" s="39" t="s">
        <v>27</v>
      </c>
      <c r="B60" s="40">
        <f t="shared" si="6"/>
        <v>44620</v>
      </c>
      <c r="C60" s="41">
        <v>3.0</v>
      </c>
      <c r="D60" s="41" t="s">
        <v>25</v>
      </c>
      <c r="E60" s="43" t="s">
        <v>37</v>
      </c>
      <c r="F60" s="26">
        <v>100.0</v>
      </c>
      <c r="H60" s="27">
        <v>100.0</v>
      </c>
      <c r="J60" s="27">
        <v>0.0</v>
      </c>
      <c r="L60" s="27"/>
      <c r="N60" s="27"/>
      <c r="P60" s="27"/>
      <c r="Q60" s="29"/>
      <c r="R60" s="26">
        <v>150.0</v>
      </c>
      <c r="T60" s="27">
        <v>150.0</v>
      </c>
      <c r="V60" s="27">
        <v>0.0</v>
      </c>
      <c r="X60" s="27">
        <v>0.0</v>
      </c>
      <c r="Z60" s="27">
        <v>0.0</v>
      </c>
      <c r="AB60" s="27">
        <v>0.0</v>
      </c>
      <c r="AC60" s="29"/>
      <c r="AD60" s="26"/>
      <c r="AF60" s="27"/>
      <c r="AH60" s="27"/>
      <c r="AJ60" s="27"/>
      <c r="AL60" s="27"/>
      <c r="AN60" s="27"/>
      <c r="AO60" s="29"/>
      <c r="AP60" s="45">
        <f t="shared" si="1"/>
        <v>11900</v>
      </c>
      <c r="AQ60" s="41">
        <f t="shared" si="2"/>
        <v>500</v>
      </c>
      <c r="AR60" s="41">
        <f t="shared" si="3"/>
        <v>0</v>
      </c>
      <c r="AS60" s="41">
        <f t="shared" si="4"/>
        <v>500</v>
      </c>
      <c r="AT60" s="46">
        <f t="shared" si="5"/>
        <v>23.8</v>
      </c>
      <c r="AU60" s="37"/>
      <c r="AV60" s="37"/>
      <c r="AW60" s="37"/>
    </row>
    <row r="61" ht="15.75" customHeight="1">
      <c r="A61" s="39" t="s">
        <v>28</v>
      </c>
      <c r="B61" s="40">
        <f t="shared" si="6"/>
        <v>44621</v>
      </c>
      <c r="C61" s="41">
        <v>3.0</v>
      </c>
      <c r="D61" s="41" t="s">
        <v>25</v>
      </c>
      <c r="E61" s="43" t="s">
        <v>37</v>
      </c>
      <c r="F61" s="26">
        <v>100.0</v>
      </c>
      <c r="H61" s="27">
        <v>100.0</v>
      </c>
      <c r="J61" s="27">
        <v>0.0</v>
      </c>
      <c r="L61" s="27"/>
      <c r="N61" s="27"/>
      <c r="P61" s="27"/>
      <c r="Q61" s="29"/>
      <c r="R61" s="26">
        <v>150.0</v>
      </c>
      <c r="T61" s="27">
        <v>150.0</v>
      </c>
      <c r="V61" s="27">
        <v>0.0</v>
      </c>
      <c r="X61" s="27">
        <v>0.0</v>
      </c>
      <c r="Z61" s="27">
        <v>0.0</v>
      </c>
      <c r="AB61" s="27">
        <v>0.0</v>
      </c>
      <c r="AC61" s="29"/>
      <c r="AD61" s="26"/>
      <c r="AF61" s="27"/>
      <c r="AH61" s="27"/>
      <c r="AJ61" s="27"/>
      <c r="AL61" s="27"/>
      <c r="AN61" s="27"/>
      <c r="AO61" s="29"/>
      <c r="AP61" s="45">
        <f t="shared" si="1"/>
        <v>11900</v>
      </c>
      <c r="AQ61" s="41">
        <f t="shared" si="2"/>
        <v>500</v>
      </c>
      <c r="AR61" s="41">
        <f t="shared" si="3"/>
        <v>0</v>
      </c>
      <c r="AS61" s="41">
        <f t="shared" si="4"/>
        <v>500</v>
      </c>
      <c r="AT61" s="46">
        <f t="shared" si="5"/>
        <v>23.8</v>
      </c>
      <c r="AU61" s="37"/>
      <c r="AV61" s="37"/>
      <c r="AW61" s="37"/>
    </row>
    <row r="62" ht="15.75" customHeight="1">
      <c r="A62" s="39" t="s">
        <v>29</v>
      </c>
      <c r="B62" s="40">
        <f t="shared" si="6"/>
        <v>44622</v>
      </c>
      <c r="C62" s="41">
        <v>3.0</v>
      </c>
      <c r="D62" s="41" t="s">
        <v>25</v>
      </c>
      <c r="E62" s="43" t="s">
        <v>37</v>
      </c>
      <c r="F62" s="26">
        <v>100.0</v>
      </c>
      <c r="H62" s="27">
        <v>100.0</v>
      </c>
      <c r="J62" s="27">
        <v>0.0</v>
      </c>
      <c r="L62" s="27"/>
      <c r="N62" s="27"/>
      <c r="P62" s="27"/>
      <c r="Q62" s="29"/>
      <c r="R62" s="26">
        <v>150.0</v>
      </c>
      <c r="T62" s="27">
        <v>150.0</v>
      </c>
      <c r="V62" s="27">
        <v>0.0</v>
      </c>
      <c r="X62" s="27">
        <v>0.0</v>
      </c>
      <c r="Z62" s="27">
        <v>0.0</v>
      </c>
      <c r="AB62" s="27">
        <v>0.0</v>
      </c>
      <c r="AC62" s="29"/>
      <c r="AD62" s="26"/>
      <c r="AF62" s="27"/>
      <c r="AH62" s="27"/>
      <c r="AJ62" s="27"/>
      <c r="AL62" s="27"/>
      <c r="AN62" s="27"/>
      <c r="AO62" s="29"/>
      <c r="AP62" s="45">
        <f t="shared" si="1"/>
        <v>11900</v>
      </c>
      <c r="AQ62" s="41">
        <f t="shared" si="2"/>
        <v>500</v>
      </c>
      <c r="AR62" s="41">
        <f t="shared" si="3"/>
        <v>0</v>
      </c>
      <c r="AS62" s="41">
        <f t="shared" si="4"/>
        <v>500</v>
      </c>
      <c r="AT62" s="46">
        <f t="shared" si="5"/>
        <v>23.8</v>
      </c>
      <c r="AU62" s="37"/>
      <c r="AV62" s="37"/>
      <c r="AW62" s="37"/>
    </row>
    <row r="63" ht="15.75" customHeight="1">
      <c r="A63" s="39" t="s">
        <v>30</v>
      </c>
      <c r="B63" s="40">
        <f t="shared" si="6"/>
        <v>44623</v>
      </c>
      <c r="C63" s="41">
        <v>3.0</v>
      </c>
      <c r="D63" s="41" t="s">
        <v>25</v>
      </c>
      <c r="E63" s="43" t="s">
        <v>37</v>
      </c>
      <c r="F63" s="26">
        <v>100.0</v>
      </c>
      <c r="H63" s="27">
        <v>100.0</v>
      </c>
      <c r="J63" s="27">
        <v>0.0</v>
      </c>
      <c r="L63" s="27"/>
      <c r="N63" s="27"/>
      <c r="P63" s="27"/>
      <c r="Q63" s="29"/>
      <c r="R63" s="26">
        <v>150.0</v>
      </c>
      <c r="T63" s="27">
        <v>150.0</v>
      </c>
      <c r="V63" s="27">
        <v>0.0</v>
      </c>
      <c r="X63" s="27">
        <v>0.0</v>
      </c>
      <c r="Z63" s="27">
        <v>0.0</v>
      </c>
      <c r="AB63" s="27">
        <v>0.0</v>
      </c>
      <c r="AC63" s="29"/>
      <c r="AD63" s="26"/>
      <c r="AF63" s="27"/>
      <c r="AH63" s="27"/>
      <c r="AJ63" s="27"/>
      <c r="AL63" s="27"/>
      <c r="AN63" s="27"/>
      <c r="AO63" s="29"/>
      <c r="AP63" s="45">
        <f t="shared" si="1"/>
        <v>11900</v>
      </c>
      <c r="AQ63" s="41">
        <f t="shared" si="2"/>
        <v>500</v>
      </c>
      <c r="AR63" s="41">
        <f t="shared" si="3"/>
        <v>0</v>
      </c>
      <c r="AS63" s="41">
        <f t="shared" si="4"/>
        <v>500</v>
      </c>
      <c r="AT63" s="46">
        <f t="shared" si="5"/>
        <v>23.8</v>
      </c>
      <c r="AU63" s="37"/>
      <c r="AV63" s="37"/>
      <c r="AW63" s="37"/>
    </row>
    <row r="64" ht="15.75" customHeight="1">
      <c r="A64" s="39" t="s">
        <v>31</v>
      </c>
      <c r="B64" s="40">
        <f t="shared" si="6"/>
        <v>44624</v>
      </c>
      <c r="C64" s="41">
        <v>3.0</v>
      </c>
      <c r="D64" s="41" t="s">
        <v>25</v>
      </c>
      <c r="E64" s="43" t="s">
        <v>37</v>
      </c>
      <c r="F64" s="26">
        <v>100.0</v>
      </c>
      <c r="H64" s="27">
        <v>100.0</v>
      </c>
      <c r="J64" s="27">
        <v>0.0</v>
      </c>
      <c r="L64" s="27"/>
      <c r="N64" s="27"/>
      <c r="P64" s="27"/>
      <c r="Q64" s="29"/>
      <c r="R64" s="26">
        <v>150.0</v>
      </c>
      <c r="T64" s="27">
        <v>150.0</v>
      </c>
      <c r="V64" s="27">
        <v>0.0</v>
      </c>
      <c r="X64" s="27">
        <v>0.0</v>
      </c>
      <c r="Z64" s="27">
        <v>0.0</v>
      </c>
      <c r="AB64" s="27">
        <v>0.0</v>
      </c>
      <c r="AC64" s="29"/>
      <c r="AD64" s="26"/>
      <c r="AF64" s="27"/>
      <c r="AH64" s="27"/>
      <c r="AJ64" s="27"/>
      <c r="AL64" s="27"/>
      <c r="AN64" s="27"/>
      <c r="AO64" s="29"/>
      <c r="AP64" s="45">
        <f t="shared" si="1"/>
        <v>11900</v>
      </c>
      <c r="AQ64" s="41">
        <f t="shared" si="2"/>
        <v>500</v>
      </c>
      <c r="AR64" s="41">
        <f t="shared" si="3"/>
        <v>0</v>
      </c>
      <c r="AS64" s="41">
        <f t="shared" si="4"/>
        <v>500</v>
      </c>
      <c r="AT64" s="46">
        <f t="shared" si="5"/>
        <v>23.8</v>
      </c>
      <c r="AU64" s="37"/>
      <c r="AV64" s="37"/>
      <c r="AW64" s="37"/>
    </row>
    <row r="65" ht="15.75" customHeight="1">
      <c r="A65" s="49" t="s">
        <v>32</v>
      </c>
      <c r="B65" s="50">
        <f t="shared" si="6"/>
        <v>44625</v>
      </c>
      <c r="C65" s="51">
        <v>3.0</v>
      </c>
      <c r="D65" s="51" t="s">
        <v>25</v>
      </c>
      <c r="E65" s="53" t="s">
        <v>37</v>
      </c>
      <c r="F65" s="54">
        <v>100.0</v>
      </c>
      <c r="G65" s="55"/>
      <c r="H65" s="56">
        <v>100.0</v>
      </c>
      <c r="I65" s="55"/>
      <c r="J65" s="56">
        <v>0.0</v>
      </c>
      <c r="K65" s="55"/>
      <c r="L65" s="56"/>
      <c r="M65" s="55"/>
      <c r="N65" s="56"/>
      <c r="O65" s="55"/>
      <c r="P65" s="56"/>
      <c r="Q65" s="58"/>
      <c r="R65" s="54">
        <v>150.0</v>
      </c>
      <c r="S65" s="55"/>
      <c r="T65" s="56">
        <v>150.0</v>
      </c>
      <c r="U65" s="55"/>
      <c r="V65" s="56">
        <v>0.0</v>
      </c>
      <c r="W65" s="55"/>
      <c r="X65" s="56">
        <v>0.0</v>
      </c>
      <c r="Y65" s="55"/>
      <c r="Z65" s="56">
        <v>0.0</v>
      </c>
      <c r="AA65" s="55"/>
      <c r="AB65" s="56">
        <v>0.0</v>
      </c>
      <c r="AC65" s="58"/>
      <c r="AD65" s="54"/>
      <c r="AE65" s="55"/>
      <c r="AF65" s="56"/>
      <c r="AG65" s="55"/>
      <c r="AH65" s="56"/>
      <c r="AI65" s="55"/>
      <c r="AJ65" s="56"/>
      <c r="AK65" s="55"/>
      <c r="AL65" s="56"/>
      <c r="AM65" s="55"/>
      <c r="AN65" s="56"/>
      <c r="AO65" s="58"/>
      <c r="AP65" s="60">
        <f t="shared" si="1"/>
        <v>11900</v>
      </c>
      <c r="AQ65" s="51">
        <f t="shared" si="2"/>
        <v>500</v>
      </c>
      <c r="AR65" s="51">
        <f t="shared" si="3"/>
        <v>0</v>
      </c>
      <c r="AS65" s="51">
        <f t="shared" si="4"/>
        <v>500</v>
      </c>
      <c r="AT65" s="61">
        <f t="shared" si="5"/>
        <v>23.8</v>
      </c>
      <c r="AU65" s="37"/>
      <c r="AV65" s="37"/>
      <c r="AW65" s="37"/>
    </row>
    <row r="66" ht="15.75" customHeight="1">
      <c r="A66" s="21" t="s">
        <v>24</v>
      </c>
      <c r="B66" s="62">
        <f t="shared" si="6"/>
        <v>44626</v>
      </c>
      <c r="C66" s="23">
        <v>3.0</v>
      </c>
      <c r="D66" s="23" t="s">
        <v>33</v>
      </c>
      <c r="E66" s="63" t="s">
        <v>37</v>
      </c>
      <c r="F66" s="26">
        <v>100.0</v>
      </c>
      <c r="H66" s="27">
        <v>100.0</v>
      </c>
      <c r="J66" s="27">
        <v>0.0</v>
      </c>
      <c r="L66" s="27"/>
      <c r="N66" s="27"/>
      <c r="P66" s="27"/>
      <c r="Q66" s="29"/>
      <c r="R66" s="26">
        <v>200.0</v>
      </c>
      <c r="T66" s="27">
        <v>200.0</v>
      </c>
      <c r="V66" s="27">
        <v>0.0</v>
      </c>
      <c r="X66" s="27">
        <v>0.0</v>
      </c>
      <c r="Z66" s="27">
        <v>0.0</v>
      </c>
      <c r="AB66" s="27">
        <v>0.0</v>
      </c>
      <c r="AC66" s="29"/>
      <c r="AD66" s="26"/>
      <c r="AF66" s="27"/>
      <c r="AH66" s="27"/>
      <c r="AJ66" s="27"/>
      <c r="AL66" s="27"/>
      <c r="AN66" s="27"/>
      <c r="AO66" s="29"/>
      <c r="AP66" s="35">
        <f t="shared" si="1"/>
        <v>13600</v>
      </c>
      <c r="AQ66" s="23">
        <f t="shared" si="2"/>
        <v>600</v>
      </c>
      <c r="AR66" s="23">
        <f t="shared" si="3"/>
        <v>0</v>
      </c>
      <c r="AS66" s="23">
        <f t="shared" si="4"/>
        <v>600</v>
      </c>
      <c r="AT66" s="36">
        <f t="shared" si="5"/>
        <v>22.66666667</v>
      </c>
      <c r="AU66" s="37"/>
      <c r="AV66" s="37"/>
      <c r="AW66" s="37"/>
    </row>
    <row r="67" ht="15.75" customHeight="1">
      <c r="A67" s="39" t="s">
        <v>27</v>
      </c>
      <c r="B67" s="40">
        <f t="shared" si="6"/>
        <v>44627</v>
      </c>
      <c r="C67" s="41">
        <v>3.0</v>
      </c>
      <c r="D67" s="41" t="s">
        <v>33</v>
      </c>
      <c r="E67" s="43" t="s">
        <v>37</v>
      </c>
      <c r="F67" s="26">
        <v>100.0</v>
      </c>
      <c r="H67" s="27">
        <v>100.0</v>
      </c>
      <c r="J67" s="27">
        <v>0.0</v>
      </c>
      <c r="L67" s="27"/>
      <c r="N67" s="27"/>
      <c r="P67" s="27"/>
      <c r="Q67" s="29"/>
      <c r="R67" s="26">
        <v>200.0</v>
      </c>
      <c r="T67" s="27">
        <v>200.0</v>
      </c>
      <c r="V67" s="27">
        <v>0.0</v>
      </c>
      <c r="X67" s="27">
        <v>0.0</v>
      </c>
      <c r="Z67" s="27">
        <v>0.0</v>
      </c>
      <c r="AB67" s="27">
        <v>0.0</v>
      </c>
      <c r="AC67" s="29"/>
      <c r="AD67" s="26"/>
      <c r="AF67" s="27"/>
      <c r="AH67" s="27"/>
      <c r="AJ67" s="27"/>
      <c r="AL67" s="27"/>
      <c r="AN67" s="27"/>
      <c r="AO67" s="29"/>
      <c r="AP67" s="45">
        <f t="shared" si="1"/>
        <v>13600</v>
      </c>
      <c r="AQ67" s="41">
        <f t="shared" si="2"/>
        <v>600</v>
      </c>
      <c r="AR67" s="41">
        <f t="shared" si="3"/>
        <v>0</v>
      </c>
      <c r="AS67" s="41">
        <f t="shared" si="4"/>
        <v>600</v>
      </c>
      <c r="AT67" s="46">
        <f t="shared" si="5"/>
        <v>22.66666667</v>
      </c>
      <c r="AU67" s="37"/>
      <c r="AV67" s="37"/>
      <c r="AW67" s="37"/>
    </row>
    <row r="68" ht="15.75" customHeight="1">
      <c r="A68" s="39" t="s">
        <v>28</v>
      </c>
      <c r="B68" s="40">
        <f t="shared" si="6"/>
        <v>44628</v>
      </c>
      <c r="C68" s="41">
        <v>3.0</v>
      </c>
      <c r="D68" s="41" t="s">
        <v>33</v>
      </c>
      <c r="E68" s="43" t="s">
        <v>37</v>
      </c>
      <c r="F68" s="26">
        <v>100.0</v>
      </c>
      <c r="H68" s="27">
        <v>100.0</v>
      </c>
      <c r="J68" s="27">
        <v>0.0</v>
      </c>
      <c r="L68" s="27"/>
      <c r="N68" s="27"/>
      <c r="P68" s="27"/>
      <c r="Q68" s="29"/>
      <c r="R68" s="26">
        <v>200.0</v>
      </c>
      <c r="T68" s="27">
        <v>200.0</v>
      </c>
      <c r="V68" s="27">
        <v>0.0</v>
      </c>
      <c r="X68" s="27">
        <v>0.0</v>
      </c>
      <c r="Z68" s="27">
        <v>0.0</v>
      </c>
      <c r="AB68" s="27">
        <v>0.0</v>
      </c>
      <c r="AC68" s="29"/>
      <c r="AD68" s="26"/>
      <c r="AF68" s="27"/>
      <c r="AH68" s="27"/>
      <c r="AJ68" s="27"/>
      <c r="AL68" s="27"/>
      <c r="AN68" s="27"/>
      <c r="AO68" s="29"/>
      <c r="AP68" s="45">
        <f t="shared" si="1"/>
        <v>13600</v>
      </c>
      <c r="AQ68" s="41">
        <f t="shared" si="2"/>
        <v>600</v>
      </c>
      <c r="AR68" s="41">
        <f t="shared" si="3"/>
        <v>0</v>
      </c>
      <c r="AS68" s="41">
        <f t="shared" si="4"/>
        <v>600</v>
      </c>
      <c r="AT68" s="46">
        <f t="shared" si="5"/>
        <v>22.66666667</v>
      </c>
      <c r="AU68" s="37"/>
      <c r="AV68" s="37"/>
      <c r="AW68" s="37"/>
    </row>
    <row r="69" ht="15.75" customHeight="1">
      <c r="A69" s="39" t="s">
        <v>29</v>
      </c>
      <c r="B69" s="40">
        <f t="shared" si="6"/>
        <v>44629</v>
      </c>
      <c r="C69" s="41">
        <v>3.0</v>
      </c>
      <c r="D69" s="41" t="s">
        <v>33</v>
      </c>
      <c r="E69" s="43" t="s">
        <v>37</v>
      </c>
      <c r="F69" s="26">
        <v>100.0</v>
      </c>
      <c r="H69" s="27">
        <v>100.0</v>
      </c>
      <c r="J69" s="27">
        <v>0.0</v>
      </c>
      <c r="L69" s="27"/>
      <c r="N69" s="27"/>
      <c r="P69" s="27"/>
      <c r="Q69" s="29"/>
      <c r="R69" s="26">
        <v>200.0</v>
      </c>
      <c r="T69" s="27">
        <v>200.0</v>
      </c>
      <c r="V69" s="27">
        <v>0.0</v>
      </c>
      <c r="X69" s="27">
        <v>0.0</v>
      </c>
      <c r="Z69" s="27">
        <v>0.0</v>
      </c>
      <c r="AB69" s="27">
        <v>0.0</v>
      </c>
      <c r="AC69" s="29"/>
      <c r="AD69" s="26"/>
      <c r="AF69" s="27"/>
      <c r="AH69" s="27"/>
      <c r="AJ69" s="27"/>
      <c r="AL69" s="27"/>
      <c r="AN69" s="27"/>
      <c r="AO69" s="29"/>
      <c r="AP69" s="45">
        <f t="shared" si="1"/>
        <v>13600</v>
      </c>
      <c r="AQ69" s="41">
        <f t="shared" si="2"/>
        <v>600</v>
      </c>
      <c r="AR69" s="41">
        <f t="shared" si="3"/>
        <v>0</v>
      </c>
      <c r="AS69" s="41">
        <f t="shared" si="4"/>
        <v>600</v>
      </c>
      <c r="AT69" s="46">
        <f t="shared" si="5"/>
        <v>22.66666667</v>
      </c>
      <c r="AU69" s="37"/>
      <c r="AV69" s="37"/>
      <c r="AW69" s="37"/>
    </row>
    <row r="70" ht="15.75" customHeight="1">
      <c r="A70" s="39" t="s">
        <v>30</v>
      </c>
      <c r="B70" s="40">
        <f t="shared" si="6"/>
        <v>44630</v>
      </c>
      <c r="C70" s="41">
        <v>3.0</v>
      </c>
      <c r="D70" s="41" t="s">
        <v>33</v>
      </c>
      <c r="E70" s="43" t="s">
        <v>37</v>
      </c>
      <c r="F70" s="26">
        <v>100.0</v>
      </c>
      <c r="H70" s="27">
        <v>100.0</v>
      </c>
      <c r="J70" s="27">
        <v>0.0</v>
      </c>
      <c r="L70" s="27"/>
      <c r="N70" s="27"/>
      <c r="P70" s="27"/>
      <c r="Q70" s="29"/>
      <c r="R70" s="26">
        <v>200.0</v>
      </c>
      <c r="T70" s="27">
        <v>200.0</v>
      </c>
      <c r="V70" s="27">
        <v>0.0</v>
      </c>
      <c r="X70" s="27">
        <v>0.0</v>
      </c>
      <c r="Z70" s="27">
        <v>0.0</v>
      </c>
      <c r="AB70" s="27">
        <v>0.0</v>
      </c>
      <c r="AC70" s="29"/>
      <c r="AD70" s="26"/>
      <c r="AF70" s="27"/>
      <c r="AH70" s="27"/>
      <c r="AJ70" s="27"/>
      <c r="AL70" s="27"/>
      <c r="AN70" s="27"/>
      <c r="AO70" s="29"/>
      <c r="AP70" s="45">
        <f t="shared" si="1"/>
        <v>13600</v>
      </c>
      <c r="AQ70" s="41">
        <f t="shared" si="2"/>
        <v>600</v>
      </c>
      <c r="AR70" s="41">
        <f t="shared" si="3"/>
        <v>0</v>
      </c>
      <c r="AS70" s="41">
        <f t="shared" si="4"/>
        <v>600</v>
      </c>
      <c r="AT70" s="46">
        <f t="shared" si="5"/>
        <v>22.66666667</v>
      </c>
      <c r="AU70" s="37"/>
      <c r="AV70" s="37"/>
      <c r="AW70" s="37"/>
    </row>
    <row r="71" ht="15.75" customHeight="1">
      <c r="A71" s="39" t="s">
        <v>31</v>
      </c>
      <c r="B71" s="40">
        <f t="shared" si="6"/>
        <v>44631</v>
      </c>
      <c r="C71" s="41">
        <v>3.0</v>
      </c>
      <c r="D71" s="41" t="s">
        <v>33</v>
      </c>
      <c r="E71" s="43" t="s">
        <v>37</v>
      </c>
      <c r="F71" s="26">
        <v>100.0</v>
      </c>
      <c r="H71" s="27">
        <v>100.0</v>
      </c>
      <c r="J71" s="27">
        <v>0.0</v>
      </c>
      <c r="L71" s="27"/>
      <c r="N71" s="27"/>
      <c r="P71" s="27"/>
      <c r="Q71" s="29"/>
      <c r="R71" s="26">
        <v>200.0</v>
      </c>
      <c r="T71" s="27">
        <v>200.0</v>
      </c>
      <c r="V71" s="27">
        <v>0.0</v>
      </c>
      <c r="X71" s="27">
        <v>0.0</v>
      </c>
      <c r="Z71" s="27">
        <v>0.0</v>
      </c>
      <c r="AB71" s="27">
        <v>0.0</v>
      </c>
      <c r="AC71" s="29"/>
      <c r="AD71" s="26"/>
      <c r="AF71" s="27"/>
      <c r="AH71" s="27"/>
      <c r="AJ71" s="27"/>
      <c r="AL71" s="27"/>
      <c r="AN71" s="27"/>
      <c r="AO71" s="29"/>
      <c r="AP71" s="45">
        <f t="shared" si="1"/>
        <v>13600</v>
      </c>
      <c r="AQ71" s="41">
        <f t="shared" si="2"/>
        <v>600</v>
      </c>
      <c r="AR71" s="41">
        <f t="shared" si="3"/>
        <v>0</v>
      </c>
      <c r="AS71" s="41">
        <f t="shared" si="4"/>
        <v>600</v>
      </c>
      <c r="AT71" s="46">
        <f t="shared" si="5"/>
        <v>22.66666667</v>
      </c>
      <c r="AU71" s="37"/>
      <c r="AV71" s="37"/>
      <c r="AW71" s="37"/>
    </row>
    <row r="72" ht="15.75" customHeight="1">
      <c r="A72" s="49" t="s">
        <v>32</v>
      </c>
      <c r="B72" s="50">
        <f t="shared" si="6"/>
        <v>44632</v>
      </c>
      <c r="C72" s="51">
        <v>3.0</v>
      </c>
      <c r="D72" s="51" t="s">
        <v>33</v>
      </c>
      <c r="E72" s="53" t="s">
        <v>37</v>
      </c>
      <c r="F72" s="54">
        <v>100.0</v>
      </c>
      <c r="G72" s="55"/>
      <c r="H72" s="56">
        <v>100.0</v>
      </c>
      <c r="I72" s="55"/>
      <c r="J72" s="56">
        <v>0.0</v>
      </c>
      <c r="K72" s="55"/>
      <c r="L72" s="56"/>
      <c r="M72" s="55"/>
      <c r="N72" s="56"/>
      <c r="O72" s="55"/>
      <c r="P72" s="56"/>
      <c r="Q72" s="58"/>
      <c r="R72" s="54">
        <v>200.0</v>
      </c>
      <c r="S72" s="55"/>
      <c r="T72" s="56">
        <v>200.0</v>
      </c>
      <c r="U72" s="55"/>
      <c r="V72" s="56">
        <v>0.0</v>
      </c>
      <c r="W72" s="55"/>
      <c r="X72" s="56">
        <v>0.0</v>
      </c>
      <c r="Y72" s="55"/>
      <c r="Z72" s="56">
        <v>0.0</v>
      </c>
      <c r="AA72" s="55"/>
      <c r="AB72" s="56">
        <v>0.0</v>
      </c>
      <c r="AC72" s="58"/>
      <c r="AD72" s="54"/>
      <c r="AE72" s="55"/>
      <c r="AF72" s="56"/>
      <c r="AG72" s="55"/>
      <c r="AH72" s="56"/>
      <c r="AI72" s="55"/>
      <c r="AJ72" s="56"/>
      <c r="AK72" s="55"/>
      <c r="AL72" s="56"/>
      <c r="AM72" s="55"/>
      <c r="AN72" s="56"/>
      <c r="AO72" s="58"/>
      <c r="AP72" s="60">
        <f t="shared" si="1"/>
        <v>13600</v>
      </c>
      <c r="AQ72" s="51">
        <f t="shared" si="2"/>
        <v>600</v>
      </c>
      <c r="AR72" s="51">
        <f t="shared" si="3"/>
        <v>0</v>
      </c>
      <c r="AS72" s="51">
        <f t="shared" si="4"/>
        <v>600</v>
      </c>
      <c r="AT72" s="61">
        <f t="shared" si="5"/>
        <v>22.66666667</v>
      </c>
      <c r="AU72" s="37"/>
      <c r="AV72" s="37"/>
      <c r="AW72" s="37"/>
    </row>
    <row r="73" ht="15.75" customHeight="1">
      <c r="A73" s="21" t="s">
        <v>24</v>
      </c>
      <c r="B73" s="62">
        <f t="shared" si="6"/>
        <v>44633</v>
      </c>
      <c r="C73" s="23">
        <v>3.0</v>
      </c>
      <c r="D73" s="23" t="s">
        <v>34</v>
      </c>
      <c r="E73" s="63" t="s">
        <v>37</v>
      </c>
      <c r="F73" s="26">
        <v>100.0</v>
      </c>
      <c r="H73" s="27">
        <v>100.0</v>
      </c>
      <c r="J73" s="27">
        <v>0.0</v>
      </c>
      <c r="L73" s="27"/>
      <c r="N73" s="27"/>
      <c r="P73" s="27"/>
      <c r="Q73" s="29"/>
      <c r="R73" s="26">
        <v>200.0</v>
      </c>
      <c r="T73" s="27">
        <v>200.0</v>
      </c>
      <c r="V73" s="27">
        <v>0.0</v>
      </c>
      <c r="X73" s="27">
        <v>0.0</v>
      </c>
      <c r="Z73" s="27">
        <v>0.0</v>
      </c>
      <c r="AB73" s="27">
        <v>0.0</v>
      </c>
      <c r="AC73" s="29"/>
      <c r="AD73" s="26"/>
      <c r="AF73" s="27"/>
      <c r="AH73" s="27"/>
      <c r="AJ73" s="27"/>
      <c r="AL73" s="27"/>
      <c r="AN73" s="27"/>
      <c r="AO73" s="29"/>
      <c r="AP73" s="35">
        <f t="shared" si="1"/>
        <v>13600</v>
      </c>
      <c r="AQ73" s="23">
        <f t="shared" si="2"/>
        <v>600</v>
      </c>
      <c r="AR73" s="23">
        <f t="shared" si="3"/>
        <v>0</v>
      </c>
      <c r="AS73" s="23">
        <f t="shared" si="4"/>
        <v>600</v>
      </c>
      <c r="AT73" s="36">
        <f t="shared" si="5"/>
        <v>22.66666667</v>
      </c>
      <c r="AU73" s="37"/>
      <c r="AV73" s="37"/>
      <c r="AW73" s="37"/>
    </row>
    <row r="74" ht="15.75" customHeight="1">
      <c r="A74" s="39" t="s">
        <v>27</v>
      </c>
      <c r="B74" s="40">
        <f t="shared" si="6"/>
        <v>44634</v>
      </c>
      <c r="C74" s="41">
        <v>3.0</v>
      </c>
      <c r="D74" s="41" t="s">
        <v>34</v>
      </c>
      <c r="E74" s="43" t="s">
        <v>37</v>
      </c>
      <c r="F74" s="26">
        <v>100.0</v>
      </c>
      <c r="H74" s="27">
        <v>100.0</v>
      </c>
      <c r="J74" s="27">
        <v>0.0</v>
      </c>
      <c r="L74" s="27"/>
      <c r="N74" s="27"/>
      <c r="P74" s="27"/>
      <c r="Q74" s="29"/>
      <c r="R74" s="26">
        <v>200.0</v>
      </c>
      <c r="T74" s="27">
        <v>200.0</v>
      </c>
      <c r="V74" s="27">
        <v>0.0</v>
      </c>
      <c r="X74" s="27">
        <v>0.0</v>
      </c>
      <c r="Z74" s="27">
        <v>0.0</v>
      </c>
      <c r="AB74" s="27">
        <v>0.0</v>
      </c>
      <c r="AC74" s="29"/>
      <c r="AD74" s="26"/>
      <c r="AF74" s="27"/>
      <c r="AH74" s="27"/>
      <c r="AJ74" s="27"/>
      <c r="AL74" s="27"/>
      <c r="AN74" s="27"/>
      <c r="AO74" s="29"/>
      <c r="AP74" s="45">
        <f t="shared" si="1"/>
        <v>13600</v>
      </c>
      <c r="AQ74" s="41">
        <f t="shared" si="2"/>
        <v>600</v>
      </c>
      <c r="AR74" s="41">
        <f t="shared" si="3"/>
        <v>0</v>
      </c>
      <c r="AS74" s="41">
        <f t="shared" si="4"/>
        <v>600</v>
      </c>
      <c r="AT74" s="46">
        <f t="shared" si="5"/>
        <v>22.66666667</v>
      </c>
      <c r="AU74" s="37"/>
      <c r="AV74" s="37"/>
      <c r="AW74" s="37"/>
    </row>
    <row r="75" ht="15.75" customHeight="1">
      <c r="A75" s="39" t="s">
        <v>28</v>
      </c>
      <c r="B75" s="40">
        <f t="shared" si="6"/>
        <v>44635</v>
      </c>
      <c r="C75" s="41">
        <v>3.0</v>
      </c>
      <c r="D75" s="41" t="s">
        <v>34</v>
      </c>
      <c r="E75" s="43" t="s">
        <v>37</v>
      </c>
      <c r="F75" s="26">
        <v>100.0</v>
      </c>
      <c r="H75" s="27">
        <v>100.0</v>
      </c>
      <c r="J75" s="27">
        <v>0.0</v>
      </c>
      <c r="L75" s="27"/>
      <c r="N75" s="27"/>
      <c r="P75" s="27"/>
      <c r="Q75" s="29"/>
      <c r="R75" s="26">
        <v>200.0</v>
      </c>
      <c r="T75" s="27">
        <v>200.0</v>
      </c>
      <c r="V75" s="27">
        <v>0.0</v>
      </c>
      <c r="X75" s="27">
        <v>0.0</v>
      </c>
      <c r="Z75" s="27">
        <v>0.0</v>
      </c>
      <c r="AB75" s="27">
        <v>0.0</v>
      </c>
      <c r="AC75" s="29"/>
      <c r="AD75" s="26"/>
      <c r="AF75" s="27"/>
      <c r="AH75" s="27"/>
      <c r="AJ75" s="27"/>
      <c r="AL75" s="27"/>
      <c r="AN75" s="27"/>
      <c r="AO75" s="29"/>
      <c r="AP75" s="45">
        <f t="shared" si="1"/>
        <v>13600</v>
      </c>
      <c r="AQ75" s="41">
        <f t="shared" si="2"/>
        <v>600</v>
      </c>
      <c r="AR75" s="41">
        <f t="shared" si="3"/>
        <v>0</v>
      </c>
      <c r="AS75" s="41">
        <f t="shared" si="4"/>
        <v>600</v>
      </c>
      <c r="AT75" s="46">
        <f t="shared" si="5"/>
        <v>22.66666667</v>
      </c>
      <c r="AU75" s="37"/>
      <c r="AV75" s="37"/>
      <c r="AW75" s="37"/>
    </row>
    <row r="76" ht="15.75" customHeight="1">
      <c r="A76" s="39" t="s">
        <v>29</v>
      </c>
      <c r="B76" s="40">
        <f t="shared" si="6"/>
        <v>44636</v>
      </c>
      <c r="C76" s="41">
        <v>3.0</v>
      </c>
      <c r="D76" s="41" t="s">
        <v>34</v>
      </c>
      <c r="E76" s="43" t="s">
        <v>37</v>
      </c>
      <c r="F76" s="26">
        <v>100.0</v>
      </c>
      <c r="H76" s="27">
        <v>100.0</v>
      </c>
      <c r="J76" s="27">
        <v>0.0</v>
      </c>
      <c r="L76" s="27"/>
      <c r="N76" s="27"/>
      <c r="P76" s="27"/>
      <c r="Q76" s="29"/>
      <c r="R76" s="26">
        <v>200.0</v>
      </c>
      <c r="T76" s="27">
        <v>200.0</v>
      </c>
      <c r="V76" s="27">
        <v>0.0</v>
      </c>
      <c r="X76" s="27">
        <v>0.0</v>
      </c>
      <c r="Z76" s="27">
        <v>0.0</v>
      </c>
      <c r="AB76" s="27">
        <v>0.0</v>
      </c>
      <c r="AC76" s="29"/>
      <c r="AD76" s="26"/>
      <c r="AF76" s="27"/>
      <c r="AH76" s="27"/>
      <c r="AJ76" s="27"/>
      <c r="AL76" s="27"/>
      <c r="AN76" s="27"/>
      <c r="AO76" s="29"/>
      <c r="AP76" s="45">
        <f t="shared" si="1"/>
        <v>13600</v>
      </c>
      <c r="AQ76" s="41">
        <f t="shared" si="2"/>
        <v>600</v>
      </c>
      <c r="AR76" s="41">
        <f t="shared" si="3"/>
        <v>0</v>
      </c>
      <c r="AS76" s="41">
        <f t="shared" si="4"/>
        <v>600</v>
      </c>
      <c r="AT76" s="46">
        <f t="shared" si="5"/>
        <v>22.66666667</v>
      </c>
      <c r="AU76" s="37"/>
      <c r="AV76" s="37"/>
      <c r="AW76" s="37"/>
    </row>
    <row r="77" ht="15.75" customHeight="1">
      <c r="A77" s="39" t="s">
        <v>30</v>
      </c>
      <c r="B77" s="40">
        <f t="shared" si="6"/>
        <v>44637</v>
      </c>
      <c r="C77" s="41">
        <v>3.0</v>
      </c>
      <c r="D77" s="41" t="s">
        <v>34</v>
      </c>
      <c r="E77" s="43" t="s">
        <v>37</v>
      </c>
      <c r="F77" s="26">
        <v>100.0</v>
      </c>
      <c r="H77" s="27">
        <v>100.0</v>
      </c>
      <c r="J77" s="27">
        <v>0.0</v>
      </c>
      <c r="L77" s="27"/>
      <c r="N77" s="27"/>
      <c r="P77" s="27"/>
      <c r="Q77" s="29"/>
      <c r="R77" s="26">
        <v>200.0</v>
      </c>
      <c r="T77" s="27">
        <v>200.0</v>
      </c>
      <c r="V77" s="27">
        <v>0.0</v>
      </c>
      <c r="X77" s="27">
        <v>0.0</v>
      </c>
      <c r="Z77" s="27">
        <v>0.0</v>
      </c>
      <c r="AB77" s="27">
        <v>0.0</v>
      </c>
      <c r="AC77" s="29"/>
      <c r="AD77" s="26"/>
      <c r="AF77" s="27"/>
      <c r="AH77" s="27"/>
      <c r="AJ77" s="27"/>
      <c r="AL77" s="27"/>
      <c r="AN77" s="27"/>
      <c r="AO77" s="29"/>
      <c r="AP77" s="45">
        <f t="shared" si="1"/>
        <v>13600</v>
      </c>
      <c r="AQ77" s="41">
        <f t="shared" si="2"/>
        <v>600</v>
      </c>
      <c r="AR77" s="41">
        <f t="shared" si="3"/>
        <v>0</v>
      </c>
      <c r="AS77" s="41">
        <f t="shared" si="4"/>
        <v>600</v>
      </c>
      <c r="AT77" s="46">
        <f t="shared" si="5"/>
        <v>22.66666667</v>
      </c>
      <c r="AU77" s="37"/>
      <c r="AV77" s="37"/>
      <c r="AW77" s="37"/>
    </row>
    <row r="78" ht="15.75" customHeight="1">
      <c r="A78" s="39" t="s">
        <v>31</v>
      </c>
      <c r="B78" s="40">
        <f t="shared" si="6"/>
        <v>44638</v>
      </c>
      <c r="C78" s="41">
        <v>3.0</v>
      </c>
      <c r="D78" s="41" t="s">
        <v>34</v>
      </c>
      <c r="E78" s="43" t="s">
        <v>37</v>
      </c>
      <c r="F78" s="26">
        <v>100.0</v>
      </c>
      <c r="H78" s="27">
        <v>100.0</v>
      </c>
      <c r="J78" s="27">
        <v>0.0</v>
      </c>
      <c r="L78" s="27"/>
      <c r="N78" s="27"/>
      <c r="P78" s="27"/>
      <c r="Q78" s="29"/>
      <c r="R78" s="26">
        <v>200.0</v>
      </c>
      <c r="T78" s="27">
        <v>200.0</v>
      </c>
      <c r="V78" s="27">
        <v>0.0</v>
      </c>
      <c r="X78" s="27">
        <v>0.0</v>
      </c>
      <c r="Z78" s="27">
        <v>0.0</v>
      </c>
      <c r="AB78" s="27">
        <v>0.0</v>
      </c>
      <c r="AC78" s="29"/>
      <c r="AD78" s="26"/>
      <c r="AF78" s="27"/>
      <c r="AH78" s="27"/>
      <c r="AJ78" s="27"/>
      <c r="AL78" s="27"/>
      <c r="AN78" s="27"/>
      <c r="AO78" s="29"/>
      <c r="AP78" s="45">
        <f t="shared" si="1"/>
        <v>13600</v>
      </c>
      <c r="AQ78" s="41">
        <f t="shared" si="2"/>
        <v>600</v>
      </c>
      <c r="AR78" s="41">
        <f t="shared" si="3"/>
        <v>0</v>
      </c>
      <c r="AS78" s="41">
        <f t="shared" si="4"/>
        <v>600</v>
      </c>
      <c r="AT78" s="46">
        <f t="shared" si="5"/>
        <v>22.66666667</v>
      </c>
      <c r="AU78" s="37"/>
      <c r="AV78" s="37"/>
      <c r="AW78" s="37"/>
    </row>
    <row r="79" ht="15.75" customHeight="1">
      <c r="A79" s="49" t="s">
        <v>32</v>
      </c>
      <c r="B79" s="50">
        <f t="shared" si="6"/>
        <v>44639</v>
      </c>
      <c r="C79" s="51">
        <v>3.0</v>
      </c>
      <c r="D79" s="51" t="s">
        <v>34</v>
      </c>
      <c r="E79" s="53" t="s">
        <v>37</v>
      </c>
      <c r="F79" s="54">
        <v>100.0</v>
      </c>
      <c r="G79" s="55"/>
      <c r="H79" s="56">
        <v>100.0</v>
      </c>
      <c r="I79" s="55"/>
      <c r="J79" s="56">
        <v>0.0</v>
      </c>
      <c r="K79" s="55"/>
      <c r="L79" s="56"/>
      <c r="M79" s="55"/>
      <c r="N79" s="56"/>
      <c r="O79" s="55"/>
      <c r="P79" s="56"/>
      <c r="Q79" s="58"/>
      <c r="R79" s="54">
        <v>200.0</v>
      </c>
      <c r="S79" s="55"/>
      <c r="T79" s="56">
        <v>200.0</v>
      </c>
      <c r="U79" s="55"/>
      <c r="V79" s="56">
        <v>0.0</v>
      </c>
      <c r="W79" s="55"/>
      <c r="X79" s="56">
        <v>0.0</v>
      </c>
      <c r="Y79" s="55"/>
      <c r="Z79" s="56">
        <v>0.0</v>
      </c>
      <c r="AA79" s="55"/>
      <c r="AB79" s="56">
        <v>0.0</v>
      </c>
      <c r="AC79" s="58"/>
      <c r="AD79" s="54"/>
      <c r="AE79" s="55"/>
      <c r="AF79" s="56"/>
      <c r="AG79" s="55"/>
      <c r="AH79" s="56"/>
      <c r="AI79" s="55"/>
      <c r="AJ79" s="56"/>
      <c r="AK79" s="55"/>
      <c r="AL79" s="56"/>
      <c r="AM79" s="55"/>
      <c r="AN79" s="56"/>
      <c r="AO79" s="58"/>
      <c r="AP79" s="60">
        <f t="shared" si="1"/>
        <v>13600</v>
      </c>
      <c r="AQ79" s="51">
        <f t="shared" si="2"/>
        <v>600</v>
      </c>
      <c r="AR79" s="51">
        <f t="shared" si="3"/>
        <v>0</v>
      </c>
      <c r="AS79" s="51">
        <f t="shared" si="4"/>
        <v>600</v>
      </c>
      <c r="AT79" s="61">
        <f t="shared" si="5"/>
        <v>22.66666667</v>
      </c>
      <c r="AU79" s="37"/>
      <c r="AV79" s="37"/>
      <c r="AW79" s="37"/>
    </row>
    <row r="80" ht="15.75" customHeight="1">
      <c r="A80" s="21" t="s">
        <v>24</v>
      </c>
      <c r="B80" s="62">
        <f t="shared" si="6"/>
        <v>44640</v>
      </c>
      <c r="C80" s="23">
        <v>3.0</v>
      </c>
      <c r="D80" s="23" t="s">
        <v>35</v>
      </c>
      <c r="E80" s="63" t="s">
        <v>37</v>
      </c>
      <c r="F80" s="26">
        <v>100.0</v>
      </c>
      <c r="H80" s="27">
        <v>100.0</v>
      </c>
      <c r="J80" s="27">
        <v>0.0</v>
      </c>
      <c r="L80" s="27"/>
      <c r="N80" s="27"/>
      <c r="P80" s="27"/>
      <c r="Q80" s="29"/>
      <c r="R80" s="26">
        <v>200.0</v>
      </c>
      <c r="T80" s="27">
        <v>200.0</v>
      </c>
      <c r="V80" s="27">
        <v>0.0</v>
      </c>
      <c r="X80" s="27">
        <v>0.0</v>
      </c>
      <c r="Z80" s="27">
        <v>0.0</v>
      </c>
      <c r="AB80" s="27">
        <v>0.0</v>
      </c>
      <c r="AC80" s="29"/>
      <c r="AD80" s="26"/>
      <c r="AF80" s="27"/>
      <c r="AH80" s="27"/>
      <c r="AJ80" s="27"/>
      <c r="AL80" s="27"/>
      <c r="AN80" s="27"/>
      <c r="AO80" s="29"/>
      <c r="AP80" s="35">
        <f t="shared" si="1"/>
        <v>13600</v>
      </c>
      <c r="AQ80" s="23">
        <f t="shared" si="2"/>
        <v>600</v>
      </c>
      <c r="AR80" s="23">
        <f t="shared" si="3"/>
        <v>0</v>
      </c>
      <c r="AS80" s="23">
        <f t="shared" si="4"/>
        <v>600</v>
      </c>
      <c r="AT80" s="36">
        <f t="shared" si="5"/>
        <v>22.66666667</v>
      </c>
      <c r="AU80" s="37"/>
      <c r="AV80" s="37"/>
      <c r="AW80" s="37"/>
    </row>
    <row r="81" ht="15.75" customHeight="1">
      <c r="A81" s="39" t="s">
        <v>27</v>
      </c>
      <c r="B81" s="40">
        <f t="shared" si="6"/>
        <v>44641</v>
      </c>
      <c r="C81" s="41">
        <v>3.0</v>
      </c>
      <c r="D81" s="41" t="s">
        <v>35</v>
      </c>
      <c r="E81" s="43" t="s">
        <v>37</v>
      </c>
      <c r="F81" s="26">
        <v>100.0</v>
      </c>
      <c r="H81" s="27">
        <v>100.0</v>
      </c>
      <c r="J81" s="27">
        <v>0.0</v>
      </c>
      <c r="L81" s="27"/>
      <c r="N81" s="27"/>
      <c r="P81" s="27"/>
      <c r="Q81" s="29"/>
      <c r="R81" s="26">
        <v>200.0</v>
      </c>
      <c r="T81" s="27">
        <v>200.0</v>
      </c>
      <c r="V81" s="27">
        <v>0.0</v>
      </c>
      <c r="X81" s="27">
        <v>0.0</v>
      </c>
      <c r="Z81" s="27">
        <v>0.0</v>
      </c>
      <c r="AB81" s="27">
        <v>0.0</v>
      </c>
      <c r="AC81" s="29"/>
      <c r="AD81" s="26"/>
      <c r="AF81" s="27"/>
      <c r="AH81" s="27"/>
      <c r="AJ81" s="27"/>
      <c r="AL81" s="27"/>
      <c r="AN81" s="27"/>
      <c r="AO81" s="29"/>
      <c r="AP81" s="45">
        <f t="shared" si="1"/>
        <v>13600</v>
      </c>
      <c r="AQ81" s="41">
        <f t="shared" si="2"/>
        <v>600</v>
      </c>
      <c r="AR81" s="41">
        <f t="shared" si="3"/>
        <v>0</v>
      </c>
      <c r="AS81" s="41">
        <f t="shared" si="4"/>
        <v>600</v>
      </c>
      <c r="AT81" s="46">
        <f t="shared" si="5"/>
        <v>22.66666667</v>
      </c>
      <c r="AU81" s="37"/>
      <c r="AV81" s="37"/>
      <c r="AW81" s="37"/>
    </row>
    <row r="82" ht="15.75" customHeight="1">
      <c r="A82" s="39" t="s">
        <v>28</v>
      </c>
      <c r="B82" s="40">
        <f t="shared" si="6"/>
        <v>44642</v>
      </c>
      <c r="C82" s="41">
        <v>3.0</v>
      </c>
      <c r="D82" s="41" t="s">
        <v>35</v>
      </c>
      <c r="E82" s="43" t="s">
        <v>37</v>
      </c>
      <c r="F82" s="26">
        <v>100.0</v>
      </c>
      <c r="H82" s="27">
        <v>100.0</v>
      </c>
      <c r="J82" s="27">
        <v>0.0</v>
      </c>
      <c r="L82" s="27"/>
      <c r="N82" s="27"/>
      <c r="P82" s="27"/>
      <c r="Q82" s="29"/>
      <c r="R82" s="26">
        <v>200.0</v>
      </c>
      <c r="T82" s="27">
        <v>200.0</v>
      </c>
      <c r="V82" s="27">
        <v>0.0</v>
      </c>
      <c r="X82" s="27">
        <v>0.0</v>
      </c>
      <c r="Z82" s="27">
        <v>0.0</v>
      </c>
      <c r="AB82" s="27">
        <v>0.0</v>
      </c>
      <c r="AC82" s="29"/>
      <c r="AD82" s="26"/>
      <c r="AF82" s="27"/>
      <c r="AH82" s="27"/>
      <c r="AJ82" s="27"/>
      <c r="AL82" s="27"/>
      <c r="AN82" s="27"/>
      <c r="AO82" s="29"/>
      <c r="AP82" s="45">
        <f t="shared" si="1"/>
        <v>13600</v>
      </c>
      <c r="AQ82" s="41">
        <f t="shared" si="2"/>
        <v>600</v>
      </c>
      <c r="AR82" s="41">
        <f t="shared" si="3"/>
        <v>0</v>
      </c>
      <c r="AS82" s="41">
        <f t="shared" si="4"/>
        <v>600</v>
      </c>
      <c r="AT82" s="46">
        <f t="shared" si="5"/>
        <v>22.66666667</v>
      </c>
      <c r="AU82" s="37"/>
      <c r="AV82" s="37"/>
      <c r="AW82" s="37"/>
    </row>
    <row r="83" ht="15.75" customHeight="1">
      <c r="A83" s="39" t="s">
        <v>29</v>
      </c>
      <c r="B83" s="40">
        <f t="shared" si="6"/>
        <v>44643</v>
      </c>
      <c r="C83" s="41">
        <v>3.0</v>
      </c>
      <c r="D83" s="41" t="s">
        <v>35</v>
      </c>
      <c r="E83" s="43" t="s">
        <v>37</v>
      </c>
      <c r="F83" s="26">
        <v>100.0</v>
      </c>
      <c r="H83" s="27">
        <v>100.0</v>
      </c>
      <c r="J83" s="27">
        <v>0.0</v>
      </c>
      <c r="L83" s="27"/>
      <c r="N83" s="27"/>
      <c r="P83" s="27"/>
      <c r="Q83" s="29"/>
      <c r="R83" s="26">
        <v>200.0</v>
      </c>
      <c r="T83" s="27">
        <v>200.0</v>
      </c>
      <c r="V83" s="27">
        <v>0.0</v>
      </c>
      <c r="X83" s="27">
        <v>0.0</v>
      </c>
      <c r="Z83" s="27">
        <v>0.0</v>
      </c>
      <c r="AB83" s="27">
        <v>0.0</v>
      </c>
      <c r="AC83" s="29"/>
      <c r="AD83" s="26"/>
      <c r="AF83" s="27"/>
      <c r="AH83" s="27"/>
      <c r="AJ83" s="27"/>
      <c r="AL83" s="27"/>
      <c r="AN83" s="27"/>
      <c r="AO83" s="29"/>
      <c r="AP83" s="45">
        <f t="shared" si="1"/>
        <v>13600</v>
      </c>
      <c r="AQ83" s="41">
        <f t="shared" si="2"/>
        <v>600</v>
      </c>
      <c r="AR83" s="41">
        <f t="shared" si="3"/>
        <v>0</v>
      </c>
      <c r="AS83" s="41">
        <f t="shared" si="4"/>
        <v>600</v>
      </c>
      <c r="AT83" s="46">
        <f t="shared" si="5"/>
        <v>22.66666667</v>
      </c>
      <c r="AU83" s="37"/>
      <c r="AV83" s="37"/>
      <c r="AW83" s="37"/>
    </row>
    <row r="84" ht="15.75" customHeight="1">
      <c r="A84" s="39" t="s">
        <v>30</v>
      </c>
      <c r="B84" s="40">
        <f t="shared" si="6"/>
        <v>44644</v>
      </c>
      <c r="C84" s="41">
        <v>3.0</v>
      </c>
      <c r="D84" s="41" t="s">
        <v>35</v>
      </c>
      <c r="E84" s="43" t="s">
        <v>37</v>
      </c>
      <c r="F84" s="26">
        <v>100.0</v>
      </c>
      <c r="H84" s="27">
        <v>100.0</v>
      </c>
      <c r="J84" s="27">
        <v>0.0</v>
      </c>
      <c r="L84" s="27"/>
      <c r="N84" s="27"/>
      <c r="P84" s="27"/>
      <c r="Q84" s="29"/>
      <c r="R84" s="26">
        <v>200.0</v>
      </c>
      <c r="T84" s="27">
        <v>200.0</v>
      </c>
      <c r="V84" s="27">
        <v>0.0</v>
      </c>
      <c r="X84" s="27">
        <v>0.0</v>
      </c>
      <c r="Z84" s="27">
        <v>0.0</v>
      </c>
      <c r="AB84" s="27">
        <v>0.0</v>
      </c>
      <c r="AC84" s="29"/>
      <c r="AD84" s="26"/>
      <c r="AF84" s="27"/>
      <c r="AH84" s="27"/>
      <c r="AJ84" s="27"/>
      <c r="AL84" s="27"/>
      <c r="AN84" s="27"/>
      <c r="AO84" s="29"/>
      <c r="AP84" s="45">
        <f t="shared" si="1"/>
        <v>13600</v>
      </c>
      <c r="AQ84" s="41">
        <f t="shared" si="2"/>
        <v>600</v>
      </c>
      <c r="AR84" s="41">
        <f t="shared" si="3"/>
        <v>0</v>
      </c>
      <c r="AS84" s="41">
        <f t="shared" si="4"/>
        <v>600</v>
      </c>
      <c r="AT84" s="46">
        <f t="shared" si="5"/>
        <v>22.66666667</v>
      </c>
      <c r="AU84" s="37"/>
      <c r="AV84" s="37"/>
      <c r="AW84" s="37"/>
    </row>
    <row r="85" ht="15.75" customHeight="1">
      <c r="A85" s="39" t="s">
        <v>31</v>
      </c>
      <c r="B85" s="40">
        <f t="shared" si="6"/>
        <v>44645</v>
      </c>
      <c r="C85" s="41">
        <v>3.0</v>
      </c>
      <c r="D85" s="41" t="s">
        <v>35</v>
      </c>
      <c r="E85" s="43" t="s">
        <v>37</v>
      </c>
      <c r="F85" s="26">
        <v>100.0</v>
      </c>
      <c r="H85" s="27">
        <v>100.0</v>
      </c>
      <c r="J85" s="27">
        <v>0.0</v>
      </c>
      <c r="L85" s="27"/>
      <c r="N85" s="27"/>
      <c r="P85" s="27"/>
      <c r="Q85" s="29"/>
      <c r="R85" s="26">
        <v>200.0</v>
      </c>
      <c r="T85" s="27">
        <v>200.0</v>
      </c>
      <c r="V85" s="27">
        <v>0.0</v>
      </c>
      <c r="X85" s="27">
        <v>0.0</v>
      </c>
      <c r="Z85" s="27">
        <v>0.0</v>
      </c>
      <c r="AB85" s="27">
        <v>0.0</v>
      </c>
      <c r="AC85" s="29"/>
      <c r="AD85" s="26"/>
      <c r="AF85" s="27"/>
      <c r="AH85" s="27"/>
      <c r="AJ85" s="27"/>
      <c r="AL85" s="27"/>
      <c r="AN85" s="27"/>
      <c r="AO85" s="29"/>
      <c r="AP85" s="45">
        <f t="shared" si="1"/>
        <v>13600</v>
      </c>
      <c r="AQ85" s="41">
        <f t="shared" si="2"/>
        <v>600</v>
      </c>
      <c r="AR85" s="41">
        <f t="shared" si="3"/>
        <v>0</v>
      </c>
      <c r="AS85" s="41">
        <f t="shared" si="4"/>
        <v>600</v>
      </c>
      <c r="AT85" s="46">
        <f t="shared" si="5"/>
        <v>22.66666667</v>
      </c>
      <c r="AU85" s="37"/>
      <c r="AV85" s="37"/>
      <c r="AW85" s="37"/>
    </row>
    <row r="86" ht="15.75" customHeight="1">
      <c r="A86" s="49" t="s">
        <v>32</v>
      </c>
      <c r="B86" s="50">
        <f t="shared" si="6"/>
        <v>44646</v>
      </c>
      <c r="C86" s="51">
        <v>3.0</v>
      </c>
      <c r="D86" s="51" t="s">
        <v>35</v>
      </c>
      <c r="E86" s="53" t="s">
        <v>37</v>
      </c>
      <c r="F86" s="54">
        <v>100.0</v>
      </c>
      <c r="G86" s="55"/>
      <c r="H86" s="56">
        <v>100.0</v>
      </c>
      <c r="I86" s="55"/>
      <c r="J86" s="56">
        <v>0.0</v>
      </c>
      <c r="K86" s="55"/>
      <c r="L86" s="56"/>
      <c r="M86" s="55"/>
      <c r="N86" s="56"/>
      <c r="O86" s="55"/>
      <c r="P86" s="56"/>
      <c r="Q86" s="58"/>
      <c r="R86" s="54">
        <v>200.0</v>
      </c>
      <c r="S86" s="55"/>
      <c r="T86" s="56">
        <v>200.0</v>
      </c>
      <c r="U86" s="55"/>
      <c r="V86" s="56">
        <v>0.0</v>
      </c>
      <c r="W86" s="55"/>
      <c r="X86" s="56">
        <v>0.0</v>
      </c>
      <c r="Y86" s="55"/>
      <c r="Z86" s="56">
        <v>0.0</v>
      </c>
      <c r="AA86" s="55"/>
      <c r="AB86" s="56">
        <v>0.0</v>
      </c>
      <c r="AC86" s="58"/>
      <c r="AD86" s="54"/>
      <c r="AE86" s="55"/>
      <c r="AF86" s="56"/>
      <c r="AG86" s="55"/>
      <c r="AH86" s="56"/>
      <c r="AI86" s="55"/>
      <c r="AJ86" s="56"/>
      <c r="AK86" s="55"/>
      <c r="AL86" s="56"/>
      <c r="AM86" s="55"/>
      <c r="AN86" s="56"/>
      <c r="AO86" s="58"/>
      <c r="AP86" s="60">
        <f t="shared" si="1"/>
        <v>13600</v>
      </c>
      <c r="AQ86" s="51">
        <f t="shared" si="2"/>
        <v>600</v>
      </c>
      <c r="AR86" s="51">
        <f t="shared" si="3"/>
        <v>0</v>
      </c>
      <c r="AS86" s="51">
        <f t="shared" si="4"/>
        <v>600</v>
      </c>
      <c r="AT86" s="61">
        <f t="shared" si="5"/>
        <v>22.66666667</v>
      </c>
      <c r="AU86" s="37"/>
      <c r="AV86" s="37"/>
      <c r="AW86" s="37"/>
    </row>
    <row r="87" ht="15.75" customHeight="1">
      <c r="A87" s="21" t="s">
        <v>24</v>
      </c>
      <c r="B87" s="62">
        <f t="shared" si="6"/>
        <v>44647</v>
      </c>
      <c r="C87" s="23">
        <v>4.0</v>
      </c>
      <c r="D87" s="23" t="s">
        <v>25</v>
      </c>
      <c r="E87" s="25" t="s">
        <v>39</v>
      </c>
      <c r="F87" s="26"/>
      <c r="H87" s="27"/>
      <c r="J87" s="27"/>
      <c r="L87" s="27"/>
      <c r="N87" s="27"/>
      <c r="P87" s="27"/>
      <c r="Q87" s="29"/>
      <c r="R87" s="26">
        <v>100.0</v>
      </c>
      <c r="T87" s="27">
        <v>100.0</v>
      </c>
      <c r="V87" s="27">
        <v>0.0</v>
      </c>
      <c r="X87" s="27">
        <v>0.0</v>
      </c>
      <c r="Z87" s="27">
        <v>0.0</v>
      </c>
      <c r="AB87" s="27">
        <v>100.0</v>
      </c>
      <c r="AC87" s="29"/>
      <c r="AD87" s="26"/>
      <c r="AF87" s="27"/>
      <c r="AH87" s="27"/>
      <c r="AJ87" s="27"/>
      <c r="AL87" s="27"/>
      <c r="AN87" s="27"/>
      <c r="AO87" s="29"/>
      <c r="AP87" s="35">
        <f t="shared" si="1"/>
        <v>4100</v>
      </c>
      <c r="AQ87" s="23">
        <f t="shared" si="2"/>
        <v>200</v>
      </c>
      <c r="AR87" s="23">
        <f t="shared" si="3"/>
        <v>100</v>
      </c>
      <c r="AS87" s="23">
        <f t="shared" si="4"/>
        <v>300</v>
      </c>
      <c r="AT87" s="36">
        <f t="shared" si="5"/>
        <v>13.66666667</v>
      </c>
      <c r="AU87" s="37"/>
      <c r="AV87" s="37"/>
      <c r="AW87" s="37"/>
    </row>
    <row r="88" ht="15.75" customHeight="1">
      <c r="A88" s="39" t="s">
        <v>27</v>
      </c>
      <c r="B88" s="40">
        <f t="shared" si="6"/>
        <v>44648</v>
      </c>
      <c r="C88" s="41">
        <v>4.0</v>
      </c>
      <c r="D88" s="41" t="s">
        <v>25</v>
      </c>
      <c r="E88" s="43" t="s">
        <v>39</v>
      </c>
      <c r="F88" s="26"/>
      <c r="H88" s="27"/>
      <c r="J88" s="27"/>
      <c r="L88" s="27"/>
      <c r="N88" s="27"/>
      <c r="P88" s="27"/>
      <c r="Q88" s="29"/>
      <c r="R88" s="26">
        <v>100.0</v>
      </c>
      <c r="T88" s="27">
        <v>100.0</v>
      </c>
      <c r="V88" s="27">
        <v>0.0</v>
      </c>
      <c r="X88" s="27">
        <v>0.0</v>
      </c>
      <c r="Z88" s="27">
        <v>0.0</v>
      </c>
      <c r="AB88" s="27">
        <v>100.0</v>
      </c>
      <c r="AC88" s="29"/>
      <c r="AD88" s="26"/>
      <c r="AF88" s="27"/>
      <c r="AH88" s="27"/>
      <c r="AJ88" s="27"/>
      <c r="AL88" s="27"/>
      <c r="AN88" s="27"/>
      <c r="AO88" s="29"/>
      <c r="AP88" s="45">
        <f t="shared" si="1"/>
        <v>4100</v>
      </c>
      <c r="AQ88" s="41">
        <f t="shared" si="2"/>
        <v>200</v>
      </c>
      <c r="AR88" s="41">
        <f t="shared" si="3"/>
        <v>100</v>
      </c>
      <c r="AS88" s="41">
        <f t="shared" si="4"/>
        <v>300</v>
      </c>
      <c r="AT88" s="46">
        <f t="shared" si="5"/>
        <v>13.66666667</v>
      </c>
      <c r="AU88" s="37"/>
      <c r="AV88" s="37"/>
      <c r="AW88" s="37"/>
    </row>
    <row r="89" ht="15.75" customHeight="1">
      <c r="A89" s="39" t="s">
        <v>28</v>
      </c>
      <c r="B89" s="40">
        <f t="shared" si="6"/>
        <v>44649</v>
      </c>
      <c r="C89" s="41">
        <v>4.0</v>
      </c>
      <c r="D89" s="41" t="s">
        <v>25</v>
      </c>
      <c r="E89" s="43" t="s">
        <v>39</v>
      </c>
      <c r="F89" s="26"/>
      <c r="H89" s="27"/>
      <c r="J89" s="27"/>
      <c r="L89" s="27"/>
      <c r="N89" s="27"/>
      <c r="P89" s="27"/>
      <c r="Q89" s="29"/>
      <c r="R89" s="26">
        <v>100.0</v>
      </c>
      <c r="T89" s="27">
        <v>100.0</v>
      </c>
      <c r="V89" s="27">
        <v>0.0</v>
      </c>
      <c r="X89" s="27">
        <v>0.0</v>
      </c>
      <c r="Z89" s="27">
        <v>0.0</v>
      </c>
      <c r="AB89" s="27">
        <v>100.0</v>
      </c>
      <c r="AC89" s="29"/>
      <c r="AD89" s="26"/>
      <c r="AF89" s="27"/>
      <c r="AH89" s="27"/>
      <c r="AJ89" s="27"/>
      <c r="AL89" s="27"/>
      <c r="AN89" s="27"/>
      <c r="AO89" s="29"/>
      <c r="AP89" s="45">
        <f t="shared" si="1"/>
        <v>4100</v>
      </c>
      <c r="AQ89" s="41">
        <f t="shared" si="2"/>
        <v>200</v>
      </c>
      <c r="AR89" s="41">
        <f t="shared" si="3"/>
        <v>100</v>
      </c>
      <c r="AS89" s="41">
        <f t="shared" si="4"/>
        <v>300</v>
      </c>
      <c r="AT89" s="46">
        <f t="shared" si="5"/>
        <v>13.66666667</v>
      </c>
      <c r="AU89" s="37"/>
      <c r="AV89" s="37"/>
      <c r="AW89" s="37"/>
    </row>
    <row r="90" ht="15.75" customHeight="1">
      <c r="A90" s="39" t="s">
        <v>29</v>
      </c>
      <c r="B90" s="40">
        <f t="shared" si="6"/>
        <v>44650</v>
      </c>
      <c r="C90" s="41">
        <v>4.0</v>
      </c>
      <c r="D90" s="41" t="s">
        <v>25</v>
      </c>
      <c r="E90" s="43" t="s">
        <v>39</v>
      </c>
      <c r="F90" s="26"/>
      <c r="H90" s="27"/>
      <c r="J90" s="27"/>
      <c r="L90" s="27"/>
      <c r="N90" s="27"/>
      <c r="P90" s="27"/>
      <c r="Q90" s="29"/>
      <c r="R90" s="26">
        <v>100.0</v>
      </c>
      <c r="T90" s="27">
        <v>100.0</v>
      </c>
      <c r="V90" s="27">
        <v>0.0</v>
      </c>
      <c r="X90" s="27">
        <v>0.0</v>
      </c>
      <c r="Z90" s="27">
        <v>0.0</v>
      </c>
      <c r="AB90" s="27">
        <v>100.0</v>
      </c>
      <c r="AC90" s="29"/>
      <c r="AD90" s="26"/>
      <c r="AF90" s="27"/>
      <c r="AH90" s="27"/>
      <c r="AJ90" s="27"/>
      <c r="AL90" s="27"/>
      <c r="AN90" s="27"/>
      <c r="AO90" s="29"/>
      <c r="AP90" s="45">
        <f t="shared" si="1"/>
        <v>4100</v>
      </c>
      <c r="AQ90" s="41">
        <f t="shared" si="2"/>
        <v>200</v>
      </c>
      <c r="AR90" s="41">
        <f t="shared" si="3"/>
        <v>100</v>
      </c>
      <c r="AS90" s="41">
        <f t="shared" si="4"/>
        <v>300</v>
      </c>
      <c r="AT90" s="46">
        <f t="shared" si="5"/>
        <v>13.66666667</v>
      </c>
      <c r="AU90" s="37"/>
      <c r="AV90" s="37"/>
      <c r="AW90" s="37"/>
    </row>
    <row r="91" ht="15.75" customHeight="1">
      <c r="A91" s="39" t="s">
        <v>30</v>
      </c>
      <c r="B91" s="40">
        <f t="shared" si="6"/>
        <v>44651</v>
      </c>
      <c r="C91" s="41">
        <v>4.0</v>
      </c>
      <c r="D91" s="41" t="s">
        <v>25</v>
      </c>
      <c r="E91" s="43" t="s">
        <v>39</v>
      </c>
      <c r="F91" s="26"/>
      <c r="H91" s="27"/>
      <c r="J91" s="27"/>
      <c r="L91" s="27"/>
      <c r="N91" s="27"/>
      <c r="P91" s="27"/>
      <c r="Q91" s="29"/>
      <c r="R91" s="26">
        <v>100.0</v>
      </c>
      <c r="T91" s="27">
        <v>100.0</v>
      </c>
      <c r="V91" s="27">
        <v>0.0</v>
      </c>
      <c r="X91" s="27">
        <v>0.0</v>
      </c>
      <c r="Z91" s="27">
        <v>0.0</v>
      </c>
      <c r="AB91" s="27">
        <v>100.0</v>
      </c>
      <c r="AC91" s="29"/>
      <c r="AD91" s="26"/>
      <c r="AF91" s="27"/>
      <c r="AH91" s="27"/>
      <c r="AJ91" s="27"/>
      <c r="AL91" s="27"/>
      <c r="AN91" s="27"/>
      <c r="AO91" s="29"/>
      <c r="AP91" s="45">
        <f t="shared" si="1"/>
        <v>4100</v>
      </c>
      <c r="AQ91" s="41">
        <f t="shared" si="2"/>
        <v>200</v>
      </c>
      <c r="AR91" s="41">
        <f t="shared" si="3"/>
        <v>100</v>
      </c>
      <c r="AS91" s="41">
        <f t="shared" si="4"/>
        <v>300</v>
      </c>
      <c r="AT91" s="46">
        <f t="shared" si="5"/>
        <v>13.66666667</v>
      </c>
      <c r="AU91" s="37"/>
      <c r="AV91" s="37"/>
      <c r="AW91" s="37"/>
    </row>
    <row r="92" ht="15.75" customHeight="1">
      <c r="A92" s="39" t="s">
        <v>31</v>
      </c>
      <c r="B92" s="40">
        <f t="shared" si="6"/>
        <v>44652</v>
      </c>
      <c r="C92" s="41">
        <v>4.0</v>
      </c>
      <c r="D92" s="41" t="s">
        <v>25</v>
      </c>
      <c r="E92" s="43" t="s">
        <v>39</v>
      </c>
      <c r="F92" s="26"/>
      <c r="H92" s="27"/>
      <c r="J92" s="27"/>
      <c r="L92" s="27"/>
      <c r="N92" s="27"/>
      <c r="P92" s="27"/>
      <c r="Q92" s="29"/>
      <c r="R92" s="26">
        <v>100.0</v>
      </c>
      <c r="T92" s="27">
        <v>100.0</v>
      </c>
      <c r="V92" s="27">
        <v>0.0</v>
      </c>
      <c r="X92" s="27">
        <v>0.0</v>
      </c>
      <c r="Z92" s="27">
        <v>0.0</v>
      </c>
      <c r="AB92" s="27">
        <v>100.0</v>
      </c>
      <c r="AC92" s="29"/>
      <c r="AD92" s="26"/>
      <c r="AF92" s="27"/>
      <c r="AH92" s="27"/>
      <c r="AJ92" s="27"/>
      <c r="AL92" s="27"/>
      <c r="AN92" s="27"/>
      <c r="AO92" s="29"/>
      <c r="AP92" s="45">
        <f t="shared" si="1"/>
        <v>4100</v>
      </c>
      <c r="AQ92" s="41">
        <f t="shared" si="2"/>
        <v>200</v>
      </c>
      <c r="AR92" s="41">
        <f t="shared" si="3"/>
        <v>100</v>
      </c>
      <c r="AS92" s="41">
        <f t="shared" si="4"/>
        <v>300</v>
      </c>
      <c r="AT92" s="46">
        <f t="shared" si="5"/>
        <v>13.66666667</v>
      </c>
      <c r="AU92" s="37"/>
      <c r="AV92" s="37"/>
      <c r="AW92" s="37"/>
    </row>
    <row r="93" ht="15.75" customHeight="1">
      <c r="A93" s="49" t="s">
        <v>32</v>
      </c>
      <c r="B93" s="50">
        <f t="shared" si="6"/>
        <v>44653</v>
      </c>
      <c r="C93" s="51">
        <v>4.0</v>
      </c>
      <c r="D93" s="51" t="s">
        <v>25</v>
      </c>
      <c r="E93" s="53" t="s">
        <v>39</v>
      </c>
      <c r="F93" s="54"/>
      <c r="G93" s="55"/>
      <c r="H93" s="56"/>
      <c r="I93" s="55"/>
      <c r="J93" s="56"/>
      <c r="K93" s="55"/>
      <c r="L93" s="56"/>
      <c r="M93" s="55"/>
      <c r="N93" s="56"/>
      <c r="O93" s="55"/>
      <c r="P93" s="56"/>
      <c r="Q93" s="58"/>
      <c r="R93" s="54">
        <v>0.0</v>
      </c>
      <c r="S93" s="55"/>
      <c r="T93" s="56">
        <v>0.0</v>
      </c>
      <c r="U93" s="55"/>
      <c r="V93" s="56">
        <v>0.0</v>
      </c>
      <c r="W93" s="55"/>
      <c r="X93" s="56">
        <v>0.0</v>
      </c>
      <c r="Y93" s="55"/>
      <c r="Z93" s="56">
        <v>0.0</v>
      </c>
      <c r="AA93" s="55"/>
      <c r="AB93" s="56">
        <v>0.0</v>
      </c>
      <c r="AC93" s="58"/>
      <c r="AD93" s="54"/>
      <c r="AE93" s="55"/>
      <c r="AF93" s="56"/>
      <c r="AG93" s="55"/>
      <c r="AH93" s="56"/>
      <c r="AI93" s="55"/>
      <c r="AJ93" s="56"/>
      <c r="AK93" s="55"/>
      <c r="AL93" s="56"/>
      <c r="AM93" s="55"/>
      <c r="AN93" s="56"/>
      <c r="AO93" s="58"/>
      <c r="AP93" s="60">
        <f t="shared" si="1"/>
        <v>0</v>
      </c>
      <c r="AQ93" s="51">
        <f t="shared" si="2"/>
        <v>0</v>
      </c>
      <c r="AR93" s="51">
        <f t="shared" si="3"/>
        <v>0</v>
      </c>
      <c r="AS93" s="51">
        <f t="shared" si="4"/>
        <v>0</v>
      </c>
      <c r="AT93" s="61" t="str">
        <f t="shared" si="5"/>
        <v/>
      </c>
      <c r="AU93" s="37"/>
      <c r="AV93" s="37"/>
      <c r="AW93" s="37"/>
    </row>
    <row r="94" ht="15.75" customHeight="1">
      <c r="A94" s="21" t="s">
        <v>24</v>
      </c>
      <c r="B94" s="62">
        <f t="shared" si="6"/>
        <v>44654</v>
      </c>
      <c r="C94" s="23">
        <v>4.0</v>
      </c>
      <c r="D94" s="23" t="s">
        <v>33</v>
      </c>
      <c r="E94" s="63" t="s">
        <v>39</v>
      </c>
      <c r="F94" s="26"/>
      <c r="H94" s="27"/>
      <c r="J94" s="27"/>
      <c r="L94" s="27"/>
      <c r="N94" s="27"/>
      <c r="P94" s="27"/>
      <c r="Q94" s="29"/>
      <c r="R94" s="26">
        <v>100.0</v>
      </c>
      <c r="T94" s="27">
        <v>100.0</v>
      </c>
      <c r="V94" s="27">
        <v>0.0</v>
      </c>
      <c r="X94" s="27">
        <v>0.0</v>
      </c>
      <c r="Z94" s="27">
        <v>0.0</v>
      </c>
      <c r="AB94" s="27">
        <v>100.0</v>
      </c>
      <c r="AC94" s="29"/>
      <c r="AD94" s="26"/>
      <c r="AF94" s="27"/>
      <c r="AH94" s="27"/>
      <c r="AJ94" s="27"/>
      <c r="AL94" s="27"/>
      <c r="AN94" s="27"/>
      <c r="AO94" s="29"/>
      <c r="AP94" s="35">
        <f t="shared" si="1"/>
        <v>4100</v>
      </c>
      <c r="AQ94" s="23">
        <f t="shared" si="2"/>
        <v>200</v>
      </c>
      <c r="AR94" s="23">
        <f t="shared" si="3"/>
        <v>100</v>
      </c>
      <c r="AS94" s="23">
        <f t="shared" si="4"/>
        <v>300</v>
      </c>
      <c r="AT94" s="36">
        <f t="shared" si="5"/>
        <v>13.66666667</v>
      </c>
      <c r="AU94" s="37"/>
      <c r="AV94" s="37"/>
      <c r="AW94" s="37"/>
    </row>
    <row r="95" ht="15.75" customHeight="1">
      <c r="A95" s="39" t="s">
        <v>27</v>
      </c>
      <c r="B95" s="40">
        <f t="shared" si="6"/>
        <v>44655</v>
      </c>
      <c r="C95" s="41">
        <v>4.0</v>
      </c>
      <c r="D95" s="41" t="s">
        <v>33</v>
      </c>
      <c r="E95" s="43" t="s">
        <v>39</v>
      </c>
      <c r="F95" s="26"/>
      <c r="H95" s="27"/>
      <c r="J95" s="27"/>
      <c r="L95" s="27"/>
      <c r="N95" s="27"/>
      <c r="P95" s="27"/>
      <c r="Q95" s="29"/>
      <c r="R95" s="26">
        <v>100.0</v>
      </c>
      <c r="T95" s="27">
        <v>100.0</v>
      </c>
      <c r="V95" s="27">
        <v>0.0</v>
      </c>
      <c r="X95" s="27">
        <v>0.0</v>
      </c>
      <c r="Z95" s="27">
        <v>0.0</v>
      </c>
      <c r="AB95" s="27">
        <v>100.0</v>
      </c>
      <c r="AC95" s="29"/>
      <c r="AD95" s="26"/>
      <c r="AF95" s="27"/>
      <c r="AH95" s="27"/>
      <c r="AJ95" s="27"/>
      <c r="AL95" s="27"/>
      <c r="AN95" s="27"/>
      <c r="AO95" s="29"/>
      <c r="AP95" s="45">
        <f t="shared" si="1"/>
        <v>4100</v>
      </c>
      <c r="AQ95" s="41">
        <f t="shared" si="2"/>
        <v>200</v>
      </c>
      <c r="AR95" s="41">
        <f t="shared" si="3"/>
        <v>100</v>
      </c>
      <c r="AS95" s="41">
        <f t="shared" si="4"/>
        <v>300</v>
      </c>
      <c r="AT95" s="46">
        <f t="shared" si="5"/>
        <v>13.66666667</v>
      </c>
      <c r="AU95" s="37"/>
      <c r="AV95" s="37"/>
      <c r="AW95" s="37"/>
    </row>
    <row r="96" ht="15.75" customHeight="1">
      <c r="A96" s="39" t="s">
        <v>28</v>
      </c>
      <c r="B96" s="40">
        <f t="shared" si="6"/>
        <v>44656</v>
      </c>
      <c r="C96" s="41">
        <v>4.0</v>
      </c>
      <c r="D96" s="41" t="s">
        <v>33</v>
      </c>
      <c r="E96" s="43" t="s">
        <v>39</v>
      </c>
      <c r="F96" s="26"/>
      <c r="H96" s="27"/>
      <c r="J96" s="27"/>
      <c r="L96" s="27"/>
      <c r="N96" s="27"/>
      <c r="P96" s="27"/>
      <c r="Q96" s="29"/>
      <c r="R96" s="26">
        <v>100.0</v>
      </c>
      <c r="T96" s="27">
        <v>100.0</v>
      </c>
      <c r="V96" s="27">
        <v>0.0</v>
      </c>
      <c r="X96" s="27">
        <v>0.0</v>
      </c>
      <c r="Z96" s="27">
        <v>0.0</v>
      </c>
      <c r="AB96" s="27">
        <v>100.0</v>
      </c>
      <c r="AC96" s="29"/>
      <c r="AD96" s="26"/>
      <c r="AF96" s="27"/>
      <c r="AH96" s="27"/>
      <c r="AJ96" s="27"/>
      <c r="AL96" s="27"/>
      <c r="AN96" s="27"/>
      <c r="AO96" s="29"/>
      <c r="AP96" s="45">
        <f t="shared" si="1"/>
        <v>4100</v>
      </c>
      <c r="AQ96" s="41">
        <f t="shared" si="2"/>
        <v>200</v>
      </c>
      <c r="AR96" s="41">
        <f t="shared" si="3"/>
        <v>100</v>
      </c>
      <c r="AS96" s="41">
        <f t="shared" si="4"/>
        <v>300</v>
      </c>
      <c r="AT96" s="46">
        <f t="shared" si="5"/>
        <v>13.66666667</v>
      </c>
      <c r="AU96" s="37"/>
      <c r="AV96" s="37"/>
      <c r="AW96" s="37"/>
    </row>
    <row r="97" ht="15.75" customHeight="1">
      <c r="A97" s="39" t="s">
        <v>29</v>
      </c>
      <c r="B97" s="40">
        <f t="shared" si="6"/>
        <v>44657</v>
      </c>
      <c r="C97" s="41">
        <v>4.0</v>
      </c>
      <c r="D97" s="41" t="s">
        <v>33</v>
      </c>
      <c r="E97" s="43" t="s">
        <v>39</v>
      </c>
      <c r="F97" s="26"/>
      <c r="H97" s="27"/>
      <c r="J97" s="27"/>
      <c r="L97" s="27"/>
      <c r="N97" s="27"/>
      <c r="P97" s="27"/>
      <c r="Q97" s="29"/>
      <c r="R97" s="26">
        <v>100.0</v>
      </c>
      <c r="T97" s="27">
        <v>100.0</v>
      </c>
      <c r="V97" s="27">
        <v>0.0</v>
      </c>
      <c r="X97" s="27">
        <v>0.0</v>
      </c>
      <c r="Z97" s="27">
        <v>0.0</v>
      </c>
      <c r="AB97" s="27">
        <v>100.0</v>
      </c>
      <c r="AC97" s="29"/>
      <c r="AD97" s="26"/>
      <c r="AF97" s="27"/>
      <c r="AH97" s="27"/>
      <c r="AJ97" s="27"/>
      <c r="AL97" s="27"/>
      <c r="AN97" s="27"/>
      <c r="AO97" s="29"/>
      <c r="AP97" s="45">
        <f t="shared" si="1"/>
        <v>4100</v>
      </c>
      <c r="AQ97" s="41">
        <f t="shared" si="2"/>
        <v>200</v>
      </c>
      <c r="AR97" s="41">
        <f t="shared" si="3"/>
        <v>100</v>
      </c>
      <c r="AS97" s="41">
        <f t="shared" si="4"/>
        <v>300</v>
      </c>
      <c r="AT97" s="46">
        <f t="shared" si="5"/>
        <v>13.66666667</v>
      </c>
      <c r="AU97" s="37"/>
      <c r="AV97" s="37"/>
      <c r="AW97" s="37"/>
    </row>
    <row r="98" ht="15.75" customHeight="1">
      <c r="A98" s="39" t="s">
        <v>30</v>
      </c>
      <c r="B98" s="40">
        <f t="shared" si="6"/>
        <v>44658</v>
      </c>
      <c r="C98" s="41">
        <v>4.0</v>
      </c>
      <c r="D98" s="41" t="s">
        <v>33</v>
      </c>
      <c r="E98" s="43" t="s">
        <v>39</v>
      </c>
      <c r="F98" s="26"/>
      <c r="H98" s="27"/>
      <c r="J98" s="27"/>
      <c r="L98" s="27"/>
      <c r="N98" s="27"/>
      <c r="P98" s="27"/>
      <c r="Q98" s="29"/>
      <c r="R98" s="26">
        <v>100.0</v>
      </c>
      <c r="T98" s="27">
        <v>100.0</v>
      </c>
      <c r="V98" s="27">
        <v>0.0</v>
      </c>
      <c r="X98" s="27">
        <v>0.0</v>
      </c>
      <c r="Z98" s="27">
        <v>0.0</v>
      </c>
      <c r="AB98" s="27">
        <v>100.0</v>
      </c>
      <c r="AC98" s="29"/>
      <c r="AD98" s="26"/>
      <c r="AF98" s="27"/>
      <c r="AH98" s="27"/>
      <c r="AJ98" s="27"/>
      <c r="AL98" s="27"/>
      <c r="AN98" s="27"/>
      <c r="AO98" s="29"/>
      <c r="AP98" s="45">
        <f t="shared" si="1"/>
        <v>4100</v>
      </c>
      <c r="AQ98" s="41">
        <f t="shared" si="2"/>
        <v>200</v>
      </c>
      <c r="AR98" s="41">
        <f t="shared" si="3"/>
        <v>100</v>
      </c>
      <c r="AS98" s="41">
        <f t="shared" si="4"/>
        <v>300</v>
      </c>
      <c r="AT98" s="46">
        <f t="shared" si="5"/>
        <v>13.66666667</v>
      </c>
      <c r="AU98" s="37"/>
      <c r="AV98" s="37"/>
      <c r="AW98" s="37"/>
    </row>
    <row r="99" ht="15.75" customHeight="1">
      <c r="A99" s="39" t="s">
        <v>31</v>
      </c>
      <c r="B99" s="40">
        <f t="shared" si="6"/>
        <v>44659</v>
      </c>
      <c r="C99" s="41">
        <v>4.0</v>
      </c>
      <c r="D99" s="41" t="s">
        <v>33</v>
      </c>
      <c r="E99" s="43" t="s">
        <v>39</v>
      </c>
      <c r="F99" s="26"/>
      <c r="H99" s="27"/>
      <c r="J99" s="27"/>
      <c r="L99" s="27"/>
      <c r="N99" s="27"/>
      <c r="P99" s="27"/>
      <c r="Q99" s="29"/>
      <c r="R99" s="26">
        <v>100.0</v>
      </c>
      <c r="T99" s="27">
        <v>100.0</v>
      </c>
      <c r="V99" s="27">
        <v>0.0</v>
      </c>
      <c r="X99" s="27">
        <v>0.0</v>
      </c>
      <c r="Z99" s="27">
        <v>0.0</v>
      </c>
      <c r="AB99" s="27">
        <v>100.0</v>
      </c>
      <c r="AC99" s="29"/>
      <c r="AD99" s="26"/>
      <c r="AF99" s="27"/>
      <c r="AH99" s="27"/>
      <c r="AJ99" s="27"/>
      <c r="AL99" s="27"/>
      <c r="AN99" s="27"/>
      <c r="AO99" s="29"/>
      <c r="AP99" s="45">
        <f t="shared" si="1"/>
        <v>4100</v>
      </c>
      <c r="AQ99" s="41">
        <f t="shared" si="2"/>
        <v>200</v>
      </c>
      <c r="AR99" s="41">
        <f t="shared" si="3"/>
        <v>100</v>
      </c>
      <c r="AS99" s="41">
        <f t="shared" si="4"/>
        <v>300</v>
      </c>
      <c r="AT99" s="46">
        <f t="shared" si="5"/>
        <v>13.66666667</v>
      </c>
      <c r="AU99" s="37"/>
      <c r="AV99" s="37"/>
      <c r="AW99" s="37"/>
    </row>
    <row r="100" ht="15.75" customHeight="1">
      <c r="A100" s="49" t="s">
        <v>32</v>
      </c>
      <c r="B100" s="50">
        <f t="shared" si="6"/>
        <v>44660</v>
      </c>
      <c r="C100" s="51">
        <v>4.0</v>
      </c>
      <c r="D100" s="51" t="s">
        <v>33</v>
      </c>
      <c r="E100" s="53" t="s">
        <v>39</v>
      </c>
      <c r="F100" s="54"/>
      <c r="G100" s="55"/>
      <c r="H100" s="56"/>
      <c r="I100" s="55"/>
      <c r="J100" s="56"/>
      <c r="K100" s="55"/>
      <c r="L100" s="56"/>
      <c r="M100" s="55"/>
      <c r="N100" s="56"/>
      <c r="O100" s="55"/>
      <c r="P100" s="56"/>
      <c r="Q100" s="58"/>
      <c r="R100" s="54">
        <v>0.0</v>
      </c>
      <c r="S100" s="55"/>
      <c r="T100" s="56">
        <v>0.0</v>
      </c>
      <c r="U100" s="55"/>
      <c r="V100" s="56">
        <v>0.0</v>
      </c>
      <c r="W100" s="55"/>
      <c r="X100" s="56">
        <v>0.0</v>
      </c>
      <c r="Y100" s="55"/>
      <c r="Z100" s="56">
        <v>0.0</v>
      </c>
      <c r="AA100" s="55"/>
      <c r="AB100" s="56">
        <v>0.0</v>
      </c>
      <c r="AC100" s="58"/>
      <c r="AD100" s="54"/>
      <c r="AE100" s="55"/>
      <c r="AF100" s="56"/>
      <c r="AG100" s="55"/>
      <c r="AH100" s="56"/>
      <c r="AI100" s="55"/>
      <c r="AJ100" s="56"/>
      <c r="AK100" s="55"/>
      <c r="AL100" s="56"/>
      <c r="AM100" s="55"/>
      <c r="AN100" s="56"/>
      <c r="AO100" s="58"/>
      <c r="AP100" s="60">
        <f t="shared" si="1"/>
        <v>0</v>
      </c>
      <c r="AQ100" s="51">
        <f t="shared" si="2"/>
        <v>0</v>
      </c>
      <c r="AR100" s="51">
        <f t="shared" si="3"/>
        <v>0</v>
      </c>
      <c r="AS100" s="51">
        <f t="shared" si="4"/>
        <v>0</v>
      </c>
      <c r="AT100" s="61" t="str">
        <f t="shared" si="5"/>
        <v/>
      </c>
      <c r="AU100" s="37"/>
      <c r="AV100" s="37"/>
      <c r="AW100" s="37"/>
    </row>
    <row r="101" ht="15.75" customHeight="1">
      <c r="A101" s="21" t="s">
        <v>24</v>
      </c>
      <c r="B101" s="62">
        <f t="shared" si="6"/>
        <v>44661</v>
      </c>
      <c r="C101" s="23">
        <v>4.0</v>
      </c>
      <c r="D101" s="23" t="s">
        <v>34</v>
      </c>
      <c r="E101" s="63" t="s">
        <v>39</v>
      </c>
      <c r="F101" s="26"/>
      <c r="H101" s="27"/>
      <c r="J101" s="27"/>
      <c r="L101" s="27"/>
      <c r="N101" s="27"/>
      <c r="P101" s="27"/>
      <c r="Q101" s="29"/>
      <c r="R101" s="26">
        <v>100.0</v>
      </c>
      <c r="T101" s="27">
        <v>100.0</v>
      </c>
      <c r="V101" s="27">
        <v>0.0</v>
      </c>
      <c r="X101" s="27">
        <v>0.0</v>
      </c>
      <c r="Z101" s="27">
        <v>0.0</v>
      </c>
      <c r="AB101" s="27">
        <v>100.0</v>
      </c>
      <c r="AC101" s="29"/>
      <c r="AD101" s="26"/>
      <c r="AF101" s="27"/>
      <c r="AH101" s="27"/>
      <c r="AJ101" s="27"/>
      <c r="AL101" s="27"/>
      <c r="AN101" s="27"/>
      <c r="AO101" s="29"/>
      <c r="AP101" s="35">
        <f t="shared" si="1"/>
        <v>4100</v>
      </c>
      <c r="AQ101" s="23">
        <f t="shared" si="2"/>
        <v>200</v>
      </c>
      <c r="AR101" s="23">
        <f t="shared" si="3"/>
        <v>100</v>
      </c>
      <c r="AS101" s="23">
        <f t="shared" si="4"/>
        <v>300</v>
      </c>
      <c r="AT101" s="36">
        <f t="shared" si="5"/>
        <v>13.66666667</v>
      </c>
      <c r="AU101" s="37"/>
      <c r="AV101" s="37"/>
      <c r="AW101" s="37"/>
    </row>
    <row r="102" ht="15.75" customHeight="1">
      <c r="A102" s="39" t="s">
        <v>27</v>
      </c>
      <c r="B102" s="40">
        <f t="shared" si="6"/>
        <v>44662</v>
      </c>
      <c r="C102" s="41">
        <v>4.0</v>
      </c>
      <c r="D102" s="41" t="s">
        <v>34</v>
      </c>
      <c r="E102" s="43" t="s">
        <v>39</v>
      </c>
      <c r="F102" s="26"/>
      <c r="H102" s="27"/>
      <c r="J102" s="27"/>
      <c r="L102" s="27"/>
      <c r="N102" s="27"/>
      <c r="P102" s="27"/>
      <c r="Q102" s="29"/>
      <c r="R102" s="26">
        <v>100.0</v>
      </c>
      <c r="T102" s="27">
        <v>100.0</v>
      </c>
      <c r="V102" s="27">
        <v>0.0</v>
      </c>
      <c r="X102" s="27">
        <v>0.0</v>
      </c>
      <c r="Z102" s="27">
        <v>0.0</v>
      </c>
      <c r="AB102" s="27">
        <v>100.0</v>
      </c>
      <c r="AC102" s="29"/>
      <c r="AD102" s="26"/>
      <c r="AF102" s="27"/>
      <c r="AH102" s="27"/>
      <c r="AJ102" s="27"/>
      <c r="AL102" s="27"/>
      <c r="AN102" s="27"/>
      <c r="AO102" s="29"/>
      <c r="AP102" s="45">
        <f t="shared" si="1"/>
        <v>4100</v>
      </c>
      <c r="AQ102" s="41">
        <f t="shared" si="2"/>
        <v>200</v>
      </c>
      <c r="AR102" s="41">
        <f t="shared" si="3"/>
        <v>100</v>
      </c>
      <c r="AS102" s="41">
        <f t="shared" si="4"/>
        <v>300</v>
      </c>
      <c r="AT102" s="46">
        <f t="shared" si="5"/>
        <v>13.66666667</v>
      </c>
      <c r="AU102" s="37"/>
      <c r="AV102" s="37"/>
      <c r="AW102" s="37"/>
    </row>
    <row r="103" ht="15.75" customHeight="1">
      <c r="A103" s="39" t="s">
        <v>28</v>
      </c>
      <c r="B103" s="40">
        <f t="shared" si="6"/>
        <v>44663</v>
      </c>
      <c r="C103" s="41">
        <v>4.0</v>
      </c>
      <c r="D103" s="41" t="s">
        <v>34</v>
      </c>
      <c r="E103" s="43" t="s">
        <v>39</v>
      </c>
      <c r="F103" s="26"/>
      <c r="H103" s="27"/>
      <c r="J103" s="27"/>
      <c r="L103" s="27"/>
      <c r="N103" s="27"/>
      <c r="P103" s="27"/>
      <c r="Q103" s="29"/>
      <c r="R103" s="26">
        <v>100.0</v>
      </c>
      <c r="T103" s="27">
        <v>100.0</v>
      </c>
      <c r="V103" s="27">
        <v>0.0</v>
      </c>
      <c r="X103" s="27">
        <v>0.0</v>
      </c>
      <c r="Z103" s="27">
        <v>0.0</v>
      </c>
      <c r="AB103" s="27">
        <v>100.0</v>
      </c>
      <c r="AC103" s="29"/>
      <c r="AD103" s="26"/>
      <c r="AF103" s="27"/>
      <c r="AH103" s="27"/>
      <c r="AJ103" s="27"/>
      <c r="AL103" s="27"/>
      <c r="AN103" s="27"/>
      <c r="AO103" s="29"/>
      <c r="AP103" s="45">
        <f t="shared" si="1"/>
        <v>4100</v>
      </c>
      <c r="AQ103" s="41">
        <f t="shared" si="2"/>
        <v>200</v>
      </c>
      <c r="AR103" s="41">
        <f t="shared" si="3"/>
        <v>100</v>
      </c>
      <c r="AS103" s="41">
        <f t="shared" si="4"/>
        <v>300</v>
      </c>
      <c r="AT103" s="46">
        <f t="shared" si="5"/>
        <v>13.66666667</v>
      </c>
      <c r="AU103" s="37"/>
      <c r="AV103" s="37"/>
      <c r="AW103" s="37"/>
    </row>
    <row r="104" ht="15.75" customHeight="1">
      <c r="A104" s="39" t="s">
        <v>29</v>
      </c>
      <c r="B104" s="40">
        <f t="shared" si="6"/>
        <v>44664</v>
      </c>
      <c r="C104" s="41">
        <v>4.0</v>
      </c>
      <c r="D104" s="41" t="s">
        <v>34</v>
      </c>
      <c r="E104" s="43" t="s">
        <v>39</v>
      </c>
      <c r="F104" s="26"/>
      <c r="H104" s="27"/>
      <c r="J104" s="27"/>
      <c r="L104" s="27"/>
      <c r="N104" s="27"/>
      <c r="P104" s="27"/>
      <c r="Q104" s="29"/>
      <c r="R104" s="26">
        <v>100.0</v>
      </c>
      <c r="T104" s="27">
        <v>100.0</v>
      </c>
      <c r="V104" s="27">
        <v>0.0</v>
      </c>
      <c r="X104" s="27">
        <v>0.0</v>
      </c>
      <c r="Z104" s="27">
        <v>0.0</v>
      </c>
      <c r="AB104" s="27">
        <v>100.0</v>
      </c>
      <c r="AC104" s="29"/>
      <c r="AD104" s="26"/>
      <c r="AF104" s="27"/>
      <c r="AH104" s="27"/>
      <c r="AJ104" s="27"/>
      <c r="AL104" s="27"/>
      <c r="AN104" s="27"/>
      <c r="AO104" s="29"/>
      <c r="AP104" s="45">
        <f t="shared" si="1"/>
        <v>4100</v>
      </c>
      <c r="AQ104" s="41">
        <f t="shared" si="2"/>
        <v>200</v>
      </c>
      <c r="AR104" s="41">
        <f t="shared" si="3"/>
        <v>100</v>
      </c>
      <c r="AS104" s="41">
        <f t="shared" si="4"/>
        <v>300</v>
      </c>
      <c r="AT104" s="46">
        <f t="shared" si="5"/>
        <v>13.66666667</v>
      </c>
      <c r="AU104" s="37"/>
      <c r="AV104" s="37"/>
      <c r="AW104" s="37"/>
    </row>
    <row r="105" ht="15.75" customHeight="1">
      <c r="A105" s="39" t="s">
        <v>30</v>
      </c>
      <c r="B105" s="40">
        <f t="shared" si="6"/>
        <v>44665</v>
      </c>
      <c r="C105" s="41">
        <v>4.0</v>
      </c>
      <c r="D105" s="41" t="s">
        <v>34</v>
      </c>
      <c r="E105" s="43" t="s">
        <v>39</v>
      </c>
      <c r="F105" s="26"/>
      <c r="H105" s="27"/>
      <c r="J105" s="27"/>
      <c r="L105" s="27"/>
      <c r="N105" s="27"/>
      <c r="P105" s="27"/>
      <c r="Q105" s="29"/>
      <c r="R105" s="26">
        <v>100.0</v>
      </c>
      <c r="T105" s="27">
        <v>100.0</v>
      </c>
      <c r="V105" s="27">
        <v>0.0</v>
      </c>
      <c r="X105" s="27">
        <v>0.0</v>
      </c>
      <c r="Z105" s="27">
        <v>0.0</v>
      </c>
      <c r="AB105" s="27">
        <v>100.0</v>
      </c>
      <c r="AC105" s="29"/>
      <c r="AD105" s="26"/>
      <c r="AF105" s="27"/>
      <c r="AH105" s="27"/>
      <c r="AJ105" s="27"/>
      <c r="AL105" s="27"/>
      <c r="AN105" s="27"/>
      <c r="AO105" s="29"/>
      <c r="AP105" s="45">
        <f t="shared" si="1"/>
        <v>4100</v>
      </c>
      <c r="AQ105" s="41">
        <f t="shared" si="2"/>
        <v>200</v>
      </c>
      <c r="AR105" s="41">
        <f t="shared" si="3"/>
        <v>100</v>
      </c>
      <c r="AS105" s="41">
        <f t="shared" si="4"/>
        <v>300</v>
      </c>
      <c r="AT105" s="46">
        <f t="shared" si="5"/>
        <v>13.66666667</v>
      </c>
      <c r="AU105" s="37"/>
      <c r="AV105" s="37"/>
      <c r="AW105" s="37"/>
    </row>
    <row r="106" ht="15.75" customHeight="1">
      <c r="A106" s="39" t="s">
        <v>31</v>
      </c>
      <c r="B106" s="40">
        <f t="shared" si="6"/>
        <v>44666</v>
      </c>
      <c r="C106" s="41">
        <v>4.0</v>
      </c>
      <c r="D106" s="41" t="s">
        <v>34</v>
      </c>
      <c r="E106" s="43" t="s">
        <v>39</v>
      </c>
      <c r="F106" s="26"/>
      <c r="H106" s="27"/>
      <c r="J106" s="27"/>
      <c r="L106" s="27"/>
      <c r="N106" s="27"/>
      <c r="P106" s="27"/>
      <c r="Q106" s="29"/>
      <c r="R106" s="26">
        <v>100.0</v>
      </c>
      <c r="T106" s="27">
        <v>100.0</v>
      </c>
      <c r="V106" s="27">
        <v>0.0</v>
      </c>
      <c r="X106" s="27">
        <v>0.0</v>
      </c>
      <c r="Z106" s="27">
        <v>0.0</v>
      </c>
      <c r="AB106" s="27">
        <v>100.0</v>
      </c>
      <c r="AC106" s="29"/>
      <c r="AD106" s="26"/>
      <c r="AF106" s="27"/>
      <c r="AH106" s="27"/>
      <c r="AJ106" s="27"/>
      <c r="AL106" s="27"/>
      <c r="AN106" s="27"/>
      <c r="AO106" s="29"/>
      <c r="AP106" s="45">
        <f t="shared" si="1"/>
        <v>4100</v>
      </c>
      <c r="AQ106" s="41">
        <f t="shared" si="2"/>
        <v>200</v>
      </c>
      <c r="AR106" s="41">
        <f t="shared" si="3"/>
        <v>100</v>
      </c>
      <c r="AS106" s="41">
        <f t="shared" si="4"/>
        <v>300</v>
      </c>
      <c r="AT106" s="46">
        <f t="shared" si="5"/>
        <v>13.66666667</v>
      </c>
      <c r="AU106" s="37"/>
      <c r="AV106" s="37"/>
      <c r="AW106" s="37"/>
    </row>
    <row r="107" ht="15.75" customHeight="1">
      <c r="A107" s="49" t="s">
        <v>32</v>
      </c>
      <c r="B107" s="50">
        <f t="shared" si="6"/>
        <v>44667</v>
      </c>
      <c r="C107" s="51">
        <v>4.0</v>
      </c>
      <c r="D107" s="51" t="s">
        <v>34</v>
      </c>
      <c r="E107" s="53" t="s">
        <v>39</v>
      </c>
      <c r="F107" s="54"/>
      <c r="G107" s="55"/>
      <c r="H107" s="56"/>
      <c r="I107" s="55"/>
      <c r="J107" s="56"/>
      <c r="K107" s="55"/>
      <c r="L107" s="56"/>
      <c r="M107" s="55"/>
      <c r="N107" s="56"/>
      <c r="O107" s="55"/>
      <c r="P107" s="56"/>
      <c r="Q107" s="58"/>
      <c r="R107" s="54">
        <v>0.0</v>
      </c>
      <c r="S107" s="55"/>
      <c r="T107" s="56">
        <v>0.0</v>
      </c>
      <c r="U107" s="55"/>
      <c r="V107" s="56">
        <v>0.0</v>
      </c>
      <c r="W107" s="55"/>
      <c r="X107" s="56">
        <v>0.0</v>
      </c>
      <c r="Y107" s="55"/>
      <c r="Z107" s="56">
        <v>0.0</v>
      </c>
      <c r="AA107" s="55"/>
      <c r="AB107" s="56">
        <v>0.0</v>
      </c>
      <c r="AC107" s="58"/>
      <c r="AD107" s="54"/>
      <c r="AE107" s="55"/>
      <c r="AF107" s="56"/>
      <c r="AG107" s="55"/>
      <c r="AH107" s="56"/>
      <c r="AI107" s="55"/>
      <c r="AJ107" s="56"/>
      <c r="AK107" s="55"/>
      <c r="AL107" s="56"/>
      <c r="AM107" s="55"/>
      <c r="AN107" s="56"/>
      <c r="AO107" s="58"/>
      <c r="AP107" s="60">
        <f t="shared" si="1"/>
        <v>0</v>
      </c>
      <c r="AQ107" s="51">
        <f t="shared" si="2"/>
        <v>0</v>
      </c>
      <c r="AR107" s="51">
        <f t="shared" si="3"/>
        <v>0</v>
      </c>
      <c r="AS107" s="51">
        <f t="shared" si="4"/>
        <v>0</v>
      </c>
      <c r="AT107" s="61" t="str">
        <f t="shared" si="5"/>
        <v/>
      </c>
      <c r="AU107" s="37"/>
      <c r="AV107" s="37"/>
      <c r="AW107" s="37"/>
    </row>
    <row r="108" ht="15.75" customHeight="1">
      <c r="A108" s="21" t="s">
        <v>24</v>
      </c>
      <c r="B108" s="62">
        <f t="shared" si="6"/>
        <v>44668</v>
      </c>
      <c r="C108" s="23">
        <v>4.0</v>
      </c>
      <c r="D108" s="23" t="s">
        <v>35</v>
      </c>
      <c r="E108" s="63" t="s">
        <v>39</v>
      </c>
      <c r="F108" s="26"/>
      <c r="H108" s="27"/>
      <c r="J108" s="27"/>
      <c r="L108" s="27"/>
      <c r="N108" s="27"/>
      <c r="P108" s="27"/>
      <c r="Q108" s="29"/>
      <c r="R108" s="26">
        <v>100.0</v>
      </c>
      <c r="T108" s="27">
        <v>100.0</v>
      </c>
      <c r="V108" s="27">
        <v>0.0</v>
      </c>
      <c r="X108" s="27">
        <v>0.0</v>
      </c>
      <c r="Z108" s="27">
        <v>0.0</v>
      </c>
      <c r="AB108" s="27">
        <v>100.0</v>
      </c>
      <c r="AC108" s="29"/>
      <c r="AD108" s="26"/>
      <c r="AF108" s="27"/>
      <c r="AH108" s="27"/>
      <c r="AJ108" s="27"/>
      <c r="AL108" s="27"/>
      <c r="AN108" s="27"/>
      <c r="AO108" s="29"/>
      <c r="AP108" s="35">
        <f t="shared" si="1"/>
        <v>4100</v>
      </c>
      <c r="AQ108" s="23">
        <f t="shared" si="2"/>
        <v>200</v>
      </c>
      <c r="AR108" s="23">
        <f t="shared" si="3"/>
        <v>100</v>
      </c>
      <c r="AS108" s="23">
        <f t="shared" si="4"/>
        <v>300</v>
      </c>
      <c r="AT108" s="36">
        <f t="shared" si="5"/>
        <v>13.66666667</v>
      </c>
      <c r="AU108" s="37"/>
      <c r="AV108" s="37"/>
      <c r="AW108" s="37"/>
    </row>
    <row r="109" ht="15.75" customHeight="1">
      <c r="A109" s="39" t="s">
        <v>27</v>
      </c>
      <c r="B109" s="40">
        <f t="shared" si="6"/>
        <v>44669</v>
      </c>
      <c r="C109" s="41">
        <v>4.0</v>
      </c>
      <c r="D109" s="41" t="s">
        <v>35</v>
      </c>
      <c r="E109" s="43" t="s">
        <v>39</v>
      </c>
      <c r="F109" s="26"/>
      <c r="H109" s="27"/>
      <c r="J109" s="27"/>
      <c r="L109" s="27"/>
      <c r="N109" s="27"/>
      <c r="P109" s="27"/>
      <c r="Q109" s="29"/>
      <c r="R109" s="26">
        <v>100.0</v>
      </c>
      <c r="T109" s="27">
        <v>100.0</v>
      </c>
      <c r="V109" s="27">
        <v>0.0</v>
      </c>
      <c r="X109" s="27">
        <v>0.0</v>
      </c>
      <c r="Z109" s="27">
        <v>0.0</v>
      </c>
      <c r="AB109" s="27">
        <v>100.0</v>
      </c>
      <c r="AC109" s="29"/>
      <c r="AD109" s="26"/>
      <c r="AF109" s="27"/>
      <c r="AH109" s="27"/>
      <c r="AJ109" s="27"/>
      <c r="AL109" s="27"/>
      <c r="AN109" s="27"/>
      <c r="AO109" s="29"/>
      <c r="AP109" s="45">
        <f t="shared" si="1"/>
        <v>4100</v>
      </c>
      <c r="AQ109" s="41">
        <f t="shared" si="2"/>
        <v>200</v>
      </c>
      <c r="AR109" s="41">
        <f t="shared" si="3"/>
        <v>100</v>
      </c>
      <c r="AS109" s="41">
        <f t="shared" si="4"/>
        <v>300</v>
      </c>
      <c r="AT109" s="46">
        <f t="shared" si="5"/>
        <v>13.66666667</v>
      </c>
      <c r="AU109" s="37"/>
      <c r="AV109" s="37"/>
      <c r="AW109" s="37"/>
    </row>
    <row r="110" ht="15.75" customHeight="1">
      <c r="A110" s="39" t="s">
        <v>28</v>
      </c>
      <c r="B110" s="40">
        <f t="shared" si="6"/>
        <v>44670</v>
      </c>
      <c r="C110" s="41">
        <v>4.0</v>
      </c>
      <c r="D110" s="41" t="s">
        <v>35</v>
      </c>
      <c r="E110" s="43" t="s">
        <v>39</v>
      </c>
      <c r="F110" s="26"/>
      <c r="H110" s="27"/>
      <c r="J110" s="27"/>
      <c r="L110" s="27"/>
      <c r="N110" s="27"/>
      <c r="P110" s="27"/>
      <c r="Q110" s="29"/>
      <c r="R110" s="26">
        <v>100.0</v>
      </c>
      <c r="T110" s="27">
        <v>100.0</v>
      </c>
      <c r="V110" s="27">
        <v>0.0</v>
      </c>
      <c r="X110" s="27">
        <v>0.0</v>
      </c>
      <c r="Z110" s="27">
        <v>0.0</v>
      </c>
      <c r="AB110" s="27">
        <v>100.0</v>
      </c>
      <c r="AC110" s="29"/>
      <c r="AD110" s="26"/>
      <c r="AF110" s="27"/>
      <c r="AH110" s="27"/>
      <c r="AJ110" s="27"/>
      <c r="AL110" s="27"/>
      <c r="AN110" s="27"/>
      <c r="AO110" s="29"/>
      <c r="AP110" s="45">
        <f t="shared" si="1"/>
        <v>4100</v>
      </c>
      <c r="AQ110" s="41">
        <f t="shared" si="2"/>
        <v>200</v>
      </c>
      <c r="AR110" s="41">
        <f t="shared" si="3"/>
        <v>100</v>
      </c>
      <c r="AS110" s="41">
        <f t="shared" si="4"/>
        <v>300</v>
      </c>
      <c r="AT110" s="46">
        <f t="shared" si="5"/>
        <v>13.66666667</v>
      </c>
      <c r="AU110" s="37"/>
      <c r="AV110" s="37"/>
      <c r="AW110" s="37"/>
    </row>
    <row r="111" ht="15.75" customHeight="1">
      <c r="A111" s="39" t="s">
        <v>29</v>
      </c>
      <c r="B111" s="40">
        <f t="shared" si="6"/>
        <v>44671</v>
      </c>
      <c r="C111" s="41">
        <v>4.0</v>
      </c>
      <c r="D111" s="41" t="s">
        <v>35</v>
      </c>
      <c r="E111" s="43" t="s">
        <v>39</v>
      </c>
      <c r="F111" s="26"/>
      <c r="H111" s="27"/>
      <c r="J111" s="27"/>
      <c r="L111" s="27"/>
      <c r="N111" s="27"/>
      <c r="P111" s="27"/>
      <c r="Q111" s="29"/>
      <c r="R111" s="26">
        <v>100.0</v>
      </c>
      <c r="T111" s="27">
        <v>100.0</v>
      </c>
      <c r="V111" s="27">
        <v>0.0</v>
      </c>
      <c r="X111" s="27">
        <v>0.0</v>
      </c>
      <c r="Z111" s="27">
        <v>0.0</v>
      </c>
      <c r="AB111" s="27">
        <v>100.0</v>
      </c>
      <c r="AC111" s="29"/>
      <c r="AD111" s="26"/>
      <c r="AF111" s="27"/>
      <c r="AH111" s="27"/>
      <c r="AJ111" s="27"/>
      <c r="AL111" s="27"/>
      <c r="AN111" s="27"/>
      <c r="AO111" s="29"/>
      <c r="AP111" s="45">
        <f t="shared" si="1"/>
        <v>4100</v>
      </c>
      <c r="AQ111" s="41">
        <f t="shared" si="2"/>
        <v>200</v>
      </c>
      <c r="AR111" s="41">
        <f t="shared" si="3"/>
        <v>100</v>
      </c>
      <c r="AS111" s="41">
        <f t="shared" si="4"/>
        <v>300</v>
      </c>
      <c r="AT111" s="46">
        <f t="shared" si="5"/>
        <v>13.66666667</v>
      </c>
      <c r="AU111" s="37"/>
      <c r="AV111" s="37"/>
      <c r="AW111" s="37"/>
    </row>
    <row r="112" ht="15.75" customHeight="1">
      <c r="A112" s="39" t="s">
        <v>30</v>
      </c>
      <c r="B112" s="40">
        <f t="shared" si="6"/>
        <v>44672</v>
      </c>
      <c r="C112" s="41">
        <v>4.0</v>
      </c>
      <c r="D112" s="41" t="s">
        <v>35</v>
      </c>
      <c r="E112" s="43" t="s">
        <v>39</v>
      </c>
      <c r="F112" s="26"/>
      <c r="H112" s="27"/>
      <c r="J112" s="27"/>
      <c r="L112" s="27"/>
      <c r="N112" s="27"/>
      <c r="P112" s="27"/>
      <c r="Q112" s="29"/>
      <c r="R112" s="26">
        <v>100.0</v>
      </c>
      <c r="T112" s="27">
        <v>100.0</v>
      </c>
      <c r="V112" s="27">
        <v>0.0</v>
      </c>
      <c r="X112" s="27">
        <v>0.0</v>
      </c>
      <c r="Z112" s="27">
        <v>0.0</v>
      </c>
      <c r="AB112" s="27">
        <v>100.0</v>
      </c>
      <c r="AC112" s="29"/>
      <c r="AD112" s="26"/>
      <c r="AF112" s="27"/>
      <c r="AH112" s="27"/>
      <c r="AJ112" s="27"/>
      <c r="AL112" s="27"/>
      <c r="AN112" s="27"/>
      <c r="AO112" s="29"/>
      <c r="AP112" s="45">
        <f t="shared" si="1"/>
        <v>4100</v>
      </c>
      <c r="AQ112" s="41">
        <f t="shared" si="2"/>
        <v>200</v>
      </c>
      <c r="AR112" s="41">
        <f t="shared" si="3"/>
        <v>100</v>
      </c>
      <c r="AS112" s="41">
        <f t="shared" si="4"/>
        <v>300</v>
      </c>
      <c r="AT112" s="46">
        <f t="shared" si="5"/>
        <v>13.66666667</v>
      </c>
      <c r="AU112" s="37"/>
      <c r="AV112" s="37"/>
      <c r="AW112" s="37"/>
    </row>
    <row r="113" ht="15.75" customHeight="1">
      <c r="A113" s="39" t="s">
        <v>31</v>
      </c>
      <c r="B113" s="40">
        <f t="shared" si="6"/>
        <v>44673</v>
      </c>
      <c r="C113" s="41">
        <v>4.0</v>
      </c>
      <c r="D113" s="41" t="s">
        <v>35</v>
      </c>
      <c r="E113" s="43" t="s">
        <v>39</v>
      </c>
      <c r="F113" s="26"/>
      <c r="H113" s="27"/>
      <c r="J113" s="27"/>
      <c r="L113" s="27"/>
      <c r="N113" s="27"/>
      <c r="P113" s="27"/>
      <c r="Q113" s="29"/>
      <c r="R113" s="26">
        <v>100.0</v>
      </c>
      <c r="T113" s="27">
        <v>100.0</v>
      </c>
      <c r="V113" s="27">
        <v>0.0</v>
      </c>
      <c r="X113" s="27">
        <v>0.0</v>
      </c>
      <c r="Z113" s="27">
        <v>0.0</v>
      </c>
      <c r="AB113" s="27">
        <v>100.0</v>
      </c>
      <c r="AC113" s="29"/>
      <c r="AD113" s="26"/>
      <c r="AF113" s="27"/>
      <c r="AH113" s="27"/>
      <c r="AJ113" s="27"/>
      <c r="AL113" s="27"/>
      <c r="AN113" s="27"/>
      <c r="AO113" s="29"/>
      <c r="AP113" s="45">
        <f t="shared" si="1"/>
        <v>4100</v>
      </c>
      <c r="AQ113" s="41">
        <f t="shared" si="2"/>
        <v>200</v>
      </c>
      <c r="AR113" s="41">
        <f t="shared" si="3"/>
        <v>100</v>
      </c>
      <c r="AS113" s="41">
        <f t="shared" si="4"/>
        <v>300</v>
      </c>
      <c r="AT113" s="46">
        <f t="shared" si="5"/>
        <v>13.66666667</v>
      </c>
      <c r="AU113" s="37"/>
      <c r="AV113" s="37"/>
      <c r="AW113" s="37"/>
    </row>
    <row r="114" ht="15.75" customHeight="1">
      <c r="A114" s="49" t="s">
        <v>32</v>
      </c>
      <c r="B114" s="50">
        <f t="shared" si="6"/>
        <v>44674</v>
      </c>
      <c r="C114" s="51">
        <v>4.0</v>
      </c>
      <c r="D114" s="51" t="s">
        <v>35</v>
      </c>
      <c r="E114" s="53" t="s">
        <v>39</v>
      </c>
      <c r="F114" s="54"/>
      <c r="G114" s="55"/>
      <c r="H114" s="56"/>
      <c r="I114" s="55"/>
      <c r="J114" s="56"/>
      <c r="K114" s="55"/>
      <c r="L114" s="56"/>
      <c r="M114" s="55"/>
      <c r="N114" s="56"/>
      <c r="O114" s="55"/>
      <c r="P114" s="56"/>
      <c r="Q114" s="58"/>
      <c r="R114" s="54">
        <v>0.0</v>
      </c>
      <c r="S114" s="55"/>
      <c r="T114" s="56">
        <v>0.0</v>
      </c>
      <c r="U114" s="55"/>
      <c r="V114" s="56">
        <v>0.0</v>
      </c>
      <c r="W114" s="55"/>
      <c r="X114" s="56">
        <v>0.0</v>
      </c>
      <c r="Y114" s="55"/>
      <c r="Z114" s="56">
        <v>0.0</v>
      </c>
      <c r="AA114" s="55"/>
      <c r="AB114" s="56">
        <v>0.0</v>
      </c>
      <c r="AC114" s="58"/>
      <c r="AD114" s="54"/>
      <c r="AE114" s="55"/>
      <c r="AF114" s="56"/>
      <c r="AG114" s="55"/>
      <c r="AH114" s="56"/>
      <c r="AI114" s="55"/>
      <c r="AJ114" s="56"/>
      <c r="AK114" s="55"/>
      <c r="AL114" s="56"/>
      <c r="AM114" s="55"/>
      <c r="AN114" s="56"/>
      <c r="AO114" s="58"/>
      <c r="AP114" s="60">
        <f t="shared" si="1"/>
        <v>0</v>
      </c>
      <c r="AQ114" s="51">
        <f t="shared" si="2"/>
        <v>0</v>
      </c>
      <c r="AR114" s="51">
        <f t="shared" si="3"/>
        <v>0</v>
      </c>
      <c r="AS114" s="51">
        <f t="shared" si="4"/>
        <v>0</v>
      </c>
      <c r="AT114" s="61" t="str">
        <f t="shared" si="5"/>
        <v/>
      </c>
      <c r="AU114" s="37"/>
      <c r="AV114" s="37"/>
      <c r="AW114" s="37"/>
    </row>
    <row r="115" ht="15.75" customHeight="1">
      <c r="A115" s="21" t="s">
        <v>24</v>
      </c>
      <c r="B115" s="62">
        <f t="shared" si="6"/>
        <v>44675</v>
      </c>
      <c r="C115" s="23">
        <v>5.0</v>
      </c>
      <c r="D115" s="23" t="s">
        <v>25</v>
      </c>
      <c r="E115" s="63" t="s">
        <v>39</v>
      </c>
      <c r="F115" s="26"/>
      <c r="H115" s="27"/>
      <c r="J115" s="27"/>
      <c r="L115" s="27"/>
      <c r="N115" s="27"/>
      <c r="P115" s="27"/>
      <c r="Q115" s="29"/>
      <c r="R115" s="26">
        <v>100.0</v>
      </c>
      <c r="T115" s="27">
        <v>100.0</v>
      </c>
      <c r="V115" s="27">
        <v>0.0</v>
      </c>
      <c r="X115" s="27">
        <v>0.0</v>
      </c>
      <c r="Z115" s="27">
        <v>0.0</v>
      </c>
      <c r="AB115" s="27">
        <v>100.0</v>
      </c>
      <c r="AC115" s="29"/>
      <c r="AD115" s="26"/>
      <c r="AF115" s="27"/>
      <c r="AH115" s="27"/>
      <c r="AJ115" s="27"/>
      <c r="AL115" s="27"/>
      <c r="AN115" s="27"/>
      <c r="AO115" s="29"/>
      <c r="AP115" s="35">
        <f t="shared" si="1"/>
        <v>4100</v>
      </c>
      <c r="AQ115" s="23">
        <f t="shared" si="2"/>
        <v>200</v>
      </c>
      <c r="AR115" s="23">
        <f t="shared" si="3"/>
        <v>100</v>
      </c>
      <c r="AS115" s="23">
        <f t="shared" si="4"/>
        <v>300</v>
      </c>
      <c r="AT115" s="36">
        <f t="shared" si="5"/>
        <v>13.66666667</v>
      </c>
      <c r="AU115" s="37"/>
      <c r="AV115" s="37"/>
      <c r="AW115" s="37"/>
    </row>
    <row r="116" ht="15.75" customHeight="1">
      <c r="A116" s="39" t="s">
        <v>27</v>
      </c>
      <c r="B116" s="40">
        <f t="shared" si="6"/>
        <v>44676</v>
      </c>
      <c r="C116" s="41">
        <v>5.0</v>
      </c>
      <c r="D116" s="41" t="s">
        <v>25</v>
      </c>
      <c r="E116" s="43" t="s">
        <v>39</v>
      </c>
      <c r="F116" s="26"/>
      <c r="H116" s="27"/>
      <c r="J116" s="27"/>
      <c r="L116" s="27"/>
      <c r="N116" s="27"/>
      <c r="P116" s="27"/>
      <c r="Q116" s="29"/>
      <c r="R116" s="26">
        <v>100.0</v>
      </c>
      <c r="T116" s="27">
        <v>100.0</v>
      </c>
      <c r="V116" s="27">
        <v>0.0</v>
      </c>
      <c r="X116" s="27">
        <v>0.0</v>
      </c>
      <c r="Z116" s="27">
        <v>0.0</v>
      </c>
      <c r="AB116" s="27">
        <v>100.0</v>
      </c>
      <c r="AC116" s="29"/>
      <c r="AD116" s="26"/>
      <c r="AF116" s="27"/>
      <c r="AH116" s="27"/>
      <c r="AJ116" s="27"/>
      <c r="AL116" s="27"/>
      <c r="AN116" s="27"/>
      <c r="AO116" s="29"/>
      <c r="AP116" s="45">
        <f t="shared" si="1"/>
        <v>4100</v>
      </c>
      <c r="AQ116" s="41">
        <f t="shared" si="2"/>
        <v>200</v>
      </c>
      <c r="AR116" s="41">
        <f t="shared" si="3"/>
        <v>100</v>
      </c>
      <c r="AS116" s="41">
        <f t="shared" si="4"/>
        <v>300</v>
      </c>
      <c r="AT116" s="46">
        <f t="shared" si="5"/>
        <v>13.66666667</v>
      </c>
      <c r="AU116" s="37"/>
      <c r="AV116" s="37"/>
      <c r="AW116" s="37"/>
    </row>
    <row r="117" ht="15.75" customHeight="1">
      <c r="A117" s="39" t="s">
        <v>28</v>
      </c>
      <c r="B117" s="40">
        <f t="shared" si="6"/>
        <v>44677</v>
      </c>
      <c r="C117" s="41">
        <v>5.0</v>
      </c>
      <c r="D117" s="41" t="s">
        <v>25</v>
      </c>
      <c r="E117" s="43" t="s">
        <v>39</v>
      </c>
      <c r="F117" s="26"/>
      <c r="H117" s="27"/>
      <c r="J117" s="27"/>
      <c r="L117" s="27"/>
      <c r="N117" s="27"/>
      <c r="P117" s="27"/>
      <c r="Q117" s="29"/>
      <c r="R117" s="26">
        <v>100.0</v>
      </c>
      <c r="T117" s="27">
        <v>100.0</v>
      </c>
      <c r="V117" s="27">
        <v>0.0</v>
      </c>
      <c r="X117" s="27">
        <v>0.0</v>
      </c>
      <c r="Z117" s="27">
        <v>0.0</v>
      </c>
      <c r="AB117" s="27">
        <v>100.0</v>
      </c>
      <c r="AC117" s="29"/>
      <c r="AD117" s="26"/>
      <c r="AF117" s="27"/>
      <c r="AH117" s="27"/>
      <c r="AJ117" s="27"/>
      <c r="AL117" s="27"/>
      <c r="AN117" s="27"/>
      <c r="AO117" s="29"/>
      <c r="AP117" s="45">
        <f t="shared" si="1"/>
        <v>4100</v>
      </c>
      <c r="AQ117" s="41">
        <f t="shared" si="2"/>
        <v>200</v>
      </c>
      <c r="AR117" s="41">
        <f t="shared" si="3"/>
        <v>100</v>
      </c>
      <c r="AS117" s="41">
        <f t="shared" si="4"/>
        <v>300</v>
      </c>
      <c r="AT117" s="46">
        <f t="shared" si="5"/>
        <v>13.66666667</v>
      </c>
      <c r="AU117" s="37"/>
      <c r="AV117" s="37"/>
      <c r="AW117" s="37"/>
    </row>
    <row r="118" ht="15.75" customHeight="1">
      <c r="A118" s="39" t="s">
        <v>29</v>
      </c>
      <c r="B118" s="40">
        <f t="shared" si="6"/>
        <v>44678</v>
      </c>
      <c r="C118" s="41">
        <v>5.0</v>
      </c>
      <c r="D118" s="41" t="s">
        <v>25</v>
      </c>
      <c r="E118" s="43" t="s">
        <v>39</v>
      </c>
      <c r="F118" s="26"/>
      <c r="H118" s="27"/>
      <c r="J118" s="27"/>
      <c r="L118" s="27"/>
      <c r="N118" s="27"/>
      <c r="P118" s="27"/>
      <c r="Q118" s="29"/>
      <c r="R118" s="26">
        <v>100.0</v>
      </c>
      <c r="T118" s="27">
        <v>100.0</v>
      </c>
      <c r="V118" s="27">
        <v>0.0</v>
      </c>
      <c r="X118" s="27">
        <v>0.0</v>
      </c>
      <c r="Z118" s="27">
        <v>0.0</v>
      </c>
      <c r="AB118" s="27">
        <v>100.0</v>
      </c>
      <c r="AC118" s="29"/>
      <c r="AD118" s="26"/>
      <c r="AF118" s="27"/>
      <c r="AH118" s="27"/>
      <c r="AJ118" s="27"/>
      <c r="AL118" s="27"/>
      <c r="AN118" s="27"/>
      <c r="AO118" s="29"/>
      <c r="AP118" s="45">
        <f t="shared" si="1"/>
        <v>4100</v>
      </c>
      <c r="AQ118" s="41">
        <f t="shared" si="2"/>
        <v>200</v>
      </c>
      <c r="AR118" s="41">
        <f t="shared" si="3"/>
        <v>100</v>
      </c>
      <c r="AS118" s="41">
        <f t="shared" si="4"/>
        <v>300</v>
      </c>
      <c r="AT118" s="46">
        <f t="shared" si="5"/>
        <v>13.66666667</v>
      </c>
      <c r="AU118" s="37"/>
      <c r="AV118" s="37"/>
      <c r="AW118" s="37"/>
    </row>
    <row r="119" ht="15.75" customHeight="1">
      <c r="A119" s="39" t="s">
        <v>30</v>
      </c>
      <c r="B119" s="40">
        <f t="shared" si="6"/>
        <v>44679</v>
      </c>
      <c r="C119" s="41">
        <v>5.0</v>
      </c>
      <c r="D119" s="41" t="s">
        <v>25</v>
      </c>
      <c r="E119" s="43" t="s">
        <v>39</v>
      </c>
      <c r="F119" s="26"/>
      <c r="H119" s="27"/>
      <c r="J119" s="27"/>
      <c r="L119" s="27"/>
      <c r="N119" s="27"/>
      <c r="P119" s="27"/>
      <c r="Q119" s="29"/>
      <c r="R119" s="26">
        <v>100.0</v>
      </c>
      <c r="T119" s="27">
        <v>100.0</v>
      </c>
      <c r="V119" s="27">
        <v>0.0</v>
      </c>
      <c r="X119" s="27">
        <v>0.0</v>
      </c>
      <c r="Z119" s="27">
        <v>0.0</v>
      </c>
      <c r="AB119" s="27">
        <v>100.0</v>
      </c>
      <c r="AC119" s="29"/>
      <c r="AD119" s="26"/>
      <c r="AF119" s="27"/>
      <c r="AH119" s="27"/>
      <c r="AJ119" s="27"/>
      <c r="AL119" s="27"/>
      <c r="AN119" s="27"/>
      <c r="AO119" s="29"/>
      <c r="AP119" s="45">
        <f t="shared" si="1"/>
        <v>4100</v>
      </c>
      <c r="AQ119" s="41">
        <f t="shared" si="2"/>
        <v>200</v>
      </c>
      <c r="AR119" s="41">
        <f t="shared" si="3"/>
        <v>100</v>
      </c>
      <c r="AS119" s="41">
        <f t="shared" si="4"/>
        <v>300</v>
      </c>
      <c r="AT119" s="46">
        <f t="shared" si="5"/>
        <v>13.66666667</v>
      </c>
      <c r="AU119" s="37"/>
      <c r="AV119" s="37"/>
      <c r="AW119" s="37"/>
    </row>
    <row r="120" ht="15.75" customHeight="1">
      <c r="A120" s="39" t="s">
        <v>31</v>
      </c>
      <c r="B120" s="40">
        <f t="shared" si="6"/>
        <v>44680</v>
      </c>
      <c r="C120" s="41">
        <v>5.0</v>
      </c>
      <c r="D120" s="41" t="s">
        <v>25</v>
      </c>
      <c r="E120" s="43" t="s">
        <v>39</v>
      </c>
      <c r="F120" s="26"/>
      <c r="H120" s="27"/>
      <c r="J120" s="27"/>
      <c r="L120" s="27"/>
      <c r="N120" s="27"/>
      <c r="P120" s="27"/>
      <c r="Q120" s="29"/>
      <c r="R120" s="26">
        <v>100.0</v>
      </c>
      <c r="T120" s="27">
        <v>100.0</v>
      </c>
      <c r="V120" s="27">
        <v>0.0</v>
      </c>
      <c r="X120" s="27">
        <v>0.0</v>
      </c>
      <c r="Z120" s="27">
        <v>0.0</v>
      </c>
      <c r="AB120" s="27">
        <v>100.0</v>
      </c>
      <c r="AC120" s="29"/>
      <c r="AD120" s="26"/>
      <c r="AF120" s="27"/>
      <c r="AH120" s="27"/>
      <c r="AJ120" s="27"/>
      <c r="AL120" s="27"/>
      <c r="AN120" s="27"/>
      <c r="AO120" s="29"/>
      <c r="AP120" s="45">
        <f t="shared" si="1"/>
        <v>4100</v>
      </c>
      <c r="AQ120" s="41">
        <f t="shared" si="2"/>
        <v>200</v>
      </c>
      <c r="AR120" s="41">
        <f t="shared" si="3"/>
        <v>100</v>
      </c>
      <c r="AS120" s="41">
        <f t="shared" si="4"/>
        <v>300</v>
      </c>
      <c r="AT120" s="46">
        <f t="shared" si="5"/>
        <v>13.66666667</v>
      </c>
      <c r="AU120" s="37"/>
      <c r="AV120" s="37"/>
      <c r="AW120" s="37"/>
    </row>
    <row r="121" ht="15.75" customHeight="1">
      <c r="A121" s="49" t="s">
        <v>32</v>
      </c>
      <c r="B121" s="50">
        <f t="shared" si="6"/>
        <v>44681</v>
      </c>
      <c r="C121" s="51">
        <v>5.0</v>
      </c>
      <c r="D121" s="51" t="s">
        <v>25</v>
      </c>
      <c r="E121" s="53" t="s">
        <v>39</v>
      </c>
      <c r="F121" s="54"/>
      <c r="G121" s="55"/>
      <c r="H121" s="56"/>
      <c r="I121" s="55"/>
      <c r="J121" s="56"/>
      <c r="K121" s="55"/>
      <c r="L121" s="56"/>
      <c r="M121" s="55"/>
      <c r="N121" s="56"/>
      <c r="O121" s="55"/>
      <c r="P121" s="56"/>
      <c r="Q121" s="58"/>
      <c r="R121" s="54">
        <v>0.0</v>
      </c>
      <c r="S121" s="55"/>
      <c r="T121" s="56">
        <v>0.0</v>
      </c>
      <c r="U121" s="55"/>
      <c r="V121" s="56">
        <v>0.0</v>
      </c>
      <c r="W121" s="55"/>
      <c r="X121" s="56">
        <v>0.0</v>
      </c>
      <c r="Y121" s="55"/>
      <c r="Z121" s="56">
        <v>0.0</v>
      </c>
      <c r="AA121" s="55"/>
      <c r="AB121" s="56">
        <v>0.0</v>
      </c>
      <c r="AC121" s="58"/>
      <c r="AD121" s="54"/>
      <c r="AE121" s="55"/>
      <c r="AF121" s="56"/>
      <c r="AG121" s="55"/>
      <c r="AH121" s="56"/>
      <c r="AI121" s="55"/>
      <c r="AJ121" s="56"/>
      <c r="AK121" s="55"/>
      <c r="AL121" s="56"/>
      <c r="AM121" s="55"/>
      <c r="AN121" s="56"/>
      <c r="AO121" s="58"/>
      <c r="AP121" s="60">
        <f t="shared" si="1"/>
        <v>0</v>
      </c>
      <c r="AQ121" s="51">
        <f t="shared" si="2"/>
        <v>0</v>
      </c>
      <c r="AR121" s="51">
        <f t="shared" si="3"/>
        <v>0</v>
      </c>
      <c r="AS121" s="51">
        <f t="shared" si="4"/>
        <v>0</v>
      </c>
      <c r="AT121" s="61" t="str">
        <f t="shared" si="5"/>
        <v/>
      </c>
      <c r="AU121" s="37"/>
      <c r="AV121" s="37"/>
      <c r="AW121" s="37"/>
    </row>
    <row r="122" ht="15.75" customHeight="1">
      <c r="A122" s="21" t="s">
        <v>24</v>
      </c>
      <c r="B122" s="62">
        <f t="shared" si="6"/>
        <v>44682</v>
      </c>
      <c r="C122" s="23">
        <v>5.0</v>
      </c>
      <c r="D122" s="23" t="s">
        <v>33</v>
      </c>
      <c r="E122" s="63" t="s">
        <v>39</v>
      </c>
      <c r="F122" s="26"/>
      <c r="H122" s="27"/>
      <c r="J122" s="27"/>
      <c r="L122" s="27"/>
      <c r="N122" s="27"/>
      <c r="P122" s="27"/>
      <c r="Q122" s="29"/>
      <c r="R122" s="26">
        <v>100.0</v>
      </c>
      <c r="T122" s="27">
        <v>100.0</v>
      </c>
      <c r="V122" s="27">
        <v>0.0</v>
      </c>
      <c r="X122" s="27">
        <v>0.0</v>
      </c>
      <c r="Z122" s="27">
        <v>0.0</v>
      </c>
      <c r="AB122" s="27">
        <v>100.0</v>
      </c>
      <c r="AC122" s="29"/>
      <c r="AD122" s="26"/>
      <c r="AF122" s="27"/>
      <c r="AH122" s="27"/>
      <c r="AJ122" s="27"/>
      <c r="AL122" s="27"/>
      <c r="AN122" s="27"/>
      <c r="AO122" s="29"/>
      <c r="AP122" s="35">
        <f t="shared" si="1"/>
        <v>4100</v>
      </c>
      <c r="AQ122" s="23">
        <f t="shared" si="2"/>
        <v>200</v>
      </c>
      <c r="AR122" s="23">
        <f t="shared" si="3"/>
        <v>100</v>
      </c>
      <c r="AS122" s="23">
        <f t="shared" si="4"/>
        <v>300</v>
      </c>
      <c r="AT122" s="36">
        <f t="shared" si="5"/>
        <v>13.66666667</v>
      </c>
      <c r="AU122" s="37"/>
      <c r="AV122" s="37"/>
      <c r="AW122" s="37"/>
    </row>
    <row r="123" ht="15.75" customHeight="1">
      <c r="A123" s="39" t="s">
        <v>27</v>
      </c>
      <c r="B123" s="40">
        <f t="shared" si="6"/>
        <v>44683</v>
      </c>
      <c r="C123" s="41">
        <v>5.0</v>
      </c>
      <c r="D123" s="41" t="s">
        <v>33</v>
      </c>
      <c r="E123" s="43" t="s">
        <v>39</v>
      </c>
      <c r="F123" s="26"/>
      <c r="H123" s="27"/>
      <c r="J123" s="27"/>
      <c r="L123" s="27"/>
      <c r="N123" s="27"/>
      <c r="P123" s="27"/>
      <c r="Q123" s="29"/>
      <c r="R123" s="26">
        <v>100.0</v>
      </c>
      <c r="T123" s="27">
        <v>100.0</v>
      </c>
      <c r="V123" s="27">
        <v>0.0</v>
      </c>
      <c r="X123" s="27">
        <v>0.0</v>
      </c>
      <c r="Z123" s="27">
        <v>0.0</v>
      </c>
      <c r="AB123" s="27">
        <v>100.0</v>
      </c>
      <c r="AC123" s="29"/>
      <c r="AD123" s="26"/>
      <c r="AF123" s="27"/>
      <c r="AH123" s="27"/>
      <c r="AJ123" s="27"/>
      <c r="AL123" s="27"/>
      <c r="AN123" s="27"/>
      <c r="AO123" s="29"/>
      <c r="AP123" s="45">
        <f t="shared" si="1"/>
        <v>4100</v>
      </c>
      <c r="AQ123" s="41">
        <f t="shared" si="2"/>
        <v>200</v>
      </c>
      <c r="AR123" s="41">
        <f t="shared" si="3"/>
        <v>100</v>
      </c>
      <c r="AS123" s="41">
        <f t="shared" si="4"/>
        <v>300</v>
      </c>
      <c r="AT123" s="46">
        <f t="shared" si="5"/>
        <v>13.66666667</v>
      </c>
      <c r="AU123" s="37"/>
      <c r="AV123" s="37"/>
      <c r="AW123" s="37"/>
    </row>
    <row r="124" ht="15.75" customHeight="1">
      <c r="A124" s="39" t="s">
        <v>28</v>
      </c>
      <c r="B124" s="40">
        <f t="shared" si="6"/>
        <v>44684</v>
      </c>
      <c r="C124" s="41">
        <v>5.0</v>
      </c>
      <c r="D124" s="41" t="s">
        <v>33</v>
      </c>
      <c r="E124" s="43" t="s">
        <v>39</v>
      </c>
      <c r="F124" s="26"/>
      <c r="H124" s="27"/>
      <c r="J124" s="27"/>
      <c r="L124" s="27"/>
      <c r="N124" s="27"/>
      <c r="P124" s="27"/>
      <c r="Q124" s="29"/>
      <c r="R124" s="26">
        <v>100.0</v>
      </c>
      <c r="T124" s="27">
        <v>100.0</v>
      </c>
      <c r="V124" s="27">
        <v>0.0</v>
      </c>
      <c r="X124" s="27">
        <v>0.0</v>
      </c>
      <c r="Z124" s="27">
        <v>0.0</v>
      </c>
      <c r="AB124" s="27">
        <v>100.0</v>
      </c>
      <c r="AC124" s="29"/>
      <c r="AD124" s="26"/>
      <c r="AF124" s="27"/>
      <c r="AH124" s="27"/>
      <c r="AJ124" s="27"/>
      <c r="AL124" s="27"/>
      <c r="AN124" s="27"/>
      <c r="AO124" s="29"/>
      <c r="AP124" s="45">
        <f t="shared" si="1"/>
        <v>4100</v>
      </c>
      <c r="AQ124" s="41">
        <f t="shared" si="2"/>
        <v>200</v>
      </c>
      <c r="AR124" s="41">
        <f t="shared" si="3"/>
        <v>100</v>
      </c>
      <c r="AS124" s="41">
        <f t="shared" si="4"/>
        <v>300</v>
      </c>
      <c r="AT124" s="46">
        <f t="shared" si="5"/>
        <v>13.66666667</v>
      </c>
      <c r="AU124" s="37"/>
      <c r="AV124" s="37"/>
      <c r="AW124" s="37"/>
    </row>
    <row r="125" ht="15.75" customHeight="1">
      <c r="A125" s="39" t="s">
        <v>29</v>
      </c>
      <c r="B125" s="40">
        <f t="shared" si="6"/>
        <v>44685</v>
      </c>
      <c r="C125" s="41">
        <v>5.0</v>
      </c>
      <c r="D125" s="41" t="s">
        <v>33</v>
      </c>
      <c r="E125" s="43" t="s">
        <v>39</v>
      </c>
      <c r="F125" s="26"/>
      <c r="H125" s="27"/>
      <c r="J125" s="27"/>
      <c r="L125" s="27"/>
      <c r="N125" s="27"/>
      <c r="P125" s="27"/>
      <c r="Q125" s="29"/>
      <c r="R125" s="26">
        <v>100.0</v>
      </c>
      <c r="T125" s="27">
        <v>100.0</v>
      </c>
      <c r="V125" s="27">
        <v>0.0</v>
      </c>
      <c r="X125" s="27">
        <v>0.0</v>
      </c>
      <c r="Z125" s="27">
        <v>0.0</v>
      </c>
      <c r="AB125" s="27">
        <v>100.0</v>
      </c>
      <c r="AC125" s="29"/>
      <c r="AD125" s="26"/>
      <c r="AF125" s="27"/>
      <c r="AH125" s="27"/>
      <c r="AJ125" s="27"/>
      <c r="AL125" s="27"/>
      <c r="AN125" s="27"/>
      <c r="AO125" s="29"/>
      <c r="AP125" s="45">
        <f t="shared" si="1"/>
        <v>4100</v>
      </c>
      <c r="AQ125" s="41">
        <f t="shared" si="2"/>
        <v>200</v>
      </c>
      <c r="AR125" s="41">
        <f t="shared" si="3"/>
        <v>100</v>
      </c>
      <c r="AS125" s="41">
        <f t="shared" si="4"/>
        <v>300</v>
      </c>
      <c r="AT125" s="46">
        <f t="shared" si="5"/>
        <v>13.66666667</v>
      </c>
      <c r="AU125" s="37"/>
      <c r="AV125" s="37"/>
      <c r="AW125" s="37"/>
    </row>
    <row r="126" ht="15.75" customHeight="1">
      <c r="A126" s="39" t="s">
        <v>30</v>
      </c>
      <c r="B126" s="40">
        <f t="shared" si="6"/>
        <v>44686</v>
      </c>
      <c r="C126" s="41">
        <v>5.0</v>
      </c>
      <c r="D126" s="41" t="s">
        <v>33</v>
      </c>
      <c r="E126" s="43" t="s">
        <v>39</v>
      </c>
      <c r="F126" s="26"/>
      <c r="H126" s="27"/>
      <c r="J126" s="27"/>
      <c r="L126" s="27"/>
      <c r="N126" s="27"/>
      <c r="P126" s="27"/>
      <c r="Q126" s="29"/>
      <c r="R126" s="26">
        <v>100.0</v>
      </c>
      <c r="T126" s="27">
        <v>100.0</v>
      </c>
      <c r="V126" s="27">
        <v>0.0</v>
      </c>
      <c r="X126" s="27">
        <v>0.0</v>
      </c>
      <c r="Z126" s="27">
        <v>0.0</v>
      </c>
      <c r="AB126" s="27">
        <v>100.0</v>
      </c>
      <c r="AC126" s="29"/>
      <c r="AD126" s="26"/>
      <c r="AF126" s="27"/>
      <c r="AH126" s="27"/>
      <c r="AJ126" s="27"/>
      <c r="AL126" s="27"/>
      <c r="AN126" s="27"/>
      <c r="AO126" s="29"/>
      <c r="AP126" s="45">
        <f t="shared" si="1"/>
        <v>4100</v>
      </c>
      <c r="AQ126" s="41">
        <f t="shared" si="2"/>
        <v>200</v>
      </c>
      <c r="AR126" s="41">
        <f t="shared" si="3"/>
        <v>100</v>
      </c>
      <c r="AS126" s="41">
        <f t="shared" si="4"/>
        <v>300</v>
      </c>
      <c r="AT126" s="46">
        <f t="shared" si="5"/>
        <v>13.66666667</v>
      </c>
      <c r="AU126" s="37"/>
      <c r="AV126" s="37"/>
      <c r="AW126" s="37"/>
    </row>
    <row r="127" ht="15.75" customHeight="1">
      <c r="A127" s="39" t="s">
        <v>31</v>
      </c>
      <c r="B127" s="40">
        <f t="shared" si="6"/>
        <v>44687</v>
      </c>
      <c r="C127" s="41">
        <v>5.0</v>
      </c>
      <c r="D127" s="41" t="s">
        <v>33</v>
      </c>
      <c r="E127" s="43" t="s">
        <v>39</v>
      </c>
      <c r="F127" s="26"/>
      <c r="H127" s="27"/>
      <c r="J127" s="27"/>
      <c r="L127" s="27"/>
      <c r="N127" s="27"/>
      <c r="P127" s="27"/>
      <c r="Q127" s="29"/>
      <c r="R127" s="26">
        <v>100.0</v>
      </c>
      <c r="T127" s="27">
        <v>100.0</v>
      </c>
      <c r="V127" s="27">
        <v>0.0</v>
      </c>
      <c r="X127" s="27">
        <v>0.0</v>
      </c>
      <c r="Z127" s="27">
        <v>0.0</v>
      </c>
      <c r="AB127" s="27">
        <v>100.0</v>
      </c>
      <c r="AC127" s="29"/>
      <c r="AD127" s="26"/>
      <c r="AF127" s="27"/>
      <c r="AH127" s="27"/>
      <c r="AJ127" s="27"/>
      <c r="AL127" s="27"/>
      <c r="AN127" s="27"/>
      <c r="AO127" s="29"/>
      <c r="AP127" s="45">
        <f t="shared" si="1"/>
        <v>4100</v>
      </c>
      <c r="AQ127" s="41">
        <f t="shared" si="2"/>
        <v>200</v>
      </c>
      <c r="AR127" s="41">
        <f t="shared" si="3"/>
        <v>100</v>
      </c>
      <c r="AS127" s="41">
        <f t="shared" si="4"/>
        <v>300</v>
      </c>
      <c r="AT127" s="46">
        <f t="shared" si="5"/>
        <v>13.66666667</v>
      </c>
      <c r="AU127" s="37"/>
      <c r="AV127" s="37"/>
      <c r="AW127" s="37"/>
    </row>
    <row r="128" ht="15.75" customHeight="1">
      <c r="A128" s="49" t="s">
        <v>32</v>
      </c>
      <c r="B128" s="50">
        <f t="shared" si="6"/>
        <v>44688</v>
      </c>
      <c r="C128" s="51">
        <v>5.0</v>
      </c>
      <c r="D128" s="51" t="s">
        <v>33</v>
      </c>
      <c r="E128" s="53" t="s">
        <v>39</v>
      </c>
      <c r="F128" s="54"/>
      <c r="G128" s="55"/>
      <c r="H128" s="56"/>
      <c r="I128" s="55"/>
      <c r="J128" s="56"/>
      <c r="K128" s="55"/>
      <c r="L128" s="56"/>
      <c r="M128" s="55"/>
      <c r="N128" s="56"/>
      <c r="O128" s="55"/>
      <c r="P128" s="56"/>
      <c r="Q128" s="58"/>
      <c r="R128" s="54">
        <v>0.0</v>
      </c>
      <c r="S128" s="55"/>
      <c r="T128" s="56">
        <v>0.0</v>
      </c>
      <c r="U128" s="55"/>
      <c r="V128" s="56">
        <v>0.0</v>
      </c>
      <c r="W128" s="55"/>
      <c r="X128" s="56">
        <v>0.0</v>
      </c>
      <c r="Y128" s="55"/>
      <c r="Z128" s="56">
        <v>0.0</v>
      </c>
      <c r="AA128" s="55"/>
      <c r="AB128" s="56">
        <v>0.0</v>
      </c>
      <c r="AC128" s="58"/>
      <c r="AD128" s="54"/>
      <c r="AE128" s="55"/>
      <c r="AF128" s="56"/>
      <c r="AG128" s="55"/>
      <c r="AH128" s="56"/>
      <c r="AI128" s="55"/>
      <c r="AJ128" s="56"/>
      <c r="AK128" s="55"/>
      <c r="AL128" s="56"/>
      <c r="AM128" s="55"/>
      <c r="AN128" s="56"/>
      <c r="AO128" s="58"/>
      <c r="AP128" s="60">
        <f t="shared" si="1"/>
        <v>0</v>
      </c>
      <c r="AQ128" s="51">
        <f t="shared" si="2"/>
        <v>0</v>
      </c>
      <c r="AR128" s="51">
        <f t="shared" si="3"/>
        <v>0</v>
      </c>
      <c r="AS128" s="51">
        <f t="shared" si="4"/>
        <v>0</v>
      </c>
      <c r="AT128" s="61" t="str">
        <f t="shared" si="5"/>
        <v/>
      </c>
      <c r="AU128" s="37"/>
      <c r="AV128" s="37"/>
      <c r="AW128" s="37"/>
    </row>
    <row r="129" ht="15.75" customHeight="1">
      <c r="A129" s="21" t="s">
        <v>24</v>
      </c>
      <c r="B129" s="62">
        <f t="shared" si="6"/>
        <v>44689</v>
      </c>
      <c r="C129" s="23">
        <v>5.0</v>
      </c>
      <c r="D129" s="23" t="s">
        <v>34</v>
      </c>
      <c r="E129" s="63" t="s">
        <v>39</v>
      </c>
      <c r="F129" s="26"/>
      <c r="H129" s="27"/>
      <c r="J129" s="27"/>
      <c r="L129" s="27"/>
      <c r="N129" s="27"/>
      <c r="P129" s="27"/>
      <c r="Q129" s="29"/>
      <c r="R129" s="26">
        <v>100.0</v>
      </c>
      <c r="T129" s="27">
        <v>100.0</v>
      </c>
      <c r="V129" s="27">
        <v>0.0</v>
      </c>
      <c r="X129" s="27">
        <v>0.0</v>
      </c>
      <c r="Z129" s="27">
        <v>0.0</v>
      </c>
      <c r="AB129" s="27">
        <v>100.0</v>
      </c>
      <c r="AC129" s="29"/>
      <c r="AD129" s="26"/>
      <c r="AF129" s="27"/>
      <c r="AH129" s="27"/>
      <c r="AJ129" s="27"/>
      <c r="AL129" s="27"/>
      <c r="AN129" s="27"/>
      <c r="AO129" s="29"/>
      <c r="AP129" s="35">
        <f t="shared" si="1"/>
        <v>4100</v>
      </c>
      <c r="AQ129" s="23">
        <f t="shared" si="2"/>
        <v>200</v>
      </c>
      <c r="AR129" s="23">
        <f t="shared" si="3"/>
        <v>100</v>
      </c>
      <c r="AS129" s="23">
        <f t="shared" si="4"/>
        <v>300</v>
      </c>
      <c r="AT129" s="36">
        <f t="shared" si="5"/>
        <v>13.66666667</v>
      </c>
      <c r="AU129" s="37"/>
      <c r="AV129" s="37"/>
      <c r="AW129" s="37"/>
    </row>
    <row r="130" ht="15.75" customHeight="1">
      <c r="A130" s="39" t="s">
        <v>27</v>
      </c>
      <c r="B130" s="40">
        <f t="shared" si="6"/>
        <v>44690</v>
      </c>
      <c r="C130" s="41">
        <v>5.0</v>
      </c>
      <c r="D130" s="41" t="s">
        <v>34</v>
      </c>
      <c r="E130" s="43" t="s">
        <v>39</v>
      </c>
      <c r="F130" s="26"/>
      <c r="H130" s="27"/>
      <c r="J130" s="27"/>
      <c r="L130" s="27"/>
      <c r="N130" s="27"/>
      <c r="P130" s="27"/>
      <c r="Q130" s="29"/>
      <c r="R130" s="26">
        <v>100.0</v>
      </c>
      <c r="T130" s="27">
        <v>100.0</v>
      </c>
      <c r="V130" s="27">
        <v>0.0</v>
      </c>
      <c r="X130" s="27">
        <v>0.0</v>
      </c>
      <c r="Z130" s="27">
        <v>0.0</v>
      </c>
      <c r="AB130" s="27">
        <v>100.0</v>
      </c>
      <c r="AC130" s="29"/>
      <c r="AD130" s="26"/>
      <c r="AF130" s="27"/>
      <c r="AH130" s="27"/>
      <c r="AJ130" s="27"/>
      <c r="AL130" s="27"/>
      <c r="AN130" s="27"/>
      <c r="AO130" s="29"/>
      <c r="AP130" s="45">
        <f t="shared" si="1"/>
        <v>4100</v>
      </c>
      <c r="AQ130" s="41">
        <f t="shared" si="2"/>
        <v>200</v>
      </c>
      <c r="AR130" s="41">
        <f t="shared" si="3"/>
        <v>100</v>
      </c>
      <c r="AS130" s="41">
        <f t="shared" si="4"/>
        <v>300</v>
      </c>
      <c r="AT130" s="46">
        <f t="shared" si="5"/>
        <v>13.66666667</v>
      </c>
      <c r="AU130" s="37"/>
      <c r="AV130" s="37"/>
      <c r="AW130" s="37"/>
    </row>
    <row r="131" ht="15.75" customHeight="1">
      <c r="A131" s="39" t="s">
        <v>28</v>
      </c>
      <c r="B131" s="40">
        <f t="shared" si="6"/>
        <v>44691</v>
      </c>
      <c r="C131" s="41">
        <v>5.0</v>
      </c>
      <c r="D131" s="41" t="s">
        <v>34</v>
      </c>
      <c r="E131" s="43" t="s">
        <v>39</v>
      </c>
      <c r="F131" s="26"/>
      <c r="H131" s="27"/>
      <c r="J131" s="27"/>
      <c r="L131" s="27"/>
      <c r="N131" s="27"/>
      <c r="P131" s="27"/>
      <c r="Q131" s="29"/>
      <c r="R131" s="26">
        <v>100.0</v>
      </c>
      <c r="T131" s="27">
        <v>100.0</v>
      </c>
      <c r="V131" s="27">
        <v>0.0</v>
      </c>
      <c r="X131" s="27">
        <v>0.0</v>
      </c>
      <c r="Z131" s="27">
        <v>0.0</v>
      </c>
      <c r="AB131" s="27">
        <v>100.0</v>
      </c>
      <c r="AC131" s="29"/>
      <c r="AD131" s="26"/>
      <c r="AF131" s="27"/>
      <c r="AH131" s="27"/>
      <c r="AJ131" s="27"/>
      <c r="AL131" s="27"/>
      <c r="AN131" s="27"/>
      <c r="AO131" s="29"/>
      <c r="AP131" s="45">
        <f t="shared" si="1"/>
        <v>4100</v>
      </c>
      <c r="AQ131" s="41">
        <f t="shared" si="2"/>
        <v>200</v>
      </c>
      <c r="AR131" s="41">
        <f t="shared" si="3"/>
        <v>100</v>
      </c>
      <c r="AS131" s="41">
        <f t="shared" si="4"/>
        <v>300</v>
      </c>
      <c r="AT131" s="46">
        <f t="shared" si="5"/>
        <v>13.66666667</v>
      </c>
      <c r="AU131" s="37"/>
      <c r="AV131" s="37"/>
      <c r="AW131" s="37"/>
    </row>
    <row r="132" ht="15.75" customHeight="1">
      <c r="A132" s="39" t="s">
        <v>29</v>
      </c>
      <c r="B132" s="40">
        <f t="shared" si="6"/>
        <v>44692</v>
      </c>
      <c r="C132" s="41">
        <v>5.0</v>
      </c>
      <c r="D132" s="41" t="s">
        <v>34</v>
      </c>
      <c r="E132" s="43" t="s">
        <v>39</v>
      </c>
      <c r="F132" s="26"/>
      <c r="H132" s="27"/>
      <c r="J132" s="27"/>
      <c r="L132" s="27"/>
      <c r="N132" s="27"/>
      <c r="P132" s="27"/>
      <c r="Q132" s="29"/>
      <c r="R132" s="26">
        <v>100.0</v>
      </c>
      <c r="T132" s="27">
        <v>100.0</v>
      </c>
      <c r="V132" s="27">
        <v>0.0</v>
      </c>
      <c r="X132" s="27">
        <v>0.0</v>
      </c>
      <c r="Z132" s="27">
        <v>0.0</v>
      </c>
      <c r="AB132" s="27">
        <v>100.0</v>
      </c>
      <c r="AC132" s="29"/>
      <c r="AD132" s="26"/>
      <c r="AF132" s="27"/>
      <c r="AH132" s="27"/>
      <c r="AJ132" s="27"/>
      <c r="AL132" s="27"/>
      <c r="AN132" s="27"/>
      <c r="AO132" s="29"/>
      <c r="AP132" s="45">
        <f t="shared" si="1"/>
        <v>4100</v>
      </c>
      <c r="AQ132" s="41">
        <f t="shared" si="2"/>
        <v>200</v>
      </c>
      <c r="AR132" s="41">
        <f t="shared" si="3"/>
        <v>100</v>
      </c>
      <c r="AS132" s="41">
        <f t="shared" si="4"/>
        <v>300</v>
      </c>
      <c r="AT132" s="46">
        <f t="shared" si="5"/>
        <v>13.66666667</v>
      </c>
      <c r="AU132" s="37"/>
      <c r="AV132" s="37"/>
      <c r="AW132" s="37"/>
    </row>
    <row r="133" ht="15.75" customHeight="1">
      <c r="A133" s="39" t="s">
        <v>30</v>
      </c>
      <c r="B133" s="40">
        <f t="shared" si="6"/>
        <v>44693</v>
      </c>
      <c r="C133" s="41">
        <v>5.0</v>
      </c>
      <c r="D133" s="41" t="s">
        <v>34</v>
      </c>
      <c r="E133" s="43" t="s">
        <v>39</v>
      </c>
      <c r="F133" s="26"/>
      <c r="H133" s="27"/>
      <c r="J133" s="27"/>
      <c r="L133" s="27"/>
      <c r="N133" s="27"/>
      <c r="P133" s="27"/>
      <c r="Q133" s="29"/>
      <c r="R133" s="26">
        <v>100.0</v>
      </c>
      <c r="T133" s="27">
        <v>100.0</v>
      </c>
      <c r="V133" s="27">
        <v>0.0</v>
      </c>
      <c r="X133" s="27">
        <v>0.0</v>
      </c>
      <c r="Z133" s="27">
        <v>0.0</v>
      </c>
      <c r="AB133" s="27">
        <v>100.0</v>
      </c>
      <c r="AC133" s="29"/>
      <c r="AD133" s="26"/>
      <c r="AF133" s="27"/>
      <c r="AH133" s="27"/>
      <c r="AJ133" s="27"/>
      <c r="AL133" s="27"/>
      <c r="AN133" s="27"/>
      <c r="AO133" s="29"/>
      <c r="AP133" s="45">
        <f t="shared" si="1"/>
        <v>4100</v>
      </c>
      <c r="AQ133" s="41">
        <f t="shared" si="2"/>
        <v>200</v>
      </c>
      <c r="AR133" s="41">
        <f t="shared" si="3"/>
        <v>100</v>
      </c>
      <c r="AS133" s="41">
        <f t="shared" si="4"/>
        <v>300</v>
      </c>
      <c r="AT133" s="46">
        <f t="shared" si="5"/>
        <v>13.66666667</v>
      </c>
      <c r="AU133" s="37"/>
      <c r="AV133" s="37"/>
      <c r="AW133" s="37"/>
    </row>
    <row r="134" ht="15.75" customHeight="1">
      <c r="A134" s="39" t="s">
        <v>31</v>
      </c>
      <c r="B134" s="40">
        <f t="shared" si="6"/>
        <v>44694</v>
      </c>
      <c r="C134" s="41">
        <v>5.0</v>
      </c>
      <c r="D134" s="41" t="s">
        <v>34</v>
      </c>
      <c r="E134" s="43" t="s">
        <v>39</v>
      </c>
      <c r="F134" s="26"/>
      <c r="H134" s="27"/>
      <c r="J134" s="27"/>
      <c r="L134" s="27"/>
      <c r="N134" s="27"/>
      <c r="P134" s="27"/>
      <c r="Q134" s="29"/>
      <c r="R134" s="26">
        <v>100.0</v>
      </c>
      <c r="T134" s="27">
        <v>100.0</v>
      </c>
      <c r="V134" s="27">
        <v>0.0</v>
      </c>
      <c r="X134" s="27">
        <v>0.0</v>
      </c>
      <c r="Z134" s="27">
        <v>0.0</v>
      </c>
      <c r="AB134" s="27">
        <v>100.0</v>
      </c>
      <c r="AC134" s="29"/>
      <c r="AD134" s="26"/>
      <c r="AF134" s="27"/>
      <c r="AH134" s="27"/>
      <c r="AJ134" s="27"/>
      <c r="AL134" s="27"/>
      <c r="AN134" s="27"/>
      <c r="AO134" s="29"/>
      <c r="AP134" s="45">
        <f t="shared" si="1"/>
        <v>4100</v>
      </c>
      <c r="AQ134" s="41">
        <f t="shared" si="2"/>
        <v>200</v>
      </c>
      <c r="AR134" s="41">
        <f t="shared" si="3"/>
        <v>100</v>
      </c>
      <c r="AS134" s="41">
        <f t="shared" si="4"/>
        <v>300</v>
      </c>
      <c r="AT134" s="46">
        <f t="shared" si="5"/>
        <v>13.66666667</v>
      </c>
      <c r="AU134" s="37"/>
      <c r="AV134" s="37"/>
      <c r="AW134" s="37"/>
    </row>
    <row r="135" ht="15.75" customHeight="1">
      <c r="A135" s="49" t="s">
        <v>32</v>
      </c>
      <c r="B135" s="50">
        <f t="shared" si="6"/>
        <v>44695</v>
      </c>
      <c r="C135" s="51">
        <v>5.0</v>
      </c>
      <c r="D135" s="51" t="s">
        <v>34</v>
      </c>
      <c r="E135" s="53" t="s">
        <v>39</v>
      </c>
      <c r="F135" s="54"/>
      <c r="G135" s="55"/>
      <c r="H135" s="56"/>
      <c r="I135" s="55"/>
      <c r="J135" s="56"/>
      <c r="K135" s="55"/>
      <c r="L135" s="56"/>
      <c r="M135" s="55"/>
      <c r="N135" s="56"/>
      <c r="O135" s="55"/>
      <c r="P135" s="56"/>
      <c r="Q135" s="58"/>
      <c r="R135" s="54">
        <v>0.0</v>
      </c>
      <c r="S135" s="55"/>
      <c r="T135" s="56">
        <v>0.0</v>
      </c>
      <c r="U135" s="55"/>
      <c r="V135" s="56">
        <v>0.0</v>
      </c>
      <c r="W135" s="55"/>
      <c r="X135" s="56">
        <v>0.0</v>
      </c>
      <c r="Y135" s="55"/>
      <c r="Z135" s="56">
        <v>0.0</v>
      </c>
      <c r="AA135" s="55"/>
      <c r="AB135" s="56">
        <v>0.0</v>
      </c>
      <c r="AC135" s="58"/>
      <c r="AD135" s="54"/>
      <c r="AE135" s="55"/>
      <c r="AF135" s="56"/>
      <c r="AG135" s="55"/>
      <c r="AH135" s="56"/>
      <c r="AI135" s="55"/>
      <c r="AJ135" s="56"/>
      <c r="AK135" s="55"/>
      <c r="AL135" s="56"/>
      <c r="AM135" s="55"/>
      <c r="AN135" s="56"/>
      <c r="AO135" s="58"/>
      <c r="AP135" s="60">
        <f t="shared" si="1"/>
        <v>0</v>
      </c>
      <c r="AQ135" s="51">
        <f t="shared" si="2"/>
        <v>0</v>
      </c>
      <c r="AR135" s="51">
        <f t="shared" si="3"/>
        <v>0</v>
      </c>
      <c r="AS135" s="51">
        <f t="shared" si="4"/>
        <v>0</v>
      </c>
      <c r="AT135" s="61" t="str">
        <f t="shared" si="5"/>
        <v/>
      </c>
      <c r="AU135" s="37"/>
      <c r="AV135" s="37"/>
      <c r="AW135" s="37"/>
    </row>
    <row r="136" ht="15.75" customHeight="1">
      <c r="A136" s="21" t="s">
        <v>24</v>
      </c>
      <c r="B136" s="62">
        <f t="shared" si="6"/>
        <v>44696</v>
      </c>
      <c r="C136" s="23">
        <v>5.0</v>
      </c>
      <c r="D136" s="23" t="s">
        <v>35</v>
      </c>
      <c r="E136" s="63" t="s">
        <v>39</v>
      </c>
      <c r="F136" s="26"/>
      <c r="H136" s="27"/>
      <c r="J136" s="27"/>
      <c r="L136" s="27"/>
      <c r="N136" s="27"/>
      <c r="P136" s="27"/>
      <c r="Q136" s="29"/>
      <c r="R136" s="26">
        <v>100.0</v>
      </c>
      <c r="T136" s="27">
        <v>100.0</v>
      </c>
      <c r="V136" s="27">
        <v>0.0</v>
      </c>
      <c r="X136" s="27">
        <v>0.0</v>
      </c>
      <c r="Z136" s="27">
        <v>0.0</v>
      </c>
      <c r="AB136" s="27">
        <v>100.0</v>
      </c>
      <c r="AC136" s="29"/>
      <c r="AD136" s="26"/>
      <c r="AF136" s="27"/>
      <c r="AH136" s="27"/>
      <c r="AJ136" s="27"/>
      <c r="AL136" s="27"/>
      <c r="AN136" s="27"/>
      <c r="AO136" s="29"/>
      <c r="AP136" s="35">
        <f t="shared" si="1"/>
        <v>4100</v>
      </c>
      <c r="AQ136" s="23">
        <f t="shared" si="2"/>
        <v>200</v>
      </c>
      <c r="AR136" s="23">
        <f t="shared" si="3"/>
        <v>100</v>
      </c>
      <c r="AS136" s="23">
        <f t="shared" si="4"/>
        <v>300</v>
      </c>
      <c r="AT136" s="36">
        <f t="shared" si="5"/>
        <v>13.66666667</v>
      </c>
      <c r="AU136" s="37"/>
      <c r="AV136" s="37"/>
      <c r="AW136" s="37"/>
    </row>
    <row r="137" ht="15.75" customHeight="1">
      <c r="A137" s="39" t="s">
        <v>27</v>
      </c>
      <c r="B137" s="40">
        <f t="shared" si="6"/>
        <v>44697</v>
      </c>
      <c r="C137" s="41">
        <v>5.0</v>
      </c>
      <c r="D137" s="41" t="s">
        <v>35</v>
      </c>
      <c r="E137" s="43" t="s">
        <v>39</v>
      </c>
      <c r="F137" s="26"/>
      <c r="H137" s="27"/>
      <c r="J137" s="27"/>
      <c r="L137" s="27"/>
      <c r="N137" s="27"/>
      <c r="P137" s="27"/>
      <c r="Q137" s="29"/>
      <c r="R137" s="26">
        <v>100.0</v>
      </c>
      <c r="T137" s="27">
        <v>100.0</v>
      </c>
      <c r="V137" s="27">
        <v>0.0</v>
      </c>
      <c r="X137" s="27">
        <v>0.0</v>
      </c>
      <c r="Z137" s="27">
        <v>0.0</v>
      </c>
      <c r="AB137" s="27">
        <v>100.0</v>
      </c>
      <c r="AC137" s="29"/>
      <c r="AD137" s="26"/>
      <c r="AF137" s="27"/>
      <c r="AH137" s="27"/>
      <c r="AJ137" s="27"/>
      <c r="AL137" s="27"/>
      <c r="AN137" s="27"/>
      <c r="AO137" s="29"/>
      <c r="AP137" s="45">
        <f t="shared" si="1"/>
        <v>4100</v>
      </c>
      <c r="AQ137" s="41">
        <f t="shared" si="2"/>
        <v>200</v>
      </c>
      <c r="AR137" s="41">
        <f t="shared" si="3"/>
        <v>100</v>
      </c>
      <c r="AS137" s="41">
        <f t="shared" si="4"/>
        <v>300</v>
      </c>
      <c r="AT137" s="46">
        <f t="shared" si="5"/>
        <v>13.66666667</v>
      </c>
      <c r="AU137" s="37"/>
      <c r="AV137" s="37"/>
      <c r="AW137" s="37"/>
    </row>
    <row r="138" ht="15.75" customHeight="1">
      <c r="A138" s="39" t="s">
        <v>28</v>
      </c>
      <c r="B138" s="40">
        <f t="shared" si="6"/>
        <v>44698</v>
      </c>
      <c r="C138" s="41">
        <v>5.0</v>
      </c>
      <c r="D138" s="41" t="s">
        <v>35</v>
      </c>
      <c r="E138" s="43" t="s">
        <v>39</v>
      </c>
      <c r="F138" s="26"/>
      <c r="H138" s="27"/>
      <c r="J138" s="27"/>
      <c r="L138" s="27"/>
      <c r="N138" s="27"/>
      <c r="P138" s="27"/>
      <c r="Q138" s="29"/>
      <c r="R138" s="26">
        <v>100.0</v>
      </c>
      <c r="T138" s="27">
        <v>100.0</v>
      </c>
      <c r="V138" s="27">
        <v>0.0</v>
      </c>
      <c r="X138" s="27">
        <v>0.0</v>
      </c>
      <c r="Z138" s="27">
        <v>0.0</v>
      </c>
      <c r="AB138" s="27">
        <v>100.0</v>
      </c>
      <c r="AC138" s="29"/>
      <c r="AD138" s="26"/>
      <c r="AF138" s="27"/>
      <c r="AH138" s="27"/>
      <c r="AJ138" s="27"/>
      <c r="AL138" s="27"/>
      <c r="AN138" s="27"/>
      <c r="AO138" s="29"/>
      <c r="AP138" s="45">
        <f t="shared" si="1"/>
        <v>4100</v>
      </c>
      <c r="AQ138" s="41">
        <f t="shared" si="2"/>
        <v>200</v>
      </c>
      <c r="AR138" s="41">
        <f t="shared" si="3"/>
        <v>100</v>
      </c>
      <c r="AS138" s="41">
        <f t="shared" si="4"/>
        <v>300</v>
      </c>
      <c r="AT138" s="46">
        <f t="shared" si="5"/>
        <v>13.66666667</v>
      </c>
      <c r="AU138" s="37"/>
      <c r="AV138" s="37"/>
      <c r="AW138" s="37"/>
    </row>
    <row r="139" ht="15.75" customHeight="1">
      <c r="A139" s="39" t="s">
        <v>29</v>
      </c>
      <c r="B139" s="40">
        <f t="shared" si="6"/>
        <v>44699</v>
      </c>
      <c r="C139" s="41">
        <v>5.0</v>
      </c>
      <c r="D139" s="41" t="s">
        <v>35</v>
      </c>
      <c r="E139" s="43" t="s">
        <v>39</v>
      </c>
      <c r="F139" s="26"/>
      <c r="H139" s="27"/>
      <c r="J139" s="27"/>
      <c r="L139" s="27"/>
      <c r="N139" s="27"/>
      <c r="P139" s="27"/>
      <c r="Q139" s="29"/>
      <c r="R139" s="26">
        <v>100.0</v>
      </c>
      <c r="T139" s="27">
        <v>100.0</v>
      </c>
      <c r="V139" s="27">
        <v>0.0</v>
      </c>
      <c r="X139" s="27">
        <v>0.0</v>
      </c>
      <c r="Z139" s="27">
        <v>0.0</v>
      </c>
      <c r="AB139" s="27">
        <v>100.0</v>
      </c>
      <c r="AC139" s="29"/>
      <c r="AD139" s="26"/>
      <c r="AF139" s="27"/>
      <c r="AH139" s="27"/>
      <c r="AJ139" s="27"/>
      <c r="AL139" s="27"/>
      <c r="AN139" s="27"/>
      <c r="AO139" s="29"/>
      <c r="AP139" s="45">
        <f t="shared" si="1"/>
        <v>4100</v>
      </c>
      <c r="AQ139" s="41">
        <f t="shared" si="2"/>
        <v>200</v>
      </c>
      <c r="AR139" s="41">
        <f t="shared" si="3"/>
        <v>100</v>
      </c>
      <c r="AS139" s="41">
        <f t="shared" si="4"/>
        <v>300</v>
      </c>
      <c r="AT139" s="46">
        <f t="shared" si="5"/>
        <v>13.66666667</v>
      </c>
      <c r="AU139" s="37"/>
      <c r="AV139" s="37"/>
      <c r="AW139" s="37"/>
    </row>
    <row r="140" ht="15.75" customHeight="1">
      <c r="A140" s="39" t="s">
        <v>30</v>
      </c>
      <c r="B140" s="40">
        <f t="shared" si="6"/>
        <v>44700</v>
      </c>
      <c r="C140" s="41">
        <v>5.0</v>
      </c>
      <c r="D140" s="41" t="s">
        <v>35</v>
      </c>
      <c r="E140" s="43" t="s">
        <v>39</v>
      </c>
      <c r="F140" s="26"/>
      <c r="H140" s="27"/>
      <c r="J140" s="27"/>
      <c r="L140" s="27"/>
      <c r="N140" s="27"/>
      <c r="P140" s="27"/>
      <c r="Q140" s="29"/>
      <c r="R140" s="26">
        <v>100.0</v>
      </c>
      <c r="T140" s="27">
        <v>100.0</v>
      </c>
      <c r="V140" s="27">
        <v>0.0</v>
      </c>
      <c r="X140" s="27">
        <v>0.0</v>
      </c>
      <c r="Z140" s="27">
        <v>0.0</v>
      </c>
      <c r="AB140" s="27">
        <v>100.0</v>
      </c>
      <c r="AC140" s="29"/>
      <c r="AD140" s="26"/>
      <c r="AF140" s="27"/>
      <c r="AH140" s="27"/>
      <c r="AJ140" s="27"/>
      <c r="AL140" s="27"/>
      <c r="AN140" s="27"/>
      <c r="AO140" s="29"/>
      <c r="AP140" s="45">
        <f t="shared" si="1"/>
        <v>4100</v>
      </c>
      <c r="AQ140" s="41">
        <f t="shared" si="2"/>
        <v>200</v>
      </c>
      <c r="AR140" s="41">
        <f t="shared" si="3"/>
        <v>100</v>
      </c>
      <c r="AS140" s="41">
        <f t="shared" si="4"/>
        <v>300</v>
      </c>
      <c r="AT140" s="46">
        <f t="shared" si="5"/>
        <v>13.66666667</v>
      </c>
      <c r="AU140" s="37"/>
      <c r="AV140" s="37"/>
      <c r="AW140" s="37"/>
    </row>
    <row r="141" ht="15.75" customHeight="1">
      <c r="A141" s="39" t="s">
        <v>31</v>
      </c>
      <c r="B141" s="40">
        <f t="shared" si="6"/>
        <v>44701</v>
      </c>
      <c r="C141" s="41">
        <v>5.0</v>
      </c>
      <c r="D141" s="41" t="s">
        <v>35</v>
      </c>
      <c r="E141" s="43" t="s">
        <v>39</v>
      </c>
      <c r="F141" s="26"/>
      <c r="H141" s="27"/>
      <c r="J141" s="27"/>
      <c r="L141" s="27"/>
      <c r="N141" s="27"/>
      <c r="P141" s="27"/>
      <c r="Q141" s="29"/>
      <c r="R141" s="26">
        <v>100.0</v>
      </c>
      <c r="T141" s="27">
        <v>100.0</v>
      </c>
      <c r="V141" s="27">
        <v>0.0</v>
      </c>
      <c r="X141" s="27">
        <v>0.0</v>
      </c>
      <c r="Z141" s="27">
        <v>0.0</v>
      </c>
      <c r="AB141" s="27">
        <v>100.0</v>
      </c>
      <c r="AC141" s="29"/>
      <c r="AD141" s="26"/>
      <c r="AF141" s="27"/>
      <c r="AH141" s="27"/>
      <c r="AJ141" s="27"/>
      <c r="AL141" s="27"/>
      <c r="AN141" s="27"/>
      <c r="AO141" s="29"/>
      <c r="AP141" s="45">
        <f t="shared" si="1"/>
        <v>4100</v>
      </c>
      <c r="AQ141" s="41">
        <f t="shared" si="2"/>
        <v>200</v>
      </c>
      <c r="AR141" s="41">
        <f t="shared" si="3"/>
        <v>100</v>
      </c>
      <c r="AS141" s="41">
        <f t="shared" si="4"/>
        <v>300</v>
      </c>
      <c r="AT141" s="46">
        <f t="shared" si="5"/>
        <v>13.66666667</v>
      </c>
      <c r="AU141" s="37"/>
      <c r="AV141" s="37"/>
      <c r="AW141" s="37"/>
    </row>
    <row r="142" ht="15.75" customHeight="1">
      <c r="A142" s="49" t="s">
        <v>32</v>
      </c>
      <c r="B142" s="50">
        <f t="shared" si="6"/>
        <v>44702</v>
      </c>
      <c r="C142" s="51">
        <v>5.0</v>
      </c>
      <c r="D142" s="51" t="s">
        <v>35</v>
      </c>
      <c r="E142" s="53" t="s">
        <v>39</v>
      </c>
      <c r="F142" s="54"/>
      <c r="G142" s="55"/>
      <c r="H142" s="56"/>
      <c r="I142" s="55"/>
      <c r="J142" s="56"/>
      <c r="K142" s="55"/>
      <c r="L142" s="56"/>
      <c r="M142" s="55"/>
      <c r="N142" s="56"/>
      <c r="O142" s="55"/>
      <c r="P142" s="56"/>
      <c r="Q142" s="58"/>
      <c r="R142" s="54">
        <v>0.0</v>
      </c>
      <c r="S142" s="55"/>
      <c r="T142" s="56">
        <v>0.0</v>
      </c>
      <c r="U142" s="55"/>
      <c r="V142" s="56">
        <v>0.0</v>
      </c>
      <c r="W142" s="55"/>
      <c r="X142" s="56">
        <v>0.0</v>
      </c>
      <c r="Y142" s="55"/>
      <c r="Z142" s="56">
        <v>0.0</v>
      </c>
      <c r="AA142" s="55"/>
      <c r="AB142" s="56">
        <v>0.0</v>
      </c>
      <c r="AC142" s="58"/>
      <c r="AD142" s="54"/>
      <c r="AE142" s="55"/>
      <c r="AF142" s="56"/>
      <c r="AG142" s="55"/>
      <c r="AH142" s="56"/>
      <c r="AI142" s="55"/>
      <c r="AJ142" s="56"/>
      <c r="AK142" s="55"/>
      <c r="AL142" s="56"/>
      <c r="AM142" s="55"/>
      <c r="AN142" s="56"/>
      <c r="AO142" s="58"/>
      <c r="AP142" s="60">
        <f t="shared" si="1"/>
        <v>0</v>
      </c>
      <c r="AQ142" s="51">
        <f t="shared" si="2"/>
        <v>0</v>
      </c>
      <c r="AR142" s="51">
        <f t="shared" si="3"/>
        <v>0</v>
      </c>
      <c r="AS142" s="51">
        <f t="shared" si="4"/>
        <v>0</v>
      </c>
      <c r="AT142" s="61" t="str">
        <f t="shared" si="5"/>
        <v/>
      </c>
      <c r="AU142" s="37"/>
      <c r="AV142" s="37"/>
      <c r="AW142" s="37"/>
    </row>
    <row r="143" ht="15.75" customHeight="1">
      <c r="A143" s="21" t="s">
        <v>24</v>
      </c>
      <c r="B143" s="62">
        <f t="shared" si="6"/>
        <v>44703</v>
      </c>
      <c r="C143" s="23">
        <v>6.0</v>
      </c>
      <c r="D143" s="23" t="s">
        <v>25</v>
      </c>
      <c r="E143" s="63" t="s">
        <v>39</v>
      </c>
      <c r="F143" s="26"/>
      <c r="H143" s="27"/>
      <c r="J143" s="27"/>
      <c r="L143" s="27"/>
      <c r="N143" s="27"/>
      <c r="P143" s="27"/>
      <c r="Q143" s="29"/>
      <c r="R143" s="26">
        <v>100.0</v>
      </c>
      <c r="T143" s="27">
        <v>100.0</v>
      </c>
      <c r="V143" s="27">
        <v>0.0</v>
      </c>
      <c r="X143" s="27">
        <v>0.0</v>
      </c>
      <c r="Z143" s="27">
        <v>0.0</v>
      </c>
      <c r="AB143" s="27">
        <v>100.0</v>
      </c>
      <c r="AC143" s="29"/>
      <c r="AD143" s="26"/>
      <c r="AF143" s="27"/>
      <c r="AH143" s="27"/>
      <c r="AJ143" s="27"/>
      <c r="AL143" s="27"/>
      <c r="AN143" s="27"/>
      <c r="AO143" s="29"/>
      <c r="AP143" s="35">
        <f t="shared" si="1"/>
        <v>4100</v>
      </c>
      <c r="AQ143" s="23">
        <f t="shared" si="2"/>
        <v>200</v>
      </c>
      <c r="AR143" s="23">
        <f t="shared" si="3"/>
        <v>100</v>
      </c>
      <c r="AS143" s="23">
        <f t="shared" si="4"/>
        <v>300</v>
      </c>
      <c r="AT143" s="36">
        <f t="shared" si="5"/>
        <v>13.66666667</v>
      </c>
      <c r="AU143" s="37"/>
      <c r="AV143" s="37"/>
      <c r="AW143" s="37"/>
    </row>
    <row r="144" ht="15.75" customHeight="1">
      <c r="A144" s="39" t="s">
        <v>27</v>
      </c>
      <c r="B144" s="40">
        <f t="shared" si="6"/>
        <v>44704</v>
      </c>
      <c r="C144" s="41">
        <v>6.0</v>
      </c>
      <c r="D144" s="41" t="s">
        <v>25</v>
      </c>
      <c r="E144" s="43" t="s">
        <v>39</v>
      </c>
      <c r="F144" s="26"/>
      <c r="H144" s="27"/>
      <c r="J144" s="27"/>
      <c r="L144" s="27"/>
      <c r="N144" s="27"/>
      <c r="P144" s="27"/>
      <c r="Q144" s="29"/>
      <c r="R144" s="26">
        <v>100.0</v>
      </c>
      <c r="T144" s="27">
        <v>100.0</v>
      </c>
      <c r="V144" s="27">
        <v>0.0</v>
      </c>
      <c r="X144" s="27">
        <v>0.0</v>
      </c>
      <c r="Z144" s="27">
        <v>0.0</v>
      </c>
      <c r="AB144" s="27">
        <v>100.0</v>
      </c>
      <c r="AC144" s="29"/>
      <c r="AD144" s="26"/>
      <c r="AF144" s="27"/>
      <c r="AH144" s="27"/>
      <c r="AJ144" s="27"/>
      <c r="AL144" s="27"/>
      <c r="AN144" s="27"/>
      <c r="AO144" s="29"/>
      <c r="AP144" s="45">
        <f t="shared" si="1"/>
        <v>4100</v>
      </c>
      <c r="AQ144" s="41">
        <f t="shared" si="2"/>
        <v>200</v>
      </c>
      <c r="AR144" s="41">
        <f t="shared" si="3"/>
        <v>100</v>
      </c>
      <c r="AS144" s="41">
        <f t="shared" si="4"/>
        <v>300</v>
      </c>
      <c r="AT144" s="46">
        <f t="shared" si="5"/>
        <v>13.66666667</v>
      </c>
      <c r="AU144" s="37"/>
      <c r="AV144" s="37"/>
      <c r="AW144" s="37"/>
    </row>
    <row r="145" ht="15.75" customHeight="1">
      <c r="A145" s="39" t="s">
        <v>28</v>
      </c>
      <c r="B145" s="40">
        <f t="shared" si="6"/>
        <v>44705</v>
      </c>
      <c r="C145" s="41">
        <v>6.0</v>
      </c>
      <c r="D145" s="41" t="s">
        <v>25</v>
      </c>
      <c r="E145" s="43" t="s">
        <v>39</v>
      </c>
      <c r="F145" s="26"/>
      <c r="H145" s="27"/>
      <c r="J145" s="27"/>
      <c r="L145" s="27"/>
      <c r="N145" s="27"/>
      <c r="P145" s="27"/>
      <c r="Q145" s="29"/>
      <c r="R145" s="26">
        <v>100.0</v>
      </c>
      <c r="T145" s="27">
        <v>100.0</v>
      </c>
      <c r="V145" s="27">
        <v>0.0</v>
      </c>
      <c r="X145" s="27">
        <v>0.0</v>
      </c>
      <c r="Z145" s="27">
        <v>0.0</v>
      </c>
      <c r="AB145" s="27">
        <v>100.0</v>
      </c>
      <c r="AC145" s="29"/>
      <c r="AD145" s="26"/>
      <c r="AF145" s="27"/>
      <c r="AH145" s="27"/>
      <c r="AJ145" s="27"/>
      <c r="AL145" s="27"/>
      <c r="AN145" s="27"/>
      <c r="AO145" s="29"/>
      <c r="AP145" s="45">
        <f t="shared" si="1"/>
        <v>4100</v>
      </c>
      <c r="AQ145" s="41">
        <f t="shared" si="2"/>
        <v>200</v>
      </c>
      <c r="AR145" s="41">
        <f t="shared" si="3"/>
        <v>100</v>
      </c>
      <c r="AS145" s="41">
        <f t="shared" si="4"/>
        <v>300</v>
      </c>
      <c r="AT145" s="46">
        <f t="shared" si="5"/>
        <v>13.66666667</v>
      </c>
      <c r="AU145" s="37"/>
      <c r="AV145" s="37"/>
      <c r="AW145" s="37"/>
    </row>
    <row r="146" ht="15.75" customHeight="1">
      <c r="A146" s="39" t="s">
        <v>29</v>
      </c>
      <c r="B146" s="40">
        <f t="shared" si="6"/>
        <v>44706</v>
      </c>
      <c r="C146" s="41">
        <v>6.0</v>
      </c>
      <c r="D146" s="41" t="s">
        <v>25</v>
      </c>
      <c r="E146" s="43" t="s">
        <v>39</v>
      </c>
      <c r="F146" s="26"/>
      <c r="H146" s="27"/>
      <c r="J146" s="27"/>
      <c r="L146" s="27"/>
      <c r="N146" s="27"/>
      <c r="P146" s="27"/>
      <c r="Q146" s="29"/>
      <c r="R146" s="26">
        <v>100.0</v>
      </c>
      <c r="T146" s="27">
        <v>100.0</v>
      </c>
      <c r="V146" s="27">
        <v>0.0</v>
      </c>
      <c r="X146" s="27">
        <v>0.0</v>
      </c>
      <c r="Z146" s="27">
        <v>0.0</v>
      </c>
      <c r="AB146" s="27">
        <v>100.0</v>
      </c>
      <c r="AC146" s="29"/>
      <c r="AD146" s="26"/>
      <c r="AF146" s="27"/>
      <c r="AH146" s="27"/>
      <c r="AJ146" s="27"/>
      <c r="AL146" s="27"/>
      <c r="AN146" s="27"/>
      <c r="AO146" s="29"/>
      <c r="AP146" s="45">
        <f t="shared" si="1"/>
        <v>4100</v>
      </c>
      <c r="AQ146" s="41">
        <f t="shared" si="2"/>
        <v>200</v>
      </c>
      <c r="AR146" s="41">
        <f t="shared" si="3"/>
        <v>100</v>
      </c>
      <c r="AS146" s="41">
        <f t="shared" si="4"/>
        <v>300</v>
      </c>
      <c r="AT146" s="46">
        <f t="shared" si="5"/>
        <v>13.66666667</v>
      </c>
      <c r="AU146" s="37"/>
      <c r="AV146" s="37"/>
      <c r="AW146" s="37"/>
    </row>
    <row r="147" ht="15.75" customHeight="1">
      <c r="A147" s="39" t="s">
        <v>30</v>
      </c>
      <c r="B147" s="40">
        <f t="shared" si="6"/>
        <v>44707</v>
      </c>
      <c r="C147" s="41">
        <v>6.0</v>
      </c>
      <c r="D147" s="41" t="s">
        <v>25</v>
      </c>
      <c r="E147" s="43" t="s">
        <v>39</v>
      </c>
      <c r="F147" s="26"/>
      <c r="H147" s="27"/>
      <c r="J147" s="27"/>
      <c r="L147" s="27"/>
      <c r="N147" s="27"/>
      <c r="P147" s="27"/>
      <c r="Q147" s="29"/>
      <c r="R147" s="26">
        <v>100.0</v>
      </c>
      <c r="T147" s="27">
        <v>100.0</v>
      </c>
      <c r="V147" s="27">
        <v>0.0</v>
      </c>
      <c r="X147" s="27">
        <v>0.0</v>
      </c>
      <c r="Z147" s="27">
        <v>0.0</v>
      </c>
      <c r="AB147" s="27">
        <v>100.0</v>
      </c>
      <c r="AC147" s="29"/>
      <c r="AD147" s="26"/>
      <c r="AF147" s="27"/>
      <c r="AH147" s="27"/>
      <c r="AJ147" s="27"/>
      <c r="AL147" s="27"/>
      <c r="AN147" s="27"/>
      <c r="AO147" s="29"/>
      <c r="AP147" s="45">
        <f t="shared" si="1"/>
        <v>4100</v>
      </c>
      <c r="AQ147" s="41">
        <f t="shared" si="2"/>
        <v>200</v>
      </c>
      <c r="AR147" s="41">
        <f t="shared" si="3"/>
        <v>100</v>
      </c>
      <c r="AS147" s="41">
        <f t="shared" si="4"/>
        <v>300</v>
      </c>
      <c r="AT147" s="46">
        <f t="shared" si="5"/>
        <v>13.66666667</v>
      </c>
      <c r="AU147" s="37"/>
      <c r="AV147" s="37"/>
      <c r="AW147" s="37"/>
    </row>
    <row r="148" ht="15.75" customHeight="1">
      <c r="A148" s="39" t="s">
        <v>31</v>
      </c>
      <c r="B148" s="40">
        <f t="shared" si="6"/>
        <v>44708</v>
      </c>
      <c r="C148" s="41">
        <v>6.0</v>
      </c>
      <c r="D148" s="41" t="s">
        <v>25</v>
      </c>
      <c r="E148" s="43" t="s">
        <v>39</v>
      </c>
      <c r="F148" s="26"/>
      <c r="H148" s="27"/>
      <c r="J148" s="27"/>
      <c r="L148" s="27"/>
      <c r="N148" s="27"/>
      <c r="P148" s="27"/>
      <c r="Q148" s="29"/>
      <c r="R148" s="26">
        <v>100.0</v>
      </c>
      <c r="T148" s="27">
        <v>100.0</v>
      </c>
      <c r="V148" s="27">
        <v>0.0</v>
      </c>
      <c r="X148" s="27">
        <v>0.0</v>
      </c>
      <c r="Z148" s="27">
        <v>0.0</v>
      </c>
      <c r="AB148" s="27">
        <v>100.0</v>
      </c>
      <c r="AC148" s="29"/>
      <c r="AD148" s="26"/>
      <c r="AF148" s="27"/>
      <c r="AH148" s="27"/>
      <c r="AJ148" s="27"/>
      <c r="AL148" s="27"/>
      <c r="AN148" s="27"/>
      <c r="AO148" s="29"/>
      <c r="AP148" s="45">
        <f t="shared" si="1"/>
        <v>4100</v>
      </c>
      <c r="AQ148" s="41">
        <f t="shared" si="2"/>
        <v>200</v>
      </c>
      <c r="AR148" s="41">
        <f t="shared" si="3"/>
        <v>100</v>
      </c>
      <c r="AS148" s="41">
        <f t="shared" si="4"/>
        <v>300</v>
      </c>
      <c r="AT148" s="46">
        <f t="shared" si="5"/>
        <v>13.66666667</v>
      </c>
      <c r="AU148" s="37"/>
      <c r="AV148" s="37"/>
      <c r="AW148" s="37"/>
    </row>
    <row r="149" ht="15.75" customHeight="1">
      <c r="A149" s="49" t="s">
        <v>32</v>
      </c>
      <c r="B149" s="50">
        <f t="shared" si="6"/>
        <v>44709</v>
      </c>
      <c r="C149" s="51">
        <v>6.0</v>
      </c>
      <c r="D149" s="51" t="s">
        <v>25</v>
      </c>
      <c r="E149" s="53" t="s">
        <v>39</v>
      </c>
      <c r="F149" s="54"/>
      <c r="G149" s="55"/>
      <c r="H149" s="56"/>
      <c r="I149" s="55"/>
      <c r="J149" s="56"/>
      <c r="K149" s="55"/>
      <c r="L149" s="56"/>
      <c r="M149" s="55"/>
      <c r="N149" s="56"/>
      <c r="O149" s="55"/>
      <c r="P149" s="56"/>
      <c r="Q149" s="58"/>
      <c r="R149" s="54">
        <v>0.0</v>
      </c>
      <c r="S149" s="55"/>
      <c r="T149" s="56">
        <v>0.0</v>
      </c>
      <c r="U149" s="55"/>
      <c r="V149" s="56">
        <v>0.0</v>
      </c>
      <c r="W149" s="55"/>
      <c r="X149" s="56">
        <v>0.0</v>
      </c>
      <c r="Y149" s="55"/>
      <c r="Z149" s="56">
        <v>0.0</v>
      </c>
      <c r="AA149" s="55"/>
      <c r="AB149" s="56">
        <v>0.0</v>
      </c>
      <c r="AC149" s="58"/>
      <c r="AD149" s="54"/>
      <c r="AE149" s="55"/>
      <c r="AF149" s="56"/>
      <c r="AG149" s="55"/>
      <c r="AH149" s="56"/>
      <c r="AI149" s="55"/>
      <c r="AJ149" s="56"/>
      <c r="AK149" s="55"/>
      <c r="AL149" s="56"/>
      <c r="AM149" s="55"/>
      <c r="AN149" s="56"/>
      <c r="AO149" s="58"/>
      <c r="AP149" s="60">
        <f t="shared" si="1"/>
        <v>0</v>
      </c>
      <c r="AQ149" s="51">
        <f t="shared" si="2"/>
        <v>0</v>
      </c>
      <c r="AR149" s="51">
        <f t="shared" si="3"/>
        <v>0</v>
      </c>
      <c r="AS149" s="51">
        <f t="shared" si="4"/>
        <v>0</v>
      </c>
      <c r="AT149" s="61" t="str">
        <f t="shared" si="5"/>
        <v/>
      </c>
      <c r="AU149" s="37"/>
      <c r="AV149" s="37"/>
      <c r="AW149" s="37"/>
    </row>
    <row r="150" ht="15.75" customHeight="1">
      <c r="A150" s="21" t="s">
        <v>24</v>
      </c>
      <c r="B150" s="62">
        <f t="shared" si="6"/>
        <v>44710</v>
      </c>
      <c r="C150" s="23">
        <v>6.0</v>
      </c>
      <c r="D150" s="23" t="s">
        <v>33</v>
      </c>
      <c r="E150" s="63" t="s">
        <v>39</v>
      </c>
      <c r="F150" s="26"/>
      <c r="H150" s="27"/>
      <c r="J150" s="27"/>
      <c r="L150" s="27"/>
      <c r="N150" s="27"/>
      <c r="P150" s="27"/>
      <c r="Q150" s="29"/>
      <c r="R150" s="26">
        <v>100.0</v>
      </c>
      <c r="T150" s="27">
        <v>100.0</v>
      </c>
      <c r="V150" s="27">
        <v>0.0</v>
      </c>
      <c r="X150" s="27">
        <v>0.0</v>
      </c>
      <c r="Z150" s="27">
        <v>0.0</v>
      </c>
      <c r="AB150" s="27">
        <v>100.0</v>
      </c>
      <c r="AC150" s="29"/>
      <c r="AD150" s="26"/>
      <c r="AF150" s="27"/>
      <c r="AH150" s="27"/>
      <c r="AJ150" s="27"/>
      <c r="AL150" s="27"/>
      <c r="AN150" s="27"/>
      <c r="AO150" s="29"/>
      <c r="AP150" s="35">
        <f t="shared" si="1"/>
        <v>4100</v>
      </c>
      <c r="AQ150" s="23">
        <f t="shared" si="2"/>
        <v>200</v>
      </c>
      <c r="AR150" s="23">
        <f t="shared" si="3"/>
        <v>100</v>
      </c>
      <c r="AS150" s="23">
        <f t="shared" si="4"/>
        <v>300</v>
      </c>
      <c r="AT150" s="36">
        <f t="shared" si="5"/>
        <v>13.66666667</v>
      </c>
      <c r="AU150" s="37"/>
      <c r="AV150" s="37"/>
      <c r="AW150" s="37"/>
    </row>
    <row r="151" ht="15.75" customHeight="1">
      <c r="A151" s="39" t="s">
        <v>27</v>
      </c>
      <c r="B151" s="40">
        <f t="shared" si="6"/>
        <v>44711</v>
      </c>
      <c r="C151" s="41">
        <v>6.0</v>
      </c>
      <c r="D151" s="41" t="s">
        <v>33</v>
      </c>
      <c r="E151" s="43" t="s">
        <v>39</v>
      </c>
      <c r="F151" s="26"/>
      <c r="H151" s="27"/>
      <c r="J151" s="27"/>
      <c r="L151" s="27"/>
      <c r="N151" s="27"/>
      <c r="P151" s="27"/>
      <c r="Q151" s="29"/>
      <c r="R151" s="26">
        <v>100.0</v>
      </c>
      <c r="T151" s="27">
        <v>100.0</v>
      </c>
      <c r="V151" s="27">
        <v>0.0</v>
      </c>
      <c r="X151" s="27">
        <v>0.0</v>
      </c>
      <c r="Z151" s="27">
        <v>0.0</v>
      </c>
      <c r="AB151" s="27">
        <v>100.0</v>
      </c>
      <c r="AC151" s="29"/>
      <c r="AD151" s="26"/>
      <c r="AF151" s="27"/>
      <c r="AH151" s="27"/>
      <c r="AJ151" s="27"/>
      <c r="AL151" s="27"/>
      <c r="AN151" s="27"/>
      <c r="AO151" s="29"/>
      <c r="AP151" s="45">
        <f t="shared" si="1"/>
        <v>4100</v>
      </c>
      <c r="AQ151" s="41">
        <f t="shared" si="2"/>
        <v>200</v>
      </c>
      <c r="AR151" s="41">
        <f t="shared" si="3"/>
        <v>100</v>
      </c>
      <c r="AS151" s="41">
        <f t="shared" si="4"/>
        <v>300</v>
      </c>
      <c r="AT151" s="46">
        <f t="shared" si="5"/>
        <v>13.66666667</v>
      </c>
      <c r="AU151" s="37"/>
      <c r="AV151" s="37"/>
      <c r="AW151" s="37"/>
    </row>
    <row r="152" ht="15.75" customHeight="1">
      <c r="A152" s="39" t="s">
        <v>28</v>
      </c>
      <c r="B152" s="40">
        <f t="shared" si="6"/>
        <v>44712</v>
      </c>
      <c r="C152" s="41">
        <v>6.0</v>
      </c>
      <c r="D152" s="41" t="s">
        <v>33</v>
      </c>
      <c r="E152" s="43" t="s">
        <v>39</v>
      </c>
      <c r="F152" s="26"/>
      <c r="H152" s="27"/>
      <c r="J152" s="27"/>
      <c r="L152" s="27"/>
      <c r="N152" s="27"/>
      <c r="P152" s="27"/>
      <c r="Q152" s="29"/>
      <c r="R152" s="26">
        <v>100.0</v>
      </c>
      <c r="T152" s="27">
        <v>100.0</v>
      </c>
      <c r="V152" s="27">
        <v>0.0</v>
      </c>
      <c r="X152" s="27">
        <v>0.0</v>
      </c>
      <c r="Z152" s="27">
        <v>0.0</v>
      </c>
      <c r="AB152" s="27">
        <v>100.0</v>
      </c>
      <c r="AC152" s="29"/>
      <c r="AD152" s="26"/>
      <c r="AF152" s="27"/>
      <c r="AH152" s="27"/>
      <c r="AJ152" s="27"/>
      <c r="AL152" s="27"/>
      <c r="AN152" s="27"/>
      <c r="AO152" s="29"/>
      <c r="AP152" s="45">
        <f t="shared" si="1"/>
        <v>4100</v>
      </c>
      <c r="AQ152" s="41">
        <f t="shared" si="2"/>
        <v>200</v>
      </c>
      <c r="AR152" s="41">
        <f t="shared" si="3"/>
        <v>100</v>
      </c>
      <c r="AS152" s="41">
        <f t="shared" si="4"/>
        <v>300</v>
      </c>
      <c r="AT152" s="46">
        <f t="shared" si="5"/>
        <v>13.66666667</v>
      </c>
      <c r="AU152" s="37"/>
      <c r="AV152" s="37"/>
      <c r="AW152" s="37"/>
    </row>
    <row r="153" ht="15.75" customHeight="1">
      <c r="A153" s="39" t="s">
        <v>29</v>
      </c>
      <c r="B153" s="40">
        <f t="shared" si="6"/>
        <v>44713</v>
      </c>
      <c r="C153" s="41">
        <v>6.0</v>
      </c>
      <c r="D153" s="41" t="s">
        <v>33</v>
      </c>
      <c r="E153" s="43" t="s">
        <v>39</v>
      </c>
      <c r="F153" s="26"/>
      <c r="H153" s="27"/>
      <c r="J153" s="27"/>
      <c r="L153" s="27"/>
      <c r="N153" s="27"/>
      <c r="P153" s="27"/>
      <c r="Q153" s="29"/>
      <c r="R153" s="26">
        <v>100.0</v>
      </c>
      <c r="T153" s="27">
        <v>100.0</v>
      </c>
      <c r="V153" s="27">
        <v>0.0</v>
      </c>
      <c r="X153" s="27">
        <v>0.0</v>
      </c>
      <c r="Z153" s="27">
        <v>0.0</v>
      </c>
      <c r="AB153" s="27">
        <v>100.0</v>
      </c>
      <c r="AC153" s="29"/>
      <c r="AD153" s="26"/>
      <c r="AF153" s="27"/>
      <c r="AH153" s="27"/>
      <c r="AJ153" s="27"/>
      <c r="AL153" s="27"/>
      <c r="AN153" s="27"/>
      <c r="AO153" s="29"/>
      <c r="AP153" s="45">
        <f t="shared" si="1"/>
        <v>4100</v>
      </c>
      <c r="AQ153" s="41">
        <f t="shared" si="2"/>
        <v>200</v>
      </c>
      <c r="AR153" s="41">
        <f t="shared" si="3"/>
        <v>100</v>
      </c>
      <c r="AS153" s="41">
        <f t="shared" si="4"/>
        <v>300</v>
      </c>
      <c r="AT153" s="46">
        <f t="shared" si="5"/>
        <v>13.66666667</v>
      </c>
      <c r="AU153" s="37"/>
      <c r="AV153" s="37"/>
      <c r="AW153" s="37"/>
    </row>
    <row r="154" ht="15.75" customHeight="1">
      <c r="A154" s="39" t="s">
        <v>30</v>
      </c>
      <c r="B154" s="40">
        <f t="shared" si="6"/>
        <v>44714</v>
      </c>
      <c r="C154" s="41">
        <v>6.0</v>
      </c>
      <c r="D154" s="41" t="s">
        <v>33</v>
      </c>
      <c r="E154" s="43" t="s">
        <v>39</v>
      </c>
      <c r="F154" s="26"/>
      <c r="H154" s="27"/>
      <c r="J154" s="27"/>
      <c r="L154" s="27"/>
      <c r="N154" s="27"/>
      <c r="P154" s="27"/>
      <c r="Q154" s="29"/>
      <c r="R154" s="26">
        <v>100.0</v>
      </c>
      <c r="T154" s="27">
        <v>100.0</v>
      </c>
      <c r="V154" s="27">
        <v>0.0</v>
      </c>
      <c r="X154" s="27">
        <v>0.0</v>
      </c>
      <c r="Z154" s="27">
        <v>0.0</v>
      </c>
      <c r="AB154" s="27">
        <v>100.0</v>
      </c>
      <c r="AC154" s="29"/>
      <c r="AD154" s="26"/>
      <c r="AF154" s="27"/>
      <c r="AH154" s="27"/>
      <c r="AJ154" s="27"/>
      <c r="AL154" s="27"/>
      <c r="AN154" s="27"/>
      <c r="AO154" s="29"/>
      <c r="AP154" s="45">
        <f t="shared" si="1"/>
        <v>4100</v>
      </c>
      <c r="AQ154" s="41">
        <f t="shared" si="2"/>
        <v>200</v>
      </c>
      <c r="AR154" s="41">
        <f t="shared" si="3"/>
        <v>100</v>
      </c>
      <c r="AS154" s="41">
        <f t="shared" si="4"/>
        <v>300</v>
      </c>
      <c r="AT154" s="46">
        <f t="shared" si="5"/>
        <v>13.66666667</v>
      </c>
      <c r="AU154" s="37"/>
      <c r="AV154" s="37"/>
      <c r="AW154" s="37"/>
    </row>
    <row r="155" ht="15.75" customHeight="1">
      <c r="A155" s="39" t="s">
        <v>31</v>
      </c>
      <c r="B155" s="40">
        <f t="shared" si="6"/>
        <v>44715</v>
      </c>
      <c r="C155" s="41">
        <v>6.0</v>
      </c>
      <c r="D155" s="41" t="s">
        <v>33</v>
      </c>
      <c r="E155" s="43" t="s">
        <v>39</v>
      </c>
      <c r="F155" s="26"/>
      <c r="H155" s="27"/>
      <c r="J155" s="27"/>
      <c r="L155" s="27"/>
      <c r="N155" s="27"/>
      <c r="P155" s="27"/>
      <c r="Q155" s="29"/>
      <c r="R155" s="26">
        <v>100.0</v>
      </c>
      <c r="T155" s="27">
        <v>100.0</v>
      </c>
      <c r="V155" s="27">
        <v>0.0</v>
      </c>
      <c r="X155" s="27">
        <v>0.0</v>
      </c>
      <c r="Z155" s="27">
        <v>0.0</v>
      </c>
      <c r="AB155" s="27">
        <v>100.0</v>
      </c>
      <c r="AC155" s="29"/>
      <c r="AD155" s="26"/>
      <c r="AF155" s="27"/>
      <c r="AH155" s="27"/>
      <c r="AJ155" s="27"/>
      <c r="AL155" s="27"/>
      <c r="AN155" s="27"/>
      <c r="AO155" s="29"/>
      <c r="AP155" s="45">
        <f t="shared" si="1"/>
        <v>4100</v>
      </c>
      <c r="AQ155" s="41">
        <f t="shared" si="2"/>
        <v>200</v>
      </c>
      <c r="AR155" s="41">
        <f t="shared" si="3"/>
        <v>100</v>
      </c>
      <c r="AS155" s="41">
        <f t="shared" si="4"/>
        <v>300</v>
      </c>
      <c r="AT155" s="46">
        <f t="shared" si="5"/>
        <v>13.66666667</v>
      </c>
      <c r="AU155" s="37"/>
      <c r="AV155" s="37"/>
      <c r="AW155" s="37"/>
    </row>
    <row r="156" ht="15.75" customHeight="1">
      <c r="A156" s="49" t="s">
        <v>32</v>
      </c>
      <c r="B156" s="50">
        <f t="shared" si="6"/>
        <v>44716</v>
      </c>
      <c r="C156" s="51">
        <v>6.0</v>
      </c>
      <c r="D156" s="51" t="s">
        <v>33</v>
      </c>
      <c r="E156" s="53" t="s">
        <v>39</v>
      </c>
      <c r="F156" s="54"/>
      <c r="G156" s="55"/>
      <c r="H156" s="56"/>
      <c r="I156" s="55"/>
      <c r="J156" s="56"/>
      <c r="K156" s="55"/>
      <c r="L156" s="56"/>
      <c r="M156" s="55"/>
      <c r="N156" s="56"/>
      <c r="O156" s="55"/>
      <c r="P156" s="56"/>
      <c r="Q156" s="58"/>
      <c r="R156" s="54">
        <v>0.0</v>
      </c>
      <c r="S156" s="55"/>
      <c r="T156" s="56">
        <v>0.0</v>
      </c>
      <c r="U156" s="55"/>
      <c r="V156" s="56">
        <v>0.0</v>
      </c>
      <c r="W156" s="55"/>
      <c r="X156" s="56">
        <v>0.0</v>
      </c>
      <c r="Y156" s="55"/>
      <c r="Z156" s="56">
        <v>0.0</v>
      </c>
      <c r="AA156" s="55"/>
      <c r="AB156" s="56">
        <v>0.0</v>
      </c>
      <c r="AC156" s="58"/>
      <c r="AD156" s="54"/>
      <c r="AE156" s="55"/>
      <c r="AF156" s="56"/>
      <c r="AG156" s="55"/>
      <c r="AH156" s="56"/>
      <c r="AI156" s="55"/>
      <c r="AJ156" s="56"/>
      <c r="AK156" s="55"/>
      <c r="AL156" s="56"/>
      <c r="AM156" s="55"/>
      <c r="AN156" s="56"/>
      <c r="AO156" s="58"/>
      <c r="AP156" s="60">
        <f t="shared" si="1"/>
        <v>0</v>
      </c>
      <c r="AQ156" s="51">
        <f t="shared" si="2"/>
        <v>0</v>
      </c>
      <c r="AR156" s="51">
        <f t="shared" si="3"/>
        <v>0</v>
      </c>
      <c r="AS156" s="51">
        <f t="shared" si="4"/>
        <v>0</v>
      </c>
      <c r="AT156" s="61" t="str">
        <f t="shared" si="5"/>
        <v/>
      </c>
      <c r="AU156" s="37"/>
      <c r="AV156" s="37"/>
      <c r="AW156" s="37"/>
    </row>
    <row r="157" ht="15.75" customHeight="1">
      <c r="A157" s="21" t="s">
        <v>24</v>
      </c>
      <c r="B157" s="62">
        <f t="shared" si="6"/>
        <v>44717</v>
      </c>
      <c r="C157" s="23">
        <v>6.0</v>
      </c>
      <c r="D157" s="23" t="s">
        <v>34</v>
      </c>
      <c r="E157" s="63" t="s">
        <v>39</v>
      </c>
      <c r="F157" s="26"/>
      <c r="H157" s="27"/>
      <c r="J157" s="27"/>
      <c r="L157" s="27"/>
      <c r="N157" s="27"/>
      <c r="P157" s="27"/>
      <c r="Q157" s="29"/>
      <c r="R157" s="26">
        <v>100.0</v>
      </c>
      <c r="T157" s="27">
        <v>100.0</v>
      </c>
      <c r="V157" s="27">
        <v>0.0</v>
      </c>
      <c r="X157" s="27">
        <v>0.0</v>
      </c>
      <c r="Z157" s="27">
        <v>0.0</v>
      </c>
      <c r="AB157" s="27">
        <v>100.0</v>
      </c>
      <c r="AC157" s="29"/>
      <c r="AD157" s="26"/>
      <c r="AF157" s="27"/>
      <c r="AH157" s="27"/>
      <c r="AJ157" s="27"/>
      <c r="AL157" s="27"/>
      <c r="AN157" s="27"/>
      <c r="AO157" s="29"/>
      <c r="AP157" s="35">
        <f t="shared" si="1"/>
        <v>4100</v>
      </c>
      <c r="AQ157" s="23">
        <f t="shared" si="2"/>
        <v>200</v>
      </c>
      <c r="AR157" s="23">
        <f t="shared" si="3"/>
        <v>100</v>
      </c>
      <c r="AS157" s="23">
        <f t="shared" si="4"/>
        <v>300</v>
      </c>
      <c r="AT157" s="36">
        <f t="shared" si="5"/>
        <v>13.66666667</v>
      </c>
      <c r="AU157" s="37"/>
      <c r="AV157" s="37"/>
      <c r="AW157" s="37"/>
    </row>
    <row r="158" ht="15.75" customHeight="1">
      <c r="A158" s="39" t="s">
        <v>27</v>
      </c>
      <c r="B158" s="40">
        <f t="shared" si="6"/>
        <v>44718</v>
      </c>
      <c r="C158" s="41">
        <v>6.0</v>
      </c>
      <c r="D158" s="41" t="s">
        <v>34</v>
      </c>
      <c r="E158" s="43" t="s">
        <v>39</v>
      </c>
      <c r="F158" s="26"/>
      <c r="H158" s="27"/>
      <c r="J158" s="27"/>
      <c r="L158" s="27"/>
      <c r="N158" s="27"/>
      <c r="P158" s="27"/>
      <c r="Q158" s="29"/>
      <c r="R158" s="26">
        <v>100.0</v>
      </c>
      <c r="T158" s="27">
        <v>100.0</v>
      </c>
      <c r="V158" s="27">
        <v>0.0</v>
      </c>
      <c r="X158" s="27">
        <v>0.0</v>
      </c>
      <c r="Z158" s="27">
        <v>0.0</v>
      </c>
      <c r="AB158" s="27">
        <v>100.0</v>
      </c>
      <c r="AC158" s="29"/>
      <c r="AD158" s="26"/>
      <c r="AF158" s="27"/>
      <c r="AH158" s="27"/>
      <c r="AJ158" s="27"/>
      <c r="AL158" s="27"/>
      <c r="AN158" s="27"/>
      <c r="AO158" s="29"/>
      <c r="AP158" s="45">
        <f t="shared" si="1"/>
        <v>4100</v>
      </c>
      <c r="AQ158" s="41">
        <f t="shared" si="2"/>
        <v>200</v>
      </c>
      <c r="AR158" s="41">
        <f t="shared" si="3"/>
        <v>100</v>
      </c>
      <c r="AS158" s="41">
        <f t="shared" si="4"/>
        <v>300</v>
      </c>
      <c r="AT158" s="46">
        <f t="shared" si="5"/>
        <v>13.66666667</v>
      </c>
      <c r="AU158" s="37"/>
      <c r="AV158" s="37"/>
      <c r="AW158" s="37"/>
    </row>
    <row r="159" ht="15.75" customHeight="1">
      <c r="A159" s="39" t="s">
        <v>28</v>
      </c>
      <c r="B159" s="40">
        <f t="shared" si="6"/>
        <v>44719</v>
      </c>
      <c r="C159" s="41">
        <v>6.0</v>
      </c>
      <c r="D159" s="41" t="s">
        <v>34</v>
      </c>
      <c r="E159" s="43" t="s">
        <v>39</v>
      </c>
      <c r="F159" s="26"/>
      <c r="H159" s="27"/>
      <c r="J159" s="27"/>
      <c r="L159" s="27"/>
      <c r="N159" s="27"/>
      <c r="P159" s="27"/>
      <c r="Q159" s="29"/>
      <c r="R159" s="26">
        <v>100.0</v>
      </c>
      <c r="T159" s="27">
        <v>100.0</v>
      </c>
      <c r="V159" s="27">
        <v>0.0</v>
      </c>
      <c r="X159" s="27">
        <v>0.0</v>
      </c>
      <c r="Z159" s="27">
        <v>0.0</v>
      </c>
      <c r="AB159" s="27">
        <v>100.0</v>
      </c>
      <c r="AC159" s="29"/>
      <c r="AD159" s="26"/>
      <c r="AF159" s="27"/>
      <c r="AH159" s="27"/>
      <c r="AJ159" s="27"/>
      <c r="AL159" s="27"/>
      <c r="AN159" s="27"/>
      <c r="AO159" s="29"/>
      <c r="AP159" s="45">
        <f t="shared" si="1"/>
        <v>4100</v>
      </c>
      <c r="AQ159" s="41">
        <f t="shared" si="2"/>
        <v>200</v>
      </c>
      <c r="AR159" s="41">
        <f t="shared" si="3"/>
        <v>100</v>
      </c>
      <c r="AS159" s="41">
        <f t="shared" si="4"/>
        <v>300</v>
      </c>
      <c r="AT159" s="46">
        <f t="shared" si="5"/>
        <v>13.66666667</v>
      </c>
      <c r="AU159" s="37"/>
      <c r="AV159" s="37"/>
      <c r="AW159" s="37"/>
    </row>
    <row r="160" ht="15.75" customHeight="1">
      <c r="A160" s="39" t="s">
        <v>29</v>
      </c>
      <c r="B160" s="40">
        <f t="shared" si="6"/>
        <v>44720</v>
      </c>
      <c r="C160" s="41">
        <v>6.0</v>
      </c>
      <c r="D160" s="41" t="s">
        <v>34</v>
      </c>
      <c r="E160" s="43" t="s">
        <v>39</v>
      </c>
      <c r="F160" s="26"/>
      <c r="H160" s="27"/>
      <c r="J160" s="27"/>
      <c r="L160" s="27"/>
      <c r="N160" s="27"/>
      <c r="P160" s="27"/>
      <c r="Q160" s="29"/>
      <c r="R160" s="26">
        <v>100.0</v>
      </c>
      <c r="T160" s="27">
        <v>100.0</v>
      </c>
      <c r="V160" s="27">
        <v>0.0</v>
      </c>
      <c r="X160" s="27">
        <v>0.0</v>
      </c>
      <c r="Z160" s="27">
        <v>0.0</v>
      </c>
      <c r="AB160" s="27">
        <v>100.0</v>
      </c>
      <c r="AC160" s="29"/>
      <c r="AD160" s="26"/>
      <c r="AF160" s="27"/>
      <c r="AH160" s="27"/>
      <c r="AJ160" s="27"/>
      <c r="AL160" s="27"/>
      <c r="AN160" s="27"/>
      <c r="AO160" s="29"/>
      <c r="AP160" s="45">
        <f t="shared" si="1"/>
        <v>4100</v>
      </c>
      <c r="AQ160" s="41">
        <f t="shared" si="2"/>
        <v>200</v>
      </c>
      <c r="AR160" s="41">
        <f t="shared" si="3"/>
        <v>100</v>
      </c>
      <c r="AS160" s="41">
        <f t="shared" si="4"/>
        <v>300</v>
      </c>
      <c r="AT160" s="46">
        <f t="shared" si="5"/>
        <v>13.66666667</v>
      </c>
      <c r="AU160" s="37"/>
      <c r="AV160" s="37"/>
      <c r="AW160" s="37"/>
    </row>
    <row r="161" ht="15.75" customHeight="1">
      <c r="A161" s="39" t="s">
        <v>30</v>
      </c>
      <c r="B161" s="40">
        <f t="shared" si="6"/>
        <v>44721</v>
      </c>
      <c r="C161" s="41">
        <v>6.0</v>
      </c>
      <c r="D161" s="41" t="s">
        <v>34</v>
      </c>
      <c r="E161" s="43" t="s">
        <v>39</v>
      </c>
      <c r="F161" s="26"/>
      <c r="H161" s="27"/>
      <c r="J161" s="27"/>
      <c r="L161" s="27"/>
      <c r="N161" s="27"/>
      <c r="P161" s="27"/>
      <c r="Q161" s="29"/>
      <c r="R161" s="26">
        <v>100.0</v>
      </c>
      <c r="T161" s="27">
        <v>100.0</v>
      </c>
      <c r="V161" s="27">
        <v>0.0</v>
      </c>
      <c r="X161" s="27">
        <v>0.0</v>
      </c>
      <c r="Z161" s="27">
        <v>0.0</v>
      </c>
      <c r="AB161" s="27">
        <v>100.0</v>
      </c>
      <c r="AC161" s="29"/>
      <c r="AD161" s="26"/>
      <c r="AF161" s="27"/>
      <c r="AH161" s="27"/>
      <c r="AJ161" s="27"/>
      <c r="AL161" s="27"/>
      <c r="AN161" s="27"/>
      <c r="AO161" s="29"/>
      <c r="AP161" s="45">
        <f t="shared" si="1"/>
        <v>4100</v>
      </c>
      <c r="AQ161" s="41">
        <f t="shared" si="2"/>
        <v>200</v>
      </c>
      <c r="AR161" s="41">
        <f t="shared" si="3"/>
        <v>100</v>
      </c>
      <c r="AS161" s="41">
        <f t="shared" si="4"/>
        <v>300</v>
      </c>
      <c r="AT161" s="46">
        <f t="shared" si="5"/>
        <v>13.66666667</v>
      </c>
      <c r="AU161" s="37"/>
      <c r="AV161" s="37"/>
      <c r="AW161" s="37"/>
    </row>
    <row r="162" ht="15.75" customHeight="1">
      <c r="A162" s="39" t="s">
        <v>31</v>
      </c>
      <c r="B162" s="40">
        <f t="shared" si="6"/>
        <v>44722</v>
      </c>
      <c r="C162" s="41">
        <v>6.0</v>
      </c>
      <c r="D162" s="41" t="s">
        <v>34</v>
      </c>
      <c r="E162" s="43" t="s">
        <v>39</v>
      </c>
      <c r="F162" s="26"/>
      <c r="H162" s="27"/>
      <c r="J162" s="27"/>
      <c r="L162" s="27"/>
      <c r="N162" s="27"/>
      <c r="P162" s="27"/>
      <c r="Q162" s="29"/>
      <c r="R162" s="26">
        <v>100.0</v>
      </c>
      <c r="T162" s="27">
        <v>100.0</v>
      </c>
      <c r="V162" s="27">
        <v>0.0</v>
      </c>
      <c r="X162" s="27">
        <v>0.0</v>
      </c>
      <c r="Z162" s="27">
        <v>0.0</v>
      </c>
      <c r="AB162" s="27">
        <v>100.0</v>
      </c>
      <c r="AC162" s="29"/>
      <c r="AD162" s="26"/>
      <c r="AF162" s="27"/>
      <c r="AH162" s="27"/>
      <c r="AJ162" s="27"/>
      <c r="AL162" s="27"/>
      <c r="AN162" s="27"/>
      <c r="AO162" s="29"/>
      <c r="AP162" s="45">
        <f t="shared" si="1"/>
        <v>4100</v>
      </c>
      <c r="AQ162" s="41">
        <f t="shared" si="2"/>
        <v>200</v>
      </c>
      <c r="AR162" s="41">
        <f t="shared" si="3"/>
        <v>100</v>
      </c>
      <c r="AS162" s="41">
        <f t="shared" si="4"/>
        <v>300</v>
      </c>
      <c r="AT162" s="46">
        <f t="shared" si="5"/>
        <v>13.66666667</v>
      </c>
      <c r="AU162" s="37"/>
      <c r="AV162" s="37"/>
      <c r="AW162" s="37"/>
    </row>
    <row r="163" ht="15.75" customHeight="1">
      <c r="A163" s="49" t="s">
        <v>32</v>
      </c>
      <c r="B163" s="50">
        <f t="shared" si="6"/>
        <v>44723</v>
      </c>
      <c r="C163" s="51">
        <v>6.0</v>
      </c>
      <c r="D163" s="51" t="s">
        <v>34</v>
      </c>
      <c r="E163" s="53" t="s">
        <v>39</v>
      </c>
      <c r="F163" s="54"/>
      <c r="G163" s="55"/>
      <c r="H163" s="56"/>
      <c r="I163" s="55"/>
      <c r="J163" s="56"/>
      <c r="K163" s="55"/>
      <c r="L163" s="56"/>
      <c r="M163" s="55"/>
      <c r="N163" s="56"/>
      <c r="O163" s="55"/>
      <c r="P163" s="56"/>
      <c r="Q163" s="58"/>
      <c r="R163" s="54">
        <v>0.0</v>
      </c>
      <c r="S163" s="55"/>
      <c r="T163" s="56">
        <v>0.0</v>
      </c>
      <c r="U163" s="55"/>
      <c r="V163" s="56">
        <v>0.0</v>
      </c>
      <c r="W163" s="55"/>
      <c r="X163" s="56">
        <v>0.0</v>
      </c>
      <c r="Y163" s="55"/>
      <c r="Z163" s="56">
        <v>0.0</v>
      </c>
      <c r="AA163" s="55"/>
      <c r="AB163" s="56">
        <v>0.0</v>
      </c>
      <c r="AC163" s="58"/>
      <c r="AD163" s="54"/>
      <c r="AE163" s="55"/>
      <c r="AF163" s="56"/>
      <c r="AG163" s="55"/>
      <c r="AH163" s="56"/>
      <c r="AI163" s="55"/>
      <c r="AJ163" s="56"/>
      <c r="AK163" s="55"/>
      <c r="AL163" s="56"/>
      <c r="AM163" s="55"/>
      <c r="AN163" s="56"/>
      <c r="AO163" s="58"/>
      <c r="AP163" s="60">
        <f t="shared" si="1"/>
        <v>0</v>
      </c>
      <c r="AQ163" s="51">
        <f t="shared" si="2"/>
        <v>0</v>
      </c>
      <c r="AR163" s="51">
        <f t="shared" si="3"/>
        <v>0</v>
      </c>
      <c r="AS163" s="51">
        <f t="shared" si="4"/>
        <v>0</v>
      </c>
      <c r="AT163" s="61" t="str">
        <f t="shared" si="5"/>
        <v/>
      </c>
      <c r="AU163" s="37"/>
      <c r="AV163" s="37"/>
      <c r="AW163" s="37"/>
    </row>
    <row r="164" ht="15.75" customHeight="1">
      <c r="A164" s="21" t="s">
        <v>24</v>
      </c>
      <c r="B164" s="62">
        <f t="shared" si="6"/>
        <v>44724</v>
      </c>
      <c r="C164" s="23">
        <v>6.0</v>
      </c>
      <c r="D164" s="23" t="s">
        <v>35</v>
      </c>
      <c r="E164" s="63" t="s">
        <v>39</v>
      </c>
      <c r="F164" s="26"/>
      <c r="H164" s="27"/>
      <c r="J164" s="27"/>
      <c r="L164" s="27"/>
      <c r="N164" s="27"/>
      <c r="P164" s="27"/>
      <c r="Q164" s="29"/>
      <c r="R164" s="26">
        <v>0.0</v>
      </c>
      <c r="T164" s="27">
        <v>100.0</v>
      </c>
      <c r="V164" s="27">
        <v>75.0</v>
      </c>
      <c r="X164" s="27">
        <v>100.0</v>
      </c>
      <c r="Z164" s="27">
        <v>100.0</v>
      </c>
      <c r="AB164" s="27">
        <v>0.0</v>
      </c>
      <c r="AC164" s="29"/>
      <c r="AD164" s="26"/>
      <c r="AF164" s="27"/>
      <c r="AH164" s="27"/>
      <c r="AJ164" s="27"/>
      <c r="AL164" s="27"/>
      <c r="AN164" s="27"/>
      <c r="AO164" s="29"/>
      <c r="AP164" s="35">
        <f t="shared" si="1"/>
        <v>5075</v>
      </c>
      <c r="AQ164" s="23">
        <f t="shared" si="2"/>
        <v>375</v>
      </c>
      <c r="AR164" s="23">
        <f t="shared" si="3"/>
        <v>0</v>
      </c>
      <c r="AS164" s="23">
        <f t="shared" si="4"/>
        <v>375</v>
      </c>
      <c r="AT164" s="36">
        <f t="shared" si="5"/>
        <v>13.53333333</v>
      </c>
      <c r="AU164" s="37"/>
      <c r="AV164" s="37"/>
      <c r="AW164" s="37"/>
    </row>
    <row r="165" ht="15.75" customHeight="1">
      <c r="A165" s="39" t="s">
        <v>27</v>
      </c>
      <c r="B165" s="40">
        <f t="shared" si="6"/>
        <v>44725</v>
      </c>
      <c r="C165" s="41">
        <v>6.0</v>
      </c>
      <c r="D165" s="41" t="s">
        <v>35</v>
      </c>
      <c r="E165" s="43" t="s">
        <v>39</v>
      </c>
      <c r="F165" s="26"/>
      <c r="H165" s="27"/>
      <c r="J165" s="27"/>
      <c r="L165" s="27"/>
      <c r="N165" s="27"/>
      <c r="P165" s="27"/>
      <c r="Q165" s="29"/>
      <c r="R165" s="26">
        <v>0.0</v>
      </c>
      <c r="T165" s="27">
        <v>100.0</v>
      </c>
      <c r="V165" s="27">
        <v>75.0</v>
      </c>
      <c r="X165" s="27">
        <v>100.0</v>
      </c>
      <c r="Z165" s="27">
        <v>100.0</v>
      </c>
      <c r="AB165" s="27">
        <v>0.0</v>
      </c>
      <c r="AC165" s="29"/>
      <c r="AD165" s="26"/>
      <c r="AF165" s="27"/>
      <c r="AH165" s="27"/>
      <c r="AJ165" s="27"/>
      <c r="AL165" s="27"/>
      <c r="AN165" s="27"/>
      <c r="AO165" s="29"/>
      <c r="AP165" s="45">
        <f t="shared" si="1"/>
        <v>5075</v>
      </c>
      <c r="AQ165" s="41">
        <f t="shared" si="2"/>
        <v>375</v>
      </c>
      <c r="AR165" s="41">
        <f t="shared" si="3"/>
        <v>0</v>
      </c>
      <c r="AS165" s="41">
        <f t="shared" si="4"/>
        <v>375</v>
      </c>
      <c r="AT165" s="46">
        <f t="shared" si="5"/>
        <v>13.53333333</v>
      </c>
      <c r="AU165" s="37"/>
      <c r="AV165" s="37"/>
      <c r="AW165" s="37"/>
    </row>
    <row r="166" ht="15.75" customHeight="1">
      <c r="A166" s="39" t="s">
        <v>28</v>
      </c>
      <c r="B166" s="40">
        <f t="shared" si="6"/>
        <v>44726</v>
      </c>
      <c r="C166" s="41">
        <v>6.0</v>
      </c>
      <c r="D166" s="41" t="s">
        <v>35</v>
      </c>
      <c r="E166" s="43" t="s">
        <v>39</v>
      </c>
      <c r="F166" s="26"/>
      <c r="H166" s="27"/>
      <c r="J166" s="27"/>
      <c r="L166" s="27"/>
      <c r="N166" s="27"/>
      <c r="P166" s="27"/>
      <c r="Q166" s="29"/>
      <c r="R166" s="26">
        <v>0.0</v>
      </c>
      <c r="T166" s="27">
        <v>100.0</v>
      </c>
      <c r="V166" s="27">
        <v>75.0</v>
      </c>
      <c r="X166" s="27">
        <v>100.0</v>
      </c>
      <c r="Z166" s="27">
        <v>100.0</v>
      </c>
      <c r="AB166" s="27">
        <v>0.0</v>
      </c>
      <c r="AC166" s="29"/>
      <c r="AD166" s="26"/>
      <c r="AF166" s="27"/>
      <c r="AH166" s="27"/>
      <c r="AJ166" s="27"/>
      <c r="AL166" s="27"/>
      <c r="AN166" s="27"/>
      <c r="AO166" s="29"/>
      <c r="AP166" s="45">
        <f t="shared" si="1"/>
        <v>5075</v>
      </c>
      <c r="AQ166" s="41">
        <f t="shared" si="2"/>
        <v>375</v>
      </c>
      <c r="AR166" s="41">
        <f t="shared" si="3"/>
        <v>0</v>
      </c>
      <c r="AS166" s="41">
        <f t="shared" si="4"/>
        <v>375</v>
      </c>
      <c r="AT166" s="46">
        <f t="shared" si="5"/>
        <v>13.53333333</v>
      </c>
      <c r="AU166" s="37"/>
      <c r="AV166" s="37"/>
      <c r="AW166" s="37"/>
    </row>
    <row r="167" ht="15.75" customHeight="1">
      <c r="A167" s="39" t="s">
        <v>29</v>
      </c>
      <c r="B167" s="40">
        <f t="shared" si="6"/>
        <v>44727</v>
      </c>
      <c r="C167" s="41">
        <v>6.0</v>
      </c>
      <c r="D167" s="41" t="s">
        <v>35</v>
      </c>
      <c r="E167" s="43" t="s">
        <v>39</v>
      </c>
      <c r="F167" s="26"/>
      <c r="H167" s="27"/>
      <c r="J167" s="27"/>
      <c r="L167" s="27"/>
      <c r="N167" s="27"/>
      <c r="P167" s="27"/>
      <c r="Q167" s="29"/>
      <c r="R167" s="26">
        <v>0.0</v>
      </c>
      <c r="T167" s="27">
        <v>100.0</v>
      </c>
      <c r="V167" s="27">
        <v>75.0</v>
      </c>
      <c r="X167" s="27">
        <v>100.0</v>
      </c>
      <c r="Z167" s="27">
        <v>100.0</v>
      </c>
      <c r="AB167" s="27">
        <v>0.0</v>
      </c>
      <c r="AC167" s="29"/>
      <c r="AD167" s="26"/>
      <c r="AF167" s="27"/>
      <c r="AH167" s="27"/>
      <c r="AJ167" s="27"/>
      <c r="AL167" s="27"/>
      <c r="AN167" s="27"/>
      <c r="AO167" s="29"/>
      <c r="AP167" s="45">
        <f t="shared" si="1"/>
        <v>5075</v>
      </c>
      <c r="AQ167" s="41">
        <f t="shared" si="2"/>
        <v>375</v>
      </c>
      <c r="AR167" s="41">
        <f t="shared" si="3"/>
        <v>0</v>
      </c>
      <c r="AS167" s="41">
        <f t="shared" si="4"/>
        <v>375</v>
      </c>
      <c r="AT167" s="46">
        <f t="shared" si="5"/>
        <v>13.53333333</v>
      </c>
      <c r="AU167" s="37"/>
      <c r="AV167" s="37"/>
      <c r="AW167" s="37"/>
    </row>
    <row r="168" ht="15.75" customHeight="1">
      <c r="A168" s="39" t="s">
        <v>30</v>
      </c>
      <c r="B168" s="40">
        <f t="shared" si="6"/>
        <v>44728</v>
      </c>
      <c r="C168" s="41">
        <v>6.0</v>
      </c>
      <c r="D168" s="41" t="s">
        <v>35</v>
      </c>
      <c r="E168" s="43" t="s">
        <v>39</v>
      </c>
      <c r="F168" s="26"/>
      <c r="H168" s="27"/>
      <c r="J168" s="27"/>
      <c r="L168" s="27"/>
      <c r="N168" s="27"/>
      <c r="P168" s="27"/>
      <c r="Q168" s="29"/>
      <c r="R168" s="26">
        <v>0.0</v>
      </c>
      <c r="T168" s="27">
        <v>100.0</v>
      </c>
      <c r="V168" s="27">
        <v>75.0</v>
      </c>
      <c r="X168" s="27">
        <v>100.0</v>
      </c>
      <c r="Z168" s="27">
        <v>100.0</v>
      </c>
      <c r="AB168" s="27">
        <v>0.0</v>
      </c>
      <c r="AC168" s="29"/>
      <c r="AD168" s="26"/>
      <c r="AF168" s="27"/>
      <c r="AH168" s="27"/>
      <c r="AJ168" s="27"/>
      <c r="AL168" s="27"/>
      <c r="AN168" s="27"/>
      <c r="AO168" s="29"/>
      <c r="AP168" s="45">
        <f t="shared" si="1"/>
        <v>5075</v>
      </c>
      <c r="AQ168" s="41">
        <f t="shared" si="2"/>
        <v>375</v>
      </c>
      <c r="AR168" s="41">
        <f t="shared" si="3"/>
        <v>0</v>
      </c>
      <c r="AS168" s="41">
        <f t="shared" si="4"/>
        <v>375</v>
      </c>
      <c r="AT168" s="46">
        <f t="shared" si="5"/>
        <v>13.53333333</v>
      </c>
      <c r="AU168" s="37"/>
      <c r="AV168" s="37"/>
      <c r="AW168" s="37"/>
    </row>
    <row r="169" ht="15.75" customHeight="1">
      <c r="A169" s="39" t="s">
        <v>31</v>
      </c>
      <c r="B169" s="40">
        <f t="shared" si="6"/>
        <v>44729</v>
      </c>
      <c r="C169" s="41">
        <v>6.0</v>
      </c>
      <c r="D169" s="41" t="s">
        <v>35</v>
      </c>
      <c r="E169" s="43" t="s">
        <v>39</v>
      </c>
      <c r="F169" s="26"/>
      <c r="H169" s="27"/>
      <c r="J169" s="27"/>
      <c r="L169" s="27"/>
      <c r="N169" s="27"/>
      <c r="P169" s="27"/>
      <c r="Q169" s="29"/>
      <c r="R169" s="26">
        <v>0.0</v>
      </c>
      <c r="T169" s="27">
        <v>100.0</v>
      </c>
      <c r="V169" s="27">
        <v>75.0</v>
      </c>
      <c r="X169" s="27">
        <v>100.0</v>
      </c>
      <c r="Z169" s="27">
        <v>100.0</v>
      </c>
      <c r="AB169" s="27">
        <v>0.0</v>
      </c>
      <c r="AC169" s="29"/>
      <c r="AD169" s="26"/>
      <c r="AF169" s="27"/>
      <c r="AH169" s="27"/>
      <c r="AJ169" s="27"/>
      <c r="AL169" s="27"/>
      <c r="AN169" s="27"/>
      <c r="AO169" s="29"/>
      <c r="AP169" s="45">
        <f t="shared" si="1"/>
        <v>5075</v>
      </c>
      <c r="AQ169" s="41">
        <f t="shared" si="2"/>
        <v>375</v>
      </c>
      <c r="AR169" s="41">
        <f t="shared" si="3"/>
        <v>0</v>
      </c>
      <c r="AS169" s="41">
        <f t="shared" si="4"/>
        <v>375</v>
      </c>
      <c r="AT169" s="46">
        <f t="shared" si="5"/>
        <v>13.53333333</v>
      </c>
      <c r="AU169" s="37"/>
      <c r="AV169" s="37"/>
      <c r="AW169" s="37"/>
    </row>
    <row r="170" ht="15.75" customHeight="1">
      <c r="A170" s="49" t="s">
        <v>32</v>
      </c>
      <c r="B170" s="50">
        <f t="shared" si="6"/>
        <v>44730</v>
      </c>
      <c r="C170" s="51">
        <v>6.0</v>
      </c>
      <c r="D170" s="51" t="s">
        <v>35</v>
      </c>
      <c r="E170" s="53" t="s">
        <v>39</v>
      </c>
      <c r="F170" s="54"/>
      <c r="G170" s="55"/>
      <c r="H170" s="56"/>
      <c r="I170" s="55"/>
      <c r="J170" s="56"/>
      <c r="K170" s="55"/>
      <c r="L170" s="56"/>
      <c r="M170" s="55"/>
      <c r="N170" s="56"/>
      <c r="O170" s="55"/>
      <c r="P170" s="56"/>
      <c r="Q170" s="58"/>
      <c r="R170" s="54">
        <v>0.0</v>
      </c>
      <c r="S170" s="55"/>
      <c r="T170" s="56">
        <v>0.0</v>
      </c>
      <c r="U170" s="55"/>
      <c r="V170" s="56">
        <v>0.0</v>
      </c>
      <c r="W170" s="55"/>
      <c r="X170" s="56">
        <v>0.0</v>
      </c>
      <c r="Y170" s="55"/>
      <c r="Z170" s="56">
        <v>0.0</v>
      </c>
      <c r="AA170" s="55"/>
      <c r="AB170" s="56">
        <v>0.0</v>
      </c>
      <c r="AC170" s="58"/>
      <c r="AD170" s="54"/>
      <c r="AE170" s="55"/>
      <c r="AF170" s="56"/>
      <c r="AG170" s="55"/>
      <c r="AH170" s="56"/>
      <c r="AI170" s="55"/>
      <c r="AJ170" s="56"/>
      <c r="AK170" s="55"/>
      <c r="AL170" s="56"/>
      <c r="AM170" s="55"/>
      <c r="AN170" s="56"/>
      <c r="AO170" s="58"/>
      <c r="AP170" s="60">
        <f t="shared" si="1"/>
        <v>0</v>
      </c>
      <c r="AQ170" s="51">
        <f t="shared" si="2"/>
        <v>0</v>
      </c>
      <c r="AR170" s="51">
        <f t="shared" si="3"/>
        <v>0</v>
      </c>
      <c r="AS170" s="51">
        <f t="shared" si="4"/>
        <v>0</v>
      </c>
      <c r="AT170" s="61" t="str">
        <f t="shared" si="5"/>
        <v/>
      </c>
      <c r="AU170" s="37"/>
      <c r="AV170" s="37"/>
      <c r="AW170" s="37"/>
    </row>
    <row r="171" ht="15.75" customHeight="1">
      <c r="A171" s="21" t="s">
        <v>24</v>
      </c>
      <c r="B171" s="62">
        <f t="shared" si="6"/>
        <v>44731</v>
      </c>
      <c r="C171" s="23">
        <v>7.0</v>
      </c>
      <c r="D171" s="23" t="s">
        <v>25</v>
      </c>
      <c r="E171" s="25" t="s">
        <v>40</v>
      </c>
      <c r="F171" s="26"/>
      <c r="H171" s="27"/>
      <c r="J171" s="27"/>
      <c r="L171" s="27"/>
      <c r="N171" s="27"/>
      <c r="P171" s="27"/>
      <c r="Q171" s="29"/>
      <c r="R171" s="26">
        <v>0.0</v>
      </c>
      <c r="T171" s="27">
        <v>100.0</v>
      </c>
      <c r="V171" s="27">
        <v>75.0</v>
      </c>
      <c r="X171" s="27">
        <v>100.0</v>
      </c>
      <c r="Z171" s="27">
        <v>100.0</v>
      </c>
      <c r="AB171" s="27">
        <v>0.0</v>
      </c>
      <c r="AC171" s="29"/>
      <c r="AD171" s="26"/>
      <c r="AF171" s="27"/>
      <c r="AH171" s="27"/>
      <c r="AJ171" s="27"/>
      <c r="AL171" s="27"/>
      <c r="AN171" s="27"/>
      <c r="AO171" s="29"/>
      <c r="AP171" s="35">
        <f t="shared" si="1"/>
        <v>5075</v>
      </c>
      <c r="AQ171" s="23">
        <f t="shared" si="2"/>
        <v>375</v>
      </c>
      <c r="AR171" s="23">
        <f t="shared" si="3"/>
        <v>0</v>
      </c>
      <c r="AS171" s="23">
        <f t="shared" si="4"/>
        <v>375</v>
      </c>
      <c r="AT171" s="36">
        <f t="shared" si="5"/>
        <v>13.53333333</v>
      </c>
      <c r="AU171" s="37"/>
      <c r="AV171" s="37"/>
      <c r="AW171" s="37"/>
    </row>
    <row r="172" ht="15.75" customHeight="1">
      <c r="A172" s="39" t="s">
        <v>27</v>
      </c>
      <c r="B172" s="40">
        <f t="shared" si="6"/>
        <v>44732</v>
      </c>
      <c r="C172" s="41">
        <v>7.0</v>
      </c>
      <c r="D172" s="41" t="s">
        <v>25</v>
      </c>
      <c r="E172" s="43" t="s">
        <v>40</v>
      </c>
      <c r="F172" s="26"/>
      <c r="H172" s="27"/>
      <c r="J172" s="27"/>
      <c r="L172" s="27"/>
      <c r="N172" s="27"/>
      <c r="P172" s="27"/>
      <c r="Q172" s="29"/>
      <c r="R172" s="26">
        <v>0.0</v>
      </c>
      <c r="T172" s="27">
        <v>100.0</v>
      </c>
      <c r="V172" s="27">
        <v>75.0</v>
      </c>
      <c r="X172" s="27">
        <v>100.0</v>
      </c>
      <c r="Z172" s="27">
        <v>100.0</v>
      </c>
      <c r="AB172" s="27">
        <v>0.0</v>
      </c>
      <c r="AC172" s="29"/>
      <c r="AD172" s="26"/>
      <c r="AF172" s="27"/>
      <c r="AH172" s="27"/>
      <c r="AJ172" s="27"/>
      <c r="AL172" s="27"/>
      <c r="AN172" s="27"/>
      <c r="AO172" s="29"/>
      <c r="AP172" s="45">
        <f t="shared" si="1"/>
        <v>5075</v>
      </c>
      <c r="AQ172" s="41">
        <f t="shared" si="2"/>
        <v>375</v>
      </c>
      <c r="AR172" s="41">
        <f t="shared" si="3"/>
        <v>0</v>
      </c>
      <c r="AS172" s="41">
        <f t="shared" si="4"/>
        <v>375</v>
      </c>
      <c r="AT172" s="46">
        <f t="shared" si="5"/>
        <v>13.53333333</v>
      </c>
      <c r="AU172" s="37"/>
      <c r="AV172" s="37"/>
      <c r="AW172" s="37"/>
    </row>
    <row r="173" ht="15.75" customHeight="1">
      <c r="A173" s="39" t="s">
        <v>28</v>
      </c>
      <c r="B173" s="40">
        <f t="shared" si="6"/>
        <v>44733</v>
      </c>
      <c r="C173" s="41">
        <v>7.0</v>
      </c>
      <c r="D173" s="41" t="s">
        <v>25</v>
      </c>
      <c r="E173" s="43" t="s">
        <v>40</v>
      </c>
      <c r="F173" s="26"/>
      <c r="H173" s="27"/>
      <c r="J173" s="27"/>
      <c r="L173" s="27"/>
      <c r="N173" s="27"/>
      <c r="P173" s="27"/>
      <c r="Q173" s="29"/>
      <c r="R173" s="26">
        <v>0.0</v>
      </c>
      <c r="T173" s="27">
        <v>100.0</v>
      </c>
      <c r="V173" s="27">
        <v>75.0</v>
      </c>
      <c r="X173" s="27">
        <v>100.0</v>
      </c>
      <c r="Z173" s="27">
        <v>100.0</v>
      </c>
      <c r="AB173" s="27">
        <v>0.0</v>
      </c>
      <c r="AC173" s="29"/>
      <c r="AD173" s="26"/>
      <c r="AF173" s="27"/>
      <c r="AH173" s="27"/>
      <c r="AJ173" s="27"/>
      <c r="AL173" s="27"/>
      <c r="AN173" s="27"/>
      <c r="AO173" s="29"/>
      <c r="AP173" s="45">
        <f t="shared" si="1"/>
        <v>5075</v>
      </c>
      <c r="AQ173" s="41">
        <f t="shared" si="2"/>
        <v>375</v>
      </c>
      <c r="AR173" s="41">
        <f t="shared" si="3"/>
        <v>0</v>
      </c>
      <c r="AS173" s="41">
        <f t="shared" si="4"/>
        <v>375</v>
      </c>
      <c r="AT173" s="46">
        <f t="shared" si="5"/>
        <v>13.53333333</v>
      </c>
      <c r="AU173" s="37"/>
      <c r="AV173" s="37"/>
      <c r="AW173" s="37"/>
    </row>
    <row r="174" ht="15.75" customHeight="1">
      <c r="A174" s="39" t="s">
        <v>29</v>
      </c>
      <c r="B174" s="40">
        <f t="shared" si="6"/>
        <v>44734</v>
      </c>
      <c r="C174" s="41">
        <v>7.0</v>
      </c>
      <c r="D174" s="41" t="s">
        <v>25</v>
      </c>
      <c r="E174" s="43" t="s">
        <v>40</v>
      </c>
      <c r="F174" s="26"/>
      <c r="H174" s="27"/>
      <c r="J174" s="27"/>
      <c r="L174" s="27"/>
      <c r="N174" s="27"/>
      <c r="P174" s="27"/>
      <c r="Q174" s="29"/>
      <c r="R174" s="26">
        <v>0.0</v>
      </c>
      <c r="T174" s="27">
        <v>100.0</v>
      </c>
      <c r="V174" s="27">
        <v>75.0</v>
      </c>
      <c r="X174" s="27">
        <v>100.0</v>
      </c>
      <c r="Z174" s="27">
        <v>100.0</v>
      </c>
      <c r="AB174" s="27">
        <v>0.0</v>
      </c>
      <c r="AC174" s="29"/>
      <c r="AD174" s="26"/>
      <c r="AF174" s="27"/>
      <c r="AH174" s="27"/>
      <c r="AJ174" s="27"/>
      <c r="AL174" s="27"/>
      <c r="AN174" s="27"/>
      <c r="AO174" s="29"/>
      <c r="AP174" s="45">
        <f t="shared" si="1"/>
        <v>5075</v>
      </c>
      <c r="AQ174" s="41">
        <f t="shared" si="2"/>
        <v>375</v>
      </c>
      <c r="AR174" s="41">
        <f t="shared" si="3"/>
        <v>0</v>
      </c>
      <c r="AS174" s="41">
        <f t="shared" si="4"/>
        <v>375</v>
      </c>
      <c r="AT174" s="46">
        <f t="shared" si="5"/>
        <v>13.53333333</v>
      </c>
      <c r="AU174" s="37"/>
      <c r="AV174" s="37"/>
      <c r="AW174" s="37"/>
    </row>
    <row r="175" ht="15.75" customHeight="1">
      <c r="A175" s="39" t="s">
        <v>30</v>
      </c>
      <c r="B175" s="40">
        <f t="shared" si="6"/>
        <v>44735</v>
      </c>
      <c r="C175" s="41">
        <v>7.0</v>
      </c>
      <c r="D175" s="41" t="s">
        <v>25</v>
      </c>
      <c r="E175" s="43" t="s">
        <v>40</v>
      </c>
      <c r="F175" s="26"/>
      <c r="H175" s="27"/>
      <c r="J175" s="27"/>
      <c r="L175" s="27"/>
      <c r="N175" s="27"/>
      <c r="P175" s="27"/>
      <c r="Q175" s="29"/>
      <c r="R175" s="26">
        <v>0.0</v>
      </c>
      <c r="T175" s="27">
        <v>100.0</v>
      </c>
      <c r="V175" s="27">
        <v>75.0</v>
      </c>
      <c r="X175" s="27">
        <v>100.0</v>
      </c>
      <c r="Z175" s="27">
        <v>100.0</v>
      </c>
      <c r="AB175" s="27">
        <v>0.0</v>
      </c>
      <c r="AC175" s="29"/>
      <c r="AD175" s="26"/>
      <c r="AF175" s="27"/>
      <c r="AH175" s="27"/>
      <c r="AJ175" s="27"/>
      <c r="AL175" s="27"/>
      <c r="AN175" s="27"/>
      <c r="AO175" s="29"/>
      <c r="AP175" s="45">
        <f t="shared" si="1"/>
        <v>5075</v>
      </c>
      <c r="AQ175" s="41">
        <f t="shared" si="2"/>
        <v>375</v>
      </c>
      <c r="AR175" s="41">
        <f t="shared" si="3"/>
        <v>0</v>
      </c>
      <c r="AS175" s="41">
        <f t="shared" si="4"/>
        <v>375</v>
      </c>
      <c r="AT175" s="46">
        <f t="shared" si="5"/>
        <v>13.53333333</v>
      </c>
      <c r="AU175" s="37"/>
      <c r="AV175" s="37"/>
      <c r="AW175" s="37"/>
    </row>
    <row r="176" ht="15.75" customHeight="1">
      <c r="A176" s="39" t="s">
        <v>31</v>
      </c>
      <c r="B176" s="40">
        <f t="shared" si="6"/>
        <v>44736</v>
      </c>
      <c r="C176" s="41">
        <v>7.0</v>
      </c>
      <c r="D176" s="41" t="s">
        <v>25</v>
      </c>
      <c r="E176" s="43" t="s">
        <v>40</v>
      </c>
      <c r="F176" s="26"/>
      <c r="H176" s="27"/>
      <c r="J176" s="27"/>
      <c r="L176" s="27"/>
      <c r="N176" s="27"/>
      <c r="P176" s="27"/>
      <c r="Q176" s="29"/>
      <c r="R176" s="26">
        <v>0.0</v>
      </c>
      <c r="T176" s="27">
        <v>100.0</v>
      </c>
      <c r="V176" s="27">
        <v>75.0</v>
      </c>
      <c r="X176" s="27">
        <v>100.0</v>
      </c>
      <c r="Z176" s="27">
        <v>100.0</v>
      </c>
      <c r="AB176" s="27">
        <v>0.0</v>
      </c>
      <c r="AC176" s="29"/>
      <c r="AD176" s="26"/>
      <c r="AF176" s="27"/>
      <c r="AH176" s="27"/>
      <c r="AJ176" s="27"/>
      <c r="AL176" s="27"/>
      <c r="AN176" s="27"/>
      <c r="AO176" s="29"/>
      <c r="AP176" s="45">
        <f t="shared" si="1"/>
        <v>5075</v>
      </c>
      <c r="AQ176" s="41">
        <f t="shared" si="2"/>
        <v>375</v>
      </c>
      <c r="AR176" s="41">
        <f t="shared" si="3"/>
        <v>0</v>
      </c>
      <c r="AS176" s="41">
        <f t="shared" si="4"/>
        <v>375</v>
      </c>
      <c r="AT176" s="46">
        <f t="shared" si="5"/>
        <v>13.53333333</v>
      </c>
      <c r="AU176" s="37"/>
      <c r="AV176" s="37"/>
      <c r="AW176" s="37"/>
    </row>
    <row r="177" ht="15.75" customHeight="1">
      <c r="A177" s="49" t="s">
        <v>32</v>
      </c>
      <c r="B177" s="50">
        <f t="shared" si="6"/>
        <v>44737</v>
      </c>
      <c r="C177" s="51">
        <v>7.0</v>
      </c>
      <c r="D177" s="51" t="s">
        <v>25</v>
      </c>
      <c r="E177" s="53" t="s">
        <v>40</v>
      </c>
      <c r="F177" s="54"/>
      <c r="G177" s="55"/>
      <c r="H177" s="56"/>
      <c r="I177" s="55"/>
      <c r="J177" s="56"/>
      <c r="K177" s="55"/>
      <c r="L177" s="56"/>
      <c r="M177" s="55"/>
      <c r="N177" s="56"/>
      <c r="O177" s="55"/>
      <c r="P177" s="56"/>
      <c r="Q177" s="58"/>
      <c r="R177" s="54">
        <v>0.0</v>
      </c>
      <c r="S177" s="55"/>
      <c r="T177" s="56">
        <v>0.0</v>
      </c>
      <c r="U177" s="55"/>
      <c r="V177" s="56">
        <v>0.0</v>
      </c>
      <c r="W177" s="55"/>
      <c r="X177" s="56">
        <v>0.0</v>
      </c>
      <c r="Y177" s="55"/>
      <c r="Z177" s="56">
        <v>0.0</v>
      </c>
      <c r="AA177" s="55"/>
      <c r="AB177" s="56">
        <v>0.0</v>
      </c>
      <c r="AC177" s="58"/>
      <c r="AD177" s="54"/>
      <c r="AE177" s="55"/>
      <c r="AF177" s="56"/>
      <c r="AG177" s="55"/>
      <c r="AH177" s="56"/>
      <c r="AI177" s="55"/>
      <c r="AJ177" s="56"/>
      <c r="AK177" s="55"/>
      <c r="AL177" s="56"/>
      <c r="AM177" s="55"/>
      <c r="AN177" s="56"/>
      <c r="AO177" s="58"/>
      <c r="AP177" s="60">
        <f t="shared" si="1"/>
        <v>0</v>
      </c>
      <c r="AQ177" s="51">
        <f t="shared" si="2"/>
        <v>0</v>
      </c>
      <c r="AR177" s="51">
        <f t="shared" si="3"/>
        <v>0</v>
      </c>
      <c r="AS177" s="51">
        <f t="shared" si="4"/>
        <v>0</v>
      </c>
      <c r="AT177" s="61" t="str">
        <f t="shared" si="5"/>
        <v/>
      </c>
      <c r="AU177" s="37"/>
      <c r="AV177" s="37"/>
      <c r="AW177" s="37"/>
    </row>
    <row r="178" ht="15.75" customHeight="1">
      <c r="A178" s="21" t="s">
        <v>24</v>
      </c>
      <c r="B178" s="62">
        <f t="shared" si="6"/>
        <v>44738</v>
      </c>
      <c r="C178" s="23">
        <v>7.0</v>
      </c>
      <c r="D178" s="23" t="s">
        <v>33</v>
      </c>
      <c r="E178" s="63" t="s">
        <v>40</v>
      </c>
      <c r="F178" s="26"/>
      <c r="H178" s="27"/>
      <c r="J178" s="27"/>
      <c r="L178" s="27"/>
      <c r="N178" s="27"/>
      <c r="P178" s="27"/>
      <c r="Q178" s="29"/>
      <c r="R178" s="26">
        <v>0.0</v>
      </c>
      <c r="T178" s="27">
        <v>100.0</v>
      </c>
      <c r="V178" s="27">
        <v>75.0</v>
      </c>
      <c r="X178" s="27">
        <v>100.0</v>
      </c>
      <c r="Z178" s="27">
        <v>100.0</v>
      </c>
      <c r="AB178" s="27">
        <v>0.0</v>
      </c>
      <c r="AC178" s="29"/>
      <c r="AD178" s="26"/>
      <c r="AF178" s="27"/>
      <c r="AH178" s="27"/>
      <c r="AJ178" s="27"/>
      <c r="AL178" s="27"/>
      <c r="AN178" s="27"/>
      <c r="AO178" s="29"/>
      <c r="AP178" s="35">
        <f t="shared" si="1"/>
        <v>5075</v>
      </c>
      <c r="AQ178" s="23">
        <f t="shared" si="2"/>
        <v>375</v>
      </c>
      <c r="AR178" s="23">
        <f t="shared" si="3"/>
        <v>0</v>
      </c>
      <c r="AS178" s="23">
        <f t="shared" si="4"/>
        <v>375</v>
      </c>
      <c r="AT178" s="36">
        <f t="shared" si="5"/>
        <v>13.53333333</v>
      </c>
      <c r="AU178" s="37"/>
      <c r="AV178" s="37"/>
      <c r="AW178" s="37"/>
    </row>
    <row r="179" ht="15.75" customHeight="1">
      <c r="A179" s="39" t="s">
        <v>27</v>
      </c>
      <c r="B179" s="40">
        <f t="shared" si="6"/>
        <v>44739</v>
      </c>
      <c r="C179" s="41">
        <v>7.0</v>
      </c>
      <c r="D179" s="41" t="s">
        <v>33</v>
      </c>
      <c r="E179" s="43" t="s">
        <v>40</v>
      </c>
      <c r="F179" s="26"/>
      <c r="H179" s="27"/>
      <c r="J179" s="27"/>
      <c r="L179" s="27"/>
      <c r="N179" s="27"/>
      <c r="P179" s="27"/>
      <c r="Q179" s="29"/>
      <c r="R179" s="26">
        <v>0.0</v>
      </c>
      <c r="T179" s="27">
        <v>100.0</v>
      </c>
      <c r="V179" s="27">
        <v>75.0</v>
      </c>
      <c r="X179" s="27">
        <v>100.0</v>
      </c>
      <c r="Z179" s="27">
        <v>100.0</v>
      </c>
      <c r="AB179" s="27">
        <v>0.0</v>
      </c>
      <c r="AC179" s="29"/>
      <c r="AD179" s="26"/>
      <c r="AF179" s="27"/>
      <c r="AH179" s="27"/>
      <c r="AJ179" s="27"/>
      <c r="AL179" s="27"/>
      <c r="AN179" s="27"/>
      <c r="AO179" s="29"/>
      <c r="AP179" s="45">
        <f t="shared" si="1"/>
        <v>5075</v>
      </c>
      <c r="AQ179" s="41">
        <f t="shared" si="2"/>
        <v>375</v>
      </c>
      <c r="AR179" s="41">
        <f t="shared" si="3"/>
        <v>0</v>
      </c>
      <c r="AS179" s="41">
        <f t="shared" si="4"/>
        <v>375</v>
      </c>
      <c r="AT179" s="46">
        <f t="shared" si="5"/>
        <v>13.53333333</v>
      </c>
      <c r="AU179" s="37"/>
      <c r="AV179" s="37"/>
      <c r="AW179" s="37"/>
    </row>
    <row r="180" ht="15.75" customHeight="1">
      <c r="A180" s="39" t="s">
        <v>28</v>
      </c>
      <c r="B180" s="40">
        <f t="shared" si="6"/>
        <v>44740</v>
      </c>
      <c r="C180" s="41">
        <v>7.0</v>
      </c>
      <c r="D180" s="41" t="s">
        <v>33</v>
      </c>
      <c r="E180" s="43" t="s">
        <v>40</v>
      </c>
      <c r="F180" s="26"/>
      <c r="H180" s="27"/>
      <c r="J180" s="27"/>
      <c r="L180" s="27"/>
      <c r="N180" s="27"/>
      <c r="P180" s="27"/>
      <c r="Q180" s="29"/>
      <c r="R180" s="26">
        <v>0.0</v>
      </c>
      <c r="T180" s="27">
        <v>100.0</v>
      </c>
      <c r="V180" s="27">
        <v>75.0</v>
      </c>
      <c r="X180" s="27">
        <v>100.0</v>
      </c>
      <c r="Z180" s="27">
        <v>100.0</v>
      </c>
      <c r="AB180" s="27">
        <v>0.0</v>
      </c>
      <c r="AC180" s="29"/>
      <c r="AD180" s="26"/>
      <c r="AF180" s="27"/>
      <c r="AH180" s="27"/>
      <c r="AJ180" s="27"/>
      <c r="AL180" s="27"/>
      <c r="AN180" s="27"/>
      <c r="AO180" s="29"/>
      <c r="AP180" s="45">
        <f t="shared" si="1"/>
        <v>5075</v>
      </c>
      <c r="AQ180" s="41">
        <f t="shared" si="2"/>
        <v>375</v>
      </c>
      <c r="AR180" s="41">
        <f t="shared" si="3"/>
        <v>0</v>
      </c>
      <c r="AS180" s="41">
        <f t="shared" si="4"/>
        <v>375</v>
      </c>
      <c r="AT180" s="46">
        <f t="shared" si="5"/>
        <v>13.53333333</v>
      </c>
      <c r="AU180" s="37"/>
      <c r="AV180" s="37"/>
      <c r="AW180" s="37"/>
    </row>
    <row r="181" ht="15.75" customHeight="1">
      <c r="A181" s="39" t="s">
        <v>29</v>
      </c>
      <c r="B181" s="40">
        <f t="shared" si="6"/>
        <v>44741</v>
      </c>
      <c r="C181" s="41">
        <v>7.0</v>
      </c>
      <c r="D181" s="41" t="s">
        <v>33</v>
      </c>
      <c r="E181" s="43" t="s">
        <v>40</v>
      </c>
      <c r="F181" s="26"/>
      <c r="H181" s="27"/>
      <c r="J181" s="27"/>
      <c r="L181" s="27"/>
      <c r="N181" s="27"/>
      <c r="P181" s="27"/>
      <c r="Q181" s="29"/>
      <c r="R181" s="26">
        <v>0.0</v>
      </c>
      <c r="T181" s="27">
        <v>100.0</v>
      </c>
      <c r="V181" s="27">
        <v>75.0</v>
      </c>
      <c r="X181" s="27">
        <v>100.0</v>
      </c>
      <c r="Z181" s="27">
        <v>100.0</v>
      </c>
      <c r="AB181" s="27">
        <v>0.0</v>
      </c>
      <c r="AC181" s="29"/>
      <c r="AD181" s="26"/>
      <c r="AF181" s="27"/>
      <c r="AH181" s="27"/>
      <c r="AJ181" s="27"/>
      <c r="AL181" s="27"/>
      <c r="AN181" s="27"/>
      <c r="AO181" s="29"/>
      <c r="AP181" s="45">
        <f t="shared" si="1"/>
        <v>5075</v>
      </c>
      <c r="AQ181" s="41">
        <f t="shared" si="2"/>
        <v>375</v>
      </c>
      <c r="AR181" s="41">
        <f t="shared" si="3"/>
        <v>0</v>
      </c>
      <c r="AS181" s="41">
        <f t="shared" si="4"/>
        <v>375</v>
      </c>
      <c r="AT181" s="46">
        <f t="shared" si="5"/>
        <v>13.53333333</v>
      </c>
      <c r="AU181" s="37"/>
      <c r="AV181" s="37"/>
      <c r="AW181" s="37"/>
    </row>
    <row r="182" ht="15.75" customHeight="1">
      <c r="A182" s="39" t="s">
        <v>30</v>
      </c>
      <c r="B182" s="40">
        <f t="shared" si="6"/>
        <v>44742</v>
      </c>
      <c r="C182" s="41">
        <v>7.0</v>
      </c>
      <c r="D182" s="41" t="s">
        <v>33</v>
      </c>
      <c r="E182" s="43" t="s">
        <v>40</v>
      </c>
      <c r="F182" s="26"/>
      <c r="H182" s="27"/>
      <c r="J182" s="27"/>
      <c r="L182" s="27"/>
      <c r="N182" s="27"/>
      <c r="P182" s="27"/>
      <c r="Q182" s="29"/>
      <c r="R182" s="26">
        <v>0.0</v>
      </c>
      <c r="T182" s="27">
        <v>100.0</v>
      </c>
      <c r="V182" s="27">
        <v>75.0</v>
      </c>
      <c r="X182" s="27">
        <v>100.0</v>
      </c>
      <c r="Z182" s="27">
        <v>100.0</v>
      </c>
      <c r="AB182" s="27">
        <v>0.0</v>
      </c>
      <c r="AC182" s="29"/>
      <c r="AD182" s="26"/>
      <c r="AF182" s="27"/>
      <c r="AH182" s="27"/>
      <c r="AJ182" s="27"/>
      <c r="AL182" s="27"/>
      <c r="AN182" s="27"/>
      <c r="AO182" s="29"/>
      <c r="AP182" s="45">
        <f t="shared" si="1"/>
        <v>5075</v>
      </c>
      <c r="AQ182" s="41">
        <f t="shared" si="2"/>
        <v>375</v>
      </c>
      <c r="AR182" s="41">
        <f t="shared" si="3"/>
        <v>0</v>
      </c>
      <c r="AS182" s="41">
        <f t="shared" si="4"/>
        <v>375</v>
      </c>
      <c r="AT182" s="46">
        <f t="shared" si="5"/>
        <v>13.53333333</v>
      </c>
      <c r="AU182" s="37"/>
      <c r="AV182" s="37"/>
      <c r="AW182" s="37"/>
    </row>
    <row r="183" ht="15.75" customHeight="1">
      <c r="A183" s="39" t="s">
        <v>31</v>
      </c>
      <c r="B183" s="40">
        <f t="shared" si="6"/>
        <v>44743</v>
      </c>
      <c r="C183" s="41">
        <v>7.0</v>
      </c>
      <c r="D183" s="41" t="s">
        <v>33</v>
      </c>
      <c r="E183" s="43" t="s">
        <v>40</v>
      </c>
      <c r="F183" s="26"/>
      <c r="H183" s="27"/>
      <c r="J183" s="27"/>
      <c r="L183" s="27"/>
      <c r="N183" s="27"/>
      <c r="P183" s="27"/>
      <c r="Q183" s="29"/>
      <c r="R183" s="26">
        <v>0.0</v>
      </c>
      <c r="T183" s="27">
        <v>100.0</v>
      </c>
      <c r="V183" s="27">
        <v>75.0</v>
      </c>
      <c r="X183" s="27">
        <v>100.0</v>
      </c>
      <c r="Z183" s="27">
        <v>100.0</v>
      </c>
      <c r="AB183" s="27">
        <v>0.0</v>
      </c>
      <c r="AC183" s="29"/>
      <c r="AD183" s="26"/>
      <c r="AF183" s="27"/>
      <c r="AH183" s="27"/>
      <c r="AJ183" s="27"/>
      <c r="AL183" s="27"/>
      <c r="AN183" s="27"/>
      <c r="AO183" s="29"/>
      <c r="AP183" s="45">
        <f t="shared" si="1"/>
        <v>5075</v>
      </c>
      <c r="AQ183" s="41">
        <f t="shared" si="2"/>
        <v>375</v>
      </c>
      <c r="AR183" s="41">
        <f t="shared" si="3"/>
        <v>0</v>
      </c>
      <c r="AS183" s="41">
        <f t="shared" si="4"/>
        <v>375</v>
      </c>
      <c r="AT183" s="46">
        <f t="shared" si="5"/>
        <v>13.53333333</v>
      </c>
      <c r="AU183" s="37"/>
      <c r="AV183" s="37"/>
      <c r="AW183" s="37"/>
    </row>
    <row r="184" ht="15.75" customHeight="1">
      <c r="A184" s="49" t="s">
        <v>32</v>
      </c>
      <c r="B184" s="50">
        <f t="shared" si="6"/>
        <v>44744</v>
      </c>
      <c r="C184" s="51">
        <v>7.0</v>
      </c>
      <c r="D184" s="51" t="s">
        <v>33</v>
      </c>
      <c r="E184" s="53" t="s">
        <v>40</v>
      </c>
      <c r="F184" s="54"/>
      <c r="G184" s="55"/>
      <c r="H184" s="56"/>
      <c r="I184" s="55"/>
      <c r="J184" s="56"/>
      <c r="K184" s="55"/>
      <c r="L184" s="56"/>
      <c r="M184" s="55"/>
      <c r="N184" s="56"/>
      <c r="O184" s="55"/>
      <c r="P184" s="56"/>
      <c r="Q184" s="58"/>
      <c r="R184" s="54">
        <v>0.0</v>
      </c>
      <c r="S184" s="55"/>
      <c r="T184" s="56">
        <v>0.0</v>
      </c>
      <c r="U184" s="55"/>
      <c r="V184" s="56">
        <v>0.0</v>
      </c>
      <c r="W184" s="55"/>
      <c r="X184" s="56">
        <v>0.0</v>
      </c>
      <c r="Y184" s="55"/>
      <c r="Z184" s="56">
        <v>0.0</v>
      </c>
      <c r="AA184" s="55"/>
      <c r="AB184" s="56">
        <v>0.0</v>
      </c>
      <c r="AC184" s="58"/>
      <c r="AD184" s="54"/>
      <c r="AE184" s="55"/>
      <c r="AF184" s="56"/>
      <c r="AG184" s="55"/>
      <c r="AH184" s="56"/>
      <c r="AI184" s="55"/>
      <c r="AJ184" s="56"/>
      <c r="AK184" s="55"/>
      <c r="AL184" s="56"/>
      <c r="AM184" s="55"/>
      <c r="AN184" s="56"/>
      <c r="AO184" s="58"/>
      <c r="AP184" s="60">
        <f t="shared" si="1"/>
        <v>0</v>
      </c>
      <c r="AQ184" s="51">
        <f t="shared" si="2"/>
        <v>0</v>
      </c>
      <c r="AR184" s="51">
        <f t="shared" si="3"/>
        <v>0</v>
      </c>
      <c r="AS184" s="51">
        <f t="shared" si="4"/>
        <v>0</v>
      </c>
      <c r="AT184" s="61" t="str">
        <f t="shared" si="5"/>
        <v/>
      </c>
      <c r="AU184" s="37"/>
      <c r="AV184" s="37"/>
      <c r="AW184" s="37"/>
    </row>
    <row r="185" ht="15.75" customHeight="1">
      <c r="A185" s="21" t="s">
        <v>24</v>
      </c>
      <c r="B185" s="62">
        <f t="shared" si="6"/>
        <v>44745</v>
      </c>
      <c r="C185" s="23">
        <v>7.0</v>
      </c>
      <c r="D185" s="23" t="s">
        <v>34</v>
      </c>
      <c r="E185" s="63" t="s">
        <v>40</v>
      </c>
      <c r="F185" s="26"/>
      <c r="H185" s="27"/>
      <c r="J185" s="27"/>
      <c r="L185" s="27"/>
      <c r="N185" s="27"/>
      <c r="P185" s="27"/>
      <c r="Q185" s="29"/>
      <c r="R185" s="26">
        <v>0.0</v>
      </c>
      <c r="T185" s="27">
        <v>100.0</v>
      </c>
      <c r="V185" s="27">
        <v>75.0</v>
      </c>
      <c r="X185" s="27">
        <v>100.0</v>
      </c>
      <c r="Z185" s="27">
        <v>100.0</v>
      </c>
      <c r="AB185" s="27">
        <v>0.0</v>
      </c>
      <c r="AC185" s="29"/>
      <c r="AD185" s="26"/>
      <c r="AF185" s="27"/>
      <c r="AH185" s="27"/>
      <c r="AJ185" s="27"/>
      <c r="AL185" s="27"/>
      <c r="AN185" s="27"/>
      <c r="AO185" s="29"/>
      <c r="AP185" s="35">
        <f t="shared" si="1"/>
        <v>5075</v>
      </c>
      <c r="AQ185" s="23">
        <f t="shared" si="2"/>
        <v>375</v>
      </c>
      <c r="AR185" s="23">
        <f t="shared" si="3"/>
        <v>0</v>
      </c>
      <c r="AS185" s="23">
        <f t="shared" si="4"/>
        <v>375</v>
      </c>
      <c r="AT185" s="36">
        <f t="shared" si="5"/>
        <v>13.53333333</v>
      </c>
      <c r="AU185" s="37"/>
      <c r="AV185" s="37"/>
      <c r="AW185" s="37"/>
    </row>
    <row r="186" ht="15.75" customHeight="1">
      <c r="A186" s="39" t="s">
        <v>27</v>
      </c>
      <c r="B186" s="40">
        <f t="shared" si="6"/>
        <v>44746</v>
      </c>
      <c r="C186" s="41">
        <v>7.0</v>
      </c>
      <c r="D186" s="41" t="s">
        <v>34</v>
      </c>
      <c r="E186" s="43" t="s">
        <v>40</v>
      </c>
      <c r="F186" s="26"/>
      <c r="H186" s="27"/>
      <c r="J186" s="27"/>
      <c r="L186" s="27"/>
      <c r="N186" s="27"/>
      <c r="P186" s="27"/>
      <c r="Q186" s="29"/>
      <c r="R186" s="26">
        <v>0.0</v>
      </c>
      <c r="T186" s="27">
        <v>100.0</v>
      </c>
      <c r="V186" s="27">
        <v>75.0</v>
      </c>
      <c r="X186" s="27">
        <v>100.0</v>
      </c>
      <c r="Z186" s="27">
        <v>100.0</v>
      </c>
      <c r="AB186" s="27">
        <v>0.0</v>
      </c>
      <c r="AC186" s="29"/>
      <c r="AD186" s="26"/>
      <c r="AF186" s="27"/>
      <c r="AH186" s="27"/>
      <c r="AJ186" s="27"/>
      <c r="AL186" s="27"/>
      <c r="AN186" s="27"/>
      <c r="AO186" s="29"/>
      <c r="AP186" s="45">
        <f t="shared" si="1"/>
        <v>5075</v>
      </c>
      <c r="AQ186" s="41">
        <f t="shared" si="2"/>
        <v>375</v>
      </c>
      <c r="AR186" s="41">
        <f t="shared" si="3"/>
        <v>0</v>
      </c>
      <c r="AS186" s="41">
        <f t="shared" si="4"/>
        <v>375</v>
      </c>
      <c r="AT186" s="46">
        <f t="shared" si="5"/>
        <v>13.53333333</v>
      </c>
      <c r="AU186" s="37"/>
      <c r="AV186" s="37"/>
      <c r="AW186" s="37"/>
    </row>
    <row r="187" ht="15.75" customHeight="1">
      <c r="A187" s="39" t="s">
        <v>28</v>
      </c>
      <c r="B187" s="40">
        <f t="shared" si="6"/>
        <v>44747</v>
      </c>
      <c r="C187" s="41">
        <v>7.0</v>
      </c>
      <c r="D187" s="41" t="s">
        <v>34</v>
      </c>
      <c r="E187" s="43" t="s">
        <v>40</v>
      </c>
      <c r="F187" s="26"/>
      <c r="H187" s="27"/>
      <c r="J187" s="27"/>
      <c r="L187" s="27"/>
      <c r="N187" s="27"/>
      <c r="P187" s="27"/>
      <c r="Q187" s="29"/>
      <c r="R187" s="26">
        <v>0.0</v>
      </c>
      <c r="T187" s="27">
        <v>100.0</v>
      </c>
      <c r="V187" s="27">
        <v>75.0</v>
      </c>
      <c r="X187" s="27">
        <v>100.0</v>
      </c>
      <c r="Z187" s="27">
        <v>100.0</v>
      </c>
      <c r="AB187" s="27">
        <v>0.0</v>
      </c>
      <c r="AC187" s="29"/>
      <c r="AD187" s="26"/>
      <c r="AF187" s="27"/>
      <c r="AH187" s="27"/>
      <c r="AJ187" s="27"/>
      <c r="AL187" s="27"/>
      <c r="AN187" s="27"/>
      <c r="AO187" s="29"/>
      <c r="AP187" s="45">
        <f t="shared" si="1"/>
        <v>5075</v>
      </c>
      <c r="AQ187" s="41">
        <f t="shared" si="2"/>
        <v>375</v>
      </c>
      <c r="AR187" s="41">
        <f t="shared" si="3"/>
        <v>0</v>
      </c>
      <c r="AS187" s="41">
        <f t="shared" si="4"/>
        <v>375</v>
      </c>
      <c r="AT187" s="46">
        <f t="shared" si="5"/>
        <v>13.53333333</v>
      </c>
      <c r="AU187" s="37"/>
      <c r="AV187" s="37"/>
      <c r="AW187" s="37"/>
    </row>
    <row r="188" ht="15.75" customHeight="1">
      <c r="A188" s="39" t="s">
        <v>29</v>
      </c>
      <c r="B188" s="40">
        <f t="shared" si="6"/>
        <v>44748</v>
      </c>
      <c r="C188" s="41">
        <v>7.0</v>
      </c>
      <c r="D188" s="41" t="s">
        <v>34</v>
      </c>
      <c r="E188" s="43" t="s">
        <v>40</v>
      </c>
      <c r="F188" s="26"/>
      <c r="H188" s="27"/>
      <c r="J188" s="27"/>
      <c r="L188" s="27"/>
      <c r="N188" s="27"/>
      <c r="P188" s="27"/>
      <c r="Q188" s="29"/>
      <c r="R188" s="26">
        <v>0.0</v>
      </c>
      <c r="T188" s="27">
        <v>100.0</v>
      </c>
      <c r="V188" s="27">
        <v>75.0</v>
      </c>
      <c r="X188" s="27">
        <v>100.0</v>
      </c>
      <c r="Z188" s="27">
        <v>100.0</v>
      </c>
      <c r="AB188" s="27">
        <v>0.0</v>
      </c>
      <c r="AC188" s="29"/>
      <c r="AD188" s="26"/>
      <c r="AF188" s="27"/>
      <c r="AH188" s="27"/>
      <c r="AJ188" s="27"/>
      <c r="AL188" s="27"/>
      <c r="AN188" s="27"/>
      <c r="AO188" s="29"/>
      <c r="AP188" s="45">
        <f t="shared" si="1"/>
        <v>5075</v>
      </c>
      <c r="AQ188" s="41">
        <f t="shared" si="2"/>
        <v>375</v>
      </c>
      <c r="AR188" s="41">
        <f t="shared" si="3"/>
        <v>0</v>
      </c>
      <c r="AS188" s="41">
        <f t="shared" si="4"/>
        <v>375</v>
      </c>
      <c r="AT188" s="46">
        <f t="shared" si="5"/>
        <v>13.53333333</v>
      </c>
      <c r="AU188" s="37"/>
      <c r="AV188" s="37"/>
      <c r="AW188" s="37"/>
    </row>
    <row r="189" ht="15.75" customHeight="1">
      <c r="A189" s="39" t="s">
        <v>30</v>
      </c>
      <c r="B189" s="40">
        <f t="shared" si="6"/>
        <v>44749</v>
      </c>
      <c r="C189" s="41">
        <v>7.0</v>
      </c>
      <c r="D189" s="41" t="s">
        <v>34</v>
      </c>
      <c r="E189" s="43" t="s">
        <v>40</v>
      </c>
      <c r="F189" s="26"/>
      <c r="H189" s="27"/>
      <c r="J189" s="27"/>
      <c r="L189" s="27"/>
      <c r="N189" s="27"/>
      <c r="P189" s="27"/>
      <c r="Q189" s="29"/>
      <c r="R189" s="26">
        <v>0.0</v>
      </c>
      <c r="T189" s="27">
        <v>100.0</v>
      </c>
      <c r="V189" s="27">
        <v>75.0</v>
      </c>
      <c r="X189" s="27">
        <v>100.0</v>
      </c>
      <c r="Z189" s="27">
        <v>100.0</v>
      </c>
      <c r="AB189" s="27">
        <v>0.0</v>
      </c>
      <c r="AC189" s="29"/>
      <c r="AD189" s="26"/>
      <c r="AF189" s="27"/>
      <c r="AH189" s="27"/>
      <c r="AJ189" s="27"/>
      <c r="AL189" s="27"/>
      <c r="AN189" s="27"/>
      <c r="AO189" s="29"/>
      <c r="AP189" s="45">
        <f t="shared" si="1"/>
        <v>5075</v>
      </c>
      <c r="AQ189" s="41">
        <f t="shared" si="2"/>
        <v>375</v>
      </c>
      <c r="AR189" s="41">
        <f t="shared" si="3"/>
        <v>0</v>
      </c>
      <c r="AS189" s="41">
        <f t="shared" si="4"/>
        <v>375</v>
      </c>
      <c r="AT189" s="46">
        <f t="shared" si="5"/>
        <v>13.53333333</v>
      </c>
      <c r="AU189" s="37"/>
      <c r="AV189" s="37"/>
      <c r="AW189" s="37"/>
    </row>
    <row r="190" ht="15.75" customHeight="1">
      <c r="A190" s="39" t="s">
        <v>31</v>
      </c>
      <c r="B190" s="40">
        <f t="shared" si="6"/>
        <v>44750</v>
      </c>
      <c r="C190" s="41">
        <v>7.0</v>
      </c>
      <c r="D190" s="41" t="s">
        <v>34</v>
      </c>
      <c r="E190" s="43" t="s">
        <v>40</v>
      </c>
      <c r="F190" s="26"/>
      <c r="H190" s="27"/>
      <c r="J190" s="27"/>
      <c r="L190" s="27"/>
      <c r="N190" s="27"/>
      <c r="P190" s="27"/>
      <c r="Q190" s="29"/>
      <c r="R190" s="26">
        <v>0.0</v>
      </c>
      <c r="T190" s="27">
        <v>100.0</v>
      </c>
      <c r="V190" s="27">
        <v>75.0</v>
      </c>
      <c r="X190" s="27">
        <v>100.0</v>
      </c>
      <c r="Z190" s="27">
        <v>100.0</v>
      </c>
      <c r="AB190" s="27">
        <v>0.0</v>
      </c>
      <c r="AC190" s="29"/>
      <c r="AD190" s="26"/>
      <c r="AF190" s="27"/>
      <c r="AH190" s="27"/>
      <c r="AJ190" s="27"/>
      <c r="AL190" s="27"/>
      <c r="AN190" s="27"/>
      <c r="AO190" s="29"/>
      <c r="AP190" s="45">
        <f t="shared" si="1"/>
        <v>5075</v>
      </c>
      <c r="AQ190" s="41">
        <f t="shared" si="2"/>
        <v>375</v>
      </c>
      <c r="AR190" s="41">
        <f t="shared" si="3"/>
        <v>0</v>
      </c>
      <c r="AS190" s="41">
        <f t="shared" si="4"/>
        <v>375</v>
      </c>
      <c r="AT190" s="46">
        <f t="shared" si="5"/>
        <v>13.53333333</v>
      </c>
      <c r="AU190" s="37"/>
      <c r="AV190" s="37"/>
      <c r="AW190" s="37"/>
    </row>
    <row r="191" ht="15.75" customHeight="1">
      <c r="A191" s="49" t="s">
        <v>32</v>
      </c>
      <c r="B191" s="50">
        <f t="shared" si="6"/>
        <v>44751</v>
      </c>
      <c r="C191" s="51">
        <v>7.0</v>
      </c>
      <c r="D191" s="51" t="s">
        <v>34</v>
      </c>
      <c r="E191" s="53" t="s">
        <v>40</v>
      </c>
      <c r="F191" s="54"/>
      <c r="G191" s="55"/>
      <c r="H191" s="56"/>
      <c r="I191" s="55"/>
      <c r="J191" s="56"/>
      <c r="K191" s="55"/>
      <c r="L191" s="56"/>
      <c r="M191" s="55"/>
      <c r="N191" s="56"/>
      <c r="O191" s="55"/>
      <c r="P191" s="56"/>
      <c r="Q191" s="58"/>
      <c r="R191" s="54">
        <v>0.0</v>
      </c>
      <c r="S191" s="55"/>
      <c r="T191" s="56">
        <v>0.0</v>
      </c>
      <c r="U191" s="55"/>
      <c r="V191" s="56">
        <v>0.0</v>
      </c>
      <c r="W191" s="55"/>
      <c r="X191" s="56">
        <v>0.0</v>
      </c>
      <c r="Y191" s="55"/>
      <c r="Z191" s="56">
        <v>0.0</v>
      </c>
      <c r="AA191" s="55"/>
      <c r="AB191" s="56">
        <v>0.0</v>
      </c>
      <c r="AC191" s="58"/>
      <c r="AD191" s="54"/>
      <c r="AE191" s="55"/>
      <c r="AF191" s="56"/>
      <c r="AG191" s="55"/>
      <c r="AH191" s="56"/>
      <c r="AI191" s="55"/>
      <c r="AJ191" s="56"/>
      <c r="AK191" s="55"/>
      <c r="AL191" s="56"/>
      <c r="AM191" s="55"/>
      <c r="AN191" s="56"/>
      <c r="AO191" s="58"/>
      <c r="AP191" s="60">
        <f t="shared" si="1"/>
        <v>0</v>
      </c>
      <c r="AQ191" s="51">
        <f t="shared" si="2"/>
        <v>0</v>
      </c>
      <c r="AR191" s="51">
        <f t="shared" si="3"/>
        <v>0</v>
      </c>
      <c r="AS191" s="51">
        <f t="shared" si="4"/>
        <v>0</v>
      </c>
      <c r="AT191" s="61" t="str">
        <f t="shared" si="5"/>
        <v/>
      </c>
      <c r="AU191" s="37"/>
      <c r="AV191" s="37"/>
      <c r="AW191" s="37"/>
    </row>
    <row r="192" ht="15.75" customHeight="1">
      <c r="A192" s="21" t="s">
        <v>24</v>
      </c>
      <c r="B192" s="62">
        <f t="shared" si="6"/>
        <v>44752</v>
      </c>
      <c r="C192" s="23">
        <v>7.0</v>
      </c>
      <c r="D192" s="23" t="s">
        <v>35</v>
      </c>
      <c r="E192" s="63" t="s">
        <v>40</v>
      </c>
      <c r="F192" s="26"/>
      <c r="H192" s="27"/>
      <c r="J192" s="27"/>
      <c r="L192" s="27"/>
      <c r="N192" s="27"/>
      <c r="P192" s="27"/>
      <c r="Q192" s="29"/>
      <c r="R192" s="26">
        <v>0.0</v>
      </c>
      <c r="T192" s="27">
        <v>100.0</v>
      </c>
      <c r="V192" s="27">
        <v>75.0</v>
      </c>
      <c r="X192" s="27">
        <v>100.0</v>
      </c>
      <c r="Z192" s="27">
        <v>100.0</v>
      </c>
      <c r="AB192" s="27">
        <v>0.0</v>
      </c>
      <c r="AC192" s="29"/>
      <c r="AD192" s="26"/>
      <c r="AF192" s="27"/>
      <c r="AH192" s="27"/>
      <c r="AJ192" s="27"/>
      <c r="AL192" s="27"/>
      <c r="AN192" s="27"/>
      <c r="AO192" s="29"/>
      <c r="AP192" s="35">
        <f t="shared" si="1"/>
        <v>5075</v>
      </c>
      <c r="AQ192" s="23">
        <f t="shared" si="2"/>
        <v>375</v>
      </c>
      <c r="AR192" s="23">
        <f t="shared" si="3"/>
        <v>0</v>
      </c>
      <c r="AS192" s="23">
        <f t="shared" si="4"/>
        <v>375</v>
      </c>
      <c r="AT192" s="36">
        <f t="shared" si="5"/>
        <v>13.53333333</v>
      </c>
      <c r="AU192" s="37"/>
      <c r="AV192" s="37"/>
      <c r="AW192" s="37"/>
    </row>
    <row r="193" ht="15.75" customHeight="1">
      <c r="A193" s="39" t="s">
        <v>27</v>
      </c>
      <c r="B193" s="40">
        <f t="shared" si="6"/>
        <v>44753</v>
      </c>
      <c r="C193" s="41">
        <v>7.0</v>
      </c>
      <c r="D193" s="41" t="s">
        <v>35</v>
      </c>
      <c r="E193" s="43" t="s">
        <v>40</v>
      </c>
      <c r="F193" s="26"/>
      <c r="H193" s="27"/>
      <c r="J193" s="27"/>
      <c r="L193" s="27"/>
      <c r="N193" s="27"/>
      <c r="P193" s="27"/>
      <c r="Q193" s="29"/>
      <c r="R193" s="26">
        <v>0.0</v>
      </c>
      <c r="T193" s="27">
        <v>100.0</v>
      </c>
      <c r="V193" s="27">
        <v>75.0</v>
      </c>
      <c r="X193" s="27">
        <v>100.0</v>
      </c>
      <c r="Z193" s="27">
        <v>100.0</v>
      </c>
      <c r="AB193" s="27">
        <v>0.0</v>
      </c>
      <c r="AC193" s="29"/>
      <c r="AD193" s="26"/>
      <c r="AF193" s="27"/>
      <c r="AH193" s="27"/>
      <c r="AJ193" s="27"/>
      <c r="AL193" s="27"/>
      <c r="AN193" s="27"/>
      <c r="AO193" s="29"/>
      <c r="AP193" s="45">
        <f t="shared" si="1"/>
        <v>5075</v>
      </c>
      <c r="AQ193" s="41">
        <f t="shared" si="2"/>
        <v>375</v>
      </c>
      <c r="AR193" s="41">
        <f t="shared" si="3"/>
        <v>0</v>
      </c>
      <c r="AS193" s="41">
        <f t="shared" si="4"/>
        <v>375</v>
      </c>
      <c r="AT193" s="46">
        <f t="shared" si="5"/>
        <v>13.53333333</v>
      </c>
      <c r="AU193" s="37"/>
      <c r="AV193" s="37"/>
      <c r="AW193" s="37"/>
    </row>
    <row r="194" ht="15.75" customHeight="1">
      <c r="A194" s="39" t="s">
        <v>28</v>
      </c>
      <c r="B194" s="40">
        <f t="shared" si="6"/>
        <v>44754</v>
      </c>
      <c r="C194" s="41">
        <v>7.0</v>
      </c>
      <c r="D194" s="41" t="s">
        <v>35</v>
      </c>
      <c r="E194" s="43" t="s">
        <v>40</v>
      </c>
      <c r="F194" s="26"/>
      <c r="H194" s="27"/>
      <c r="J194" s="27"/>
      <c r="L194" s="27"/>
      <c r="N194" s="27"/>
      <c r="P194" s="27"/>
      <c r="Q194" s="29"/>
      <c r="R194" s="26">
        <v>0.0</v>
      </c>
      <c r="T194" s="27">
        <v>100.0</v>
      </c>
      <c r="V194" s="27">
        <v>75.0</v>
      </c>
      <c r="X194" s="27">
        <v>100.0</v>
      </c>
      <c r="Z194" s="27">
        <v>100.0</v>
      </c>
      <c r="AB194" s="27">
        <v>0.0</v>
      </c>
      <c r="AC194" s="29"/>
      <c r="AD194" s="26"/>
      <c r="AF194" s="27"/>
      <c r="AH194" s="27"/>
      <c r="AJ194" s="27"/>
      <c r="AL194" s="27"/>
      <c r="AN194" s="27"/>
      <c r="AO194" s="29"/>
      <c r="AP194" s="45">
        <f t="shared" si="1"/>
        <v>5075</v>
      </c>
      <c r="AQ194" s="41">
        <f t="shared" si="2"/>
        <v>375</v>
      </c>
      <c r="AR194" s="41">
        <f t="shared" si="3"/>
        <v>0</v>
      </c>
      <c r="AS194" s="41">
        <f t="shared" si="4"/>
        <v>375</v>
      </c>
      <c r="AT194" s="46">
        <f t="shared" si="5"/>
        <v>13.53333333</v>
      </c>
      <c r="AU194" s="37"/>
      <c r="AV194" s="37"/>
      <c r="AW194" s="37"/>
    </row>
    <row r="195" ht="15.75" customHeight="1">
      <c r="A195" s="39" t="s">
        <v>29</v>
      </c>
      <c r="B195" s="40">
        <f t="shared" si="6"/>
        <v>44755</v>
      </c>
      <c r="C195" s="41">
        <v>7.0</v>
      </c>
      <c r="D195" s="41" t="s">
        <v>35</v>
      </c>
      <c r="E195" s="43" t="s">
        <v>40</v>
      </c>
      <c r="F195" s="26"/>
      <c r="H195" s="27"/>
      <c r="J195" s="27"/>
      <c r="L195" s="27"/>
      <c r="N195" s="27"/>
      <c r="P195" s="27"/>
      <c r="Q195" s="29"/>
      <c r="R195" s="26">
        <v>0.0</v>
      </c>
      <c r="T195" s="27">
        <v>100.0</v>
      </c>
      <c r="V195" s="27">
        <v>75.0</v>
      </c>
      <c r="X195" s="27">
        <v>100.0</v>
      </c>
      <c r="Z195" s="27">
        <v>100.0</v>
      </c>
      <c r="AB195" s="27">
        <v>0.0</v>
      </c>
      <c r="AC195" s="29"/>
      <c r="AD195" s="26"/>
      <c r="AF195" s="27"/>
      <c r="AH195" s="27"/>
      <c r="AJ195" s="27"/>
      <c r="AL195" s="27"/>
      <c r="AN195" s="27"/>
      <c r="AO195" s="29"/>
      <c r="AP195" s="45">
        <f t="shared" si="1"/>
        <v>5075</v>
      </c>
      <c r="AQ195" s="41">
        <f t="shared" si="2"/>
        <v>375</v>
      </c>
      <c r="AR195" s="41">
        <f t="shared" si="3"/>
        <v>0</v>
      </c>
      <c r="AS195" s="41">
        <f t="shared" si="4"/>
        <v>375</v>
      </c>
      <c r="AT195" s="46">
        <f t="shared" si="5"/>
        <v>13.53333333</v>
      </c>
      <c r="AU195" s="37"/>
      <c r="AV195" s="37"/>
      <c r="AW195" s="37"/>
    </row>
    <row r="196" ht="15.75" customHeight="1">
      <c r="A196" s="39" t="s">
        <v>30</v>
      </c>
      <c r="B196" s="40">
        <f t="shared" si="6"/>
        <v>44756</v>
      </c>
      <c r="C196" s="41">
        <v>7.0</v>
      </c>
      <c r="D196" s="41" t="s">
        <v>35</v>
      </c>
      <c r="E196" s="43" t="s">
        <v>40</v>
      </c>
      <c r="F196" s="26"/>
      <c r="H196" s="27"/>
      <c r="J196" s="27"/>
      <c r="L196" s="27"/>
      <c r="N196" s="27"/>
      <c r="P196" s="27"/>
      <c r="Q196" s="29"/>
      <c r="R196" s="26">
        <v>0.0</v>
      </c>
      <c r="T196" s="27">
        <v>100.0</v>
      </c>
      <c r="V196" s="27">
        <v>75.0</v>
      </c>
      <c r="X196" s="27">
        <v>100.0</v>
      </c>
      <c r="Z196" s="27">
        <v>100.0</v>
      </c>
      <c r="AB196" s="27">
        <v>0.0</v>
      </c>
      <c r="AC196" s="29"/>
      <c r="AD196" s="26"/>
      <c r="AF196" s="27"/>
      <c r="AH196" s="27"/>
      <c r="AJ196" s="27"/>
      <c r="AL196" s="27"/>
      <c r="AN196" s="27"/>
      <c r="AO196" s="29"/>
      <c r="AP196" s="45">
        <f t="shared" si="1"/>
        <v>5075</v>
      </c>
      <c r="AQ196" s="41">
        <f t="shared" si="2"/>
        <v>375</v>
      </c>
      <c r="AR196" s="41">
        <f t="shared" si="3"/>
        <v>0</v>
      </c>
      <c r="AS196" s="41">
        <f t="shared" si="4"/>
        <v>375</v>
      </c>
      <c r="AT196" s="46">
        <f t="shared" si="5"/>
        <v>13.53333333</v>
      </c>
      <c r="AU196" s="37"/>
      <c r="AV196" s="37"/>
      <c r="AW196" s="37"/>
    </row>
    <row r="197" ht="15.75" customHeight="1">
      <c r="A197" s="39" t="s">
        <v>31</v>
      </c>
      <c r="B197" s="40">
        <f t="shared" si="6"/>
        <v>44757</v>
      </c>
      <c r="C197" s="41">
        <v>7.0</v>
      </c>
      <c r="D197" s="41" t="s">
        <v>35</v>
      </c>
      <c r="E197" s="43" t="s">
        <v>40</v>
      </c>
      <c r="F197" s="26"/>
      <c r="H197" s="27"/>
      <c r="J197" s="27"/>
      <c r="L197" s="27"/>
      <c r="N197" s="27"/>
      <c r="P197" s="27"/>
      <c r="Q197" s="29"/>
      <c r="R197" s="26">
        <v>0.0</v>
      </c>
      <c r="T197" s="27">
        <v>100.0</v>
      </c>
      <c r="V197" s="27">
        <v>75.0</v>
      </c>
      <c r="X197" s="27">
        <v>100.0</v>
      </c>
      <c r="Z197" s="27">
        <v>100.0</v>
      </c>
      <c r="AB197" s="27">
        <v>0.0</v>
      </c>
      <c r="AC197" s="29"/>
      <c r="AD197" s="26"/>
      <c r="AF197" s="27"/>
      <c r="AH197" s="27"/>
      <c r="AJ197" s="27"/>
      <c r="AL197" s="27"/>
      <c r="AN197" s="27"/>
      <c r="AO197" s="29"/>
      <c r="AP197" s="45">
        <f t="shared" si="1"/>
        <v>5075</v>
      </c>
      <c r="AQ197" s="41">
        <f t="shared" si="2"/>
        <v>375</v>
      </c>
      <c r="AR197" s="41">
        <f t="shared" si="3"/>
        <v>0</v>
      </c>
      <c r="AS197" s="41">
        <f t="shared" si="4"/>
        <v>375</v>
      </c>
      <c r="AT197" s="46">
        <f t="shared" si="5"/>
        <v>13.53333333</v>
      </c>
      <c r="AU197" s="37"/>
      <c r="AV197" s="37"/>
      <c r="AW197" s="37"/>
    </row>
    <row r="198" ht="15.75" customHeight="1">
      <c r="A198" s="49" t="s">
        <v>32</v>
      </c>
      <c r="B198" s="50">
        <f t="shared" si="6"/>
        <v>44758</v>
      </c>
      <c r="C198" s="51">
        <v>7.0</v>
      </c>
      <c r="D198" s="51" t="s">
        <v>35</v>
      </c>
      <c r="E198" s="53" t="s">
        <v>40</v>
      </c>
      <c r="F198" s="54"/>
      <c r="G198" s="55"/>
      <c r="H198" s="56"/>
      <c r="I198" s="55"/>
      <c r="J198" s="56"/>
      <c r="K198" s="55"/>
      <c r="L198" s="56"/>
      <c r="M198" s="55"/>
      <c r="N198" s="56"/>
      <c r="O198" s="55"/>
      <c r="P198" s="56"/>
      <c r="Q198" s="58"/>
      <c r="R198" s="54">
        <v>0.0</v>
      </c>
      <c r="S198" s="55"/>
      <c r="T198" s="56">
        <v>0.0</v>
      </c>
      <c r="U198" s="55"/>
      <c r="V198" s="56">
        <v>0.0</v>
      </c>
      <c r="W198" s="55"/>
      <c r="X198" s="56">
        <v>0.0</v>
      </c>
      <c r="Y198" s="55"/>
      <c r="Z198" s="56">
        <v>0.0</v>
      </c>
      <c r="AA198" s="55"/>
      <c r="AB198" s="56">
        <v>0.0</v>
      </c>
      <c r="AC198" s="58"/>
      <c r="AD198" s="54"/>
      <c r="AE198" s="55"/>
      <c r="AF198" s="56"/>
      <c r="AG198" s="55"/>
      <c r="AH198" s="56"/>
      <c r="AI198" s="55"/>
      <c r="AJ198" s="56"/>
      <c r="AK198" s="55"/>
      <c r="AL198" s="56"/>
      <c r="AM198" s="55"/>
      <c r="AN198" s="56"/>
      <c r="AO198" s="58"/>
      <c r="AP198" s="60">
        <f t="shared" si="1"/>
        <v>0</v>
      </c>
      <c r="AQ198" s="51">
        <f t="shared" si="2"/>
        <v>0</v>
      </c>
      <c r="AR198" s="51">
        <f t="shared" si="3"/>
        <v>0</v>
      </c>
      <c r="AS198" s="51">
        <f t="shared" si="4"/>
        <v>0</v>
      </c>
      <c r="AT198" s="61" t="str">
        <f t="shared" si="5"/>
        <v/>
      </c>
      <c r="AU198" s="37"/>
      <c r="AV198" s="37"/>
      <c r="AW198" s="37"/>
    </row>
    <row r="199" ht="15.75" customHeight="1">
      <c r="A199" s="21" t="s">
        <v>24</v>
      </c>
      <c r="B199" s="62">
        <f t="shared" si="6"/>
        <v>44759</v>
      </c>
      <c r="C199" s="23">
        <v>8.0</v>
      </c>
      <c r="D199" s="23" t="s">
        <v>25</v>
      </c>
      <c r="E199" s="63" t="s">
        <v>40</v>
      </c>
      <c r="F199" s="26"/>
      <c r="H199" s="27"/>
      <c r="J199" s="27"/>
      <c r="L199" s="27"/>
      <c r="N199" s="27"/>
      <c r="P199" s="27"/>
      <c r="Q199" s="29"/>
      <c r="R199" s="26">
        <v>0.0</v>
      </c>
      <c r="T199" s="27">
        <v>100.0</v>
      </c>
      <c r="V199" s="27">
        <v>75.0</v>
      </c>
      <c r="X199" s="27">
        <v>100.0</v>
      </c>
      <c r="Z199" s="27">
        <v>100.0</v>
      </c>
      <c r="AB199" s="27">
        <v>0.0</v>
      </c>
      <c r="AC199" s="29"/>
      <c r="AD199" s="26"/>
      <c r="AF199" s="27"/>
      <c r="AH199" s="27"/>
      <c r="AJ199" s="27"/>
      <c r="AL199" s="27"/>
      <c r="AN199" s="27"/>
      <c r="AO199" s="29"/>
      <c r="AP199" s="35">
        <f t="shared" si="1"/>
        <v>5075</v>
      </c>
      <c r="AQ199" s="23">
        <f t="shared" si="2"/>
        <v>375</v>
      </c>
      <c r="AR199" s="23">
        <f t="shared" si="3"/>
        <v>0</v>
      </c>
      <c r="AS199" s="23">
        <f t="shared" si="4"/>
        <v>375</v>
      </c>
      <c r="AT199" s="36">
        <f t="shared" si="5"/>
        <v>13.53333333</v>
      </c>
      <c r="AU199" s="37"/>
      <c r="AV199" s="37"/>
      <c r="AW199" s="37"/>
    </row>
    <row r="200" ht="15.75" customHeight="1">
      <c r="A200" s="39" t="s">
        <v>27</v>
      </c>
      <c r="B200" s="40">
        <f t="shared" si="6"/>
        <v>44760</v>
      </c>
      <c r="C200" s="41">
        <v>8.0</v>
      </c>
      <c r="D200" s="41" t="s">
        <v>25</v>
      </c>
      <c r="E200" s="43" t="s">
        <v>40</v>
      </c>
      <c r="F200" s="26"/>
      <c r="H200" s="27"/>
      <c r="J200" s="27"/>
      <c r="L200" s="27"/>
      <c r="N200" s="27"/>
      <c r="P200" s="27"/>
      <c r="Q200" s="29"/>
      <c r="R200" s="26">
        <v>0.0</v>
      </c>
      <c r="T200" s="27">
        <v>100.0</v>
      </c>
      <c r="V200" s="27">
        <v>75.0</v>
      </c>
      <c r="X200" s="27">
        <v>100.0</v>
      </c>
      <c r="Z200" s="27">
        <v>100.0</v>
      </c>
      <c r="AB200" s="27">
        <v>0.0</v>
      </c>
      <c r="AC200" s="29"/>
      <c r="AD200" s="26"/>
      <c r="AF200" s="27"/>
      <c r="AH200" s="27"/>
      <c r="AJ200" s="27"/>
      <c r="AL200" s="27"/>
      <c r="AN200" s="27"/>
      <c r="AO200" s="29"/>
      <c r="AP200" s="45">
        <f t="shared" si="1"/>
        <v>5075</v>
      </c>
      <c r="AQ200" s="41">
        <f t="shared" si="2"/>
        <v>375</v>
      </c>
      <c r="AR200" s="41">
        <f t="shared" si="3"/>
        <v>0</v>
      </c>
      <c r="AS200" s="41">
        <f t="shared" si="4"/>
        <v>375</v>
      </c>
      <c r="AT200" s="46">
        <f t="shared" si="5"/>
        <v>13.53333333</v>
      </c>
      <c r="AU200" s="37"/>
      <c r="AV200" s="37"/>
      <c r="AW200" s="37"/>
    </row>
    <row r="201" ht="15.75" customHeight="1">
      <c r="A201" s="39" t="s">
        <v>28</v>
      </c>
      <c r="B201" s="40">
        <f t="shared" si="6"/>
        <v>44761</v>
      </c>
      <c r="C201" s="41">
        <v>8.0</v>
      </c>
      <c r="D201" s="41" t="s">
        <v>25</v>
      </c>
      <c r="E201" s="43" t="s">
        <v>40</v>
      </c>
      <c r="F201" s="26"/>
      <c r="H201" s="27"/>
      <c r="J201" s="27"/>
      <c r="L201" s="27"/>
      <c r="N201" s="27"/>
      <c r="P201" s="27"/>
      <c r="Q201" s="29"/>
      <c r="R201" s="26">
        <v>0.0</v>
      </c>
      <c r="T201" s="27">
        <v>100.0</v>
      </c>
      <c r="V201" s="27">
        <v>75.0</v>
      </c>
      <c r="X201" s="27">
        <v>100.0</v>
      </c>
      <c r="Z201" s="27">
        <v>100.0</v>
      </c>
      <c r="AB201" s="27">
        <v>0.0</v>
      </c>
      <c r="AC201" s="29"/>
      <c r="AD201" s="26"/>
      <c r="AF201" s="27"/>
      <c r="AH201" s="27"/>
      <c r="AJ201" s="27"/>
      <c r="AL201" s="27"/>
      <c r="AN201" s="27"/>
      <c r="AO201" s="29"/>
      <c r="AP201" s="45">
        <f t="shared" si="1"/>
        <v>5075</v>
      </c>
      <c r="AQ201" s="41">
        <f t="shared" si="2"/>
        <v>375</v>
      </c>
      <c r="AR201" s="41">
        <f t="shared" si="3"/>
        <v>0</v>
      </c>
      <c r="AS201" s="41">
        <f t="shared" si="4"/>
        <v>375</v>
      </c>
      <c r="AT201" s="46">
        <f t="shared" si="5"/>
        <v>13.53333333</v>
      </c>
      <c r="AU201" s="37"/>
      <c r="AV201" s="37"/>
      <c r="AW201" s="37"/>
    </row>
    <row r="202" ht="15.75" customHeight="1">
      <c r="A202" s="39" t="s">
        <v>29</v>
      </c>
      <c r="B202" s="40">
        <f t="shared" si="6"/>
        <v>44762</v>
      </c>
      <c r="C202" s="41">
        <v>8.0</v>
      </c>
      <c r="D202" s="41" t="s">
        <v>25</v>
      </c>
      <c r="E202" s="43" t="s">
        <v>40</v>
      </c>
      <c r="F202" s="26"/>
      <c r="H202" s="27"/>
      <c r="J202" s="27"/>
      <c r="L202" s="27"/>
      <c r="N202" s="27"/>
      <c r="P202" s="27"/>
      <c r="Q202" s="29"/>
      <c r="R202" s="26">
        <v>0.0</v>
      </c>
      <c r="T202" s="27">
        <v>100.0</v>
      </c>
      <c r="V202" s="27">
        <v>75.0</v>
      </c>
      <c r="X202" s="27">
        <v>100.0</v>
      </c>
      <c r="Z202" s="27">
        <v>100.0</v>
      </c>
      <c r="AB202" s="27">
        <v>0.0</v>
      </c>
      <c r="AC202" s="29"/>
      <c r="AD202" s="26"/>
      <c r="AF202" s="27"/>
      <c r="AH202" s="27"/>
      <c r="AJ202" s="27"/>
      <c r="AL202" s="27"/>
      <c r="AN202" s="27"/>
      <c r="AO202" s="29"/>
      <c r="AP202" s="45">
        <f t="shared" si="1"/>
        <v>5075</v>
      </c>
      <c r="AQ202" s="41">
        <f t="shared" si="2"/>
        <v>375</v>
      </c>
      <c r="AR202" s="41">
        <f t="shared" si="3"/>
        <v>0</v>
      </c>
      <c r="AS202" s="41">
        <f t="shared" si="4"/>
        <v>375</v>
      </c>
      <c r="AT202" s="46">
        <f t="shared" si="5"/>
        <v>13.53333333</v>
      </c>
      <c r="AU202" s="37"/>
      <c r="AV202" s="37"/>
      <c r="AW202" s="37"/>
    </row>
    <row r="203" ht="15.75" customHeight="1">
      <c r="A203" s="39" t="s">
        <v>30</v>
      </c>
      <c r="B203" s="40">
        <f t="shared" si="6"/>
        <v>44763</v>
      </c>
      <c r="C203" s="41">
        <v>8.0</v>
      </c>
      <c r="D203" s="41" t="s">
        <v>25</v>
      </c>
      <c r="E203" s="43" t="s">
        <v>40</v>
      </c>
      <c r="F203" s="26"/>
      <c r="H203" s="27"/>
      <c r="J203" s="27"/>
      <c r="L203" s="27"/>
      <c r="N203" s="27"/>
      <c r="P203" s="27"/>
      <c r="Q203" s="29"/>
      <c r="R203" s="26">
        <v>0.0</v>
      </c>
      <c r="T203" s="27">
        <v>100.0</v>
      </c>
      <c r="V203" s="27">
        <v>75.0</v>
      </c>
      <c r="X203" s="27">
        <v>100.0</v>
      </c>
      <c r="Z203" s="27">
        <v>100.0</v>
      </c>
      <c r="AB203" s="27">
        <v>0.0</v>
      </c>
      <c r="AC203" s="29"/>
      <c r="AD203" s="26"/>
      <c r="AF203" s="27"/>
      <c r="AH203" s="27"/>
      <c r="AJ203" s="27"/>
      <c r="AL203" s="27"/>
      <c r="AN203" s="27"/>
      <c r="AO203" s="29"/>
      <c r="AP203" s="45">
        <f t="shared" si="1"/>
        <v>5075</v>
      </c>
      <c r="AQ203" s="41">
        <f t="shared" si="2"/>
        <v>375</v>
      </c>
      <c r="AR203" s="41">
        <f t="shared" si="3"/>
        <v>0</v>
      </c>
      <c r="AS203" s="41">
        <f t="shared" si="4"/>
        <v>375</v>
      </c>
      <c r="AT203" s="46">
        <f t="shared" si="5"/>
        <v>13.53333333</v>
      </c>
      <c r="AU203" s="37"/>
      <c r="AV203" s="37"/>
      <c r="AW203" s="37"/>
    </row>
    <row r="204" ht="15.75" customHeight="1">
      <c r="A204" s="39" t="s">
        <v>31</v>
      </c>
      <c r="B204" s="40">
        <f t="shared" si="6"/>
        <v>44764</v>
      </c>
      <c r="C204" s="41">
        <v>8.0</v>
      </c>
      <c r="D204" s="41" t="s">
        <v>25</v>
      </c>
      <c r="E204" s="43" t="s">
        <v>40</v>
      </c>
      <c r="F204" s="26"/>
      <c r="H204" s="27"/>
      <c r="J204" s="27"/>
      <c r="L204" s="27"/>
      <c r="N204" s="27"/>
      <c r="P204" s="27"/>
      <c r="Q204" s="29"/>
      <c r="R204" s="26">
        <v>0.0</v>
      </c>
      <c r="T204" s="27">
        <v>100.0</v>
      </c>
      <c r="V204" s="27">
        <v>75.0</v>
      </c>
      <c r="X204" s="27">
        <v>100.0</v>
      </c>
      <c r="Z204" s="27">
        <v>100.0</v>
      </c>
      <c r="AB204" s="27">
        <v>0.0</v>
      </c>
      <c r="AC204" s="29"/>
      <c r="AD204" s="26"/>
      <c r="AF204" s="27"/>
      <c r="AH204" s="27"/>
      <c r="AJ204" s="27"/>
      <c r="AL204" s="27"/>
      <c r="AN204" s="27"/>
      <c r="AO204" s="29"/>
      <c r="AP204" s="45">
        <f t="shared" si="1"/>
        <v>5075</v>
      </c>
      <c r="AQ204" s="41">
        <f t="shared" si="2"/>
        <v>375</v>
      </c>
      <c r="AR204" s="41">
        <f t="shared" si="3"/>
        <v>0</v>
      </c>
      <c r="AS204" s="41">
        <f t="shared" si="4"/>
        <v>375</v>
      </c>
      <c r="AT204" s="46">
        <f t="shared" si="5"/>
        <v>13.53333333</v>
      </c>
      <c r="AU204" s="37"/>
      <c r="AV204" s="37"/>
      <c r="AW204" s="37"/>
    </row>
    <row r="205" ht="15.75" customHeight="1">
      <c r="A205" s="49" t="s">
        <v>32</v>
      </c>
      <c r="B205" s="50">
        <f t="shared" si="6"/>
        <v>44765</v>
      </c>
      <c r="C205" s="51">
        <v>8.0</v>
      </c>
      <c r="D205" s="51" t="s">
        <v>25</v>
      </c>
      <c r="E205" s="53" t="s">
        <v>40</v>
      </c>
      <c r="F205" s="54"/>
      <c r="G205" s="55"/>
      <c r="H205" s="56"/>
      <c r="I205" s="55"/>
      <c r="J205" s="56"/>
      <c r="K205" s="55"/>
      <c r="L205" s="56"/>
      <c r="M205" s="55"/>
      <c r="N205" s="56"/>
      <c r="O205" s="55"/>
      <c r="P205" s="56"/>
      <c r="Q205" s="58"/>
      <c r="R205" s="54">
        <v>0.0</v>
      </c>
      <c r="S205" s="55"/>
      <c r="T205" s="56">
        <v>0.0</v>
      </c>
      <c r="U205" s="55"/>
      <c r="V205" s="56">
        <v>0.0</v>
      </c>
      <c r="W205" s="55"/>
      <c r="X205" s="56">
        <v>0.0</v>
      </c>
      <c r="Y205" s="55"/>
      <c r="Z205" s="56">
        <v>0.0</v>
      </c>
      <c r="AA205" s="55"/>
      <c r="AB205" s="56">
        <v>0.0</v>
      </c>
      <c r="AC205" s="58"/>
      <c r="AD205" s="54"/>
      <c r="AE205" s="55"/>
      <c r="AF205" s="56"/>
      <c r="AG205" s="55"/>
      <c r="AH205" s="56"/>
      <c r="AI205" s="55"/>
      <c r="AJ205" s="56"/>
      <c r="AK205" s="55"/>
      <c r="AL205" s="56"/>
      <c r="AM205" s="55"/>
      <c r="AN205" s="56"/>
      <c r="AO205" s="58"/>
      <c r="AP205" s="60">
        <f t="shared" si="1"/>
        <v>0</v>
      </c>
      <c r="AQ205" s="51">
        <f t="shared" si="2"/>
        <v>0</v>
      </c>
      <c r="AR205" s="51">
        <f t="shared" si="3"/>
        <v>0</v>
      </c>
      <c r="AS205" s="51">
        <f t="shared" si="4"/>
        <v>0</v>
      </c>
      <c r="AT205" s="61" t="str">
        <f t="shared" si="5"/>
        <v/>
      </c>
      <c r="AU205" s="37"/>
      <c r="AV205" s="37"/>
      <c r="AW205" s="37"/>
    </row>
    <row r="206" ht="15.75" customHeight="1">
      <c r="A206" s="21" t="s">
        <v>24</v>
      </c>
      <c r="B206" s="62">
        <f t="shared" si="6"/>
        <v>44766</v>
      </c>
      <c r="C206" s="23">
        <v>8.0</v>
      </c>
      <c r="D206" s="23" t="s">
        <v>33</v>
      </c>
      <c r="E206" s="63" t="s">
        <v>40</v>
      </c>
      <c r="F206" s="26"/>
      <c r="H206" s="27"/>
      <c r="J206" s="27"/>
      <c r="L206" s="27"/>
      <c r="N206" s="27"/>
      <c r="P206" s="27"/>
      <c r="Q206" s="29"/>
      <c r="R206" s="26">
        <v>0.0</v>
      </c>
      <c r="T206" s="27">
        <v>100.0</v>
      </c>
      <c r="V206" s="27">
        <v>75.0</v>
      </c>
      <c r="X206" s="27">
        <v>100.0</v>
      </c>
      <c r="Z206" s="27">
        <v>100.0</v>
      </c>
      <c r="AB206" s="27">
        <v>0.0</v>
      </c>
      <c r="AC206" s="29"/>
      <c r="AD206" s="26"/>
      <c r="AF206" s="27"/>
      <c r="AH206" s="27"/>
      <c r="AJ206" s="27"/>
      <c r="AL206" s="27"/>
      <c r="AN206" s="27"/>
      <c r="AO206" s="29"/>
      <c r="AP206" s="35">
        <f t="shared" si="1"/>
        <v>5075</v>
      </c>
      <c r="AQ206" s="23">
        <f t="shared" si="2"/>
        <v>375</v>
      </c>
      <c r="AR206" s="23">
        <f t="shared" si="3"/>
        <v>0</v>
      </c>
      <c r="AS206" s="23">
        <f t="shared" si="4"/>
        <v>375</v>
      </c>
      <c r="AT206" s="36">
        <f t="shared" si="5"/>
        <v>13.53333333</v>
      </c>
      <c r="AU206" s="37"/>
      <c r="AV206" s="37"/>
      <c r="AW206" s="37"/>
    </row>
    <row r="207" ht="15.75" customHeight="1">
      <c r="A207" s="39" t="s">
        <v>27</v>
      </c>
      <c r="B207" s="40">
        <f t="shared" si="6"/>
        <v>44767</v>
      </c>
      <c r="C207" s="41">
        <v>8.0</v>
      </c>
      <c r="D207" s="41" t="s">
        <v>33</v>
      </c>
      <c r="E207" s="43" t="s">
        <v>40</v>
      </c>
      <c r="F207" s="26"/>
      <c r="H207" s="27"/>
      <c r="J207" s="27"/>
      <c r="L207" s="27"/>
      <c r="N207" s="27"/>
      <c r="P207" s="27"/>
      <c r="Q207" s="29"/>
      <c r="R207" s="26">
        <v>0.0</v>
      </c>
      <c r="T207" s="27">
        <v>100.0</v>
      </c>
      <c r="V207" s="27">
        <v>75.0</v>
      </c>
      <c r="X207" s="27">
        <v>100.0</v>
      </c>
      <c r="Z207" s="27">
        <v>100.0</v>
      </c>
      <c r="AB207" s="27">
        <v>0.0</v>
      </c>
      <c r="AC207" s="29"/>
      <c r="AD207" s="26"/>
      <c r="AF207" s="27"/>
      <c r="AH207" s="27"/>
      <c r="AJ207" s="27"/>
      <c r="AL207" s="27"/>
      <c r="AN207" s="27"/>
      <c r="AO207" s="29"/>
      <c r="AP207" s="45">
        <f t="shared" si="1"/>
        <v>5075</v>
      </c>
      <c r="AQ207" s="41">
        <f t="shared" si="2"/>
        <v>375</v>
      </c>
      <c r="AR207" s="41">
        <f t="shared" si="3"/>
        <v>0</v>
      </c>
      <c r="AS207" s="41">
        <f t="shared" si="4"/>
        <v>375</v>
      </c>
      <c r="AT207" s="46">
        <f t="shared" si="5"/>
        <v>13.53333333</v>
      </c>
      <c r="AU207" s="37"/>
      <c r="AV207" s="37"/>
      <c r="AW207" s="37"/>
    </row>
    <row r="208" ht="15.75" customHeight="1">
      <c r="A208" s="39" t="s">
        <v>28</v>
      </c>
      <c r="B208" s="40">
        <f t="shared" si="6"/>
        <v>44768</v>
      </c>
      <c r="C208" s="41">
        <v>8.0</v>
      </c>
      <c r="D208" s="41" t="s">
        <v>33</v>
      </c>
      <c r="E208" s="43" t="s">
        <v>40</v>
      </c>
      <c r="F208" s="26"/>
      <c r="H208" s="27"/>
      <c r="J208" s="27"/>
      <c r="L208" s="27"/>
      <c r="N208" s="27"/>
      <c r="P208" s="27"/>
      <c r="Q208" s="29"/>
      <c r="R208" s="26">
        <v>0.0</v>
      </c>
      <c r="T208" s="27">
        <v>100.0</v>
      </c>
      <c r="V208" s="27">
        <v>75.0</v>
      </c>
      <c r="X208" s="27">
        <v>100.0</v>
      </c>
      <c r="Z208" s="27">
        <v>100.0</v>
      </c>
      <c r="AB208" s="27">
        <v>0.0</v>
      </c>
      <c r="AC208" s="29"/>
      <c r="AD208" s="26"/>
      <c r="AF208" s="27"/>
      <c r="AH208" s="27"/>
      <c r="AJ208" s="27"/>
      <c r="AL208" s="27"/>
      <c r="AN208" s="27"/>
      <c r="AO208" s="29"/>
      <c r="AP208" s="45">
        <f t="shared" si="1"/>
        <v>5075</v>
      </c>
      <c r="AQ208" s="41">
        <f t="shared" si="2"/>
        <v>375</v>
      </c>
      <c r="AR208" s="41">
        <f t="shared" si="3"/>
        <v>0</v>
      </c>
      <c r="AS208" s="41">
        <f t="shared" si="4"/>
        <v>375</v>
      </c>
      <c r="AT208" s="46">
        <f t="shared" si="5"/>
        <v>13.53333333</v>
      </c>
      <c r="AU208" s="37"/>
      <c r="AV208" s="37"/>
      <c r="AW208" s="37"/>
    </row>
    <row r="209" ht="15.75" customHeight="1">
      <c r="A209" s="39" t="s">
        <v>29</v>
      </c>
      <c r="B209" s="40">
        <f t="shared" si="6"/>
        <v>44769</v>
      </c>
      <c r="C209" s="41">
        <v>8.0</v>
      </c>
      <c r="D209" s="41" t="s">
        <v>33</v>
      </c>
      <c r="E209" s="43" t="s">
        <v>40</v>
      </c>
      <c r="F209" s="26"/>
      <c r="H209" s="27"/>
      <c r="J209" s="27"/>
      <c r="L209" s="27"/>
      <c r="N209" s="27"/>
      <c r="P209" s="27"/>
      <c r="Q209" s="29"/>
      <c r="R209" s="26">
        <v>0.0</v>
      </c>
      <c r="T209" s="27">
        <v>100.0</v>
      </c>
      <c r="V209" s="27">
        <v>75.0</v>
      </c>
      <c r="X209" s="27">
        <v>100.0</v>
      </c>
      <c r="Z209" s="27">
        <v>100.0</v>
      </c>
      <c r="AB209" s="27">
        <v>0.0</v>
      </c>
      <c r="AC209" s="29"/>
      <c r="AD209" s="26"/>
      <c r="AF209" s="27"/>
      <c r="AH209" s="27"/>
      <c r="AJ209" s="27"/>
      <c r="AL209" s="27"/>
      <c r="AN209" s="27"/>
      <c r="AO209" s="29"/>
      <c r="AP209" s="45">
        <f t="shared" si="1"/>
        <v>5075</v>
      </c>
      <c r="AQ209" s="41">
        <f t="shared" si="2"/>
        <v>375</v>
      </c>
      <c r="AR209" s="41">
        <f t="shared" si="3"/>
        <v>0</v>
      </c>
      <c r="AS209" s="41">
        <f t="shared" si="4"/>
        <v>375</v>
      </c>
      <c r="AT209" s="46">
        <f t="shared" si="5"/>
        <v>13.53333333</v>
      </c>
      <c r="AU209" s="37"/>
      <c r="AV209" s="37"/>
      <c r="AW209" s="37"/>
    </row>
    <row r="210" ht="15.75" customHeight="1">
      <c r="A210" s="39" t="s">
        <v>30</v>
      </c>
      <c r="B210" s="40">
        <f t="shared" si="6"/>
        <v>44770</v>
      </c>
      <c r="C210" s="41">
        <v>8.0</v>
      </c>
      <c r="D210" s="41" t="s">
        <v>33</v>
      </c>
      <c r="E210" s="43" t="s">
        <v>40</v>
      </c>
      <c r="F210" s="26"/>
      <c r="H210" s="27"/>
      <c r="J210" s="27"/>
      <c r="L210" s="27"/>
      <c r="N210" s="27"/>
      <c r="P210" s="27"/>
      <c r="Q210" s="29"/>
      <c r="R210" s="26">
        <v>0.0</v>
      </c>
      <c r="T210" s="27">
        <v>100.0</v>
      </c>
      <c r="V210" s="27">
        <v>75.0</v>
      </c>
      <c r="X210" s="27">
        <v>100.0</v>
      </c>
      <c r="Z210" s="27">
        <v>100.0</v>
      </c>
      <c r="AB210" s="27">
        <v>0.0</v>
      </c>
      <c r="AC210" s="29"/>
      <c r="AD210" s="26"/>
      <c r="AF210" s="27"/>
      <c r="AH210" s="27"/>
      <c r="AJ210" s="27"/>
      <c r="AL210" s="27"/>
      <c r="AN210" s="27"/>
      <c r="AO210" s="29"/>
      <c r="AP210" s="45">
        <f t="shared" si="1"/>
        <v>5075</v>
      </c>
      <c r="AQ210" s="41">
        <f t="shared" si="2"/>
        <v>375</v>
      </c>
      <c r="AR210" s="41">
        <f t="shared" si="3"/>
        <v>0</v>
      </c>
      <c r="AS210" s="41">
        <f t="shared" si="4"/>
        <v>375</v>
      </c>
      <c r="AT210" s="46">
        <f t="shared" si="5"/>
        <v>13.53333333</v>
      </c>
      <c r="AU210" s="37"/>
      <c r="AV210" s="37"/>
      <c r="AW210" s="37"/>
    </row>
    <row r="211" ht="15.75" customHeight="1">
      <c r="A211" s="39" t="s">
        <v>31</v>
      </c>
      <c r="B211" s="40">
        <f t="shared" si="6"/>
        <v>44771</v>
      </c>
      <c r="C211" s="41">
        <v>8.0</v>
      </c>
      <c r="D211" s="41" t="s">
        <v>33</v>
      </c>
      <c r="E211" s="43" t="s">
        <v>40</v>
      </c>
      <c r="F211" s="26"/>
      <c r="H211" s="27"/>
      <c r="J211" s="27"/>
      <c r="L211" s="27"/>
      <c r="N211" s="27"/>
      <c r="P211" s="27"/>
      <c r="Q211" s="29"/>
      <c r="R211" s="26">
        <v>0.0</v>
      </c>
      <c r="T211" s="27">
        <v>100.0</v>
      </c>
      <c r="V211" s="27">
        <v>75.0</v>
      </c>
      <c r="X211" s="27">
        <v>100.0</v>
      </c>
      <c r="Z211" s="27">
        <v>100.0</v>
      </c>
      <c r="AB211" s="27">
        <v>0.0</v>
      </c>
      <c r="AC211" s="29"/>
      <c r="AD211" s="26"/>
      <c r="AF211" s="27"/>
      <c r="AH211" s="27"/>
      <c r="AJ211" s="27"/>
      <c r="AL211" s="27"/>
      <c r="AN211" s="27"/>
      <c r="AO211" s="29"/>
      <c r="AP211" s="45">
        <f t="shared" si="1"/>
        <v>5075</v>
      </c>
      <c r="AQ211" s="41">
        <f t="shared" si="2"/>
        <v>375</v>
      </c>
      <c r="AR211" s="41">
        <f t="shared" si="3"/>
        <v>0</v>
      </c>
      <c r="AS211" s="41">
        <f t="shared" si="4"/>
        <v>375</v>
      </c>
      <c r="AT211" s="46">
        <f t="shared" si="5"/>
        <v>13.53333333</v>
      </c>
      <c r="AU211" s="37"/>
      <c r="AV211" s="37"/>
      <c r="AW211" s="37"/>
    </row>
    <row r="212" ht="15.75" customHeight="1">
      <c r="A212" s="49" t="s">
        <v>32</v>
      </c>
      <c r="B212" s="50">
        <f t="shared" si="6"/>
        <v>44772</v>
      </c>
      <c r="C212" s="51">
        <v>8.0</v>
      </c>
      <c r="D212" s="51" t="s">
        <v>33</v>
      </c>
      <c r="E212" s="53" t="s">
        <v>40</v>
      </c>
      <c r="F212" s="54"/>
      <c r="G212" s="55"/>
      <c r="H212" s="56"/>
      <c r="I212" s="55"/>
      <c r="J212" s="56"/>
      <c r="K212" s="55"/>
      <c r="L212" s="56"/>
      <c r="M212" s="55"/>
      <c r="N212" s="56"/>
      <c r="O212" s="55"/>
      <c r="P212" s="56"/>
      <c r="Q212" s="58"/>
      <c r="R212" s="54">
        <v>0.0</v>
      </c>
      <c r="S212" s="55"/>
      <c r="T212" s="56">
        <v>0.0</v>
      </c>
      <c r="U212" s="55"/>
      <c r="V212" s="56">
        <v>0.0</v>
      </c>
      <c r="W212" s="55"/>
      <c r="X212" s="56">
        <v>0.0</v>
      </c>
      <c r="Y212" s="55"/>
      <c r="Z212" s="56">
        <v>0.0</v>
      </c>
      <c r="AA212" s="55"/>
      <c r="AB212" s="56">
        <v>0.0</v>
      </c>
      <c r="AC212" s="58"/>
      <c r="AD212" s="54"/>
      <c r="AE212" s="55"/>
      <c r="AF212" s="56"/>
      <c r="AG212" s="55"/>
      <c r="AH212" s="56"/>
      <c r="AI212" s="55"/>
      <c r="AJ212" s="56"/>
      <c r="AK212" s="55"/>
      <c r="AL212" s="56"/>
      <c r="AM212" s="55"/>
      <c r="AN212" s="56"/>
      <c r="AO212" s="58"/>
      <c r="AP212" s="60">
        <f t="shared" si="1"/>
        <v>0</v>
      </c>
      <c r="AQ212" s="51">
        <f t="shared" si="2"/>
        <v>0</v>
      </c>
      <c r="AR212" s="51">
        <f t="shared" si="3"/>
        <v>0</v>
      </c>
      <c r="AS212" s="51">
        <f t="shared" si="4"/>
        <v>0</v>
      </c>
      <c r="AT212" s="61" t="str">
        <f t="shared" si="5"/>
        <v/>
      </c>
      <c r="AU212" s="37"/>
      <c r="AV212" s="37"/>
      <c r="AW212" s="37"/>
    </row>
    <row r="213" ht="15.75" customHeight="1">
      <c r="A213" s="21" t="s">
        <v>24</v>
      </c>
      <c r="B213" s="62">
        <f t="shared" si="6"/>
        <v>44773</v>
      </c>
      <c r="C213" s="23">
        <v>8.0</v>
      </c>
      <c r="D213" s="23" t="s">
        <v>34</v>
      </c>
      <c r="E213" s="63" t="s">
        <v>40</v>
      </c>
      <c r="F213" s="26"/>
      <c r="H213" s="27"/>
      <c r="J213" s="27"/>
      <c r="L213" s="27"/>
      <c r="N213" s="27"/>
      <c r="P213" s="27"/>
      <c r="Q213" s="29"/>
      <c r="R213" s="26">
        <v>0.0</v>
      </c>
      <c r="T213" s="27">
        <v>100.0</v>
      </c>
      <c r="V213" s="27">
        <v>75.0</v>
      </c>
      <c r="X213" s="27">
        <v>100.0</v>
      </c>
      <c r="Z213" s="27">
        <v>100.0</v>
      </c>
      <c r="AB213" s="27">
        <v>0.0</v>
      </c>
      <c r="AC213" s="29"/>
      <c r="AD213" s="26"/>
      <c r="AF213" s="27"/>
      <c r="AH213" s="27"/>
      <c r="AJ213" s="27"/>
      <c r="AL213" s="27"/>
      <c r="AN213" s="27"/>
      <c r="AO213" s="29"/>
      <c r="AP213" s="35">
        <f t="shared" si="1"/>
        <v>5075</v>
      </c>
      <c r="AQ213" s="23">
        <f t="shared" si="2"/>
        <v>375</v>
      </c>
      <c r="AR213" s="23">
        <f t="shared" si="3"/>
        <v>0</v>
      </c>
      <c r="AS213" s="23">
        <f t="shared" si="4"/>
        <v>375</v>
      </c>
      <c r="AT213" s="36">
        <f t="shared" si="5"/>
        <v>13.53333333</v>
      </c>
      <c r="AU213" s="37"/>
      <c r="AV213" s="37"/>
      <c r="AW213" s="37"/>
    </row>
    <row r="214" ht="15.75" customHeight="1">
      <c r="A214" s="39" t="s">
        <v>27</v>
      </c>
      <c r="B214" s="40">
        <f t="shared" si="6"/>
        <v>44774</v>
      </c>
      <c r="C214" s="41">
        <v>8.0</v>
      </c>
      <c r="D214" s="41" t="s">
        <v>34</v>
      </c>
      <c r="E214" s="43" t="s">
        <v>40</v>
      </c>
      <c r="F214" s="26"/>
      <c r="H214" s="27"/>
      <c r="J214" s="27"/>
      <c r="L214" s="27"/>
      <c r="N214" s="27"/>
      <c r="P214" s="27"/>
      <c r="Q214" s="29"/>
      <c r="R214" s="26">
        <v>0.0</v>
      </c>
      <c r="T214" s="27">
        <v>100.0</v>
      </c>
      <c r="V214" s="27">
        <v>75.0</v>
      </c>
      <c r="X214" s="27">
        <v>100.0</v>
      </c>
      <c r="Z214" s="27">
        <v>100.0</v>
      </c>
      <c r="AB214" s="27">
        <v>0.0</v>
      </c>
      <c r="AC214" s="29"/>
      <c r="AD214" s="26"/>
      <c r="AF214" s="27"/>
      <c r="AH214" s="27"/>
      <c r="AJ214" s="27"/>
      <c r="AL214" s="27"/>
      <c r="AN214" s="27"/>
      <c r="AO214" s="29"/>
      <c r="AP214" s="45">
        <f t="shared" si="1"/>
        <v>5075</v>
      </c>
      <c r="AQ214" s="41">
        <f t="shared" si="2"/>
        <v>375</v>
      </c>
      <c r="AR214" s="41">
        <f t="shared" si="3"/>
        <v>0</v>
      </c>
      <c r="AS214" s="41">
        <f t="shared" si="4"/>
        <v>375</v>
      </c>
      <c r="AT214" s="46">
        <f t="shared" si="5"/>
        <v>13.53333333</v>
      </c>
      <c r="AU214" s="37"/>
      <c r="AV214" s="37"/>
      <c r="AW214" s="37"/>
    </row>
    <row r="215" ht="15.75" customHeight="1">
      <c r="A215" s="39" t="s">
        <v>28</v>
      </c>
      <c r="B215" s="40">
        <f t="shared" si="6"/>
        <v>44775</v>
      </c>
      <c r="C215" s="41">
        <v>8.0</v>
      </c>
      <c r="D215" s="41" t="s">
        <v>34</v>
      </c>
      <c r="E215" s="43" t="s">
        <v>40</v>
      </c>
      <c r="F215" s="26"/>
      <c r="H215" s="27"/>
      <c r="J215" s="27"/>
      <c r="L215" s="27"/>
      <c r="N215" s="27"/>
      <c r="P215" s="27"/>
      <c r="Q215" s="29"/>
      <c r="R215" s="26">
        <v>0.0</v>
      </c>
      <c r="T215" s="27">
        <v>100.0</v>
      </c>
      <c r="V215" s="27">
        <v>75.0</v>
      </c>
      <c r="X215" s="27">
        <v>100.0</v>
      </c>
      <c r="Z215" s="27">
        <v>100.0</v>
      </c>
      <c r="AB215" s="27">
        <v>0.0</v>
      </c>
      <c r="AC215" s="29"/>
      <c r="AD215" s="26"/>
      <c r="AF215" s="27"/>
      <c r="AH215" s="27"/>
      <c r="AJ215" s="27"/>
      <c r="AL215" s="27"/>
      <c r="AN215" s="27"/>
      <c r="AO215" s="29"/>
      <c r="AP215" s="45">
        <f t="shared" si="1"/>
        <v>5075</v>
      </c>
      <c r="AQ215" s="41">
        <f t="shared" si="2"/>
        <v>375</v>
      </c>
      <c r="AR215" s="41">
        <f t="shared" si="3"/>
        <v>0</v>
      </c>
      <c r="AS215" s="41">
        <f t="shared" si="4"/>
        <v>375</v>
      </c>
      <c r="AT215" s="46">
        <f t="shared" si="5"/>
        <v>13.53333333</v>
      </c>
      <c r="AU215" s="37"/>
      <c r="AV215" s="37"/>
      <c r="AW215" s="37"/>
    </row>
    <row r="216" ht="15.75" customHeight="1">
      <c r="A216" s="39" t="s">
        <v>29</v>
      </c>
      <c r="B216" s="40">
        <f t="shared" si="6"/>
        <v>44776</v>
      </c>
      <c r="C216" s="41">
        <v>8.0</v>
      </c>
      <c r="D216" s="41" t="s">
        <v>34</v>
      </c>
      <c r="E216" s="43" t="s">
        <v>40</v>
      </c>
      <c r="F216" s="26"/>
      <c r="H216" s="27"/>
      <c r="J216" s="27"/>
      <c r="L216" s="27"/>
      <c r="N216" s="27"/>
      <c r="P216" s="27"/>
      <c r="Q216" s="29"/>
      <c r="R216" s="26">
        <v>0.0</v>
      </c>
      <c r="T216" s="27">
        <v>100.0</v>
      </c>
      <c r="V216" s="27">
        <v>75.0</v>
      </c>
      <c r="X216" s="27">
        <v>100.0</v>
      </c>
      <c r="Z216" s="27">
        <v>100.0</v>
      </c>
      <c r="AB216" s="27">
        <v>0.0</v>
      </c>
      <c r="AC216" s="29"/>
      <c r="AD216" s="26"/>
      <c r="AF216" s="27"/>
      <c r="AH216" s="27"/>
      <c r="AJ216" s="27"/>
      <c r="AL216" s="27"/>
      <c r="AN216" s="27"/>
      <c r="AO216" s="29"/>
      <c r="AP216" s="45">
        <f t="shared" si="1"/>
        <v>5075</v>
      </c>
      <c r="AQ216" s="41">
        <f t="shared" si="2"/>
        <v>375</v>
      </c>
      <c r="AR216" s="41">
        <f t="shared" si="3"/>
        <v>0</v>
      </c>
      <c r="AS216" s="41">
        <f t="shared" si="4"/>
        <v>375</v>
      </c>
      <c r="AT216" s="46">
        <f t="shared" si="5"/>
        <v>13.53333333</v>
      </c>
      <c r="AU216" s="37"/>
      <c r="AV216" s="37"/>
      <c r="AW216" s="37"/>
    </row>
    <row r="217" ht="15.75" customHeight="1">
      <c r="A217" s="39" t="s">
        <v>30</v>
      </c>
      <c r="B217" s="40">
        <f t="shared" si="6"/>
        <v>44777</v>
      </c>
      <c r="C217" s="41">
        <v>8.0</v>
      </c>
      <c r="D217" s="41" t="s">
        <v>34</v>
      </c>
      <c r="E217" s="43" t="s">
        <v>40</v>
      </c>
      <c r="F217" s="26"/>
      <c r="H217" s="27"/>
      <c r="J217" s="27"/>
      <c r="L217" s="27"/>
      <c r="N217" s="27"/>
      <c r="P217" s="27"/>
      <c r="Q217" s="29"/>
      <c r="R217" s="26">
        <v>0.0</v>
      </c>
      <c r="T217" s="27">
        <v>100.0</v>
      </c>
      <c r="V217" s="27">
        <v>75.0</v>
      </c>
      <c r="X217" s="27">
        <v>100.0</v>
      </c>
      <c r="Z217" s="27">
        <v>100.0</v>
      </c>
      <c r="AB217" s="27">
        <v>0.0</v>
      </c>
      <c r="AC217" s="29"/>
      <c r="AD217" s="26"/>
      <c r="AF217" s="27"/>
      <c r="AH217" s="27"/>
      <c r="AJ217" s="27"/>
      <c r="AL217" s="27"/>
      <c r="AN217" s="27"/>
      <c r="AO217" s="29"/>
      <c r="AP217" s="45">
        <f t="shared" si="1"/>
        <v>5075</v>
      </c>
      <c r="AQ217" s="41">
        <f t="shared" si="2"/>
        <v>375</v>
      </c>
      <c r="AR217" s="41">
        <f t="shared" si="3"/>
        <v>0</v>
      </c>
      <c r="AS217" s="41">
        <f t="shared" si="4"/>
        <v>375</v>
      </c>
      <c r="AT217" s="46">
        <f t="shared" si="5"/>
        <v>13.53333333</v>
      </c>
      <c r="AU217" s="37"/>
      <c r="AV217" s="37"/>
      <c r="AW217" s="37"/>
    </row>
    <row r="218" ht="15.75" customHeight="1">
      <c r="A218" s="39" t="s">
        <v>31</v>
      </c>
      <c r="B218" s="40">
        <f t="shared" si="6"/>
        <v>44778</v>
      </c>
      <c r="C218" s="41">
        <v>8.0</v>
      </c>
      <c r="D218" s="41" t="s">
        <v>34</v>
      </c>
      <c r="E218" s="43" t="s">
        <v>40</v>
      </c>
      <c r="F218" s="26"/>
      <c r="H218" s="27"/>
      <c r="J218" s="27"/>
      <c r="L218" s="27"/>
      <c r="N218" s="27"/>
      <c r="P218" s="27"/>
      <c r="Q218" s="29"/>
      <c r="R218" s="26">
        <v>0.0</v>
      </c>
      <c r="T218" s="27">
        <v>100.0</v>
      </c>
      <c r="V218" s="27">
        <v>75.0</v>
      </c>
      <c r="X218" s="27">
        <v>100.0</v>
      </c>
      <c r="Z218" s="27">
        <v>100.0</v>
      </c>
      <c r="AB218" s="27">
        <v>0.0</v>
      </c>
      <c r="AC218" s="29"/>
      <c r="AD218" s="26"/>
      <c r="AF218" s="27"/>
      <c r="AH218" s="27"/>
      <c r="AJ218" s="27"/>
      <c r="AL218" s="27"/>
      <c r="AN218" s="27"/>
      <c r="AO218" s="29"/>
      <c r="AP218" s="45">
        <f t="shared" si="1"/>
        <v>5075</v>
      </c>
      <c r="AQ218" s="41">
        <f t="shared" si="2"/>
        <v>375</v>
      </c>
      <c r="AR218" s="41">
        <f t="shared" si="3"/>
        <v>0</v>
      </c>
      <c r="AS218" s="41">
        <f t="shared" si="4"/>
        <v>375</v>
      </c>
      <c r="AT218" s="46">
        <f t="shared" si="5"/>
        <v>13.53333333</v>
      </c>
      <c r="AU218" s="37"/>
      <c r="AV218" s="37"/>
      <c r="AW218" s="37"/>
    </row>
    <row r="219" ht="15.75" customHeight="1">
      <c r="A219" s="49" t="s">
        <v>32</v>
      </c>
      <c r="B219" s="50">
        <f t="shared" si="6"/>
        <v>44779</v>
      </c>
      <c r="C219" s="51">
        <v>8.0</v>
      </c>
      <c r="D219" s="51" t="s">
        <v>34</v>
      </c>
      <c r="E219" s="53" t="s">
        <v>40</v>
      </c>
      <c r="F219" s="54"/>
      <c r="G219" s="55"/>
      <c r="H219" s="56"/>
      <c r="I219" s="55"/>
      <c r="J219" s="56"/>
      <c r="K219" s="55"/>
      <c r="L219" s="56"/>
      <c r="M219" s="55"/>
      <c r="N219" s="56"/>
      <c r="O219" s="55"/>
      <c r="P219" s="56"/>
      <c r="Q219" s="58"/>
      <c r="R219" s="54">
        <v>0.0</v>
      </c>
      <c r="S219" s="55"/>
      <c r="T219" s="56">
        <v>0.0</v>
      </c>
      <c r="U219" s="55"/>
      <c r="V219" s="56">
        <v>0.0</v>
      </c>
      <c r="W219" s="55"/>
      <c r="X219" s="56">
        <v>0.0</v>
      </c>
      <c r="Y219" s="55"/>
      <c r="Z219" s="56">
        <v>0.0</v>
      </c>
      <c r="AA219" s="55"/>
      <c r="AB219" s="56">
        <v>0.0</v>
      </c>
      <c r="AC219" s="58"/>
      <c r="AD219" s="54"/>
      <c r="AE219" s="55"/>
      <c r="AF219" s="56"/>
      <c r="AG219" s="55"/>
      <c r="AH219" s="56"/>
      <c r="AI219" s="55"/>
      <c r="AJ219" s="56"/>
      <c r="AK219" s="55"/>
      <c r="AL219" s="56"/>
      <c r="AM219" s="55"/>
      <c r="AN219" s="56"/>
      <c r="AO219" s="58"/>
      <c r="AP219" s="60">
        <f t="shared" si="1"/>
        <v>0</v>
      </c>
      <c r="AQ219" s="51">
        <f t="shared" si="2"/>
        <v>0</v>
      </c>
      <c r="AR219" s="51">
        <f t="shared" si="3"/>
        <v>0</v>
      </c>
      <c r="AS219" s="51">
        <f t="shared" si="4"/>
        <v>0</v>
      </c>
      <c r="AT219" s="61" t="str">
        <f t="shared" si="5"/>
        <v/>
      </c>
      <c r="AU219" s="37"/>
      <c r="AV219" s="37"/>
      <c r="AW219" s="37"/>
    </row>
    <row r="220" ht="15.75" customHeight="1">
      <c r="A220" s="21" t="s">
        <v>24</v>
      </c>
      <c r="B220" s="62">
        <f t="shared" si="6"/>
        <v>44780</v>
      </c>
      <c r="C220" s="23">
        <v>8.0</v>
      </c>
      <c r="D220" s="23" t="s">
        <v>35</v>
      </c>
      <c r="E220" s="63" t="s">
        <v>40</v>
      </c>
      <c r="F220" s="26"/>
      <c r="H220" s="27"/>
      <c r="J220" s="27"/>
      <c r="L220" s="27"/>
      <c r="N220" s="27"/>
      <c r="P220" s="27"/>
      <c r="Q220" s="29"/>
      <c r="R220" s="26">
        <v>0.0</v>
      </c>
      <c r="T220" s="27">
        <v>100.0</v>
      </c>
      <c r="V220" s="27">
        <v>75.0</v>
      </c>
      <c r="X220" s="27">
        <v>100.0</v>
      </c>
      <c r="Z220" s="27">
        <v>100.0</v>
      </c>
      <c r="AB220" s="27">
        <v>0.0</v>
      </c>
      <c r="AC220" s="29"/>
      <c r="AD220" s="26"/>
      <c r="AF220" s="27"/>
      <c r="AH220" s="27"/>
      <c r="AJ220" s="27"/>
      <c r="AL220" s="27"/>
      <c r="AN220" s="27"/>
      <c r="AO220" s="29"/>
      <c r="AP220" s="35">
        <f t="shared" si="1"/>
        <v>5075</v>
      </c>
      <c r="AQ220" s="23">
        <f t="shared" si="2"/>
        <v>375</v>
      </c>
      <c r="AR220" s="23">
        <f t="shared" si="3"/>
        <v>0</v>
      </c>
      <c r="AS220" s="23">
        <f t="shared" si="4"/>
        <v>375</v>
      </c>
      <c r="AT220" s="36">
        <f t="shared" si="5"/>
        <v>13.53333333</v>
      </c>
      <c r="AU220" s="37"/>
      <c r="AV220" s="37"/>
      <c r="AW220" s="37"/>
    </row>
    <row r="221" ht="15.75" customHeight="1">
      <c r="A221" s="39" t="s">
        <v>27</v>
      </c>
      <c r="B221" s="40">
        <f t="shared" si="6"/>
        <v>44781</v>
      </c>
      <c r="C221" s="41">
        <v>8.0</v>
      </c>
      <c r="D221" s="41" t="s">
        <v>35</v>
      </c>
      <c r="E221" s="43" t="s">
        <v>40</v>
      </c>
      <c r="F221" s="26"/>
      <c r="H221" s="27"/>
      <c r="J221" s="27"/>
      <c r="L221" s="27"/>
      <c r="N221" s="27"/>
      <c r="P221" s="27"/>
      <c r="Q221" s="29"/>
      <c r="R221" s="26">
        <v>0.0</v>
      </c>
      <c r="T221" s="27">
        <v>100.0</v>
      </c>
      <c r="V221" s="27">
        <v>75.0</v>
      </c>
      <c r="X221" s="27">
        <v>100.0</v>
      </c>
      <c r="Z221" s="27">
        <v>100.0</v>
      </c>
      <c r="AB221" s="27">
        <v>0.0</v>
      </c>
      <c r="AC221" s="29"/>
      <c r="AD221" s="26"/>
      <c r="AF221" s="27"/>
      <c r="AH221" s="27"/>
      <c r="AJ221" s="27"/>
      <c r="AL221" s="27"/>
      <c r="AN221" s="27"/>
      <c r="AO221" s="29"/>
      <c r="AP221" s="45">
        <f t="shared" si="1"/>
        <v>5075</v>
      </c>
      <c r="AQ221" s="41">
        <f t="shared" si="2"/>
        <v>375</v>
      </c>
      <c r="AR221" s="41">
        <f t="shared" si="3"/>
        <v>0</v>
      </c>
      <c r="AS221" s="41">
        <f t="shared" si="4"/>
        <v>375</v>
      </c>
      <c r="AT221" s="46">
        <f t="shared" si="5"/>
        <v>13.53333333</v>
      </c>
      <c r="AU221" s="37"/>
      <c r="AV221" s="37"/>
      <c r="AW221" s="37"/>
    </row>
    <row r="222" ht="15.75" customHeight="1">
      <c r="A222" s="39" t="s">
        <v>28</v>
      </c>
      <c r="B222" s="40">
        <f t="shared" si="6"/>
        <v>44782</v>
      </c>
      <c r="C222" s="41">
        <v>8.0</v>
      </c>
      <c r="D222" s="41" t="s">
        <v>35</v>
      </c>
      <c r="E222" s="43" t="s">
        <v>40</v>
      </c>
      <c r="F222" s="26"/>
      <c r="H222" s="27"/>
      <c r="J222" s="27"/>
      <c r="L222" s="27"/>
      <c r="N222" s="27"/>
      <c r="P222" s="27"/>
      <c r="Q222" s="29"/>
      <c r="R222" s="26">
        <v>0.0</v>
      </c>
      <c r="T222" s="27">
        <v>100.0</v>
      </c>
      <c r="V222" s="27">
        <v>75.0</v>
      </c>
      <c r="X222" s="27">
        <v>100.0</v>
      </c>
      <c r="Z222" s="27">
        <v>100.0</v>
      </c>
      <c r="AB222" s="27">
        <v>0.0</v>
      </c>
      <c r="AC222" s="29"/>
      <c r="AD222" s="26"/>
      <c r="AF222" s="27"/>
      <c r="AH222" s="27"/>
      <c r="AJ222" s="27"/>
      <c r="AL222" s="27"/>
      <c r="AN222" s="27"/>
      <c r="AO222" s="29"/>
      <c r="AP222" s="45">
        <f t="shared" si="1"/>
        <v>5075</v>
      </c>
      <c r="AQ222" s="41">
        <f t="shared" si="2"/>
        <v>375</v>
      </c>
      <c r="AR222" s="41">
        <f t="shared" si="3"/>
        <v>0</v>
      </c>
      <c r="AS222" s="41">
        <f t="shared" si="4"/>
        <v>375</v>
      </c>
      <c r="AT222" s="46">
        <f t="shared" si="5"/>
        <v>13.53333333</v>
      </c>
      <c r="AU222" s="37"/>
      <c r="AV222" s="37"/>
      <c r="AW222" s="37"/>
    </row>
    <row r="223" ht="15.75" customHeight="1">
      <c r="A223" s="39" t="s">
        <v>29</v>
      </c>
      <c r="B223" s="40">
        <f t="shared" si="6"/>
        <v>44783</v>
      </c>
      <c r="C223" s="41">
        <v>8.0</v>
      </c>
      <c r="D223" s="41" t="s">
        <v>35</v>
      </c>
      <c r="E223" s="43" t="s">
        <v>40</v>
      </c>
      <c r="F223" s="26"/>
      <c r="H223" s="27"/>
      <c r="J223" s="27"/>
      <c r="L223" s="27"/>
      <c r="N223" s="27"/>
      <c r="P223" s="27"/>
      <c r="Q223" s="29"/>
      <c r="R223" s="26">
        <v>0.0</v>
      </c>
      <c r="T223" s="27">
        <v>100.0</v>
      </c>
      <c r="V223" s="27">
        <v>75.0</v>
      </c>
      <c r="X223" s="27">
        <v>100.0</v>
      </c>
      <c r="Z223" s="27">
        <v>100.0</v>
      </c>
      <c r="AB223" s="27">
        <v>0.0</v>
      </c>
      <c r="AC223" s="29"/>
      <c r="AD223" s="26"/>
      <c r="AF223" s="27"/>
      <c r="AH223" s="27"/>
      <c r="AJ223" s="27"/>
      <c r="AL223" s="27"/>
      <c r="AN223" s="27"/>
      <c r="AO223" s="29"/>
      <c r="AP223" s="45">
        <f t="shared" si="1"/>
        <v>5075</v>
      </c>
      <c r="AQ223" s="41">
        <f t="shared" si="2"/>
        <v>375</v>
      </c>
      <c r="AR223" s="41">
        <f t="shared" si="3"/>
        <v>0</v>
      </c>
      <c r="AS223" s="41">
        <f t="shared" si="4"/>
        <v>375</v>
      </c>
      <c r="AT223" s="46">
        <f t="shared" si="5"/>
        <v>13.53333333</v>
      </c>
      <c r="AU223" s="37"/>
      <c r="AV223" s="37"/>
      <c r="AW223" s="37"/>
    </row>
    <row r="224" ht="15.75" customHeight="1">
      <c r="A224" s="39" t="s">
        <v>30</v>
      </c>
      <c r="B224" s="40">
        <f t="shared" si="6"/>
        <v>44784</v>
      </c>
      <c r="C224" s="41">
        <v>8.0</v>
      </c>
      <c r="D224" s="41" t="s">
        <v>35</v>
      </c>
      <c r="E224" s="43" t="s">
        <v>40</v>
      </c>
      <c r="F224" s="26"/>
      <c r="H224" s="27"/>
      <c r="J224" s="27"/>
      <c r="L224" s="27"/>
      <c r="N224" s="27"/>
      <c r="P224" s="27"/>
      <c r="Q224" s="29"/>
      <c r="R224" s="26">
        <v>0.0</v>
      </c>
      <c r="T224" s="27">
        <v>100.0</v>
      </c>
      <c r="V224" s="27">
        <v>75.0</v>
      </c>
      <c r="X224" s="27">
        <v>100.0</v>
      </c>
      <c r="Z224" s="27">
        <v>100.0</v>
      </c>
      <c r="AB224" s="27">
        <v>0.0</v>
      </c>
      <c r="AC224" s="29"/>
      <c r="AD224" s="26"/>
      <c r="AF224" s="27"/>
      <c r="AH224" s="27"/>
      <c r="AJ224" s="27"/>
      <c r="AL224" s="27"/>
      <c r="AN224" s="27"/>
      <c r="AO224" s="29"/>
      <c r="AP224" s="45">
        <f t="shared" si="1"/>
        <v>5075</v>
      </c>
      <c r="AQ224" s="41">
        <f t="shared" si="2"/>
        <v>375</v>
      </c>
      <c r="AR224" s="41">
        <f t="shared" si="3"/>
        <v>0</v>
      </c>
      <c r="AS224" s="41">
        <f t="shared" si="4"/>
        <v>375</v>
      </c>
      <c r="AT224" s="46">
        <f t="shared" si="5"/>
        <v>13.53333333</v>
      </c>
      <c r="AU224" s="37"/>
      <c r="AV224" s="37"/>
      <c r="AW224" s="37"/>
    </row>
    <row r="225" ht="15.75" customHeight="1">
      <c r="A225" s="39" t="s">
        <v>31</v>
      </c>
      <c r="B225" s="40">
        <f t="shared" si="6"/>
        <v>44785</v>
      </c>
      <c r="C225" s="41">
        <v>8.0</v>
      </c>
      <c r="D225" s="41" t="s">
        <v>35</v>
      </c>
      <c r="E225" s="43" t="s">
        <v>40</v>
      </c>
      <c r="F225" s="26"/>
      <c r="H225" s="27"/>
      <c r="J225" s="27"/>
      <c r="L225" s="27"/>
      <c r="N225" s="27"/>
      <c r="P225" s="27"/>
      <c r="Q225" s="29"/>
      <c r="R225" s="26">
        <v>0.0</v>
      </c>
      <c r="T225" s="27">
        <v>100.0</v>
      </c>
      <c r="V225" s="27">
        <v>75.0</v>
      </c>
      <c r="X225" s="27">
        <v>100.0</v>
      </c>
      <c r="Z225" s="27">
        <v>100.0</v>
      </c>
      <c r="AB225" s="27">
        <v>0.0</v>
      </c>
      <c r="AC225" s="29"/>
      <c r="AD225" s="26"/>
      <c r="AF225" s="27"/>
      <c r="AH225" s="27"/>
      <c r="AJ225" s="27"/>
      <c r="AL225" s="27"/>
      <c r="AN225" s="27"/>
      <c r="AO225" s="29"/>
      <c r="AP225" s="45">
        <f t="shared" si="1"/>
        <v>5075</v>
      </c>
      <c r="AQ225" s="41">
        <f t="shared" si="2"/>
        <v>375</v>
      </c>
      <c r="AR225" s="41">
        <f t="shared" si="3"/>
        <v>0</v>
      </c>
      <c r="AS225" s="41">
        <f t="shared" si="4"/>
        <v>375</v>
      </c>
      <c r="AT225" s="46">
        <f t="shared" si="5"/>
        <v>13.53333333</v>
      </c>
      <c r="AU225" s="37"/>
      <c r="AV225" s="37"/>
      <c r="AW225" s="37"/>
    </row>
    <row r="226" ht="15.75" customHeight="1">
      <c r="A226" s="49" t="s">
        <v>32</v>
      </c>
      <c r="B226" s="50">
        <f t="shared" si="6"/>
        <v>44786</v>
      </c>
      <c r="C226" s="51">
        <v>8.0</v>
      </c>
      <c r="D226" s="51" t="s">
        <v>35</v>
      </c>
      <c r="E226" s="53" t="s">
        <v>40</v>
      </c>
      <c r="F226" s="54"/>
      <c r="G226" s="55"/>
      <c r="H226" s="56"/>
      <c r="I226" s="55"/>
      <c r="J226" s="56"/>
      <c r="K226" s="55"/>
      <c r="L226" s="56"/>
      <c r="M226" s="55"/>
      <c r="N226" s="56"/>
      <c r="O226" s="55"/>
      <c r="P226" s="56"/>
      <c r="Q226" s="58"/>
      <c r="R226" s="54">
        <v>0.0</v>
      </c>
      <c r="S226" s="55"/>
      <c r="T226" s="56">
        <v>0.0</v>
      </c>
      <c r="U226" s="55"/>
      <c r="V226" s="56">
        <v>0.0</v>
      </c>
      <c r="W226" s="55"/>
      <c r="X226" s="56">
        <v>0.0</v>
      </c>
      <c r="Y226" s="55"/>
      <c r="Z226" s="56">
        <v>0.0</v>
      </c>
      <c r="AA226" s="55"/>
      <c r="AB226" s="56">
        <v>0.0</v>
      </c>
      <c r="AC226" s="58"/>
      <c r="AD226" s="54"/>
      <c r="AE226" s="55"/>
      <c r="AF226" s="56"/>
      <c r="AG226" s="55"/>
      <c r="AH226" s="56"/>
      <c r="AI226" s="55"/>
      <c r="AJ226" s="56"/>
      <c r="AK226" s="55"/>
      <c r="AL226" s="56"/>
      <c r="AM226" s="55"/>
      <c r="AN226" s="56"/>
      <c r="AO226" s="58"/>
      <c r="AP226" s="60">
        <f t="shared" si="1"/>
        <v>0</v>
      </c>
      <c r="AQ226" s="51">
        <f t="shared" si="2"/>
        <v>0</v>
      </c>
      <c r="AR226" s="51">
        <f t="shared" si="3"/>
        <v>0</v>
      </c>
      <c r="AS226" s="51">
        <f t="shared" si="4"/>
        <v>0</v>
      </c>
      <c r="AT226" s="61" t="str">
        <f t="shared" si="5"/>
        <v/>
      </c>
      <c r="AU226" s="37"/>
      <c r="AV226" s="37"/>
      <c r="AW226" s="37"/>
    </row>
    <row r="227" ht="15.75" customHeight="1">
      <c r="A227" s="21" t="s">
        <v>24</v>
      </c>
      <c r="B227" s="62">
        <f t="shared" si="6"/>
        <v>44787</v>
      </c>
      <c r="C227" s="23">
        <v>9.0</v>
      </c>
      <c r="D227" s="23" t="s">
        <v>25</v>
      </c>
      <c r="E227" s="63" t="s">
        <v>40</v>
      </c>
      <c r="F227" s="26"/>
      <c r="H227" s="27"/>
      <c r="J227" s="27"/>
      <c r="L227" s="27"/>
      <c r="N227" s="27"/>
      <c r="P227" s="27"/>
      <c r="Q227" s="29"/>
      <c r="R227" s="26">
        <v>0.0</v>
      </c>
      <c r="T227" s="27">
        <v>100.0</v>
      </c>
      <c r="V227" s="27">
        <v>75.0</v>
      </c>
      <c r="X227" s="27">
        <v>100.0</v>
      </c>
      <c r="Z227" s="27">
        <v>100.0</v>
      </c>
      <c r="AB227" s="27">
        <v>0.0</v>
      </c>
      <c r="AC227" s="29"/>
      <c r="AD227" s="26"/>
      <c r="AF227" s="27"/>
      <c r="AH227" s="27"/>
      <c r="AJ227" s="27"/>
      <c r="AL227" s="27"/>
      <c r="AN227" s="27"/>
      <c r="AO227" s="29"/>
      <c r="AP227" s="35">
        <f t="shared" si="1"/>
        <v>5075</v>
      </c>
      <c r="AQ227" s="23">
        <f t="shared" si="2"/>
        <v>375</v>
      </c>
      <c r="AR227" s="23">
        <f t="shared" si="3"/>
        <v>0</v>
      </c>
      <c r="AS227" s="23">
        <f t="shared" si="4"/>
        <v>375</v>
      </c>
      <c r="AT227" s="36">
        <f t="shared" si="5"/>
        <v>13.53333333</v>
      </c>
      <c r="AU227" s="37"/>
      <c r="AV227" s="37"/>
      <c r="AW227" s="37"/>
    </row>
    <row r="228" ht="15.75" customHeight="1">
      <c r="A228" s="39" t="s">
        <v>27</v>
      </c>
      <c r="B228" s="40">
        <f t="shared" si="6"/>
        <v>44788</v>
      </c>
      <c r="C228" s="41">
        <v>9.0</v>
      </c>
      <c r="D228" s="41" t="s">
        <v>25</v>
      </c>
      <c r="E228" s="43" t="s">
        <v>40</v>
      </c>
      <c r="F228" s="26"/>
      <c r="H228" s="27"/>
      <c r="J228" s="27"/>
      <c r="L228" s="27"/>
      <c r="N228" s="27"/>
      <c r="P228" s="27"/>
      <c r="Q228" s="29"/>
      <c r="R228" s="26">
        <v>0.0</v>
      </c>
      <c r="T228" s="27">
        <v>100.0</v>
      </c>
      <c r="V228" s="27">
        <v>75.0</v>
      </c>
      <c r="X228" s="27">
        <v>100.0</v>
      </c>
      <c r="Z228" s="27">
        <v>100.0</v>
      </c>
      <c r="AB228" s="27">
        <v>0.0</v>
      </c>
      <c r="AC228" s="29"/>
      <c r="AD228" s="26"/>
      <c r="AF228" s="27"/>
      <c r="AH228" s="27"/>
      <c r="AJ228" s="27"/>
      <c r="AL228" s="27"/>
      <c r="AN228" s="27"/>
      <c r="AO228" s="29"/>
      <c r="AP228" s="45">
        <f t="shared" si="1"/>
        <v>5075</v>
      </c>
      <c r="AQ228" s="41">
        <f t="shared" si="2"/>
        <v>375</v>
      </c>
      <c r="AR228" s="41">
        <f t="shared" si="3"/>
        <v>0</v>
      </c>
      <c r="AS228" s="41">
        <f t="shared" si="4"/>
        <v>375</v>
      </c>
      <c r="AT228" s="46">
        <f t="shared" si="5"/>
        <v>13.53333333</v>
      </c>
      <c r="AU228" s="37"/>
      <c r="AV228" s="37"/>
      <c r="AW228" s="37"/>
    </row>
    <row r="229" ht="15.75" customHeight="1">
      <c r="A229" s="39" t="s">
        <v>28</v>
      </c>
      <c r="B229" s="40">
        <f t="shared" si="6"/>
        <v>44789</v>
      </c>
      <c r="C229" s="41">
        <v>9.0</v>
      </c>
      <c r="D229" s="41" t="s">
        <v>25</v>
      </c>
      <c r="E229" s="43" t="s">
        <v>40</v>
      </c>
      <c r="F229" s="26"/>
      <c r="H229" s="27"/>
      <c r="J229" s="27"/>
      <c r="L229" s="27"/>
      <c r="N229" s="27"/>
      <c r="P229" s="27"/>
      <c r="Q229" s="29"/>
      <c r="R229" s="26">
        <v>0.0</v>
      </c>
      <c r="T229" s="27">
        <v>100.0</v>
      </c>
      <c r="V229" s="27">
        <v>75.0</v>
      </c>
      <c r="X229" s="27">
        <v>100.0</v>
      </c>
      <c r="Z229" s="27">
        <v>100.0</v>
      </c>
      <c r="AB229" s="27">
        <v>0.0</v>
      </c>
      <c r="AC229" s="29"/>
      <c r="AD229" s="26"/>
      <c r="AF229" s="27"/>
      <c r="AH229" s="27"/>
      <c r="AJ229" s="27"/>
      <c r="AL229" s="27"/>
      <c r="AN229" s="27"/>
      <c r="AO229" s="29"/>
      <c r="AP229" s="45">
        <f t="shared" si="1"/>
        <v>5075</v>
      </c>
      <c r="AQ229" s="41">
        <f t="shared" si="2"/>
        <v>375</v>
      </c>
      <c r="AR229" s="41">
        <f t="shared" si="3"/>
        <v>0</v>
      </c>
      <c r="AS229" s="41">
        <f t="shared" si="4"/>
        <v>375</v>
      </c>
      <c r="AT229" s="46">
        <f t="shared" si="5"/>
        <v>13.53333333</v>
      </c>
      <c r="AU229" s="37"/>
      <c r="AV229" s="37"/>
      <c r="AW229" s="37"/>
    </row>
    <row r="230" ht="15.75" customHeight="1">
      <c r="A230" s="39" t="s">
        <v>29</v>
      </c>
      <c r="B230" s="40">
        <f t="shared" si="6"/>
        <v>44790</v>
      </c>
      <c r="C230" s="41">
        <v>9.0</v>
      </c>
      <c r="D230" s="41" t="s">
        <v>25</v>
      </c>
      <c r="E230" s="43" t="s">
        <v>40</v>
      </c>
      <c r="F230" s="26"/>
      <c r="H230" s="27"/>
      <c r="J230" s="27"/>
      <c r="L230" s="27"/>
      <c r="N230" s="27"/>
      <c r="P230" s="27"/>
      <c r="Q230" s="29"/>
      <c r="R230" s="26">
        <v>0.0</v>
      </c>
      <c r="T230" s="27">
        <v>100.0</v>
      </c>
      <c r="V230" s="27">
        <v>75.0</v>
      </c>
      <c r="X230" s="27">
        <v>100.0</v>
      </c>
      <c r="Z230" s="27">
        <v>100.0</v>
      </c>
      <c r="AB230" s="27">
        <v>0.0</v>
      </c>
      <c r="AC230" s="29"/>
      <c r="AD230" s="26"/>
      <c r="AF230" s="27"/>
      <c r="AH230" s="27"/>
      <c r="AJ230" s="27"/>
      <c r="AL230" s="27"/>
      <c r="AN230" s="27"/>
      <c r="AO230" s="29"/>
      <c r="AP230" s="45">
        <f t="shared" si="1"/>
        <v>5075</v>
      </c>
      <c r="AQ230" s="41">
        <f t="shared" si="2"/>
        <v>375</v>
      </c>
      <c r="AR230" s="41">
        <f t="shared" si="3"/>
        <v>0</v>
      </c>
      <c r="AS230" s="41">
        <f t="shared" si="4"/>
        <v>375</v>
      </c>
      <c r="AT230" s="46">
        <f t="shared" si="5"/>
        <v>13.53333333</v>
      </c>
      <c r="AU230" s="37"/>
      <c r="AV230" s="37"/>
      <c r="AW230" s="37"/>
    </row>
    <row r="231" ht="15.75" customHeight="1">
      <c r="A231" s="39" t="s">
        <v>30</v>
      </c>
      <c r="B231" s="40">
        <f t="shared" si="6"/>
        <v>44791</v>
      </c>
      <c r="C231" s="41">
        <v>9.0</v>
      </c>
      <c r="D231" s="41" t="s">
        <v>25</v>
      </c>
      <c r="E231" s="43" t="s">
        <v>40</v>
      </c>
      <c r="F231" s="26"/>
      <c r="H231" s="27"/>
      <c r="J231" s="27"/>
      <c r="L231" s="27"/>
      <c r="N231" s="27"/>
      <c r="P231" s="27"/>
      <c r="Q231" s="29"/>
      <c r="R231" s="26">
        <v>0.0</v>
      </c>
      <c r="T231" s="27">
        <v>100.0</v>
      </c>
      <c r="V231" s="27">
        <v>75.0</v>
      </c>
      <c r="X231" s="27">
        <v>100.0</v>
      </c>
      <c r="Z231" s="27">
        <v>100.0</v>
      </c>
      <c r="AB231" s="27">
        <v>0.0</v>
      </c>
      <c r="AC231" s="29"/>
      <c r="AD231" s="26"/>
      <c r="AF231" s="27"/>
      <c r="AH231" s="27"/>
      <c r="AJ231" s="27"/>
      <c r="AL231" s="27"/>
      <c r="AN231" s="27"/>
      <c r="AO231" s="29"/>
      <c r="AP231" s="45">
        <f t="shared" si="1"/>
        <v>5075</v>
      </c>
      <c r="AQ231" s="41">
        <f t="shared" si="2"/>
        <v>375</v>
      </c>
      <c r="AR231" s="41">
        <f t="shared" si="3"/>
        <v>0</v>
      </c>
      <c r="AS231" s="41">
        <f t="shared" si="4"/>
        <v>375</v>
      </c>
      <c r="AT231" s="46">
        <f t="shared" si="5"/>
        <v>13.53333333</v>
      </c>
      <c r="AU231" s="37"/>
      <c r="AV231" s="37"/>
      <c r="AW231" s="37"/>
    </row>
    <row r="232" ht="15.75" customHeight="1">
      <c r="A232" s="39" t="s">
        <v>31</v>
      </c>
      <c r="B232" s="40">
        <f t="shared" si="6"/>
        <v>44792</v>
      </c>
      <c r="C232" s="41">
        <v>9.0</v>
      </c>
      <c r="D232" s="41" t="s">
        <v>25</v>
      </c>
      <c r="E232" s="43" t="s">
        <v>40</v>
      </c>
      <c r="F232" s="26"/>
      <c r="H232" s="27"/>
      <c r="J232" s="27"/>
      <c r="L232" s="27"/>
      <c r="N232" s="27"/>
      <c r="P232" s="27"/>
      <c r="Q232" s="29"/>
      <c r="R232" s="26">
        <v>0.0</v>
      </c>
      <c r="T232" s="27">
        <v>100.0</v>
      </c>
      <c r="V232" s="27">
        <v>75.0</v>
      </c>
      <c r="X232" s="27">
        <v>100.0</v>
      </c>
      <c r="Z232" s="27">
        <v>100.0</v>
      </c>
      <c r="AB232" s="27">
        <v>0.0</v>
      </c>
      <c r="AC232" s="29"/>
      <c r="AD232" s="26"/>
      <c r="AF232" s="27"/>
      <c r="AH232" s="27"/>
      <c r="AJ232" s="27"/>
      <c r="AL232" s="27"/>
      <c r="AN232" s="27"/>
      <c r="AO232" s="29"/>
      <c r="AP232" s="45">
        <f t="shared" si="1"/>
        <v>5075</v>
      </c>
      <c r="AQ232" s="41">
        <f t="shared" si="2"/>
        <v>375</v>
      </c>
      <c r="AR232" s="41">
        <f t="shared" si="3"/>
        <v>0</v>
      </c>
      <c r="AS232" s="41">
        <f t="shared" si="4"/>
        <v>375</v>
      </c>
      <c r="AT232" s="46">
        <f t="shared" si="5"/>
        <v>13.53333333</v>
      </c>
      <c r="AU232" s="37"/>
      <c r="AV232" s="37"/>
      <c r="AW232" s="37"/>
    </row>
    <row r="233" ht="15.75" customHeight="1">
      <c r="A233" s="49" t="s">
        <v>32</v>
      </c>
      <c r="B233" s="50">
        <f t="shared" si="6"/>
        <v>44793</v>
      </c>
      <c r="C233" s="51">
        <v>9.0</v>
      </c>
      <c r="D233" s="51" t="s">
        <v>25</v>
      </c>
      <c r="E233" s="53" t="s">
        <v>40</v>
      </c>
      <c r="F233" s="54"/>
      <c r="G233" s="55"/>
      <c r="H233" s="56"/>
      <c r="I233" s="55"/>
      <c r="J233" s="56"/>
      <c r="K233" s="55"/>
      <c r="L233" s="56"/>
      <c r="M233" s="55"/>
      <c r="N233" s="56"/>
      <c r="O233" s="55"/>
      <c r="P233" s="56"/>
      <c r="Q233" s="58"/>
      <c r="R233" s="54">
        <v>0.0</v>
      </c>
      <c r="S233" s="55"/>
      <c r="T233" s="56">
        <v>0.0</v>
      </c>
      <c r="U233" s="55"/>
      <c r="V233" s="56">
        <v>0.0</v>
      </c>
      <c r="W233" s="55"/>
      <c r="X233" s="56">
        <v>0.0</v>
      </c>
      <c r="Y233" s="55"/>
      <c r="Z233" s="56">
        <v>0.0</v>
      </c>
      <c r="AA233" s="55"/>
      <c r="AB233" s="56">
        <v>0.0</v>
      </c>
      <c r="AC233" s="58"/>
      <c r="AD233" s="54"/>
      <c r="AE233" s="55"/>
      <c r="AF233" s="56"/>
      <c r="AG233" s="55"/>
      <c r="AH233" s="56"/>
      <c r="AI233" s="55"/>
      <c r="AJ233" s="56"/>
      <c r="AK233" s="55"/>
      <c r="AL233" s="56"/>
      <c r="AM233" s="55"/>
      <c r="AN233" s="56"/>
      <c r="AO233" s="58"/>
      <c r="AP233" s="60">
        <f t="shared" si="1"/>
        <v>0</v>
      </c>
      <c r="AQ233" s="51">
        <f t="shared" si="2"/>
        <v>0</v>
      </c>
      <c r="AR233" s="51">
        <f t="shared" si="3"/>
        <v>0</v>
      </c>
      <c r="AS233" s="51">
        <f t="shared" si="4"/>
        <v>0</v>
      </c>
      <c r="AT233" s="61" t="str">
        <f t="shared" si="5"/>
        <v/>
      </c>
      <c r="AU233" s="37"/>
      <c r="AV233" s="37"/>
      <c r="AW233" s="37"/>
    </row>
    <row r="234" ht="15.75" customHeight="1">
      <c r="A234" s="21" t="s">
        <v>24</v>
      </c>
      <c r="B234" s="62">
        <f t="shared" si="6"/>
        <v>44794</v>
      </c>
      <c r="C234" s="23">
        <v>9.0</v>
      </c>
      <c r="D234" s="23" t="s">
        <v>33</v>
      </c>
      <c r="E234" s="63" t="s">
        <v>40</v>
      </c>
      <c r="F234" s="26"/>
      <c r="H234" s="27"/>
      <c r="J234" s="27"/>
      <c r="L234" s="27"/>
      <c r="N234" s="27"/>
      <c r="P234" s="27"/>
      <c r="Q234" s="29"/>
      <c r="R234" s="26">
        <v>0.0</v>
      </c>
      <c r="T234" s="27">
        <v>100.0</v>
      </c>
      <c r="V234" s="27">
        <v>75.0</v>
      </c>
      <c r="X234" s="27">
        <v>100.0</v>
      </c>
      <c r="Z234" s="27">
        <v>100.0</v>
      </c>
      <c r="AB234" s="27">
        <v>0.0</v>
      </c>
      <c r="AC234" s="29"/>
      <c r="AD234" s="26"/>
      <c r="AF234" s="27"/>
      <c r="AH234" s="27"/>
      <c r="AJ234" s="27"/>
      <c r="AL234" s="27"/>
      <c r="AN234" s="27"/>
      <c r="AO234" s="29"/>
      <c r="AP234" s="35">
        <f t="shared" si="1"/>
        <v>5075</v>
      </c>
      <c r="AQ234" s="23">
        <f t="shared" si="2"/>
        <v>375</v>
      </c>
      <c r="AR234" s="23">
        <f t="shared" si="3"/>
        <v>0</v>
      </c>
      <c r="AS234" s="23">
        <f t="shared" si="4"/>
        <v>375</v>
      </c>
      <c r="AT234" s="36">
        <f t="shared" si="5"/>
        <v>13.53333333</v>
      </c>
      <c r="AU234" s="37"/>
      <c r="AV234" s="37"/>
      <c r="AW234" s="37"/>
    </row>
    <row r="235" ht="15.75" customHeight="1">
      <c r="A235" s="39" t="s">
        <v>27</v>
      </c>
      <c r="B235" s="40">
        <f t="shared" si="6"/>
        <v>44795</v>
      </c>
      <c r="C235" s="41">
        <v>9.0</v>
      </c>
      <c r="D235" s="41" t="s">
        <v>33</v>
      </c>
      <c r="E235" s="43" t="s">
        <v>40</v>
      </c>
      <c r="F235" s="26"/>
      <c r="H235" s="27"/>
      <c r="J235" s="27"/>
      <c r="L235" s="27"/>
      <c r="N235" s="27"/>
      <c r="P235" s="27"/>
      <c r="Q235" s="29"/>
      <c r="R235" s="26">
        <v>0.0</v>
      </c>
      <c r="T235" s="27">
        <v>100.0</v>
      </c>
      <c r="V235" s="27">
        <v>75.0</v>
      </c>
      <c r="X235" s="27">
        <v>100.0</v>
      </c>
      <c r="Z235" s="27">
        <v>100.0</v>
      </c>
      <c r="AB235" s="27">
        <v>0.0</v>
      </c>
      <c r="AC235" s="29"/>
      <c r="AD235" s="26"/>
      <c r="AF235" s="27"/>
      <c r="AH235" s="27"/>
      <c r="AJ235" s="27"/>
      <c r="AL235" s="27"/>
      <c r="AN235" s="27"/>
      <c r="AO235" s="29"/>
      <c r="AP235" s="45">
        <f t="shared" si="1"/>
        <v>5075</v>
      </c>
      <c r="AQ235" s="41">
        <f t="shared" si="2"/>
        <v>375</v>
      </c>
      <c r="AR235" s="41">
        <f t="shared" si="3"/>
        <v>0</v>
      </c>
      <c r="AS235" s="41">
        <f t="shared" si="4"/>
        <v>375</v>
      </c>
      <c r="AT235" s="46">
        <f t="shared" si="5"/>
        <v>13.53333333</v>
      </c>
      <c r="AU235" s="37"/>
      <c r="AV235" s="37"/>
      <c r="AW235" s="37"/>
    </row>
    <row r="236" ht="15.75" customHeight="1">
      <c r="A236" s="39" t="s">
        <v>28</v>
      </c>
      <c r="B236" s="40">
        <f t="shared" si="6"/>
        <v>44796</v>
      </c>
      <c r="C236" s="41">
        <v>9.0</v>
      </c>
      <c r="D236" s="41" t="s">
        <v>33</v>
      </c>
      <c r="E236" s="43" t="s">
        <v>40</v>
      </c>
      <c r="F236" s="26"/>
      <c r="H236" s="27"/>
      <c r="J236" s="27"/>
      <c r="L236" s="27"/>
      <c r="N236" s="27"/>
      <c r="P236" s="27"/>
      <c r="Q236" s="29"/>
      <c r="R236" s="26">
        <v>0.0</v>
      </c>
      <c r="T236" s="27">
        <v>100.0</v>
      </c>
      <c r="V236" s="27">
        <v>75.0</v>
      </c>
      <c r="X236" s="27">
        <v>100.0</v>
      </c>
      <c r="Z236" s="27">
        <v>100.0</v>
      </c>
      <c r="AB236" s="27">
        <v>0.0</v>
      </c>
      <c r="AC236" s="29"/>
      <c r="AD236" s="26"/>
      <c r="AF236" s="27"/>
      <c r="AH236" s="27"/>
      <c r="AJ236" s="27"/>
      <c r="AL236" s="27"/>
      <c r="AN236" s="27"/>
      <c r="AO236" s="29"/>
      <c r="AP236" s="45">
        <f t="shared" si="1"/>
        <v>5075</v>
      </c>
      <c r="AQ236" s="41">
        <f t="shared" si="2"/>
        <v>375</v>
      </c>
      <c r="AR236" s="41">
        <f t="shared" si="3"/>
        <v>0</v>
      </c>
      <c r="AS236" s="41">
        <f t="shared" si="4"/>
        <v>375</v>
      </c>
      <c r="AT236" s="46">
        <f t="shared" si="5"/>
        <v>13.53333333</v>
      </c>
      <c r="AU236" s="37"/>
      <c r="AV236" s="37"/>
      <c r="AW236" s="37"/>
    </row>
    <row r="237" ht="15.75" customHeight="1">
      <c r="A237" s="39" t="s">
        <v>29</v>
      </c>
      <c r="B237" s="40">
        <f t="shared" si="6"/>
        <v>44797</v>
      </c>
      <c r="C237" s="41">
        <v>9.0</v>
      </c>
      <c r="D237" s="41" t="s">
        <v>33</v>
      </c>
      <c r="E237" s="43" t="s">
        <v>40</v>
      </c>
      <c r="F237" s="26"/>
      <c r="H237" s="27"/>
      <c r="J237" s="27"/>
      <c r="L237" s="27"/>
      <c r="N237" s="27"/>
      <c r="P237" s="27"/>
      <c r="Q237" s="29"/>
      <c r="R237" s="26">
        <v>0.0</v>
      </c>
      <c r="T237" s="27">
        <v>100.0</v>
      </c>
      <c r="V237" s="27">
        <v>75.0</v>
      </c>
      <c r="X237" s="27">
        <v>100.0</v>
      </c>
      <c r="Z237" s="27">
        <v>100.0</v>
      </c>
      <c r="AB237" s="27">
        <v>0.0</v>
      </c>
      <c r="AC237" s="29"/>
      <c r="AD237" s="26"/>
      <c r="AF237" s="27"/>
      <c r="AH237" s="27"/>
      <c r="AJ237" s="27"/>
      <c r="AL237" s="27"/>
      <c r="AN237" s="27"/>
      <c r="AO237" s="29"/>
      <c r="AP237" s="45">
        <f t="shared" si="1"/>
        <v>5075</v>
      </c>
      <c r="AQ237" s="41">
        <f t="shared" si="2"/>
        <v>375</v>
      </c>
      <c r="AR237" s="41">
        <f t="shared" si="3"/>
        <v>0</v>
      </c>
      <c r="AS237" s="41">
        <f t="shared" si="4"/>
        <v>375</v>
      </c>
      <c r="AT237" s="46">
        <f t="shared" si="5"/>
        <v>13.53333333</v>
      </c>
      <c r="AU237" s="37"/>
      <c r="AV237" s="37"/>
      <c r="AW237" s="37"/>
    </row>
    <row r="238" ht="15.75" customHeight="1">
      <c r="A238" s="39" t="s">
        <v>30</v>
      </c>
      <c r="B238" s="40">
        <f t="shared" si="6"/>
        <v>44798</v>
      </c>
      <c r="C238" s="41">
        <v>9.0</v>
      </c>
      <c r="D238" s="41" t="s">
        <v>33</v>
      </c>
      <c r="E238" s="43" t="s">
        <v>40</v>
      </c>
      <c r="F238" s="26"/>
      <c r="H238" s="27"/>
      <c r="J238" s="27"/>
      <c r="L238" s="27"/>
      <c r="N238" s="27"/>
      <c r="P238" s="27"/>
      <c r="Q238" s="29"/>
      <c r="R238" s="26">
        <v>0.0</v>
      </c>
      <c r="T238" s="27">
        <v>100.0</v>
      </c>
      <c r="V238" s="27">
        <v>75.0</v>
      </c>
      <c r="X238" s="27">
        <v>100.0</v>
      </c>
      <c r="Z238" s="27">
        <v>100.0</v>
      </c>
      <c r="AB238" s="27">
        <v>0.0</v>
      </c>
      <c r="AC238" s="29"/>
      <c r="AD238" s="26"/>
      <c r="AF238" s="27"/>
      <c r="AH238" s="27"/>
      <c r="AJ238" s="27"/>
      <c r="AL238" s="27"/>
      <c r="AN238" s="27"/>
      <c r="AO238" s="29"/>
      <c r="AP238" s="45">
        <f t="shared" si="1"/>
        <v>5075</v>
      </c>
      <c r="AQ238" s="41">
        <f t="shared" si="2"/>
        <v>375</v>
      </c>
      <c r="AR238" s="41">
        <f t="shared" si="3"/>
        <v>0</v>
      </c>
      <c r="AS238" s="41">
        <f t="shared" si="4"/>
        <v>375</v>
      </c>
      <c r="AT238" s="46">
        <f t="shared" si="5"/>
        <v>13.53333333</v>
      </c>
      <c r="AU238" s="37"/>
      <c r="AV238" s="37"/>
      <c r="AW238" s="37"/>
    </row>
    <row r="239" ht="15.75" customHeight="1">
      <c r="A239" s="39" t="s">
        <v>31</v>
      </c>
      <c r="B239" s="40">
        <f t="shared" si="6"/>
        <v>44799</v>
      </c>
      <c r="C239" s="41">
        <v>9.0</v>
      </c>
      <c r="D239" s="41" t="s">
        <v>33</v>
      </c>
      <c r="E239" s="43" t="s">
        <v>40</v>
      </c>
      <c r="F239" s="26"/>
      <c r="H239" s="27"/>
      <c r="J239" s="27"/>
      <c r="L239" s="27"/>
      <c r="N239" s="27"/>
      <c r="P239" s="27"/>
      <c r="Q239" s="29"/>
      <c r="R239" s="26">
        <v>0.0</v>
      </c>
      <c r="T239" s="27">
        <v>100.0</v>
      </c>
      <c r="V239" s="27">
        <v>75.0</v>
      </c>
      <c r="X239" s="27">
        <v>100.0</v>
      </c>
      <c r="Z239" s="27">
        <v>100.0</v>
      </c>
      <c r="AB239" s="27">
        <v>0.0</v>
      </c>
      <c r="AC239" s="29"/>
      <c r="AD239" s="26"/>
      <c r="AF239" s="27"/>
      <c r="AH239" s="27"/>
      <c r="AJ239" s="27"/>
      <c r="AL239" s="27"/>
      <c r="AN239" s="27"/>
      <c r="AO239" s="29"/>
      <c r="AP239" s="45">
        <f t="shared" si="1"/>
        <v>5075</v>
      </c>
      <c r="AQ239" s="41">
        <f t="shared" si="2"/>
        <v>375</v>
      </c>
      <c r="AR239" s="41">
        <f t="shared" si="3"/>
        <v>0</v>
      </c>
      <c r="AS239" s="41">
        <f t="shared" si="4"/>
        <v>375</v>
      </c>
      <c r="AT239" s="46">
        <f t="shared" si="5"/>
        <v>13.53333333</v>
      </c>
      <c r="AU239" s="37"/>
      <c r="AV239" s="37"/>
      <c r="AW239" s="37"/>
    </row>
    <row r="240" ht="15.75" customHeight="1">
      <c r="A240" s="49" t="s">
        <v>32</v>
      </c>
      <c r="B240" s="50">
        <f t="shared" si="6"/>
        <v>44800</v>
      </c>
      <c r="C240" s="51">
        <v>9.0</v>
      </c>
      <c r="D240" s="51" t="s">
        <v>33</v>
      </c>
      <c r="E240" s="53" t="s">
        <v>40</v>
      </c>
      <c r="F240" s="54"/>
      <c r="G240" s="55"/>
      <c r="H240" s="56"/>
      <c r="I240" s="55"/>
      <c r="J240" s="56"/>
      <c r="K240" s="55"/>
      <c r="L240" s="56"/>
      <c r="M240" s="55"/>
      <c r="N240" s="56"/>
      <c r="O240" s="55"/>
      <c r="P240" s="56"/>
      <c r="Q240" s="58"/>
      <c r="R240" s="54">
        <v>0.0</v>
      </c>
      <c r="S240" s="55"/>
      <c r="T240" s="56">
        <v>0.0</v>
      </c>
      <c r="U240" s="55"/>
      <c r="V240" s="56">
        <v>0.0</v>
      </c>
      <c r="W240" s="55"/>
      <c r="X240" s="56">
        <v>0.0</v>
      </c>
      <c r="Y240" s="55"/>
      <c r="Z240" s="56">
        <v>0.0</v>
      </c>
      <c r="AA240" s="55"/>
      <c r="AB240" s="56">
        <v>0.0</v>
      </c>
      <c r="AC240" s="58"/>
      <c r="AD240" s="54"/>
      <c r="AE240" s="55"/>
      <c r="AF240" s="56"/>
      <c r="AG240" s="55"/>
      <c r="AH240" s="56"/>
      <c r="AI240" s="55"/>
      <c r="AJ240" s="56"/>
      <c r="AK240" s="55"/>
      <c r="AL240" s="56"/>
      <c r="AM240" s="55"/>
      <c r="AN240" s="56"/>
      <c r="AO240" s="58"/>
      <c r="AP240" s="60">
        <f t="shared" si="1"/>
        <v>0</v>
      </c>
      <c r="AQ240" s="51">
        <f t="shared" si="2"/>
        <v>0</v>
      </c>
      <c r="AR240" s="51">
        <f t="shared" si="3"/>
        <v>0</v>
      </c>
      <c r="AS240" s="51">
        <f t="shared" si="4"/>
        <v>0</v>
      </c>
      <c r="AT240" s="61" t="str">
        <f t="shared" si="5"/>
        <v/>
      </c>
      <c r="AU240" s="37"/>
      <c r="AV240" s="37"/>
      <c r="AW240" s="37"/>
    </row>
    <row r="241" ht="15.75" customHeight="1">
      <c r="A241" s="21" t="s">
        <v>24</v>
      </c>
      <c r="B241" s="62">
        <f t="shared" si="6"/>
        <v>44801</v>
      </c>
      <c r="C241" s="23">
        <v>9.0</v>
      </c>
      <c r="D241" s="23" t="s">
        <v>34</v>
      </c>
      <c r="E241" s="63" t="s">
        <v>40</v>
      </c>
      <c r="F241" s="26"/>
      <c r="H241" s="27"/>
      <c r="J241" s="27"/>
      <c r="L241" s="27"/>
      <c r="N241" s="27"/>
      <c r="P241" s="27"/>
      <c r="Q241" s="29"/>
      <c r="R241" s="26">
        <v>0.0</v>
      </c>
      <c r="T241" s="27">
        <v>100.0</v>
      </c>
      <c r="V241" s="27">
        <v>75.0</v>
      </c>
      <c r="X241" s="27">
        <v>100.0</v>
      </c>
      <c r="Z241" s="27">
        <v>100.0</v>
      </c>
      <c r="AB241" s="27">
        <v>0.0</v>
      </c>
      <c r="AC241" s="29"/>
      <c r="AD241" s="26"/>
      <c r="AF241" s="27"/>
      <c r="AH241" s="27"/>
      <c r="AJ241" s="27"/>
      <c r="AL241" s="27"/>
      <c r="AN241" s="27"/>
      <c r="AO241" s="29"/>
      <c r="AP241" s="35">
        <f t="shared" si="1"/>
        <v>5075</v>
      </c>
      <c r="AQ241" s="23">
        <f t="shared" si="2"/>
        <v>375</v>
      </c>
      <c r="AR241" s="23">
        <f t="shared" si="3"/>
        <v>0</v>
      </c>
      <c r="AS241" s="23">
        <f t="shared" si="4"/>
        <v>375</v>
      </c>
      <c r="AT241" s="36">
        <f t="shared" si="5"/>
        <v>13.53333333</v>
      </c>
      <c r="AU241" s="37"/>
      <c r="AV241" s="37"/>
      <c r="AW241" s="37"/>
    </row>
    <row r="242" ht="15.75" customHeight="1">
      <c r="A242" s="39" t="s">
        <v>27</v>
      </c>
      <c r="B242" s="40">
        <f t="shared" si="6"/>
        <v>44802</v>
      </c>
      <c r="C242" s="41">
        <v>9.0</v>
      </c>
      <c r="D242" s="41" t="s">
        <v>34</v>
      </c>
      <c r="E242" s="43" t="s">
        <v>40</v>
      </c>
      <c r="F242" s="26"/>
      <c r="H242" s="27"/>
      <c r="J242" s="27"/>
      <c r="L242" s="27"/>
      <c r="N242" s="27"/>
      <c r="P242" s="27"/>
      <c r="Q242" s="29"/>
      <c r="R242" s="26">
        <v>0.0</v>
      </c>
      <c r="T242" s="27">
        <v>100.0</v>
      </c>
      <c r="V242" s="27">
        <v>75.0</v>
      </c>
      <c r="X242" s="27">
        <v>100.0</v>
      </c>
      <c r="Z242" s="27">
        <v>100.0</v>
      </c>
      <c r="AB242" s="27">
        <v>0.0</v>
      </c>
      <c r="AC242" s="29"/>
      <c r="AD242" s="26"/>
      <c r="AF242" s="27"/>
      <c r="AH242" s="27"/>
      <c r="AJ242" s="27"/>
      <c r="AL242" s="27"/>
      <c r="AN242" s="27"/>
      <c r="AO242" s="29"/>
      <c r="AP242" s="45">
        <f t="shared" si="1"/>
        <v>5075</v>
      </c>
      <c r="AQ242" s="41">
        <f t="shared" si="2"/>
        <v>375</v>
      </c>
      <c r="AR242" s="41">
        <f t="shared" si="3"/>
        <v>0</v>
      </c>
      <c r="AS242" s="41">
        <f t="shared" si="4"/>
        <v>375</v>
      </c>
      <c r="AT242" s="46">
        <f t="shared" si="5"/>
        <v>13.53333333</v>
      </c>
      <c r="AU242" s="37"/>
      <c r="AV242" s="37"/>
      <c r="AW242" s="37"/>
    </row>
    <row r="243" ht="15.75" customHeight="1">
      <c r="A243" s="39" t="s">
        <v>28</v>
      </c>
      <c r="B243" s="40">
        <f t="shared" si="6"/>
        <v>44803</v>
      </c>
      <c r="C243" s="41">
        <v>9.0</v>
      </c>
      <c r="D243" s="41" t="s">
        <v>34</v>
      </c>
      <c r="E243" s="43" t="s">
        <v>40</v>
      </c>
      <c r="F243" s="26"/>
      <c r="H243" s="27"/>
      <c r="J243" s="27"/>
      <c r="L243" s="27"/>
      <c r="N243" s="27"/>
      <c r="P243" s="27"/>
      <c r="Q243" s="29"/>
      <c r="R243" s="26">
        <v>0.0</v>
      </c>
      <c r="T243" s="27">
        <v>100.0</v>
      </c>
      <c r="V243" s="27">
        <v>75.0</v>
      </c>
      <c r="X243" s="27">
        <v>100.0</v>
      </c>
      <c r="Z243" s="27">
        <v>100.0</v>
      </c>
      <c r="AB243" s="27">
        <v>0.0</v>
      </c>
      <c r="AC243" s="29"/>
      <c r="AD243" s="26"/>
      <c r="AF243" s="27"/>
      <c r="AH243" s="27"/>
      <c r="AJ243" s="27"/>
      <c r="AL243" s="27"/>
      <c r="AN243" s="27"/>
      <c r="AO243" s="29"/>
      <c r="AP243" s="45">
        <f t="shared" si="1"/>
        <v>5075</v>
      </c>
      <c r="AQ243" s="41">
        <f t="shared" si="2"/>
        <v>375</v>
      </c>
      <c r="AR243" s="41">
        <f t="shared" si="3"/>
        <v>0</v>
      </c>
      <c r="AS243" s="41">
        <f t="shared" si="4"/>
        <v>375</v>
      </c>
      <c r="AT243" s="46">
        <f t="shared" si="5"/>
        <v>13.53333333</v>
      </c>
      <c r="AU243" s="37"/>
      <c r="AV243" s="37"/>
      <c r="AW243" s="37"/>
    </row>
    <row r="244" ht="15.75" customHeight="1">
      <c r="A244" s="39" t="s">
        <v>29</v>
      </c>
      <c r="B244" s="40">
        <f t="shared" si="6"/>
        <v>44804</v>
      </c>
      <c r="C244" s="41">
        <v>9.0</v>
      </c>
      <c r="D244" s="41" t="s">
        <v>34</v>
      </c>
      <c r="E244" s="43" t="s">
        <v>40</v>
      </c>
      <c r="F244" s="26"/>
      <c r="H244" s="27"/>
      <c r="J244" s="27"/>
      <c r="L244" s="27"/>
      <c r="N244" s="27"/>
      <c r="P244" s="27"/>
      <c r="Q244" s="29"/>
      <c r="R244" s="26">
        <v>0.0</v>
      </c>
      <c r="T244" s="27">
        <v>100.0</v>
      </c>
      <c r="V244" s="27">
        <v>75.0</v>
      </c>
      <c r="X244" s="27">
        <v>100.0</v>
      </c>
      <c r="Z244" s="27">
        <v>100.0</v>
      </c>
      <c r="AB244" s="27">
        <v>0.0</v>
      </c>
      <c r="AC244" s="29"/>
      <c r="AD244" s="26"/>
      <c r="AF244" s="27"/>
      <c r="AH244" s="27"/>
      <c r="AJ244" s="27"/>
      <c r="AL244" s="27"/>
      <c r="AN244" s="27"/>
      <c r="AO244" s="29"/>
      <c r="AP244" s="45">
        <f t="shared" si="1"/>
        <v>5075</v>
      </c>
      <c r="AQ244" s="41">
        <f t="shared" si="2"/>
        <v>375</v>
      </c>
      <c r="AR244" s="41">
        <f t="shared" si="3"/>
        <v>0</v>
      </c>
      <c r="AS244" s="41">
        <f t="shared" si="4"/>
        <v>375</v>
      </c>
      <c r="AT244" s="46">
        <f t="shared" si="5"/>
        <v>13.53333333</v>
      </c>
      <c r="AU244" s="37"/>
      <c r="AV244" s="37"/>
      <c r="AW244" s="37"/>
    </row>
    <row r="245" ht="15.75" customHeight="1">
      <c r="A245" s="39" t="s">
        <v>30</v>
      </c>
      <c r="B245" s="40">
        <f t="shared" si="6"/>
        <v>44805</v>
      </c>
      <c r="C245" s="41">
        <v>9.0</v>
      </c>
      <c r="D245" s="41" t="s">
        <v>34</v>
      </c>
      <c r="E245" s="43" t="s">
        <v>40</v>
      </c>
      <c r="F245" s="26"/>
      <c r="H245" s="27"/>
      <c r="J245" s="27"/>
      <c r="L245" s="27"/>
      <c r="N245" s="27"/>
      <c r="P245" s="27"/>
      <c r="Q245" s="29"/>
      <c r="R245" s="26">
        <v>0.0</v>
      </c>
      <c r="T245" s="27">
        <v>100.0</v>
      </c>
      <c r="V245" s="27">
        <v>75.0</v>
      </c>
      <c r="X245" s="27">
        <v>100.0</v>
      </c>
      <c r="Z245" s="27">
        <v>100.0</v>
      </c>
      <c r="AB245" s="27">
        <v>0.0</v>
      </c>
      <c r="AC245" s="29"/>
      <c r="AD245" s="26"/>
      <c r="AF245" s="27"/>
      <c r="AH245" s="27"/>
      <c r="AJ245" s="27"/>
      <c r="AL245" s="27"/>
      <c r="AN245" s="27"/>
      <c r="AO245" s="29"/>
      <c r="AP245" s="45">
        <f t="shared" si="1"/>
        <v>5075</v>
      </c>
      <c r="AQ245" s="41">
        <f t="shared" si="2"/>
        <v>375</v>
      </c>
      <c r="AR245" s="41">
        <f t="shared" si="3"/>
        <v>0</v>
      </c>
      <c r="AS245" s="41">
        <f t="shared" si="4"/>
        <v>375</v>
      </c>
      <c r="AT245" s="46">
        <f t="shared" si="5"/>
        <v>13.53333333</v>
      </c>
      <c r="AU245" s="37"/>
      <c r="AV245" s="37"/>
      <c r="AW245" s="37"/>
    </row>
    <row r="246" ht="15.75" customHeight="1">
      <c r="A246" s="39" t="s">
        <v>31</v>
      </c>
      <c r="B246" s="40">
        <f t="shared" si="6"/>
        <v>44806</v>
      </c>
      <c r="C246" s="41">
        <v>9.0</v>
      </c>
      <c r="D246" s="41" t="s">
        <v>34</v>
      </c>
      <c r="E246" s="43" t="s">
        <v>40</v>
      </c>
      <c r="F246" s="26"/>
      <c r="H246" s="27"/>
      <c r="J246" s="27"/>
      <c r="L246" s="27"/>
      <c r="N246" s="27"/>
      <c r="P246" s="27"/>
      <c r="Q246" s="29"/>
      <c r="R246" s="26">
        <v>0.0</v>
      </c>
      <c r="T246" s="27">
        <v>100.0</v>
      </c>
      <c r="V246" s="27">
        <v>75.0</v>
      </c>
      <c r="X246" s="27">
        <v>100.0</v>
      </c>
      <c r="Z246" s="27">
        <v>100.0</v>
      </c>
      <c r="AB246" s="27">
        <v>0.0</v>
      </c>
      <c r="AC246" s="29"/>
      <c r="AD246" s="26"/>
      <c r="AF246" s="27"/>
      <c r="AH246" s="27"/>
      <c r="AJ246" s="27"/>
      <c r="AL246" s="27"/>
      <c r="AN246" s="27"/>
      <c r="AO246" s="29"/>
      <c r="AP246" s="45">
        <f t="shared" si="1"/>
        <v>5075</v>
      </c>
      <c r="AQ246" s="41">
        <f t="shared" si="2"/>
        <v>375</v>
      </c>
      <c r="AR246" s="41">
        <f t="shared" si="3"/>
        <v>0</v>
      </c>
      <c r="AS246" s="41">
        <f t="shared" si="4"/>
        <v>375</v>
      </c>
      <c r="AT246" s="46">
        <f t="shared" si="5"/>
        <v>13.53333333</v>
      </c>
      <c r="AU246" s="37"/>
      <c r="AV246" s="37"/>
      <c r="AW246" s="37"/>
    </row>
    <row r="247" ht="15.75" customHeight="1">
      <c r="A247" s="49" t="s">
        <v>32</v>
      </c>
      <c r="B247" s="50">
        <f t="shared" si="6"/>
        <v>44807</v>
      </c>
      <c r="C247" s="51">
        <v>9.0</v>
      </c>
      <c r="D247" s="51" t="s">
        <v>34</v>
      </c>
      <c r="E247" s="53" t="s">
        <v>40</v>
      </c>
      <c r="F247" s="54"/>
      <c r="G247" s="55"/>
      <c r="H247" s="56"/>
      <c r="I247" s="55"/>
      <c r="J247" s="56"/>
      <c r="K247" s="55"/>
      <c r="L247" s="56"/>
      <c r="M247" s="55"/>
      <c r="N247" s="56"/>
      <c r="O247" s="55"/>
      <c r="P247" s="56"/>
      <c r="Q247" s="58"/>
      <c r="R247" s="54">
        <v>0.0</v>
      </c>
      <c r="S247" s="55"/>
      <c r="T247" s="56">
        <v>0.0</v>
      </c>
      <c r="U247" s="55"/>
      <c r="V247" s="56">
        <v>0.0</v>
      </c>
      <c r="W247" s="55"/>
      <c r="X247" s="56">
        <v>0.0</v>
      </c>
      <c r="Y247" s="55"/>
      <c r="Z247" s="56">
        <v>0.0</v>
      </c>
      <c r="AA247" s="55"/>
      <c r="AB247" s="56">
        <v>0.0</v>
      </c>
      <c r="AC247" s="58"/>
      <c r="AD247" s="54"/>
      <c r="AE247" s="55"/>
      <c r="AF247" s="56"/>
      <c r="AG247" s="55"/>
      <c r="AH247" s="56"/>
      <c r="AI247" s="55"/>
      <c r="AJ247" s="56"/>
      <c r="AK247" s="55"/>
      <c r="AL247" s="56"/>
      <c r="AM247" s="55"/>
      <c r="AN247" s="56"/>
      <c r="AO247" s="58"/>
      <c r="AP247" s="60">
        <f t="shared" si="1"/>
        <v>0</v>
      </c>
      <c r="AQ247" s="51">
        <f t="shared" si="2"/>
        <v>0</v>
      </c>
      <c r="AR247" s="51">
        <f t="shared" si="3"/>
        <v>0</v>
      </c>
      <c r="AS247" s="51">
        <f t="shared" si="4"/>
        <v>0</v>
      </c>
      <c r="AT247" s="61" t="str">
        <f t="shared" si="5"/>
        <v/>
      </c>
      <c r="AU247" s="37"/>
      <c r="AV247" s="37"/>
      <c r="AW247" s="37"/>
    </row>
    <row r="248" ht="15.75" customHeight="1">
      <c r="A248" s="21" t="s">
        <v>24</v>
      </c>
      <c r="B248" s="62">
        <f t="shared" si="6"/>
        <v>44808</v>
      </c>
      <c r="C248" s="23">
        <v>9.0</v>
      </c>
      <c r="D248" s="23" t="s">
        <v>35</v>
      </c>
      <c r="E248" s="25" t="s">
        <v>26</v>
      </c>
      <c r="F248" s="26"/>
      <c r="H248" s="27"/>
      <c r="J248" s="27"/>
      <c r="L248" s="27"/>
      <c r="N248" s="27"/>
      <c r="P248" s="27"/>
      <c r="Q248" s="29"/>
      <c r="R248" s="26">
        <v>0.0</v>
      </c>
      <c r="T248" s="27">
        <v>100.0</v>
      </c>
      <c r="V248" s="27">
        <v>75.0</v>
      </c>
      <c r="X248" s="27">
        <v>100.0</v>
      </c>
      <c r="Z248" s="27">
        <v>100.0</v>
      </c>
      <c r="AB248" s="27">
        <v>0.0</v>
      </c>
      <c r="AC248" s="29"/>
      <c r="AD248" s="26"/>
      <c r="AF248" s="27"/>
      <c r="AH248" s="27"/>
      <c r="AJ248" s="27"/>
      <c r="AL248" s="27"/>
      <c r="AN248" s="27"/>
      <c r="AO248" s="29"/>
      <c r="AP248" s="35">
        <f t="shared" si="1"/>
        <v>5075</v>
      </c>
      <c r="AQ248" s="23">
        <f t="shared" si="2"/>
        <v>375</v>
      </c>
      <c r="AR248" s="23">
        <f t="shared" si="3"/>
        <v>0</v>
      </c>
      <c r="AS248" s="23">
        <f t="shared" si="4"/>
        <v>375</v>
      </c>
      <c r="AT248" s="36">
        <f t="shared" si="5"/>
        <v>13.53333333</v>
      </c>
      <c r="AU248" s="37"/>
      <c r="AV248" s="37"/>
      <c r="AW248" s="37"/>
    </row>
    <row r="249" ht="15.75" customHeight="1">
      <c r="A249" s="39" t="s">
        <v>27</v>
      </c>
      <c r="B249" s="40">
        <f t="shared" si="6"/>
        <v>44809</v>
      </c>
      <c r="C249" s="41">
        <v>9.0</v>
      </c>
      <c r="D249" s="41" t="s">
        <v>35</v>
      </c>
      <c r="E249" s="43" t="s">
        <v>26</v>
      </c>
      <c r="F249" s="26"/>
      <c r="H249" s="27"/>
      <c r="J249" s="27"/>
      <c r="L249" s="27"/>
      <c r="N249" s="27"/>
      <c r="P249" s="27"/>
      <c r="Q249" s="29"/>
      <c r="R249" s="26">
        <v>0.0</v>
      </c>
      <c r="T249" s="27">
        <v>100.0</v>
      </c>
      <c r="V249" s="27">
        <v>75.0</v>
      </c>
      <c r="X249" s="27">
        <v>100.0</v>
      </c>
      <c r="Z249" s="27">
        <v>100.0</v>
      </c>
      <c r="AB249" s="27">
        <v>0.0</v>
      </c>
      <c r="AC249" s="29"/>
      <c r="AD249" s="26"/>
      <c r="AF249" s="27"/>
      <c r="AH249" s="27"/>
      <c r="AJ249" s="27"/>
      <c r="AL249" s="27"/>
      <c r="AN249" s="27"/>
      <c r="AO249" s="29"/>
      <c r="AP249" s="45">
        <f t="shared" si="1"/>
        <v>5075</v>
      </c>
      <c r="AQ249" s="41">
        <f t="shared" si="2"/>
        <v>375</v>
      </c>
      <c r="AR249" s="41">
        <f t="shared" si="3"/>
        <v>0</v>
      </c>
      <c r="AS249" s="41">
        <f t="shared" si="4"/>
        <v>375</v>
      </c>
      <c r="AT249" s="46">
        <f t="shared" si="5"/>
        <v>13.53333333</v>
      </c>
      <c r="AU249" s="37"/>
      <c r="AV249" s="37"/>
      <c r="AW249" s="37"/>
    </row>
    <row r="250" ht="15.75" customHeight="1">
      <c r="A250" s="39" t="s">
        <v>28</v>
      </c>
      <c r="B250" s="40">
        <f t="shared" si="6"/>
        <v>44810</v>
      </c>
      <c r="C250" s="41">
        <v>9.0</v>
      </c>
      <c r="D250" s="41" t="s">
        <v>35</v>
      </c>
      <c r="E250" s="43" t="s">
        <v>26</v>
      </c>
      <c r="F250" s="26"/>
      <c r="H250" s="27"/>
      <c r="J250" s="27"/>
      <c r="L250" s="27"/>
      <c r="N250" s="27"/>
      <c r="P250" s="27"/>
      <c r="Q250" s="29"/>
      <c r="R250" s="26">
        <v>0.0</v>
      </c>
      <c r="T250" s="27">
        <v>100.0</v>
      </c>
      <c r="V250" s="27">
        <v>75.0</v>
      </c>
      <c r="X250" s="27">
        <v>100.0</v>
      </c>
      <c r="Z250" s="27">
        <v>100.0</v>
      </c>
      <c r="AB250" s="27">
        <v>0.0</v>
      </c>
      <c r="AC250" s="29"/>
      <c r="AD250" s="26"/>
      <c r="AF250" s="27"/>
      <c r="AH250" s="27"/>
      <c r="AJ250" s="27"/>
      <c r="AL250" s="27"/>
      <c r="AN250" s="27"/>
      <c r="AO250" s="29"/>
      <c r="AP250" s="45">
        <f t="shared" si="1"/>
        <v>5075</v>
      </c>
      <c r="AQ250" s="41">
        <f t="shared" si="2"/>
        <v>375</v>
      </c>
      <c r="AR250" s="41">
        <f t="shared" si="3"/>
        <v>0</v>
      </c>
      <c r="AS250" s="41">
        <f t="shared" si="4"/>
        <v>375</v>
      </c>
      <c r="AT250" s="46">
        <f t="shared" si="5"/>
        <v>13.53333333</v>
      </c>
      <c r="AU250" s="37"/>
      <c r="AV250" s="37"/>
      <c r="AW250" s="37"/>
    </row>
    <row r="251" ht="15.75" customHeight="1">
      <c r="A251" s="39" t="s">
        <v>29</v>
      </c>
      <c r="B251" s="40">
        <f t="shared" si="6"/>
        <v>44811</v>
      </c>
      <c r="C251" s="41">
        <v>9.0</v>
      </c>
      <c r="D251" s="41" t="s">
        <v>35</v>
      </c>
      <c r="E251" s="43" t="s">
        <v>26</v>
      </c>
      <c r="F251" s="26"/>
      <c r="H251" s="27"/>
      <c r="J251" s="27"/>
      <c r="L251" s="27"/>
      <c r="N251" s="27"/>
      <c r="P251" s="27"/>
      <c r="Q251" s="29"/>
      <c r="R251" s="26">
        <v>0.0</v>
      </c>
      <c r="T251" s="27">
        <v>100.0</v>
      </c>
      <c r="V251" s="27">
        <v>75.0</v>
      </c>
      <c r="X251" s="27">
        <v>100.0</v>
      </c>
      <c r="Z251" s="27">
        <v>100.0</v>
      </c>
      <c r="AB251" s="27">
        <v>0.0</v>
      </c>
      <c r="AC251" s="29"/>
      <c r="AD251" s="26"/>
      <c r="AF251" s="27"/>
      <c r="AH251" s="27"/>
      <c r="AJ251" s="27"/>
      <c r="AL251" s="27"/>
      <c r="AN251" s="27"/>
      <c r="AO251" s="29"/>
      <c r="AP251" s="45">
        <f t="shared" si="1"/>
        <v>5075</v>
      </c>
      <c r="AQ251" s="41">
        <f t="shared" si="2"/>
        <v>375</v>
      </c>
      <c r="AR251" s="41">
        <f t="shared" si="3"/>
        <v>0</v>
      </c>
      <c r="AS251" s="41">
        <f t="shared" si="4"/>
        <v>375</v>
      </c>
      <c r="AT251" s="46">
        <f t="shared" si="5"/>
        <v>13.53333333</v>
      </c>
      <c r="AU251" s="37"/>
      <c r="AV251" s="37"/>
      <c r="AW251" s="37"/>
    </row>
    <row r="252" ht="15.75" customHeight="1">
      <c r="A252" s="39" t="s">
        <v>30</v>
      </c>
      <c r="B252" s="40">
        <f t="shared" si="6"/>
        <v>44812</v>
      </c>
      <c r="C252" s="41">
        <v>9.0</v>
      </c>
      <c r="D252" s="41" t="s">
        <v>35</v>
      </c>
      <c r="E252" s="43" t="s">
        <v>26</v>
      </c>
      <c r="F252" s="26"/>
      <c r="H252" s="27"/>
      <c r="J252" s="27"/>
      <c r="L252" s="27"/>
      <c r="N252" s="27"/>
      <c r="P252" s="27"/>
      <c r="Q252" s="29"/>
      <c r="R252" s="26">
        <v>0.0</v>
      </c>
      <c r="T252" s="27">
        <v>100.0</v>
      </c>
      <c r="V252" s="27">
        <v>75.0</v>
      </c>
      <c r="X252" s="27">
        <v>100.0</v>
      </c>
      <c r="Z252" s="27">
        <v>100.0</v>
      </c>
      <c r="AB252" s="27">
        <v>0.0</v>
      </c>
      <c r="AC252" s="29"/>
      <c r="AD252" s="26"/>
      <c r="AF252" s="27"/>
      <c r="AH252" s="27"/>
      <c r="AJ252" s="27"/>
      <c r="AL252" s="27"/>
      <c r="AN252" s="27"/>
      <c r="AO252" s="29"/>
      <c r="AP252" s="45">
        <f t="shared" si="1"/>
        <v>5075</v>
      </c>
      <c r="AQ252" s="41">
        <f t="shared" si="2"/>
        <v>375</v>
      </c>
      <c r="AR252" s="41">
        <f t="shared" si="3"/>
        <v>0</v>
      </c>
      <c r="AS252" s="41">
        <f t="shared" si="4"/>
        <v>375</v>
      </c>
      <c r="AT252" s="46">
        <f t="shared" si="5"/>
        <v>13.53333333</v>
      </c>
      <c r="AU252" s="37"/>
      <c r="AV252" s="37"/>
      <c r="AW252" s="37"/>
    </row>
    <row r="253" ht="15.75" customHeight="1">
      <c r="A253" s="39" t="s">
        <v>31</v>
      </c>
      <c r="B253" s="40">
        <f t="shared" si="6"/>
        <v>44813</v>
      </c>
      <c r="C253" s="41">
        <v>9.0</v>
      </c>
      <c r="D253" s="41" t="s">
        <v>35</v>
      </c>
      <c r="E253" s="43" t="s">
        <v>26</v>
      </c>
      <c r="F253" s="26"/>
      <c r="H253" s="27"/>
      <c r="J253" s="27"/>
      <c r="L253" s="27"/>
      <c r="N253" s="27"/>
      <c r="P253" s="27"/>
      <c r="Q253" s="29"/>
      <c r="R253" s="26">
        <v>0.0</v>
      </c>
      <c r="T253" s="27">
        <v>100.0</v>
      </c>
      <c r="V253" s="27">
        <v>75.0</v>
      </c>
      <c r="X253" s="27">
        <v>100.0</v>
      </c>
      <c r="Z253" s="27">
        <v>100.0</v>
      </c>
      <c r="AB253" s="27">
        <v>0.0</v>
      </c>
      <c r="AC253" s="29"/>
      <c r="AD253" s="26"/>
      <c r="AF253" s="27"/>
      <c r="AH253" s="27"/>
      <c r="AJ253" s="27"/>
      <c r="AL253" s="27"/>
      <c r="AN253" s="27"/>
      <c r="AO253" s="29"/>
      <c r="AP253" s="45">
        <f t="shared" si="1"/>
        <v>5075</v>
      </c>
      <c r="AQ253" s="41">
        <f t="shared" si="2"/>
        <v>375</v>
      </c>
      <c r="AR253" s="41">
        <f t="shared" si="3"/>
        <v>0</v>
      </c>
      <c r="AS253" s="41">
        <f t="shared" si="4"/>
        <v>375</v>
      </c>
      <c r="AT253" s="46">
        <f t="shared" si="5"/>
        <v>13.53333333</v>
      </c>
      <c r="AU253" s="37"/>
      <c r="AV253" s="37"/>
      <c r="AW253" s="37"/>
    </row>
    <row r="254" ht="15.75" customHeight="1">
      <c r="A254" s="49" t="s">
        <v>32</v>
      </c>
      <c r="B254" s="50">
        <f t="shared" si="6"/>
        <v>44814</v>
      </c>
      <c r="C254" s="51">
        <v>9.0</v>
      </c>
      <c r="D254" s="51" t="s">
        <v>35</v>
      </c>
      <c r="E254" s="53" t="s">
        <v>26</v>
      </c>
      <c r="F254" s="54"/>
      <c r="G254" s="55"/>
      <c r="H254" s="56"/>
      <c r="I254" s="55"/>
      <c r="J254" s="56"/>
      <c r="K254" s="55"/>
      <c r="L254" s="56"/>
      <c r="M254" s="55"/>
      <c r="N254" s="56"/>
      <c r="O254" s="55"/>
      <c r="P254" s="56"/>
      <c r="Q254" s="58"/>
      <c r="R254" s="54">
        <v>0.0</v>
      </c>
      <c r="S254" s="55"/>
      <c r="T254" s="56">
        <v>0.0</v>
      </c>
      <c r="U254" s="55"/>
      <c r="V254" s="56">
        <v>0.0</v>
      </c>
      <c r="W254" s="55"/>
      <c r="X254" s="56">
        <v>0.0</v>
      </c>
      <c r="Y254" s="55"/>
      <c r="Z254" s="56">
        <v>0.0</v>
      </c>
      <c r="AA254" s="55"/>
      <c r="AB254" s="56">
        <v>0.0</v>
      </c>
      <c r="AC254" s="58"/>
      <c r="AD254" s="54"/>
      <c r="AE254" s="55"/>
      <c r="AF254" s="56"/>
      <c r="AG254" s="55"/>
      <c r="AH254" s="56"/>
      <c r="AI254" s="55"/>
      <c r="AJ254" s="56"/>
      <c r="AK254" s="55"/>
      <c r="AL254" s="56"/>
      <c r="AM254" s="55"/>
      <c r="AN254" s="56"/>
      <c r="AO254" s="58"/>
      <c r="AP254" s="60">
        <f t="shared" si="1"/>
        <v>0</v>
      </c>
      <c r="AQ254" s="51">
        <f t="shared" si="2"/>
        <v>0</v>
      </c>
      <c r="AR254" s="51">
        <f t="shared" si="3"/>
        <v>0</v>
      </c>
      <c r="AS254" s="51">
        <f t="shared" si="4"/>
        <v>0</v>
      </c>
      <c r="AT254" s="61" t="str">
        <f t="shared" si="5"/>
        <v/>
      </c>
      <c r="AU254" s="37"/>
      <c r="AV254" s="37"/>
      <c r="AW254" s="37"/>
    </row>
    <row r="255" ht="15.75" customHeight="1">
      <c r="A255" s="21" t="s">
        <v>24</v>
      </c>
      <c r="B255" s="62">
        <f t="shared" si="6"/>
        <v>44815</v>
      </c>
      <c r="C255" s="23">
        <v>10.0</v>
      </c>
      <c r="D255" s="23" t="s">
        <v>25</v>
      </c>
      <c r="E255" s="25" t="s">
        <v>42</v>
      </c>
      <c r="F255" s="26"/>
      <c r="H255" s="27"/>
      <c r="J255" s="27"/>
      <c r="L255" s="27"/>
      <c r="N255" s="27"/>
      <c r="P255" s="27"/>
      <c r="Q255" s="29"/>
      <c r="R255" s="26">
        <v>0.0</v>
      </c>
      <c r="T255" s="27">
        <v>100.0</v>
      </c>
      <c r="V255" s="27">
        <v>75.0</v>
      </c>
      <c r="X255" s="27">
        <v>100.0</v>
      </c>
      <c r="Z255" s="27">
        <v>100.0</v>
      </c>
      <c r="AB255" s="27">
        <v>0.0</v>
      </c>
      <c r="AC255" s="29"/>
      <c r="AD255" s="26"/>
      <c r="AF255" s="27"/>
      <c r="AH255" s="27"/>
      <c r="AJ255" s="27"/>
      <c r="AL255" s="27"/>
      <c r="AN255" s="27"/>
      <c r="AO255" s="29"/>
      <c r="AP255" s="35">
        <f t="shared" si="1"/>
        <v>5075</v>
      </c>
      <c r="AQ255" s="23">
        <f t="shared" si="2"/>
        <v>375</v>
      </c>
      <c r="AR255" s="23">
        <f t="shared" si="3"/>
        <v>0</v>
      </c>
      <c r="AS255" s="23">
        <f t="shared" si="4"/>
        <v>375</v>
      </c>
      <c r="AT255" s="36">
        <f t="shared" si="5"/>
        <v>13.53333333</v>
      </c>
      <c r="AU255" s="37"/>
      <c r="AV255" s="37"/>
      <c r="AW255" s="37"/>
    </row>
    <row r="256" ht="15.75" customHeight="1">
      <c r="A256" s="39" t="s">
        <v>27</v>
      </c>
      <c r="B256" s="40">
        <f t="shared" si="6"/>
        <v>44816</v>
      </c>
      <c r="C256" s="41">
        <v>10.0</v>
      </c>
      <c r="D256" s="41" t="s">
        <v>25</v>
      </c>
      <c r="E256" s="43" t="s">
        <v>42</v>
      </c>
      <c r="F256" s="26"/>
      <c r="H256" s="27"/>
      <c r="J256" s="27"/>
      <c r="L256" s="27"/>
      <c r="N256" s="27"/>
      <c r="P256" s="27"/>
      <c r="Q256" s="29"/>
      <c r="R256" s="26">
        <v>0.0</v>
      </c>
      <c r="T256" s="27">
        <v>100.0</v>
      </c>
      <c r="V256" s="27">
        <v>75.0</v>
      </c>
      <c r="X256" s="27">
        <v>100.0</v>
      </c>
      <c r="Z256" s="27">
        <v>100.0</v>
      </c>
      <c r="AB256" s="27">
        <v>0.0</v>
      </c>
      <c r="AC256" s="29"/>
      <c r="AD256" s="26"/>
      <c r="AF256" s="27"/>
      <c r="AH256" s="27"/>
      <c r="AJ256" s="27"/>
      <c r="AL256" s="27"/>
      <c r="AN256" s="27"/>
      <c r="AO256" s="29"/>
      <c r="AP256" s="45">
        <f t="shared" si="1"/>
        <v>5075</v>
      </c>
      <c r="AQ256" s="41">
        <f t="shared" si="2"/>
        <v>375</v>
      </c>
      <c r="AR256" s="41">
        <f t="shared" si="3"/>
        <v>0</v>
      </c>
      <c r="AS256" s="41">
        <f t="shared" si="4"/>
        <v>375</v>
      </c>
      <c r="AT256" s="46">
        <f t="shared" si="5"/>
        <v>13.53333333</v>
      </c>
      <c r="AU256" s="37"/>
      <c r="AV256" s="37"/>
      <c r="AW256" s="37"/>
    </row>
    <row r="257" ht="15.75" customHeight="1">
      <c r="A257" s="39" t="s">
        <v>28</v>
      </c>
      <c r="B257" s="40">
        <f t="shared" si="6"/>
        <v>44817</v>
      </c>
      <c r="C257" s="41">
        <v>10.0</v>
      </c>
      <c r="D257" s="41" t="s">
        <v>25</v>
      </c>
      <c r="E257" s="43" t="s">
        <v>42</v>
      </c>
      <c r="F257" s="26"/>
      <c r="H257" s="27"/>
      <c r="J257" s="27"/>
      <c r="L257" s="27"/>
      <c r="N257" s="27"/>
      <c r="P257" s="27"/>
      <c r="Q257" s="29"/>
      <c r="R257" s="26">
        <v>0.0</v>
      </c>
      <c r="T257" s="27">
        <v>100.0</v>
      </c>
      <c r="V257" s="27">
        <v>75.0</v>
      </c>
      <c r="X257" s="27">
        <v>100.0</v>
      </c>
      <c r="Z257" s="27">
        <v>100.0</v>
      </c>
      <c r="AB257" s="27">
        <v>0.0</v>
      </c>
      <c r="AC257" s="29"/>
      <c r="AD257" s="26"/>
      <c r="AF257" s="27"/>
      <c r="AH257" s="27"/>
      <c r="AJ257" s="27"/>
      <c r="AL257" s="27"/>
      <c r="AN257" s="27"/>
      <c r="AO257" s="29"/>
      <c r="AP257" s="45">
        <f t="shared" si="1"/>
        <v>5075</v>
      </c>
      <c r="AQ257" s="41">
        <f t="shared" si="2"/>
        <v>375</v>
      </c>
      <c r="AR257" s="41">
        <f t="shared" si="3"/>
        <v>0</v>
      </c>
      <c r="AS257" s="41">
        <f t="shared" si="4"/>
        <v>375</v>
      </c>
      <c r="AT257" s="46">
        <f t="shared" si="5"/>
        <v>13.53333333</v>
      </c>
      <c r="AU257" s="37"/>
      <c r="AV257" s="37"/>
      <c r="AW257" s="37"/>
    </row>
    <row r="258" ht="15.75" customHeight="1">
      <c r="A258" s="39" t="s">
        <v>29</v>
      </c>
      <c r="B258" s="40">
        <f t="shared" si="6"/>
        <v>44818</v>
      </c>
      <c r="C258" s="41">
        <v>10.0</v>
      </c>
      <c r="D258" s="41" t="s">
        <v>25</v>
      </c>
      <c r="E258" s="43" t="s">
        <v>42</v>
      </c>
      <c r="F258" s="26"/>
      <c r="H258" s="27"/>
      <c r="J258" s="27"/>
      <c r="L258" s="27"/>
      <c r="N258" s="27"/>
      <c r="P258" s="27"/>
      <c r="Q258" s="29"/>
      <c r="R258" s="26">
        <v>0.0</v>
      </c>
      <c r="T258" s="27">
        <v>100.0</v>
      </c>
      <c r="V258" s="27">
        <v>75.0</v>
      </c>
      <c r="X258" s="27">
        <v>100.0</v>
      </c>
      <c r="Z258" s="27">
        <v>100.0</v>
      </c>
      <c r="AB258" s="27">
        <v>0.0</v>
      </c>
      <c r="AC258" s="29"/>
      <c r="AD258" s="26"/>
      <c r="AF258" s="27"/>
      <c r="AH258" s="27"/>
      <c r="AJ258" s="27"/>
      <c r="AL258" s="27"/>
      <c r="AN258" s="27"/>
      <c r="AO258" s="29"/>
      <c r="AP258" s="45">
        <f t="shared" si="1"/>
        <v>5075</v>
      </c>
      <c r="AQ258" s="41">
        <f t="shared" si="2"/>
        <v>375</v>
      </c>
      <c r="AR258" s="41">
        <f t="shared" si="3"/>
        <v>0</v>
      </c>
      <c r="AS258" s="41">
        <f t="shared" si="4"/>
        <v>375</v>
      </c>
      <c r="AT258" s="46">
        <f t="shared" si="5"/>
        <v>13.53333333</v>
      </c>
      <c r="AU258" s="37"/>
      <c r="AV258" s="37"/>
      <c r="AW258" s="37"/>
    </row>
    <row r="259" ht="15.75" customHeight="1">
      <c r="A259" s="39" t="s">
        <v>30</v>
      </c>
      <c r="B259" s="40">
        <f t="shared" si="6"/>
        <v>44819</v>
      </c>
      <c r="C259" s="41">
        <v>10.0</v>
      </c>
      <c r="D259" s="41" t="s">
        <v>25</v>
      </c>
      <c r="E259" s="43" t="s">
        <v>42</v>
      </c>
      <c r="F259" s="26"/>
      <c r="H259" s="27"/>
      <c r="J259" s="27"/>
      <c r="L259" s="27"/>
      <c r="N259" s="27"/>
      <c r="P259" s="27"/>
      <c r="Q259" s="29"/>
      <c r="R259" s="26">
        <v>0.0</v>
      </c>
      <c r="T259" s="27">
        <v>100.0</v>
      </c>
      <c r="V259" s="27">
        <v>75.0</v>
      </c>
      <c r="X259" s="27">
        <v>100.0</v>
      </c>
      <c r="Z259" s="27">
        <v>100.0</v>
      </c>
      <c r="AB259" s="27">
        <v>0.0</v>
      </c>
      <c r="AC259" s="29"/>
      <c r="AD259" s="26"/>
      <c r="AF259" s="27"/>
      <c r="AH259" s="27"/>
      <c r="AJ259" s="27"/>
      <c r="AL259" s="27"/>
      <c r="AN259" s="27"/>
      <c r="AO259" s="29"/>
      <c r="AP259" s="45">
        <f t="shared" si="1"/>
        <v>5075</v>
      </c>
      <c r="AQ259" s="41">
        <f t="shared" si="2"/>
        <v>375</v>
      </c>
      <c r="AR259" s="41">
        <f t="shared" si="3"/>
        <v>0</v>
      </c>
      <c r="AS259" s="41">
        <f t="shared" si="4"/>
        <v>375</v>
      </c>
      <c r="AT259" s="46">
        <f t="shared" si="5"/>
        <v>13.53333333</v>
      </c>
      <c r="AU259" s="37"/>
      <c r="AV259" s="37"/>
      <c r="AW259" s="37"/>
    </row>
    <row r="260" ht="15.75" customHeight="1">
      <c r="A260" s="39" t="s">
        <v>31</v>
      </c>
      <c r="B260" s="40">
        <f t="shared" si="6"/>
        <v>44820</v>
      </c>
      <c r="C260" s="41">
        <v>10.0</v>
      </c>
      <c r="D260" s="41" t="s">
        <v>25</v>
      </c>
      <c r="E260" s="43" t="s">
        <v>42</v>
      </c>
      <c r="F260" s="26"/>
      <c r="H260" s="27"/>
      <c r="J260" s="27"/>
      <c r="L260" s="27"/>
      <c r="N260" s="27"/>
      <c r="P260" s="27"/>
      <c r="Q260" s="29"/>
      <c r="R260" s="26">
        <v>0.0</v>
      </c>
      <c r="T260" s="27">
        <v>100.0</v>
      </c>
      <c r="V260" s="27">
        <v>75.0</v>
      </c>
      <c r="X260" s="27">
        <v>100.0</v>
      </c>
      <c r="Z260" s="27">
        <v>100.0</v>
      </c>
      <c r="AB260" s="27">
        <v>0.0</v>
      </c>
      <c r="AC260" s="29"/>
      <c r="AD260" s="26"/>
      <c r="AF260" s="27"/>
      <c r="AH260" s="27"/>
      <c r="AJ260" s="27"/>
      <c r="AL260" s="27"/>
      <c r="AN260" s="27"/>
      <c r="AO260" s="29"/>
      <c r="AP260" s="45">
        <f t="shared" si="1"/>
        <v>5075</v>
      </c>
      <c r="AQ260" s="41">
        <f t="shared" si="2"/>
        <v>375</v>
      </c>
      <c r="AR260" s="41">
        <f t="shared" si="3"/>
        <v>0</v>
      </c>
      <c r="AS260" s="41">
        <f t="shared" si="4"/>
        <v>375</v>
      </c>
      <c r="AT260" s="46">
        <f t="shared" si="5"/>
        <v>13.53333333</v>
      </c>
      <c r="AU260" s="37"/>
      <c r="AV260" s="37"/>
      <c r="AW260" s="37"/>
    </row>
    <row r="261" ht="15.75" customHeight="1">
      <c r="A261" s="49" t="s">
        <v>32</v>
      </c>
      <c r="B261" s="50">
        <f t="shared" si="6"/>
        <v>44821</v>
      </c>
      <c r="C261" s="51">
        <v>10.0</v>
      </c>
      <c r="D261" s="51" t="s">
        <v>25</v>
      </c>
      <c r="E261" s="53" t="s">
        <v>42</v>
      </c>
      <c r="F261" s="54"/>
      <c r="G261" s="55"/>
      <c r="H261" s="56"/>
      <c r="I261" s="55"/>
      <c r="J261" s="56"/>
      <c r="K261" s="55"/>
      <c r="L261" s="56"/>
      <c r="M261" s="55"/>
      <c r="N261" s="56"/>
      <c r="O261" s="55"/>
      <c r="P261" s="56"/>
      <c r="Q261" s="58"/>
      <c r="R261" s="54">
        <v>0.0</v>
      </c>
      <c r="S261" s="55"/>
      <c r="T261" s="56">
        <v>0.0</v>
      </c>
      <c r="U261" s="55"/>
      <c r="V261" s="56">
        <v>0.0</v>
      </c>
      <c r="W261" s="55"/>
      <c r="X261" s="56">
        <v>0.0</v>
      </c>
      <c r="Y261" s="55"/>
      <c r="Z261" s="56">
        <v>0.0</v>
      </c>
      <c r="AA261" s="55"/>
      <c r="AB261" s="56">
        <v>0.0</v>
      </c>
      <c r="AC261" s="58"/>
      <c r="AD261" s="54"/>
      <c r="AE261" s="55"/>
      <c r="AF261" s="56"/>
      <c r="AG261" s="55"/>
      <c r="AH261" s="56"/>
      <c r="AI261" s="55"/>
      <c r="AJ261" s="56"/>
      <c r="AK261" s="55"/>
      <c r="AL261" s="56"/>
      <c r="AM261" s="55"/>
      <c r="AN261" s="56"/>
      <c r="AO261" s="58"/>
      <c r="AP261" s="60">
        <f t="shared" si="1"/>
        <v>0</v>
      </c>
      <c r="AQ261" s="51">
        <f t="shared" si="2"/>
        <v>0</v>
      </c>
      <c r="AR261" s="51">
        <f t="shared" si="3"/>
        <v>0</v>
      </c>
      <c r="AS261" s="51">
        <f t="shared" si="4"/>
        <v>0</v>
      </c>
      <c r="AT261" s="61" t="str">
        <f t="shared" si="5"/>
        <v/>
      </c>
      <c r="AU261" s="37"/>
      <c r="AV261" s="37"/>
      <c r="AW261" s="37"/>
    </row>
    <row r="262" ht="15.75" customHeight="1">
      <c r="A262" s="21" t="s">
        <v>24</v>
      </c>
      <c r="B262" s="62">
        <f t="shared" si="6"/>
        <v>44822</v>
      </c>
      <c r="C262" s="23">
        <v>10.0</v>
      </c>
      <c r="D262" s="23" t="s">
        <v>33</v>
      </c>
      <c r="E262" s="63" t="s">
        <v>42</v>
      </c>
      <c r="F262" s="26"/>
      <c r="H262" s="27"/>
      <c r="J262" s="27"/>
      <c r="L262" s="27"/>
      <c r="N262" s="27"/>
      <c r="P262" s="27"/>
      <c r="Q262" s="29"/>
      <c r="R262" s="26">
        <v>125.0</v>
      </c>
      <c r="T262" s="27">
        <v>125.0</v>
      </c>
      <c r="V262" s="27">
        <v>0.0</v>
      </c>
      <c r="X262" s="27">
        <v>0.0</v>
      </c>
      <c r="Z262" s="27">
        <v>0.0</v>
      </c>
      <c r="AB262" s="27">
        <v>0.0</v>
      </c>
      <c r="AC262" s="29"/>
      <c r="AD262" s="26"/>
      <c r="AF262" s="27"/>
      <c r="AH262" s="27"/>
      <c r="AJ262" s="27"/>
      <c r="AL262" s="27"/>
      <c r="AN262" s="27"/>
      <c r="AO262" s="29"/>
      <c r="AP262" s="35">
        <f t="shared" si="1"/>
        <v>4250</v>
      </c>
      <c r="AQ262" s="23">
        <f t="shared" si="2"/>
        <v>250</v>
      </c>
      <c r="AR262" s="23">
        <f t="shared" si="3"/>
        <v>0</v>
      </c>
      <c r="AS262" s="23">
        <f t="shared" si="4"/>
        <v>250</v>
      </c>
      <c r="AT262" s="36">
        <f t="shared" si="5"/>
        <v>17</v>
      </c>
      <c r="AU262" s="37"/>
      <c r="AV262" s="37"/>
      <c r="AW262" s="37"/>
    </row>
    <row r="263" ht="15.75" customHeight="1">
      <c r="A263" s="39" t="s">
        <v>27</v>
      </c>
      <c r="B263" s="40">
        <f t="shared" si="6"/>
        <v>44823</v>
      </c>
      <c r="C263" s="41">
        <v>10.0</v>
      </c>
      <c r="D263" s="41" t="s">
        <v>33</v>
      </c>
      <c r="E263" s="43" t="s">
        <v>42</v>
      </c>
      <c r="F263" s="26"/>
      <c r="H263" s="27"/>
      <c r="J263" s="27"/>
      <c r="L263" s="27"/>
      <c r="N263" s="27"/>
      <c r="P263" s="27"/>
      <c r="Q263" s="29"/>
      <c r="R263" s="26">
        <v>125.0</v>
      </c>
      <c r="T263" s="27">
        <v>125.0</v>
      </c>
      <c r="V263" s="27">
        <v>0.0</v>
      </c>
      <c r="X263" s="27">
        <v>0.0</v>
      </c>
      <c r="Z263" s="27">
        <v>0.0</v>
      </c>
      <c r="AB263" s="27">
        <v>0.0</v>
      </c>
      <c r="AC263" s="29"/>
      <c r="AD263" s="26"/>
      <c r="AF263" s="27"/>
      <c r="AH263" s="27"/>
      <c r="AJ263" s="27"/>
      <c r="AL263" s="27"/>
      <c r="AN263" s="27"/>
      <c r="AO263" s="29"/>
      <c r="AP263" s="45">
        <f t="shared" si="1"/>
        <v>4250</v>
      </c>
      <c r="AQ263" s="41">
        <f t="shared" si="2"/>
        <v>250</v>
      </c>
      <c r="AR263" s="41">
        <f t="shared" si="3"/>
        <v>0</v>
      </c>
      <c r="AS263" s="41">
        <f t="shared" si="4"/>
        <v>250</v>
      </c>
      <c r="AT263" s="46">
        <f t="shared" si="5"/>
        <v>17</v>
      </c>
      <c r="AU263" s="37"/>
      <c r="AV263" s="37"/>
      <c r="AW263" s="37"/>
    </row>
    <row r="264" ht="15.75" customHeight="1">
      <c r="A264" s="39" t="s">
        <v>28</v>
      </c>
      <c r="B264" s="40">
        <f t="shared" si="6"/>
        <v>44824</v>
      </c>
      <c r="C264" s="41">
        <v>10.0</v>
      </c>
      <c r="D264" s="41" t="s">
        <v>33</v>
      </c>
      <c r="E264" s="43" t="s">
        <v>42</v>
      </c>
      <c r="F264" s="26"/>
      <c r="H264" s="27"/>
      <c r="J264" s="27"/>
      <c r="L264" s="27"/>
      <c r="N264" s="27"/>
      <c r="P264" s="27"/>
      <c r="Q264" s="29"/>
      <c r="R264" s="26">
        <v>125.0</v>
      </c>
      <c r="T264" s="27">
        <v>125.0</v>
      </c>
      <c r="V264" s="27">
        <v>0.0</v>
      </c>
      <c r="X264" s="27">
        <v>0.0</v>
      </c>
      <c r="Z264" s="27">
        <v>0.0</v>
      </c>
      <c r="AB264" s="27">
        <v>0.0</v>
      </c>
      <c r="AC264" s="29"/>
      <c r="AD264" s="26"/>
      <c r="AF264" s="27"/>
      <c r="AH264" s="27"/>
      <c r="AJ264" s="27"/>
      <c r="AL264" s="27"/>
      <c r="AN264" s="27"/>
      <c r="AO264" s="29"/>
      <c r="AP264" s="45">
        <f t="shared" si="1"/>
        <v>4250</v>
      </c>
      <c r="AQ264" s="41">
        <f t="shared" si="2"/>
        <v>250</v>
      </c>
      <c r="AR264" s="41">
        <f t="shared" si="3"/>
        <v>0</v>
      </c>
      <c r="AS264" s="41">
        <f t="shared" si="4"/>
        <v>250</v>
      </c>
      <c r="AT264" s="46">
        <f t="shared" si="5"/>
        <v>17</v>
      </c>
      <c r="AU264" s="37"/>
      <c r="AV264" s="37"/>
      <c r="AW264" s="37"/>
    </row>
    <row r="265" ht="15.75" customHeight="1">
      <c r="A265" s="39" t="s">
        <v>29</v>
      </c>
      <c r="B265" s="40">
        <f t="shared" si="6"/>
        <v>44825</v>
      </c>
      <c r="C265" s="41">
        <v>10.0</v>
      </c>
      <c r="D265" s="41" t="s">
        <v>33</v>
      </c>
      <c r="E265" s="43" t="s">
        <v>42</v>
      </c>
      <c r="F265" s="26"/>
      <c r="H265" s="27"/>
      <c r="J265" s="27"/>
      <c r="L265" s="27"/>
      <c r="N265" s="27"/>
      <c r="P265" s="27"/>
      <c r="Q265" s="29"/>
      <c r="R265" s="26">
        <v>125.0</v>
      </c>
      <c r="T265" s="27">
        <v>125.0</v>
      </c>
      <c r="V265" s="27">
        <v>0.0</v>
      </c>
      <c r="X265" s="27">
        <v>0.0</v>
      </c>
      <c r="Z265" s="27">
        <v>0.0</v>
      </c>
      <c r="AB265" s="27">
        <v>0.0</v>
      </c>
      <c r="AC265" s="29"/>
      <c r="AD265" s="26"/>
      <c r="AF265" s="27"/>
      <c r="AH265" s="27"/>
      <c r="AJ265" s="27"/>
      <c r="AL265" s="27"/>
      <c r="AN265" s="27"/>
      <c r="AO265" s="29"/>
      <c r="AP265" s="45">
        <f t="shared" si="1"/>
        <v>4250</v>
      </c>
      <c r="AQ265" s="41">
        <f t="shared" si="2"/>
        <v>250</v>
      </c>
      <c r="AR265" s="41">
        <f t="shared" si="3"/>
        <v>0</v>
      </c>
      <c r="AS265" s="41">
        <f t="shared" si="4"/>
        <v>250</v>
      </c>
      <c r="AT265" s="46">
        <f t="shared" si="5"/>
        <v>17</v>
      </c>
      <c r="AU265" s="37"/>
      <c r="AV265" s="37"/>
      <c r="AW265" s="37"/>
    </row>
    <row r="266" ht="15.75" customHeight="1">
      <c r="A266" s="39" t="s">
        <v>30</v>
      </c>
      <c r="B266" s="40">
        <f t="shared" si="6"/>
        <v>44826</v>
      </c>
      <c r="C266" s="41">
        <v>10.0</v>
      </c>
      <c r="D266" s="41" t="s">
        <v>33</v>
      </c>
      <c r="E266" s="43" t="s">
        <v>42</v>
      </c>
      <c r="F266" s="26"/>
      <c r="H266" s="27"/>
      <c r="J266" s="27"/>
      <c r="L266" s="27"/>
      <c r="N266" s="27"/>
      <c r="P266" s="27"/>
      <c r="Q266" s="29"/>
      <c r="R266" s="26">
        <v>125.0</v>
      </c>
      <c r="T266" s="27">
        <v>125.0</v>
      </c>
      <c r="V266" s="27">
        <v>0.0</v>
      </c>
      <c r="X266" s="27">
        <v>0.0</v>
      </c>
      <c r="Z266" s="27">
        <v>0.0</v>
      </c>
      <c r="AB266" s="27">
        <v>0.0</v>
      </c>
      <c r="AC266" s="29"/>
      <c r="AD266" s="26"/>
      <c r="AF266" s="27"/>
      <c r="AH266" s="27"/>
      <c r="AJ266" s="27"/>
      <c r="AL266" s="27"/>
      <c r="AN266" s="27"/>
      <c r="AO266" s="29"/>
      <c r="AP266" s="45">
        <f t="shared" si="1"/>
        <v>4250</v>
      </c>
      <c r="AQ266" s="41">
        <f t="shared" si="2"/>
        <v>250</v>
      </c>
      <c r="AR266" s="41">
        <f t="shared" si="3"/>
        <v>0</v>
      </c>
      <c r="AS266" s="41">
        <f t="shared" si="4"/>
        <v>250</v>
      </c>
      <c r="AT266" s="46">
        <f t="shared" si="5"/>
        <v>17</v>
      </c>
      <c r="AU266" s="37"/>
      <c r="AV266" s="37"/>
      <c r="AW266" s="37"/>
    </row>
    <row r="267" ht="15.75" customHeight="1">
      <c r="A267" s="39" t="s">
        <v>31</v>
      </c>
      <c r="B267" s="40">
        <f t="shared" si="6"/>
        <v>44827</v>
      </c>
      <c r="C267" s="41">
        <v>10.0</v>
      </c>
      <c r="D267" s="41" t="s">
        <v>33</v>
      </c>
      <c r="E267" s="43" t="s">
        <v>42</v>
      </c>
      <c r="F267" s="26"/>
      <c r="H267" s="27"/>
      <c r="J267" s="27"/>
      <c r="L267" s="27"/>
      <c r="N267" s="27"/>
      <c r="P267" s="27"/>
      <c r="Q267" s="29"/>
      <c r="R267" s="26">
        <v>125.0</v>
      </c>
      <c r="T267" s="27">
        <v>125.0</v>
      </c>
      <c r="V267" s="27">
        <v>0.0</v>
      </c>
      <c r="X267" s="27">
        <v>0.0</v>
      </c>
      <c r="Z267" s="27">
        <v>0.0</v>
      </c>
      <c r="AB267" s="27">
        <v>0.0</v>
      </c>
      <c r="AC267" s="29"/>
      <c r="AD267" s="26"/>
      <c r="AF267" s="27"/>
      <c r="AH267" s="27"/>
      <c r="AJ267" s="27"/>
      <c r="AL267" s="27"/>
      <c r="AN267" s="27"/>
      <c r="AO267" s="29"/>
      <c r="AP267" s="45">
        <f t="shared" si="1"/>
        <v>4250</v>
      </c>
      <c r="AQ267" s="41">
        <f t="shared" si="2"/>
        <v>250</v>
      </c>
      <c r="AR267" s="41">
        <f t="shared" si="3"/>
        <v>0</v>
      </c>
      <c r="AS267" s="41">
        <f t="shared" si="4"/>
        <v>250</v>
      </c>
      <c r="AT267" s="46">
        <f t="shared" si="5"/>
        <v>17</v>
      </c>
      <c r="AU267" s="37"/>
      <c r="AV267" s="37"/>
      <c r="AW267" s="37"/>
    </row>
    <row r="268" ht="15.75" customHeight="1">
      <c r="A268" s="49" t="s">
        <v>32</v>
      </c>
      <c r="B268" s="50">
        <f t="shared" si="6"/>
        <v>44828</v>
      </c>
      <c r="C268" s="51">
        <v>10.0</v>
      </c>
      <c r="D268" s="51" t="s">
        <v>33</v>
      </c>
      <c r="E268" s="53" t="s">
        <v>42</v>
      </c>
      <c r="F268" s="54"/>
      <c r="G268" s="55"/>
      <c r="H268" s="56"/>
      <c r="I268" s="55"/>
      <c r="J268" s="56"/>
      <c r="K268" s="55"/>
      <c r="L268" s="56"/>
      <c r="M268" s="55"/>
      <c r="N268" s="56"/>
      <c r="O268" s="55"/>
      <c r="P268" s="56"/>
      <c r="Q268" s="58"/>
      <c r="R268" s="54">
        <v>0.0</v>
      </c>
      <c r="S268" s="55"/>
      <c r="T268" s="56">
        <v>0.0</v>
      </c>
      <c r="U268" s="55"/>
      <c r="V268" s="56">
        <v>0.0</v>
      </c>
      <c r="W268" s="55"/>
      <c r="X268" s="56">
        <v>0.0</v>
      </c>
      <c r="Y268" s="55"/>
      <c r="Z268" s="56">
        <v>0.0</v>
      </c>
      <c r="AA268" s="55"/>
      <c r="AB268" s="56">
        <v>0.0</v>
      </c>
      <c r="AC268" s="58"/>
      <c r="AD268" s="54"/>
      <c r="AE268" s="55"/>
      <c r="AF268" s="56"/>
      <c r="AG268" s="55"/>
      <c r="AH268" s="56"/>
      <c r="AI268" s="55"/>
      <c r="AJ268" s="56"/>
      <c r="AK268" s="55"/>
      <c r="AL268" s="56"/>
      <c r="AM268" s="55"/>
      <c r="AN268" s="56"/>
      <c r="AO268" s="58"/>
      <c r="AP268" s="60">
        <f t="shared" si="1"/>
        <v>0</v>
      </c>
      <c r="AQ268" s="51">
        <f t="shared" si="2"/>
        <v>0</v>
      </c>
      <c r="AR268" s="51">
        <f t="shared" si="3"/>
        <v>0</v>
      </c>
      <c r="AS268" s="51">
        <f t="shared" si="4"/>
        <v>0</v>
      </c>
      <c r="AT268" s="61" t="str">
        <f t="shared" si="5"/>
        <v/>
      </c>
      <c r="AU268" s="37"/>
      <c r="AV268" s="37"/>
      <c r="AW268" s="37"/>
    </row>
    <row r="269" ht="15.75" customHeight="1">
      <c r="A269" s="21" t="s">
        <v>24</v>
      </c>
      <c r="B269" s="62">
        <f t="shared" si="6"/>
        <v>44829</v>
      </c>
      <c r="C269" s="23">
        <v>10.0</v>
      </c>
      <c r="D269" s="23" t="s">
        <v>34</v>
      </c>
      <c r="E269" s="63" t="s">
        <v>42</v>
      </c>
      <c r="F269" s="26"/>
      <c r="H269" s="27"/>
      <c r="J269" s="27"/>
      <c r="L269" s="27"/>
      <c r="N269" s="27"/>
      <c r="P269" s="27"/>
      <c r="Q269" s="29"/>
      <c r="R269" s="26">
        <v>125.0</v>
      </c>
      <c r="T269" s="27">
        <v>125.0</v>
      </c>
      <c r="V269" s="27">
        <v>0.0</v>
      </c>
      <c r="X269" s="27">
        <v>0.0</v>
      </c>
      <c r="Z269" s="27">
        <v>0.0</v>
      </c>
      <c r="AB269" s="27">
        <v>0.0</v>
      </c>
      <c r="AC269" s="29"/>
      <c r="AD269" s="26"/>
      <c r="AF269" s="27"/>
      <c r="AH269" s="27"/>
      <c r="AJ269" s="27"/>
      <c r="AL269" s="27"/>
      <c r="AN269" s="27"/>
      <c r="AO269" s="29"/>
      <c r="AP269" s="35">
        <f t="shared" si="1"/>
        <v>4250</v>
      </c>
      <c r="AQ269" s="23">
        <f t="shared" si="2"/>
        <v>250</v>
      </c>
      <c r="AR269" s="23">
        <f t="shared" si="3"/>
        <v>0</v>
      </c>
      <c r="AS269" s="23">
        <f t="shared" si="4"/>
        <v>250</v>
      </c>
      <c r="AT269" s="36">
        <f t="shared" si="5"/>
        <v>17</v>
      </c>
      <c r="AU269" s="37"/>
      <c r="AV269" s="37"/>
      <c r="AW269" s="37"/>
    </row>
    <row r="270" ht="15.75" customHeight="1">
      <c r="A270" s="39" t="s">
        <v>27</v>
      </c>
      <c r="B270" s="40">
        <f t="shared" si="6"/>
        <v>44830</v>
      </c>
      <c r="C270" s="41">
        <v>10.0</v>
      </c>
      <c r="D270" s="41" t="s">
        <v>34</v>
      </c>
      <c r="E270" s="43" t="s">
        <v>42</v>
      </c>
      <c r="F270" s="26"/>
      <c r="H270" s="27"/>
      <c r="J270" s="27"/>
      <c r="L270" s="27"/>
      <c r="N270" s="27"/>
      <c r="P270" s="27"/>
      <c r="Q270" s="29"/>
      <c r="R270" s="26">
        <v>125.0</v>
      </c>
      <c r="T270" s="27">
        <v>125.0</v>
      </c>
      <c r="V270" s="27">
        <v>0.0</v>
      </c>
      <c r="X270" s="27">
        <v>0.0</v>
      </c>
      <c r="Z270" s="27">
        <v>0.0</v>
      </c>
      <c r="AB270" s="27">
        <v>0.0</v>
      </c>
      <c r="AC270" s="29"/>
      <c r="AD270" s="26"/>
      <c r="AF270" s="27"/>
      <c r="AH270" s="27"/>
      <c r="AJ270" s="27"/>
      <c r="AL270" s="27"/>
      <c r="AN270" s="27"/>
      <c r="AO270" s="29"/>
      <c r="AP270" s="45">
        <f t="shared" si="1"/>
        <v>4250</v>
      </c>
      <c r="AQ270" s="41">
        <f t="shared" si="2"/>
        <v>250</v>
      </c>
      <c r="AR270" s="41">
        <f t="shared" si="3"/>
        <v>0</v>
      </c>
      <c r="AS270" s="41">
        <f t="shared" si="4"/>
        <v>250</v>
      </c>
      <c r="AT270" s="46">
        <f t="shared" si="5"/>
        <v>17</v>
      </c>
      <c r="AU270" s="37"/>
      <c r="AV270" s="37"/>
      <c r="AW270" s="37"/>
    </row>
    <row r="271" ht="15.75" customHeight="1">
      <c r="A271" s="39" t="s">
        <v>28</v>
      </c>
      <c r="B271" s="40">
        <f t="shared" si="6"/>
        <v>44831</v>
      </c>
      <c r="C271" s="41">
        <v>10.0</v>
      </c>
      <c r="D271" s="41" t="s">
        <v>34</v>
      </c>
      <c r="E271" s="43" t="s">
        <v>42</v>
      </c>
      <c r="F271" s="26"/>
      <c r="H271" s="27"/>
      <c r="J271" s="27"/>
      <c r="L271" s="27"/>
      <c r="N271" s="27"/>
      <c r="P271" s="27"/>
      <c r="Q271" s="29"/>
      <c r="R271" s="26">
        <v>125.0</v>
      </c>
      <c r="T271" s="27">
        <v>125.0</v>
      </c>
      <c r="V271" s="27">
        <v>0.0</v>
      </c>
      <c r="X271" s="27">
        <v>0.0</v>
      </c>
      <c r="Z271" s="27">
        <v>0.0</v>
      </c>
      <c r="AB271" s="27">
        <v>0.0</v>
      </c>
      <c r="AC271" s="29"/>
      <c r="AD271" s="26"/>
      <c r="AF271" s="27"/>
      <c r="AH271" s="27"/>
      <c r="AJ271" s="27"/>
      <c r="AL271" s="27"/>
      <c r="AN271" s="27"/>
      <c r="AO271" s="29"/>
      <c r="AP271" s="45">
        <f t="shared" si="1"/>
        <v>4250</v>
      </c>
      <c r="AQ271" s="41">
        <f t="shared" si="2"/>
        <v>250</v>
      </c>
      <c r="AR271" s="41">
        <f t="shared" si="3"/>
        <v>0</v>
      </c>
      <c r="AS271" s="41">
        <f t="shared" si="4"/>
        <v>250</v>
      </c>
      <c r="AT271" s="46">
        <f t="shared" si="5"/>
        <v>17</v>
      </c>
      <c r="AU271" s="37"/>
      <c r="AV271" s="37"/>
      <c r="AW271" s="37"/>
    </row>
    <row r="272" ht="15.75" customHeight="1">
      <c r="A272" s="39" t="s">
        <v>29</v>
      </c>
      <c r="B272" s="40">
        <f t="shared" si="6"/>
        <v>44832</v>
      </c>
      <c r="C272" s="41">
        <v>10.0</v>
      </c>
      <c r="D272" s="41" t="s">
        <v>34</v>
      </c>
      <c r="E272" s="43" t="s">
        <v>42</v>
      </c>
      <c r="F272" s="26"/>
      <c r="H272" s="27"/>
      <c r="J272" s="27"/>
      <c r="L272" s="27"/>
      <c r="N272" s="27"/>
      <c r="P272" s="27"/>
      <c r="Q272" s="29"/>
      <c r="R272" s="26">
        <v>125.0</v>
      </c>
      <c r="T272" s="27">
        <v>125.0</v>
      </c>
      <c r="V272" s="27">
        <v>0.0</v>
      </c>
      <c r="X272" s="27">
        <v>0.0</v>
      </c>
      <c r="Z272" s="27">
        <v>0.0</v>
      </c>
      <c r="AB272" s="27">
        <v>0.0</v>
      </c>
      <c r="AC272" s="29"/>
      <c r="AD272" s="26"/>
      <c r="AF272" s="27"/>
      <c r="AH272" s="27"/>
      <c r="AJ272" s="27"/>
      <c r="AL272" s="27"/>
      <c r="AN272" s="27"/>
      <c r="AO272" s="29"/>
      <c r="AP272" s="45">
        <f t="shared" si="1"/>
        <v>4250</v>
      </c>
      <c r="AQ272" s="41">
        <f t="shared" si="2"/>
        <v>250</v>
      </c>
      <c r="AR272" s="41">
        <f t="shared" si="3"/>
        <v>0</v>
      </c>
      <c r="AS272" s="41">
        <f t="shared" si="4"/>
        <v>250</v>
      </c>
      <c r="AT272" s="46">
        <f t="shared" si="5"/>
        <v>17</v>
      </c>
      <c r="AU272" s="37"/>
      <c r="AV272" s="37"/>
      <c r="AW272" s="37"/>
    </row>
    <row r="273" ht="15.75" customHeight="1">
      <c r="A273" s="39" t="s">
        <v>30</v>
      </c>
      <c r="B273" s="40">
        <f t="shared" si="6"/>
        <v>44833</v>
      </c>
      <c r="C273" s="41">
        <v>10.0</v>
      </c>
      <c r="D273" s="41" t="s">
        <v>34</v>
      </c>
      <c r="E273" s="43" t="s">
        <v>42</v>
      </c>
      <c r="F273" s="26"/>
      <c r="H273" s="27"/>
      <c r="J273" s="27"/>
      <c r="L273" s="27"/>
      <c r="N273" s="27"/>
      <c r="P273" s="27"/>
      <c r="Q273" s="29"/>
      <c r="R273" s="26">
        <v>125.0</v>
      </c>
      <c r="T273" s="27">
        <v>125.0</v>
      </c>
      <c r="V273" s="27">
        <v>0.0</v>
      </c>
      <c r="X273" s="27">
        <v>0.0</v>
      </c>
      <c r="Z273" s="27">
        <v>0.0</v>
      </c>
      <c r="AB273" s="27">
        <v>0.0</v>
      </c>
      <c r="AC273" s="29"/>
      <c r="AD273" s="26"/>
      <c r="AF273" s="27"/>
      <c r="AH273" s="27"/>
      <c r="AJ273" s="27"/>
      <c r="AL273" s="27"/>
      <c r="AN273" s="27"/>
      <c r="AO273" s="29"/>
      <c r="AP273" s="45">
        <f t="shared" si="1"/>
        <v>4250</v>
      </c>
      <c r="AQ273" s="41">
        <f t="shared" si="2"/>
        <v>250</v>
      </c>
      <c r="AR273" s="41">
        <f t="shared" si="3"/>
        <v>0</v>
      </c>
      <c r="AS273" s="41">
        <f t="shared" si="4"/>
        <v>250</v>
      </c>
      <c r="AT273" s="46">
        <f t="shared" si="5"/>
        <v>17</v>
      </c>
      <c r="AU273" s="37"/>
      <c r="AV273" s="37"/>
      <c r="AW273" s="37"/>
    </row>
    <row r="274" ht="15.75" customHeight="1">
      <c r="A274" s="39" t="s">
        <v>31</v>
      </c>
      <c r="B274" s="40">
        <f t="shared" si="6"/>
        <v>44834</v>
      </c>
      <c r="C274" s="41">
        <v>10.0</v>
      </c>
      <c r="D274" s="41" t="s">
        <v>34</v>
      </c>
      <c r="E274" s="43" t="s">
        <v>42</v>
      </c>
      <c r="F274" s="26"/>
      <c r="H274" s="27"/>
      <c r="J274" s="27"/>
      <c r="L274" s="27"/>
      <c r="N274" s="27"/>
      <c r="P274" s="27"/>
      <c r="Q274" s="29"/>
      <c r="R274" s="26">
        <v>125.0</v>
      </c>
      <c r="T274" s="27">
        <v>125.0</v>
      </c>
      <c r="V274" s="27">
        <v>0.0</v>
      </c>
      <c r="X274" s="27">
        <v>0.0</v>
      </c>
      <c r="Z274" s="27">
        <v>0.0</v>
      </c>
      <c r="AB274" s="27">
        <v>0.0</v>
      </c>
      <c r="AC274" s="29"/>
      <c r="AD274" s="26"/>
      <c r="AF274" s="27"/>
      <c r="AH274" s="27"/>
      <c r="AJ274" s="27"/>
      <c r="AL274" s="27"/>
      <c r="AN274" s="27"/>
      <c r="AO274" s="29"/>
      <c r="AP274" s="45">
        <f t="shared" si="1"/>
        <v>4250</v>
      </c>
      <c r="AQ274" s="41">
        <f t="shared" si="2"/>
        <v>250</v>
      </c>
      <c r="AR274" s="41">
        <f t="shared" si="3"/>
        <v>0</v>
      </c>
      <c r="AS274" s="41">
        <f t="shared" si="4"/>
        <v>250</v>
      </c>
      <c r="AT274" s="46">
        <f t="shared" si="5"/>
        <v>17</v>
      </c>
      <c r="AU274" s="37"/>
      <c r="AV274" s="37"/>
      <c r="AW274" s="37"/>
    </row>
    <row r="275" ht="15.75" customHeight="1">
      <c r="A275" s="49" t="s">
        <v>32</v>
      </c>
      <c r="B275" s="50">
        <f t="shared" si="6"/>
        <v>44835</v>
      </c>
      <c r="C275" s="51">
        <v>10.0</v>
      </c>
      <c r="D275" s="51" t="s">
        <v>34</v>
      </c>
      <c r="E275" s="53" t="s">
        <v>42</v>
      </c>
      <c r="F275" s="54"/>
      <c r="G275" s="55"/>
      <c r="H275" s="56"/>
      <c r="I275" s="55"/>
      <c r="J275" s="56"/>
      <c r="K275" s="55"/>
      <c r="L275" s="56"/>
      <c r="M275" s="55"/>
      <c r="N275" s="56"/>
      <c r="O275" s="55"/>
      <c r="P275" s="56"/>
      <c r="Q275" s="58"/>
      <c r="R275" s="54">
        <v>0.0</v>
      </c>
      <c r="S275" s="55"/>
      <c r="T275" s="56">
        <v>0.0</v>
      </c>
      <c r="U275" s="55"/>
      <c r="V275" s="56">
        <v>0.0</v>
      </c>
      <c r="W275" s="55"/>
      <c r="X275" s="56">
        <v>0.0</v>
      </c>
      <c r="Y275" s="55"/>
      <c r="Z275" s="56">
        <v>0.0</v>
      </c>
      <c r="AA275" s="55"/>
      <c r="AB275" s="56">
        <v>0.0</v>
      </c>
      <c r="AC275" s="58"/>
      <c r="AD275" s="54"/>
      <c r="AE275" s="55"/>
      <c r="AF275" s="56"/>
      <c r="AG275" s="55"/>
      <c r="AH275" s="56"/>
      <c r="AI275" s="55"/>
      <c r="AJ275" s="56"/>
      <c r="AK275" s="55"/>
      <c r="AL275" s="56"/>
      <c r="AM275" s="55"/>
      <c r="AN275" s="56"/>
      <c r="AO275" s="58"/>
      <c r="AP275" s="60">
        <f t="shared" si="1"/>
        <v>0</v>
      </c>
      <c r="AQ275" s="51">
        <f t="shared" si="2"/>
        <v>0</v>
      </c>
      <c r="AR275" s="51">
        <f t="shared" si="3"/>
        <v>0</v>
      </c>
      <c r="AS275" s="51">
        <f t="shared" si="4"/>
        <v>0</v>
      </c>
      <c r="AT275" s="61" t="str">
        <f t="shared" si="5"/>
        <v/>
      </c>
      <c r="AU275" s="37"/>
      <c r="AV275" s="37"/>
      <c r="AW275" s="37"/>
    </row>
    <row r="276" ht="15.75" customHeight="1">
      <c r="A276" s="21" t="s">
        <v>24</v>
      </c>
      <c r="B276" s="62">
        <f t="shared" si="6"/>
        <v>44836</v>
      </c>
      <c r="C276" s="23">
        <v>10.0</v>
      </c>
      <c r="D276" s="23" t="s">
        <v>35</v>
      </c>
      <c r="E276" s="63" t="s">
        <v>42</v>
      </c>
      <c r="F276" s="26"/>
      <c r="H276" s="27"/>
      <c r="J276" s="27"/>
      <c r="L276" s="27"/>
      <c r="N276" s="27"/>
      <c r="P276" s="27"/>
      <c r="Q276" s="29"/>
      <c r="R276" s="26">
        <v>125.0</v>
      </c>
      <c r="T276" s="27">
        <v>125.0</v>
      </c>
      <c r="V276" s="27">
        <v>0.0</v>
      </c>
      <c r="X276" s="27">
        <v>0.0</v>
      </c>
      <c r="Z276" s="27">
        <v>0.0</v>
      </c>
      <c r="AB276" s="27">
        <v>0.0</v>
      </c>
      <c r="AC276" s="29"/>
      <c r="AD276" s="26"/>
      <c r="AF276" s="27"/>
      <c r="AH276" s="27"/>
      <c r="AJ276" s="27"/>
      <c r="AL276" s="27"/>
      <c r="AN276" s="27"/>
      <c r="AO276" s="29"/>
      <c r="AP276" s="35">
        <f t="shared" si="1"/>
        <v>4250</v>
      </c>
      <c r="AQ276" s="23">
        <f t="shared" si="2"/>
        <v>250</v>
      </c>
      <c r="AR276" s="23">
        <f t="shared" si="3"/>
        <v>0</v>
      </c>
      <c r="AS276" s="23">
        <f t="shared" si="4"/>
        <v>250</v>
      </c>
      <c r="AT276" s="36">
        <f t="shared" si="5"/>
        <v>17</v>
      </c>
      <c r="AU276" s="37"/>
      <c r="AV276" s="37"/>
      <c r="AW276" s="37"/>
    </row>
    <row r="277" ht="15.75" customHeight="1">
      <c r="A277" s="39" t="s">
        <v>27</v>
      </c>
      <c r="B277" s="40">
        <f t="shared" si="6"/>
        <v>44837</v>
      </c>
      <c r="C277" s="41">
        <v>10.0</v>
      </c>
      <c r="D277" s="41" t="s">
        <v>35</v>
      </c>
      <c r="E277" s="43" t="s">
        <v>42</v>
      </c>
      <c r="F277" s="26"/>
      <c r="H277" s="27"/>
      <c r="J277" s="27"/>
      <c r="L277" s="27"/>
      <c r="N277" s="27"/>
      <c r="P277" s="27"/>
      <c r="Q277" s="29"/>
      <c r="R277" s="26">
        <v>125.0</v>
      </c>
      <c r="T277" s="27">
        <v>125.0</v>
      </c>
      <c r="V277" s="27">
        <v>0.0</v>
      </c>
      <c r="X277" s="27">
        <v>0.0</v>
      </c>
      <c r="Z277" s="27">
        <v>0.0</v>
      </c>
      <c r="AB277" s="27">
        <v>0.0</v>
      </c>
      <c r="AC277" s="29"/>
      <c r="AD277" s="26"/>
      <c r="AF277" s="27"/>
      <c r="AH277" s="27"/>
      <c r="AJ277" s="27"/>
      <c r="AL277" s="27"/>
      <c r="AN277" s="27"/>
      <c r="AO277" s="29"/>
      <c r="AP277" s="45">
        <f t="shared" si="1"/>
        <v>4250</v>
      </c>
      <c r="AQ277" s="41">
        <f t="shared" si="2"/>
        <v>250</v>
      </c>
      <c r="AR277" s="41">
        <f t="shared" si="3"/>
        <v>0</v>
      </c>
      <c r="AS277" s="41">
        <f t="shared" si="4"/>
        <v>250</v>
      </c>
      <c r="AT277" s="46">
        <f t="shared" si="5"/>
        <v>17</v>
      </c>
      <c r="AU277" s="37"/>
      <c r="AV277" s="37"/>
      <c r="AW277" s="37"/>
    </row>
    <row r="278" ht="15.75" customHeight="1">
      <c r="A278" s="39" t="s">
        <v>28</v>
      </c>
      <c r="B278" s="40">
        <f t="shared" si="6"/>
        <v>44838</v>
      </c>
      <c r="C278" s="41">
        <v>10.0</v>
      </c>
      <c r="D278" s="41" t="s">
        <v>35</v>
      </c>
      <c r="E278" s="43" t="s">
        <v>42</v>
      </c>
      <c r="F278" s="26"/>
      <c r="H278" s="27"/>
      <c r="J278" s="27"/>
      <c r="L278" s="27"/>
      <c r="N278" s="27"/>
      <c r="P278" s="27"/>
      <c r="Q278" s="29"/>
      <c r="R278" s="26">
        <v>125.0</v>
      </c>
      <c r="T278" s="27">
        <v>125.0</v>
      </c>
      <c r="V278" s="27">
        <v>0.0</v>
      </c>
      <c r="X278" s="27">
        <v>0.0</v>
      </c>
      <c r="Z278" s="27">
        <v>0.0</v>
      </c>
      <c r="AB278" s="27">
        <v>0.0</v>
      </c>
      <c r="AC278" s="29"/>
      <c r="AD278" s="26"/>
      <c r="AF278" s="27"/>
      <c r="AH278" s="27"/>
      <c r="AJ278" s="27"/>
      <c r="AL278" s="27"/>
      <c r="AN278" s="27"/>
      <c r="AO278" s="29"/>
      <c r="AP278" s="45">
        <f t="shared" si="1"/>
        <v>4250</v>
      </c>
      <c r="AQ278" s="41">
        <f t="shared" si="2"/>
        <v>250</v>
      </c>
      <c r="AR278" s="41">
        <f t="shared" si="3"/>
        <v>0</v>
      </c>
      <c r="AS278" s="41">
        <f t="shared" si="4"/>
        <v>250</v>
      </c>
      <c r="AT278" s="46">
        <f t="shared" si="5"/>
        <v>17</v>
      </c>
      <c r="AU278" s="37"/>
      <c r="AV278" s="37"/>
      <c r="AW278" s="37"/>
    </row>
    <row r="279" ht="15.75" customHeight="1">
      <c r="A279" s="39" t="s">
        <v>29</v>
      </c>
      <c r="B279" s="40">
        <f t="shared" si="6"/>
        <v>44839</v>
      </c>
      <c r="C279" s="41">
        <v>10.0</v>
      </c>
      <c r="D279" s="41" t="s">
        <v>35</v>
      </c>
      <c r="E279" s="43" t="s">
        <v>42</v>
      </c>
      <c r="F279" s="26"/>
      <c r="H279" s="27"/>
      <c r="J279" s="27"/>
      <c r="L279" s="27"/>
      <c r="N279" s="27"/>
      <c r="P279" s="27"/>
      <c r="Q279" s="29"/>
      <c r="R279" s="26">
        <v>125.0</v>
      </c>
      <c r="T279" s="27">
        <v>125.0</v>
      </c>
      <c r="V279" s="27">
        <v>0.0</v>
      </c>
      <c r="X279" s="27">
        <v>0.0</v>
      </c>
      <c r="Z279" s="27">
        <v>0.0</v>
      </c>
      <c r="AB279" s="27">
        <v>0.0</v>
      </c>
      <c r="AC279" s="29"/>
      <c r="AD279" s="26"/>
      <c r="AF279" s="27"/>
      <c r="AH279" s="27"/>
      <c r="AJ279" s="27"/>
      <c r="AL279" s="27"/>
      <c r="AN279" s="27"/>
      <c r="AO279" s="29"/>
      <c r="AP279" s="45">
        <f t="shared" si="1"/>
        <v>4250</v>
      </c>
      <c r="AQ279" s="41">
        <f t="shared" si="2"/>
        <v>250</v>
      </c>
      <c r="AR279" s="41">
        <f t="shared" si="3"/>
        <v>0</v>
      </c>
      <c r="AS279" s="41">
        <f t="shared" si="4"/>
        <v>250</v>
      </c>
      <c r="AT279" s="46">
        <f t="shared" si="5"/>
        <v>17</v>
      </c>
      <c r="AU279" s="37"/>
      <c r="AV279" s="37"/>
      <c r="AW279" s="37"/>
    </row>
    <row r="280" ht="15.75" customHeight="1">
      <c r="A280" s="39" t="s">
        <v>30</v>
      </c>
      <c r="B280" s="40">
        <f t="shared" si="6"/>
        <v>44840</v>
      </c>
      <c r="C280" s="41">
        <v>10.0</v>
      </c>
      <c r="D280" s="41" t="s">
        <v>35</v>
      </c>
      <c r="E280" s="43" t="s">
        <v>42</v>
      </c>
      <c r="F280" s="26"/>
      <c r="H280" s="27"/>
      <c r="J280" s="27"/>
      <c r="L280" s="27"/>
      <c r="N280" s="27"/>
      <c r="P280" s="27"/>
      <c r="Q280" s="29"/>
      <c r="R280" s="26">
        <v>125.0</v>
      </c>
      <c r="T280" s="27">
        <v>125.0</v>
      </c>
      <c r="V280" s="27">
        <v>0.0</v>
      </c>
      <c r="X280" s="27">
        <v>0.0</v>
      </c>
      <c r="Z280" s="27">
        <v>0.0</v>
      </c>
      <c r="AB280" s="27">
        <v>0.0</v>
      </c>
      <c r="AC280" s="29"/>
      <c r="AD280" s="26"/>
      <c r="AF280" s="27"/>
      <c r="AH280" s="27"/>
      <c r="AJ280" s="27"/>
      <c r="AL280" s="27"/>
      <c r="AN280" s="27"/>
      <c r="AO280" s="29"/>
      <c r="AP280" s="45">
        <f t="shared" si="1"/>
        <v>4250</v>
      </c>
      <c r="AQ280" s="41">
        <f t="shared" si="2"/>
        <v>250</v>
      </c>
      <c r="AR280" s="41">
        <f t="shared" si="3"/>
        <v>0</v>
      </c>
      <c r="AS280" s="41">
        <f t="shared" si="4"/>
        <v>250</v>
      </c>
      <c r="AT280" s="46">
        <f t="shared" si="5"/>
        <v>17</v>
      </c>
      <c r="AU280" s="37"/>
      <c r="AV280" s="37"/>
      <c r="AW280" s="37"/>
    </row>
    <row r="281" ht="15.75" customHeight="1">
      <c r="A281" s="39" t="s">
        <v>31</v>
      </c>
      <c r="B281" s="40">
        <f t="shared" si="6"/>
        <v>44841</v>
      </c>
      <c r="C281" s="41">
        <v>10.0</v>
      </c>
      <c r="D281" s="41" t="s">
        <v>35</v>
      </c>
      <c r="E281" s="43" t="s">
        <v>42</v>
      </c>
      <c r="F281" s="26"/>
      <c r="H281" s="27"/>
      <c r="J281" s="27"/>
      <c r="L281" s="27"/>
      <c r="N281" s="27"/>
      <c r="P281" s="27"/>
      <c r="Q281" s="29"/>
      <c r="R281" s="26">
        <v>125.0</v>
      </c>
      <c r="T281" s="27">
        <v>125.0</v>
      </c>
      <c r="V281" s="27">
        <v>0.0</v>
      </c>
      <c r="X281" s="27">
        <v>0.0</v>
      </c>
      <c r="Z281" s="27">
        <v>0.0</v>
      </c>
      <c r="AB281" s="27">
        <v>0.0</v>
      </c>
      <c r="AC281" s="29"/>
      <c r="AD281" s="26"/>
      <c r="AF281" s="27"/>
      <c r="AH281" s="27"/>
      <c r="AJ281" s="27"/>
      <c r="AL281" s="27"/>
      <c r="AN281" s="27"/>
      <c r="AO281" s="29"/>
      <c r="AP281" s="45">
        <f t="shared" si="1"/>
        <v>4250</v>
      </c>
      <c r="AQ281" s="41">
        <f t="shared" si="2"/>
        <v>250</v>
      </c>
      <c r="AR281" s="41">
        <f t="shared" si="3"/>
        <v>0</v>
      </c>
      <c r="AS281" s="41">
        <f t="shared" si="4"/>
        <v>250</v>
      </c>
      <c r="AT281" s="46">
        <f t="shared" si="5"/>
        <v>17</v>
      </c>
      <c r="AU281" s="37"/>
      <c r="AV281" s="37"/>
      <c r="AW281" s="37"/>
    </row>
    <row r="282" ht="15.75" customHeight="1">
      <c r="A282" s="49" t="s">
        <v>32</v>
      </c>
      <c r="B282" s="50">
        <f t="shared" si="6"/>
        <v>44842</v>
      </c>
      <c r="C282" s="51">
        <v>10.0</v>
      </c>
      <c r="D282" s="51" t="s">
        <v>35</v>
      </c>
      <c r="E282" s="53" t="s">
        <v>42</v>
      </c>
      <c r="F282" s="54"/>
      <c r="G282" s="55"/>
      <c r="H282" s="56"/>
      <c r="I282" s="55"/>
      <c r="J282" s="56"/>
      <c r="K282" s="55"/>
      <c r="L282" s="56"/>
      <c r="M282" s="55"/>
      <c r="N282" s="56"/>
      <c r="O282" s="55"/>
      <c r="P282" s="56"/>
      <c r="Q282" s="58"/>
      <c r="R282" s="54">
        <v>0.0</v>
      </c>
      <c r="S282" s="55"/>
      <c r="T282" s="56">
        <v>0.0</v>
      </c>
      <c r="U282" s="55"/>
      <c r="V282" s="56">
        <v>0.0</v>
      </c>
      <c r="W282" s="55"/>
      <c r="X282" s="56">
        <v>0.0</v>
      </c>
      <c r="Y282" s="55"/>
      <c r="Z282" s="56">
        <v>0.0</v>
      </c>
      <c r="AA282" s="55"/>
      <c r="AB282" s="56">
        <v>0.0</v>
      </c>
      <c r="AC282" s="58"/>
      <c r="AD282" s="54"/>
      <c r="AE282" s="55"/>
      <c r="AF282" s="56"/>
      <c r="AG282" s="55"/>
      <c r="AH282" s="56"/>
      <c r="AI282" s="55"/>
      <c r="AJ282" s="56"/>
      <c r="AK282" s="55"/>
      <c r="AL282" s="56"/>
      <c r="AM282" s="55"/>
      <c r="AN282" s="56"/>
      <c r="AO282" s="58"/>
      <c r="AP282" s="60">
        <f t="shared" si="1"/>
        <v>0</v>
      </c>
      <c r="AQ282" s="51">
        <f t="shared" si="2"/>
        <v>0</v>
      </c>
      <c r="AR282" s="51">
        <f t="shared" si="3"/>
        <v>0</v>
      </c>
      <c r="AS282" s="51">
        <f t="shared" si="4"/>
        <v>0</v>
      </c>
      <c r="AT282" s="61" t="str">
        <f t="shared" si="5"/>
        <v/>
      </c>
      <c r="AU282" s="37"/>
      <c r="AV282" s="37"/>
      <c r="AW282" s="37"/>
    </row>
    <row r="283" ht="15.75" customHeight="1">
      <c r="A283" s="21" t="s">
        <v>24</v>
      </c>
      <c r="B283" s="62">
        <f t="shared" si="6"/>
        <v>44843</v>
      </c>
      <c r="C283" s="23">
        <v>11.0</v>
      </c>
      <c r="D283" s="23" t="s">
        <v>25</v>
      </c>
      <c r="E283" s="63" t="s">
        <v>42</v>
      </c>
      <c r="F283" s="26"/>
      <c r="H283" s="27"/>
      <c r="J283" s="27"/>
      <c r="L283" s="27"/>
      <c r="N283" s="27"/>
      <c r="P283" s="27"/>
      <c r="Q283" s="29"/>
      <c r="R283" s="26">
        <v>125.0</v>
      </c>
      <c r="T283" s="27">
        <v>125.0</v>
      </c>
      <c r="V283" s="27">
        <v>0.0</v>
      </c>
      <c r="X283" s="27">
        <v>0.0</v>
      </c>
      <c r="Z283" s="27">
        <v>0.0</v>
      </c>
      <c r="AB283" s="27">
        <v>0.0</v>
      </c>
      <c r="AC283" s="29"/>
      <c r="AD283" s="26"/>
      <c r="AF283" s="27"/>
      <c r="AH283" s="27"/>
      <c r="AJ283" s="27"/>
      <c r="AL283" s="27"/>
      <c r="AN283" s="27"/>
      <c r="AO283" s="29"/>
      <c r="AP283" s="35">
        <f t="shared" si="1"/>
        <v>4250</v>
      </c>
      <c r="AQ283" s="23">
        <f t="shared" si="2"/>
        <v>250</v>
      </c>
      <c r="AR283" s="23">
        <f t="shared" si="3"/>
        <v>0</v>
      </c>
      <c r="AS283" s="23">
        <f t="shared" si="4"/>
        <v>250</v>
      </c>
      <c r="AT283" s="36">
        <f t="shared" si="5"/>
        <v>17</v>
      </c>
      <c r="AU283" s="37"/>
      <c r="AV283" s="37"/>
      <c r="AW283" s="37"/>
    </row>
    <row r="284" ht="15.75" customHeight="1">
      <c r="A284" s="39" t="s">
        <v>27</v>
      </c>
      <c r="B284" s="40">
        <f t="shared" si="6"/>
        <v>44844</v>
      </c>
      <c r="C284" s="41">
        <v>11.0</v>
      </c>
      <c r="D284" s="41" t="s">
        <v>25</v>
      </c>
      <c r="E284" s="43" t="s">
        <v>42</v>
      </c>
      <c r="F284" s="26"/>
      <c r="H284" s="27"/>
      <c r="J284" s="27"/>
      <c r="L284" s="27"/>
      <c r="N284" s="27"/>
      <c r="P284" s="27"/>
      <c r="Q284" s="29"/>
      <c r="R284" s="26">
        <v>125.0</v>
      </c>
      <c r="T284" s="27">
        <v>125.0</v>
      </c>
      <c r="V284" s="27">
        <v>0.0</v>
      </c>
      <c r="X284" s="27">
        <v>0.0</v>
      </c>
      <c r="Z284" s="27">
        <v>0.0</v>
      </c>
      <c r="AB284" s="27">
        <v>0.0</v>
      </c>
      <c r="AC284" s="29"/>
      <c r="AD284" s="26"/>
      <c r="AF284" s="27"/>
      <c r="AH284" s="27"/>
      <c r="AJ284" s="27"/>
      <c r="AL284" s="27"/>
      <c r="AN284" s="27"/>
      <c r="AO284" s="29"/>
      <c r="AP284" s="45">
        <f t="shared" si="1"/>
        <v>4250</v>
      </c>
      <c r="AQ284" s="41">
        <f t="shared" si="2"/>
        <v>250</v>
      </c>
      <c r="AR284" s="41">
        <f t="shared" si="3"/>
        <v>0</v>
      </c>
      <c r="AS284" s="41">
        <f t="shared" si="4"/>
        <v>250</v>
      </c>
      <c r="AT284" s="46">
        <f t="shared" si="5"/>
        <v>17</v>
      </c>
      <c r="AU284" s="37"/>
      <c r="AV284" s="37"/>
      <c r="AW284" s="37"/>
    </row>
    <row r="285" ht="15.75" customHeight="1">
      <c r="A285" s="39" t="s">
        <v>28</v>
      </c>
      <c r="B285" s="40">
        <f t="shared" si="6"/>
        <v>44845</v>
      </c>
      <c r="C285" s="41">
        <v>11.0</v>
      </c>
      <c r="D285" s="41" t="s">
        <v>25</v>
      </c>
      <c r="E285" s="43" t="s">
        <v>42</v>
      </c>
      <c r="F285" s="26"/>
      <c r="H285" s="27"/>
      <c r="J285" s="27"/>
      <c r="L285" s="27"/>
      <c r="N285" s="27"/>
      <c r="P285" s="27"/>
      <c r="Q285" s="29"/>
      <c r="R285" s="26">
        <v>125.0</v>
      </c>
      <c r="T285" s="27">
        <v>125.0</v>
      </c>
      <c r="V285" s="27">
        <v>0.0</v>
      </c>
      <c r="X285" s="27">
        <v>0.0</v>
      </c>
      <c r="Z285" s="27">
        <v>0.0</v>
      </c>
      <c r="AB285" s="27">
        <v>0.0</v>
      </c>
      <c r="AC285" s="29"/>
      <c r="AD285" s="26"/>
      <c r="AF285" s="27"/>
      <c r="AH285" s="27"/>
      <c r="AJ285" s="27"/>
      <c r="AL285" s="27"/>
      <c r="AN285" s="27"/>
      <c r="AO285" s="29"/>
      <c r="AP285" s="45">
        <f t="shared" si="1"/>
        <v>4250</v>
      </c>
      <c r="AQ285" s="41">
        <f t="shared" si="2"/>
        <v>250</v>
      </c>
      <c r="AR285" s="41">
        <f t="shared" si="3"/>
        <v>0</v>
      </c>
      <c r="AS285" s="41">
        <f t="shared" si="4"/>
        <v>250</v>
      </c>
      <c r="AT285" s="46">
        <f t="shared" si="5"/>
        <v>17</v>
      </c>
      <c r="AU285" s="37"/>
      <c r="AV285" s="37"/>
      <c r="AW285" s="37"/>
    </row>
    <row r="286" ht="15.75" customHeight="1">
      <c r="A286" s="39" t="s">
        <v>29</v>
      </c>
      <c r="B286" s="40">
        <f t="shared" si="6"/>
        <v>44846</v>
      </c>
      <c r="C286" s="41">
        <v>11.0</v>
      </c>
      <c r="D286" s="41" t="s">
        <v>25</v>
      </c>
      <c r="E286" s="43" t="s">
        <v>42</v>
      </c>
      <c r="F286" s="26"/>
      <c r="H286" s="27"/>
      <c r="J286" s="27"/>
      <c r="L286" s="27"/>
      <c r="N286" s="27"/>
      <c r="P286" s="27"/>
      <c r="Q286" s="29"/>
      <c r="R286" s="26">
        <v>125.0</v>
      </c>
      <c r="T286" s="27">
        <v>125.0</v>
      </c>
      <c r="V286" s="27">
        <v>0.0</v>
      </c>
      <c r="X286" s="27">
        <v>0.0</v>
      </c>
      <c r="Z286" s="27">
        <v>0.0</v>
      </c>
      <c r="AB286" s="27">
        <v>0.0</v>
      </c>
      <c r="AC286" s="29"/>
      <c r="AD286" s="26"/>
      <c r="AF286" s="27"/>
      <c r="AH286" s="27"/>
      <c r="AJ286" s="27"/>
      <c r="AL286" s="27"/>
      <c r="AN286" s="27"/>
      <c r="AO286" s="29"/>
      <c r="AP286" s="45">
        <f t="shared" si="1"/>
        <v>4250</v>
      </c>
      <c r="AQ286" s="41">
        <f t="shared" si="2"/>
        <v>250</v>
      </c>
      <c r="AR286" s="41">
        <f t="shared" si="3"/>
        <v>0</v>
      </c>
      <c r="AS286" s="41">
        <f t="shared" si="4"/>
        <v>250</v>
      </c>
      <c r="AT286" s="46">
        <f t="shared" si="5"/>
        <v>17</v>
      </c>
      <c r="AU286" s="37"/>
      <c r="AV286" s="37"/>
      <c r="AW286" s="37"/>
    </row>
    <row r="287" ht="15.75" customHeight="1">
      <c r="A287" s="39" t="s">
        <v>30</v>
      </c>
      <c r="B287" s="40">
        <f t="shared" si="6"/>
        <v>44847</v>
      </c>
      <c r="C287" s="41">
        <v>11.0</v>
      </c>
      <c r="D287" s="41" t="s">
        <v>25</v>
      </c>
      <c r="E287" s="43" t="s">
        <v>42</v>
      </c>
      <c r="F287" s="26"/>
      <c r="H287" s="27"/>
      <c r="J287" s="27"/>
      <c r="L287" s="27"/>
      <c r="N287" s="27"/>
      <c r="P287" s="27"/>
      <c r="Q287" s="29"/>
      <c r="R287" s="26">
        <v>125.0</v>
      </c>
      <c r="T287" s="27">
        <v>125.0</v>
      </c>
      <c r="V287" s="27">
        <v>0.0</v>
      </c>
      <c r="X287" s="27">
        <v>0.0</v>
      </c>
      <c r="Z287" s="27">
        <v>0.0</v>
      </c>
      <c r="AB287" s="27">
        <v>0.0</v>
      </c>
      <c r="AC287" s="29"/>
      <c r="AD287" s="26"/>
      <c r="AF287" s="27"/>
      <c r="AH287" s="27"/>
      <c r="AJ287" s="27"/>
      <c r="AL287" s="27"/>
      <c r="AN287" s="27"/>
      <c r="AO287" s="29"/>
      <c r="AP287" s="45">
        <f t="shared" si="1"/>
        <v>4250</v>
      </c>
      <c r="AQ287" s="41">
        <f t="shared" si="2"/>
        <v>250</v>
      </c>
      <c r="AR287" s="41">
        <f t="shared" si="3"/>
        <v>0</v>
      </c>
      <c r="AS287" s="41">
        <f t="shared" si="4"/>
        <v>250</v>
      </c>
      <c r="AT287" s="46">
        <f t="shared" si="5"/>
        <v>17</v>
      </c>
      <c r="AU287" s="37"/>
      <c r="AV287" s="37"/>
      <c r="AW287" s="37"/>
    </row>
    <row r="288" ht="15.75" customHeight="1">
      <c r="A288" s="39" t="s">
        <v>31</v>
      </c>
      <c r="B288" s="40">
        <f t="shared" si="6"/>
        <v>44848</v>
      </c>
      <c r="C288" s="41">
        <v>11.0</v>
      </c>
      <c r="D288" s="41" t="s">
        <v>25</v>
      </c>
      <c r="E288" s="43" t="s">
        <v>42</v>
      </c>
      <c r="F288" s="26"/>
      <c r="H288" s="27"/>
      <c r="J288" s="27"/>
      <c r="L288" s="27"/>
      <c r="N288" s="27"/>
      <c r="P288" s="27"/>
      <c r="Q288" s="29"/>
      <c r="R288" s="26">
        <v>125.0</v>
      </c>
      <c r="T288" s="27">
        <v>125.0</v>
      </c>
      <c r="V288" s="27">
        <v>0.0</v>
      </c>
      <c r="X288" s="27">
        <v>0.0</v>
      </c>
      <c r="Z288" s="27">
        <v>0.0</v>
      </c>
      <c r="AB288" s="27">
        <v>0.0</v>
      </c>
      <c r="AC288" s="29"/>
      <c r="AD288" s="26"/>
      <c r="AF288" s="27"/>
      <c r="AH288" s="27"/>
      <c r="AJ288" s="27"/>
      <c r="AL288" s="27"/>
      <c r="AN288" s="27"/>
      <c r="AO288" s="29"/>
      <c r="AP288" s="45">
        <f t="shared" si="1"/>
        <v>4250</v>
      </c>
      <c r="AQ288" s="41">
        <f t="shared" si="2"/>
        <v>250</v>
      </c>
      <c r="AR288" s="41">
        <f t="shared" si="3"/>
        <v>0</v>
      </c>
      <c r="AS288" s="41">
        <f t="shared" si="4"/>
        <v>250</v>
      </c>
      <c r="AT288" s="46">
        <f t="shared" si="5"/>
        <v>17</v>
      </c>
      <c r="AU288" s="37"/>
      <c r="AV288" s="37"/>
      <c r="AW288" s="37"/>
    </row>
    <row r="289" ht="15.75" customHeight="1">
      <c r="A289" s="49" t="s">
        <v>32</v>
      </c>
      <c r="B289" s="50">
        <f t="shared" si="6"/>
        <v>44849</v>
      </c>
      <c r="C289" s="51">
        <v>11.0</v>
      </c>
      <c r="D289" s="51" t="s">
        <v>25</v>
      </c>
      <c r="E289" s="53" t="s">
        <v>42</v>
      </c>
      <c r="F289" s="54"/>
      <c r="G289" s="55"/>
      <c r="H289" s="56"/>
      <c r="I289" s="55"/>
      <c r="J289" s="56"/>
      <c r="K289" s="55"/>
      <c r="L289" s="56"/>
      <c r="M289" s="55"/>
      <c r="N289" s="56"/>
      <c r="O289" s="55"/>
      <c r="P289" s="56"/>
      <c r="Q289" s="58"/>
      <c r="R289" s="54">
        <v>0.0</v>
      </c>
      <c r="S289" s="55"/>
      <c r="T289" s="56">
        <v>0.0</v>
      </c>
      <c r="U289" s="55"/>
      <c r="V289" s="56">
        <v>0.0</v>
      </c>
      <c r="W289" s="55"/>
      <c r="X289" s="56">
        <v>0.0</v>
      </c>
      <c r="Y289" s="55"/>
      <c r="Z289" s="56">
        <v>0.0</v>
      </c>
      <c r="AA289" s="55"/>
      <c r="AB289" s="56">
        <v>0.0</v>
      </c>
      <c r="AC289" s="58"/>
      <c r="AD289" s="54"/>
      <c r="AE289" s="55"/>
      <c r="AF289" s="56"/>
      <c r="AG289" s="55"/>
      <c r="AH289" s="56"/>
      <c r="AI289" s="55"/>
      <c r="AJ289" s="56"/>
      <c r="AK289" s="55"/>
      <c r="AL289" s="56"/>
      <c r="AM289" s="55"/>
      <c r="AN289" s="56"/>
      <c r="AO289" s="58"/>
      <c r="AP289" s="60">
        <f t="shared" si="1"/>
        <v>0</v>
      </c>
      <c r="AQ289" s="51">
        <f t="shared" si="2"/>
        <v>0</v>
      </c>
      <c r="AR289" s="51">
        <f t="shared" si="3"/>
        <v>0</v>
      </c>
      <c r="AS289" s="51">
        <f t="shared" si="4"/>
        <v>0</v>
      </c>
      <c r="AT289" s="61" t="str">
        <f t="shared" si="5"/>
        <v/>
      </c>
      <c r="AU289" s="37"/>
      <c r="AV289" s="37"/>
      <c r="AW289" s="37"/>
    </row>
    <row r="290" ht="15.75" customHeight="1">
      <c r="A290" s="21" t="s">
        <v>24</v>
      </c>
      <c r="B290" s="62">
        <f t="shared" si="6"/>
        <v>44850</v>
      </c>
      <c r="C290" s="23">
        <v>11.0</v>
      </c>
      <c r="D290" s="23" t="s">
        <v>33</v>
      </c>
      <c r="E290" s="63" t="s">
        <v>42</v>
      </c>
      <c r="F290" s="26"/>
      <c r="H290" s="27"/>
      <c r="J290" s="27"/>
      <c r="L290" s="27"/>
      <c r="N290" s="27"/>
      <c r="P290" s="27"/>
      <c r="Q290" s="29"/>
      <c r="R290" s="26">
        <v>30.0</v>
      </c>
      <c r="T290" s="27">
        <v>30.0</v>
      </c>
      <c r="V290" s="27">
        <v>0.0</v>
      </c>
      <c r="X290" s="27">
        <v>0.0</v>
      </c>
      <c r="Z290" s="27">
        <v>0.0</v>
      </c>
      <c r="AB290" s="27">
        <v>0.0</v>
      </c>
      <c r="AC290" s="29"/>
      <c r="AD290" s="26"/>
      <c r="AF290" s="27"/>
      <c r="AH290" s="27"/>
      <c r="AJ290" s="27"/>
      <c r="AL290" s="27"/>
      <c r="AN290" s="27"/>
      <c r="AO290" s="29"/>
      <c r="AP290" s="35">
        <f t="shared" si="1"/>
        <v>1020</v>
      </c>
      <c r="AQ290" s="23">
        <f t="shared" si="2"/>
        <v>60</v>
      </c>
      <c r="AR290" s="23">
        <f t="shared" si="3"/>
        <v>0</v>
      </c>
      <c r="AS290" s="23">
        <f t="shared" si="4"/>
        <v>60</v>
      </c>
      <c r="AT290" s="36">
        <f t="shared" si="5"/>
        <v>17</v>
      </c>
      <c r="AU290" s="37"/>
      <c r="AV290" s="37"/>
      <c r="AW290" s="37"/>
    </row>
    <row r="291" ht="15.75" customHeight="1">
      <c r="A291" s="39" t="s">
        <v>27</v>
      </c>
      <c r="B291" s="40">
        <f t="shared" si="6"/>
        <v>44851</v>
      </c>
      <c r="C291" s="41">
        <v>11.0</v>
      </c>
      <c r="D291" s="41" t="s">
        <v>33</v>
      </c>
      <c r="E291" s="43" t="s">
        <v>42</v>
      </c>
      <c r="F291" s="26"/>
      <c r="H291" s="27"/>
      <c r="J291" s="27"/>
      <c r="L291" s="27"/>
      <c r="N291" s="27"/>
      <c r="P291" s="27"/>
      <c r="Q291" s="29"/>
      <c r="R291" s="26">
        <v>30.0</v>
      </c>
      <c r="T291" s="27">
        <v>30.0</v>
      </c>
      <c r="V291" s="27">
        <v>0.0</v>
      </c>
      <c r="X291" s="27">
        <v>0.0</v>
      </c>
      <c r="Z291" s="27">
        <v>0.0</v>
      </c>
      <c r="AB291" s="27">
        <v>0.0</v>
      </c>
      <c r="AC291" s="29"/>
      <c r="AD291" s="26"/>
      <c r="AF291" s="27"/>
      <c r="AH291" s="27"/>
      <c r="AJ291" s="27"/>
      <c r="AL291" s="27"/>
      <c r="AN291" s="27"/>
      <c r="AO291" s="29"/>
      <c r="AP291" s="45">
        <f t="shared" si="1"/>
        <v>1020</v>
      </c>
      <c r="AQ291" s="41">
        <f t="shared" si="2"/>
        <v>60</v>
      </c>
      <c r="AR291" s="41">
        <f t="shared" si="3"/>
        <v>0</v>
      </c>
      <c r="AS291" s="41">
        <f t="shared" si="4"/>
        <v>60</v>
      </c>
      <c r="AT291" s="46">
        <f t="shared" si="5"/>
        <v>17</v>
      </c>
      <c r="AU291" s="37"/>
      <c r="AV291" s="37"/>
      <c r="AW291" s="37"/>
    </row>
    <row r="292" ht="15.75" customHeight="1">
      <c r="A292" s="39" t="s">
        <v>28</v>
      </c>
      <c r="B292" s="40">
        <f t="shared" si="6"/>
        <v>44852</v>
      </c>
      <c r="C292" s="41">
        <v>11.0</v>
      </c>
      <c r="D292" s="41" t="s">
        <v>33</v>
      </c>
      <c r="E292" s="43" t="s">
        <v>42</v>
      </c>
      <c r="F292" s="26"/>
      <c r="H292" s="27"/>
      <c r="J292" s="27"/>
      <c r="L292" s="27"/>
      <c r="N292" s="27"/>
      <c r="P292" s="27"/>
      <c r="Q292" s="29"/>
      <c r="R292" s="26">
        <v>30.0</v>
      </c>
      <c r="T292" s="27">
        <v>30.0</v>
      </c>
      <c r="V292" s="27">
        <v>0.0</v>
      </c>
      <c r="X292" s="27">
        <v>0.0</v>
      </c>
      <c r="Z292" s="27">
        <v>0.0</v>
      </c>
      <c r="AB292" s="27">
        <v>0.0</v>
      </c>
      <c r="AC292" s="29"/>
      <c r="AD292" s="26"/>
      <c r="AF292" s="27"/>
      <c r="AH292" s="27"/>
      <c r="AJ292" s="27"/>
      <c r="AL292" s="27"/>
      <c r="AN292" s="27"/>
      <c r="AO292" s="29"/>
      <c r="AP292" s="45">
        <f t="shared" si="1"/>
        <v>1020</v>
      </c>
      <c r="AQ292" s="41">
        <f t="shared" si="2"/>
        <v>60</v>
      </c>
      <c r="AR292" s="41">
        <f t="shared" si="3"/>
        <v>0</v>
      </c>
      <c r="AS292" s="41">
        <f t="shared" si="4"/>
        <v>60</v>
      </c>
      <c r="AT292" s="46">
        <f t="shared" si="5"/>
        <v>17</v>
      </c>
      <c r="AU292" s="37"/>
      <c r="AV292" s="37"/>
      <c r="AW292" s="37"/>
    </row>
    <row r="293" ht="15.75" customHeight="1">
      <c r="A293" s="39" t="s">
        <v>29</v>
      </c>
      <c r="B293" s="40">
        <f t="shared" si="6"/>
        <v>44853</v>
      </c>
      <c r="C293" s="41">
        <v>11.0</v>
      </c>
      <c r="D293" s="41" t="s">
        <v>33</v>
      </c>
      <c r="E293" s="43" t="s">
        <v>42</v>
      </c>
      <c r="F293" s="26"/>
      <c r="H293" s="27"/>
      <c r="J293" s="27"/>
      <c r="L293" s="27"/>
      <c r="N293" s="27"/>
      <c r="P293" s="27"/>
      <c r="Q293" s="29"/>
      <c r="R293" s="26">
        <v>30.0</v>
      </c>
      <c r="T293" s="27">
        <v>30.0</v>
      </c>
      <c r="V293" s="27">
        <v>0.0</v>
      </c>
      <c r="X293" s="27">
        <v>0.0</v>
      </c>
      <c r="Z293" s="27">
        <v>0.0</v>
      </c>
      <c r="AB293" s="27">
        <v>0.0</v>
      </c>
      <c r="AC293" s="29"/>
      <c r="AD293" s="26"/>
      <c r="AF293" s="27"/>
      <c r="AH293" s="27"/>
      <c r="AJ293" s="27"/>
      <c r="AL293" s="27"/>
      <c r="AN293" s="27"/>
      <c r="AO293" s="29"/>
      <c r="AP293" s="45">
        <f t="shared" si="1"/>
        <v>1020</v>
      </c>
      <c r="AQ293" s="41">
        <f t="shared" si="2"/>
        <v>60</v>
      </c>
      <c r="AR293" s="41">
        <f t="shared" si="3"/>
        <v>0</v>
      </c>
      <c r="AS293" s="41">
        <f t="shared" si="4"/>
        <v>60</v>
      </c>
      <c r="AT293" s="46">
        <f t="shared" si="5"/>
        <v>17</v>
      </c>
      <c r="AU293" s="37"/>
      <c r="AV293" s="37"/>
      <c r="AW293" s="37"/>
    </row>
    <row r="294" ht="15.75" customHeight="1">
      <c r="A294" s="39" t="s">
        <v>30</v>
      </c>
      <c r="B294" s="40">
        <f t="shared" si="6"/>
        <v>44854</v>
      </c>
      <c r="C294" s="41">
        <v>11.0</v>
      </c>
      <c r="D294" s="41" t="s">
        <v>33</v>
      </c>
      <c r="E294" s="43" t="s">
        <v>42</v>
      </c>
      <c r="F294" s="26"/>
      <c r="H294" s="27"/>
      <c r="J294" s="27"/>
      <c r="L294" s="27"/>
      <c r="N294" s="27"/>
      <c r="P294" s="27"/>
      <c r="Q294" s="29"/>
      <c r="R294" s="26">
        <v>30.0</v>
      </c>
      <c r="T294" s="27">
        <v>30.0</v>
      </c>
      <c r="V294" s="27">
        <v>0.0</v>
      </c>
      <c r="X294" s="27">
        <v>0.0</v>
      </c>
      <c r="Z294" s="27">
        <v>0.0</v>
      </c>
      <c r="AB294" s="27">
        <v>0.0</v>
      </c>
      <c r="AC294" s="29"/>
      <c r="AD294" s="26"/>
      <c r="AF294" s="27"/>
      <c r="AH294" s="27"/>
      <c r="AJ294" s="27"/>
      <c r="AL294" s="27"/>
      <c r="AN294" s="27"/>
      <c r="AO294" s="29"/>
      <c r="AP294" s="45">
        <f t="shared" si="1"/>
        <v>1020</v>
      </c>
      <c r="AQ294" s="41">
        <f t="shared" si="2"/>
        <v>60</v>
      </c>
      <c r="AR294" s="41">
        <f t="shared" si="3"/>
        <v>0</v>
      </c>
      <c r="AS294" s="41">
        <f t="shared" si="4"/>
        <v>60</v>
      </c>
      <c r="AT294" s="46">
        <f t="shared" si="5"/>
        <v>17</v>
      </c>
      <c r="AU294" s="37"/>
      <c r="AV294" s="37"/>
      <c r="AW294" s="37"/>
    </row>
    <row r="295" ht="15.75" customHeight="1">
      <c r="A295" s="39" t="s">
        <v>31</v>
      </c>
      <c r="B295" s="40">
        <f t="shared" si="6"/>
        <v>44855</v>
      </c>
      <c r="C295" s="41">
        <v>11.0</v>
      </c>
      <c r="D295" s="41" t="s">
        <v>33</v>
      </c>
      <c r="E295" s="43" t="s">
        <v>42</v>
      </c>
      <c r="F295" s="26"/>
      <c r="H295" s="27"/>
      <c r="J295" s="27"/>
      <c r="L295" s="27"/>
      <c r="N295" s="27"/>
      <c r="P295" s="27"/>
      <c r="Q295" s="29"/>
      <c r="R295" s="26">
        <v>0.0</v>
      </c>
      <c r="T295" s="27">
        <v>0.0</v>
      </c>
      <c r="V295" s="27">
        <v>0.0</v>
      </c>
      <c r="X295" s="27">
        <v>0.0</v>
      </c>
      <c r="Z295" s="27">
        <v>0.0</v>
      </c>
      <c r="AB295" s="27">
        <v>0.0</v>
      </c>
      <c r="AC295" s="29"/>
      <c r="AD295" s="26"/>
      <c r="AF295" s="27"/>
      <c r="AH295" s="27"/>
      <c r="AJ295" s="27"/>
      <c r="AL295" s="27"/>
      <c r="AN295" s="27"/>
      <c r="AO295" s="29"/>
      <c r="AP295" s="45">
        <f t="shared" si="1"/>
        <v>0</v>
      </c>
      <c r="AQ295" s="41">
        <f t="shared" si="2"/>
        <v>0</v>
      </c>
      <c r="AR295" s="41">
        <f t="shared" si="3"/>
        <v>0</v>
      </c>
      <c r="AS295" s="41">
        <f t="shared" si="4"/>
        <v>0</v>
      </c>
      <c r="AT295" s="46" t="str">
        <f t="shared" si="5"/>
        <v/>
      </c>
      <c r="AU295" s="37"/>
      <c r="AV295" s="37"/>
      <c r="AW295" s="37"/>
    </row>
    <row r="296" ht="15.75" customHeight="1">
      <c r="A296" s="49" t="s">
        <v>32</v>
      </c>
      <c r="B296" s="50">
        <f t="shared" si="6"/>
        <v>44856</v>
      </c>
      <c r="C296" s="51">
        <v>11.0</v>
      </c>
      <c r="D296" s="51" t="s">
        <v>33</v>
      </c>
      <c r="E296" s="53" t="s">
        <v>42</v>
      </c>
      <c r="F296" s="54"/>
      <c r="G296" s="55"/>
      <c r="H296" s="56"/>
      <c r="I296" s="55"/>
      <c r="J296" s="56"/>
      <c r="K296" s="55"/>
      <c r="L296" s="56"/>
      <c r="M296" s="55"/>
      <c r="N296" s="56"/>
      <c r="O296" s="55"/>
      <c r="P296" s="56"/>
      <c r="Q296" s="58"/>
      <c r="R296" s="54">
        <v>0.0</v>
      </c>
      <c r="S296" s="55"/>
      <c r="T296" s="56">
        <v>0.0</v>
      </c>
      <c r="U296" s="55"/>
      <c r="V296" s="56">
        <v>0.0</v>
      </c>
      <c r="W296" s="55"/>
      <c r="X296" s="56">
        <v>0.0</v>
      </c>
      <c r="Y296" s="55"/>
      <c r="Z296" s="56">
        <v>0.0</v>
      </c>
      <c r="AA296" s="55"/>
      <c r="AB296" s="56">
        <v>0.0</v>
      </c>
      <c r="AC296" s="58"/>
      <c r="AD296" s="54"/>
      <c r="AE296" s="55"/>
      <c r="AF296" s="56"/>
      <c r="AG296" s="55"/>
      <c r="AH296" s="56"/>
      <c r="AI296" s="55"/>
      <c r="AJ296" s="56"/>
      <c r="AK296" s="55"/>
      <c r="AL296" s="56"/>
      <c r="AM296" s="55"/>
      <c r="AN296" s="56"/>
      <c r="AO296" s="58"/>
      <c r="AP296" s="60">
        <f t="shared" si="1"/>
        <v>0</v>
      </c>
      <c r="AQ296" s="51">
        <f t="shared" si="2"/>
        <v>0</v>
      </c>
      <c r="AR296" s="51">
        <f t="shared" si="3"/>
        <v>0</v>
      </c>
      <c r="AS296" s="51">
        <f t="shared" si="4"/>
        <v>0</v>
      </c>
      <c r="AT296" s="61" t="str">
        <f t="shared" si="5"/>
        <v/>
      </c>
      <c r="AU296" s="37"/>
      <c r="AV296" s="37"/>
      <c r="AW296" s="37"/>
    </row>
    <row r="297" ht="15.75" customHeight="1">
      <c r="A297" s="21" t="s">
        <v>24</v>
      </c>
      <c r="B297" s="62">
        <f t="shared" si="6"/>
        <v>44857</v>
      </c>
      <c r="C297" s="23">
        <v>11.0</v>
      </c>
      <c r="D297" s="23" t="s">
        <v>34</v>
      </c>
      <c r="E297" s="63" t="s">
        <v>42</v>
      </c>
      <c r="F297" s="26"/>
      <c r="H297" s="27"/>
      <c r="J297" s="27"/>
      <c r="L297" s="27"/>
      <c r="N297" s="27"/>
      <c r="P297" s="27"/>
      <c r="Q297" s="29"/>
      <c r="R297" s="26">
        <v>30.0</v>
      </c>
      <c r="T297" s="27">
        <v>30.0</v>
      </c>
      <c r="V297" s="27">
        <v>0.0</v>
      </c>
      <c r="X297" s="27">
        <v>0.0</v>
      </c>
      <c r="Z297" s="27">
        <v>0.0</v>
      </c>
      <c r="AB297" s="27">
        <v>0.0</v>
      </c>
      <c r="AC297" s="29"/>
      <c r="AD297" s="26"/>
      <c r="AF297" s="27"/>
      <c r="AH297" s="27"/>
      <c r="AJ297" s="27"/>
      <c r="AL297" s="27"/>
      <c r="AN297" s="27"/>
      <c r="AO297" s="29"/>
      <c r="AP297" s="35">
        <f t="shared" si="1"/>
        <v>1020</v>
      </c>
      <c r="AQ297" s="23">
        <f t="shared" si="2"/>
        <v>60</v>
      </c>
      <c r="AR297" s="23">
        <f t="shared" si="3"/>
        <v>0</v>
      </c>
      <c r="AS297" s="23">
        <f t="shared" si="4"/>
        <v>60</v>
      </c>
      <c r="AT297" s="36">
        <f t="shared" si="5"/>
        <v>17</v>
      </c>
      <c r="AU297" s="37"/>
      <c r="AV297" s="37"/>
      <c r="AW297" s="37"/>
    </row>
    <row r="298" ht="15.75" customHeight="1">
      <c r="A298" s="39" t="s">
        <v>27</v>
      </c>
      <c r="B298" s="40">
        <f t="shared" si="6"/>
        <v>44858</v>
      </c>
      <c r="C298" s="41">
        <v>11.0</v>
      </c>
      <c r="D298" s="41" t="s">
        <v>34</v>
      </c>
      <c r="E298" s="43" t="s">
        <v>42</v>
      </c>
      <c r="F298" s="26"/>
      <c r="H298" s="27"/>
      <c r="J298" s="27"/>
      <c r="L298" s="27"/>
      <c r="N298" s="27"/>
      <c r="P298" s="27"/>
      <c r="Q298" s="29"/>
      <c r="R298" s="26">
        <v>30.0</v>
      </c>
      <c r="T298" s="27">
        <v>30.0</v>
      </c>
      <c r="V298" s="27">
        <v>0.0</v>
      </c>
      <c r="X298" s="27">
        <v>0.0</v>
      </c>
      <c r="Z298" s="27">
        <v>0.0</v>
      </c>
      <c r="AB298" s="27">
        <v>0.0</v>
      </c>
      <c r="AC298" s="29"/>
      <c r="AD298" s="26"/>
      <c r="AF298" s="27"/>
      <c r="AH298" s="27"/>
      <c r="AJ298" s="27"/>
      <c r="AL298" s="27"/>
      <c r="AN298" s="27"/>
      <c r="AO298" s="29"/>
      <c r="AP298" s="45">
        <f t="shared" si="1"/>
        <v>1020</v>
      </c>
      <c r="AQ298" s="41">
        <f t="shared" si="2"/>
        <v>60</v>
      </c>
      <c r="AR298" s="41">
        <f t="shared" si="3"/>
        <v>0</v>
      </c>
      <c r="AS298" s="41">
        <f t="shared" si="4"/>
        <v>60</v>
      </c>
      <c r="AT298" s="46">
        <f t="shared" si="5"/>
        <v>17</v>
      </c>
      <c r="AU298" s="37"/>
      <c r="AV298" s="37"/>
      <c r="AW298" s="37"/>
    </row>
    <row r="299" ht="15.75" customHeight="1">
      <c r="A299" s="39" t="s">
        <v>28</v>
      </c>
      <c r="B299" s="40">
        <f t="shared" si="6"/>
        <v>44859</v>
      </c>
      <c r="C299" s="41">
        <v>11.0</v>
      </c>
      <c r="D299" s="41" t="s">
        <v>34</v>
      </c>
      <c r="E299" s="43" t="s">
        <v>42</v>
      </c>
      <c r="F299" s="26"/>
      <c r="H299" s="27"/>
      <c r="J299" s="27"/>
      <c r="L299" s="27"/>
      <c r="N299" s="27"/>
      <c r="P299" s="27"/>
      <c r="Q299" s="29"/>
      <c r="R299" s="26">
        <v>30.0</v>
      </c>
      <c r="T299" s="27">
        <v>30.0</v>
      </c>
      <c r="V299" s="27">
        <v>0.0</v>
      </c>
      <c r="X299" s="27">
        <v>0.0</v>
      </c>
      <c r="Z299" s="27">
        <v>0.0</v>
      </c>
      <c r="AB299" s="27">
        <v>0.0</v>
      </c>
      <c r="AC299" s="29"/>
      <c r="AD299" s="26"/>
      <c r="AF299" s="27"/>
      <c r="AH299" s="27"/>
      <c r="AJ299" s="27"/>
      <c r="AL299" s="27"/>
      <c r="AN299" s="27"/>
      <c r="AO299" s="29"/>
      <c r="AP299" s="45">
        <f t="shared" si="1"/>
        <v>1020</v>
      </c>
      <c r="AQ299" s="41">
        <f t="shared" si="2"/>
        <v>60</v>
      </c>
      <c r="AR299" s="41">
        <f t="shared" si="3"/>
        <v>0</v>
      </c>
      <c r="AS299" s="41">
        <f t="shared" si="4"/>
        <v>60</v>
      </c>
      <c r="AT299" s="46">
        <f t="shared" si="5"/>
        <v>17</v>
      </c>
      <c r="AU299" s="37"/>
      <c r="AV299" s="37"/>
      <c r="AW299" s="37"/>
    </row>
    <row r="300" ht="15.75" customHeight="1">
      <c r="A300" s="39" t="s">
        <v>29</v>
      </c>
      <c r="B300" s="40">
        <f t="shared" si="6"/>
        <v>44860</v>
      </c>
      <c r="C300" s="41">
        <v>11.0</v>
      </c>
      <c r="D300" s="41" t="s">
        <v>34</v>
      </c>
      <c r="E300" s="43" t="s">
        <v>42</v>
      </c>
      <c r="F300" s="26"/>
      <c r="H300" s="27"/>
      <c r="J300" s="27"/>
      <c r="L300" s="27"/>
      <c r="N300" s="27"/>
      <c r="P300" s="27"/>
      <c r="Q300" s="29"/>
      <c r="R300" s="26">
        <v>30.0</v>
      </c>
      <c r="T300" s="27">
        <v>30.0</v>
      </c>
      <c r="V300" s="27">
        <v>0.0</v>
      </c>
      <c r="X300" s="27">
        <v>0.0</v>
      </c>
      <c r="Z300" s="27">
        <v>0.0</v>
      </c>
      <c r="AB300" s="27">
        <v>0.0</v>
      </c>
      <c r="AC300" s="29"/>
      <c r="AD300" s="26"/>
      <c r="AF300" s="27"/>
      <c r="AH300" s="27"/>
      <c r="AJ300" s="27"/>
      <c r="AL300" s="27"/>
      <c r="AN300" s="27"/>
      <c r="AO300" s="29"/>
      <c r="AP300" s="45">
        <f t="shared" si="1"/>
        <v>1020</v>
      </c>
      <c r="AQ300" s="41">
        <f t="shared" si="2"/>
        <v>60</v>
      </c>
      <c r="AR300" s="41">
        <f t="shared" si="3"/>
        <v>0</v>
      </c>
      <c r="AS300" s="41">
        <f t="shared" si="4"/>
        <v>60</v>
      </c>
      <c r="AT300" s="46">
        <f t="shared" si="5"/>
        <v>17</v>
      </c>
      <c r="AU300" s="37"/>
      <c r="AV300" s="37"/>
      <c r="AW300" s="37"/>
    </row>
    <row r="301" ht="15.75" customHeight="1">
      <c r="A301" s="39" t="s">
        <v>30</v>
      </c>
      <c r="B301" s="40">
        <f t="shared" si="6"/>
        <v>44861</v>
      </c>
      <c r="C301" s="41">
        <v>11.0</v>
      </c>
      <c r="D301" s="41" t="s">
        <v>34</v>
      </c>
      <c r="E301" s="43" t="s">
        <v>42</v>
      </c>
      <c r="F301" s="26"/>
      <c r="H301" s="27"/>
      <c r="J301" s="27"/>
      <c r="L301" s="27"/>
      <c r="N301" s="27"/>
      <c r="P301" s="27"/>
      <c r="Q301" s="29"/>
      <c r="R301" s="26">
        <v>30.0</v>
      </c>
      <c r="T301" s="27">
        <v>30.0</v>
      </c>
      <c r="V301" s="27">
        <v>0.0</v>
      </c>
      <c r="X301" s="27">
        <v>0.0</v>
      </c>
      <c r="Z301" s="27">
        <v>0.0</v>
      </c>
      <c r="AB301" s="27">
        <v>0.0</v>
      </c>
      <c r="AC301" s="29"/>
      <c r="AD301" s="26"/>
      <c r="AF301" s="27"/>
      <c r="AH301" s="27"/>
      <c r="AJ301" s="27"/>
      <c r="AL301" s="27"/>
      <c r="AN301" s="27"/>
      <c r="AO301" s="29"/>
      <c r="AP301" s="45">
        <f t="shared" si="1"/>
        <v>1020</v>
      </c>
      <c r="AQ301" s="41">
        <f t="shared" si="2"/>
        <v>60</v>
      </c>
      <c r="AR301" s="41">
        <f t="shared" si="3"/>
        <v>0</v>
      </c>
      <c r="AS301" s="41">
        <f t="shared" si="4"/>
        <v>60</v>
      </c>
      <c r="AT301" s="46">
        <f t="shared" si="5"/>
        <v>17</v>
      </c>
      <c r="AU301" s="37"/>
      <c r="AV301" s="37"/>
      <c r="AW301" s="37"/>
    </row>
    <row r="302" ht="15.75" customHeight="1">
      <c r="A302" s="39" t="s">
        <v>31</v>
      </c>
      <c r="B302" s="40">
        <f t="shared" si="6"/>
        <v>44862</v>
      </c>
      <c r="C302" s="41">
        <v>11.0</v>
      </c>
      <c r="D302" s="41" t="s">
        <v>34</v>
      </c>
      <c r="E302" s="43" t="s">
        <v>42</v>
      </c>
      <c r="F302" s="26"/>
      <c r="H302" s="27"/>
      <c r="J302" s="27"/>
      <c r="L302" s="27"/>
      <c r="N302" s="27"/>
      <c r="P302" s="27"/>
      <c r="Q302" s="29"/>
      <c r="R302" s="26">
        <v>0.0</v>
      </c>
      <c r="T302" s="27">
        <v>0.0</v>
      </c>
      <c r="V302" s="27">
        <v>0.0</v>
      </c>
      <c r="X302" s="27">
        <v>0.0</v>
      </c>
      <c r="Z302" s="27">
        <v>0.0</v>
      </c>
      <c r="AB302" s="27">
        <v>0.0</v>
      </c>
      <c r="AC302" s="29"/>
      <c r="AD302" s="26"/>
      <c r="AF302" s="27"/>
      <c r="AH302" s="27"/>
      <c r="AJ302" s="27"/>
      <c r="AL302" s="27"/>
      <c r="AN302" s="27"/>
      <c r="AO302" s="29"/>
      <c r="AP302" s="45">
        <f t="shared" si="1"/>
        <v>0</v>
      </c>
      <c r="AQ302" s="41">
        <f t="shared" si="2"/>
        <v>0</v>
      </c>
      <c r="AR302" s="41">
        <f t="shared" si="3"/>
        <v>0</v>
      </c>
      <c r="AS302" s="41">
        <f t="shared" si="4"/>
        <v>0</v>
      </c>
      <c r="AT302" s="46" t="str">
        <f t="shared" si="5"/>
        <v/>
      </c>
      <c r="AU302" s="37"/>
      <c r="AV302" s="37"/>
      <c r="AW302" s="37"/>
    </row>
    <row r="303" ht="15.75" customHeight="1">
      <c r="A303" s="49" t="s">
        <v>32</v>
      </c>
      <c r="B303" s="50">
        <f t="shared" si="6"/>
        <v>44863</v>
      </c>
      <c r="C303" s="51">
        <v>11.0</v>
      </c>
      <c r="D303" s="51" t="s">
        <v>34</v>
      </c>
      <c r="E303" s="53" t="s">
        <v>42</v>
      </c>
      <c r="F303" s="54"/>
      <c r="G303" s="55"/>
      <c r="H303" s="56"/>
      <c r="I303" s="55"/>
      <c r="J303" s="56"/>
      <c r="K303" s="55"/>
      <c r="L303" s="56"/>
      <c r="M303" s="55"/>
      <c r="N303" s="56"/>
      <c r="O303" s="55"/>
      <c r="P303" s="56"/>
      <c r="Q303" s="58"/>
      <c r="R303" s="54">
        <v>0.0</v>
      </c>
      <c r="S303" s="55"/>
      <c r="T303" s="56">
        <v>0.0</v>
      </c>
      <c r="U303" s="55"/>
      <c r="V303" s="56">
        <v>0.0</v>
      </c>
      <c r="W303" s="55"/>
      <c r="X303" s="56">
        <v>0.0</v>
      </c>
      <c r="Y303" s="55"/>
      <c r="Z303" s="56">
        <v>0.0</v>
      </c>
      <c r="AA303" s="55"/>
      <c r="AB303" s="56">
        <v>0.0</v>
      </c>
      <c r="AC303" s="58"/>
      <c r="AD303" s="54"/>
      <c r="AE303" s="55"/>
      <c r="AF303" s="56"/>
      <c r="AG303" s="55"/>
      <c r="AH303" s="56"/>
      <c r="AI303" s="55"/>
      <c r="AJ303" s="56"/>
      <c r="AK303" s="55"/>
      <c r="AL303" s="56"/>
      <c r="AM303" s="55"/>
      <c r="AN303" s="56"/>
      <c r="AO303" s="58"/>
      <c r="AP303" s="60">
        <f t="shared" si="1"/>
        <v>0</v>
      </c>
      <c r="AQ303" s="51">
        <f t="shared" si="2"/>
        <v>0</v>
      </c>
      <c r="AR303" s="51">
        <f t="shared" si="3"/>
        <v>0</v>
      </c>
      <c r="AS303" s="51">
        <f t="shared" si="4"/>
        <v>0</v>
      </c>
      <c r="AT303" s="61" t="str">
        <f t="shared" si="5"/>
        <v/>
      </c>
      <c r="AU303" s="37"/>
      <c r="AV303" s="37"/>
      <c r="AW303" s="37"/>
    </row>
    <row r="304" ht="15.75" customHeight="1">
      <c r="A304" s="21" t="s">
        <v>24</v>
      </c>
      <c r="B304" s="62">
        <f t="shared" si="6"/>
        <v>44864</v>
      </c>
      <c r="C304" s="23">
        <v>11.0</v>
      </c>
      <c r="D304" s="23" t="s">
        <v>35</v>
      </c>
      <c r="E304" s="63" t="s">
        <v>42</v>
      </c>
      <c r="F304" s="26"/>
      <c r="H304" s="27"/>
      <c r="J304" s="27"/>
      <c r="L304" s="27"/>
      <c r="N304" s="27"/>
      <c r="P304" s="27"/>
      <c r="Q304" s="29"/>
      <c r="R304" s="26">
        <v>30.0</v>
      </c>
      <c r="T304" s="27">
        <v>30.0</v>
      </c>
      <c r="V304" s="27">
        <v>0.0</v>
      </c>
      <c r="X304" s="27">
        <v>0.0</v>
      </c>
      <c r="Z304" s="27">
        <v>0.0</v>
      </c>
      <c r="AB304" s="27">
        <v>0.0</v>
      </c>
      <c r="AC304" s="29"/>
      <c r="AD304" s="26"/>
      <c r="AF304" s="27"/>
      <c r="AH304" s="27"/>
      <c r="AJ304" s="27"/>
      <c r="AL304" s="27"/>
      <c r="AN304" s="27"/>
      <c r="AO304" s="29"/>
      <c r="AP304" s="35">
        <f t="shared" si="1"/>
        <v>1020</v>
      </c>
      <c r="AQ304" s="23">
        <f t="shared" si="2"/>
        <v>60</v>
      </c>
      <c r="AR304" s="23">
        <f t="shared" si="3"/>
        <v>0</v>
      </c>
      <c r="AS304" s="23">
        <f t="shared" si="4"/>
        <v>60</v>
      </c>
      <c r="AT304" s="36">
        <f t="shared" si="5"/>
        <v>17</v>
      </c>
      <c r="AU304" s="37"/>
      <c r="AV304" s="37"/>
      <c r="AW304" s="37"/>
    </row>
    <row r="305" ht="15.75" customHeight="1">
      <c r="A305" s="39" t="s">
        <v>27</v>
      </c>
      <c r="B305" s="40">
        <f t="shared" si="6"/>
        <v>44865</v>
      </c>
      <c r="C305" s="41">
        <v>11.0</v>
      </c>
      <c r="D305" s="41" t="s">
        <v>35</v>
      </c>
      <c r="E305" s="43" t="s">
        <v>42</v>
      </c>
      <c r="F305" s="26"/>
      <c r="H305" s="27"/>
      <c r="J305" s="27"/>
      <c r="L305" s="27"/>
      <c r="N305" s="27"/>
      <c r="P305" s="27"/>
      <c r="Q305" s="29"/>
      <c r="R305" s="26">
        <v>30.0</v>
      </c>
      <c r="T305" s="27">
        <v>30.0</v>
      </c>
      <c r="V305" s="27">
        <v>0.0</v>
      </c>
      <c r="X305" s="27">
        <v>0.0</v>
      </c>
      <c r="Z305" s="27">
        <v>0.0</v>
      </c>
      <c r="AB305" s="27">
        <v>0.0</v>
      </c>
      <c r="AC305" s="29"/>
      <c r="AD305" s="26"/>
      <c r="AF305" s="27"/>
      <c r="AH305" s="27"/>
      <c r="AJ305" s="27"/>
      <c r="AL305" s="27"/>
      <c r="AN305" s="27"/>
      <c r="AO305" s="29"/>
      <c r="AP305" s="45">
        <f t="shared" si="1"/>
        <v>1020</v>
      </c>
      <c r="AQ305" s="41">
        <f t="shared" si="2"/>
        <v>60</v>
      </c>
      <c r="AR305" s="41">
        <f t="shared" si="3"/>
        <v>0</v>
      </c>
      <c r="AS305" s="41">
        <f t="shared" si="4"/>
        <v>60</v>
      </c>
      <c r="AT305" s="46">
        <f t="shared" si="5"/>
        <v>17</v>
      </c>
      <c r="AU305" s="37"/>
      <c r="AV305" s="37"/>
      <c r="AW305" s="37"/>
    </row>
    <row r="306" ht="15.75" customHeight="1">
      <c r="A306" s="39" t="s">
        <v>28</v>
      </c>
      <c r="B306" s="40">
        <f t="shared" si="6"/>
        <v>44866</v>
      </c>
      <c r="C306" s="41">
        <v>11.0</v>
      </c>
      <c r="D306" s="41" t="s">
        <v>35</v>
      </c>
      <c r="E306" s="43" t="s">
        <v>42</v>
      </c>
      <c r="F306" s="26"/>
      <c r="H306" s="27"/>
      <c r="J306" s="27"/>
      <c r="L306" s="27"/>
      <c r="N306" s="27"/>
      <c r="P306" s="27"/>
      <c r="Q306" s="29"/>
      <c r="R306" s="26">
        <v>30.0</v>
      </c>
      <c r="T306" s="27">
        <v>30.0</v>
      </c>
      <c r="V306" s="27">
        <v>0.0</v>
      </c>
      <c r="X306" s="27">
        <v>0.0</v>
      </c>
      <c r="Z306" s="27">
        <v>0.0</v>
      </c>
      <c r="AB306" s="27">
        <v>0.0</v>
      </c>
      <c r="AC306" s="29"/>
      <c r="AD306" s="26"/>
      <c r="AF306" s="27"/>
      <c r="AH306" s="27"/>
      <c r="AJ306" s="27"/>
      <c r="AL306" s="27"/>
      <c r="AN306" s="27"/>
      <c r="AO306" s="29"/>
      <c r="AP306" s="45">
        <f t="shared" si="1"/>
        <v>1020</v>
      </c>
      <c r="AQ306" s="41">
        <f t="shared" si="2"/>
        <v>60</v>
      </c>
      <c r="AR306" s="41">
        <f t="shared" si="3"/>
        <v>0</v>
      </c>
      <c r="AS306" s="41">
        <f t="shared" si="4"/>
        <v>60</v>
      </c>
      <c r="AT306" s="46">
        <f t="shared" si="5"/>
        <v>17</v>
      </c>
      <c r="AU306" s="37"/>
      <c r="AV306" s="37"/>
      <c r="AW306" s="37"/>
    </row>
    <row r="307" ht="15.75" customHeight="1">
      <c r="A307" s="39" t="s">
        <v>29</v>
      </c>
      <c r="B307" s="40">
        <f t="shared" si="6"/>
        <v>44867</v>
      </c>
      <c r="C307" s="41">
        <v>11.0</v>
      </c>
      <c r="D307" s="41" t="s">
        <v>35</v>
      </c>
      <c r="E307" s="43" t="s">
        <v>42</v>
      </c>
      <c r="F307" s="26"/>
      <c r="H307" s="27"/>
      <c r="J307" s="27"/>
      <c r="L307" s="27"/>
      <c r="N307" s="27"/>
      <c r="P307" s="27"/>
      <c r="Q307" s="29"/>
      <c r="R307" s="26">
        <v>30.0</v>
      </c>
      <c r="T307" s="27">
        <v>30.0</v>
      </c>
      <c r="V307" s="27">
        <v>0.0</v>
      </c>
      <c r="X307" s="27">
        <v>0.0</v>
      </c>
      <c r="Z307" s="27">
        <v>0.0</v>
      </c>
      <c r="AB307" s="27">
        <v>0.0</v>
      </c>
      <c r="AC307" s="29"/>
      <c r="AD307" s="26"/>
      <c r="AF307" s="27"/>
      <c r="AH307" s="27"/>
      <c r="AJ307" s="27"/>
      <c r="AL307" s="27"/>
      <c r="AN307" s="27"/>
      <c r="AO307" s="29"/>
      <c r="AP307" s="45">
        <f t="shared" si="1"/>
        <v>1020</v>
      </c>
      <c r="AQ307" s="41">
        <f t="shared" si="2"/>
        <v>60</v>
      </c>
      <c r="AR307" s="41">
        <f t="shared" si="3"/>
        <v>0</v>
      </c>
      <c r="AS307" s="41">
        <f t="shared" si="4"/>
        <v>60</v>
      </c>
      <c r="AT307" s="46">
        <f t="shared" si="5"/>
        <v>17</v>
      </c>
      <c r="AU307" s="37"/>
      <c r="AV307" s="37"/>
      <c r="AW307" s="37"/>
    </row>
    <row r="308" ht="15.75" customHeight="1">
      <c r="A308" s="39" t="s">
        <v>30</v>
      </c>
      <c r="B308" s="40">
        <f t="shared" si="6"/>
        <v>44868</v>
      </c>
      <c r="C308" s="41">
        <v>11.0</v>
      </c>
      <c r="D308" s="41" t="s">
        <v>35</v>
      </c>
      <c r="E308" s="43" t="s">
        <v>42</v>
      </c>
      <c r="F308" s="26"/>
      <c r="H308" s="27"/>
      <c r="J308" s="27"/>
      <c r="L308" s="27"/>
      <c r="N308" s="27"/>
      <c r="P308" s="27"/>
      <c r="Q308" s="29"/>
      <c r="R308" s="26">
        <v>30.0</v>
      </c>
      <c r="T308" s="27">
        <v>30.0</v>
      </c>
      <c r="V308" s="27">
        <v>0.0</v>
      </c>
      <c r="X308" s="27">
        <v>0.0</v>
      </c>
      <c r="Z308" s="27">
        <v>0.0</v>
      </c>
      <c r="AB308" s="27">
        <v>0.0</v>
      </c>
      <c r="AC308" s="29"/>
      <c r="AD308" s="26"/>
      <c r="AF308" s="27"/>
      <c r="AH308" s="27"/>
      <c r="AJ308" s="27"/>
      <c r="AL308" s="27"/>
      <c r="AN308" s="27"/>
      <c r="AO308" s="29"/>
      <c r="AP308" s="45">
        <f t="shared" si="1"/>
        <v>1020</v>
      </c>
      <c r="AQ308" s="41">
        <f t="shared" si="2"/>
        <v>60</v>
      </c>
      <c r="AR308" s="41">
        <f t="shared" si="3"/>
        <v>0</v>
      </c>
      <c r="AS308" s="41">
        <f t="shared" si="4"/>
        <v>60</v>
      </c>
      <c r="AT308" s="46">
        <f t="shared" si="5"/>
        <v>17</v>
      </c>
      <c r="AU308" s="37"/>
      <c r="AV308" s="37"/>
      <c r="AW308" s="37"/>
    </row>
    <row r="309" ht="15.75" customHeight="1">
      <c r="A309" s="39" t="s">
        <v>31</v>
      </c>
      <c r="B309" s="40">
        <f t="shared" si="6"/>
        <v>44869</v>
      </c>
      <c r="C309" s="41">
        <v>11.0</v>
      </c>
      <c r="D309" s="41" t="s">
        <v>35</v>
      </c>
      <c r="E309" s="43" t="s">
        <v>42</v>
      </c>
      <c r="F309" s="26"/>
      <c r="H309" s="27"/>
      <c r="J309" s="27"/>
      <c r="L309" s="27"/>
      <c r="N309" s="27"/>
      <c r="P309" s="27"/>
      <c r="Q309" s="29"/>
      <c r="R309" s="26">
        <v>0.0</v>
      </c>
      <c r="T309" s="27">
        <v>0.0</v>
      </c>
      <c r="V309" s="27">
        <v>0.0</v>
      </c>
      <c r="X309" s="27">
        <v>0.0</v>
      </c>
      <c r="Z309" s="27">
        <v>0.0</v>
      </c>
      <c r="AB309" s="27">
        <v>0.0</v>
      </c>
      <c r="AC309" s="29"/>
      <c r="AD309" s="26"/>
      <c r="AF309" s="27"/>
      <c r="AH309" s="27"/>
      <c r="AJ309" s="27"/>
      <c r="AL309" s="27"/>
      <c r="AN309" s="27"/>
      <c r="AO309" s="29"/>
      <c r="AP309" s="45">
        <f t="shared" si="1"/>
        <v>0</v>
      </c>
      <c r="AQ309" s="41">
        <f t="shared" si="2"/>
        <v>0</v>
      </c>
      <c r="AR309" s="41">
        <f t="shared" si="3"/>
        <v>0</v>
      </c>
      <c r="AS309" s="41">
        <f t="shared" si="4"/>
        <v>0</v>
      </c>
      <c r="AT309" s="46" t="str">
        <f t="shared" si="5"/>
        <v/>
      </c>
      <c r="AU309" s="37"/>
      <c r="AV309" s="37"/>
      <c r="AW309" s="37"/>
    </row>
    <row r="310" ht="15.75" customHeight="1">
      <c r="A310" s="49" t="s">
        <v>32</v>
      </c>
      <c r="B310" s="50">
        <f t="shared" si="6"/>
        <v>44870</v>
      </c>
      <c r="C310" s="51">
        <v>11.0</v>
      </c>
      <c r="D310" s="51" t="s">
        <v>35</v>
      </c>
      <c r="E310" s="53" t="s">
        <v>42</v>
      </c>
      <c r="F310" s="54"/>
      <c r="G310" s="55"/>
      <c r="H310" s="56"/>
      <c r="I310" s="55"/>
      <c r="J310" s="56"/>
      <c r="K310" s="55"/>
      <c r="L310" s="56"/>
      <c r="M310" s="55"/>
      <c r="N310" s="56"/>
      <c r="O310" s="55"/>
      <c r="P310" s="56"/>
      <c r="Q310" s="58"/>
      <c r="R310" s="54">
        <v>0.0</v>
      </c>
      <c r="S310" s="55"/>
      <c r="T310" s="56">
        <v>0.0</v>
      </c>
      <c r="U310" s="55"/>
      <c r="V310" s="56">
        <v>0.0</v>
      </c>
      <c r="W310" s="55"/>
      <c r="X310" s="56">
        <v>0.0</v>
      </c>
      <c r="Y310" s="55"/>
      <c r="Z310" s="56">
        <v>0.0</v>
      </c>
      <c r="AA310" s="55"/>
      <c r="AB310" s="56">
        <v>0.0</v>
      </c>
      <c r="AC310" s="58"/>
      <c r="AD310" s="54"/>
      <c r="AE310" s="55"/>
      <c r="AF310" s="56"/>
      <c r="AG310" s="55"/>
      <c r="AH310" s="56"/>
      <c r="AI310" s="55"/>
      <c r="AJ310" s="56"/>
      <c r="AK310" s="55"/>
      <c r="AL310" s="56"/>
      <c r="AM310" s="55"/>
      <c r="AN310" s="56"/>
      <c r="AO310" s="58"/>
      <c r="AP310" s="60">
        <f t="shared" si="1"/>
        <v>0</v>
      </c>
      <c r="AQ310" s="51">
        <f t="shared" si="2"/>
        <v>0</v>
      </c>
      <c r="AR310" s="51">
        <f t="shared" si="3"/>
        <v>0</v>
      </c>
      <c r="AS310" s="51">
        <f t="shared" si="4"/>
        <v>0</v>
      </c>
      <c r="AT310" s="61" t="str">
        <f t="shared" si="5"/>
        <v/>
      </c>
      <c r="AU310" s="37"/>
      <c r="AV310" s="37"/>
      <c r="AW310" s="37"/>
    </row>
    <row r="311" ht="15.75" customHeight="1">
      <c r="A311" s="21" t="s">
        <v>24</v>
      </c>
      <c r="B311" s="62">
        <f t="shared" si="6"/>
        <v>44871</v>
      </c>
      <c r="C311" s="23">
        <v>12.0</v>
      </c>
      <c r="D311" s="23" t="s">
        <v>25</v>
      </c>
      <c r="E311" s="63" t="s">
        <v>42</v>
      </c>
      <c r="F311" s="26"/>
      <c r="H311" s="27"/>
      <c r="J311" s="27"/>
      <c r="L311" s="27"/>
      <c r="N311" s="27"/>
      <c r="P311" s="27"/>
      <c r="Q311" s="29"/>
      <c r="R311" s="26">
        <v>30.0</v>
      </c>
      <c r="T311" s="27">
        <v>30.0</v>
      </c>
      <c r="V311" s="27">
        <v>0.0</v>
      </c>
      <c r="X311" s="27">
        <v>0.0</v>
      </c>
      <c r="Z311" s="27">
        <v>0.0</v>
      </c>
      <c r="AB311" s="27">
        <v>0.0</v>
      </c>
      <c r="AC311" s="29"/>
      <c r="AD311" s="26"/>
      <c r="AF311" s="27"/>
      <c r="AH311" s="27"/>
      <c r="AJ311" s="27"/>
      <c r="AL311" s="27"/>
      <c r="AN311" s="27"/>
      <c r="AO311" s="29"/>
      <c r="AP311" s="35">
        <f t="shared" si="1"/>
        <v>1020</v>
      </c>
      <c r="AQ311" s="23">
        <f t="shared" si="2"/>
        <v>60</v>
      </c>
      <c r="AR311" s="23">
        <f t="shared" si="3"/>
        <v>0</v>
      </c>
      <c r="AS311" s="23">
        <f t="shared" si="4"/>
        <v>60</v>
      </c>
      <c r="AT311" s="36">
        <f t="shared" si="5"/>
        <v>17</v>
      </c>
      <c r="AU311" s="37"/>
      <c r="AV311" s="37"/>
      <c r="AW311" s="37"/>
    </row>
    <row r="312" ht="15.75" customHeight="1">
      <c r="A312" s="39" t="s">
        <v>27</v>
      </c>
      <c r="B312" s="40">
        <f t="shared" si="6"/>
        <v>44872</v>
      </c>
      <c r="C312" s="41">
        <v>12.0</v>
      </c>
      <c r="D312" s="41" t="s">
        <v>25</v>
      </c>
      <c r="E312" s="43" t="s">
        <v>42</v>
      </c>
      <c r="F312" s="26"/>
      <c r="H312" s="27"/>
      <c r="J312" s="27"/>
      <c r="L312" s="27"/>
      <c r="N312" s="27"/>
      <c r="P312" s="27"/>
      <c r="Q312" s="29"/>
      <c r="R312" s="26">
        <v>30.0</v>
      </c>
      <c r="T312" s="27">
        <v>30.0</v>
      </c>
      <c r="V312" s="27">
        <v>0.0</v>
      </c>
      <c r="X312" s="27">
        <v>0.0</v>
      </c>
      <c r="Z312" s="27">
        <v>0.0</v>
      </c>
      <c r="AB312" s="27">
        <v>0.0</v>
      </c>
      <c r="AC312" s="29"/>
      <c r="AD312" s="26"/>
      <c r="AF312" s="27"/>
      <c r="AH312" s="27"/>
      <c r="AJ312" s="27"/>
      <c r="AL312" s="27"/>
      <c r="AN312" s="27"/>
      <c r="AO312" s="29"/>
      <c r="AP312" s="45">
        <f t="shared" si="1"/>
        <v>1020</v>
      </c>
      <c r="AQ312" s="41">
        <f t="shared" si="2"/>
        <v>60</v>
      </c>
      <c r="AR312" s="41">
        <f t="shared" si="3"/>
        <v>0</v>
      </c>
      <c r="AS312" s="41">
        <f t="shared" si="4"/>
        <v>60</v>
      </c>
      <c r="AT312" s="46">
        <f t="shared" si="5"/>
        <v>17</v>
      </c>
      <c r="AU312" s="37"/>
      <c r="AV312" s="37"/>
      <c r="AW312" s="37"/>
    </row>
    <row r="313" ht="15.75" customHeight="1">
      <c r="A313" s="39" t="s">
        <v>28</v>
      </c>
      <c r="B313" s="40">
        <f t="shared" si="6"/>
        <v>44873</v>
      </c>
      <c r="C313" s="41">
        <v>12.0</v>
      </c>
      <c r="D313" s="41" t="s">
        <v>25</v>
      </c>
      <c r="E313" s="43" t="s">
        <v>42</v>
      </c>
      <c r="F313" s="26"/>
      <c r="H313" s="27"/>
      <c r="J313" s="27"/>
      <c r="L313" s="27"/>
      <c r="N313" s="27"/>
      <c r="P313" s="27"/>
      <c r="Q313" s="29"/>
      <c r="R313" s="26">
        <v>30.0</v>
      </c>
      <c r="T313" s="27">
        <v>30.0</v>
      </c>
      <c r="V313" s="27">
        <v>0.0</v>
      </c>
      <c r="X313" s="27">
        <v>0.0</v>
      </c>
      <c r="Z313" s="27">
        <v>0.0</v>
      </c>
      <c r="AB313" s="27">
        <v>0.0</v>
      </c>
      <c r="AC313" s="29"/>
      <c r="AD313" s="26"/>
      <c r="AF313" s="27"/>
      <c r="AH313" s="27"/>
      <c r="AJ313" s="27"/>
      <c r="AL313" s="27"/>
      <c r="AN313" s="27"/>
      <c r="AO313" s="29"/>
      <c r="AP313" s="45">
        <f t="shared" si="1"/>
        <v>1020</v>
      </c>
      <c r="AQ313" s="41">
        <f t="shared" si="2"/>
        <v>60</v>
      </c>
      <c r="AR313" s="41">
        <f t="shared" si="3"/>
        <v>0</v>
      </c>
      <c r="AS313" s="41">
        <f t="shared" si="4"/>
        <v>60</v>
      </c>
      <c r="AT313" s="46">
        <f t="shared" si="5"/>
        <v>17</v>
      </c>
      <c r="AU313" s="37"/>
      <c r="AV313" s="37"/>
      <c r="AW313" s="37"/>
    </row>
    <row r="314" ht="15.75" customHeight="1">
      <c r="A314" s="39" t="s">
        <v>29</v>
      </c>
      <c r="B314" s="40">
        <f t="shared" si="6"/>
        <v>44874</v>
      </c>
      <c r="C314" s="41">
        <v>12.0</v>
      </c>
      <c r="D314" s="41" t="s">
        <v>25</v>
      </c>
      <c r="E314" s="43" t="s">
        <v>42</v>
      </c>
      <c r="F314" s="26"/>
      <c r="H314" s="27"/>
      <c r="J314" s="27"/>
      <c r="L314" s="27"/>
      <c r="N314" s="27"/>
      <c r="P314" s="27"/>
      <c r="Q314" s="29"/>
      <c r="R314" s="26">
        <v>30.0</v>
      </c>
      <c r="T314" s="27">
        <v>30.0</v>
      </c>
      <c r="V314" s="27">
        <v>0.0</v>
      </c>
      <c r="X314" s="27">
        <v>0.0</v>
      </c>
      <c r="Z314" s="27">
        <v>0.0</v>
      </c>
      <c r="AB314" s="27">
        <v>0.0</v>
      </c>
      <c r="AC314" s="29"/>
      <c r="AD314" s="26"/>
      <c r="AF314" s="27"/>
      <c r="AH314" s="27"/>
      <c r="AJ314" s="27"/>
      <c r="AL314" s="27"/>
      <c r="AN314" s="27"/>
      <c r="AO314" s="29"/>
      <c r="AP314" s="45">
        <f t="shared" si="1"/>
        <v>1020</v>
      </c>
      <c r="AQ314" s="41">
        <f t="shared" si="2"/>
        <v>60</v>
      </c>
      <c r="AR314" s="41">
        <f t="shared" si="3"/>
        <v>0</v>
      </c>
      <c r="AS314" s="41">
        <f t="shared" si="4"/>
        <v>60</v>
      </c>
      <c r="AT314" s="46">
        <f t="shared" si="5"/>
        <v>17</v>
      </c>
      <c r="AU314" s="37"/>
      <c r="AV314" s="37"/>
      <c r="AW314" s="37"/>
    </row>
    <row r="315" ht="15.75" customHeight="1">
      <c r="A315" s="39" t="s">
        <v>30</v>
      </c>
      <c r="B315" s="40">
        <f t="shared" si="6"/>
        <v>44875</v>
      </c>
      <c r="C315" s="41">
        <v>12.0</v>
      </c>
      <c r="D315" s="41" t="s">
        <v>25</v>
      </c>
      <c r="E315" s="43" t="s">
        <v>42</v>
      </c>
      <c r="F315" s="26"/>
      <c r="H315" s="27"/>
      <c r="J315" s="27"/>
      <c r="L315" s="27"/>
      <c r="N315" s="27"/>
      <c r="P315" s="27"/>
      <c r="Q315" s="29"/>
      <c r="R315" s="26">
        <v>30.0</v>
      </c>
      <c r="T315" s="27">
        <v>30.0</v>
      </c>
      <c r="V315" s="27">
        <v>0.0</v>
      </c>
      <c r="X315" s="27">
        <v>0.0</v>
      </c>
      <c r="Z315" s="27">
        <v>0.0</v>
      </c>
      <c r="AB315" s="27">
        <v>0.0</v>
      </c>
      <c r="AC315" s="29"/>
      <c r="AD315" s="26"/>
      <c r="AF315" s="27"/>
      <c r="AH315" s="27"/>
      <c r="AJ315" s="27"/>
      <c r="AL315" s="27"/>
      <c r="AN315" s="27"/>
      <c r="AO315" s="29"/>
      <c r="AP315" s="45">
        <f t="shared" si="1"/>
        <v>1020</v>
      </c>
      <c r="AQ315" s="41">
        <f t="shared" si="2"/>
        <v>60</v>
      </c>
      <c r="AR315" s="41">
        <f t="shared" si="3"/>
        <v>0</v>
      </c>
      <c r="AS315" s="41">
        <f t="shared" si="4"/>
        <v>60</v>
      </c>
      <c r="AT315" s="46">
        <f t="shared" si="5"/>
        <v>17</v>
      </c>
      <c r="AU315" s="37"/>
      <c r="AV315" s="37"/>
      <c r="AW315" s="37"/>
    </row>
    <row r="316" ht="15.75" customHeight="1">
      <c r="A316" s="39" t="s">
        <v>31</v>
      </c>
      <c r="B316" s="40">
        <f t="shared" si="6"/>
        <v>44876</v>
      </c>
      <c r="C316" s="41">
        <v>12.0</v>
      </c>
      <c r="D316" s="41" t="s">
        <v>25</v>
      </c>
      <c r="E316" s="43" t="s">
        <v>42</v>
      </c>
      <c r="F316" s="26"/>
      <c r="H316" s="27"/>
      <c r="J316" s="27"/>
      <c r="L316" s="27"/>
      <c r="N316" s="27"/>
      <c r="P316" s="27"/>
      <c r="Q316" s="29"/>
      <c r="R316" s="26">
        <v>0.0</v>
      </c>
      <c r="T316" s="27">
        <v>0.0</v>
      </c>
      <c r="V316" s="27">
        <v>0.0</v>
      </c>
      <c r="X316" s="27">
        <v>0.0</v>
      </c>
      <c r="Z316" s="27">
        <v>0.0</v>
      </c>
      <c r="AB316" s="27">
        <v>0.0</v>
      </c>
      <c r="AC316" s="29"/>
      <c r="AD316" s="26"/>
      <c r="AF316" s="27"/>
      <c r="AH316" s="27"/>
      <c r="AJ316" s="27"/>
      <c r="AL316" s="27"/>
      <c r="AN316" s="27"/>
      <c r="AO316" s="29"/>
      <c r="AP316" s="45">
        <f t="shared" si="1"/>
        <v>0</v>
      </c>
      <c r="AQ316" s="41">
        <f t="shared" si="2"/>
        <v>0</v>
      </c>
      <c r="AR316" s="41">
        <f t="shared" si="3"/>
        <v>0</v>
      </c>
      <c r="AS316" s="41">
        <f t="shared" si="4"/>
        <v>0</v>
      </c>
      <c r="AT316" s="46" t="str">
        <f t="shared" si="5"/>
        <v/>
      </c>
      <c r="AU316" s="37"/>
      <c r="AV316" s="37"/>
      <c r="AW316" s="37"/>
    </row>
    <row r="317" ht="15.75" customHeight="1">
      <c r="A317" s="49" t="s">
        <v>32</v>
      </c>
      <c r="B317" s="50">
        <f t="shared" si="6"/>
        <v>44877</v>
      </c>
      <c r="C317" s="51">
        <v>12.0</v>
      </c>
      <c r="D317" s="51" t="s">
        <v>25</v>
      </c>
      <c r="E317" s="53" t="s">
        <v>42</v>
      </c>
      <c r="F317" s="54"/>
      <c r="G317" s="55"/>
      <c r="H317" s="56"/>
      <c r="I317" s="55"/>
      <c r="J317" s="56"/>
      <c r="K317" s="55"/>
      <c r="L317" s="56"/>
      <c r="M317" s="55"/>
      <c r="N317" s="56"/>
      <c r="O317" s="55"/>
      <c r="P317" s="56"/>
      <c r="Q317" s="58"/>
      <c r="R317" s="54">
        <v>0.0</v>
      </c>
      <c r="S317" s="55"/>
      <c r="T317" s="56">
        <v>0.0</v>
      </c>
      <c r="U317" s="55"/>
      <c r="V317" s="56">
        <v>0.0</v>
      </c>
      <c r="W317" s="55"/>
      <c r="X317" s="56">
        <v>0.0</v>
      </c>
      <c r="Y317" s="55"/>
      <c r="Z317" s="56">
        <v>0.0</v>
      </c>
      <c r="AA317" s="55"/>
      <c r="AB317" s="56">
        <v>0.0</v>
      </c>
      <c r="AC317" s="58"/>
      <c r="AD317" s="54"/>
      <c r="AE317" s="55"/>
      <c r="AF317" s="56"/>
      <c r="AG317" s="55"/>
      <c r="AH317" s="56"/>
      <c r="AI317" s="55"/>
      <c r="AJ317" s="56"/>
      <c r="AK317" s="55"/>
      <c r="AL317" s="56"/>
      <c r="AM317" s="55"/>
      <c r="AN317" s="56"/>
      <c r="AO317" s="58"/>
      <c r="AP317" s="60">
        <f t="shared" si="1"/>
        <v>0</v>
      </c>
      <c r="AQ317" s="51">
        <f t="shared" si="2"/>
        <v>0</v>
      </c>
      <c r="AR317" s="51">
        <f t="shared" si="3"/>
        <v>0</v>
      </c>
      <c r="AS317" s="51">
        <f t="shared" si="4"/>
        <v>0</v>
      </c>
      <c r="AT317" s="61" t="str">
        <f t="shared" si="5"/>
        <v/>
      </c>
      <c r="AU317" s="37"/>
      <c r="AV317" s="37"/>
      <c r="AW317" s="37"/>
    </row>
    <row r="318" ht="15.75" customHeight="1">
      <c r="A318" s="21" t="s">
        <v>24</v>
      </c>
      <c r="B318" s="62">
        <f t="shared" si="6"/>
        <v>44878</v>
      </c>
      <c r="C318" s="23">
        <v>12.0</v>
      </c>
      <c r="D318" s="23" t="s">
        <v>33</v>
      </c>
      <c r="E318" s="63" t="s">
        <v>42</v>
      </c>
      <c r="F318" s="26"/>
      <c r="H318" s="27"/>
      <c r="J318" s="27"/>
      <c r="L318" s="27"/>
      <c r="N318" s="27"/>
      <c r="P318" s="27"/>
      <c r="Q318" s="29"/>
      <c r="R318" s="26">
        <v>30.0</v>
      </c>
      <c r="T318" s="27">
        <v>30.0</v>
      </c>
      <c r="V318" s="27">
        <v>0.0</v>
      </c>
      <c r="X318" s="27">
        <v>0.0</v>
      </c>
      <c r="Z318" s="27">
        <v>0.0</v>
      </c>
      <c r="AB318" s="27">
        <v>0.0</v>
      </c>
      <c r="AC318" s="29"/>
      <c r="AD318" s="26"/>
      <c r="AF318" s="27"/>
      <c r="AH318" s="27"/>
      <c r="AJ318" s="27"/>
      <c r="AL318" s="27"/>
      <c r="AN318" s="27"/>
      <c r="AO318" s="29"/>
      <c r="AP318" s="35">
        <f t="shared" si="1"/>
        <v>1020</v>
      </c>
      <c r="AQ318" s="23">
        <f t="shared" si="2"/>
        <v>60</v>
      </c>
      <c r="AR318" s="23">
        <f t="shared" si="3"/>
        <v>0</v>
      </c>
      <c r="AS318" s="23">
        <f t="shared" si="4"/>
        <v>60</v>
      </c>
      <c r="AT318" s="36">
        <f t="shared" si="5"/>
        <v>17</v>
      </c>
      <c r="AU318" s="37"/>
      <c r="AV318" s="37"/>
      <c r="AW318" s="37"/>
    </row>
    <row r="319" ht="15.75" customHeight="1">
      <c r="A319" s="39" t="s">
        <v>27</v>
      </c>
      <c r="B319" s="40">
        <f t="shared" si="6"/>
        <v>44879</v>
      </c>
      <c r="C319" s="41">
        <v>12.0</v>
      </c>
      <c r="D319" s="41" t="s">
        <v>33</v>
      </c>
      <c r="E319" s="43" t="s">
        <v>42</v>
      </c>
      <c r="F319" s="26"/>
      <c r="H319" s="27"/>
      <c r="J319" s="27"/>
      <c r="L319" s="27"/>
      <c r="N319" s="27"/>
      <c r="P319" s="27"/>
      <c r="Q319" s="29"/>
      <c r="R319" s="26">
        <v>30.0</v>
      </c>
      <c r="T319" s="27">
        <v>30.0</v>
      </c>
      <c r="V319" s="27">
        <v>0.0</v>
      </c>
      <c r="X319" s="27">
        <v>0.0</v>
      </c>
      <c r="Z319" s="27">
        <v>0.0</v>
      </c>
      <c r="AB319" s="27">
        <v>0.0</v>
      </c>
      <c r="AC319" s="29"/>
      <c r="AD319" s="26"/>
      <c r="AF319" s="27"/>
      <c r="AH319" s="27"/>
      <c r="AJ319" s="27"/>
      <c r="AL319" s="27"/>
      <c r="AN319" s="27"/>
      <c r="AO319" s="29"/>
      <c r="AP319" s="45">
        <f t="shared" si="1"/>
        <v>1020</v>
      </c>
      <c r="AQ319" s="41">
        <f t="shared" si="2"/>
        <v>60</v>
      </c>
      <c r="AR319" s="41">
        <f t="shared" si="3"/>
        <v>0</v>
      </c>
      <c r="AS319" s="41">
        <f t="shared" si="4"/>
        <v>60</v>
      </c>
      <c r="AT319" s="46">
        <f t="shared" si="5"/>
        <v>17</v>
      </c>
      <c r="AU319" s="37"/>
      <c r="AV319" s="37"/>
      <c r="AW319" s="37"/>
    </row>
    <row r="320" ht="15.75" customHeight="1">
      <c r="A320" s="39" t="s">
        <v>28</v>
      </c>
      <c r="B320" s="40">
        <f t="shared" si="6"/>
        <v>44880</v>
      </c>
      <c r="C320" s="41">
        <v>12.0</v>
      </c>
      <c r="D320" s="41" t="s">
        <v>33</v>
      </c>
      <c r="E320" s="43" t="s">
        <v>42</v>
      </c>
      <c r="F320" s="26"/>
      <c r="H320" s="27"/>
      <c r="J320" s="27"/>
      <c r="L320" s="27"/>
      <c r="N320" s="27"/>
      <c r="P320" s="27"/>
      <c r="Q320" s="29"/>
      <c r="R320" s="26">
        <v>30.0</v>
      </c>
      <c r="T320" s="27">
        <v>30.0</v>
      </c>
      <c r="V320" s="27">
        <v>0.0</v>
      </c>
      <c r="X320" s="27">
        <v>0.0</v>
      </c>
      <c r="Z320" s="27">
        <v>0.0</v>
      </c>
      <c r="AB320" s="27">
        <v>0.0</v>
      </c>
      <c r="AC320" s="29"/>
      <c r="AD320" s="26"/>
      <c r="AF320" s="27"/>
      <c r="AH320" s="27"/>
      <c r="AJ320" s="27"/>
      <c r="AL320" s="27"/>
      <c r="AN320" s="27"/>
      <c r="AO320" s="29"/>
      <c r="AP320" s="45">
        <f t="shared" si="1"/>
        <v>1020</v>
      </c>
      <c r="AQ320" s="41">
        <f t="shared" si="2"/>
        <v>60</v>
      </c>
      <c r="AR320" s="41">
        <f t="shared" si="3"/>
        <v>0</v>
      </c>
      <c r="AS320" s="41">
        <f t="shared" si="4"/>
        <v>60</v>
      </c>
      <c r="AT320" s="46">
        <f t="shared" si="5"/>
        <v>17</v>
      </c>
      <c r="AU320" s="37"/>
      <c r="AV320" s="37"/>
      <c r="AW320" s="37"/>
    </row>
    <row r="321" ht="15.75" customHeight="1">
      <c r="A321" s="39" t="s">
        <v>29</v>
      </c>
      <c r="B321" s="40">
        <f t="shared" si="6"/>
        <v>44881</v>
      </c>
      <c r="C321" s="41">
        <v>12.0</v>
      </c>
      <c r="D321" s="41" t="s">
        <v>33</v>
      </c>
      <c r="E321" s="43" t="s">
        <v>42</v>
      </c>
      <c r="F321" s="26"/>
      <c r="H321" s="27"/>
      <c r="J321" s="27"/>
      <c r="L321" s="27"/>
      <c r="N321" s="27"/>
      <c r="P321" s="27"/>
      <c r="Q321" s="29"/>
      <c r="R321" s="26">
        <v>30.0</v>
      </c>
      <c r="T321" s="27">
        <v>30.0</v>
      </c>
      <c r="V321" s="27">
        <v>0.0</v>
      </c>
      <c r="X321" s="27">
        <v>0.0</v>
      </c>
      <c r="Z321" s="27">
        <v>0.0</v>
      </c>
      <c r="AB321" s="27">
        <v>0.0</v>
      </c>
      <c r="AC321" s="29"/>
      <c r="AD321" s="26"/>
      <c r="AF321" s="27"/>
      <c r="AH321" s="27"/>
      <c r="AJ321" s="27"/>
      <c r="AL321" s="27"/>
      <c r="AN321" s="27"/>
      <c r="AO321" s="29"/>
      <c r="AP321" s="45">
        <f t="shared" si="1"/>
        <v>1020</v>
      </c>
      <c r="AQ321" s="41">
        <f t="shared" si="2"/>
        <v>60</v>
      </c>
      <c r="AR321" s="41">
        <f t="shared" si="3"/>
        <v>0</v>
      </c>
      <c r="AS321" s="41">
        <f t="shared" si="4"/>
        <v>60</v>
      </c>
      <c r="AT321" s="46">
        <f t="shared" si="5"/>
        <v>17</v>
      </c>
      <c r="AU321" s="37"/>
      <c r="AV321" s="37"/>
      <c r="AW321" s="37"/>
    </row>
    <row r="322" ht="15.75" customHeight="1">
      <c r="A322" s="39" t="s">
        <v>30</v>
      </c>
      <c r="B322" s="40">
        <f t="shared" si="6"/>
        <v>44882</v>
      </c>
      <c r="C322" s="41">
        <v>12.0</v>
      </c>
      <c r="D322" s="41" t="s">
        <v>33</v>
      </c>
      <c r="E322" s="43" t="s">
        <v>42</v>
      </c>
      <c r="F322" s="26"/>
      <c r="H322" s="27"/>
      <c r="J322" s="27"/>
      <c r="L322" s="27"/>
      <c r="N322" s="27"/>
      <c r="P322" s="27"/>
      <c r="Q322" s="29"/>
      <c r="R322" s="26">
        <v>30.0</v>
      </c>
      <c r="T322" s="27">
        <v>30.0</v>
      </c>
      <c r="V322" s="27">
        <v>0.0</v>
      </c>
      <c r="X322" s="27">
        <v>0.0</v>
      </c>
      <c r="Z322" s="27">
        <v>0.0</v>
      </c>
      <c r="AB322" s="27">
        <v>0.0</v>
      </c>
      <c r="AC322" s="29"/>
      <c r="AD322" s="26"/>
      <c r="AF322" s="27"/>
      <c r="AH322" s="27"/>
      <c r="AJ322" s="27"/>
      <c r="AL322" s="27"/>
      <c r="AN322" s="27"/>
      <c r="AO322" s="29"/>
      <c r="AP322" s="45">
        <f t="shared" si="1"/>
        <v>1020</v>
      </c>
      <c r="AQ322" s="41">
        <f t="shared" si="2"/>
        <v>60</v>
      </c>
      <c r="AR322" s="41">
        <f t="shared" si="3"/>
        <v>0</v>
      </c>
      <c r="AS322" s="41">
        <f t="shared" si="4"/>
        <v>60</v>
      </c>
      <c r="AT322" s="46">
        <f t="shared" si="5"/>
        <v>17</v>
      </c>
      <c r="AU322" s="37"/>
      <c r="AV322" s="37"/>
      <c r="AW322" s="37"/>
    </row>
    <row r="323" ht="15.75" customHeight="1">
      <c r="A323" s="39" t="s">
        <v>31</v>
      </c>
      <c r="B323" s="40">
        <f t="shared" si="6"/>
        <v>44883</v>
      </c>
      <c r="C323" s="41">
        <v>12.0</v>
      </c>
      <c r="D323" s="41" t="s">
        <v>33</v>
      </c>
      <c r="E323" s="43" t="s">
        <v>42</v>
      </c>
      <c r="F323" s="26"/>
      <c r="H323" s="27"/>
      <c r="J323" s="27"/>
      <c r="L323" s="27"/>
      <c r="N323" s="27"/>
      <c r="P323" s="27"/>
      <c r="Q323" s="29"/>
      <c r="R323" s="26">
        <v>0.0</v>
      </c>
      <c r="T323" s="27">
        <v>0.0</v>
      </c>
      <c r="V323" s="27">
        <v>0.0</v>
      </c>
      <c r="X323" s="27">
        <v>0.0</v>
      </c>
      <c r="Z323" s="27">
        <v>0.0</v>
      </c>
      <c r="AB323" s="27">
        <v>0.0</v>
      </c>
      <c r="AC323" s="29"/>
      <c r="AD323" s="26"/>
      <c r="AF323" s="27"/>
      <c r="AH323" s="27"/>
      <c r="AJ323" s="27"/>
      <c r="AL323" s="27"/>
      <c r="AN323" s="27"/>
      <c r="AO323" s="29"/>
      <c r="AP323" s="45">
        <f t="shared" si="1"/>
        <v>0</v>
      </c>
      <c r="AQ323" s="41">
        <f t="shared" si="2"/>
        <v>0</v>
      </c>
      <c r="AR323" s="41">
        <f t="shared" si="3"/>
        <v>0</v>
      </c>
      <c r="AS323" s="41">
        <f t="shared" si="4"/>
        <v>0</v>
      </c>
      <c r="AT323" s="46" t="str">
        <f t="shared" si="5"/>
        <v/>
      </c>
      <c r="AU323" s="37"/>
      <c r="AV323" s="37"/>
      <c r="AW323" s="37"/>
    </row>
    <row r="324" ht="15.75" customHeight="1">
      <c r="A324" s="49" t="s">
        <v>32</v>
      </c>
      <c r="B324" s="50">
        <f t="shared" si="6"/>
        <v>44884</v>
      </c>
      <c r="C324" s="51">
        <v>12.0</v>
      </c>
      <c r="D324" s="51" t="s">
        <v>33</v>
      </c>
      <c r="E324" s="53" t="s">
        <v>42</v>
      </c>
      <c r="F324" s="54"/>
      <c r="G324" s="55"/>
      <c r="H324" s="56"/>
      <c r="I324" s="55"/>
      <c r="J324" s="56"/>
      <c r="K324" s="55"/>
      <c r="L324" s="56"/>
      <c r="M324" s="55"/>
      <c r="N324" s="56"/>
      <c r="O324" s="55"/>
      <c r="P324" s="56"/>
      <c r="Q324" s="58"/>
      <c r="R324" s="54">
        <v>0.0</v>
      </c>
      <c r="S324" s="55"/>
      <c r="T324" s="56">
        <v>0.0</v>
      </c>
      <c r="U324" s="55"/>
      <c r="V324" s="56">
        <v>0.0</v>
      </c>
      <c r="W324" s="55"/>
      <c r="X324" s="56">
        <v>0.0</v>
      </c>
      <c r="Y324" s="55"/>
      <c r="Z324" s="56">
        <v>0.0</v>
      </c>
      <c r="AA324" s="55"/>
      <c r="AB324" s="56">
        <v>0.0</v>
      </c>
      <c r="AC324" s="58"/>
      <c r="AD324" s="54"/>
      <c r="AE324" s="55"/>
      <c r="AF324" s="56"/>
      <c r="AG324" s="55"/>
      <c r="AH324" s="56"/>
      <c r="AI324" s="55"/>
      <c r="AJ324" s="56"/>
      <c r="AK324" s="55"/>
      <c r="AL324" s="56"/>
      <c r="AM324" s="55"/>
      <c r="AN324" s="56"/>
      <c r="AO324" s="58"/>
      <c r="AP324" s="60">
        <f t="shared" si="1"/>
        <v>0</v>
      </c>
      <c r="AQ324" s="51">
        <f t="shared" si="2"/>
        <v>0</v>
      </c>
      <c r="AR324" s="51">
        <f t="shared" si="3"/>
        <v>0</v>
      </c>
      <c r="AS324" s="51">
        <f t="shared" si="4"/>
        <v>0</v>
      </c>
      <c r="AT324" s="61" t="str">
        <f t="shared" si="5"/>
        <v/>
      </c>
      <c r="AU324" s="37"/>
      <c r="AV324" s="37"/>
      <c r="AW324" s="37"/>
    </row>
    <row r="325" ht="15.75" customHeight="1">
      <c r="A325" s="21" t="s">
        <v>24</v>
      </c>
      <c r="B325" s="62">
        <f t="shared" si="6"/>
        <v>44885</v>
      </c>
      <c r="C325" s="23">
        <v>12.0</v>
      </c>
      <c r="D325" s="23" t="s">
        <v>34</v>
      </c>
      <c r="E325" s="25" t="s">
        <v>43</v>
      </c>
      <c r="F325" s="26"/>
      <c r="H325" s="27"/>
      <c r="J325" s="27"/>
      <c r="L325" s="27"/>
      <c r="N325" s="27"/>
      <c r="P325" s="27"/>
      <c r="Q325" s="29"/>
      <c r="R325" s="26"/>
      <c r="T325" s="27"/>
      <c r="V325" s="27"/>
      <c r="X325" s="27"/>
      <c r="Z325" s="27"/>
      <c r="AB325" s="27"/>
      <c r="AC325" s="29"/>
      <c r="AD325" s="26"/>
      <c r="AF325" s="27"/>
      <c r="AH325" s="27"/>
      <c r="AJ325" s="27"/>
      <c r="AL325" s="27"/>
      <c r="AN325" s="27"/>
      <c r="AO325" s="29"/>
      <c r="AP325" s="35">
        <f t="shared" si="1"/>
        <v>0</v>
      </c>
      <c r="AQ325" s="23">
        <f t="shared" si="2"/>
        <v>0</v>
      </c>
      <c r="AR325" s="23">
        <f t="shared" si="3"/>
        <v>0</v>
      </c>
      <c r="AS325" s="23">
        <f t="shared" si="4"/>
        <v>0</v>
      </c>
      <c r="AT325" s="36" t="str">
        <f t="shared" si="5"/>
        <v/>
      </c>
      <c r="AU325" s="37"/>
      <c r="AV325" s="37"/>
      <c r="AW325" s="37"/>
    </row>
    <row r="326" ht="15.75" customHeight="1">
      <c r="A326" s="39" t="s">
        <v>27</v>
      </c>
      <c r="B326" s="40">
        <f t="shared" si="6"/>
        <v>44886</v>
      </c>
      <c r="C326" s="41">
        <v>12.0</v>
      </c>
      <c r="D326" s="41" t="s">
        <v>34</v>
      </c>
      <c r="E326" s="43" t="s">
        <v>43</v>
      </c>
      <c r="F326" s="26"/>
      <c r="H326" s="27"/>
      <c r="J326" s="27"/>
      <c r="L326" s="27"/>
      <c r="N326" s="27"/>
      <c r="P326" s="27"/>
      <c r="Q326" s="29"/>
      <c r="R326" s="26"/>
      <c r="T326" s="27"/>
      <c r="V326" s="27"/>
      <c r="X326" s="27"/>
      <c r="Z326" s="27"/>
      <c r="AB326" s="27"/>
      <c r="AC326" s="29"/>
      <c r="AD326" s="26"/>
      <c r="AF326" s="27"/>
      <c r="AH326" s="27"/>
      <c r="AJ326" s="27"/>
      <c r="AL326" s="27"/>
      <c r="AN326" s="27"/>
      <c r="AO326" s="29"/>
      <c r="AP326" s="45">
        <f t="shared" si="1"/>
        <v>0</v>
      </c>
      <c r="AQ326" s="41">
        <f t="shared" si="2"/>
        <v>0</v>
      </c>
      <c r="AR326" s="41">
        <f t="shared" si="3"/>
        <v>0</v>
      </c>
      <c r="AS326" s="41">
        <f t="shared" si="4"/>
        <v>0</v>
      </c>
      <c r="AT326" s="46" t="str">
        <f t="shared" si="5"/>
        <v/>
      </c>
      <c r="AU326" s="37"/>
      <c r="AV326" s="37"/>
      <c r="AW326" s="37"/>
    </row>
    <row r="327" ht="15.75" customHeight="1">
      <c r="A327" s="39" t="s">
        <v>28</v>
      </c>
      <c r="B327" s="40">
        <f t="shared" si="6"/>
        <v>44887</v>
      </c>
      <c r="C327" s="41">
        <v>12.0</v>
      </c>
      <c r="D327" s="41" t="s">
        <v>34</v>
      </c>
      <c r="E327" s="43" t="s">
        <v>43</v>
      </c>
      <c r="F327" s="26"/>
      <c r="H327" s="27"/>
      <c r="J327" s="27"/>
      <c r="L327" s="27"/>
      <c r="N327" s="27"/>
      <c r="P327" s="27"/>
      <c r="Q327" s="29"/>
      <c r="R327" s="26"/>
      <c r="T327" s="27"/>
      <c r="V327" s="27"/>
      <c r="X327" s="27"/>
      <c r="Z327" s="27"/>
      <c r="AB327" s="27"/>
      <c r="AC327" s="29"/>
      <c r="AD327" s="26"/>
      <c r="AF327" s="27"/>
      <c r="AH327" s="27"/>
      <c r="AJ327" s="27"/>
      <c r="AL327" s="27"/>
      <c r="AN327" s="27"/>
      <c r="AO327" s="29"/>
      <c r="AP327" s="45">
        <f t="shared" si="1"/>
        <v>0</v>
      </c>
      <c r="AQ327" s="41">
        <f t="shared" si="2"/>
        <v>0</v>
      </c>
      <c r="AR327" s="41">
        <f t="shared" si="3"/>
        <v>0</v>
      </c>
      <c r="AS327" s="41">
        <f t="shared" si="4"/>
        <v>0</v>
      </c>
      <c r="AT327" s="46" t="str">
        <f t="shared" si="5"/>
        <v/>
      </c>
      <c r="AU327" s="37"/>
      <c r="AV327" s="37"/>
      <c r="AW327" s="37"/>
    </row>
    <row r="328" ht="15.75" customHeight="1">
      <c r="A328" s="39" t="s">
        <v>29</v>
      </c>
      <c r="B328" s="40">
        <f t="shared" si="6"/>
        <v>44888</v>
      </c>
      <c r="C328" s="41">
        <v>12.0</v>
      </c>
      <c r="D328" s="41" t="s">
        <v>34</v>
      </c>
      <c r="E328" s="43" t="s">
        <v>43</v>
      </c>
      <c r="F328" s="26"/>
      <c r="H328" s="27"/>
      <c r="J328" s="27"/>
      <c r="L328" s="27"/>
      <c r="N328" s="27"/>
      <c r="P328" s="27"/>
      <c r="Q328" s="29"/>
      <c r="R328" s="26"/>
      <c r="T328" s="27"/>
      <c r="V328" s="27"/>
      <c r="X328" s="27"/>
      <c r="Z328" s="27"/>
      <c r="AB328" s="27"/>
      <c r="AC328" s="29"/>
      <c r="AD328" s="26"/>
      <c r="AF328" s="27"/>
      <c r="AH328" s="27"/>
      <c r="AJ328" s="27"/>
      <c r="AL328" s="27"/>
      <c r="AN328" s="27"/>
      <c r="AO328" s="29"/>
      <c r="AP328" s="45">
        <f t="shared" si="1"/>
        <v>0</v>
      </c>
      <c r="AQ328" s="41">
        <f t="shared" si="2"/>
        <v>0</v>
      </c>
      <c r="AR328" s="41">
        <f t="shared" si="3"/>
        <v>0</v>
      </c>
      <c r="AS328" s="41">
        <f t="shared" si="4"/>
        <v>0</v>
      </c>
      <c r="AT328" s="46" t="str">
        <f t="shared" si="5"/>
        <v/>
      </c>
      <c r="AU328" s="37"/>
      <c r="AV328" s="37"/>
      <c r="AW328" s="37"/>
    </row>
    <row r="329" ht="15.75" customHeight="1">
      <c r="A329" s="39" t="s">
        <v>30</v>
      </c>
      <c r="B329" s="40">
        <f t="shared" si="6"/>
        <v>44889</v>
      </c>
      <c r="C329" s="41">
        <v>12.0</v>
      </c>
      <c r="D329" s="41" t="s">
        <v>34</v>
      </c>
      <c r="E329" s="43" t="s">
        <v>43</v>
      </c>
      <c r="F329" s="26"/>
      <c r="H329" s="27"/>
      <c r="J329" s="27"/>
      <c r="L329" s="27"/>
      <c r="N329" s="27"/>
      <c r="P329" s="27"/>
      <c r="Q329" s="29"/>
      <c r="R329" s="26"/>
      <c r="T329" s="27"/>
      <c r="V329" s="27"/>
      <c r="X329" s="27"/>
      <c r="Z329" s="27"/>
      <c r="AB329" s="27"/>
      <c r="AC329" s="29"/>
      <c r="AD329" s="26"/>
      <c r="AF329" s="27"/>
      <c r="AH329" s="27"/>
      <c r="AJ329" s="27"/>
      <c r="AL329" s="27"/>
      <c r="AN329" s="27"/>
      <c r="AO329" s="29"/>
      <c r="AP329" s="45">
        <f t="shared" si="1"/>
        <v>0</v>
      </c>
      <c r="AQ329" s="41">
        <f t="shared" si="2"/>
        <v>0</v>
      </c>
      <c r="AR329" s="41">
        <f t="shared" si="3"/>
        <v>0</v>
      </c>
      <c r="AS329" s="41">
        <f t="shared" si="4"/>
        <v>0</v>
      </c>
      <c r="AT329" s="46" t="str">
        <f t="shared" si="5"/>
        <v/>
      </c>
      <c r="AU329" s="37"/>
      <c r="AV329" s="37"/>
      <c r="AW329" s="37"/>
    </row>
    <row r="330" ht="15.75" customHeight="1">
      <c r="A330" s="39" t="s">
        <v>31</v>
      </c>
      <c r="B330" s="40">
        <f t="shared" si="6"/>
        <v>44890</v>
      </c>
      <c r="C330" s="41">
        <v>12.0</v>
      </c>
      <c r="D330" s="41" t="s">
        <v>34</v>
      </c>
      <c r="E330" s="43" t="s">
        <v>43</v>
      </c>
      <c r="F330" s="26"/>
      <c r="H330" s="27"/>
      <c r="J330" s="27"/>
      <c r="L330" s="27"/>
      <c r="N330" s="27"/>
      <c r="P330" s="27"/>
      <c r="Q330" s="29"/>
      <c r="R330" s="26"/>
      <c r="T330" s="27"/>
      <c r="V330" s="27"/>
      <c r="X330" s="27"/>
      <c r="Z330" s="27"/>
      <c r="AB330" s="27"/>
      <c r="AC330" s="29"/>
      <c r="AD330" s="26"/>
      <c r="AF330" s="27"/>
      <c r="AH330" s="27"/>
      <c r="AJ330" s="27"/>
      <c r="AL330" s="27"/>
      <c r="AN330" s="27"/>
      <c r="AO330" s="29"/>
      <c r="AP330" s="45">
        <f t="shared" si="1"/>
        <v>0</v>
      </c>
      <c r="AQ330" s="41">
        <f t="shared" si="2"/>
        <v>0</v>
      </c>
      <c r="AR330" s="41">
        <f t="shared" si="3"/>
        <v>0</v>
      </c>
      <c r="AS330" s="41">
        <f t="shared" si="4"/>
        <v>0</v>
      </c>
      <c r="AT330" s="46" t="str">
        <f t="shared" si="5"/>
        <v/>
      </c>
      <c r="AU330" s="37"/>
      <c r="AV330" s="37"/>
      <c r="AW330" s="37"/>
    </row>
    <row r="331" ht="15.75" customHeight="1">
      <c r="A331" s="49" t="s">
        <v>32</v>
      </c>
      <c r="B331" s="50">
        <f t="shared" si="6"/>
        <v>44891</v>
      </c>
      <c r="C331" s="51">
        <v>12.0</v>
      </c>
      <c r="D331" s="51" t="s">
        <v>34</v>
      </c>
      <c r="E331" s="53" t="s">
        <v>43</v>
      </c>
      <c r="F331" s="54"/>
      <c r="G331" s="55"/>
      <c r="H331" s="56"/>
      <c r="I331" s="55"/>
      <c r="J331" s="56"/>
      <c r="K331" s="55"/>
      <c r="L331" s="56"/>
      <c r="M331" s="55"/>
      <c r="N331" s="56"/>
      <c r="O331" s="55"/>
      <c r="P331" s="56"/>
      <c r="Q331" s="58"/>
      <c r="R331" s="54"/>
      <c r="S331" s="55"/>
      <c r="T331" s="56"/>
      <c r="U331" s="55"/>
      <c r="V331" s="56"/>
      <c r="W331" s="55"/>
      <c r="X331" s="56"/>
      <c r="Y331" s="55"/>
      <c r="Z331" s="56"/>
      <c r="AA331" s="55"/>
      <c r="AB331" s="56"/>
      <c r="AC331" s="58"/>
      <c r="AD331" s="54"/>
      <c r="AE331" s="55"/>
      <c r="AF331" s="56"/>
      <c r="AG331" s="55"/>
      <c r="AH331" s="56"/>
      <c r="AI331" s="55"/>
      <c r="AJ331" s="56"/>
      <c r="AK331" s="55"/>
      <c r="AL331" s="56"/>
      <c r="AM331" s="55"/>
      <c r="AN331" s="56"/>
      <c r="AO331" s="58"/>
      <c r="AP331" s="60">
        <f t="shared" si="1"/>
        <v>0</v>
      </c>
      <c r="AQ331" s="51">
        <f t="shared" si="2"/>
        <v>0</v>
      </c>
      <c r="AR331" s="51">
        <f t="shared" si="3"/>
        <v>0</v>
      </c>
      <c r="AS331" s="51">
        <f t="shared" si="4"/>
        <v>0</v>
      </c>
      <c r="AT331" s="61" t="str">
        <f t="shared" si="5"/>
        <v/>
      </c>
      <c r="AU331" s="37"/>
      <c r="AV331" s="37"/>
      <c r="AW331" s="37"/>
    </row>
    <row r="332" ht="15.75" customHeight="1">
      <c r="A332" s="21" t="s">
        <v>24</v>
      </c>
      <c r="B332" s="62">
        <f t="shared" si="6"/>
        <v>44892</v>
      </c>
      <c r="C332" s="23">
        <v>12.0</v>
      </c>
      <c r="D332" s="23" t="s">
        <v>35</v>
      </c>
      <c r="E332" s="25" t="s">
        <v>26</v>
      </c>
      <c r="F332" s="26"/>
      <c r="H332" s="27"/>
      <c r="J332" s="27"/>
      <c r="L332" s="27"/>
      <c r="N332" s="27"/>
      <c r="P332" s="27"/>
      <c r="Q332" s="29"/>
      <c r="R332" s="26">
        <v>30.0</v>
      </c>
      <c r="T332" s="27">
        <v>30.0</v>
      </c>
      <c r="V332" s="27">
        <v>0.0</v>
      </c>
      <c r="X332" s="27">
        <v>0.0</v>
      </c>
      <c r="Z332" s="27">
        <v>0.0</v>
      </c>
      <c r="AB332" s="27">
        <v>0.0</v>
      </c>
      <c r="AC332" s="29"/>
      <c r="AD332" s="26"/>
      <c r="AF332" s="27"/>
      <c r="AH332" s="27"/>
      <c r="AJ332" s="27"/>
      <c r="AL332" s="27"/>
      <c r="AN332" s="27"/>
      <c r="AO332" s="29"/>
      <c r="AP332" s="35">
        <f t="shared" si="1"/>
        <v>1020</v>
      </c>
      <c r="AQ332" s="23">
        <f t="shared" si="2"/>
        <v>60</v>
      </c>
      <c r="AR332" s="23">
        <f t="shared" si="3"/>
        <v>0</v>
      </c>
      <c r="AS332" s="23">
        <f t="shared" si="4"/>
        <v>60</v>
      </c>
      <c r="AT332" s="36">
        <f t="shared" si="5"/>
        <v>17</v>
      </c>
      <c r="AU332" s="37"/>
      <c r="AV332" s="37"/>
      <c r="AW332" s="37"/>
    </row>
    <row r="333" ht="15.75" customHeight="1">
      <c r="A333" s="39" t="s">
        <v>27</v>
      </c>
      <c r="B333" s="40">
        <f t="shared" si="6"/>
        <v>44893</v>
      </c>
      <c r="C333" s="41">
        <v>12.0</v>
      </c>
      <c r="D333" s="41" t="s">
        <v>35</v>
      </c>
      <c r="E333" s="43" t="s">
        <v>26</v>
      </c>
      <c r="F333" s="26"/>
      <c r="H333" s="27"/>
      <c r="J333" s="27"/>
      <c r="L333" s="27"/>
      <c r="N333" s="27"/>
      <c r="P333" s="27"/>
      <c r="Q333" s="29"/>
      <c r="R333" s="26">
        <v>30.0</v>
      </c>
      <c r="T333" s="27">
        <v>30.0</v>
      </c>
      <c r="V333" s="27">
        <v>0.0</v>
      </c>
      <c r="X333" s="27">
        <v>0.0</v>
      </c>
      <c r="Z333" s="27">
        <v>0.0</v>
      </c>
      <c r="AB333" s="27">
        <v>0.0</v>
      </c>
      <c r="AC333" s="29"/>
      <c r="AD333" s="26"/>
      <c r="AF333" s="27"/>
      <c r="AH333" s="27"/>
      <c r="AJ333" s="27"/>
      <c r="AL333" s="27"/>
      <c r="AN333" s="27"/>
      <c r="AO333" s="29"/>
      <c r="AP333" s="45">
        <f t="shared" si="1"/>
        <v>1020</v>
      </c>
      <c r="AQ333" s="41">
        <f t="shared" si="2"/>
        <v>60</v>
      </c>
      <c r="AR333" s="41">
        <f t="shared" si="3"/>
        <v>0</v>
      </c>
      <c r="AS333" s="41">
        <f t="shared" si="4"/>
        <v>60</v>
      </c>
      <c r="AT333" s="46">
        <f t="shared" si="5"/>
        <v>17</v>
      </c>
      <c r="AU333" s="37"/>
      <c r="AV333" s="37"/>
      <c r="AW333" s="37"/>
    </row>
    <row r="334" ht="15.75" customHeight="1">
      <c r="A334" s="39" t="s">
        <v>28</v>
      </c>
      <c r="B334" s="40">
        <f t="shared" si="6"/>
        <v>44894</v>
      </c>
      <c r="C334" s="41">
        <v>12.0</v>
      </c>
      <c r="D334" s="41" t="s">
        <v>35</v>
      </c>
      <c r="E334" s="43" t="s">
        <v>26</v>
      </c>
      <c r="F334" s="26"/>
      <c r="H334" s="27"/>
      <c r="J334" s="27"/>
      <c r="L334" s="27"/>
      <c r="N334" s="27"/>
      <c r="P334" s="27"/>
      <c r="Q334" s="29"/>
      <c r="R334" s="26">
        <v>30.0</v>
      </c>
      <c r="T334" s="27">
        <v>30.0</v>
      </c>
      <c r="V334" s="27">
        <v>0.0</v>
      </c>
      <c r="X334" s="27">
        <v>0.0</v>
      </c>
      <c r="Z334" s="27">
        <v>0.0</v>
      </c>
      <c r="AB334" s="27">
        <v>0.0</v>
      </c>
      <c r="AC334" s="29"/>
      <c r="AD334" s="26"/>
      <c r="AF334" s="27"/>
      <c r="AH334" s="27"/>
      <c r="AJ334" s="27"/>
      <c r="AL334" s="27"/>
      <c r="AN334" s="27"/>
      <c r="AO334" s="29"/>
      <c r="AP334" s="45">
        <f t="shared" si="1"/>
        <v>1020</v>
      </c>
      <c r="AQ334" s="41">
        <f t="shared" si="2"/>
        <v>60</v>
      </c>
      <c r="AR334" s="41">
        <f t="shared" si="3"/>
        <v>0</v>
      </c>
      <c r="AS334" s="41">
        <f t="shared" si="4"/>
        <v>60</v>
      </c>
      <c r="AT334" s="46">
        <f t="shared" si="5"/>
        <v>17</v>
      </c>
      <c r="AU334" s="37"/>
      <c r="AV334" s="37"/>
      <c r="AW334" s="37"/>
    </row>
    <row r="335" ht="15.75" customHeight="1">
      <c r="A335" s="39" t="s">
        <v>29</v>
      </c>
      <c r="B335" s="40">
        <f t="shared" si="6"/>
        <v>44895</v>
      </c>
      <c r="C335" s="41">
        <v>12.0</v>
      </c>
      <c r="D335" s="41" t="s">
        <v>35</v>
      </c>
      <c r="E335" s="43" t="s">
        <v>26</v>
      </c>
      <c r="F335" s="26"/>
      <c r="H335" s="27"/>
      <c r="J335" s="27"/>
      <c r="L335" s="27"/>
      <c r="N335" s="27"/>
      <c r="P335" s="27"/>
      <c r="Q335" s="29"/>
      <c r="R335" s="26">
        <v>30.0</v>
      </c>
      <c r="T335" s="27">
        <v>30.0</v>
      </c>
      <c r="V335" s="27">
        <v>0.0</v>
      </c>
      <c r="X335" s="27">
        <v>0.0</v>
      </c>
      <c r="Z335" s="27">
        <v>0.0</v>
      </c>
      <c r="AB335" s="27">
        <v>0.0</v>
      </c>
      <c r="AC335" s="29"/>
      <c r="AD335" s="26"/>
      <c r="AF335" s="27"/>
      <c r="AH335" s="27"/>
      <c r="AJ335" s="27"/>
      <c r="AL335" s="27"/>
      <c r="AN335" s="27"/>
      <c r="AO335" s="29"/>
      <c r="AP335" s="45">
        <f t="shared" si="1"/>
        <v>1020</v>
      </c>
      <c r="AQ335" s="41">
        <f t="shared" si="2"/>
        <v>60</v>
      </c>
      <c r="AR335" s="41">
        <f t="shared" si="3"/>
        <v>0</v>
      </c>
      <c r="AS335" s="41">
        <f t="shared" si="4"/>
        <v>60</v>
      </c>
      <c r="AT335" s="46">
        <f t="shared" si="5"/>
        <v>17</v>
      </c>
      <c r="AU335" s="37"/>
      <c r="AV335" s="37"/>
      <c r="AW335" s="37"/>
    </row>
    <row r="336" ht="15.75" customHeight="1">
      <c r="A336" s="39" t="s">
        <v>30</v>
      </c>
      <c r="B336" s="40">
        <f t="shared" si="6"/>
        <v>44896</v>
      </c>
      <c r="C336" s="41">
        <v>12.0</v>
      </c>
      <c r="D336" s="41" t="s">
        <v>35</v>
      </c>
      <c r="E336" s="43" t="s">
        <v>26</v>
      </c>
      <c r="F336" s="26"/>
      <c r="H336" s="27"/>
      <c r="J336" s="27"/>
      <c r="L336" s="27"/>
      <c r="N336" s="27"/>
      <c r="P336" s="27"/>
      <c r="Q336" s="29"/>
      <c r="R336" s="26">
        <v>30.0</v>
      </c>
      <c r="T336" s="27">
        <v>30.0</v>
      </c>
      <c r="V336" s="27">
        <v>0.0</v>
      </c>
      <c r="X336" s="27">
        <v>0.0</v>
      </c>
      <c r="Z336" s="27">
        <v>0.0</v>
      </c>
      <c r="AB336" s="27">
        <v>0.0</v>
      </c>
      <c r="AC336" s="29"/>
      <c r="AD336" s="26"/>
      <c r="AF336" s="27"/>
      <c r="AH336" s="27"/>
      <c r="AJ336" s="27"/>
      <c r="AL336" s="27"/>
      <c r="AN336" s="27"/>
      <c r="AO336" s="29"/>
      <c r="AP336" s="45">
        <f t="shared" si="1"/>
        <v>1020</v>
      </c>
      <c r="AQ336" s="41">
        <f t="shared" si="2"/>
        <v>60</v>
      </c>
      <c r="AR336" s="41">
        <f t="shared" si="3"/>
        <v>0</v>
      </c>
      <c r="AS336" s="41">
        <f t="shared" si="4"/>
        <v>60</v>
      </c>
      <c r="AT336" s="46">
        <f t="shared" si="5"/>
        <v>17</v>
      </c>
      <c r="AU336" s="37"/>
      <c r="AV336" s="37"/>
      <c r="AW336" s="37"/>
    </row>
    <row r="337" ht="15.75" customHeight="1">
      <c r="A337" s="39" t="s">
        <v>31</v>
      </c>
      <c r="B337" s="40">
        <f t="shared" si="6"/>
        <v>44897</v>
      </c>
      <c r="C337" s="41">
        <v>12.0</v>
      </c>
      <c r="D337" s="41" t="s">
        <v>35</v>
      </c>
      <c r="E337" s="43" t="s">
        <v>26</v>
      </c>
      <c r="F337" s="26"/>
      <c r="H337" s="27"/>
      <c r="J337" s="27"/>
      <c r="L337" s="27"/>
      <c r="N337" s="27"/>
      <c r="P337" s="27"/>
      <c r="Q337" s="29"/>
      <c r="R337" s="26">
        <v>0.0</v>
      </c>
      <c r="T337" s="27">
        <v>0.0</v>
      </c>
      <c r="V337" s="27">
        <v>0.0</v>
      </c>
      <c r="X337" s="27">
        <v>0.0</v>
      </c>
      <c r="Z337" s="27">
        <v>0.0</v>
      </c>
      <c r="AB337" s="27">
        <v>0.0</v>
      </c>
      <c r="AC337" s="29"/>
      <c r="AD337" s="26"/>
      <c r="AF337" s="27"/>
      <c r="AH337" s="27"/>
      <c r="AJ337" s="27"/>
      <c r="AL337" s="27"/>
      <c r="AN337" s="27"/>
      <c r="AO337" s="29"/>
      <c r="AP337" s="45">
        <f t="shared" si="1"/>
        <v>0</v>
      </c>
      <c r="AQ337" s="41">
        <f t="shared" si="2"/>
        <v>0</v>
      </c>
      <c r="AR337" s="41">
        <f t="shared" si="3"/>
        <v>0</v>
      </c>
      <c r="AS337" s="41">
        <f t="shared" si="4"/>
        <v>0</v>
      </c>
      <c r="AT337" s="46" t="str">
        <f t="shared" si="5"/>
        <v/>
      </c>
      <c r="AU337" s="37"/>
      <c r="AV337" s="37"/>
      <c r="AW337" s="37"/>
    </row>
    <row r="338" ht="15.75" customHeight="1">
      <c r="A338" s="49" t="s">
        <v>32</v>
      </c>
      <c r="B338" s="50">
        <f t="shared" si="6"/>
        <v>44898</v>
      </c>
      <c r="C338" s="51">
        <v>12.0</v>
      </c>
      <c r="D338" s="51" t="s">
        <v>35</v>
      </c>
      <c r="E338" s="53" t="s">
        <v>26</v>
      </c>
      <c r="F338" s="54"/>
      <c r="G338" s="55"/>
      <c r="H338" s="56"/>
      <c r="I338" s="55"/>
      <c r="J338" s="56"/>
      <c r="K338" s="55"/>
      <c r="L338" s="56"/>
      <c r="M338" s="55"/>
      <c r="N338" s="56"/>
      <c r="O338" s="55"/>
      <c r="P338" s="56"/>
      <c r="Q338" s="58"/>
      <c r="R338" s="54">
        <v>0.0</v>
      </c>
      <c r="S338" s="55"/>
      <c r="T338" s="56">
        <v>0.0</v>
      </c>
      <c r="U338" s="55"/>
      <c r="V338" s="56">
        <v>0.0</v>
      </c>
      <c r="W338" s="55"/>
      <c r="X338" s="56">
        <v>0.0</v>
      </c>
      <c r="Y338" s="55"/>
      <c r="Z338" s="56">
        <v>0.0</v>
      </c>
      <c r="AA338" s="55"/>
      <c r="AB338" s="56">
        <v>0.0</v>
      </c>
      <c r="AC338" s="58"/>
      <c r="AD338" s="54"/>
      <c r="AE338" s="55"/>
      <c r="AF338" s="56"/>
      <c r="AG338" s="55"/>
      <c r="AH338" s="56"/>
      <c r="AI338" s="55"/>
      <c r="AJ338" s="56"/>
      <c r="AK338" s="55"/>
      <c r="AL338" s="56"/>
      <c r="AM338" s="55"/>
      <c r="AN338" s="56"/>
      <c r="AO338" s="58"/>
      <c r="AP338" s="60">
        <f t="shared" si="1"/>
        <v>0</v>
      </c>
      <c r="AQ338" s="51">
        <f t="shared" si="2"/>
        <v>0</v>
      </c>
      <c r="AR338" s="51">
        <f t="shared" si="3"/>
        <v>0</v>
      </c>
      <c r="AS338" s="51">
        <f t="shared" si="4"/>
        <v>0</v>
      </c>
      <c r="AT338" s="61" t="str">
        <f t="shared" si="5"/>
        <v/>
      </c>
      <c r="AU338" s="37"/>
      <c r="AV338" s="37"/>
      <c r="AW338" s="37"/>
    </row>
    <row r="339" ht="15.75" customHeight="1">
      <c r="A339" s="21" t="s">
        <v>24</v>
      </c>
      <c r="B339" s="62">
        <f t="shared" si="6"/>
        <v>44899</v>
      </c>
      <c r="C339" s="23">
        <v>13.0</v>
      </c>
      <c r="D339" s="23" t="s">
        <v>25</v>
      </c>
      <c r="E339" s="63" t="s">
        <v>26</v>
      </c>
      <c r="F339" s="26"/>
      <c r="H339" s="27"/>
      <c r="J339" s="27"/>
      <c r="L339" s="27"/>
      <c r="N339" s="27"/>
      <c r="P339" s="27"/>
      <c r="Q339" s="29"/>
      <c r="R339" s="26">
        <v>50.0</v>
      </c>
      <c r="T339" s="27">
        <v>50.0</v>
      </c>
      <c r="V339" s="27">
        <v>0.0</v>
      </c>
      <c r="X339" s="27">
        <v>0.0</v>
      </c>
      <c r="Z339" s="27">
        <v>0.0</v>
      </c>
      <c r="AB339" s="27">
        <v>0.0</v>
      </c>
      <c r="AC339" s="29"/>
      <c r="AD339" s="26"/>
      <c r="AF339" s="27"/>
      <c r="AH339" s="27"/>
      <c r="AJ339" s="27"/>
      <c r="AL339" s="27"/>
      <c r="AN339" s="27"/>
      <c r="AO339" s="29"/>
      <c r="AP339" s="35">
        <f t="shared" si="1"/>
        <v>1700</v>
      </c>
      <c r="AQ339" s="23">
        <f t="shared" si="2"/>
        <v>100</v>
      </c>
      <c r="AR339" s="23">
        <f t="shared" si="3"/>
        <v>0</v>
      </c>
      <c r="AS339" s="23">
        <f t="shared" si="4"/>
        <v>100</v>
      </c>
      <c r="AT339" s="36">
        <f t="shared" si="5"/>
        <v>17</v>
      </c>
      <c r="AU339" s="37"/>
      <c r="AV339" s="37"/>
      <c r="AW339" s="37"/>
    </row>
    <row r="340" ht="15.75" customHeight="1">
      <c r="A340" s="39" t="s">
        <v>27</v>
      </c>
      <c r="B340" s="40">
        <f t="shared" si="6"/>
        <v>44900</v>
      </c>
      <c r="C340" s="41">
        <v>13.0</v>
      </c>
      <c r="D340" s="41" t="s">
        <v>25</v>
      </c>
      <c r="E340" s="43" t="s">
        <v>26</v>
      </c>
      <c r="F340" s="26"/>
      <c r="H340" s="27"/>
      <c r="J340" s="27"/>
      <c r="L340" s="27"/>
      <c r="N340" s="27"/>
      <c r="P340" s="27"/>
      <c r="Q340" s="29"/>
      <c r="R340" s="26">
        <v>50.0</v>
      </c>
      <c r="T340" s="27">
        <v>50.0</v>
      </c>
      <c r="V340" s="27">
        <v>0.0</v>
      </c>
      <c r="X340" s="27">
        <v>0.0</v>
      </c>
      <c r="Z340" s="27">
        <v>0.0</v>
      </c>
      <c r="AB340" s="27">
        <v>0.0</v>
      </c>
      <c r="AC340" s="29"/>
      <c r="AD340" s="26"/>
      <c r="AF340" s="27"/>
      <c r="AH340" s="27"/>
      <c r="AJ340" s="27"/>
      <c r="AL340" s="27"/>
      <c r="AN340" s="27"/>
      <c r="AO340" s="29"/>
      <c r="AP340" s="45">
        <f t="shared" si="1"/>
        <v>1700</v>
      </c>
      <c r="AQ340" s="41">
        <f t="shared" si="2"/>
        <v>100</v>
      </c>
      <c r="AR340" s="41">
        <f t="shared" si="3"/>
        <v>0</v>
      </c>
      <c r="AS340" s="41">
        <f t="shared" si="4"/>
        <v>100</v>
      </c>
      <c r="AT340" s="46">
        <f t="shared" si="5"/>
        <v>17</v>
      </c>
      <c r="AU340" s="37"/>
      <c r="AV340" s="37"/>
      <c r="AW340" s="37"/>
    </row>
    <row r="341" ht="15.75" customHeight="1">
      <c r="A341" s="39" t="s">
        <v>28</v>
      </c>
      <c r="B341" s="40">
        <f t="shared" si="6"/>
        <v>44901</v>
      </c>
      <c r="C341" s="41">
        <v>13.0</v>
      </c>
      <c r="D341" s="41" t="s">
        <v>25</v>
      </c>
      <c r="E341" s="43" t="s">
        <v>26</v>
      </c>
      <c r="F341" s="26"/>
      <c r="H341" s="27"/>
      <c r="J341" s="27"/>
      <c r="L341" s="27"/>
      <c r="N341" s="27"/>
      <c r="P341" s="27"/>
      <c r="Q341" s="29"/>
      <c r="R341" s="26">
        <v>50.0</v>
      </c>
      <c r="T341" s="27">
        <v>50.0</v>
      </c>
      <c r="V341" s="27">
        <v>0.0</v>
      </c>
      <c r="X341" s="27">
        <v>0.0</v>
      </c>
      <c r="Z341" s="27">
        <v>0.0</v>
      </c>
      <c r="AB341" s="27">
        <v>0.0</v>
      </c>
      <c r="AC341" s="29"/>
      <c r="AD341" s="26"/>
      <c r="AF341" s="27"/>
      <c r="AH341" s="27"/>
      <c r="AJ341" s="27"/>
      <c r="AL341" s="27"/>
      <c r="AN341" s="27"/>
      <c r="AO341" s="29"/>
      <c r="AP341" s="45">
        <f t="shared" si="1"/>
        <v>1700</v>
      </c>
      <c r="AQ341" s="41">
        <f t="shared" si="2"/>
        <v>100</v>
      </c>
      <c r="AR341" s="41">
        <f t="shared" si="3"/>
        <v>0</v>
      </c>
      <c r="AS341" s="41">
        <f t="shared" si="4"/>
        <v>100</v>
      </c>
      <c r="AT341" s="46">
        <f t="shared" si="5"/>
        <v>17</v>
      </c>
      <c r="AU341" s="37"/>
      <c r="AV341" s="37"/>
      <c r="AW341" s="37"/>
    </row>
    <row r="342" ht="15.75" customHeight="1">
      <c r="A342" s="39" t="s">
        <v>29</v>
      </c>
      <c r="B342" s="40">
        <f t="shared" si="6"/>
        <v>44902</v>
      </c>
      <c r="C342" s="41">
        <v>13.0</v>
      </c>
      <c r="D342" s="41" t="s">
        <v>25</v>
      </c>
      <c r="E342" s="43" t="s">
        <v>26</v>
      </c>
      <c r="F342" s="26"/>
      <c r="H342" s="27"/>
      <c r="J342" s="27"/>
      <c r="L342" s="27"/>
      <c r="N342" s="27"/>
      <c r="P342" s="27"/>
      <c r="Q342" s="29"/>
      <c r="R342" s="26">
        <v>50.0</v>
      </c>
      <c r="T342" s="27">
        <v>50.0</v>
      </c>
      <c r="V342" s="27">
        <v>0.0</v>
      </c>
      <c r="X342" s="27">
        <v>0.0</v>
      </c>
      <c r="Z342" s="27">
        <v>0.0</v>
      </c>
      <c r="AB342" s="27">
        <v>0.0</v>
      </c>
      <c r="AC342" s="29"/>
      <c r="AD342" s="26"/>
      <c r="AF342" s="27"/>
      <c r="AH342" s="27"/>
      <c r="AJ342" s="27"/>
      <c r="AL342" s="27"/>
      <c r="AN342" s="27"/>
      <c r="AO342" s="29"/>
      <c r="AP342" s="45">
        <f t="shared" si="1"/>
        <v>1700</v>
      </c>
      <c r="AQ342" s="41">
        <f t="shared" si="2"/>
        <v>100</v>
      </c>
      <c r="AR342" s="41">
        <f t="shared" si="3"/>
        <v>0</v>
      </c>
      <c r="AS342" s="41">
        <f t="shared" si="4"/>
        <v>100</v>
      </c>
      <c r="AT342" s="46">
        <f t="shared" si="5"/>
        <v>17</v>
      </c>
      <c r="AU342" s="37"/>
      <c r="AV342" s="37"/>
      <c r="AW342" s="37"/>
    </row>
    <row r="343" ht="15.75" customHeight="1">
      <c r="A343" s="39" t="s">
        <v>30</v>
      </c>
      <c r="B343" s="40">
        <f t="shared" si="6"/>
        <v>44903</v>
      </c>
      <c r="C343" s="41">
        <v>13.0</v>
      </c>
      <c r="D343" s="41" t="s">
        <v>25</v>
      </c>
      <c r="E343" s="43" t="s">
        <v>26</v>
      </c>
      <c r="F343" s="26"/>
      <c r="H343" s="27"/>
      <c r="J343" s="27"/>
      <c r="L343" s="27"/>
      <c r="N343" s="27"/>
      <c r="P343" s="27"/>
      <c r="Q343" s="29"/>
      <c r="R343" s="26">
        <v>50.0</v>
      </c>
      <c r="T343" s="27">
        <v>50.0</v>
      </c>
      <c r="V343" s="27">
        <v>0.0</v>
      </c>
      <c r="X343" s="27">
        <v>0.0</v>
      </c>
      <c r="Z343" s="27">
        <v>0.0</v>
      </c>
      <c r="AB343" s="27">
        <v>0.0</v>
      </c>
      <c r="AC343" s="29"/>
      <c r="AD343" s="26"/>
      <c r="AF343" s="27"/>
      <c r="AH343" s="27"/>
      <c r="AJ343" s="27"/>
      <c r="AL343" s="27"/>
      <c r="AN343" s="27"/>
      <c r="AO343" s="29"/>
      <c r="AP343" s="45">
        <f t="shared" si="1"/>
        <v>1700</v>
      </c>
      <c r="AQ343" s="41">
        <f t="shared" si="2"/>
        <v>100</v>
      </c>
      <c r="AR343" s="41">
        <f t="shared" si="3"/>
        <v>0</v>
      </c>
      <c r="AS343" s="41">
        <f t="shared" si="4"/>
        <v>100</v>
      </c>
      <c r="AT343" s="46">
        <f t="shared" si="5"/>
        <v>17</v>
      </c>
      <c r="AU343" s="37"/>
      <c r="AV343" s="37"/>
      <c r="AW343" s="37"/>
    </row>
    <row r="344" ht="15.75" customHeight="1">
      <c r="A344" s="39" t="s">
        <v>31</v>
      </c>
      <c r="B344" s="40">
        <f t="shared" si="6"/>
        <v>44904</v>
      </c>
      <c r="C344" s="41">
        <v>13.0</v>
      </c>
      <c r="D344" s="41" t="s">
        <v>25</v>
      </c>
      <c r="E344" s="43" t="s">
        <v>26</v>
      </c>
      <c r="F344" s="26"/>
      <c r="H344" s="27"/>
      <c r="J344" s="27"/>
      <c r="L344" s="27"/>
      <c r="N344" s="27"/>
      <c r="P344" s="27"/>
      <c r="Q344" s="29"/>
      <c r="R344" s="26">
        <v>50.0</v>
      </c>
      <c r="T344" s="27">
        <v>50.0</v>
      </c>
      <c r="V344" s="27">
        <v>0.0</v>
      </c>
      <c r="X344" s="27">
        <v>0.0</v>
      </c>
      <c r="Z344" s="27">
        <v>0.0</v>
      </c>
      <c r="AB344" s="27">
        <v>0.0</v>
      </c>
      <c r="AC344" s="29"/>
      <c r="AD344" s="26"/>
      <c r="AF344" s="27"/>
      <c r="AH344" s="27"/>
      <c r="AJ344" s="27"/>
      <c r="AL344" s="27"/>
      <c r="AN344" s="27"/>
      <c r="AO344" s="29"/>
      <c r="AP344" s="45">
        <f t="shared" si="1"/>
        <v>1700</v>
      </c>
      <c r="AQ344" s="41">
        <f t="shared" si="2"/>
        <v>100</v>
      </c>
      <c r="AR344" s="41">
        <f t="shared" si="3"/>
        <v>0</v>
      </c>
      <c r="AS344" s="41">
        <f t="shared" si="4"/>
        <v>100</v>
      </c>
      <c r="AT344" s="46">
        <f t="shared" si="5"/>
        <v>17</v>
      </c>
      <c r="AU344" s="37"/>
      <c r="AV344" s="37"/>
      <c r="AW344" s="37"/>
    </row>
    <row r="345" ht="15.75" customHeight="1">
      <c r="A345" s="49" t="s">
        <v>32</v>
      </c>
      <c r="B345" s="50">
        <f t="shared" si="6"/>
        <v>44905</v>
      </c>
      <c r="C345" s="51">
        <v>13.0</v>
      </c>
      <c r="D345" s="51" t="s">
        <v>25</v>
      </c>
      <c r="E345" s="53" t="s">
        <v>26</v>
      </c>
      <c r="F345" s="54"/>
      <c r="G345" s="55"/>
      <c r="H345" s="56"/>
      <c r="I345" s="55"/>
      <c r="J345" s="56"/>
      <c r="K345" s="55"/>
      <c r="L345" s="56"/>
      <c r="M345" s="55"/>
      <c r="N345" s="56"/>
      <c r="O345" s="55"/>
      <c r="P345" s="56"/>
      <c r="Q345" s="58"/>
      <c r="R345" s="54">
        <v>50.0</v>
      </c>
      <c r="S345" s="55"/>
      <c r="T345" s="56">
        <v>50.0</v>
      </c>
      <c r="U345" s="55"/>
      <c r="V345" s="56">
        <v>0.0</v>
      </c>
      <c r="W345" s="55"/>
      <c r="X345" s="56">
        <v>0.0</v>
      </c>
      <c r="Y345" s="55"/>
      <c r="Z345" s="56">
        <v>0.0</v>
      </c>
      <c r="AA345" s="55"/>
      <c r="AB345" s="56">
        <v>0.0</v>
      </c>
      <c r="AC345" s="58"/>
      <c r="AD345" s="54"/>
      <c r="AE345" s="55"/>
      <c r="AF345" s="56"/>
      <c r="AG345" s="55"/>
      <c r="AH345" s="56"/>
      <c r="AI345" s="55"/>
      <c r="AJ345" s="56"/>
      <c r="AK345" s="55"/>
      <c r="AL345" s="56"/>
      <c r="AM345" s="55"/>
      <c r="AN345" s="56"/>
      <c r="AO345" s="58"/>
      <c r="AP345" s="60">
        <f t="shared" si="1"/>
        <v>1700</v>
      </c>
      <c r="AQ345" s="51">
        <f t="shared" si="2"/>
        <v>100</v>
      </c>
      <c r="AR345" s="51">
        <f t="shared" si="3"/>
        <v>0</v>
      </c>
      <c r="AS345" s="51">
        <f t="shared" si="4"/>
        <v>100</v>
      </c>
      <c r="AT345" s="61">
        <f t="shared" si="5"/>
        <v>17</v>
      </c>
      <c r="AU345" s="37"/>
      <c r="AV345" s="37"/>
      <c r="AW345" s="37"/>
    </row>
    <row r="346" ht="15.75" customHeight="1">
      <c r="A346" s="21" t="s">
        <v>24</v>
      </c>
      <c r="B346" s="62">
        <f t="shared" si="6"/>
        <v>44906</v>
      </c>
      <c r="C346" s="23">
        <v>13.0</v>
      </c>
      <c r="D346" s="23" t="s">
        <v>33</v>
      </c>
      <c r="E346" s="63" t="s">
        <v>26</v>
      </c>
      <c r="F346" s="26"/>
      <c r="H346" s="27"/>
      <c r="J346" s="27"/>
      <c r="L346" s="27"/>
      <c r="N346" s="27"/>
      <c r="P346" s="27"/>
      <c r="Q346" s="29"/>
      <c r="R346" s="26">
        <v>30.0</v>
      </c>
      <c r="T346" s="27">
        <v>30.0</v>
      </c>
      <c r="V346" s="27">
        <v>0.0</v>
      </c>
      <c r="X346" s="27">
        <v>0.0</v>
      </c>
      <c r="Z346" s="27">
        <v>0.0</v>
      </c>
      <c r="AB346" s="27">
        <v>0.0</v>
      </c>
      <c r="AC346" s="29"/>
      <c r="AD346" s="26"/>
      <c r="AF346" s="27"/>
      <c r="AH346" s="27"/>
      <c r="AJ346" s="27"/>
      <c r="AL346" s="27"/>
      <c r="AN346" s="27"/>
      <c r="AO346" s="29"/>
      <c r="AP346" s="35">
        <f t="shared" si="1"/>
        <v>1020</v>
      </c>
      <c r="AQ346" s="23">
        <f t="shared" si="2"/>
        <v>60</v>
      </c>
      <c r="AR346" s="23">
        <f t="shared" si="3"/>
        <v>0</v>
      </c>
      <c r="AS346" s="23">
        <f t="shared" si="4"/>
        <v>60</v>
      </c>
      <c r="AT346" s="36">
        <f t="shared" si="5"/>
        <v>17</v>
      </c>
      <c r="AU346" s="37"/>
      <c r="AV346" s="37"/>
      <c r="AW346" s="37"/>
    </row>
    <row r="347" ht="15.75" customHeight="1">
      <c r="A347" s="39" t="s">
        <v>27</v>
      </c>
      <c r="B347" s="40">
        <f t="shared" si="6"/>
        <v>44907</v>
      </c>
      <c r="C347" s="41">
        <v>13.0</v>
      </c>
      <c r="D347" s="41" t="s">
        <v>33</v>
      </c>
      <c r="E347" s="43" t="s">
        <v>26</v>
      </c>
      <c r="F347" s="26"/>
      <c r="H347" s="27"/>
      <c r="J347" s="27"/>
      <c r="L347" s="27"/>
      <c r="N347" s="27"/>
      <c r="P347" s="27"/>
      <c r="Q347" s="29"/>
      <c r="R347" s="26">
        <v>30.0</v>
      </c>
      <c r="T347" s="27">
        <v>30.0</v>
      </c>
      <c r="V347" s="27">
        <v>0.0</v>
      </c>
      <c r="X347" s="27">
        <v>0.0</v>
      </c>
      <c r="Z347" s="27">
        <v>0.0</v>
      </c>
      <c r="AB347" s="27">
        <v>0.0</v>
      </c>
      <c r="AC347" s="29"/>
      <c r="AD347" s="26"/>
      <c r="AF347" s="27"/>
      <c r="AH347" s="27"/>
      <c r="AJ347" s="27"/>
      <c r="AL347" s="27"/>
      <c r="AN347" s="27"/>
      <c r="AO347" s="29"/>
      <c r="AP347" s="45">
        <f t="shared" si="1"/>
        <v>1020</v>
      </c>
      <c r="AQ347" s="41">
        <f t="shared" si="2"/>
        <v>60</v>
      </c>
      <c r="AR347" s="41">
        <f t="shared" si="3"/>
        <v>0</v>
      </c>
      <c r="AS347" s="41">
        <f t="shared" si="4"/>
        <v>60</v>
      </c>
      <c r="AT347" s="46">
        <f t="shared" si="5"/>
        <v>17</v>
      </c>
      <c r="AU347" s="37"/>
      <c r="AV347" s="37"/>
      <c r="AW347" s="37"/>
    </row>
    <row r="348" ht="15.75" customHeight="1">
      <c r="A348" s="39" t="s">
        <v>28</v>
      </c>
      <c r="B348" s="40">
        <f t="shared" si="6"/>
        <v>44908</v>
      </c>
      <c r="C348" s="41">
        <v>13.0</v>
      </c>
      <c r="D348" s="41" t="s">
        <v>33</v>
      </c>
      <c r="E348" s="43" t="s">
        <v>26</v>
      </c>
      <c r="F348" s="26"/>
      <c r="H348" s="27"/>
      <c r="J348" s="27"/>
      <c r="L348" s="27"/>
      <c r="N348" s="27"/>
      <c r="P348" s="27"/>
      <c r="Q348" s="29"/>
      <c r="R348" s="26">
        <v>30.0</v>
      </c>
      <c r="T348" s="27">
        <v>30.0</v>
      </c>
      <c r="V348" s="27">
        <v>0.0</v>
      </c>
      <c r="X348" s="27">
        <v>0.0</v>
      </c>
      <c r="Z348" s="27">
        <v>0.0</v>
      </c>
      <c r="AB348" s="27">
        <v>0.0</v>
      </c>
      <c r="AC348" s="29"/>
      <c r="AD348" s="26"/>
      <c r="AF348" s="27"/>
      <c r="AH348" s="27"/>
      <c r="AJ348" s="27"/>
      <c r="AL348" s="27"/>
      <c r="AN348" s="27"/>
      <c r="AO348" s="29"/>
      <c r="AP348" s="45">
        <f t="shared" si="1"/>
        <v>1020</v>
      </c>
      <c r="AQ348" s="41">
        <f t="shared" si="2"/>
        <v>60</v>
      </c>
      <c r="AR348" s="41">
        <f t="shared" si="3"/>
        <v>0</v>
      </c>
      <c r="AS348" s="41">
        <f t="shared" si="4"/>
        <v>60</v>
      </c>
      <c r="AT348" s="46">
        <f t="shared" si="5"/>
        <v>17</v>
      </c>
      <c r="AU348" s="37"/>
      <c r="AV348" s="37"/>
      <c r="AW348" s="37"/>
    </row>
    <row r="349" ht="15.75" customHeight="1">
      <c r="A349" s="39" t="s">
        <v>29</v>
      </c>
      <c r="B349" s="40">
        <f t="shared" si="6"/>
        <v>44909</v>
      </c>
      <c r="C349" s="41">
        <v>13.0</v>
      </c>
      <c r="D349" s="41" t="s">
        <v>33</v>
      </c>
      <c r="E349" s="43" t="s">
        <v>26</v>
      </c>
      <c r="F349" s="26"/>
      <c r="H349" s="27"/>
      <c r="J349" s="27"/>
      <c r="L349" s="27"/>
      <c r="N349" s="27"/>
      <c r="P349" s="27"/>
      <c r="Q349" s="29"/>
      <c r="R349" s="26">
        <v>30.0</v>
      </c>
      <c r="T349" s="27">
        <v>30.0</v>
      </c>
      <c r="V349" s="27">
        <v>0.0</v>
      </c>
      <c r="X349" s="27">
        <v>0.0</v>
      </c>
      <c r="Z349" s="27">
        <v>0.0</v>
      </c>
      <c r="AB349" s="27">
        <v>0.0</v>
      </c>
      <c r="AC349" s="29"/>
      <c r="AD349" s="26"/>
      <c r="AF349" s="27"/>
      <c r="AH349" s="27"/>
      <c r="AJ349" s="27"/>
      <c r="AL349" s="27"/>
      <c r="AN349" s="27"/>
      <c r="AO349" s="29"/>
      <c r="AP349" s="45">
        <f t="shared" si="1"/>
        <v>1020</v>
      </c>
      <c r="AQ349" s="41">
        <f t="shared" si="2"/>
        <v>60</v>
      </c>
      <c r="AR349" s="41">
        <f t="shared" si="3"/>
        <v>0</v>
      </c>
      <c r="AS349" s="41">
        <f t="shared" si="4"/>
        <v>60</v>
      </c>
      <c r="AT349" s="46">
        <f t="shared" si="5"/>
        <v>17</v>
      </c>
      <c r="AU349" s="37"/>
      <c r="AV349" s="37"/>
      <c r="AW349" s="37"/>
    </row>
    <row r="350" ht="15.75" customHeight="1">
      <c r="A350" s="39" t="s">
        <v>30</v>
      </c>
      <c r="B350" s="40">
        <f t="shared" si="6"/>
        <v>44910</v>
      </c>
      <c r="C350" s="41">
        <v>13.0</v>
      </c>
      <c r="D350" s="41" t="s">
        <v>33</v>
      </c>
      <c r="E350" s="43" t="s">
        <v>26</v>
      </c>
      <c r="F350" s="26"/>
      <c r="H350" s="27"/>
      <c r="J350" s="27"/>
      <c r="L350" s="27"/>
      <c r="N350" s="27"/>
      <c r="P350" s="27"/>
      <c r="Q350" s="29"/>
      <c r="R350" s="26">
        <v>30.0</v>
      </c>
      <c r="T350" s="27">
        <v>30.0</v>
      </c>
      <c r="V350" s="27">
        <v>0.0</v>
      </c>
      <c r="X350" s="27">
        <v>0.0</v>
      </c>
      <c r="Z350" s="27">
        <v>0.0</v>
      </c>
      <c r="AB350" s="27">
        <v>0.0</v>
      </c>
      <c r="AC350" s="29"/>
      <c r="AD350" s="26"/>
      <c r="AF350" s="27"/>
      <c r="AH350" s="27"/>
      <c r="AJ350" s="27"/>
      <c r="AL350" s="27"/>
      <c r="AN350" s="27"/>
      <c r="AO350" s="29"/>
      <c r="AP350" s="45">
        <f t="shared" si="1"/>
        <v>1020</v>
      </c>
      <c r="AQ350" s="41">
        <f t="shared" si="2"/>
        <v>60</v>
      </c>
      <c r="AR350" s="41">
        <f t="shared" si="3"/>
        <v>0</v>
      </c>
      <c r="AS350" s="41">
        <f t="shared" si="4"/>
        <v>60</v>
      </c>
      <c r="AT350" s="46">
        <f t="shared" si="5"/>
        <v>17</v>
      </c>
      <c r="AU350" s="37"/>
      <c r="AV350" s="37"/>
      <c r="AW350" s="37"/>
    </row>
    <row r="351" ht="15.75" customHeight="1">
      <c r="A351" s="39" t="s">
        <v>31</v>
      </c>
      <c r="B351" s="40">
        <f t="shared" si="6"/>
        <v>44911</v>
      </c>
      <c r="C351" s="41">
        <v>13.0</v>
      </c>
      <c r="D351" s="41" t="s">
        <v>33</v>
      </c>
      <c r="E351" s="43" t="s">
        <v>26</v>
      </c>
      <c r="F351" s="26"/>
      <c r="H351" s="27"/>
      <c r="J351" s="27"/>
      <c r="L351" s="27"/>
      <c r="N351" s="27"/>
      <c r="P351" s="27"/>
      <c r="Q351" s="29"/>
      <c r="R351" s="26">
        <v>0.0</v>
      </c>
      <c r="T351" s="27">
        <v>0.0</v>
      </c>
      <c r="V351" s="27">
        <v>0.0</v>
      </c>
      <c r="X351" s="27">
        <v>0.0</v>
      </c>
      <c r="Z351" s="27">
        <v>0.0</v>
      </c>
      <c r="AB351" s="27">
        <v>0.0</v>
      </c>
      <c r="AC351" s="29"/>
      <c r="AD351" s="26"/>
      <c r="AF351" s="27"/>
      <c r="AH351" s="27"/>
      <c r="AJ351" s="27"/>
      <c r="AL351" s="27"/>
      <c r="AN351" s="27"/>
      <c r="AO351" s="29"/>
      <c r="AP351" s="45">
        <f t="shared" si="1"/>
        <v>0</v>
      </c>
      <c r="AQ351" s="41">
        <f t="shared" si="2"/>
        <v>0</v>
      </c>
      <c r="AR351" s="41">
        <f t="shared" si="3"/>
        <v>0</v>
      </c>
      <c r="AS351" s="41">
        <f t="shared" si="4"/>
        <v>0</v>
      </c>
      <c r="AT351" s="46" t="str">
        <f t="shared" si="5"/>
        <v/>
      </c>
      <c r="AU351" s="37"/>
      <c r="AV351" s="37"/>
      <c r="AW351" s="37"/>
    </row>
    <row r="352" ht="15.75" customHeight="1">
      <c r="A352" s="49" t="s">
        <v>32</v>
      </c>
      <c r="B352" s="50">
        <f t="shared" si="6"/>
        <v>44912</v>
      </c>
      <c r="C352" s="51">
        <v>13.0</v>
      </c>
      <c r="D352" s="51" t="s">
        <v>33</v>
      </c>
      <c r="E352" s="53" t="s">
        <v>26</v>
      </c>
      <c r="F352" s="54"/>
      <c r="G352" s="55"/>
      <c r="H352" s="56"/>
      <c r="I352" s="55"/>
      <c r="J352" s="56"/>
      <c r="K352" s="55"/>
      <c r="L352" s="56"/>
      <c r="M352" s="55"/>
      <c r="N352" s="56"/>
      <c r="O352" s="55"/>
      <c r="P352" s="56"/>
      <c r="Q352" s="58"/>
      <c r="R352" s="54">
        <v>0.0</v>
      </c>
      <c r="S352" s="55"/>
      <c r="T352" s="56">
        <v>0.0</v>
      </c>
      <c r="U352" s="55"/>
      <c r="V352" s="56">
        <v>0.0</v>
      </c>
      <c r="W352" s="55"/>
      <c r="X352" s="56">
        <v>0.0</v>
      </c>
      <c r="Y352" s="55"/>
      <c r="Z352" s="56">
        <v>0.0</v>
      </c>
      <c r="AA352" s="55"/>
      <c r="AB352" s="56">
        <v>0.0</v>
      </c>
      <c r="AC352" s="58"/>
      <c r="AD352" s="54"/>
      <c r="AE352" s="55"/>
      <c r="AF352" s="56"/>
      <c r="AG352" s="55"/>
      <c r="AH352" s="56"/>
      <c r="AI352" s="55"/>
      <c r="AJ352" s="56"/>
      <c r="AK352" s="55"/>
      <c r="AL352" s="56"/>
      <c r="AM352" s="55"/>
      <c r="AN352" s="56"/>
      <c r="AO352" s="58"/>
      <c r="AP352" s="60">
        <f t="shared" si="1"/>
        <v>0</v>
      </c>
      <c r="AQ352" s="51">
        <f t="shared" si="2"/>
        <v>0</v>
      </c>
      <c r="AR352" s="51">
        <f t="shared" si="3"/>
        <v>0</v>
      </c>
      <c r="AS352" s="51">
        <f t="shared" si="4"/>
        <v>0</v>
      </c>
      <c r="AT352" s="61" t="str">
        <f t="shared" si="5"/>
        <v/>
      </c>
      <c r="AU352" s="37"/>
      <c r="AV352" s="37"/>
      <c r="AW352" s="37"/>
    </row>
    <row r="353" ht="15.75" customHeight="1">
      <c r="A353" s="21" t="s">
        <v>24</v>
      </c>
      <c r="B353" s="62">
        <f t="shared" si="6"/>
        <v>44913</v>
      </c>
      <c r="C353" s="23">
        <v>13.0</v>
      </c>
      <c r="D353" s="23" t="s">
        <v>34</v>
      </c>
      <c r="E353" s="63" t="s">
        <v>43</v>
      </c>
      <c r="F353" s="26"/>
      <c r="H353" s="27"/>
      <c r="J353" s="27"/>
      <c r="L353" s="27"/>
      <c r="N353" s="27"/>
      <c r="P353" s="27"/>
      <c r="Q353" s="29"/>
      <c r="R353" s="26"/>
      <c r="T353" s="27"/>
      <c r="V353" s="27"/>
      <c r="X353" s="27"/>
      <c r="Z353" s="27"/>
      <c r="AB353" s="27"/>
      <c r="AC353" s="29"/>
      <c r="AD353" s="26"/>
      <c r="AF353" s="27"/>
      <c r="AH353" s="27"/>
      <c r="AJ353" s="27"/>
      <c r="AL353" s="27"/>
      <c r="AN353" s="27"/>
      <c r="AO353" s="29"/>
      <c r="AP353" s="35">
        <f t="shared" si="1"/>
        <v>0</v>
      </c>
      <c r="AQ353" s="23">
        <f t="shared" si="2"/>
        <v>0</v>
      </c>
      <c r="AR353" s="23">
        <f t="shared" si="3"/>
        <v>0</v>
      </c>
      <c r="AS353" s="23">
        <f t="shared" si="4"/>
        <v>0</v>
      </c>
      <c r="AT353" s="36" t="str">
        <f t="shared" si="5"/>
        <v/>
      </c>
      <c r="AU353" s="37"/>
      <c r="AV353" s="37"/>
      <c r="AW353" s="37"/>
    </row>
    <row r="354" ht="15.75" customHeight="1">
      <c r="A354" s="39" t="s">
        <v>27</v>
      </c>
      <c r="B354" s="40">
        <f t="shared" si="6"/>
        <v>44914</v>
      </c>
      <c r="C354" s="41">
        <v>13.0</v>
      </c>
      <c r="D354" s="41" t="s">
        <v>34</v>
      </c>
      <c r="E354" s="43" t="s">
        <v>43</v>
      </c>
      <c r="F354" s="26"/>
      <c r="H354" s="27"/>
      <c r="J354" s="27"/>
      <c r="L354" s="27"/>
      <c r="N354" s="27"/>
      <c r="P354" s="27"/>
      <c r="Q354" s="29"/>
      <c r="R354" s="26"/>
      <c r="T354" s="27"/>
      <c r="V354" s="27"/>
      <c r="X354" s="27"/>
      <c r="Z354" s="27"/>
      <c r="AB354" s="27"/>
      <c r="AC354" s="29"/>
      <c r="AD354" s="26"/>
      <c r="AF354" s="27"/>
      <c r="AH354" s="27"/>
      <c r="AJ354" s="27"/>
      <c r="AL354" s="27"/>
      <c r="AN354" s="27"/>
      <c r="AO354" s="29"/>
      <c r="AP354" s="45">
        <f t="shared" si="1"/>
        <v>0</v>
      </c>
      <c r="AQ354" s="41">
        <f t="shared" si="2"/>
        <v>0</v>
      </c>
      <c r="AR354" s="41">
        <f t="shared" si="3"/>
        <v>0</v>
      </c>
      <c r="AS354" s="41">
        <f t="shared" si="4"/>
        <v>0</v>
      </c>
      <c r="AT354" s="46" t="str">
        <f t="shared" si="5"/>
        <v/>
      </c>
      <c r="AU354" s="37"/>
      <c r="AV354" s="37"/>
      <c r="AW354" s="37"/>
    </row>
    <row r="355" ht="15.75" customHeight="1">
      <c r="A355" s="39" t="s">
        <v>28</v>
      </c>
      <c r="B355" s="40">
        <f t="shared" si="6"/>
        <v>44915</v>
      </c>
      <c r="C355" s="41">
        <v>13.0</v>
      </c>
      <c r="D355" s="41" t="s">
        <v>34</v>
      </c>
      <c r="E355" s="43" t="s">
        <v>43</v>
      </c>
      <c r="F355" s="26"/>
      <c r="H355" s="27"/>
      <c r="J355" s="27"/>
      <c r="L355" s="27"/>
      <c r="N355" s="27"/>
      <c r="P355" s="27"/>
      <c r="Q355" s="29"/>
      <c r="R355" s="26"/>
      <c r="T355" s="27"/>
      <c r="V355" s="27"/>
      <c r="X355" s="27"/>
      <c r="Z355" s="27"/>
      <c r="AB355" s="27"/>
      <c r="AC355" s="29"/>
      <c r="AD355" s="26"/>
      <c r="AF355" s="27"/>
      <c r="AH355" s="27"/>
      <c r="AJ355" s="27"/>
      <c r="AL355" s="27"/>
      <c r="AN355" s="27"/>
      <c r="AO355" s="29"/>
      <c r="AP355" s="45">
        <f t="shared" si="1"/>
        <v>0</v>
      </c>
      <c r="AQ355" s="41">
        <f t="shared" si="2"/>
        <v>0</v>
      </c>
      <c r="AR355" s="41">
        <f t="shared" si="3"/>
        <v>0</v>
      </c>
      <c r="AS355" s="41">
        <f t="shared" si="4"/>
        <v>0</v>
      </c>
      <c r="AT355" s="46" t="str">
        <f t="shared" si="5"/>
        <v/>
      </c>
      <c r="AU355" s="37"/>
      <c r="AV355" s="37"/>
      <c r="AW355" s="37"/>
    </row>
    <row r="356" ht="15.75" customHeight="1">
      <c r="A356" s="39" t="s">
        <v>29</v>
      </c>
      <c r="B356" s="40">
        <f t="shared" si="6"/>
        <v>44916</v>
      </c>
      <c r="C356" s="41">
        <v>13.0</v>
      </c>
      <c r="D356" s="41" t="s">
        <v>34</v>
      </c>
      <c r="E356" s="43" t="s">
        <v>43</v>
      </c>
      <c r="F356" s="26"/>
      <c r="H356" s="27"/>
      <c r="J356" s="27"/>
      <c r="L356" s="27"/>
      <c r="N356" s="27"/>
      <c r="P356" s="27"/>
      <c r="Q356" s="29"/>
      <c r="R356" s="26"/>
      <c r="T356" s="27"/>
      <c r="V356" s="27"/>
      <c r="X356" s="27"/>
      <c r="Z356" s="27"/>
      <c r="AB356" s="27"/>
      <c r="AC356" s="29"/>
      <c r="AD356" s="26"/>
      <c r="AF356" s="27"/>
      <c r="AH356" s="27"/>
      <c r="AJ356" s="27"/>
      <c r="AL356" s="27"/>
      <c r="AN356" s="27"/>
      <c r="AO356" s="29"/>
      <c r="AP356" s="45">
        <f t="shared" si="1"/>
        <v>0</v>
      </c>
      <c r="AQ356" s="41">
        <f t="shared" si="2"/>
        <v>0</v>
      </c>
      <c r="AR356" s="41">
        <f t="shared" si="3"/>
        <v>0</v>
      </c>
      <c r="AS356" s="41">
        <f t="shared" si="4"/>
        <v>0</v>
      </c>
      <c r="AT356" s="46" t="str">
        <f t="shared" si="5"/>
        <v/>
      </c>
      <c r="AU356" s="37"/>
      <c r="AV356" s="37"/>
      <c r="AW356" s="37"/>
    </row>
    <row r="357" ht="15.75" customHeight="1">
      <c r="A357" s="39" t="s">
        <v>30</v>
      </c>
      <c r="B357" s="40">
        <f t="shared" si="6"/>
        <v>44917</v>
      </c>
      <c r="C357" s="41">
        <v>13.0</v>
      </c>
      <c r="D357" s="41" t="s">
        <v>34</v>
      </c>
      <c r="E357" s="43" t="s">
        <v>43</v>
      </c>
      <c r="F357" s="26"/>
      <c r="H357" s="27"/>
      <c r="J357" s="27"/>
      <c r="L357" s="27"/>
      <c r="N357" s="27"/>
      <c r="P357" s="27"/>
      <c r="Q357" s="29"/>
      <c r="R357" s="26"/>
      <c r="T357" s="27"/>
      <c r="V357" s="27"/>
      <c r="X357" s="27"/>
      <c r="Z357" s="27"/>
      <c r="AB357" s="27"/>
      <c r="AC357" s="29"/>
      <c r="AD357" s="26"/>
      <c r="AF357" s="27"/>
      <c r="AH357" s="27"/>
      <c r="AJ357" s="27"/>
      <c r="AL357" s="27"/>
      <c r="AN357" s="27"/>
      <c r="AO357" s="29"/>
      <c r="AP357" s="45">
        <f t="shared" si="1"/>
        <v>0</v>
      </c>
      <c r="AQ357" s="41">
        <f t="shared" si="2"/>
        <v>0</v>
      </c>
      <c r="AR357" s="41">
        <f t="shared" si="3"/>
        <v>0</v>
      </c>
      <c r="AS357" s="41">
        <f t="shared" si="4"/>
        <v>0</v>
      </c>
      <c r="AT357" s="46" t="str">
        <f t="shared" si="5"/>
        <v/>
      </c>
      <c r="AU357" s="37"/>
      <c r="AV357" s="37"/>
      <c r="AW357" s="37"/>
    </row>
    <row r="358" ht="15.75" customHeight="1">
      <c r="A358" s="39" t="s">
        <v>31</v>
      </c>
      <c r="B358" s="40">
        <f t="shared" si="6"/>
        <v>44918</v>
      </c>
      <c r="C358" s="41">
        <v>13.0</v>
      </c>
      <c r="D358" s="41" t="s">
        <v>34</v>
      </c>
      <c r="E358" s="43" t="s">
        <v>43</v>
      </c>
      <c r="F358" s="26"/>
      <c r="H358" s="27"/>
      <c r="J358" s="27"/>
      <c r="L358" s="27"/>
      <c r="N358" s="27"/>
      <c r="P358" s="27"/>
      <c r="Q358" s="29"/>
      <c r="R358" s="26"/>
      <c r="T358" s="27"/>
      <c r="V358" s="27"/>
      <c r="X358" s="27"/>
      <c r="Z358" s="27"/>
      <c r="AB358" s="27"/>
      <c r="AC358" s="29"/>
      <c r="AD358" s="26"/>
      <c r="AF358" s="27"/>
      <c r="AH358" s="27"/>
      <c r="AJ358" s="27"/>
      <c r="AL358" s="27"/>
      <c r="AN358" s="27"/>
      <c r="AO358" s="29"/>
      <c r="AP358" s="45">
        <f t="shared" si="1"/>
        <v>0</v>
      </c>
      <c r="AQ358" s="41">
        <f t="shared" si="2"/>
        <v>0</v>
      </c>
      <c r="AR358" s="41">
        <f t="shared" si="3"/>
        <v>0</v>
      </c>
      <c r="AS358" s="41">
        <f t="shared" si="4"/>
        <v>0</v>
      </c>
      <c r="AT358" s="46" t="str">
        <f t="shared" si="5"/>
        <v/>
      </c>
      <c r="AU358" s="37"/>
      <c r="AV358" s="37"/>
      <c r="AW358" s="37"/>
    </row>
    <row r="359" ht="15.75" customHeight="1">
      <c r="A359" s="49" t="s">
        <v>32</v>
      </c>
      <c r="B359" s="50">
        <f t="shared" si="6"/>
        <v>44919</v>
      </c>
      <c r="C359" s="51">
        <v>13.0</v>
      </c>
      <c r="D359" s="51" t="s">
        <v>34</v>
      </c>
      <c r="E359" s="53" t="s">
        <v>43</v>
      </c>
      <c r="F359" s="54"/>
      <c r="G359" s="55"/>
      <c r="H359" s="56"/>
      <c r="I359" s="55"/>
      <c r="J359" s="56"/>
      <c r="K359" s="55"/>
      <c r="L359" s="56"/>
      <c r="M359" s="55"/>
      <c r="N359" s="56"/>
      <c r="O359" s="55"/>
      <c r="P359" s="56"/>
      <c r="Q359" s="58"/>
      <c r="R359" s="54"/>
      <c r="S359" s="55"/>
      <c r="T359" s="56"/>
      <c r="U359" s="55"/>
      <c r="V359" s="56"/>
      <c r="W359" s="55"/>
      <c r="X359" s="56"/>
      <c r="Y359" s="55"/>
      <c r="Z359" s="56"/>
      <c r="AA359" s="55"/>
      <c r="AB359" s="56"/>
      <c r="AC359" s="58"/>
      <c r="AD359" s="54"/>
      <c r="AE359" s="55"/>
      <c r="AF359" s="56"/>
      <c r="AG359" s="55"/>
      <c r="AH359" s="56"/>
      <c r="AI359" s="55"/>
      <c r="AJ359" s="56"/>
      <c r="AK359" s="55"/>
      <c r="AL359" s="56"/>
      <c r="AM359" s="55"/>
      <c r="AN359" s="56"/>
      <c r="AO359" s="58"/>
      <c r="AP359" s="60">
        <f t="shared" si="1"/>
        <v>0</v>
      </c>
      <c r="AQ359" s="51">
        <f t="shared" si="2"/>
        <v>0</v>
      </c>
      <c r="AR359" s="51">
        <f t="shared" si="3"/>
        <v>0</v>
      </c>
      <c r="AS359" s="51">
        <f t="shared" si="4"/>
        <v>0</v>
      </c>
      <c r="AT359" s="61" t="str">
        <f t="shared" si="5"/>
        <v/>
      </c>
      <c r="AU359" s="37"/>
      <c r="AV359" s="37"/>
      <c r="AW359" s="37"/>
    </row>
    <row r="360" ht="15.75" customHeight="1">
      <c r="A360" s="72"/>
      <c r="B360" s="73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>
        <f>SUM(R3:S359)</f>
        <v>19095</v>
      </c>
      <c r="T360" s="74"/>
      <c r="U360" s="74">
        <f>SUM(T3:U359)</f>
        <v>27495</v>
      </c>
      <c r="V360" s="74"/>
      <c r="W360" s="74">
        <f>SUM(V3:W359)</f>
        <v>6300</v>
      </c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</row>
    <row r="361" ht="15.75" customHeight="1">
      <c r="A361" s="72"/>
      <c r="B361" s="73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82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P361" s="75">
        <f>SUM(AP3:AP359)</f>
        <v>1400530</v>
      </c>
      <c r="AQ361" s="76" t="s">
        <v>50</v>
      </c>
      <c r="AR361" s="74"/>
      <c r="AS361" s="77">
        <f>SUM(AS3:AS359)</f>
        <v>84490</v>
      </c>
      <c r="AT361" s="74"/>
      <c r="AU361" s="74"/>
      <c r="AV361" s="74"/>
      <c r="AW361" s="74"/>
    </row>
    <row r="362" ht="15.75" customHeight="1">
      <c r="A362" s="72"/>
      <c r="B362" s="73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P362" s="78"/>
      <c r="AQ362" s="76"/>
      <c r="AR362" s="74"/>
      <c r="AS362" s="74"/>
      <c r="AT362" s="74"/>
      <c r="AU362" s="74"/>
      <c r="AV362" s="74"/>
      <c r="AW362" s="74"/>
    </row>
    <row r="363" ht="15.75" customHeight="1">
      <c r="A363" s="79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8"/>
      <c r="AQ363" s="74"/>
      <c r="AR363" s="74"/>
      <c r="AS363" s="74"/>
      <c r="AT363" s="74"/>
      <c r="AU363" s="74"/>
      <c r="AV363" s="74"/>
      <c r="AW363" s="74"/>
    </row>
    <row r="364" ht="15.75" customHeight="1">
      <c r="A364" s="79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81"/>
      <c r="AP364" s="79"/>
      <c r="AQ364" s="79"/>
      <c r="AR364" s="79"/>
      <c r="AS364" s="74"/>
      <c r="AT364" s="74"/>
      <c r="AU364" s="74"/>
      <c r="AV364" s="74"/>
      <c r="AW364" s="74"/>
    </row>
    <row r="365" ht="15.75" customHeight="1">
      <c r="A365" s="79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81"/>
      <c r="AP365" s="81" t="s">
        <v>46</v>
      </c>
      <c r="AQ365" s="79" t="s">
        <v>47</v>
      </c>
      <c r="AR365" s="79" t="s">
        <v>48</v>
      </c>
      <c r="AS365" s="79" t="s">
        <v>49</v>
      </c>
      <c r="AT365" s="80"/>
      <c r="AU365" s="74"/>
      <c r="AV365" s="74"/>
      <c r="AW365" s="74"/>
    </row>
    <row r="366" ht="15.75" customHeight="1">
      <c r="A366" s="79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1"/>
      <c r="W366" s="79"/>
      <c r="X366" s="79"/>
      <c r="Y366" s="79"/>
      <c r="Z366" s="80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81"/>
      <c r="AP366" s="81">
        <v>1.0</v>
      </c>
      <c r="AQ366" s="83">
        <f t="shared" ref="AQ366:AQ378" si="7">sumif($C$3:$C$359, AP366, $AP$3:$AP$359)</f>
        <v>32980</v>
      </c>
      <c r="AR366" s="81">
        <f>sum(R3:AC30)</f>
        <v>1940</v>
      </c>
      <c r="AS366" s="79">
        <v>0.0</v>
      </c>
      <c r="AT366" s="80"/>
      <c r="AU366" s="74"/>
      <c r="AV366" s="74"/>
      <c r="AW366" s="74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1"/>
      <c r="W367" s="83"/>
      <c r="X367" s="81"/>
      <c r="Y367" s="80"/>
      <c r="Z367" s="80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81"/>
      <c r="AP367" s="81">
        <v>2.0</v>
      </c>
      <c r="AQ367" s="83">
        <f t="shared" si="7"/>
        <v>152150</v>
      </c>
      <c r="AR367" s="81">
        <f>sum(R31:AC58)</f>
        <v>3750</v>
      </c>
      <c r="AS367" s="81">
        <f>sum(F31:Q58)</f>
        <v>2600</v>
      </c>
      <c r="AT367" s="80"/>
      <c r="AU367" s="74"/>
      <c r="AV367" s="74"/>
      <c r="AW367" s="74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1"/>
      <c r="W368" s="83"/>
      <c r="X368" s="81"/>
      <c r="Y368" s="81"/>
      <c r="Z368" s="80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81"/>
      <c r="AP368" s="81">
        <v>3.0</v>
      </c>
      <c r="AQ368" s="83">
        <f t="shared" si="7"/>
        <v>368900</v>
      </c>
      <c r="AR368" s="81">
        <f>sum(R59:AC86)</f>
        <v>10500</v>
      </c>
      <c r="AS368" s="81">
        <f>sum(F59:Q86)</f>
        <v>5600</v>
      </c>
      <c r="AT368" s="80"/>
      <c r="AU368" s="74"/>
      <c r="AV368" s="74"/>
      <c r="AW368" s="74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1"/>
      <c r="W369" s="83"/>
      <c r="X369" s="81"/>
      <c r="Y369" s="81"/>
      <c r="Z369" s="80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81"/>
      <c r="AP369" s="81">
        <v>4.0</v>
      </c>
      <c r="AQ369" s="83">
        <f t="shared" si="7"/>
        <v>98400</v>
      </c>
      <c r="AR369" s="81">
        <f>sum(R87:AC114)</f>
        <v>7200</v>
      </c>
      <c r="AS369" s="79">
        <v>0.0</v>
      </c>
      <c r="AT369" s="80"/>
      <c r="AU369" s="74"/>
      <c r="AV369" s="74"/>
      <c r="AW369" s="74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1"/>
      <c r="W370" s="83"/>
      <c r="X370" s="81"/>
      <c r="Y370" s="80"/>
      <c r="Z370" s="80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81"/>
      <c r="AP370" s="81">
        <v>5.0</v>
      </c>
      <c r="AQ370" s="83">
        <f t="shared" si="7"/>
        <v>98400</v>
      </c>
      <c r="AR370" s="81">
        <f>sum(R115:AC142)</f>
        <v>7200</v>
      </c>
      <c r="AS370" s="79">
        <v>0.0</v>
      </c>
      <c r="AT370" s="80"/>
      <c r="AU370" s="74"/>
      <c r="AV370" s="74"/>
      <c r="AW370" s="74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1"/>
      <c r="W371" s="83"/>
      <c r="X371" s="81"/>
      <c r="Y371" s="80"/>
      <c r="Z371" s="80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81"/>
      <c r="AP371" s="81">
        <v>6.0</v>
      </c>
      <c r="AQ371" s="83">
        <f t="shared" si="7"/>
        <v>104250</v>
      </c>
      <c r="AR371" s="81">
        <f>sum(R143:AC170)</f>
        <v>7650</v>
      </c>
      <c r="AS371" s="79">
        <v>0.0</v>
      </c>
      <c r="AT371" s="80"/>
      <c r="AU371" s="74"/>
      <c r="AV371" s="74"/>
      <c r="AW371" s="74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1"/>
      <c r="W372" s="83"/>
      <c r="X372" s="81"/>
      <c r="Y372" s="80"/>
      <c r="Z372" s="80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81"/>
      <c r="AP372" s="81">
        <v>7.0</v>
      </c>
      <c r="AQ372" s="83">
        <f t="shared" si="7"/>
        <v>121800</v>
      </c>
      <c r="AR372" s="81">
        <f>sum(R171:AC198)</f>
        <v>9000</v>
      </c>
      <c r="AS372" s="79">
        <v>0.0</v>
      </c>
      <c r="AT372" s="80"/>
      <c r="AU372" s="74"/>
      <c r="AV372" s="74"/>
      <c r="AW372" s="74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1"/>
      <c r="W373" s="83"/>
      <c r="X373" s="81"/>
      <c r="Y373" s="80"/>
      <c r="Z373" s="80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81"/>
      <c r="AP373" s="81">
        <v>8.0</v>
      </c>
      <c r="AQ373" s="83">
        <f t="shared" si="7"/>
        <v>121800</v>
      </c>
      <c r="AR373" s="81">
        <f>sum(R199:AC226)</f>
        <v>9000</v>
      </c>
      <c r="AS373" s="79">
        <v>0.0</v>
      </c>
      <c r="AT373" s="80"/>
      <c r="AU373" s="74"/>
      <c r="AV373" s="74"/>
      <c r="AW373" s="74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1"/>
      <c r="W374" s="83"/>
      <c r="X374" s="81"/>
      <c r="Y374" s="80"/>
      <c r="Z374" s="80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81"/>
      <c r="AP374" s="81">
        <v>9.0</v>
      </c>
      <c r="AQ374" s="83">
        <f t="shared" si="7"/>
        <v>121800</v>
      </c>
      <c r="AR374" s="81">
        <f>sum(R227:AC254)</f>
        <v>9000</v>
      </c>
      <c r="AS374" s="79">
        <v>0.0</v>
      </c>
      <c r="AT374" s="80"/>
      <c r="AU374" s="74"/>
      <c r="AV374" s="74"/>
      <c r="AW374" s="74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1"/>
      <c r="W375" s="83"/>
      <c r="X375" s="81"/>
      <c r="Y375" s="80"/>
      <c r="Z375" s="80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81"/>
      <c r="AP375" s="81">
        <v>10.0</v>
      </c>
      <c r="AQ375" s="83">
        <f t="shared" si="7"/>
        <v>106950</v>
      </c>
      <c r="AR375" s="81">
        <f>sum(R255:AC282)</f>
        <v>6750</v>
      </c>
      <c r="AS375" s="79">
        <v>0.0</v>
      </c>
      <c r="AT375" s="80"/>
      <c r="AU375" s="74"/>
      <c r="AV375" s="74"/>
      <c r="AW375" s="74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1"/>
      <c r="W376" s="83"/>
      <c r="X376" s="81"/>
      <c r="Y376" s="80"/>
      <c r="Z376" s="80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81"/>
      <c r="AP376" s="81">
        <v>11.0</v>
      </c>
      <c r="AQ376" s="83">
        <f t="shared" si="7"/>
        <v>40800</v>
      </c>
      <c r="AR376" s="81">
        <f>sum(R283:AC310)</f>
        <v>2400</v>
      </c>
      <c r="AS376" s="79">
        <v>0.0</v>
      </c>
      <c r="AT376" s="80"/>
      <c r="AU376" s="74"/>
      <c r="AV376" s="74"/>
      <c r="AW376" s="74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1"/>
      <c r="W377" s="83"/>
      <c r="X377" s="81"/>
      <c r="Y377" s="80"/>
      <c r="Z377" s="80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81"/>
      <c r="AP377" s="81">
        <v>12.0</v>
      </c>
      <c r="AQ377" s="83">
        <f t="shared" si="7"/>
        <v>15300</v>
      </c>
      <c r="AR377" s="81">
        <f>sum(R311:AC338)</f>
        <v>900</v>
      </c>
      <c r="AS377" s="79">
        <v>0.0</v>
      </c>
      <c r="AT377" s="80"/>
      <c r="AU377" s="74"/>
      <c r="AV377" s="74"/>
      <c r="AW377" s="74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1"/>
      <c r="W378" s="83"/>
      <c r="X378" s="81"/>
      <c r="Y378" s="80"/>
      <c r="Z378" s="80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81">
        <v>13.0</v>
      </c>
      <c r="AQ378" s="83">
        <f t="shared" si="7"/>
        <v>17000</v>
      </c>
      <c r="AR378" s="81">
        <f>sum(R339:AC359)</f>
        <v>1000</v>
      </c>
      <c r="AS378" s="79">
        <v>0.0</v>
      </c>
      <c r="AT378" s="80"/>
      <c r="AU378" s="74"/>
      <c r="AV378" s="74"/>
      <c r="AW378" s="74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1"/>
      <c r="W379" s="79"/>
      <c r="X379" s="81"/>
      <c r="Y379" s="80"/>
      <c r="Z379" s="80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</row>
    <row r="380" ht="15.75" customHeight="1">
      <c r="A380" s="8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>
        <f>sum(AS366:AS378)*I2</f>
        <v>278800</v>
      </c>
      <c r="AT380" s="74"/>
      <c r="AU380" s="74"/>
      <c r="AV380" s="74"/>
      <c r="AW380" s="74"/>
    </row>
    <row r="381" ht="15.75" customHeight="1">
      <c r="A381" s="8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</row>
    <row r="382" ht="15.75" customHeight="1">
      <c r="A382" s="8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</row>
    <row r="383" ht="15.75" customHeight="1">
      <c r="A383" s="8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85">
        <f>AP361-AS380</f>
        <v>1121730</v>
      </c>
      <c r="AR383" s="74"/>
      <c r="AS383" s="74"/>
      <c r="AT383" s="74"/>
      <c r="AU383" s="74"/>
      <c r="AV383" s="74"/>
      <c r="AW383" s="74"/>
    </row>
    <row r="384" ht="15.75" customHeight="1">
      <c r="A384" s="8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</row>
    <row r="385" ht="15.75" customHeight="1">
      <c r="A385" s="8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</row>
    <row r="386" ht="15.75" customHeight="1">
      <c r="A386" s="8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</row>
    <row r="387" ht="15.75" customHeight="1">
      <c r="A387" s="8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</row>
    <row r="388" ht="15.75" customHeight="1">
      <c r="A388" s="8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</row>
    <row r="389" ht="15.75" customHeight="1">
      <c r="A389" s="8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</row>
    <row r="390" ht="15.75" customHeight="1">
      <c r="A390" s="8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</row>
    <row r="391" ht="15.75" customHeight="1">
      <c r="A391" s="8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</row>
    <row r="392" ht="15.75" customHeight="1">
      <c r="A392" s="8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</row>
    <row r="393" ht="15.75" customHeight="1">
      <c r="A393" s="8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</row>
    <row r="394" ht="15.75" customHeight="1">
      <c r="A394" s="8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</row>
    <row r="395" ht="15.75" customHeight="1">
      <c r="A395" s="8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</row>
    <row r="396" ht="15.75" customHeight="1">
      <c r="A396" s="8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</row>
    <row r="397" ht="15.75" customHeight="1">
      <c r="A397" s="8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</row>
    <row r="398" ht="15.75" customHeight="1">
      <c r="A398" s="8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</row>
    <row r="399" ht="15.75" customHeight="1">
      <c r="A399" s="8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</row>
    <row r="400" ht="15.75" customHeight="1">
      <c r="A400" s="8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</row>
    <row r="401" ht="15.75" customHeight="1">
      <c r="A401" s="8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</row>
    <row r="402" ht="15.75" customHeight="1">
      <c r="A402" s="8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</row>
    <row r="403" ht="15.75" customHeight="1">
      <c r="A403" s="8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</row>
    <row r="404" ht="15.75" customHeight="1">
      <c r="A404" s="8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</row>
    <row r="405" ht="15.75" customHeight="1">
      <c r="A405" s="8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</row>
    <row r="406" ht="15.75" customHeight="1">
      <c r="A406" s="8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</row>
    <row r="407" ht="15.75" customHeight="1">
      <c r="A407" s="8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</row>
    <row r="408" ht="15.75" customHeight="1">
      <c r="A408" s="8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</row>
    <row r="409" ht="15.75" customHeight="1">
      <c r="A409" s="8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</row>
    <row r="410" ht="15.75" customHeight="1">
      <c r="A410" s="8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</row>
    <row r="411" ht="15.75" customHeight="1">
      <c r="A411" s="8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</row>
    <row r="412" ht="15.75" customHeight="1">
      <c r="A412" s="8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</row>
    <row r="413" ht="15.75" customHeight="1">
      <c r="A413" s="8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</row>
    <row r="414" ht="15.75" customHeight="1">
      <c r="A414" s="8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</row>
    <row r="415" ht="15.75" customHeight="1">
      <c r="A415" s="8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</row>
    <row r="416" ht="15.75" customHeight="1">
      <c r="A416" s="8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</row>
    <row r="417" ht="15.75" customHeight="1">
      <c r="A417" s="8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</row>
    <row r="418" ht="15.75" customHeight="1">
      <c r="A418" s="8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</row>
    <row r="419" ht="15.75" customHeight="1">
      <c r="A419" s="8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</row>
    <row r="420" ht="15.75" customHeight="1">
      <c r="A420" s="8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</row>
    <row r="421" ht="15.75" customHeight="1">
      <c r="A421" s="8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</row>
    <row r="422" ht="15.75" customHeight="1">
      <c r="A422" s="8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</row>
    <row r="423" ht="15.75" customHeight="1">
      <c r="A423" s="8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</row>
    <row r="424" ht="15.75" customHeight="1">
      <c r="A424" s="8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</row>
    <row r="425" ht="15.75" customHeight="1">
      <c r="A425" s="8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</row>
    <row r="426" ht="15.75" customHeight="1">
      <c r="A426" s="8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</row>
    <row r="427" ht="15.75" customHeight="1">
      <c r="A427" s="8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</row>
    <row r="428" ht="15.75" customHeight="1">
      <c r="A428" s="8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</row>
    <row r="429" ht="15.75" customHeight="1">
      <c r="A429" s="8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</row>
    <row r="430" ht="15.75" customHeight="1">
      <c r="A430" s="8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</row>
    <row r="431" ht="15.75" customHeight="1">
      <c r="A431" s="8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</row>
    <row r="432" ht="15.75" customHeight="1">
      <c r="A432" s="8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</row>
    <row r="433" ht="15.75" customHeight="1">
      <c r="A433" s="8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</row>
    <row r="434" ht="15.75" customHeight="1">
      <c r="A434" s="8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</row>
    <row r="435" ht="15.75" customHeight="1">
      <c r="A435" s="8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</row>
    <row r="436" ht="15.75" customHeight="1">
      <c r="A436" s="8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</row>
    <row r="437" ht="15.75" customHeight="1">
      <c r="A437" s="8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</row>
    <row r="438" ht="15.75" customHeight="1">
      <c r="A438" s="8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</row>
    <row r="439" ht="15.75" customHeight="1">
      <c r="A439" s="8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</row>
    <row r="440" ht="15.75" customHeight="1">
      <c r="A440" s="8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</row>
    <row r="441" ht="15.75" customHeight="1">
      <c r="A441" s="8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</row>
    <row r="442" ht="15.75" customHeight="1">
      <c r="A442" s="8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</row>
    <row r="443" ht="15.75" customHeight="1">
      <c r="A443" s="8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</row>
    <row r="444" ht="15.75" customHeight="1">
      <c r="A444" s="8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</row>
    <row r="445" ht="15.75" customHeight="1">
      <c r="A445" s="8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</row>
    <row r="446" ht="15.75" customHeight="1">
      <c r="A446" s="8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</row>
    <row r="447" ht="15.75" customHeight="1">
      <c r="A447" s="8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</row>
    <row r="448" ht="15.75" customHeight="1">
      <c r="A448" s="8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</row>
    <row r="449" ht="15.75" customHeight="1">
      <c r="A449" s="8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</row>
    <row r="450" ht="15.75" customHeight="1">
      <c r="A450" s="8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</row>
    <row r="451" ht="15.75" customHeight="1">
      <c r="A451" s="8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</row>
    <row r="452" ht="15.75" customHeight="1">
      <c r="A452" s="8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</row>
    <row r="453" ht="15.75" customHeight="1">
      <c r="A453" s="8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</row>
    <row r="454" ht="15.75" customHeight="1">
      <c r="A454" s="8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</row>
    <row r="455" ht="15.75" customHeight="1">
      <c r="A455" s="8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</row>
    <row r="456" ht="15.75" customHeight="1">
      <c r="A456" s="8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</row>
    <row r="457" ht="15.75" customHeight="1">
      <c r="A457" s="8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</row>
    <row r="458" ht="15.75" customHeight="1">
      <c r="A458" s="8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</row>
    <row r="459" ht="15.75" customHeight="1">
      <c r="A459" s="8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</row>
    <row r="460" ht="15.75" customHeight="1">
      <c r="A460" s="8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</row>
    <row r="461" ht="15.75" customHeight="1">
      <c r="A461" s="8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</row>
    <row r="462" ht="15.75" customHeight="1">
      <c r="A462" s="8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</row>
    <row r="463" ht="15.75" customHeight="1">
      <c r="A463" s="8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</row>
    <row r="464" ht="15.75" customHeight="1">
      <c r="A464" s="8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</row>
    <row r="465" ht="15.75" customHeight="1">
      <c r="A465" s="8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</row>
    <row r="466" ht="15.75" customHeight="1">
      <c r="A466" s="8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</row>
    <row r="467" ht="15.75" customHeight="1">
      <c r="A467" s="8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</row>
    <row r="468" ht="15.75" customHeight="1">
      <c r="A468" s="8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</row>
    <row r="469" ht="15.75" customHeight="1">
      <c r="A469" s="8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</row>
    <row r="470" ht="15.75" customHeight="1">
      <c r="A470" s="8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</row>
    <row r="471" ht="15.75" customHeight="1">
      <c r="A471" s="8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</row>
    <row r="472" ht="15.75" customHeight="1">
      <c r="A472" s="8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</row>
    <row r="473" ht="15.75" customHeight="1">
      <c r="A473" s="8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</row>
    <row r="474" ht="15.75" customHeight="1">
      <c r="A474" s="8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</row>
    <row r="475" ht="15.75" customHeight="1">
      <c r="A475" s="8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</row>
    <row r="476" ht="15.75" customHeight="1">
      <c r="A476" s="8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</row>
    <row r="477" ht="15.75" customHeight="1">
      <c r="A477" s="8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</row>
    <row r="478" ht="15.75" customHeight="1">
      <c r="A478" s="8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</row>
    <row r="479" ht="15.75" customHeight="1">
      <c r="A479" s="8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</row>
    <row r="480" ht="15.75" customHeight="1">
      <c r="A480" s="8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</row>
    <row r="481" ht="15.75" customHeight="1">
      <c r="A481" s="8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</row>
    <row r="482" ht="15.75" customHeight="1">
      <c r="A482" s="8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</row>
    <row r="483" ht="15.75" customHeight="1">
      <c r="A483" s="8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</row>
    <row r="484" ht="15.75" customHeight="1">
      <c r="A484" s="8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</row>
    <row r="485" ht="15.75" customHeight="1">
      <c r="A485" s="8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</row>
    <row r="486" ht="15.75" customHeight="1">
      <c r="A486" s="8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</row>
    <row r="487" ht="15.75" customHeight="1">
      <c r="A487" s="8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</row>
    <row r="488" ht="15.75" customHeight="1">
      <c r="A488" s="8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</row>
    <row r="489" ht="15.75" customHeight="1">
      <c r="A489" s="8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</row>
    <row r="490" ht="15.75" customHeight="1">
      <c r="A490" s="8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</row>
    <row r="491" ht="15.75" customHeight="1">
      <c r="A491" s="8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</row>
    <row r="492" ht="15.75" customHeight="1">
      <c r="A492" s="8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</row>
    <row r="493" ht="15.75" customHeight="1">
      <c r="A493" s="8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</row>
    <row r="494" ht="15.75" customHeight="1">
      <c r="A494" s="8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</row>
    <row r="495" ht="15.75" customHeight="1">
      <c r="A495" s="8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</row>
    <row r="496" ht="15.75" customHeight="1">
      <c r="A496" s="8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</row>
    <row r="497" ht="15.75" customHeight="1">
      <c r="A497" s="8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</row>
    <row r="498" ht="15.75" customHeight="1">
      <c r="A498" s="8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</row>
    <row r="499" ht="15.75" customHeight="1">
      <c r="A499" s="8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</row>
    <row r="500" ht="15.75" customHeight="1">
      <c r="A500" s="8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</row>
    <row r="501" ht="15.75" customHeight="1">
      <c r="A501" s="8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</row>
    <row r="502" ht="15.75" customHeight="1">
      <c r="A502" s="8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</row>
    <row r="503" ht="15.75" customHeight="1">
      <c r="A503" s="8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</row>
    <row r="504" ht="15.75" customHeight="1">
      <c r="A504" s="8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</row>
    <row r="505" ht="15.75" customHeight="1">
      <c r="A505" s="8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</row>
    <row r="506" ht="15.75" customHeight="1">
      <c r="A506" s="8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</row>
    <row r="507" ht="15.75" customHeight="1">
      <c r="A507" s="8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</row>
    <row r="508" ht="15.75" customHeight="1">
      <c r="A508" s="8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</row>
    <row r="509" ht="15.75" customHeight="1">
      <c r="A509" s="8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</row>
    <row r="510" ht="15.75" customHeight="1">
      <c r="A510" s="8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</row>
    <row r="511" ht="15.75" customHeight="1">
      <c r="A511" s="8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</row>
    <row r="512" ht="15.75" customHeight="1">
      <c r="A512" s="8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</row>
    <row r="513" ht="15.75" customHeight="1">
      <c r="A513" s="8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</row>
    <row r="514" ht="15.75" customHeight="1">
      <c r="A514" s="8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</row>
    <row r="515" ht="15.75" customHeight="1">
      <c r="A515" s="8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</row>
    <row r="516" ht="15.75" customHeight="1">
      <c r="A516" s="8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</row>
    <row r="517" ht="15.75" customHeight="1">
      <c r="A517" s="8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</row>
    <row r="518" ht="15.75" customHeight="1">
      <c r="A518" s="8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</row>
    <row r="519" ht="15.75" customHeight="1">
      <c r="A519" s="8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</row>
    <row r="520" ht="15.75" customHeight="1">
      <c r="A520" s="8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</row>
    <row r="521" ht="15.75" customHeight="1">
      <c r="A521" s="8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</row>
    <row r="522" ht="15.75" customHeight="1">
      <c r="A522" s="8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</row>
    <row r="523" ht="15.75" customHeight="1">
      <c r="A523" s="8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</row>
    <row r="524" ht="15.75" customHeight="1">
      <c r="A524" s="8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</row>
    <row r="525" ht="15.75" customHeight="1">
      <c r="A525" s="8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</row>
    <row r="526" ht="15.75" customHeight="1">
      <c r="A526" s="8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</row>
    <row r="527" ht="15.75" customHeight="1">
      <c r="A527" s="8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</row>
    <row r="528" ht="15.75" customHeight="1">
      <c r="A528" s="8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</row>
    <row r="529" ht="15.75" customHeight="1">
      <c r="A529" s="8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</row>
    <row r="530" ht="15.75" customHeight="1">
      <c r="A530" s="8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</row>
    <row r="531" ht="15.75" customHeight="1">
      <c r="A531" s="8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</row>
    <row r="532" ht="15.75" customHeight="1">
      <c r="A532" s="8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</row>
    <row r="533" ht="15.75" customHeight="1">
      <c r="A533" s="8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</row>
    <row r="534" ht="15.75" customHeight="1">
      <c r="A534" s="8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</row>
    <row r="535" ht="15.75" customHeight="1">
      <c r="A535" s="8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</row>
    <row r="536" ht="15.75" customHeight="1">
      <c r="A536" s="8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</row>
    <row r="537" ht="15.75" customHeight="1">
      <c r="A537" s="8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</row>
    <row r="538" ht="15.75" customHeight="1">
      <c r="A538" s="8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</row>
    <row r="539" ht="15.75" customHeight="1">
      <c r="A539" s="8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</row>
    <row r="540" ht="15.75" customHeight="1">
      <c r="A540" s="8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</row>
    <row r="541" ht="15.75" customHeight="1">
      <c r="A541" s="8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</row>
    <row r="542" ht="15.75" customHeight="1">
      <c r="A542" s="8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</row>
    <row r="543" ht="15.75" customHeight="1">
      <c r="A543" s="8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</row>
    <row r="544" ht="15.75" customHeight="1">
      <c r="A544" s="8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</row>
    <row r="545" ht="15.75" customHeight="1">
      <c r="A545" s="8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</row>
    <row r="546" ht="15.75" customHeight="1">
      <c r="A546" s="8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</row>
    <row r="547" ht="15.75" customHeight="1">
      <c r="A547" s="8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</row>
    <row r="548" ht="15.75" customHeight="1">
      <c r="A548" s="8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</row>
    <row r="549" ht="15.75" customHeight="1">
      <c r="A549" s="8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</row>
    <row r="550" ht="15.75" customHeight="1">
      <c r="A550" s="8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</row>
    <row r="551" ht="15.75" customHeight="1">
      <c r="A551" s="8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</row>
    <row r="552" ht="15.75" customHeight="1">
      <c r="A552" s="8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</row>
    <row r="553" ht="15.75" customHeight="1">
      <c r="A553" s="8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</row>
    <row r="554" ht="15.75" customHeight="1">
      <c r="A554" s="8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</row>
    <row r="555" ht="15.75" customHeight="1">
      <c r="A555" s="8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</row>
    <row r="556" ht="15.75" customHeight="1">
      <c r="A556" s="8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</row>
    <row r="557" ht="15.75" customHeight="1">
      <c r="A557" s="8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</row>
    <row r="558" ht="15.75" customHeight="1">
      <c r="A558" s="8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</row>
    <row r="559" ht="15.75" customHeight="1">
      <c r="A559" s="8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</row>
    <row r="560" ht="15.75" customHeight="1">
      <c r="A560" s="8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</row>
    <row r="561" ht="15.75" customHeight="1">
      <c r="A561" s="8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</row>
    <row r="562" ht="15.75" customHeight="1">
      <c r="A562" s="8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</row>
    <row r="563" ht="15.75" customHeight="1">
      <c r="A563" s="8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</row>
    <row r="564" ht="15.75" customHeight="1">
      <c r="A564" s="8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</row>
    <row r="565" ht="15.75" customHeight="1">
      <c r="A565" s="8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</row>
    <row r="566" ht="15.75" customHeight="1">
      <c r="A566" s="8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</row>
    <row r="567" ht="15.75" customHeight="1">
      <c r="A567" s="8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</row>
    <row r="568" ht="15.75" customHeight="1">
      <c r="A568" s="8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</row>
    <row r="569" ht="15.75" customHeight="1">
      <c r="A569" s="8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</row>
    <row r="570" ht="15.75" customHeight="1">
      <c r="A570" s="8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</row>
    <row r="571" ht="15.75" customHeight="1">
      <c r="A571" s="8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</row>
    <row r="572" ht="15.75" customHeight="1">
      <c r="A572" s="8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</row>
    <row r="573" ht="15.75" customHeight="1">
      <c r="A573" s="8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</row>
    <row r="574" ht="15.75" customHeight="1">
      <c r="A574" s="8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</row>
    <row r="575" ht="15.75" customHeight="1">
      <c r="A575" s="8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</row>
    <row r="576" ht="15.75" customHeight="1">
      <c r="A576" s="8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</row>
    <row r="577" ht="15.75" customHeight="1">
      <c r="A577" s="8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</row>
    <row r="578" ht="15.75" customHeight="1">
      <c r="A578" s="8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</row>
    <row r="579" ht="15.75" customHeight="1">
      <c r="A579" s="8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</row>
    <row r="580" ht="15.75" customHeight="1">
      <c r="A580" s="8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</row>
    <row r="581" ht="15.75" customHeight="1">
      <c r="A581" s="8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</row>
    <row r="582" ht="15.75" customHeight="1">
      <c r="A582" s="8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</row>
    <row r="583" ht="15.75" customHeight="1">
      <c r="A583" s="8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</row>
    <row r="584" ht="15.75" customHeight="1">
      <c r="A584" s="8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</row>
    <row r="585" ht="15.75" customHeight="1">
      <c r="A585" s="8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</row>
    <row r="586" ht="15.75" customHeight="1">
      <c r="A586" s="8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</row>
    <row r="587" ht="15.75" customHeight="1">
      <c r="A587" s="8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</row>
    <row r="588" ht="15.75" customHeight="1">
      <c r="A588" s="8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</row>
    <row r="589" ht="15.75" customHeight="1">
      <c r="A589" s="8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</row>
    <row r="590" ht="15.75" customHeight="1">
      <c r="A590" s="8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</row>
    <row r="591" ht="15.75" customHeight="1">
      <c r="A591" s="8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</row>
    <row r="592" ht="15.75" customHeight="1">
      <c r="A592" s="8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</row>
    <row r="593" ht="15.75" customHeight="1">
      <c r="A593" s="8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</row>
    <row r="594" ht="15.75" customHeight="1">
      <c r="A594" s="8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</row>
    <row r="595" ht="15.75" customHeight="1">
      <c r="A595" s="8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</row>
    <row r="596" ht="15.75" customHeight="1">
      <c r="A596" s="8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</row>
    <row r="597" ht="15.75" customHeight="1">
      <c r="A597" s="8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</row>
    <row r="598" ht="15.75" customHeight="1">
      <c r="A598" s="8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</row>
    <row r="599" ht="15.75" customHeight="1">
      <c r="A599" s="8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</row>
    <row r="600" ht="15.75" customHeight="1">
      <c r="A600" s="8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</row>
    <row r="601" ht="15.75" customHeight="1">
      <c r="A601" s="8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</row>
    <row r="602" ht="15.75" customHeight="1">
      <c r="A602" s="8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</row>
    <row r="603" ht="15.75" customHeight="1">
      <c r="A603" s="8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</row>
    <row r="604" ht="15.75" customHeight="1">
      <c r="A604" s="8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</row>
    <row r="605" ht="15.75" customHeight="1">
      <c r="A605" s="8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</row>
    <row r="606" ht="15.75" customHeight="1">
      <c r="A606" s="8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</row>
    <row r="607" ht="15.75" customHeight="1">
      <c r="A607" s="8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</row>
    <row r="608" ht="15.75" customHeight="1">
      <c r="A608" s="8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</row>
    <row r="609" ht="15.75" customHeight="1">
      <c r="A609" s="8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</row>
    <row r="610" ht="15.75" customHeight="1">
      <c r="A610" s="8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</row>
    <row r="611" ht="15.75" customHeight="1">
      <c r="A611" s="8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</row>
    <row r="612" ht="15.75" customHeight="1">
      <c r="A612" s="8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</row>
    <row r="613" ht="15.75" customHeight="1">
      <c r="A613" s="8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</row>
    <row r="614" ht="15.75" customHeight="1">
      <c r="A614" s="8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</row>
    <row r="615" ht="15.75" customHeight="1">
      <c r="A615" s="8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</row>
    <row r="616" ht="15.75" customHeight="1">
      <c r="A616" s="8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</row>
    <row r="617" ht="15.75" customHeight="1">
      <c r="A617" s="8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</row>
    <row r="618" ht="15.75" customHeight="1">
      <c r="A618" s="8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</row>
    <row r="619" ht="15.75" customHeight="1">
      <c r="A619" s="8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</row>
    <row r="620" ht="15.75" customHeight="1">
      <c r="A620" s="8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</row>
    <row r="621" ht="15.75" customHeight="1">
      <c r="A621" s="8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</row>
    <row r="622" ht="15.75" customHeight="1">
      <c r="A622" s="8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</row>
    <row r="623" ht="15.75" customHeight="1">
      <c r="A623" s="8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</row>
    <row r="624" ht="15.75" customHeight="1">
      <c r="A624" s="8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</row>
    <row r="625" ht="15.75" customHeight="1">
      <c r="A625" s="8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</row>
    <row r="626" ht="15.75" customHeight="1">
      <c r="A626" s="8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</row>
    <row r="627" ht="15.75" customHeight="1">
      <c r="A627" s="8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</row>
    <row r="628" ht="15.75" customHeight="1">
      <c r="A628" s="8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</row>
    <row r="629" ht="15.75" customHeight="1">
      <c r="A629" s="8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</row>
    <row r="630" ht="15.75" customHeight="1">
      <c r="A630" s="8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</row>
    <row r="631" ht="15.75" customHeight="1">
      <c r="A631" s="8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</row>
    <row r="632" ht="15.75" customHeight="1">
      <c r="A632" s="8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</row>
    <row r="633" ht="15.75" customHeight="1">
      <c r="A633" s="8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</row>
    <row r="634" ht="15.75" customHeight="1">
      <c r="A634" s="8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</row>
    <row r="635" ht="15.75" customHeight="1">
      <c r="A635" s="8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</row>
    <row r="636" ht="15.75" customHeight="1">
      <c r="A636" s="8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</row>
    <row r="637" ht="15.75" customHeight="1">
      <c r="A637" s="8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</row>
    <row r="638" ht="15.75" customHeight="1">
      <c r="A638" s="8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</row>
    <row r="639" ht="15.75" customHeight="1">
      <c r="A639" s="8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</row>
    <row r="640" ht="15.75" customHeight="1">
      <c r="A640" s="8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</row>
    <row r="641" ht="15.75" customHeight="1">
      <c r="A641" s="8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</row>
    <row r="642" ht="15.75" customHeight="1">
      <c r="A642" s="8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</row>
    <row r="643" ht="15.75" customHeight="1">
      <c r="A643" s="8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</row>
    <row r="644" ht="15.75" customHeight="1">
      <c r="A644" s="8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</row>
    <row r="645" ht="15.75" customHeight="1">
      <c r="A645" s="8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</row>
    <row r="646" ht="15.75" customHeight="1">
      <c r="A646" s="8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</row>
    <row r="647" ht="15.75" customHeight="1">
      <c r="A647" s="8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</row>
    <row r="648" ht="15.75" customHeight="1">
      <c r="A648" s="8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</row>
    <row r="649" ht="15.75" customHeight="1">
      <c r="A649" s="8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</row>
    <row r="650" ht="15.75" customHeight="1">
      <c r="A650" s="8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</row>
    <row r="651" ht="15.75" customHeight="1">
      <c r="A651" s="8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</row>
    <row r="652" ht="15.75" customHeight="1">
      <c r="A652" s="8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</row>
    <row r="653" ht="15.75" customHeight="1">
      <c r="A653" s="8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</row>
    <row r="654" ht="15.75" customHeight="1">
      <c r="A654" s="8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</row>
    <row r="655" ht="15.75" customHeight="1">
      <c r="A655" s="8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</row>
    <row r="656" ht="15.75" customHeight="1">
      <c r="A656" s="8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</row>
    <row r="657" ht="15.75" customHeight="1">
      <c r="A657" s="8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</row>
    <row r="658" ht="15.75" customHeight="1">
      <c r="A658" s="8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</row>
    <row r="659" ht="15.75" customHeight="1">
      <c r="A659" s="8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</row>
    <row r="660" ht="15.75" customHeight="1">
      <c r="A660" s="8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</row>
    <row r="661" ht="15.75" customHeight="1">
      <c r="A661" s="8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</row>
    <row r="662" ht="15.75" customHeight="1">
      <c r="A662" s="8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</row>
    <row r="663" ht="15.75" customHeight="1">
      <c r="A663" s="8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</row>
    <row r="664" ht="15.75" customHeight="1">
      <c r="A664" s="8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</row>
    <row r="665" ht="15.75" customHeight="1">
      <c r="A665" s="8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</row>
    <row r="666" ht="15.75" customHeight="1">
      <c r="A666" s="8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</row>
    <row r="667" ht="15.75" customHeight="1">
      <c r="A667" s="8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</row>
    <row r="668" ht="15.75" customHeight="1">
      <c r="A668" s="8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</row>
    <row r="669" ht="15.75" customHeight="1">
      <c r="A669" s="8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</row>
    <row r="670" ht="15.75" customHeight="1">
      <c r="A670" s="8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</row>
    <row r="671" ht="15.75" customHeight="1">
      <c r="A671" s="8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</row>
    <row r="672" ht="15.75" customHeight="1">
      <c r="A672" s="8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</row>
    <row r="673" ht="15.75" customHeight="1">
      <c r="A673" s="8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</row>
    <row r="674" ht="15.75" customHeight="1">
      <c r="A674" s="8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</row>
    <row r="675" ht="15.75" customHeight="1">
      <c r="A675" s="8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</row>
    <row r="676" ht="15.75" customHeight="1">
      <c r="A676" s="8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</row>
    <row r="677" ht="15.75" customHeight="1">
      <c r="A677" s="8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</row>
    <row r="678" ht="15.75" customHeight="1">
      <c r="A678" s="8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</row>
    <row r="679" ht="15.75" customHeight="1">
      <c r="A679" s="8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</row>
    <row r="680" ht="15.75" customHeight="1">
      <c r="A680" s="8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</row>
    <row r="681" ht="15.75" customHeight="1">
      <c r="A681" s="8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</row>
    <row r="682" ht="15.75" customHeight="1">
      <c r="A682" s="8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</row>
    <row r="683" ht="15.75" customHeight="1">
      <c r="A683" s="8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</row>
    <row r="684" ht="15.75" customHeight="1">
      <c r="A684" s="8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</row>
    <row r="685" ht="15.75" customHeight="1">
      <c r="A685" s="8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</row>
    <row r="686" ht="15.75" customHeight="1">
      <c r="A686" s="8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</row>
    <row r="687" ht="15.75" customHeight="1">
      <c r="A687" s="8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</row>
    <row r="688" ht="15.75" customHeight="1">
      <c r="A688" s="8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</row>
    <row r="689" ht="15.75" customHeight="1">
      <c r="A689" s="8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</row>
    <row r="690" ht="15.75" customHeight="1">
      <c r="A690" s="8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</row>
    <row r="691" ht="15.75" customHeight="1">
      <c r="A691" s="8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</row>
    <row r="692" ht="15.75" customHeight="1">
      <c r="A692" s="8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</row>
    <row r="693" ht="15.75" customHeight="1">
      <c r="A693" s="8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</row>
    <row r="694" ht="15.75" customHeight="1">
      <c r="A694" s="8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</row>
    <row r="695" ht="15.75" customHeight="1">
      <c r="A695" s="8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</row>
    <row r="696" ht="15.75" customHeight="1">
      <c r="A696" s="8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</row>
    <row r="697" ht="15.75" customHeight="1">
      <c r="A697" s="8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</row>
    <row r="698" ht="15.75" customHeight="1">
      <c r="A698" s="8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</row>
    <row r="699" ht="15.75" customHeight="1">
      <c r="A699" s="8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</row>
    <row r="700" ht="15.75" customHeight="1">
      <c r="A700" s="8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</row>
    <row r="701" ht="15.75" customHeight="1">
      <c r="A701" s="8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</row>
    <row r="702" ht="15.75" customHeight="1">
      <c r="A702" s="8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</row>
    <row r="703" ht="15.75" customHeight="1">
      <c r="A703" s="8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</row>
    <row r="704" ht="15.75" customHeight="1">
      <c r="A704" s="8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</row>
    <row r="705" ht="15.75" customHeight="1">
      <c r="A705" s="8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</row>
    <row r="706" ht="15.75" customHeight="1">
      <c r="A706" s="8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</row>
    <row r="707" ht="15.75" customHeight="1">
      <c r="A707" s="8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</row>
    <row r="708" ht="15.75" customHeight="1">
      <c r="A708" s="8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</row>
    <row r="709" ht="15.75" customHeight="1">
      <c r="A709" s="8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</row>
    <row r="710" ht="15.75" customHeight="1">
      <c r="A710" s="8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</row>
    <row r="711" ht="15.75" customHeight="1">
      <c r="A711" s="8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</row>
    <row r="712" ht="15.75" customHeight="1">
      <c r="A712" s="8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</row>
    <row r="713" ht="15.75" customHeight="1">
      <c r="A713" s="8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</row>
    <row r="714" ht="15.75" customHeight="1">
      <c r="A714" s="8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</row>
    <row r="715" ht="15.75" customHeight="1">
      <c r="A715" s="8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</row>
    <row r="716" ht="15.75" customHeight="1">
      <c r="A716" s="8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</row>
    <row r="717" ht="15.75" customHeight="1">
      <c r="A717" s="8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</row>
    <row r="718" ht="15.75" customHeight="1">
      <c r="A718" s="8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</row>
    <row r="719" ht="15.75" customHeight="1">
      <c r="A719" s="8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</row>
    <row r="720" ht="15.75" customHeight="1">
      <c r="A720" s="8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</row>
    <row r="721" ht="15.75" customHeight="1">
      <c r="A721" s="8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</row>
    <row r="722" ht="15.75" customHeight="1">
      <c r="A722" s="8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</row>
    <row r="723" ht="15.75" customHeight="1">
      <c r="A723" s="8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</row>
    <row r="724" ht="15.75" customHeight="1">
      <c r="A724" s="8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</row>
    <row r="725" ht="15.75" customHeight="1">
      <c r="A725" s="8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</row>
    <row r="726" ht="15.75" customHeight="1">
      <c r="A726" s="8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</row>
    <row r="727" ht="15.75" customHeight="1">
      <c r="A727" s="8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</row>
    <row r="728" ht="15.75" customHeight="1">
      <c r="A728" s="8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</row>
    <row r="729" ht="15.75" customHeight="1">
      <c r="A729" s="8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</row>
    <row r="730" ht="15.75" customHeight="1">
      <c r="A730" s="8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</row>
    <row r="731" ht="15.75" customHeight="1">
      <c r="A731" s="8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</row>
    <row r="732" ht="15.75" customHeight="1">
      <c r="A732" s="8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</row>
    <row r="733" ht="15.75" customHeight="1">
      <c r="A733" s="8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</row>
    <row r="734" ht="15.75" customHeight="1">
      <c r="A734" s="8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</row>
    <row r="735" ht="15.75" customHeight="1">
      <c r="A735" s="8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</row>
    <row r="736" ht="15.75" customHeight="1">
      <c r="A736" s="8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</row>
    <row r="737" ht="15.75" customHeight="1">
      <c r="A737" s="8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</row>
    <row r="738" ht="15.75" customHeight="1">
      <c r="A738" s="8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</row>
    <row r="739" ht="15.75" customHeight="1">
      <c r="A739" s="8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</row>
    <row r="740" ht="15.75" customHeight="1">
      <c r="A740" s="8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</row>
    <row r="741" ht="15.75" customHeight="1">
      <c r="A741" s="8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</row>
    <row r="742" ht="15.75" customHeight="1">
      <c r="A742" s="8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</row>
    <row r="743" ht="15.75" customHeight="1">
      <c r="A743" s="8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</row>
    <row r="744" ht="15.75" customHeight="1">
      <c r="A744" s="8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</row>
    <row r="745" ht="15.75" customHeight="1">
      <c r="A745" s="8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</row>
    <row r="746" ht="15.75" customHeight="1">
      <c r="A746" s="8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</row>
    <row r="747" ht="15.75" customHeight="1">
      <c r="A747" s="8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</row>
    <row r="748" ht="15.75" customHeight="1">
      <c r="A748" s="8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</row>
    <row r="749" ht="15.75" customHeight="1">
      <c r="A749" s="8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</row>
    <row r="750" ht="15.75" customHeight="1">
      <c r="A750" s="8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</row>
    <row r="751" ht="15.75" customHeight="1">
      <c r="A751" s="8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</row>
    <row r="752" ht="15.75" customHeight="1">
      <c r="A752" s="8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</row>
    <row r="753" ht="15.75" customHeight="1">
      <c r="A753" s="8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</row>
    <row r="754" ht="15.75" customHeight="1">
      <c r="A754" s="8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</row>
    <row r="755" ht="15.75" customHeight="1">
      <c r="A755" s="8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</row>
    <row r="756" ht="15.75" customHeight="1">
      <c r="A756" s="8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</row>
    <row r="757" ht="15.75" customHeight="1">
      <c r="A757" s="8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</row>
    <row r="758" ht="15.75" customHeight="1">
      <c r="A758" s="8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</row>
    <row r="759" ht="15.75" customHeight="1">
      <c r="A759" s="8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</row>
    <row r="760" ht="15.75" customHeight="1">
      <c r="A760" s="8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</row>
    <row r="761" ht="15.75" customHeight="1">
      <c r="A761" s="8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</row>
    <row r="762" ht="15.75" customHeight="1">
      <c r="A762" s="8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</row>
    <row r="763" ht="15.75" customHeight="1">
      <c r="A763" s="8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</row>
    <row r="764" ht="15.75" customHeight="1">
      <c r="A764" s="8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</row>
    <row r="765" ht="15.75" customHeight="1">
      <c r="A765" s="8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</row>
    <row r="766" ht="15.75" customHeight="1">
      <c r="A766" s="8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</row>
    <row r="767" ht="15.75" customHeight="1">
      <c r="A767" s="8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</row>
    <row r="768" ht="15.75" customHeight="1">
      <c r="A768" s="8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</row>
    <row r="769" ht="15.75" customHeight="1">
      <c r="A769" s="8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</row>
    <row r="770" ht="15.75" customHeight="1">
      <c r="A770" s="8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</row>
    <row r="771" ht="15.75" customHeight="1">
      <c r="A771" s="8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</row>
    <row r="772" ht="15.75" customHeight="1">
      <c r="A772" s="8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</row>
    <row r="773" ht="15.75" customHeight="1">
      <c r="A773" s="8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</row>
    <row r="774" ht="15.75" customHeight="1">
      <c r="A774" s="8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</row>
    <row r="775" ht="15.75" customHeight="1">
      <c r="A775" s="8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</row>
    <row r="776" ht="15.75" customHeight="1">
      <c r="A776" s="8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</row>
    <row r="777" ht="15.75" customHeight="1">
      <c r="A777" s="8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</row>
    <row r="778" ht="15.75" customHeight="1">
      <c r="A778" s="8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</row>
    <row r="779" ht="15.75" customHeight="1">
      <c r="A779" s="8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</row>
    <row r="780" ht="15.75" customHeight="1">
      <c r="A780" s="8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</row>
    <row r="781" ht="15.75" customHeight="1">
      <c r="A781" s="8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</row>
    <row r="782" ht="15.75" customHeight="1">
      <c r="A782" s="8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</row>
    <row r="783" ht="15.75" customHeight="1">
      <c r="A783" s="8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</row>
    <row r="784" ht="15.75" customHeight="1">
      <c r="A784" s="8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</row>
    <row r="785" ht="15.75" customHeight="1">
      <c r="A785" s="8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</row>
    <row r="786" ht="15.75" customHeight="1">
      <c r="A786" s="8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</row>
    <row r="787" ht="15.75" customHeight="1">
      <c r="A787" s="8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</row>
    <row r="788" ht="15.75" customHeight="1">
      <c r="A788" s="8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</row>
    <row r="789" ht="15.75" customHeight="1">
      <c r="A789" s="8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</row>
    <row r="790" ht="15.75" customHeight="1">
      <c r="A790" s="8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</row>
    <row r="791" ht="15.75" customHeight="1">
      <c r="A791" s="8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</row>
    <row r="792" ht="15.75" customHeight="1">
      <c r="A792" s="8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</row>
    <row r="793" ht="15.75" customHeight="1">
      <c r="A793" s="8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</row>
    <row r="794" ht="15.75" customHeight="1">
      <c r="A794" s="8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</row>
    <row r="795" ht="15.75" customHeight="1">
      <c r="A795" s="8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</row>
    <row r="796" ht="15.75" customHeight="1">
      <c r="A796" s="8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</row>
    <row r="797" ht="15.75" customHeight="1">
      <c r="A797" s="8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</row>
    <row r="798" ht="15.75" customHeight="1">
      <c r="A798" s="8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</row>
    <row r="799" ht="15.75" customHeight="1">
      <c r="A799" s="8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</row>
    <row r="800" ht="15.75" customHeight="1">
      <c r="A800" s="8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</row>
    <row r="801" ht="15.75" customHeight="1">
      <c r="A801" s="8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</row>
    <row r="802" ht="15.75" customHeight="1">
      <c r="A802" s="8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</row>
    <row r="803" ht="15.75" customHeight="1">
      <c r="A803" s="8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</row>
    <row r="804" ht="15.75" customHeight="1">
      <c r="A804" s="8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</row>
    <row r="805" ht="15.75" customHeight="1">
      <c r="A805" s="8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</row>
    <row r="806" ht="15.75" customHeight="1">
      <c r="A806" s="8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</row>
    <row r="807" ht="15.75" customHeight="1">
      <c r="A807" s="8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</row>
    <row r="808" ht="15.75" customHeight="1">
      <c r="A808" s="8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</row>
    <row r="809" ht="15.75" customHeight="1">
      <c r="A809" s="8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</row>
    <row r="810" ht="15.75" customHeight="1">
      <c r="A810" s="8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</row>
    <row r="811" ht="15.75" customHeight="1">
      <c r="A811" s="8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</row>
    <row r="812" ht="15.75" customHeight="1">
      <c r="A812" s="8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</row>
    <row r="813" ht="15.75" customHeight="1">
      <c r="A813" s="8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</row>
    <row r="814" ht="15.75" customHeight="1">
      <c r="A814" s="8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</row>
    <row r="815" ht="15.75" customHeight="1">
      <c r="A815" s="8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</row>
    <row r="816" ht="15.75" customHeight="1">
      <c r="A816" s="8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</row>
    <row r="817" ht="15.75" customHeight="1">
      <c r="A817" s="8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</row>
    <row r="818" ht="15.75" customHeight="1">
      <c r="A818" s="8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</row>
    <row r="819" ht="15.75" customHeight="1">
      <c r="A819" s="8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</row>
    <row r="820" ht="15.75" customHeight="1">
      <c r="A820" s="8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</row>
    <row r="821" ht="15.75" customHeight="1">
      <c r="A821" s="8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</row>
    <row r="822" ht="15.75" customHeight="1">
      <c r="A822" s="8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</row>
    <row r="823" ht="15.75" customHeight="1">
      <c r="A823" s="8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</row>
    <row r="824" ht="15.75" customHeight="1">
      <c r="A824" s="8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</row>
    <row r="825" ht="15.75" customHeight="1">
      <c r="A825" s="8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</row>
    <row r="826" ht="15.75" customHeight="1">
      <c r="A826" s="8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</row>
    <row r="827" ht="15.75" customHeight="1">
      <c r="A827" s="8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</row>
    <row r="828" ht="15.75" customHeight="1">
      <c r="A828" s="8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</row>
    <row r="829" ht="15.75" customHeight="1">
      <c r="A829" s="8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</row>
    <row r="830" ht="15.75" customHeight="1">
      <c r="A830" s="8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</row>
    <row r="831" ht="15.75" customHeight="1">
      <c r="A831" s="8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</row>
    <row r="832" ht="15.75" customHeight="1">
      <c r="A832" s="8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</row>
    <row r="833" ht="15.75" customHeight="1">
      <c r="A833" s="8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</row>
    <row r="834" ht="15.75" customHeight="1">
      <c r="A834" s="8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</row>
    <row r="835" ht="15.75" customHeight="1">
      <c r="A835" s="8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</row>
    <row r="836" ht="15.75" customHeight="1">
      <c r="A836" s="8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</row>
    <row r="837" ht="15.75" customHeight="1">
      <c r="A837" s="8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</row>
    <row r="838" ht="15.75" customHeight="1">
      <c r="A838" s="8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</row>
    <row r="839" ht="15.75" customHeight="1">
      <c r="A839" s="8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</row>
    <row r="840" ht="15.75" customHeight="1">
      <c r="A840" s="8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</row>
    <row r="841" ht="15.75" customHeight="1">
      <c r="A841" s="8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</row>
    <row r="842" ht="15.75" customHeight="1">
      <c r="A842" s="8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</row>
    <row r="843" ht="15.75" customHeight="1">
      <c r="A843" s="8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</row>
    <row r="844" ht="15.75" customHeight="1">
      <c r="A844" s="8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</row>
    <row r="845" ht="15.75" customHeight="1">
      <c r="A845" s="8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</row>
    <row r="846" ht="15.75" customHeight="1">
      <c r="A846" s="8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</row>
    <row r="847" ht="15.75" customHeight="1">
      <c r="A847" s="8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</row>
    <row r="848" ht="15.75" customHeight="1">
      <c r="A848" s="8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</row>
    <row r="849" ht="15.75" customHeight="1">
      <c r="A849" s="8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</row>
    <row r="850" ht="15.75" customHeight="1">
      <c r="A850" s="8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</row>
    <row r="851" ht="15.75" customHeight="1">
      <c r="A851" s="8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</row>
    <row r="852" ht="15.75" customHeight="1">
      <c r="A852" s="8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</row>
    <row r="853" ht="15.75" customHeight="1">
      <c r="A853" s="8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</row>
    <row r="854" ht="15.75" customHeight="1">
      <c r="A854" s="8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</row>
    <row r="855" ht="15.75" customHeight="1">
      <c r="A855" s="8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</row>
    <row r="856" ht="15.75" customHeight="1">
      <c r="A856" s="8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</row>
    <row r="857" ht="15.75" customHeight="1">
      <c r="A857" s="8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</row>
    <row r="858" ht="15.75" customHeight="1">
      <c r="A858" s="8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</row>
    <row r="859" ht="15.75" customHeight="1">
      <c r="A859" s="8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</row>
    <row r="860" ht="15.75" customHeight="1">
      <c r="A860" s="8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</row>
    <row r="861" ht="15.75" customHeight="1">
      <c r="A861" s="8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</row>
    <row r="862" ht="15.75" customHeight="1">
      <c r="A862" s="8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</row>
    <row r="863" ht="15.75" customHeight="1">
      <c r="A863" s="8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</row>
    <row r="864" ht="15.75" customHeight="1">
      <c r="A864" s="8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</row>
    <row r="865" ht="15.75" customHeight="1">
      <c r="A865" s="8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</row>
    <row r="866" ht="15.75" customHeight="1">
      <c r="A866" s="8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</row>
    <row r="867" ht="15.75" customHeight="1">
      <c r="A867" s="8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</row>
    <row r="868" ht="15.75" customHeight="1">
      <c r="A868" s="8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</row>
    <row r="869" ht="15.75" customHeight="1">
      <c r="A869" s="8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</row>
    <row r="870" ht="15.75" customHeight="1">
      <c r="A870" s="8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</row>
    <row r="871" ht="15.75" customHeight="1">
      <c r="A871" s="8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</row>
    <row r="872" ht="15.75" customHeight="1">
      <c r="A872" s="8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</row>
    <row r="873" ht="15.75" customHeight="1">
      <c r="A873" s="8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</row>
    <row r="874" ht="15.75" customHeight="1">
      <c r="A874" s="8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</row>
    <row r="875" ht="15.75" customHeight="1">
      <c r="A875" s="8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</row>
    <row r="876" ht="15.75" customHeight="1">
      <c r="A876" s="8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</row>
    <row r="877" ht="15.75" customHeight="1">
      <c r="A877" s="8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</row>
    <row r="878" ht="15.75" customHeight="1">
      <c r="A878" s="8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</row>
    <row r="879" ht="15.75" customHeight="1">
      <c r="A879" s="8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</row>
    <row r="880" ht="15.75" customHeight="1">
      <c r="A880" s="8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</row>
    <row r="881" ht="15.75" customHeight="1">
      <c r="A881" s="8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</row>
    <row r="882" ht="15.75" customHeight="1">
      <c r="A882" s="8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</row>
    <row r="883" ht="15.75" customHeight="1">
      <c r="A883" s="8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</row>
    <row r="884" ht="15.75" customHeight="1">
      <c r="A884" s="8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</row>
    <row r="885" ht="15.75" customHeight="1">
      <c r="A885" s="8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</row>
    <row r="886" ht="15.75" customHeight="1">
      <c r="A886" s="8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</row>
    <row r="887" ht="15.75" customHeight="1">
      <c r="A887" s="8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</row>
    <row r="888" ht="15.75" customHeight="1">
      <c r="A888" s="8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</row>
    <row r="889" ht="15.75" customHeight="1">
      <c r="A889" s="8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</row>
    <row r="890" ht="15.75" customHeight="1">
      <c r="A890" s="8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</row>
    <row r="891" ht="15.75" customHeight="1">
      <c r="A891" s="8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</row>
    <row r="892" ht="15.75" customHeight="1">
      <c r="A892" s="8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</row>
    <row r="893" ht="15.75" customHeight="1">
      <c r="A893" s="8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</row>
    <row r="894" ht="15.75" customHeight="1">
      <c r="A894" s="8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</row>
    <row r="895" ht="15.75" customHeight="1">
      <c r="A895" s="8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</row>
    <row r="896" ht="15.75" customHeight="1">
      <c r="A896" s="8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</row>
    <row r="897" ht="15.75" customHeight="1">
      <c r="A897" s="8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</row>
    <row r="898" ht="15.75" customHeight="1">
      <c r="A898" s="8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</row>
    <row r="899" ht="15.75" customHeight="1">
      <c r="A899" s="8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</row>
    <row r="900" ht="15.75" customHeight="1">
      <c r="A900" s="8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</row>
    <row r="901" ht="15.75" customHeight="1">
      <c r="A901" s="8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</row>
    <row r="902" ht="15.75" customHeight="1">
      <c r="A902" s="8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</row>
    <row r="903" ht="15.75" customHeight="1">
      <c r="A903" s="8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</row>
    <row r="904" ht="15.75" customHeight="1">
      <c r="A904" s="8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</row>
    <row r="905" ht="15.75" customHeight="1">
      <c r="A905" s="8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</row>
    <row r="906" ht="15.75" customHeight="1">
      <c r="A906" s="8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</row>
    <row r="907" ht="15.75" customHeight="1">
      <c r="A907" s="8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</row>
    <row r="908" ht="15.75" customHeight="1">
      <c r="A908" s="8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</row>
    <row r="909" ht="15.75" customHeight="1">
      <c r="A909" s="8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</row>
    <row r="910" ht="15.75" customHeight="1">
      <c r="A910" s="8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</row>
    <row r="911" ht="15.75" customHeight="1">
      <c r="A911" s="8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</row>
    <row r="912" ht="15.75" customHeight="1">
      <c r="A912" s="8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</row>
    <row r="913" ht="15.75" customHeight="1">
      <c r="A913" s="8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</row>
    <row r="914" ht="15.75" customHeight="1">
      <c r="A914" s="8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</row>
    <row r="915" ht="15.75" customHeight="1">
      <c r="A915" s="8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</row>
    <row r="916" ht="15.75" customHeight="1">
      <c r="A916" s="8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</row>
    <row r="917" ht="15.75" customHeight="1">
      <c r="A917" s="8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</row>
    <row r="918" ht="15.75" customHeight="1">
      <c r="A918" s="8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</row>
    <row r="919" ht="15.75" customHeight="1">
      <c r="A919" s="8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</row>
    <row r="920" ht="15.75" customHeight="1">
      <c r="A920" s="8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</row>
    <row r="921" ht="15.75" customHeight="1">
      <c r="A921" s="8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</row>
    <row r="922" ht="15.75" customHeight="1">
      <c r="A922" s="8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</row>
    <row r="923" ht="15.75" customHeight="1">
      <c r="A923" s="8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</row>
    <row r="924" ht="15.75" customHeight="1">
      <c r="A924" s="8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</row>
    <row r="925" ht="15.75" customHeight="1">
      <c r="A925" s="8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</row>
    <row r="926" ht="15.75" customHeight="1">
      <c r="A926" s="8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</row>
    <row r="927" ht="15.75" customHeight="1">
      <c r="A927" s="8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</row>
    <row r="928" ht="15.75" customHeight="1">
      <c r="A928" s="8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</row>
    <row r="929" ht="15.75" customHeight="1">
      <c r="A929" s="8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</row>
    <row r="930" ht="15.75" customHeight="1">
      <c r="A930" s="8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</row>
    <row r="931" ht="15.75" customHeight="1">
      <c r="A931" s="8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</row>
    <row r="932" ht="15.75" customHeight="1">
      <c r="A932" s="8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</row>
    <row r="933" ht="15.75" customHeight="1">
      <c r="A933" s="8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</row>
    <row r="934" ht="15.75" customHeight="1">
      <c r="A934" s="8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</row>
    <row r="935" ht="15.75" customHeight="1">
      <c r="A935" s="8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</row>
    <row r="936" ht="15.75" customHeight="1">
      <c r="A936" s="8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</row>
    <row r="937" ht="15.75" customHeight="1">
      <c r="A937" s="8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</row>
    <row r="938" ht="15.75" customHeight="1">
      <c r="A938" s="8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</row>
    <row r="939" ht="15.75" customHeight="1">
      <c r="A939" s="8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</row>
    <row r="940" ht="15.75" customHeight="1">
      <c r="A940" s="8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</row>
    <row r="941" ht="15.75" customHeight="1">
      <c r="A941" s="8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</row>
    <row r="942" ht="15.75" customHeight="1">
      <c r="A942" s="8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</row>
    <row r="943" ht="15.75" customHeight="1">
      <c r="A943" s="8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</row>
    <row r="944" ht="15.75" customHeight="1">
      <c r="A944" s="8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</row>
    <row r="945" ht="15.75" customHeight="1">
      <c r="A945" s="8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</row>
    <row r="946" ht="15.75" customHeight="1">
      <c r="A946" s="8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</row>
    <row r="947" ht="15.75" customHeight="1">
      <c r="A947" s="8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</row>
    <row r="948" ht="15.75" customHeight="1">
      <c r="A948" s="8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</row>
    <row r="949" ht="15.75" customHeight="1">
      <c r="A949" s="8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</row>
    <row r="950" ht="15.75" customHeight="1">
      <c r="A950" s="8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</row>
    <row r="951" ht="15.75" customHeight="1">
      <c r="A951" s="8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</row>
    <row r="952" ht="15.75" customHeight="1">
      <c r="A952" s="8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</row>
    <row r="953" ht="15.75" customHeight="1">
      <c r="A953" s="8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</row>
    <row r="954" ht="15.75" customHeight="1">
      <c r="A954" s="8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</row>
    <row r="955" ht="15.75" customHeight="1">
      <c r="A955" s="8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</row>
    <row r="956" ht="15.75" customHeight="1">
      <c r="A956" s="8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</row>
    <row r="957" ht="15.75" customHeight="1">
      <c r="A957" s="8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</row>
    <row r="958" ht="15.75" customHeight="1">
      <c r="A958" s="8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</row>
    <row r="959" ht="15.75" customHeight="1">
      <c r="A959" s="8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</row>
    <row r="960" ht="15.75" customHeight="1">
      <c r="A960" s="8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</row>
    <row r="961" ht="15.75" customHeight="1">
      <c r="A961" s="8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</row>
    <row r="962" ht="15.75" customHeight="1">
      <c r="A962" s="8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</row>
    <row r="963" ht="15.75" customHeight="1">
      <c r="A963" s="8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</row>
    <row r="964" ht="15.75" customHeight="1">
      <c r="A964" s="8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</row>
    <row r="965" ht="15.75" customHeight="1">
      <c r="A965" s="8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</row>
    <row r="966" ht="15.75" customHeight="1">
      <c r="A966" s="8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</row>
    <row r="967" ht="15.75" customHeight="1">
      <c r="A967" s="8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</row>
    <row r="968" ht="15.75" customHeight="1">
      <c r="A968" s="8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</row>
    <row r="969" ht="15.75" customHeight="1">
      <c r="A969" s="8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</row>
    <row r="970" ht="15.75" customHeight="1">
      <c r="A970" s="8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</row>
    <row r="971" ht="15.75" customHeight="1">
      <c r="A971" s="8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</row>
    <row r="972" ht="15.75" customHeight="1">
      <c r="A972" s="8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</row>
    <row r="973" ht="15.75" customHeight="1">
      <c r="A973" s="8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</row>
    <row r="974" ht="15.75" customHeight="1">
      <c r="A974" s="8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</row>
    <row r="975" ht="15.75" customHeight="1">
      <c r="A975" s="8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</row>
    <row r="976" ht="15.75" customHeight="1">
      <c r="A976" s="8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</row>
    <row r="977" ht="15.75" customHeight="1">
      <c r="A977" s="8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</row>
    <row r="978" ht="15.75" customHeight="1">
      <c r="A978" s="8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</row>
    <row r="979" ht="15.75" customHeight="1">
      <c r="A979" s="8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</row>
    <row r="980" ht="15.75" customHeight="1">
      <c r="A980" s="8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</row>
    <row r="981" ht="15.75" customHeight="1">
      <c r="A981" s="8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</row>
    <row r="982" ht="15.75" customHeight="1">
      <c r="A982" s="8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</row>
    <row r="983" ht="15.75" customHeight="1">
      <c r="A983" s="8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</row>
    <row r="984" ht="15.75" customHeight="1">
      <c r="A984" s="8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</row>
    <row r="985" ht="15.75" customHeight="1">
      <c r="A985" s="8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</row>
    <row r="986" ht="15.75" customHeight="1">
      <c r="A986" s="8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</row>
    <row r="987" ht="15.75" customHeight="1">
      <c r="A987" s="8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</row>
    <row r="988" ht="15.75" customHeight="1">
      <c r="A988" s="8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</row>
    <row r="989" ht="15.75" customHeight="1">
      <c r="A989" s="8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</row>
    <row r="990" ht="15.75" customHeight="1">
      <c r="A990" s="8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</row>
    <row r="991" ht="15.75" customHeight="1">
      <c r="A991" s="8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</row>
    <row r="992" ht="15.75" customHeight="1">
      <c r="A992" s="8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</row>
    <row r="993" ht="15.75" customHeight="1">
      <c r="A993" s="8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</row>
    <row r="994" ht="15.75" customHeight="1">
      <c r="A994" s="8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</row>
    <row r="995" ht="15.75" customHeight="1">
      <c r="A995" s="8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</row>
    <row r="996" ht="15.75" customHeight="1">
      <c r="A996" s="8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</row>
    <row r="997" ht="15.75" customHeight="1">
      <c r="A997" s="8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</row>
    <row r="998" ht="15.75" customHeight="1">
      <c r="A998" s="8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</row>
    <row r="999" ht="15.75" customHeight="1">
      <c r="A999" s="8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9" width="3.89"/>
  </cols>
  <sheetData>
    <row r="1" ht="15.75" customHeight="1">
      <c r="A1" s="1" t="s">
        <v>3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4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5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4" t="s">
        <v>11</v>
      </c>
      <c r="G2" s="15">
        <v>34.0</v>
      </c>
      <c r="H2" s="14" t="s">
        <v>13</v>
      </c>
      <c r="I2" s="15">
        <v>34.0</v>
      </c>
      <c r="J2" s="14" t="s">
        <v>14</v>
      </c>
      <c r="K2" s="15">
        <v>34.0</v>
      </c>
      <c r="L2" s="17" t="s">
        <v>15</v>
      </c>
      <c r="M2" s="17">
        <v>0.0</v>
      </c>
      <c r="N2" s="17" t="s">
        <v>15</v>
      </c>
      <c r="O2" s="17">
        <v>0.0</v>
      </c>
      <c r="P2" s="17" t="s">
        <v>15</v>
      </c>
      <c r="Q2" s="17">
        <v>0.0</v>
      </c>
      <c r="R2" s="14" t="s">
        <v>11</v>
      </c>
      <c r="S2" s="15">
        <v>17.0</v>
      </c>
      <c r="T2" s="14" t="s">
        <v>13</v>
      </c>
      <c r="U2" s="15">
        <v>17.0</v>
      </c>
      <c r="V2" s="14" t="s">
        <v>14</v>
      </c>
      <c r="W2" s="15">
        <v>17.0</v>
      </c>
      <c r="X2" s="14" t="s">
        <v>16</v>
      </c>
      <c r="Y2" s="15">
        <v>8.0</v>
      </c>
      <c r="Z2" s="14" t="s">
        <v>17</v>
      </c>
      <c r="AA2" s="15">
        <v>13.0</v>
      </c>
      <c r="AB2" s="14" t="s">
        <v>18</v>
      </c>
      <c r="AC2" s="15">
        <v>7.0</v>
      </c>
      <c r="AD2" s="17" t="s">
        <v>15</v>
      </c>
      <c r="AE2" s="17">
        <v>0.0</v>
      </c>
      <c r="AF2" s="17" t="s">
        <v>15</v>
      </c>
      <c r="AG2" s="17">
        <v>0.0</v>
      </c>
      <c r="AH2" s="17" t="s">
        <v>15</v>
      </c>
      <c r="AI2" s="17">
        <v>0.0</v>
      </c>
      <c r="AJ2" s="17" t="s">
        <v>15</v>
      </c>
      <c r="AK2" s="17">
        <v>0.0</v>
      </c>
      <c r="AL2" s="17" t="s">
        <v>15</v>
      </c>
      <c r="AM2" s="17">
        <v>0.0</v>
      </c>
      <c r="AN2" s="17" t="s">
        <v>15</v>
      </c>
      <c r="AO2" s="17">
        <v>0.0</v>
      </c>
      <c r="AP2" s="18" t="s">
        <v>19</v>
      </c>
      <c r="AQ2" s="18" t="s">
        <v>20</v>
      </c>
      <c r="AR2" s="18" t="s">
        <v>21</v>
      </c>
      <c r="AS2" s="18" t="s">
        <v>22</v>
      </c>
      <c r="AT2" s="18" t="s">
        <v>23</v>
      </c>
      <c r="AU2" s="19"/>
      <c r="AV2" s="20"/>
      <c r="AW2" s="20"/>
    </row>
    <row r="3" ht="15.75" customHeight="1">
      <c r="A3" s="21" t="s">
        <v>24</v>
      </c>
      <c r="B3" s="22">
        <v>44563.0</v>
      </c>
      <c r="C3" s="23">
        <v>1.0</v>
      </c>
      <c r="D3" s="24" t="s">
        <v>25</v>
      </c>
      <c r="E3" s="25" t="s">
        <v>26</v>
      </c>
      <c r="F3" s="28">
        <v>0.0</v>
      </c>
      <c r="H3" s="32">
        <v>0.0</v>
      </c>
      <c r="J3" s="32">
        <v>0.0</v>
      </c>
      <c r="L3" s="32">
        <v>0.0</v>
      </c>
      <c r="N3" s="32">
        <v>0.0</v>
      </c>
      <c r="P3" s="32">
        <v>0.0</v>
      </c>
      <c r="Q3" s="29"/>
      <c r="R3" s="28">
        <v>0.0</v>
      </c>
      <c r="T3" s="32">
        <v>0.0</v>
      </c>
      <c r="V3" s="32">
        <v>0.0</v>
      </c>
      <c r="X3" s="32">
        <v>0.0</v>
      </c>
      <c r="Z3" s="32">
        <v>0.0</v>
      </c>
      <c r="AB3" s="32">
        <v>0.0</v>
      </c>
      <c r="AC3" s="29"/>
      <c r="AD3" s="26"/>
      <c r="AF3" s="27"/>
      <c r="AH3" s="27"/>
      <c r="AJ3" s="27"/>
      <c r="AL3" s="27"/>
      <c r="AN3" s="27"/>
      <c r="AO3" s="29"/>
      <c r="AP3" s="35">
        <f t="shared" ref="AP3:AP359" si="1">(F3*G$2)+(H3*I$2)+(J3*K$2)+(L3*M$2)+(N3*O$2)+(P3*Q$2)+(R3*S$2)+(T3*U$2)+(V3*W$2)+(X3*Y$2)+(Z3*AA$2)+(AB3*AC$2)+(AD3*AE$2)+(AF3*AG$2)+(AH3*AI$2)+(AJ3*AK$2)+(AL3*AM$2)+(AN3*AO$2)</f>
        <v>0</v>
      </c>
      <c r="AQ3" s="23">
        <f t="shared" ref="AQ3:AQ359" si="2">sum(F3,H3,J3,L3,N3,P3,R3,T3,V3,X3,Z3)</f>
        <v>0</v>
      </c>
      <c r="AR3" s="23">
        <f t="shared" ref="AR3:AR359" si="3">sum(AB3)</f>
        <v>0</v>
      </c>
      <c r="AS3" s="23">
        <f t="shared" ref="AS3:AS359" si="4">sum(F3:AO3)</f>
        <v>0</v>
      </c>
      <c r="AT3" s="36" t="str">
        <f t="shared" ref="AT3:AT359" si="5">iferror(AP3/AS3,"")</f>
        <v/>
      </c>
      <c r="AU3" s="37"/>
      <c r="AV3" s="37"/>
      <c r="AW3" s="37"/>
    </row>
    <row r="4" ht="15.75" customHeight="1">
      <c r="A4" s="39" t="s">
        <v>27</v>
      </c>
      <c r="B4" s="40">
        <f t="shared" ref="B4:B359" si="6">B3+1</f>
        <v>44564</v>
      </c>
      <c r="C4" s="41">
        <v>1.0</v>
      </c>
      <c r="D4" s="42" t="s">
        <v>25</v>
      </c>
      <c r="E4" s="43" t="s">
        <v>26</v>
      </c>
      <c r="F4" s="28">
        <v>0.0</v>
      </c>
      <c r="H4" s="32">
        <v>0.0</v>
      </c>
      <c r="J4" s="32">
        <v>0.0</v>
      </c>
      <c r="L4" s="32">
        <v>0.0</v>
      </c>
      <c r="N4" s="32">
        <v>0.0</v>
      </c>
      <c r="P4" s="32">
        <v>0.0</v>
      </c>
      <c r="Q4" s="29"/>
      <c r="R4" s="28">
        <v>0.0</v>
      </c>
      <c r="T4" s="32">
        <v>0.0</v>
      </c>
      <c r="V4" s="32">
        <v>0.0</v>
      </c>
      <c r="X4" s="32">
        <v>0.0</v>
      </c>
      <c r="Z4" s="32">
        <v>0.0</v>
      </c>
      <c r="AB4" s="32">
        <v>0.0</v>
      </c>
      <c r="AC4" s="29"/>
      <c r="AD4" s="26"/>
      <c r="AF4" s="27"/>
      <c r="AH4" s="27"/>
      <c r="AJ4" s="27"/>
      <c r="AL4" s="27"/>
      <c r="AN4" s="27"/>
      <c r="AO4" s="29"/>
      <c r="AP4" s="45">
        <f t="shared" si="1"/>
        <v>0</v>
      </c>
      <c r="AQ4" s="41">
        <f t="shared" si="2"/>
        <v>0</v>
      </c>
      <c r="AR4" s="41">
        <f t="shared" si="3"/>
        <v>0</v>
      </c>
      <c r="AS4" s="41">
        <f t="shared" si="4"/>
        <v>0</v>
      </c>
      <c r="AT4" s="46" t="str">
        <f t="shared" si="5"/>
        <v/>
      </c>
      <c r="AU4" s="37"/>
      <c r="AV4" s="37"/>
      <c r="AW4" s="37"/>
    </row>
    <row r="5" ht="15.75" customHeight="1">
      <c r="A5" s="39" t="s">
        <v>28</v>
      </c>
      <c r="B5" s="40">
        <f t="shared" si="6"/>
        <v>44565</v>
      </c>
      <c r="C5" s="41">
        <v>1.0</v>
      </c>
      <c r="D5" s="42" t="s">
        <v>25</v>
      </c>
      <c r="E5" s="43" t="s">
        <v>26</v>
      </c>
      <c r="F5" s="28">
        <v>0.0</v>
      </c>
      <c r="H5" s="32">
        <v>0.0</v>
      </c>
      <c r="J5" s="32">
        <v>0.0</v>
      </c>
      <c r="L5" s="32">
        <v>0.0</v>
      </c>
      <c r="N5" s="32">
        <v>0.0</v>
      </c>
      <c r="P5" s="32">
        <v>0.0</v>
      </c>
      <c r="Q5" s="29"/>
      <c r="R5" s="28">
        <v>0.0</v>
      </c>
      <c r="T5" s="32">
        <v>0.0</v>
      </c>
      <c r="V5" s="32">
        <v>0.0</v>
      </c>
      <c r="X5" s="32">
        <v>0.0</v>
      </c>
      <c r="Z5" s="32">
        <v>0.0</v>
      </c>
      <c r="AB5" s="32">
        <v>0.0</v>
      </c>
      <c r="AC5" s="29"/>
      <c r="AD5" s="26"/>
      <c r="AF5" s="27"/>
      <c r="AH5" s="27"/>
      <c r="AJ5" s="27"/>
      <c r="AL5" s="27"/>
      <c r="AN5" s="27"/>
      <c r="AO5" s="29"/>
      <c r="AP5" s="45">
        <f t="shared" si="1"/>
        <v>0</v>
      </c>
      <c r="AQ5" s="41">
        <f t="shared" si="2"/>
        <v>0</v>
      </c>
      <c r="AR5" s="41">
        <f t="shared" si="3"/>
        <v>0</v>
      </c>
      <c r="AS5" s="41">
        <f t="shared" si="4"/>
        <v>0</v>
      </c>
      <c r="AT5" s="46" t="str">
        <f t="shared" si="5"/>
        <v/>
      </c>
      <c r="AU5" s="37"/>
      <c r="AV5" s="37"/>
      <c r="AW5" s="37"/>
    </row>
    <row r="6" ht="15.75" customHeight="1">
      <c r="A6" s="39" t="s">
        <v>29</v>
      </c>
      <c r="B6" s="40">
        <f t="shared" si="6"/>
        <v>44566</v>
      </c>
      <c r="C6" s="41">
        <v>1.0</v>
      </c>
      <c r="D6" s="42" t="s">
        <v>25</v>
      </c>
      <c r="E6" s="43" t="s">
        <v>26</v>
      </c>
      <c r="F6" s="28">
        <v>0.0</v>
      </c>
      <c r="H6" s="32">
        <v>0.0</v>
      </c>
      <c r="J6" s="32">
        <v>0.0</v>
      </c>
      <c r="L6" s="32">
        <v>0.0</v>
      </c>
      <c r="N6" s="32">
        <v>0.0</v>
      </c>
      <c r="P6" s="32">
        <v>0.0</v>
      </c>
      <c r="Q6" s="29"/>
      <c r="R6" s="28">
        <v>0.0</v>
      </c>
      <c r="T6" s="32">
        <v>0.0</v>
      </c>
      <c r="V6" s="32">
        <v>0.0</v>
      </c>
      <c r="X6" s="32">
        <v>0.0</v>
      </c>
      <c r="Z6" s="32">
        <v>0.0</v>
      </c>
      <c r="AB6" s="32">
        <v>0.0</v>
      </c>
      <c r="AC6" s="29"/>
      <c r="AD6" s="26"/>
      <c r="AF6" s="27"/>
      <c r="AH6" s="27"/>
      <c r="AJ6" s="27"/>
      <c r="AL6" s="27"/>
      <c r="AN6" s="27"/>
      <c r="AO6" s="29"/>
      <c r="AP6" s="45">
        <f t="shared" si="1"/>
        <v>0</v>
      </c>
      <c r="AQ6" s="41">
        <f t="shared" si="2"/>
        <v>0</v>
      </c>
      <c r="AR6" s="41">
        <f t="shared" si="3"/>
        <v>0</v>
      </c>
      <c r="AS6" s="41">
        <f t="shared" si="4"/>
        <v>0</v>
      </c>
      <c r="AT6" s="46" t="str">
        <f t="shared" si="5"/>
        <v/>
      </c>
      <c r="AU6" s="37"/>
      <c r="AV6" s="37"/>
      <c r="AW6" s="37"/>
    </row>
    <row r="7" ht="15.75" customHeight="1">
      <c r="A7" s="39" t="s">
        <v>30</v>
      </c>
      <c r="B7" s="40">
        <f t="shared" si="6"/>
        <v>44567</v>
      </c>
      <c r="C7" s="41">
        <v>1.0</v>
      </c>
      <c r="D7" s="42" t="s">
        <v>25</v>
      </c>
      <c r="E7" s="43" t="s">
        <v>26</v>
      </c>
      <c r="F7" s="28">
        <v>0.0</v>
      </c>
      <c r="H7" s="32">
        <v>0.0</v>
      </c>
      <c r="J7" s="32">
        <v>0.0</v>
      </c>
      <c r="L7" s="32">
        <v>0.0</v>
      </c>
      <c r="N7" s="32">
        <v>0.0</v>
      </c>
      <c r="P7" s="32">
        <v>0.0</v>
      </c>
      <c r="Q7" s="29"/>
      <c r="R7" s="28">
        <v>0.0</v>
      </c>
      <c r="T7" s="32">
        <v>0.0</v>
      </c>
      <c r="V7" s="32">
        <v>0.0</v>
      </c>
      <c r="X7" s="32">
        <v>0.0</v>
      </c>
      <c r="Z7" s="32">
        <v>0.0</v>
      </c>
      <c r="AB7" s="32">
        <v>0.0</v>
      </c>
      <c r="AC7" s="29"/>
      <c r="AD7" s="26"/>
      <c r="AF7" s="27"/>
      <c r="AH7" s="27"/>
      <c r="AJ7" s="27"/>
      <c r="AL7" s="27"/>
      <c r="AN7" s="27"/>
      <c r="AO7" s="29"/>
      <c r="AP7" s="45">
        <f t="shared" si="1"/>
        <v>0</v>
      </c>
      <c r="AQ7" s="41">
        <f t="shared" si="2"/>
        <v>0</v>
      </c>
      <c r="AR7" s="41">
        <f t="shared" si="3"/>
        <v>0</v>
      </c>
      <c r="AS7" s="41">
        <f t="shared" si="4"/>
        <v>0</v>
      </c>
      <c r="AT7" s="46" t="str">
        <f t="shared" si="5"/>
        <v/>
      </c>
      <c r="AU7" s="37"/>
      <c r="AV7" s="37"/>
      <c r="AW7" s="37"/>
    </row>
    <row r="8" ht="15.75" customHeight="1">
      <c r="A8" s="39" t="s">
        <v>31</v>
      </c>
      <c r="B8" s="40">
        <f t="shared" si="6"/>
        <v>44568</v>
      </c>
      <c r="C8" s="41">
        <v>1.0</v>
      </c>
      <c r="D8" s="42" t="s">
        <v>25</v>
      </c>
      <c r="E8" s="43" t="s">
        <v>26</v>
      </c>
      <c r="F8" s="28">
        <v>0.0</v>
      </c>
      <c r="H8" s="32">
        <v>0.0</v>
      </c>
      <c r="J8" s="32">
        <v>0.0</v>
      </c>
      <c r="L8" s="32">
        <v>0.0</v>
      </c>
      <c r="N8" s="32">
        <v>0.0</v>
      </c>
      <c r="P8" s="32">
        <v>0.0</v>
      </c>
      <c r="Q8" s="29"/>
      <c r="R8" s="28">
        <v>0.0</v>
      </c>
      <c r="T8" s="32">
        <v>0.0</v>
      </c>
      <c r="V8" s="32">
        <v>0.0</v>
      </c>
      <c r="X8" s="32">
        <v>0.0</v>
      </c>
      <c r="Z8" s="32">
        <v>0.0</v>
      </c>
      <c r="AB8" s="32">
        <v>0.0</v>
      </c>
      <c r="AC8" s="29"/>
      <c r="AD8" s="26"/>
      <c r="AF8" s="27"/>
      <c r="AH8" s="27"/>
      <c r="AJ8" s="27"/>
      <c r="AL8" s="27"/>
      <c r="AN8" s="27"/>
      <c r="AO8" s="29"/>
      <c r="AP8" s="45">
        <f t="shared" si="1"/>
        <v>0</v>
      </c>
      <c r="AQ8" s="41">
        <f t="shared" si="2"/>
        <v>0</v>
      </c>
      <c r="AR8" s="41">
        <f t="shared" si="3"/>
        <v>0</v>
      </c>
      <c r="AS8" s="41">
        <f t="shared" si="4"/>
        <v>0</v>
      </c>
      <c r="AT8" s="46" t="str">
        <f t="shared" si="5"/>
        <v/>
      </c>
      <c r="AU8" s="37"/>
      <c r="AV8" s="37"/>
      <c r="AW8" s="37"/>
    </row>
    <row r="9" ht="15.75" customHeight="1">
      <c r="A9" s="49" t="s">
        <v>32</v>
      </c>
      <c r="B9" s="50">
        <f t="shared" si="6"/>
        <v>44569</v>
      </c>
      <c r="C9" s="51">
        <v>1.0</v>
      </c>
      <c r="D9" s="52" t="s">
        <v>25</v>
      </c>
      <c r="E9" s="53" t="s">
        <v>26</v>
      </c>
      <c r="F9" s="57">
        <v>0.0</v>
      </c>
      <c r="G9" s="55"/>
      <c r="H9" s="59">
        <v>0.0</v>
      </c>
      <c r="I9" s="55"/>
      <c r="J9" s="59">
        <v>0.0</v>
      </c>
      <c r="K9" s="55"/>
      <c r="L9" s="59">
        <v>0.0</v>
      </c>
      <c r="M9" s="55"/>
      <c r="N9" s="59">
        <v>0.0</v>
      </c>
      <c r="O9" s="55"/>
      <c r="P9" s="59">
        <v>0.0</v>
      </c>
      <c r="Q9" s="58"/>
      <c r="R9" s="57">
        <v>0.0</v>
      </c>
      <c r="S9" s="55"/>
      <c r="T9" s="59">
        <v>0.0</v>
      </c>
      <c r="U9" s="55"/>
      <c r="V9" s="59">
        <v>0.0</v>
      </c>
      <c r="W9" s="55"/>
      <c r="X9" s="59">
        <v>0.0</v>
      </c>
      <c r="Y9" s="55"/>
      <c r="Z9" s="59">
        <v>0.0</v>
      </c>
      <c r="AA9" s="55"/>
      <c r="AB9" s="59">
        <v>0.0</v>
      </c>
      <c r="AC9" s="58"/>
      <c r="AD9" s="54"/>
      <c r="AE9" s="55"/>
      <c r="AF9" s="56"/>
      <c r="AG9" s="55"/>
      <c r="AH9" s="56"/>
      <c r="AI9" s="55"/>
      <c r="AJ9" s="56"/>
      <c r="AK9" s="55"/>
      <c r="AL9" s="56"/>
      <c r="AM9" s="55"/>
      <c r="AN9" s="56"/>
      <c r="AO9" s="58"/>
      <c r="AP9" s="60">
        <f t="shared" si="1"/>
        <v>0</v>
      </c>
      <c r="AQ9" s="51">
        <f t="shared" si="2"/>
        <v>0</v>
      </c>
      <c r="AR9" s="51">
        <f t="shared" si="3"/>
        <v>0</v>
      </c>
      <c r="AS9" s="51">
        <f t="shared" si="4"/>
        <v>0</v>
      </c>
      <c r="AT9" s="61" t="str">
        <f t="shared" si="5"/>
        <v/>
      </c>
      <c r="AU9" s="37"/>
      <c r="AV9" s="37"/>
      <c r="AW9" s="37"/>
    </row>
    <row r="10" ht="15.75" customHeight="1">
      <c r="A10" s="21" t="s">
        <v>24</v>
      </c>
      <c r="B10" s="62">
        <f t="shared" si="6"/>
        <v>44570</v>
      </c>
      <c r="C10" s="23">
        <v>1.0</v>
      </c>
      <c r="D10" s="23" t="s">
        <v>33</v>
      </c>
      <c r="E10" s="63" t="s">
        <v>26</v>
      </c>
      <c r="F10" s="28">
        <v>0.0</v>
      </c>
      <c r="H10" s="32">
        <v>0.0</v>
      </c>
      <c r="J10" s="32">
        <v>0.0</v>
      </c>
      <c r="L10" s="32">
        <v>0.0</v>
      </c>
      <c r="N10" s="32">
        <v>0.0</v>
      </c>
      <c r="P10" s="32">
        <v>0.0</v>
      </c>
      <c r="Q10" s="29"/>
      <c r="R10" s="28">
        <v>51.0</v>
      </c>
      <c r="T10" s="32">
        <v>71.0</v>
      </c>
      <c r="V10" s="32">
        <v>0.0</v>
      </c>
      <c r="X10" s="32">
        <v>0.0</v>
      </c>
      <c r="Z10" s="32">
        <v>0.0</v>
      </c>
      <c r="AB10" s="32">
        <v>0.0</v>
      </c>
      <c r="AC10" s="29"/>
      <c r="AD10" s="26"/>
      <c r="AF10" s="27"/>
      <c r="AH10" s="27"/>
      <c r="AJ10" s="27"/>
      <c r="AL10" s="27"/>
      <c r="AN10" s="27"/>
      <c r="AO10" s="29"/>
      <c r="AP10" s="35">
        <f t="shared" si="1"/>
        <v>2074</v>
      </c>
      <c r="AQ10" s="23">
        <f t="shared" si="2"/>
        <v>122</v>
      </c>
      <c r="AR10" s="23">
        <f t="shared" si="3"/>
        <v>0</v>
      </c>
      <c r="AS10" s="23">
        <f t="shared" si="4"/>
        <v>122</v>
      </c>
      <c r="AT10" s="36">
        <f t="shared" si="5"/>
        <v>17</v>
      </c>
      <c r="AU10" s="37"/>
      <c r="AV10" s="37"/>
      <c r="AW10" s="37"/>
    </row>
    <row r="11" ht="15.75" customHeight="1">
      <c r="A11" s="39" t="s">
        <v>27</v>
      </c>
      <c r="B11" s="40">
        <f t="shared" si="6"/>
        <v>44571</v>
      </c>
      <c r="C11" s="41">
        <v>1.0</v>
      </c>
      <c r="D11" s="41" t="s">
        <v>33</v>
      </c>
      <c r="E11" s="43" t="s">
        <v>26</v>
      </c>
      <c r="F11" s="28">
        <v>0.0</v>
      </c>
      <c r="H11" s="32">
        <v>0.0</v>
      </c>
      <c r="J11" s="32">
        <v>0.0</v>
      </c>
      <c r="L11" s="32">
        <v>0.0</v>
      </c>
      <c r="N11" s="32">
        <v>0.0</v>
      </c>
      <c r="P11" s="32">
        <v>0.0</v>
      </c>
      <c r="Q11" s="29"/>
      <c r="R11" s="28">
        <v>43.0</v>
      </c>
      <c r="T11" s="32">
        <v>69.0</v>
      </c>
      <c r="V11" s="32">
        <v>0.0</v>
      </c>
      <c r="X11" s="32">
        <v>0.0</v>
      </c>
      <c r="Z11" s="32">
        <v>0.0</v>
      </c>
      <c r="AB11" s="32">
        <v>0.0</v>
      </c>
      <c r="AC11" s="29"/>
      <c r="AD11" s="26"/>
      <c r="AF11" s="27"/>
      <c r="AH11" s="27"/>
      <c r="AJ11" s="27"/>
      <c r="AL11" s="27"/>
      <c r="AN11" s="27"/>
      <c r="AO11" s="29"/>
      <c r="AP11" s="45">
        <f t="shared" si="1"/>
        <v>1904</v>
      </c>
      <c r="AQ11" s="41">
        <f t="shared" si="2"/>
        <v>112</v>
      </c>
      <c r="AR11" s="41">
        <f t="shared" si="3"/>
        <v>0</v>
      </c>
      <c r="AS11" s="41">
        <f t="shared" si="4"/>
        <v>112</v>
      </c>
      <c r="AT11" s="46">
        <f t="shared" si="5"/>
        <v>17</v>
      </c>
      <c r="AU11" s="37"/>
      <c r="AV11" s="37"/>
      <c r="AW11" s="37"/>
    </row>
    <row r="12" ht="15.75" customHeight="1">
      <c r="A12" s="39" t="s">
        <v>28</v>
      </c>
      <c r="B12" s="40">
        <f t="shared" si="6"/>
        <v>44572</v>
      </c>
      <c r="C12" s="41">
        <v>1.0</v>
      </c>
      <c r="D12" s="41" t="s">
        <v>33</v>
      </c>
      <c r="E12" s="43" t="s">
        <v>26</v>
      </c>
      <c r="F12" s="28">
        <v>0.0</v>
      </c>
      <c r="H12" s="32">
        <v>0.0</v>
      </c>
      <c r="J12" s="32">
        <v>0.0</v>
      </c>
      <c r="L12" s="32">
        <v>0.0</v>
      </c>
      <c r="N12" s="32">
        <v>0.0</v>
      </c>
      <c r="P12" s="32">
        <v>0.0</v>
      </c>
      <c r="Q12" s="29"/>
      <c r="R12" s="28">
        <v>41.0</v>
      </c>
      <c r="T12" s="32">
        <v>57.0</v>
      </c>
      <c r="V12" s="32">
        <v>0.0</v>
      </c>
      <c r="X12" s="32">
        <v>0.0</v>
      </c>
      <c r="Z12" s="32">
        <v>0.0</v>
      </c>
      <c r="AB12" s="32">
        <v>0.0</v>
      </c>
      <c r="AC12" s="29"/>
      <c r="AD12" s="26"/>
      <c r="AF12" s="27"/>
      <c r="AH12" s="27"/>
      <c r="AJ12" s="27"/>
      <c r="AL12" s="27"/>
      <c r="AN12" s="27"/>
      <c r="AO12" s="29"/>
      <c r="AP12" s="45">
        <f t="shared" si="1"/>
        <v>1666</v>
      </c>
      <c r="AQ12" s="41">
        <f t="shared" si="2"/>
        <v>98</v>
      </c>
      <c r="AR12" s="41">
        <f t="shared" si="3"/>
        <v>0</v>
      </c>
      <c r="AS12" s="41">
        <f t="shared" si="4"/>
        <v>98</v>
      </c>
      <c r="AT12" s="46">
        <f t="shared" si="5"/>
        <v>17</v>
      </c>
      <c r="AU12" s="37"/>
      <c r="AV12" s="37"/>
      <c r="AW12" s="37"/>
    </row>
    <row r="13" ht="15.75" customHeight="1">
      <c r="A13" s="39" t="s">
        <v>29</v>
      </c>
      <c r="B13" s="40">
        <f t="shared" si="6"/>
        <v>44573</v>
      </c>
      <c r="C13" s="41">
        <v>1.0</v>
      </c>
      <c r="D13" s="41" t="s">
        <v>33</v>
      </c>
      <c r="E13" s="43" t="s">
        <v>26</v>
      </c>
      <c r="F13" s="28">
        <v>0.0</v>
      </c>
      <c r="H13" s="32">
        <v>0.0</v>
      </c>
      <c r="J13" s="32">
        <v>0.0</v>
      </c>
      <c r="L13" s="32">
        <v>0.0</v>
      </c>
      <c r="N13" s="32">
        <v>0.0</v>
      </c>
      <c r="P13" s="32">
        <v>0.0</v>
      </c>
      <c r="Q13" s="29"/>
      <c r="R13" s="28">
        <v>40.0</v>
      </c>
      <c r="T13" s="32">
        <v>58.0</v>
      </c>
      <c r="V13" s="32">
        <v>0.0</v>
      </c>
      <c r="X13" s="32">
        <v>0.0</v>
      </c>
      <c r="Z13" s="32">
        <v>0.0</v>
      </c>
      <c r="AB13" s="32">
        <v>0.0</v>
      </c>
      <c r="AC13" s="29"/>
      <c r="AD13" s="26"/>
      <c r="AF13" s="27"/>
      <c r="AH13" s="27"/>
      <c r="AJ13" s="27"/>
      <c r="AL13" s="27"/>
      <c r="AN13" s="27"/>
      <c r="AO13" s="29"/>
      <c r="AP13" s="45">
        <f t="shared" si="1"/>
        <v>1666</v>
      </c>
      <c r="AQ13" s="41">
        <f t="shared" si="2"/>
        <v>98</v>
      </c>
      <c r="AR13" s="41">
        <f t="shared" si="3"/>
        <v>0</v>
      </c>
      <c r="AS13" s="41">
        <f t="shared" si="4"/>
        <v>98</v>
      </c>
      <c r="AT13" s="46">
        <f t="shared" si="5"/>
        <v>17</v>
      </c>
      <c r="AU13" s="37"/>
      <c r="AV13" s="37"/>
      <c r="AW13" s="37"/>
    </row>
    <row r="14" ht="15.75" customHeight="1">
      <c r="A14" s="39" t="s">
        <v>30</v>
      </c>
      <c r="B14" s="40">
        <f t="shared" si="6"/>
        <v>44574</v>
      </c>
      <c r="C14" s="41">
        <v>1.0</v>
      </c>
      <c r="D14" s="41" t="s">
        <v>33</v>
      </c>
      <c r="E14" s="43" t="s">
        <v>26</v>
      </c>
      <c r="F14" s="28">
        <v>0.0</v>
      </c>
      <c r="H14" s="32">
        <v>0.0</v>
      </c>
      <c r="J14" s="32">
        <v>0.0</v>
      </c>
      <c r="L14" s="32">
        <v>0.0</v>
      </c>
      <c r="N14" s="32">
        <v>0.0</v>
      </c>
      <c r="P14" s="32">
        <v>0.0</v>
      </c>
      <c r="Q14" s="29"/>
      <c r="R14" s="28">
        <v>48.0</v>
      </c>
      <c r="T14" s="32">
        <v>60.0</v>
      </c>
      <c r="V14" s="32">
        <v>0.0</v>
      </c>
      <c r="X14" s="32">
        <v>0.0</v>
      </c>
      <c r="Z14" s="32">
        <v>0.0</v>
      </c>
      <c r="AB14" s="32">
        <v>0.0</v>
      </c>
      <c r="AC14" s="29"/>
      <c r="AD14" s="26"/>
      <c r="AF14" s="27"/>
      <c r="AH14" s="27"/>
      <c r="AJ14" s="27"/>
      <c r="AL14" s="27"/>
      <c r="AN14" s="27"/>
      <c r="AO14" s="29"/>
      <c r="AP14" s="45">
        <f t="shared" si="1"/>
        <v>1836</v>
      </c>
      <c r="AQ14" s="41">
        <f t="shared" si="2"/>
        <v>108</v>
      </c>
      <c r="AR14" s="41">
        <f t="shared" si="3"/>
        <v>0</v>
      </c>
      <c r="AS14" s="41">
        <f t="shared" si="4"/>
        <v>108</v>
      </c>
      <c r="AT14" s="46">
        <f t="shared" si="5"/>
        <v>17</v>
      </c>
      <c r="AU14" s="37"/>
      <c r="AV14" s="37"/>
      <c r="AW14" s="37"/>
    </row>
    <row r="15" ht="15.75" customHeight="1">
      <c r="A15" s="39" t="s">
        <v>31</v>
      </c>
      <c r="B15" s="40">
        <f t="shared" si="6"/>
        <v>44575</v>
      </c>
      <c r="C15" s="41">
        <v>1.0</v>
      </c>
      <c r="D15" s="41" t="s">
        <v>33</v>
      </c>
      <c r="E15" s="43" t="s">
        <v>26</v>
      </c>
      <c r="F15" s="28">
        <v>0.0</v>
      </c>
      <c r="H15" s="32">
        <v>0.0</v>
      </c>
      <c r="J15" s="32">
        <v>0.0</v>
      </c>
      <c r="L15" s="32">
        <v>0.0</v>
      </c>
      <c r="N15" s="32">
        <v>0.0</v>
      </c>
      <c r="P15" s="32">
        <v>0.0</v>
      </c>
      <c r="Q15" s="29"/>
      <c r="R15" s="28">
        <v>0.0</v>
      </c>
      <c r="T15" s="32">
        <v>0.0</v>
      </c>
      <c r="V15" s="32">
        <v>0.0</v>
      </c>
      <c r="X15" s="32">
        <v>0.0</v>
      </c>
      <c r="Z15" s="32">
        <v>0.0</v>
      </c>
      <c r="AB15" s="32">
        <v>0.0</v>
      </c>
      <c r="AC15" s="29"/>
      <c r="AD15" s="26"/>
      <c r="AF15" s="27"/>
      <c r="AH15" s="27"/>
      <c r="AJ15" s="27"/>
      <c r="AL15" s="27"/>
      <c r="AN15" s="27"/>
      <c r="AO15" s="29"/>
      <c r="AP15" s="45">
        <f t="shared" si="1"/>
        <v>0</v>
      </c>
      <c r="AQ15" s="41">
        <f t="shared" si="2"/>
        <v>0</v>
      </c>
      <c r="AR15" s="41">
        <f t="shared" si="3"/>
        <v>0</v>
      </c>
      <c r="AS15" s="41">
        <f t="shared" si="4"/>
        <v>0</v>
      </c>
      <c r="AT15" s="46" t="str">
        <f t="shared" si="5"/>
        <v/>
      </c>
      <c r="AU15" s="37"/>
      <c r="AV15" s="37"/>
      <c r="AW15" s="37"/>
    </row>
    <row r="16" ht="15.75" customHeight="1">
      <c r="A16" s="49" t="s">
        <v>32</v>
      </c>
      <c r="B16" s="50">
        <f t="shared" si="6"/>
        <v>44576</v>
      </c>
      <c r="C16" s="51">
        <v>1.0</v>
      </c>
      <c r="D16" s="51" t="s">
        <v>33</v>
      </c>
      <c r="E16" s="53" t="s">
        <v>26</v>
      </c>
      <c r="F16" s="57">
        <v>0.0</v>
      </c>
      <c r="G16" s="55"/>
      <c r="H16" s="59">
        <v>0.0</v>
      </c>
      <c r="I16" s="55"/>
      <c r="J16" s="59">
        <v>0.0</v>
      </c>
      <c r="K16" s="55"/>
      <c r="L16" s="59">
        <v>0.0</v>
      </c>
      <c r="M16" s="55"/>
      <c r="N16" s="59">
        <v>0.0</v>
      </c>
      <c r="O16" s="55"/>
      <c r="P16" s="59">
        <v>0.0</v>
      </c>
      <c r="Q16" s="58"/>
      <c r="R16" s="57">
        <v>0.0</v>
      </c>
      <c r="S16" s="55"/>
      <c r="T16" s="59">
        <v>0.0</v>
      </c>
      <c r="U16" s="55"/>
      <c r="V16" s="59">
        <v>0.0</v>
      </c>
      <c r="W16" s="55"/>
      <c r="X16" s="59">
        <v>0.0</v>
      </c>
      <c r="Y16" s="55"/>
      <c r="Z16" s="59">
        <v>0.0</v>
      </c>
      <c r="AA16" s="55"/>
      <c r="AB16" s="59">
        <v>0.0</v>
      </c>
      <c r="AC16" s="58"/>
      <c r="AD16" s="54"/>
      <c r="AE16" s="55"/>
      <c r="AF16" s="56"/>
      <c r="AG16" s="55"/>
      <c r="AH16" s="56"/>
      <c r="AI16" s="55"/>
      <c r="AJ16" s="56"/>
      <c r="AK16" s="55"/>
      <c r="AL16" s="56"/>
      <c r="AM16" s="55"/>
      <c r="AN16" s="56"/>
      <c r="AO16" s="58"/>
      <c r="AP16" s="60">
        <f t="shared" si="1"/>
        <v>0</v>
      </c>
      <c r="AQ16" s="51">
        <f t="shared" si="2"/>
        <v>0</v>
      </c>
      <c r="AR16" s="51">
        <f t="shared" si="3"/>
        <v>0</v>
      </c>
      <c r="AS16" s="51">
        <f t="shared" si="4"/>
        <v>0</v>
      </c>
      <c r="AT16" s="61" t="str">
        <f t="shared" si="5"/>
        <v/>
      </c>
      <c r="AU16" s="37"/>
      <c r="AV16" s="37"/>
      <c r="AW16" s="37"/>
    </row>
    <row r="17" ht="15.75" customHeight="1">
      <c r="A17" s="21" t="s">
        <v>24</v>
      </c>
      <c r="B17" s="62">
        <f t="shared" si="6"/>
        <v>44577</v>
      </c>
      <c r="C17" s="23">
        <v>1.0</v>
      </c>
      <c r="D17" s="23" t="s">
        <v>34</v>
      </c>
      <c r="E17" s="63" t="s">
        <v>26</v>
      </c>
      <c r="F17" s="28">
        <v>0.0</v>
      </c>
      <c r="H17" s="32">
        <v>0.0</v>
      </c>
      <c r="J17" s="32">
        <v>0.0</v>
      </c>
      <c r="L17" s="32">
        <v>0.0</v>
      </c>
      <c r="N17" s="32">
        <v>0.0</v>
      </c>
      <c r="P17" s="32">
        <v>0.0</v>
      </c>
      <c r="Q17" s="29"/>
      <c r="R17" s="28">
        <v>48.0</v>
      </c>
      <c r="T17" s="32">
        <v>90.0</v>
      </c>
      <c r="V17" s="32">
        <v>0.0</v>
      </c>
      <c r="X17" s="32">
        <v>0.0</v>
      </c>
      <c r="Z17" s="32">
        <v>0.0</v>
      </c>
      <c r="AB17" s="32">
        <v>0.0</v>
      </c>
      <c r="AC17" s="29"/>
      <c r="AD17" s="26"/>
      <c r="AF17" s="27"/>
      <c r="AH17" s="27"/>
      <c r="AJ17" s="27"/>
      <c r="AL17" s="27"/>
      <c r="AN17" s="27"/>
      <c r="AO17" s="29"/>
      <c r="AP17" s="35">
        <f t="shared" si="1"/>
        <v>2346</v>
      </c>
      <c r="AQ17" s="23">
        <f t="shared" si="2"/>
        <v>138</v>
      </c>
      <c r="AR17" s="23">
        <f t="shared" si="3"/>
        <v>0</v>
      </c>
      <c r="AS17" s="23">
        <f t="shared" si="4"/>
        <v>138</v>
      </c>
      <c r="AT17" s="36">
        <f t="shared" si="5"/>
        <v>17</v>
      </c>
      <c r="AU17" s="37"/>
      <c r="AV17" s="37"/>
      <c r="AW17" s="37"/>
    </row>
    <row r="18" ht="15.75" customHeight="1">
      <c r="A18" s="39" t="s">
        <v>27</v>
      </c>
      <c r="B18" s="40">
        <f t="shared" si="6"/>
        <v>44578</v>
      </c>
      <c r="C18" s="41">
        <v>1.0</v>
      </c>
      <c r="D18" s="41" t="s">
        <v>34</v>
      </c>
      <c r="E18" s="43" t="s">
        <v>26</v>
      </c>
      <c r="F18" s="28">
        <v>0.0</v>
      </c>
      <c r="H18" s="32">
        <v>0.0</v>
      </c>
      <c r="J18" s="32">
        <v>0.0</v>
      </c>
      <c r="L18" s="32">
        <v>0.0</v>
      </c>
      <c r="N18" s="32">
        <v>0.0</v>
      </c>
      <c r="P18" s="32">
        <v>0.0</v>
      </c>
      <c r="Q18" s="29"/>
      <c r="R18" s="28">
        <v>92.0</v>
      </c>
      <c r="T18" s="32">
        <v>116.0</v>
      </c>
      <c r="V18" s="32">
        <v>0.0</v>
      </c>
      <c r="X18" s="32">
        <v>0.0</v>
      </c>
      <c r="Z18" s="32">
        <v>0.0</v>
      </c>
      <c r="AB18" s="32">
        <v>0.0</v>
      </c>
      <c r="AC18" s="29"/>
      <c r="AD18" s="26"/>
      <c r="AF18" s="27"/>
      <c r="AH18" s="27"/>
      <c r="AJ18" s="27"/>
      <c r="AL18" s="27"/>
      <c r="AN18" s="27"/>
      <c r="AO18" s="29"/>
      <c r="AP18" s="45">
        <f t="shared" si="1"/>
        <v>3536</v>
      </c>
      <c r="AQ18" s="41">
        <f t="shared" si="2"/>
        <v>208</v>
      </c>
      <c r="AR18" s="41">
        <f t="shared" si="3"/>
        <v>0</v>
      </c>
      <c r="AS18" s="41">
        <f t="shared" si="4"/>
        <v>208</v>
      </c>
      <c r="AT18" s="46">
        <f t="shared" si="5"/>
        <v>17</v>
      </c>
      <c r="AU18" s="37"/>
      <c r="AV18" s="37"/>
      <c r="AW18" s="37"/>
    </row>
    <row r="19" ht="15.75" customHeight="1">
      <c r="A19" s="39" t="s">
        <v>28</v>
      </c>
      <c r="B19" s="40">
        <f t="shared" si="6"/>
        <v>44579</v>
      </c>
      <c r="C19" s="41">
        <v>1.0</v>
      </c>
      <c r="D19" s="41" t="s">
        <v>34</v>
      </c>
      <c r="E19" s="43" t="s">
        <v>26</v>
      </c>
      <c r="F19" s="28">
        <v>0.0</v>
      </c>
      <c r="H19" s="32">
        <v>0.0</v>
      </c>
      <c r="J19" s="32">
        <v>0.0</v>
      </c>
      <c r="L19" s="32">
        <v>0.0</v>
      </c>
      <c r="N19" s="32">
        <v>0.0</v>
      </c>
      <c r="P19" s="32">
        <v>0.0</v>
      </c>
      <c r="Q19" s="29"/>
      <c r="R19" s="28">
        <v>101.0</v>
      </c>
      <c r="T19" s="32">
        <v>142.0</v>
      </c>
      <c r="V19" s="32">
        <v>0.0</v>
      </c>
      <c r="X19" s="32">
        <v>0.0</v>
      </c>
      <c r="Z19" s="32">
        <v>0.0</v>
      </c>
      <c r="AB19" s="32">
        <v>0.0</v>
      </c>
      <c r="AC19" s="29"/>
      <c r="AD19" s="26"/>
      <c r="AF19" s="27"/>
      <c r="AH19" s="27"/>
      <c r="AJ19" s="27"/>
      <c r="AL19" s="27"/>
      <c r="AN19" s="27"/>
      <c r="AO19" s="29"/>
      <c r="AP19" s="45">
        <f t="shared" si="1"/>
        <v>4131</v>
      </c>
      <c r="AQ19" s="41">
        <f t="shared" si="2"/>
        <v>243</v>
      </c>
      <c r="AR19" s="41">
        <f t="shared" si="3"/>
        <v>0</v>
      </c>
      <c r="AS19" s="41">
        <f t="shared" si="4"/>
        <v>243</v>
      </c>
      <c r="AT19" s="46">
        <f t="shared" si="5"/>
        <v>17</v>
      </c>
      <c r="AU19" s="37"/>
      <c r="AV19" s="37"/>
      <c r="AW19" s="37"/>
    </row>
    <row r="20" ht="15.75" customHeight="1">
      <c r="A20" s="39" t="s">
        <v>29</v>
      </c>
      <c r="B20" s="40">
        <f t="shared" si="6"/>
        <v>44580</v>
      </c>
      <c r="C20" s="41">
        <v>1.0</v>
      </c>
      <c r="D20" s="41" t="s">
        <v>34</v>
      </c>
      <c r="E20" s="43" t="s">
        <v>26</v>
      </c>
      <c r="F20" s="28">
        <v>0.0</v>
      </c>
      <c r="H20" s="32">
        <v>0.0</v>
      </c>
      <c r="J20" s="32">
        <v>0.0</v>
      </c>
      <c r="L20" s="32">
        <v>0.0</v>
      </c>
      <c r="N20" s="32">
        <v>0.0</v>
      </c>
      <c r="P20" s="32">
        <v>0.0</v>
      </c>
      <c r="Q20" s="29"/>
      <c r="R20" s="28">
        <v>98.0</v>
      </c>
      <c r="T20" s="32">
        <v>139.0</v>
      </c>
      <c r="V20" s="32">
        <v>0.0</v>
      </c>
      <c r="X20" s="32">
        <v>0.0</v>
      </c>
      <c r="Z20" s="32">
        <v>0.0</v>
      </c>
      <c r="AB20" s="32">
        <v>0.0</v>
      </c>
      <c r="AC20" s="29"/>
      <c r="AD20" s="26"/>
      <c r="AF20" s="27"/>
      <c r="AH20" s="27"/>
      <c r="AJ20" s="27"/>
      <c r="AL20" s="27"/>
      <c r="AN20" s="27"/>
      <c r="AO20" s="29"/>
      <c r="AP20" s="45">
        <f t="shared" si="1"/>
        <v>4029</v>
      </c>
      <c r="AQ20" s="41">
        <f t="shared" si="2"/>
        <v>237</v>
      </c>
      <c r="AR20" s="41">
        <f t="shared" si="3"/>
        <v>0</v>
      </c>
      <c r="AS20" s="41">
        <f t="shared" si="4"/>
        <v>237</v>
      </c>
      <c r="AT20" s="46">
        <f t="shared" si="5"/>
        <v>17</v>
      </c>
      <c r="AU20" s="37"/>
      <c r="AV20" s="37"/>
      <c r="AW20" s="37"/>
    </row>
    <row r="21" ht="15.75" customHeight="1">
      <c r="A21" s="39" t="s">
        <v>30</v>
      </c>
      <c r="B21" s="40">
        <f t="shared" si="6"/>
        <v>44581</v>
      </c>
      <c r="C21" s="41">
        <v>1.0</v>
      </c>
      <c r="D21" s="41" t="s">
        <v>34</v>
      </c>
      <c r="E21" s="43" t="s">
        <v>26</v>
      </c>
      <c r="F21" s="28">
        <v>0.0</v>
      </c>
      <c r="H21" s="32">
        <v>0.0</v>
      </c>
      <c r="J21" s="32">
        <v>0.0</v>
      </c>
      <c r="L21" s="32">
        <v>0.0</v>
      </c>
      <c r="N21" s="32">
        <v>0.0</v>
      </c>
      <c r="P21" s="32">
        <v>0.0</v>
      </c>
      <c r="Q21" s="29"/>
      <c r="R21" s="28">
        <v>101.0</v>
      </c>
      <c r="T21" s="32">
        <v>110.0</v>
      </c>
      <c r="V21" s="32">
        <v>0.0</v>
      </c>
      <c r="X21" s="32">
        <v>0.0</v>
      </c>
      <c r="Z21" s="32">
        <v>0.0</v>
      </c>
      <c r="AB21" s="32">
        <v>0.0</v>
      </c>
      <c r="AC21" s="29"/>
      <c r="AD21" s="26"/>
      <c r="AF21" s="27"/>
      <c r="AH21" s="27"/>
      <c r="AJ21" s="27"/>
      <c r="AL21" s="27"/>
      <c r="AN21" s="27"/>
      <c r="AO21" s="29"/>
      <c r="AP21" s="45">
        <f t="shared" si="1"/>
        <v>3587</v>
      </c>
      <c r="AQ21" s="41">
        <f t="shared" si="2"/>
        <v>211</v>
      </c>
      <c r="AR21" s="41">
        <f t="shared" si="3"/>
        <v>0</v>
      </c>
      <c r="AS21" s="41">
        <f t="shared" si="4"/>
        <v>211</v>
      </c>
      <c r="AT21" s="46">
        <f t="shared" si="5"/>
        <v>17</v>
      </c>
      <c r="AU21" s="37"/>
      <c r="AV21" s="37"/>
      <c r="AW21" s="37"/>
    </row>
    <row r="22" ht="15.75" customHeight="1">
      <c r="A22" s="39" t="s">
        <v>31</v>
      </c>
      <c r="B22" s="40">
        <f t="shared" si="6"/>
        <v>44582</v>
      </c>
      <c r="C22" s="41">
        <v>1.0</v>
      </c>
      <c r="D22" s="41" t="s">
        <v>34</v>
      </c>
      <c r="E22" s="43" t="s">
        <v>26</v>
      </c>
      <c r="F22" s="28">
        <v>0.0</v>
      </c>
      <c r="H22" s="32">
        <v>0.0</v>
      </c>
      <c r="J22" s="32">
        <v>0.0</v>
      </c>
      <c r="L22" s="32">
        <v>0.0</v>
      </c>
      <c r="N22" s="32">
        <v>0.0</v>
      </c>
      <c r="P22" s="32">
        <v>0.0</v>
      </c>
      <c r="Q22" s="29"/>
      <c r="R22" s="28">
        <v>0.0</v>
      </c>
      <c r="T22" s="32">
        <v>0.0</v>
      </c>
      <c r="V22" s="32">
        <v>0.0</v>
      </c>
      <c r="X22" s="32">
        <v>0.0</v>
      </c>
      <c r="Z22" s="32">
        <v>0.0</v>
      </c>
      <c r="AB22" s="32">
        <v>0.0</v>
      </c>
      <c r="AC22" s="29"/>
      <c r="AD22" s="26"/>
      <c r="AF22" s="27"/>
      <c r="AH22" s="27"/>
      <c r="AJ22" s="27"/>
      <c r="AL22" s="27"/>
      <c r="AN22" s="27"/>
      <c r="AO22" s="29"/>
      <c r="AP22" s="45">
        <f t="shared" si="1"/>
        <v>0</v>
      </c>
      <c r="AQ22" s="41">
        <f t="shared" si="2"/>
        <v>0</v>
      </c>
      <c r="AR22" s="41">
        <f t="shared" si="3"/>
        <v>0</v>
      </c>
      <c r="AS22" s="41">
        <f t="shared" si="4"/>
        <v>0</v>
      </c>
      <c r="AT22" s="46" t="str">
        <f t="shared" si="5"/>
        <v/>
      </c>
      <c r="AU22" s="37"/>
      <c r="AV22" s="37"/>
      <c r="AW22" s="37"/>
    </row>
    <row r="23" ht="15.75" customHeight="1">
      <c r="A23" s="49" t="s">
        <v>32</v>
      </c>
      <c r="B23" s="50">
        <f t="shared" si="6"/>
        <v>44583</v>
      </c>
      <c r="C23" s="51">
        <v>1.0</v>
      </c>
      <c r="D23" s="51" t="s">
        <v>34</v>
      </c>
      <c r="E23" s="53" t="s">
        <v>26</v>
      </c>
      <c r="F23" s="57">
        <v>0.0</v>
      </c>
      <c r="G23" s="55"/>
      <c r="H23" s="59">
        <v>0.0</v>
      </c>
      <c r="I23" s="55"/>
      <c r="J23" s="59">
        <v>0.0</v>
      </c>
      <c r="K23" s="55"/>
      <c r="L23" s="59">
        <v>0.0</v>
      </c>
      <c r="M23" s="55"/>
      <c r="N23" s="59">
        <v>0.0</v>
      </c>
      <c r="O23" s="55"/>
      <c r="P23" s="59">
        <v>0.0</v>
      </c>
      <c r="Q23" s="58"/>
      <c r="R23" s="57">
        <v>0.0</v>
      </c>
      <c r="S23" s="55"/>
      <c r="T23" s="59">
        <v>0.0</v>
      </c>
      <c r="U23" s="55"/>
      <c r="V23" s="59">
        <v>0.0</v>
      </c>
      <c r="W23" s="55"/>
      <c r="X23" s="59">
        <v>0.0</v>
      </c>
      <c r="Y23" s="55"/>
      <c r="Z23" s="59">
        <v>0.0</v>
      </c>
      <c r="AA23" s="55"/>
      <c r="AB23" s="59">
        <v>0.0</v>
      </c>
      <c r="AC23" s="58"/>
      <c r="AD23" s="54"/>
      <c r="AE23" s="55"/>
      <c r="AF23" s="56"/>
      <c r="AG23" s="55"/>
      <c r="AH23" s="56"/>
      <c r="AI23" s="55"/>
      <c r="AJ23" s="56"/>
      <c r="AK23" s="55"/>
      <c r="AL23" s="56"/>
      <c r="AM23" s="55"/>
      <c r="AN23" s="56"/>
      <c r="AO23" s="58"/>
      <c r="AP23" s="60">
        <f t="shared" si="1"/>
        <v>0</v>
      </c>
      <c r="AQ23" s="51">
        <f t="shared" si="2"/>
        <v>0</v>
      </c>
      <c r="AR23" s="51">
        <f t="shared" si="3"/>
        <v>0</v>
      </c>
      <c r="AS23" s="51">
        <f t="shared" si="4"/>
        <v>0</v>
      </c>
      <c r="AT23" s="61" t="str">
        <f t="shared" si="5"/>
        <v/>
      </c>
      <c r="AU23" s="37"/>
      <c r="AV23" s="37"/>
      <c r="AW23" s="37"/>
    </row>
    <row r="24" ht="15.75" customHeight="1">
      <c r="A24" s="21" t="s">
        <v>24</v>
      </c>
      <c r="B24" s="62">
        <f t="shared" si="6"/>
        <v>44584</v>
      </c>
      <c r="C24" s="23">
        <v>1.0</v>
      </c>
      <c r="D24" s="23" t="s">
        <v>35</v>
      </c>
      <c r="E24" s="63" t="s">
        <v>26</v>
      </c>
      <c r="F24" s="28">
        <v>0.0</v>
      </c>
      <c r="H24" s="32">
        <v>0.0</v>
      </c>
      <c r="J24" s="32">
        <v>0.0</v>
      </c>
      <c r="L24" s="32">
        <v>0.0</v>
      </c>
      <c r="N24" s="32">
        <v>0.0</v>
      </c>
      <c r="P24" s="32">
        <v>0.0</v>
      </c>
      <c r="Q24" s="29"/>
      <c r="R24" s="28">
        <v>71.0</v>
      </c>
      <c r="T24" s="32">
        <v>84.0</v>
      </c>
      <c r="V24" s="32">
        <v>0.0</v>
      </c>
      <c r="X24" s="32">
        <v>0.0</v>
      </c>
      <c r="Z24" s="32">
        <v>0.0</v>
      </c>
      <c r="AB24" s="32">
        <v>0.0</v>
      </c>
      <c r="AC24" s="29"/>
      <c r="AD24" s="26"/>
      <c r="AF24" s="27"/>
      <c r="AH24" s="27"/>
      <c r="AJ24" s="27"/>
      <c r="AL24" s="27"/>
      <c r="AN24" s="27"/>
      <c r="AO24" s="29"/>
      <c r="AP24" s="35">
        <f t="shared" si="1"/>
        <v>2635</v>
      </c>
      <c r="AQ24" s="23">
        <f t="shared" si="2"/>
        <v>155</v>
      </c>
      <c r="AR24" s="23">
        <f t="shared" si="3"/>
        <v>0</v>
      </c>
      <c r="AS24" s="23">
        <f t="shared" si="4"/>
        <v>155</v>
      </c>
      <c r="AT24" s="36">
        <f t="shared" si="5"/>
        <v>17</v>
      </c>
      <c r="AU24" s="37"/>
      <c r="AV24" s="37"/>
      <c r="AW24" s="37"/>
    </row>
    <row r="25" ht="15.75" customHeight="1">
      <c r="A25" s="39" t="s">
        <v>27</v>
      </c>
      <c r="B25" s="40">
        <f t="shared" si="6"/>
        <v>44585</v>
      </c>
      <c r="C25" s="41">
        <v>1.0</v>
      </c>
      <c r="D25" s="41" t="s">
        <v>35</v>
      </c>
      <c r="E25" s="43" t="s">
        <v>26</v>
      </c>
      <c r="F25" s="28">
        <v>0.0</v>
      </c>
      <c r="H25" s="32">
        <v>0.0</v>
      </c>
      <c r="J25" s="32">
        <v>0.0</v>
      </c>
      <c r="L25" s="32">
        <v>0.0</v>
      </c>
      <c r="N25" s="32">
        <v>0.0</v>
      </c>
      <c r="P25" s="32">
        <v>0.0</v>
      </c>
      <c r="Q25" s="29"/>
      <c r="R25" s="28">
        <v>75.0</v>
      </c>
      <c r="T25" s="32">
        <v>104.0</v>
      </c>
      <c r="V25" s="32">
        <v>0.0</v>
      </c>
      <c r="X25" s="32">
        <v>0.0</v>
      </c>
      <c r="Z25" s="32">
        <v>0.0</v>
      </c>
      <c r="AB25" s="32">
        <v>0.0</v>
      </c>
      <c r="AC25" s="29"/>
      <c r="AD25" s="26"/>
      <c r="AF25" s="27"/>
      <c r="AH25" s="27"/>
      <c r="AJ25" s="27"/>
      <c r="AL25" s="27"/>
      <c r="AN25" s="27"/>
      <c r="AO25" s="29"/>
      <c r="AP25" s="45">
        <f t="shared" si="1"/>
        <v>3043</v>
      </c>
      <c r="AQ25" s="41">
        <f t="shared" si="2"/>
        <v>179</v>
      </c>
      <c r="AR25" s="41">
        <f t="shared" si="3"/>
        <v>0</v>
      </c>
      <c r="AS25" s="41">
        <f t="shared" si="4"/>
        <v>179</v>
      </c>
      <c r="AT25" s="46">
        <f t="shared" si="5"/>
        <v>17</v>
      </c>
      <c r="AU25" s="37"/>
      <c r="AV25" s="37"/>
      <c r="AW25" s="37"/>
    </row>
    <row r="26" ht="15.75" customHeight="1">
      <c r="A26" s="39" t="s">
        <v>28</v>
      </c>
      <c r="B26" s="40">
        <f t="shared" si="6"/>
        <v>44586</v>
      </c>
      <c r="C26" s="41">
        <v>1.0</v>
      </c>
      <c r="D26" s="41" t="s">
        <v>35</v>
      </c>
      <c r="E26" s="43" t="s">
        <v>26</v>
      </c>
      <c r="F26" s="28">
        <v>0.0</v>
      </c>
      <c r="H26" s="32">
        <v>0.0</v>
      </c>
      <c r="J26" s="32">
        <v>0.0</v>
      </c>
      <c r="L26" s="32">
        <v>0.0</v>
      </c>
      <c r="N26" s="32">
        <v>0.0</v>
      </c>
      <c r="P26" s="32">
        <v>0.0</v>
      </c>
      <c r="Q26" s="29"/>
      <c r="R26" s="28">
        <v>68.0</v>
      </c>
      <c r="T26" s="32">
        <v>80.0</v>
      </c>
      <c r="V26" s="32">
        <v>0.0</v>
      </c>
      <c r="X26" s="32">
        <v>0.0</v>
      </c>
      <c r="Z26" s="32">
        <v>0.0</v>
      </c>
      <c r="AB26" s="32">
        <v>0.0</v>
      </c>
      <c r="AC26" s="29"/>
      <c r="AD26" s="26"/>
      <c r="AF26" s="27"/>
      <c r="AH26" s="27"/>
      <c r="AJ26" s="27"/>
      <c r="AL26" s="27"/>
      <c r="AN26" s="27"/>
      <c r="AO26" s="29"/>
      <c r="AP26" s="45">
        <f t="shared" si="1"/>
        <v>2516</v>
      </c>
      <c r="AQ26" s="41">
        <f t="shared" si="2"/>
        <v>148</v>
      </c>
      <c r="AR26" s="41">
        <f t="shared" si="3"/>
        <v>0</v>
      </c>
      <c r="AS26" s="41">
        <f t="shared" si="4"/>
        <v>148</v>
      </c>
      <c r="AT26" s="46">
        <f t="shared" si="5"/>
        <v>17</v>
      </c>
      <c r="AU26" s="37"/>
      <c r="AV26" s="37"/>
      <c r="AW26" s="37"/>
    </row>
    <row r="27" ht="15.75" customHeight="1">
      <c r="A27" s="39" t="s">
        <v>29</v>
      </c>
      <c r="B27" s="40">
        <f t="shared" si="6"/>
        <v>44587</v>
      </c>
      <c r="C27" s="41">
        <v>1.0</v>
      </c>
      <c r="D27" s="41" t="s">
        <v>35</v>
      </c>
      <c r="E27" s="43" t="s">
        <v>26</v>
      </c>
      <c r="F27" s="28">
        <v>0.0</v>
      </c>
      <c r="H27" s="32">
        <v>0.0</v>
      </c>
      <c r="J27" s="32">
        <v>0.0</v>
      </c>
      <c r="L27" s="32">
        <v>0.0</v>
      </c>
      <c r="N27" s="32">
        <v>0.0</v>
      </c>
      <c r="P27" s="32">
        <v>0.0</v>
      </c>
      <c r="Q27" s="29"/>
      <c r="R27" s="28">
        <v>66.0</v>
      </c>
      <c r="T27" s="32">
        <v>83.0</v>
      </c>
      <c r="V27" s="32">
        <v>0.0</v>
      </c>
      <c r="X27" s="32">
        <v>0.0</v>
      </c>
      <c r="Z27" s="32">
        <v>0.0</v>
      </c>
      <c r="AB27" s="32">
        <v>0.0</v>
      </c>
      <c r="AC27" s="29"/>
      <c r="AD27" s="26"/>
      <c r="AF27" s="27"/>
      <c r="AH27" s="27"/>
      <c r="AJ27" s="27"/>
      <c r="AL27" s="27"/>
      <c r="AN27" s="27"/>
      <c r="AO27" s="29"/>
      <c r="AP27" s="45">
        <f t="shared" si="1"/>
        <v>2533</v>
      </c>
      <c r="AQ27" s="41">
        <f t="shared" si="2"/>
        <v>149</v>
      </c>
      <c r="AR27" s="41">
        <f t="shared" si="3"/>
        <v>0</v>
      </c>
      <c r="AS27" s="41">
        <f t="shared" si="4"/>
        <v>149</v>
      </c>
      <c r="AT27" s="46">
        <f t="shared" si="5"/>
        <v>17</v>
      </c>
      <c r="AU27" s="37"/>
      <c r="AV27" s="37"/>
      <c r="AW27" s="37"/>
    </row>
    <row r="28" ht="15.75" customHeight="1">
      <c r="A28" s="39" t="s">
        <v>30</v>
      </c>
      <c r="B28" s="40">
        <f t="shared" si="6"/>
        <v>44588</v>
      </c>
      <c r="C28" s="41">
        <v>1.0</v>
      </c>
      <c r="D28" s="41" t="s">
        <v>35</v>
      </c>
      <c r="E28" s="43" t="s">
        <v>26</v>
      </c>
      <c r="F28" s="28">
        <v>0.0</v>
      </c>
      <c r="H28" s="32">
        <v>0.0</v>
      </c>
      <c r="J28" s="32">
        <v>0.0</v>
      </c>
      <c r="L28" s="32">
        <v>0.0</v>
      </c>
      <c r="N28" s="32">
        <v>0.0</v>
      </c>
      <c r="P28" s="32">
        <v>0.0</v>
      </c>
      <c r="Q28" s="29"/>
      <c r="R28" s="28">
        <v>65.0</v>
      </c>
      <c r="T28" s="32">
        <v>82.0</v>
      </c>
      <c r="V28" s="32">
        <v>0.0</v>
      </c>
      <c r="X28" s="32">
        <v>0.0</v>
      </c>
      <c r="Z28" s="32">
        <v>0.0</v>
      </c>
      <c r="AB28" s="32">
        <v>0.0</v>
      </c>
      <c r="AC28" s="29"/>
      <c r="AD28" s="26"/>
      <c r="AF28" s="27"/>
      <c r="AH28" s="27"/>
      <c r="AJ28" s="27"/>
      <c r="AL28" s="27"/>
      <c r="AN28" s="27"/>
      <c r="AO28" s="29"/>
      <c r="AP28" s="45">
        <f t="shared" si="1"/>
        <v>2499</v>
      </c>
      <c r="AQ28" s="41">
        <f t="shared" si="2"/>
        <v>147</v>
      </c>
      <c r="AR28" s="41">
        <f t="shared" si="3"/>
        <v>0</v>
      </c>
      <c r="AS28" s="41">
        <f t="shared" si="4"/>
        <v>147</v>
      </c>
      <c r="AT28" s="46">
        <f t="shared" si="5"/>
        <v>17</v>
      </c>
      <c r="AU28" s="37"/>
      <c r="AV28" s="37"/>
      <c r="AW28" s="37"/>
    </row>
    <row r="29" ht="15.75" customHeight="1">
      <c r="A29" s="39" t="s">
        <v>31</v>
      </c>
      <c r="B29" s="40">
        <f t="shared" si="6"/>
        <v>44589</v>
      </c>
      <c r="C29" s="41">
        <v>1.0</v>
      </c>
      <c r="D29" s="41" t="s">
        <v>35</v>
      </c>
      <c r="E29" s="43" t="s">
        <v>26</v>
      </c>
      <c r="F29" s="28">
        <v>0.0</v>
      </c>
      <c r="H29" s="32">
        <v>0.0</v>
      </c>
      <c r="J29" s="32">
        <v>0.0</v>
      </c>
      <c r="L29" s="32">
        <v>0.0</v>
      </c>
      <c r="N29" s="32">
        <v>0.0</v>
      </c>
      <c r="P29" s="32">
        <v>0.0</v>
      </c>
      <c r="Q29" s="29"/>
      <c r="R29" s="28">
        <v>34.0</v>
      </c>
      <c r="T29" s="32">
        <v>42.0</v>
      </c>
      <c r="V29" s="32">
        <v>0.0</v>
      </c>
      <c r="X29" s="32">
        <v>0.0</v>
      </c>
      <c r="Z29" s="32">
        <v>0.0</v>
      </c>
      <c r="AB29" s="32">
        <v>0.0</v>
      </c>
      <c r="AC29" s="29"/>
      <c r="AD29" s="26"/>
      <c r="AF29" s="27"/>
      <c r="AH29" s="27"/>
      <c r="AJ29" s="27"/>
      <c r="AL29" s="27"/>
      <c r="AN29" s="27"/>
      <c r="AO29" s="29"/>
      <c r="AP29" s="45">
        <f t="shared" si="1"/>
        <v>1292</v>
      </c>
      <c r="AQ29" s="41">
        <f t="shared" si="2"/>
        <v>76</v>
      </c>
      <c r="AR29" s="41">
        <f t="shared" si="3"/>
        <v>0</v>
      </c>
      <c r="AS29" s="41">
        <f t="shared" si="4"/>
        <v>76</v>
      </c>
      <c r="AT29" s="46">
        <f t="shared" si="5"/>
        <v>17</v>
      </c>
      <c r="AU29" s="37"/>
      <c r="AV29" s="37"/>
      <c r="AW29" s="37"/>
    </row>
    <row r="30" ht="15.75" customHeight="1">
      <c r="A30" s="49" t="s">
        <v>32</v>
      </c>
      <c r="B30" s="50">
        <f t="shared" si="6"/>
        <v>44590</v>
      </c>
      <c r="C30" s="51">
        <v>1.0</v>
      </c>
      <c r="D30" s="51" t="s">
        <v>35</v>
      </c>
      <c r="E30" s="53" t="s">
        <v>26</v>
      </c>
      <c r="F30" s="57">
        <v>0.0</v>
      </c>
      <c r="G30" s="55"/>
      <c r="H30" s="59">
        <v>0.0</v>
      </c>
      <c r="I30" s="55"/>
      <c r="J30" s="59">
        <v>0.0</v>
      </c>
      <c r="K30" s="55"/>
      <c r="L30" s="59">
        <v>0.0</v>
      </c>
      <c r="M30" s="55"/>
      <c r="N30" s="59">
        <v>0.0</v>
      </c>
      <c r="O30" s="55"/>
      <c r="P30" s="59">
        <v>0.0</v>
      </c>
      <c r="Q30" s="58"/>
      <c r="R30" s="57">
        <v>0.0</v>
      </c>
      <c r="S30" s="55"/>
      <c r="T30" s="59">
        <v>0.0</v>
      </c>
      <c r="U30" s="55"/>
      <c r="V30" s="59">
        <v>0.0</v>
      </c>
      <c r="W30" s="55"/>
      <c r="X30" s="59">
        <v>0.0</v>
      </c>
      <c r="Y30" s="55"/>
      <c r="Z30" s="59">
        <v>0.0</v>
      </c>
      <c r="AA30" s="55"/>
      <c r="AB30" s="59">
        <v>0.0</v>
      </c>
      <c r="AC30" s="58"/>
      <c r="AD30" s="54"/>
      <c r="AE30" s="55"/>
      <c r="AF30" s="56"/>
      <c r="AG30" s="55"/>
      <c r="AH30" s="56"/>
      <c r="AI30" s="55"/>
      <c r="AJ30" s="56"/>
      <c r="AK30" s="55"/>
      <c r="AL30" s="56"/>
      <c r="AM30" s="55"/>
      <c r="AN30" s="56"/>
      <c r="AO30" s="58"/>
      <c r="AP30" s="60">
        <f t="shared" si="1"/>
        <v>0</v>
      </c>
      <c r="AQ30" s="51">
        <f t="shared" si="2"/>
        <v>0</v>
      </c>
      <c r="AR30" s="51">
        <f t="shared" si="3"/>
        <v>0</v>
      </c>
      <c r="AS30" s="51">
        <f t="shared" si="4"/>
        <v>0</v>
      </c>
      <c r="AT30" s="61" t="str">
        <f t="shared" si="5"/>
        <v/>
      </c>
      <c r="AU30" s="37"/>
      <c r="AV30" s="37"/>
      <c r="AW30" s="37"/>
    </row>
    <row r="31" ht="15.75" customHeight="1">
      <c r="A31" s="21" t="s">
        <v>24</v>
      </c>
      <c r="B31" s="62">
        <f t="shared" si="6"/>
        <v>44591</v>
      </c>
      <c r="C31" s="23">
        <v>2.0</v>
      </c>
      <c r="D31" s="23" t="s">
        <v>25</v>
      </c>
      <c r="E31" s="63" t="s">
        <v>26</v>
      </c>
      <c r="F31" s="28">
        <v>0.0</v>
      </c>
      <c r="H31" s="32">
        <v>0.0</v>
      </c>
      <c r="J31" s="32">
        <v>0.0</v>
      </c>
      <c r="L31" s="32">
        <v>0.0</v>
      </c>
      <c r="N31" s="32">
        <v>0.0</v>
      </c>
      <c r="P31" s="32">
        <v>0.0</v>
      </c>
      <c r="Q31" s="29"/>
      <c r="R31" s="28">
        <v>70.0</v>
      </c>
      <c r="T31" s="32">
        <v>102.0</v>
      </c>
      <c r="V31" s="32">
        <v>0.0</v>
      </c>
      <c r="X31" s="32">
        <v>0.0</v>
      </c>
      <c r="Z31" s="32">
        <v>0.0</v>
      </c>
      <c r="AB31" s="32">
        <v>0.0</v>
      </c>
      <c r="AC31" s="29"/>
      <c r="AD31" s="26"/>
      <c r="AF31" s="27"/>
      <c r="AH31" s="27"/>
      <c r="AJ31" s="27"/>
      <c r="AL31" s="27"/>
      <c r="AN31" s="27"/>
      <c r="AO31" s="29"/>
      <c r="AP31" s="35">
        <f t="shared" si="1"/>
        <v>2924</v>
      </c>
      <c r="AQ31" s="23">
        <f t="shared" si="2"/>
        <v>172</v>
      </c>
      <c r="AR31" s="23">
        <f t="shared" si="3"/>
        <v>0</v>
      </c>
      <c r="AS31" s="23">
        <f t="shared" si="4"/>
        <v>172</v>
      </c>
      <c r="AT31" s="36">
        <f t="shared" si="5"/>
        <v>17</v>
      </c>
      <c r="AU31" s="37"/>
      <c r="AV31" s="37"/>
      <c r="AW31" s="37"/>
    </row>
    <row r="32" ht="15.75" customHeight="1">
      <c r="A32" s="39" t="s">
        <v>27</v>
      </c>
      <c r="B32" s="40">
        <f t="shared" si="6"/>
        <v>44592</v>
      </c>
      <c r="C32" s="41">
        <v>2.0</v>
      </c>
      <c r="D32" s="41" t="s">
        <v>25</v>
      </c>
      <c r="E32" s="43" t="s">
        <v>26</v>
      </c>
      <c r="F32" s="28">
        <v>0.0</v>
      </c>
      <c r="H32" s="32">
        <v>0.0</v>
      </c>
      <c r="J32" s="32">
        <v>0.0</v>
      </c>
      <c r="L32" s="32">
        <v>0.0</v>
      </c>
      <c r="N32" s="32">
        <v>0.0</v>
      </c>
      <c r="P32" s="32">
        <v>0.0</v>
      </c>
      <c r="Q32" s="29"/>
      <c r="R32" s="28">
        <v>75.0</v>
      </c>
      <c r="T32" s="32">
        <v>101.0</v>
      </c>
      <c r="V32" s="32">
        <v>0.0</v>
      </c>
      <c r="X32" s="32">
        <v>0.0</v>
      </c>
      <c r="Z32" s="32">
        <v>0.0</v>
      </c>
      <c r="AB32" s="32">
        <v>0.0</v>
      </c>
      <c r="AC32" s="29"/>
      <c r="AD32" s="26"/>
      <c r="AF32" s="27"/>
      <c r="AH32" s="27"/>
      <c r="AJ32" s="27"/>
      <c r="AL32" s="27"/>
      <c r="AN32" s="27"/>
      <c r="AO32" s="29"/>
      <c r="AP32" s="45">
        <f t="shared" si="1"/>
        <v>2992</v>
      </c>
      <c r="AQ32" s="41">
        <f t="shared" si="2"/>
        <v>176</v>
      </c>
      <c r="AR32" s="41">
        <f t="shared" si="3"/>
        <v>0</v>
      </c>
      <c r="AS32" s="41">
        <f t="shared" si="4"/>
        <v>176</v>
      </c>
      <c r="AT32" s="46">
        <f t="shared" si="5"/>
        <v>17</v>
      </c>
      <c r="AU32" s="37"/>
      <c r="AV32" s="37"/>
      <c r="AW32" s="37"/>
    </row>
    <row r="33" ht="15.75" customHeight="1">
      <c r="A33" s="39" t="s">
        <v>28</v>
      </c>
      <c r="B33" s="40">
        <f t="shared" si="6"/>
        <v>44593</v>
      </c>
      <c r="C33" s="41">
        <v>2.0</v>
      </c>
      <c r="D33" s="41" t="s">
        <v>25</v>
      </c>
      <c r="E33" s="43" t="s">
        <v>26</v>
      </c>
      <c r="F33" s="28">
        <v>0.0</v>
      </c>
      <c r="H33" s="32">
        <v>0.0</v>
      </c>
      <c r="J33" s="32">
        <v>0.0</v>
      </c>
      <c r="L33" s="32">
        <v>0.0</v>
      </c>
      <c r="N33" s="32">
        <v>0.0</v>
      </c>
      <c r="P33" s="32">
        <v>0.0</v>
      </c>
      <c r="Q33" s="29"/>
      <c r="R33" s="28">
        <v>89.0</v>
      </c>
      <c r="T33" s="32">
        <v>103.0</v>
      </c>
      <c r="V33" s="32">
        <v>0.0</v>
      </c>
      <c r="X33" s="32">
        <v>0.0</v>
      </c>
      <c r="Z33" s="32">
        <v>0.0</v>
      </c>
      <c r="AB33" s="32">
        <v>0.0</v>
      </c>
      <c r="AC33" s="29"/>
      <c r="AD33" s="26"/>
      <c r="AF33" s="27"/>
      <c r="AH33" s="27"/>
      <c r="AJ33" s="27"/>
      <c r="AL33" s="27"/>
      <c r="AN33" s="27"/>
      <c r="AO33" s="29"/>
      <c r="AP33" s="45">
        <f t="shared" si="1"/>
        <v>3264</v>
      </c>
      <c r="AQ33" s="41">
        <f t="shared" si="2"/>
        <v>192</v>
      </c>
      <c r="AR33" s="41">
        <f t="shared" si="3"/>
        <v>0</v>
      </c>
      <c r="AS33" s="41">
        <f t="shared" si="4"/>
        <v>192</v>
      </c>
      <c r="AT33" s="46">
        <f t="shared" si="5"/>
        <v>17</v>
      </c>
      <c r="AU33" s="37"/>
      <c r="AV33" s="37"/>
      <c r="AW33" s="37"/>
    </row>
    <row r="34" ht="15.75" customHeight="1">
      <c r="A34" s="39" t="s">
        <v>29</v>
      </c>
      <c r="B34" s="40">
        <f t="shared" si="6"/>
        <v>44594</v>
      </c>
      <c r="C34" s="41">
        <v>2.0</v>
      </c>
      <c r="D34" s="41" t="s">
        <v>25</v>
      </c>
      <c r="E34" s="43" t="s">
        <v>26</v>
      </c>
      <c r="F34" s="28">
        <v>0.0</v>
      </c>
      <c r="H34" s="32">
        <v>0.0</v>
      </c>
      <c r="J34" s="32">
        <v>0.0</v>
      </c>
      <c r="L34" s="32">
        <v>0.0</v>
      </c>
      <c r="N34" s="32">
        <v>0.0</v>
      </c>
      <c r="P34" s="32">
        <v>0.0</v>
      </c>
      <c r="Q34" s="29"/>
      <c r="R34" s="28">
        <v>88.0</v>
      </c>
      <c r="T34" s="32">
        <v>102.0</v>
      </c>
      <c r="V34" s="32">
        <v>0.0</v>
      </c>
      <c r="X34" s="32">
        <v>0.0</v>
      </c>
      <c r="Z34" s="32">
        <v>0.0</v>
      </c>
      <c r="AB34" s="32">
        <v>0.0</v>
      </c>
      <c r="AC34" s="29"/>
      <c r="AD34" s="26"/>
      <c r="AF34" s="27"/>
      <c r="AH34" s="27"/>
      <c r="AJ34" s="27"/>
      <c r="AL34" s="27"/>
      <c r="AN34" s="27"/>
      <c r="AO34" s="29"/>
      <c r="AP34" s="45">
        <f t="shared" si="1"/>
        <v>3230</v>
      </c>
      <c r="AQ34" s="41">
        <f t="shared" si="2"/>
        <v>190</v>
      </c>
      <c r="AR34" s="41">
        <f t="shared" si="3"/>
        <v>0</v>
      </c>
      <c r="AS34" s="41">
        <f t="shared" si="4"/>
        <v>190</v>
      </c>
      <c r="AT34" s="46">
        <f t="shared" si="5"/>
        <v>17</v>
      </c>
      <c r="AU34" s="37"/>
      <c r="AV34" s="37"/>
      <c r="AW34" s="37"/>
    </row>
    <row r="35" ht="15.75" customHeight="1">
      <c r="A35" s="39" t="s">
        <v>30</v>
      </c>
      <c r="B35" s="40">
        <f t="shared" si="6"/>
        <v>44595</v>
      </c>
      <c r="C35" s="41">
        <v>2.0</v>
      </c>
      <c r="D35" s="41" t="s">
        <v>25</v>
      </c>
      <c r="E35" s="43" t="s">
        <v>26</v>
      </c>
      <c r="F35" s="28">
        <v>0.0</v>
      </c>
      <c r="H35" s="32">
        <v>0.0</v>
      </c>
      <c r="J35" s="32">
        <v>0.0</v>
      </c>
      <c r="L35" s="32">
        <v>0.0</v>
      </c>
      <c r="N35" s="32">
        <v>0.0</v>
      </c>
      <c r="P35" s="32">
        <v>0.0</v>
      </c>
      <c r="Q35" s="29"/>
      <c r="R35" s="28">
        <v>98.0</v>
      </c>
      <c r="T35" s="32">
        <v>85.0</v>
      </c>
      <c r="V35" s="32">
        <v>0.0</v>
      </c>
      <c r="X35" s="32">
        <v>0.0</v>
      </c>
      <c r="Z35" s="32">
        <v>0.0</v>
      </c>
      <c r="AB35" s="32">
        <v>0.0</v>
      </c>
      <c r="AC35" s="29"/>
      <c r="AD35" s="26"/>
      <c r="AF35" s="27"/>
      <c r="AH35" s="27"/>
      <c r="AJ35" s="27"/>
      <c r="AL35" s="27"/>
      <c r="AN35" s="27"/>
      <c r="AO35" s="29"/>
      <c r="AP35" s="45">
        <f t="shared" si="1"/>
        <v>3111</v>
      </c>
      <c r="AQ35" s="41">
        <f t="shared" si="2"/>
        <v>183</v>
      </c>
      <c r="AR35" s="41">
        <f t="shared" si="3"/>
        <v>0</v>
      </c>
      <c r="AS35" s="41">
        <f t="shared" si="4"/>
        <v>183</v>
      </c>
      <c r="AT35" s="46">
        <f t="shared" si="5"/>
        <v>17</v>
      </c>
      <c r="AU35" s="37"/>
      <c r="AV35" s="37"/>
      <c r="AW35" s="37"/>
    </row>
    <row r="36" ht="15.75" customHeight="1">
      <c r="A36" s="39" t="s">
        <v>31</v>
      </c>
      <c r="B36" s="40">
        <f t="shared" si="6"/>
        <v>44596</v>
      </c>
      <c r="C36" s="41">
        <v>2.0</v>
      </c>
      <c r="D36" s="41" t="s">
        <v>25</v>
      </c>
      <c r="E36" s="43" t="s">
        <v>26</v>
      </c>
      <c r="F36" s="28">
        <v>0.0</v>
      </c>
      <c r="H36" s="32">
        <v>0.0</v>
      </c>
      <c r="J36" s="32">
        <v>0.0</v>
      </c>
      <c r="L36" s="32">
        <v>0.0</v>
      </c>
      <c r="N36" s="32">
        <v>0.0</v>
      </c>
      <c r="P36" s="32">
        <v>0.0</v>
      </c>
      <c r="Q36" s="29"/>
      <c r="R36" s="28">
        <v>53.0</v>
      </c>
      <c r="T36" s="32">
        <v>57.0</v>
      </c>
      <c r="V36" s="32">
        <v>0.0</v>
      </c>
      <c r="X36" s="32">
        <v>0.0</v>
      </c>
      <c r="Z36" s="32">
        <v>0.0</v>
      </c>
      <c r="AB36" s="32">
        <v>0.0</v>
      </c>
      <c r="AC36" s="29"/>
      <c r="AD36" s="26"/>
      <c r="AF36" s="27"/>
      <c r="AH36" s="27"/>
      <c r="AJ36" s="27"/>
      <c r="AL36" s="27"/>
      <c r="AN36" s="27"/>
      <c r="AO36" s="29"/>
      <c r="AP36" s="45">
        <f t="shared" si="1"/>
        <v>1870</v>
      </c>
      <c r="AQ36" s="41">
        <f t="shared" si="2"/>
        <v>110</v>
      </c>
      <c r="AR36" s="41">
        <f t="shared" si="3"/>
        <v>0</v>
      </c>
      <c r="AS36" s="41">
        <f t="shared" si="4"/>
        <v>110</v>
      </c>
      <c r="AT36" s="46">
        <f t="shared" si="5"/>
        <v>17</v>
      </c>
      <c r="AU36" s="37"/>
      <c r="AV36" s="37"/>
      <c r="AW36" s="37"/>
    </row>
    <row r="37" ht="15.75" customHeight="1">
      <c r="A37" s="49" t="s">
        <v>32</v>
      </c>
      <c r="B37" s="50">
        <f t="shared" si="6"/>
        <v>44597</v>
      </c>
      <c r="C37" s="51">
        <v>2.0</v>
      </c>
      <c r="D37" s="51" t="s">
        <v>25</v>
      </c>
      <c r="E37" s="53" t="s">
        <v>26</v>
      </c>
      <c r="F37" s="57">
        <v>0.0</v>
      </c>
      <c r="G37" s="55"/>
      <c r="H37" s="59">
        <v>0.0</v>
      </c>
      <c r="I37" s="55"/>
      <c r="J37" s="59">
        <v>0.0</v>
      </c>
      <c r="K37" s="55"/>
      <c r="L37" s="59">
        <v>0.0</v>
      </c>
      <c r="M37" s="55"/>
      <c r="N37" s="59">
        <v>0.0</v>
      </c>
      <c r="O37" s="55"/>
      <c r="P37" s="59">
        <v>0.0</v>
      </c>
      <c r="Q37" s="58"/>
      <c r="R37" s="57">
        <v>0.0</v>
      </c>
      <c r="S37" s="55"/>
      <c r="T37" s="59">
        <v>0.0</v>
      </c>
      <c r="U37" s="55"/>
      <c r="V37" s="59">
        <v>0.0</v>
      </c>
      <c r="W37" s="55"/>
      <c r="X37" s="59">
        <v>0.0</v>
      </c>
      <c r="Y37" s="55"/>
      <c r="Z37" s="59">
        <v>0.0</v>
      </c>
      <c r="AA37" s="55"/>
      <c r="AB37" s="59">
        <v>0.0</v>
      </c>
      <c r="AC37" s="58"/>
      <c r="AD37" s="54"/>
      <c r="AE37" s="55"/>
      <c r="AF37" s="56"/>
      <c r="AG37" s="55"/>
      <c r="AH37" s="56"/>
      <c r="AI37" s="55"/>
      <c r="AJ37" s="56"/>
      <c r="AK37" s="55"/>
      <c r="AL37" s="56"/>
      <c r="AM37" s="55"/>
      <c r="AN37" s="56"/>
      <c r="AO37" s="58"/>
      <c r="AP37" s="60">
        <f t="shared" si="1"/>
        <v>0</v>
      </c>
      <c r="AQ37" s="51">
        <f t="shared" si="2"/>
        <v>0</v>
      </c>
      <c r="AR37" s="51">
        <f t="shared" si="3"/>
        <v>0</v>
      </c>
      <c r="AS37" s="51">
        <f t="shared" si="4"/>
        <v>0</v>
      </c>
      <c r="AT37" s="61" t="str">
        <f t="shared" si="5"/>
        <v/>
      </c>
      <c r="AU37" s="37"/>
      <c r="AV37" s="37"/>
      <c r="AW37" s="37"/>
    </row>
    <row r="38" ht="15.75" customHeight="1">
      <c r="A38" s="21" t="s">
        <v>24</v>
      </c>
      <c r="B38" s="62">
        <f t="shared" si="6"/>
        <v>44598</v>
      </c>
      <c r="C38" s="23">
        <v>2.0</v>
      </c>
      <c r="D38" s="23" t="s">
        <v>33</v>
      </c>
      <c r="E38" s="63" t="s">
        <v>26</v>
      </c>
      <c r="F38" s="28">
        <v>0.0</v>
      </c>
      <c r="H38" s="32">
        <v>0.0</v>
      </c>
      <c r="J38" s="32">
        <v>0.0</v>
      </c>
      <c r="L38" s="32">
        <v>0.0</v>
      </c>
      <c r="N38" s="32">
        <v>0.0</v>
      </c>
      <c r="P38" s="32">
        <v>0.0</v>
      </c>
      <c r="Q38" s="29"/>
      <c r="R38" s="28">
        <v>92.0</v>
      </c>
      <c r="T38" s="32">
        <v>105.0</v>
      </c>
      <c r="V38" s="32">
        <v>0.0</v>
      </c>
      <c r="X38" s="32">
        <v>0.0</v>
      </c>
      <c r="Z38" s="32">
        <v>0.0</v>
      </c>
      <c r="AB38" s="32">
        <v>0.0</v>
      </c>
      <c r="AC38" s="29"/>
      <c r="AD38" s="26"/>
      <c r="AF38" s="27"/>
      <c r="AH38" s="27"/>
      <c r="AJ38" s="27"/>
      <c r="AL38" s="27"/>
      <c r="AN38" s="27"/>
      <c r="AO38" s="29"/>
      <c r="AP38" s="35">
        <f t="shared" si="1"/>
        <v>3349</v>
      </c>
      <c r="AQ38" s="23">
        <f t="shared" si="2"/>
        <v>197</v>
      </c>
      <c r="AR38" s="23">
        <f t="shared" si="3"/>
        <v>0</v>
      </c>
      <c r="AS38" s="23">
        <f t="shared" si="4"/>
        <v>197</v>
      </c>
      <c r="AT38" s="36">
        <f t="shared" si="5"/>
        <v>17</v>
      </c>
      <c r="AU38" s="37"/>
      <c r="AV38" s="37"/>
      <c r="AW38" s="37"/>
    </row>
    <row r="39" ht="15.75" customHeight="1">
      <c r="A39" s="39" t="s">
        <v>27</v>
      </c>
      <c r="B39" s="40">
        <f t="shared" si="6"/>
        <v>44599</v>
      </c>
      <c r="C39" s="41">
        <v>2.0</v>
      </c>
      <c r="D39" s="41" t="s">
        <v>33</v>
      </c>
      <c r="E39" s="43" t="s">
        <v>26</v>
      </c>
      <c r="F39" s="28">
        <v>0.0</v>
      </c>
      <c r="H39" s="32">
        <v>0.0</v>
      </c>
      <c r="J39" s="32">
        <v>0.0</v>
      </c>
      <c r="L39" s="32">
        <v>0.0</v>
      </c>
      <c r="N39" s="32">
        <v>0.0</v>
      </c>
      <c r="P39" s="32">
        <v>0.0</v>
      </c>
      <c r="Q39" s="29"/>
      <c r="R39" s="28">
        <v>85.0</v>
      </c>
      <c r="T39" s="32">
        <v>113.0</v>
      </c>
      <c r="V39" s="32">
        <v>0.0</v>
      </c>
      <c r="X39" s="32">
        <v>0.0</v>
      </c>
      <c r="Z39" s="32">
        <v>0.0</v>
      </c>
      <c r="AB39" s="32">
        <v>0.0</v>
      </c>
      <c r="AC39" s="29"/>
      <c r="AD39" s="26"/>
      <c r="AF39" s="27"/>
      <c r="AH39" s="27"/>
      <c r="AJ39" s="27"/>
      <c r="AL39" s="27"/>
      <c r="AN39" s="27"/>
      <c r="AO39" s="29"/>
      <c r="AP39" s="45">
        <f t="shared" si="1"/>
        <v>3366</v>
      </c>
      <c r="AQ39" s="41">
        <f t="shared" si="2"/>
        <v>198</v>
      </c>
      <c r="AR39" s="41">
        <f t="shared" si="3"/>
        <v>0</v>
      </c>
      <c r="AS39" s="41">
        <f t="shared" si="4"/>
        <v>198</v>
      </c>
      <c r="AT39" s="46">
        <f t="shared" si="5"/>
        <v>17</v>
      </c>
      <c r="AU39" s="37"/>
      <c r="AV39" s="37"/>
      <c r="AW39" s="37"/>
    </row>
    <row r="40" ht="15.75" customHeight="1">
      <c r="A40" s="39" t="s">
        <v>28</v>
      </c>
      <c r="B40" s="40">
        <f t="shared" si="6"/>
        <v>44600</v>
      </c>
      <c r="C40" s="41">
        <v>2.0</v>
      </c>
      <c r="D40" s="41" t="s">
        <v>33</v>
      </c>
      <c r="E40" s="43" t="s">
        <v>26</v>
      </c>
      <c r="F40" s="28">
        <v>0.0</v>
      </c>
      <c r="H40" s="32">
        <v>0.0</v>
      </c>
      <c r="J40" s="32">
        <v>0.0</v>
      </c>
      <c r="L40" s="32">
        <v>0.0</v>
      </c>
      <c r="N40" s="32">
        <v>0.0</v>
      </c>
      <c r="P40" s="32">
        <v>0.0</v>
      </c>
      <c r="Q40" s="29"/>
      <c r="R40" s="28">
        <v>83.0</v>
      </c>
      <c r="T40" s="32">
        <v>132.0</v>
      </c>
      <c r="V40" s="32">
        <v>0.0</v>
      </c>
      <c r="X40" s="32">
        <v>0.0</v>
      </c>
      <c r="Z40" s="32">
        <v>0.0</v>
      </c>
      <c r="AB40" s="32">
        <v>0.0</v>
      </c>
      <c r="AC40" s="29"/>
      <c r="AD40" s="26"/>
      <c r="AF40" s="27"/>
      <c r="AH40" s="27"/>
      <c r="AJ40" s="27"/>
      <c r="AL40" s="27"/>
      <c r="AN40" s="27"/>
      <c r="AO40" s="29"/>
      <c r="AP40" s="45">
        <f t="shared" si="1"/>
        <v>3655</v>
      </c>
      <c r="AQ40" s="41">
        <f t="shared" si="2"/>
        <v>215</v>
      </c>
      <c r="AR40" s="41">
        <f t="shared" si="3"/>
        <v>0</v>
      </c>
      <c r="AS40" s="41">
        <f t="shared" si="4"/>
        <v>215</v>
      </c>
      <c r="AT40" s="46">
        <f t="shared" si="5"/>
        <v>17</v>
      </c>
      <c r="AU40" s="37"/>
      <c r="AV40" s="37"/>
      <c r="AW40" s="37"/>
    </row>
    <row r="41" ht="15.75" customHeight="1">
      <c r="A41" s="39" t="s">
        <v>29</v>
      </c>
      <c r="B41" s="40">
        <f t="shared" si="6"/>
        <v>44601</v>
      </c>
      <c r="C41" s="41">
        <v>2.0</v>
      </c>
      <c r="D41" s="41" t="s">
        <v>33</v>
      </c>
      <c r="E41" s="43" t="s">
        <v>26</v>
      </c>
      <c r="F41" s="28">
        <v>0.0</v>
      </c>
      <c r="H41" s="32">
        <v>0.0</v>
      </c>
      <c r="J41" s="32">
        <v>0.0</v>
      </c>
      <c r="L41" s="32">
        <v>0.0</v>
      </c>
      <c r="N41" s="32">
        <v>0.0</v>
      </c>
      <c r="P41" s="32">
        <v>0.0</v>
      </c>
      <c r="Q41" s="29"/>
      <c r="R41" s="28">
        <v>107.0</v>
      </c>
      <c r="T41" s="32">
        <v>160.0</v>
      </c>
      <c r="V41" s="32">
        <v>0.0</v>
      </c>
      <c r="X41" s="32">
        <v>0.0</v>
      </c>
      <c r="Z41" s="32">
        <v>0.0</v>
      </c>
      <c r="AB41" s="32">
        <v>0.0</v>
      </c>
      <c r="AC41" s="29"/>
      <c r="AD41" s="26"/>
      <c r="AF41" s="27"/>
      <c r="AH41" s="27"/>
      <c r="AJ41" s="27"/>
      <c r="AL41" s="27"/>
      <c r="AN41" s="27"/>
      <c r="AO41" s="29"/>
      <c r="AP41" s="45">
        <f t="shared" si="1"/>
        <v>4539</v>
      </c>
      <c r="AQ41" s="41">
        <f t="shared" si="2"/>
        <v>267</v>
      </c>
      <c r="AR41" s="41">
        <f t="shared" si="3"/>
        <v>0</v>
      </c>
      <c r="AS41" s="41">
        <f t="shared" si="4"/>
        <v>267</v>
      </c>
      <c r="AT41" s="46">
        <f t="shared" si="5"/>
        <v>17</v>
      </c>
      <c r="AU41" s="37"/>
      <c r="AV41" s="37"/>
      <c r="AW41" s="37"/>
    </row>
    <row r="42" ht="15.75" customHeight="1">
      <c r="A42" s="39" t="s">
        <v>30</v>
      </c>
      <c r="B42" s="40">
        <f t="shared" si="6"/>
        <v>44602</v>
      </c>
      <c r="C42" s="41">
        <v>2.0</v>
      </c>
      <c r="D42" s="41" t="s">
        <v>33</v>
      </c>
      <c r="E42" s="43" t="s">
        <v>26</v>
      </c>
      <c r="F42" s="28">
        <v>0.0</v>
      </c>
      <c r="H42" s="32">
        <v>0.0</v>
      </c>
      <c r="J42" s="32">
        <v>0.0</v>
      </c>
      <c r="L42" s="32">
        <v>0.0</v>
      </c>
      <c r="N42" s="32">
        <v>0.0</v>
      </c>
      <c r="P42" s="32">
        <v>0.0</v>
      </c>
      <c r="Q42" s="29"/>
      <c r="R42" s="28">
        <v>101.0</v>
      </c>
      <c r="T42" s="32">
        <v>149.0</v>
      </c>
      <c r="V42" s="32">
        <v>0.0</v>
      </c>
      <c r="X42" s="32">
        <v>0.0</v>
      </c>
      <c r="Z42" s="32">
        <v>0.0</v>
      </c>
      <c r="AB42" s="32">
        <v>0.0</v>
      </c>
      <c r="AC42" s="29"/>
      <c r="AD42" s="26"/>
      <c r="AF42" s="27"/>
      <c r="AH42" s="27"/>
      <c r="AJ42" s="27"/>
      <c r="AL42" s="27"/>
      <c r="AN42" s="27"/>
      <c r="AO42" s="29"/>
      <c r="AP42" s="45">
        <f t="shared" si="1"/>
        <v>4250</v>
      </c>
      <c r="AQ42" s="41">
        <f t="shared" si="2"/>
        <v>250</v>
      </c>
      <c r="AR42" s="41">
        <f t="shared" si="3"/>
        <v>0</v>
      </c>
      <c r="AS42" s="41">
        <f t="shared" si="4"/>
        <v>250</v>
      </c>
      <c r="AT42" s="46">
        <f t="shared" si="5"/>
        <v>17</v>
      </c>
      <c r="AU42" s="37"/>
      <c r="AV42" s="37"/>
      <c r="AW42" s="37"/>
    </row>
    <row r="43" ht="15.75" customHeight="1">
      <c r="A43" s="39" t="s">
        <v>31</v>
      </c>
      <c r="B43" s="40">
        <f t="shared" si="6"/>
        <v>44603</v>
      </c>
      <c r="C43" s="41">
        <v>2.0</v>
      </c>
      <c r="D43" s="41" t="s">
        <v>33</v>
      </c>
      <c r="E43" s="43" t="s">
        <v>26</v>
      </c>
      <c r="F43" s="28">
        <v>0.0</v>
      </c>
      <c r="H43" s="32">
        <v>0.0</v>
      </c>
      <c r="J43" s="32">
        <v>0.0</v>
      </c>
      <c r="L43" s="32">
        <v>0.0</v>
      </c>
      <c r="N43" s="32">
        <v>0.0</v>
      </c>
      <c r="P43" s="32">
        <v>0.0</v>
      </c>
      <c r="Q43" s="29"/>
      <c r="R43" s="28">
        <v>74.0</v>
      </c>
      <c r="T43" s="32">
        <v>90.0</v>
      </c>
      <c r="V43" s="32">
        <v>0.0</v>
      </c>
      <c r="X43" s="32">
        <v>0.0</v>
      </c>
      <c r="Z43" s="32">
        <v>0.0</v>
      </c>
      <c r="AB43" s="32">
        <v>0.0</v>
      </c>
      <c r="AC43" s="29"/>
      <c r="AD43" s="26"/>
      <c r="AF43" s="27"/>
      <c r="AH43" s="27"/>
      <c r="AJ43" s="27"/>
      <c r="AL43" s="27"/>
      <c r="AN43" s="27"/>
      <c r="AO43" s="29"/>
      <c r="AP43" s="45">
        <f t="shared" si="1"/>
        <v>2788</v>
      </c>
      <c r="AQ43" s="41">
        <f t="shared" si="2"/>
        <v>164</v>
      </c>
      <c r="AR43" s="41">
        <f t="shared" si="3"/>
        <v>0</v>
      </c>
      <c r="AS43" s="41">
        <f t="shared" si="4"/>
        <v>164</v>
      </c>
      <c r="AT43" s="46">
        <f t="shared" si="5"/>
        <v>17</v>
      </c>
      <c r="AU43" s="37"/>
      <c r="AV43" s="37"/>
      <c r="AW43" s="37"/>
    </row>
    <row r="44" ht="15.75" customHeight="1">
      <c r="A44" s="49" t="s">
        <v>32</v>
      </c>
      <c r="B44" s="50">
        <f t="shared" si="6"/>
        <v>44604</v>
      </c>
      <c r="C44" s="51">
        <v>2.0</v>
      </c>
      <c r="D44" s="51" t="s">
        <v>33</v>
      </c>
      <c r="E44" s="53" t="s">
        <v>26</v>
      </c>
      <c r="F44" s="57">
        <v>0.0</v>
      </c>
      <c r="G44" s="55"/>
      <c r="H44" s="59">
        <v>0.0</v>
      </c>
      <c r="I44" s="55"/>
      <c r="J44" s="59">
        <v>0.0</v>
      </c>
      <c r="K44" s="55"/>
      <c r="L44" s="59">
        <v>0.0</v>
      </c>
      <c r="M44" s="55"/>
      <c r="N44" s="59">
        <v>0.0</v>
      </c>
      <c r="O44" s="55"/>
      <c r="P44" s="59">
        <v>0.0</v>
      </c>
      <c r="Q44" s="58"/>
      <c r="R44" s="57">
        <v>0.0</v>
      </c>
      <c r="S44" s="55"/>
      <c r="T44" s="59">
        <v>0.0</v>
      </c>
      <c r="U44" s="55"/>
      <c r="V44" s="59">
        <v>0.0</v>
      </c>
      <c r="W44" s="55"/>
      <c r="X44" s="59">
        <v>0.0</v>
      </c>
      <c r="Y44" s="55"/>
      <c r="Z44" s="59">
        <v>0.0</v>
      </c>
      <c r="AA44" s="55"/>
      <c r="AB44" s="59">
        <v>0.0</v>
      </c>
      <c r="AC44" s="58"/>
      <c r="AD44" s="54"/>
      <c r="AE44" s="55"/>
      <c r="AF44" s="56"/>
      <c r="AG44" s="55"/>
      <c r="AH44" s="56"/>
      <c r="AI44" s="55"/>
      <c r="AJ44" s="56"/>
      <c r="AK44" s="55"/>
      <c r="AL44" s="56"/>
      <c r="AM44" s="55"/>
      <c r="AN44" s="56"/>
      <c r="AO44" s="58"/>
      <c r="AP44" s="60">
        <f t="shared" si="1"/>
        <v>0</v>
      </c>
      <c r="AQ44" s="51">
        <f t="shared" si="2"/>
        <v>0</v>
      </c>
      <c r="AR44" s="51">
        <f t="shared" si="3"/>
        <v>0</v>
      </c>
      <c r="AS44" s="51">
        <f t="shared" si="4"/>
        <v>0</v>
      </c>
      <c r="AT44" s="61" t="str">
        <f t="shared" si="5"/>
        <v/>
      </c>
      <c r="AU44" s="37"/>
      <c r="AV44" s="37"/>
      <c r="AW44" s="37"/>
    </row>
    <row r="45" ht="15.75" customHeight="1">
      <c r="A45" s="21" t="s">
        <v>24</v>
      </c>
      <c r="B45" s="62">
        <f t="shared" si="6"/>
        <v>44605</v>
      </c>
      <c r="C45" s="23">
        <v>2.0</v>
      </c>
      <c r="D45" s="23" t="s">
        <v>34</v>
      </c>
      <c r="E45" s="25" t="s">
        <v>37</v>
      </c>
      <c r="F45" s="28">
        <v>36.0</v>
      </c>
      <c r="H45" s="32">
        <v>48.0</v>
      </c>
      <c r="J45" s="32">
        <v>0.0</v>
      </c>
      <c r="L45" s="32">
        <v>0.0</v>
      </c>
      <c r="N45" s="32">
        <v>0.0</v>
      </c>
      <c r="P45" s="32">
        <v>0.0</v>
      </c>
      <c r="Q45" s="29"/>
      <c r="R45" s="28">
        <v>80.0</v>
      </c>
      <c r="T45" s="32">
        <v>136.0</v>
      </c>
      <c r="V45" s="32">
        <v>0.0</v>
      </c>
      <c r="X45" s="32">
        <v>0.0</v>
      </c>
      <c r="Z45" s="32">
        <v>0.0</v>
      </c>
      <c r="AB45" s="32">
        <v>0.0</v>
      </c>
      <c r="AC45" s="29"/>
      <c r="AD45" s="26"/>
      <c r="AF45" s="27"/>
      <c r="AH45" s="27"/>
      <c r="AJ45" s="27"/>
      <c r="AL45" s="27"/>
      <c r="AN45" s="27"/>
      <c r="AO45" s="29"/>
      <c r="AP45" s="35">
        <f t="shared" si="1"/>
        <v>6528</v>
      </c>
      <c r="AQ45" s="23">
        <f t="shared" si="2"/>
        <v>300</v>
      </c>
      <c r="AR45" s="23">
        <f t="shared" si="3"/>
        <v>0</v>
      </c>
      <c r="AS45" s="23">
        <f t="shared" si="4"/>
        <v>300</v>
      </c>
      <c r="AT45" s="36">
        <f t="shared" si="5"/>
        <v>21.76</v>
      </c>
      <c r="AU45" s="37"/>
      <c r="AV45" s="37"/>
      <c r="AW45" s="37"/>
    </row>
    <row r="46" ht="15.75" customHeight="1">
      <c r="A46" s="39" t="s">
        <v>27</v>
      </c>
      <c r="B46" s="40">
        <f t="shared" si="6"/>
        <v>44606</v>
      </c>
      <c r="C46" s="41">
        <v>2.0</v>
      </c>
      <c r="D46" s="41" t="s">
        <v>34</v>
      </c>
      <c r="E46" s="43" t="s">
        <v>37</v>
      </c>
      <c r="F46" s="28">
        <v>61.0</v>
      </c>
      <c r="H46" s="32">
        <v>67.0</v>
      </c>
      <c r="J46" s="32">
        <v>0.0</v>
      </c>
      <c r="L46" s="32">
        <v>0.0</v>
      </c>
      <c r="N46" s="32">
        <v>0.0</v>
      </c>
      <c r="P46" s="32">
        <v>0.0</v>
      </c>
      <c r="Q46" s="29"/>
      <c r="R46" s="28">
        <v>113.0</v>
      </c>
      <c r="T46" s="32">
        <v>189.0</v>
      </c>
      <c r="V46" s="32">
        <v>0.0</v>
      </c>
      <c r="X46" s="32">
        <v>0.0</v>
      </c>
      <c r="Z46" s="32">
        <v>0.0</v>
      </c>
      <c r="AB46" s="32">
        <v>0.0</v>
      </c>
      <c r="AC46" s="29"/>
      <c r="AD46" s="26"/>
      <c r="AF46" s="27"/>
      <c r="AH46" s="27"/>
      <c r="AJ46" s="27"/>
      <c r="AL46" s="27"/>
      <c r="AN46" s="27"/>
      <c r="AO46" s="29"/>
      <c r="AP46" s="45">
        <f t="shared" si="1"/>
        <v>9486</v>
      </c>
      <c r="AQ46" s="41">
        <f t="shared" si="2"/>
        <v>430</v>
      </c>
      <c r="AR46" s="41">
        <f t="shared" si="3"/>
        <v>0</v>
      </c>
      <c r="AS46" s="41">
        <f t="shared" si="4"/>
        <v>430</v>
      </c>
      <c r="AT46" s="46">
        <f t="shared" si="5"/>
        <v>22.06046512</v>
      </c>
      <c r="AU46" s="37"/>
      <c r="AV46" s="37"/>
      <c r="AW46" s="37"/>
    </row>
    <row r="47" ht="15.75" customHeight="1">
      <c r="A47" s="39" t="s">
        <v>28</v>
      </c>
      <c r="B47" s="40">
        <f t="shared" si="6"/>
        <v>44607</v>
      </c>
      <c r="C47" s="41">
        <v>2.0</v>
      </c>
      <c r="D47" s="41" t="s">
        <v>34</v>
      </c>
      <c r="E47" s="43" t="s">
        <v>37</v>
      </c>
      <c r="F47" s="28">
        <v>91.0</v>
      </c>
      <c r="H47" s="32">
        <v>84.0</v>
      </c>
      <c r="J47" s="32">
        <v>0.0</v>
      </c>
      <c r="L47" s="32">
        <v>0.0</v>
      </c>
      <c r="N47" s="32">
        <v>0.0</v>
      </c>
      <c r="P47" s="32">
        <v>0.0</v>
      </c>
      <c r="Q47" s="29"/>
      <c r="R47" s="28">
        <v>137.0</v>
      </c>
      <c r="T47" s="32">
        <v>193.0</v>
      </c>
      <c r="V47" s="32">
        <v>0.0</v>
      </c>
      <c r="X47" s="32">
        <v>0.0</v>
      </c>
      <c r="Z47" s="32">
        <v>0.0</v>
      </c>
      <c r="AB47" s="32">
        <v>0.0</v>
      </c>
      <c r="AC47" s="29"/>
      <c r="AD47" s="26"/>
      <c r="AF47" s="27"/>
      <c r="AH47" s="27"/>
      <c r="AJ47" s="27"/>
      <c r="AL47" s="27"/>
      <c r="AN47" s="27"/>
      <c r="AO47" s="29"/>
      <c r="AP47" s="45">
        <f t="shared" si="1"/>
        <v>11560</v>
      </c>
      <c r="AQ47" s="41">
        <f t="shared" si="2"/>
        <v>505</v>
      </c>
      <c r="AR47" s="41">
        <f t="shared" si="3"/>
        <v>0</v>
      </c>
      <c r="AS47" s="41">
        <f t="shared" si="4"/>
        <v>505</v>
      </c>
      <c r="AT47" s="46">
        <f t="shared" si="5"/>
        <v>22.89108911</v>
      </c>
      <c r="AU47" s="37"/>
      <c r="AV47" s="37"/>
      <c r="AW47" s="37"/>
    </row>
    <row r="48" ht="15.75" customHeight="1">
      <c r="A48" s="39" t="s">
        <v>29</v>
      </c>
      <c r="B48" s="40">
        <f t="shared" si="6"/>
        <v>44608</v>
      </c>
      <c r="C48" s="41">
        <v>2.0</v>
      </c>
      <c r="D48" s="41" t="s">
        <v>34</v>
      </c>
      <c r="E48" s="43" t="s">
        <v>37</v>
      </c>
      <c r="F48" s="28">
        <v>68.0</v>
      </c>
      <c r="H48" s="32">
        <v>71.0</v>
      </c>
      <c r="J48" s="32">
        <v>0.0</v>
      </c>
      <c r="L48" s="32">
        <v>0.0</v>
      </c>
      <c r="N48" s="32">
        <v>0.0</v>
      </c>
      <c r="P48" s="32">
        <v>0.0</v>
      </c>
      <c r="Q48" s="29"/>
      <c r="R48" s="28">
        <v>109.0</v>
      </c>
      <c r="T48" s="32">
        <v>196.0</v>
      </c>
      <c r="V48" s="32">
        <v>0.0</v>
      </c>
      <c r="X48" s="32">
        <v>0.0</v>
      </c>
      <c r="Z48" s="32">
        <v>0.0</v>
      </c>
      <c r="AB48" s="32">
        <v>0.0</v>
      </c>
      <c r="AC48" s="29"/>
      <c r="AD48" s="26"/>
      <c r="AF48" s="27"/>
      <c r="AH48" s="27"/>
      <c r="AJ48" s="27"/>
      <c r="AL48" s="27"/>
      <c r="AN48" s="27"/>
      <c r="AO48" s="29"/>
      <c r="AP48" s="45">
        <f t="shared" si="1"/>
        <v>9911</v>
      </c>
      <c r="AQ48" s="41">
        <f t="shared" si="2"/>
        <v>444</v>
      </c>
      <c r="AR48" s="41">
        <f t="shared" si="3"/>
        <v>0</v>
      </c>
      <c r="AS48" s="41">
        <f t="shared" si="4"/>
        <v>444</v>
      </c>
      <c r="AT48" s="46">
        <f t="shared" si="5"/>
        <v>22.32207207</v>
      </c>
      <c r="AU48" s="37"/>
      <c r="AV48" s="37"/>
      <c r="AW48" s="37"/>
    </row>
    <row r="49" ht="15.75" customHeight="1">
      <c r="A49" s="39" t="s">
        <v>30</v>
      </c>
      <c r="B49" s="40">
        <f t="shared" si="6"/>
        <v>44609</v>
      </c>
      <c r="C49" s="41">
        <v>2.0</v>
      </c>
      <c r="D49" s="41" t="s">
        <v>34</v>
      </c>
      <c r="E49" s="43" t="s">
        <v>37</v>
      </c>
      <c r="F49" s="28">
        <v>72.0</v>
      </c>
      <c r="H49" s="32">
        <v>103.0</v>
      </c>
      <c r="J49" s="32">
        <v>0.0</v>
      </c>
      <c r="L49" s="32">
        <v>0.0</v>
      </c>
      <c r="N49" s="32">
        <v>0.0</v>
      </c>
      <c r="P49" s="32">
        <v>0.0</v>
      </c>
      <c r="Q49" s="29"/>
      <c r="R49" s="28">
        <v>114.0</v>
      </c>
      <c r="T49" s="32">
        <v>208.0</v>
      </c>
      <c r="V49" s="32">
        <v>0.0</v>
      </c>
      <c r="X49" s="32">
        <v>0.0</v>
      </c>
      <c r="Z49" s="32">
        <v>0.0</v>
      </c>
      <c r="AB49" s="32">
        <v>0.0</v>
      </c>
      <c r="AC49" s="29"/>
      <c r="AD49" s="26"/>
      <c r="AF49" s="27"/>
      <c r="AH49" s="27"/>
      <c r="AJ49" s="27"/>
      <c r="AL49" s="27"/>
      <c r="AN49" s="27"/>
      <c r="AO49" s="29"/>
      <c r="AP49" s="45">
        <f t="shared" si="1"/>
        <v>11424</v>
      </c>
      <c r="AQ49" s="41">
        <f t="shared" si="2"/>
        <v>497</v>
      </c>
      <c r="AR49" s="41">
        <f t="shared" si="3"/>
        <v>0</v>
      </c>
      <c r="AS49" s="41">
        <f t="shared" si="4"/>
        <v>497</v>
      </c>
      <c r="AT49" s="46">
        <f t="shared" si="5"/>
        <v>22.98591549</v>
      </c>
      <c r="AU49" s="37"/>
      <c r="AV49" s="37"/>
      <c r="AW49" s="37"/>
    </row>
    <row r="50" ht="15.75" customHeight="1">
      <c r="A50" s="39" t="s">
        <v>31</v>
      </c>
      <c r="B50" s="40">
        <f t="shared" si="6"/>
        <v>44610</v>
      </c>
      <c r="C50" s="41">
        <v>2.0</v>
      </c>
      <c r="D50" s="41" t="s">
        <v>34</v>
      </c>
      <c r="E50" s="43" t="s">
        <v>37</v>
      </c>
      <c r="F50" s="28">
        <v>85.0</v>
      </c>
      <c r="H50" s="32">
        <v>105.0</v>
      </c>
      <c r="J50" s="32">
        <v>0.0</v>
      </c>
      <c r="L50" s="32">
        <v>0.0</v>
      </c>
      <c r="N50" s="32">
        <v>0.0</v>
      </c>
      <c r="P50" s="32">
        <v>0.0</v>
      </c>
      <c r="Q50" s="29"/>
      <c r="R50" s="28">
        <v>96.0</v>
      </c>
      <c r="T50" s="32">
        <v>225.0</v>
      </c>
      <c r="V50" s="32">
        <v>0.0</v>
      </c>
      <c r="X50" s="32">
        <v>0.0</v>
      </c>
      <c r="Z50" s="32">
        <v>0.0</v>
      </c>
      <c r="AB50" s="32">
        <v>0.0</v>
      </c>
      <c r="AC50" s="29"/>
      <c r="AD50" s="26"/>
      <c r="AF50" s="27"/>
      <c r="AH50" s="27"/>
      <c r="AJ50" s="27"/>
      <c r="AL50" s="27"/>
      <c r="AN50" s="27"/>
      <c r="AO50" s="29"/>
      <c r="AP50" s="45">
        <f t="shared" si="1"/>
        <v>11917</v>
      </c>
      <c r="AQ50" s="41">
        <f t="shared" si="2"/>
        <v>511</v>
      </c>
      <c r="AR50" s="41">
        <f t="shared" si="3"/>
        <v>0</v>
      </c>
      <c r="AS50" s="41">
        <f t="shared" si="4"/>
        <v>511</v>
      </c>
      <c r="AT50" s="46">
        <f t="shared" si="5"/>
        <v>23.32093933</v>
      </c>
      <c r="AU50" s="37"/>
      <c r="AV50" s="37"/>
      <c r="AW50" s="37"/>
    </row>
    <row r="51" ht="15.75" customHeight="1">
      <c r="A51" s="49" t="s">
        <v>32</v>
      </c>
      <c r="B51" s="50">
        <f t="shared" si="6"/>
        <v>44611</v>
      </c>
      <c r="C51" s="51">
        <v>2.0</v>
      </c>
      <c r="D51" s="51" t="s">
        <v>34</v>
      </c>
      <c r="E51" s="53" t="s">
        <v>37</v>
      </c>
      <c r="F51" s="57">
        <v>92.0</v>
      </c>
      <c r="G51" s="55"/>
      <c r="H51" s="59">
        <v>109.0</v>
      </c>
      <c r="I51" s="55"/>
      <c r="J51" s="59">
        <v>0.0</v>
      </c>
      <c r="K51" s="55"/>
      <c r="L51" s="59">
        <v>0.0</v>
      </c>
      <c r="M51" s="55"/>
      <c r="N51" s="59">
        <v>0.0</v>
      </c>
      <c r="O51" s="55"/>
      <c r="P51" s="59">
        <v>0.0</v>
      </c>
      <c r="Q51" s="58"/>
      <c r="R51" s="57">
        <v>81.0</v>
      </c>
      <c r="S51" s="55"/>
      <c r="T51" s="59">
        <v>162.0</v>
      </c>
      <c r="U51" s="55"/>
      <c r="V51" s="59">
        <v>0.0</v>
      </c>
      <c r="W51" s="55"/>
      <c r="X51" s="59">
        <v>0.0</v>
      </c>
      <c r="Y51" s="55"/>
      <c r="Z51" s="59">
        <v>0.0</v>
      </c>
      <c r="AA51" s="55"/>
      <c r="AB51" s="59">
        <v>0.0</v>
      </c>
      <c r="AC51" s="58"/>
      <c r="AD51" s="54"/>
      <c r="AE51" s="55"/>
      <c r="AF51" s="56"/>
      <c r="AG51" s="55"/>
      <c r="AH51" s="56"/>
      <c r="AI51" s="55"/>
      <c r="AJ51" s="56"/>
      <c r="AK51" s="55"/>
      <c r="AL51" s="56"/>
      <c r="AM51" s="55"/>
      <c r="AN51" s="56"/>
      <c r="AO51" s="58"/>
      <c r="AP51" s="60">
        <f t="shared" si="1"/>
        <v>10965</v>
      </c>
      <c r="AQ51" s="51">
        <f t="shared" si="2"/>
        <v>444</v>
      </c>
      <c r="AR51" s="51">
        <f t="shared" si="3"/>
        <v>0</v>
      </c>
      <c r="AS51" s="51">
        <f t="shared" si="4"/>
        <v>444</v>
      </c>
      <c r="AT51" s="61">
        <f t="shared" si="5"/>
        <v>24.69594595</v>
      </c>
      <c r="AU51" s="37"/>
      <c r="AV51" s="37"/>
      <c r="AW51" s="37"/>
    </row>
    <row r="52" ht="15.75" customHeight="1">
      <c r="A52" s="21" t="s">
        <v>24</v>
      </c>
      <c r="B52" s="62">
        <f t="shared" si="6"/>
        <v>44612</v>
      </c>
      <c r="C52" s="23">
        <v>2.0</v>
      </c>
      <c r="D52" s="23" t="s">
        <v>35</v>
      </c>
      <c r="E52" s="63" t="s">
        <v>37</v>
      </c>
      <c r="F52" s="28">
        <v>91.0</v>
      </c>
      <c r="H52" s="32">
        <v>42.0</v>
      </c>
      <c r="J52" s="32">
        <v>0.0</v>
      </c>
      <c r="L52" s="32">
        <v>0.0</v>
      </c>
      <c r="N52" s="32">
        <v>0.0</v>
      </c>
      <c r="P52" s="32">
        <v>0.0</v>
      </c>
      <c r="Q52" s="29"/>
      <c r="R52" s="28">
        <v>195.0</v>
      </c>
      <c r="T52" s="32">
        <v>219.0</v>
      </c>
      <c r="V52" s="32">
        <v>0.0</v>
      </c>
      <c r="X52" s="32">
        <v>0.0</v>
      </c>
      <c r="Z52" s="32">
        <v>0.0</v>
      </c>
      <c r="AB52" s="32">
        <v>0.0</v>
      </c>
      <c r="AC52" s="29"/>
      <c r="AD52" s="26"/>
      <c r="AF52" s="27"/>
      <c r="AH52" s="27"/>
      <c r="AJ52" s="27"/>
      <c r="AL52" s="27"/>
      <c r="AN52" s="27"/>
      <c r="AO52" s="29"/>
      <c r="AP52" s="35">
        <f t="shared" si="1"/>
        <v>11560</v>
      </c>
      <c r="AQ52" s="23">
        <f t="shared" si="2"/>
        <v>547</v>
      </c>
      <c r="AR52" s="23">
        <f t="shared" si="3"/>
        <v>0</v>
      </c>
      <c r="AS52" s="23">
        <f t="shared" si="4"/>
        <v>547</v>
      </c>
      <c r="AT52" s="36">
        <f t="shared" si="5"/>
        <v>21.13345521</v>
      </c>
      <c r="AU52" s="37"/>
      <c r="AV52" s="37"/>
      <c r="AW52" s="37"/>
    </row>
    <row r="53" ht="15.75" customHeight="1">
      <c r="A53" s="39" t="s">
        <v>27</v>
      </c>
      <c r="B53" s="40">
        <f t="shared" si="6"/>
        <v>44613</v>
      </c>
      <c r="C53" s="41">
        <v>2.0</v>
      </c>
      <c r="D53" s="41" t="s">
        <v>35</v>
      </c>
      <c r="E53" s="43" t="s">
        <v>37</v>
      </c>
      <c r="F53" s="28">
        <v>100.0</v>
      </c>
      <c r="H53" s="32">
        <v>109.0</v>
      </c>
      <c r="J53" s="32">
        <v>0.0</v>
      </c>
      <c r="L53" s="32">
        <v>0.0</v>
      </c>
      <c r="N53" s="32">
        <v>0.0</v>
      </c>
      <c r="P53" s="32">
        <v>0.0</v>
      </c>
      <c r="Q53" s="29"/>
      <c r="R53" s="28">
        <v>127.0</v>
      </c>
      <c r="T53" s="32">
        <v>214.0</v>
      </c>
      <c r="V53" s="32">
        <v>0.0</v>
      </c>
      <c r="X53" s="32">
        <v>0.0</v>
      </c>
      <c r="Z53" s="32">
        <v>0.0</v>
      </c>
      <c r="AB53" s="32">
        <v>0.0</v>
      </c>
      <c r="AC53" s="29"/>
      <c r="AD53" s="26"/>
      <c r="AF53" s="27"/>
      <c r="AH53" s="27"/>
      <c r="AJ53" s="27"/>
      <c r="AL53" s="27"/>
      <c r="AN53" s="27"/>
      <c r="AO53" s="29"/>
      <c r="AP53" s="45">
        <f t="shared" si="1"/>
        <v>12903</v>
      </c>
      <c r="AQ53" s="41">
        <f t="shared" si="2"/>
        <v>550</v>
      </c>
      <c r="AR53" s="41">
        <f t="shared" si="3"/>
        <v>0</v>
      </c>
      <c r="AS53" s="41">
        <f t="shared" si="4"/>
        <v>550</v>
      </c>
      <c r="AT53" s="46">
        <f t="shared" si="5"/>
        <v>23.46</v>
      </c>
      <c r="AU53" s="37"/>
      <c r="AV53" s="37"/>
      <c r="AW53" s="37"/>
    </row>
    <row r="54" ht="15.75" customHeight="1">
      <c r="A54" s="39" t="s">
        <v>28</v>
      </c>
      <c r="B54" s="40">
        <f t="shared" si="6"/>
        <v>44614</v>
      </c>
      <c r="C54" s="41">
        <v>2.0</v>
      </c>
      <c r="D54" s="41" t="s">
        <v>35</v>
      </c>
      <c r="E54" s="43" t="s">
        <v>37</v>
      </c>
      <c r="F54" s="28">
        <v>93.0</v>
      </c>
      <c r="H54" s="32">
        <v>105.0</v>
      </c>
      <c r="J54" s="32">
        <v>0.0</v>
      </c>
      <c r="L54" s="32">
        <v>0.0</v>
      </c>
      <c r="N54" s="32">
        <v>0.0</v>
      </c>
      <c r="P54" s="32">
        <v>0.0</v>
      </c>
      <c r="Q54" s="29"/>
      <c r="R54" s="28">
        <v>109.0</v>
      </c>
      <c r="T54" s="32">
        <v>189.0</v>
      </c>
      <c r="V54" s="32">
        <v>0.0</v>
      </c>
      <c r="X54" s="32">
        <v>0.0</v>
      </c>
      <c r="Z54" s="32">
        <v>0.0</v>
      </c>
      <c r="AB54" s="32">
        <v>0.0</v>
      </c>
      <c r="AC54" s="29"/>
      <c r="AD54" s="26"/>
      <c r="AF54" s="27"/>
      <c r="AH54" s="27"/>
      <c r="AJ54" s="27"/>
      <c r="AL54" s="27"/>
      <c r="AN54" s="27"/>
      <c r="AO54" s="29"/>
      <c r="AP54" s="45">
        <f t="shared" si="1"/>
        <v>11798</v>
      </c>
      <c r="AQ54" s="41">
        <f t="shared" si="2"/>
        <v>496</v>
      </c>
      <c r="AR54" s="41">
        <f t="shared" si="3"/>
        <v>0</v>
      </c>
      <c r="AS54" s="41">
        <f t="shared" si="4"/>
        <v>496</v>
      </c>
      <c r="AT54" s="46">
        <f t="shared" si="5"/>
        <v>23.78629032</v>
      </c>
      <c r="AU54" s="37"/>
      <c r="AV54" s="37"/>
      <c r="AW54" s="37"/>
    </row>
    <row r="55" ht="15.75" customHeight="1">
      <c r="A55" s="39" t="s">
        <v>29</v>
      </c>
      <c r="B55" s="40">
        <f t="shared" si="6"/>
        <v>44615</v>
      </c>
      <c r="C55" s="41">
        <v>2.0</v>
      </c>
      <c r="D55" s="41" t="s">
        <v>35</v>
      </c>
      <c r="E55" s="43" t="s">
        <v>37</v>
      </c>
      <c r="F55" s="28">
        <v>96.0</v>
      </c>
      <c r="H55" s="32">
        <v>103.0</v>
      </c>
      <c r="J55" s="32">
        <v>0.0</v>
      </c>
      <c r="L55" s="32">
        <v>0.0</v>
      </c>
      <c r="N55" s="32">
        <v>0.0</v>
      </c>
      <c r="P55" s="32">
        <v>0.0</v>
      </c>
      <c r="Q55" s="29"/>
      <c r="R55" s="28">
        <v>118.0</v>
      </c>
      <c r="T55" s="32">
        <v>203.0</v>
      </c>
      <c r="V55" s="32">
        <v>0.0</v>
      </c>
      <c r="X55" s="32">
        <v>0.0</v>
      </c>
      <c r="Z55" s="32">
        <v>0.0</v>
      </c>
      <c r="AB55" s="32">
        <v>0.0</v>
      </c>
      <c r="AC55" s="29"/>
      <c r="AD55" s="26"/>
      <c r="AF55" s="27"/>
      <c r="AH55" s="27"/>
      <c r="AJ55" s="27"/>
      <c r="AL55" s="27"/>
      <c r="AN55" s="27"/>
      <c r="AO55" s="29"/>
      <c r="AP55" s="45">
        <f t="shared" si="1"/>
        <v>12223</v>
      </c>
      <c r="AQ55" s="41">
        <f t="shared" si="2"/>
        <v>520</v>
      </c>
      <c r="AR55" s="41">
        <f t="shared" si="3"/>
        <v>0</v>
      </c>
      <c r="AS55" s="41">
        <f t="shared" si="4"/>
        <v>520</v>
      </c>
      <c r="AT55" s="46">
        <f t="shared" si="5"/>
        <v>23.50576923</v>
      </c>
      <c r="AU55" s="37"/>
      <c r="AV55" s="37"/>
      <c r="AW55" s="37"/>
    </row>
    <row r="56" ht="15.75" customHeight="1">
      <c r="A56" s="39" t="s">
        <v>30</v>
      </c>
      <c r="B56" s="40">
        <f t="shared" si="6"/>
        <v>44616</v>
      </c>
      <c r="C56" s="41">
        <v>2.0</v>
      </c>
      <c r="D56" s="41" t="s">
        <v>35</v>
      </c>
      <c r="E56" s="43" t="s">
        <v>37</v>
      </c>
      <c r="F56" s="28">
        <v>123.0</v>
      </c>
      <c r="H56" s="32">
        <v>112.0</v>
      </c>
      <c r="J56" s="32">
        <v>0.0</v>
      </c>
      <c r="L56" s="32">
        <v>0.0</v>
      </c>
      <c r="N56" s="32">
        <v>0.0</v>
      </c>
      <c r="P56" s="32">
        <v>0.0</v>
      </c>
      <c r="Q56" s="29"/>
      <c r="R56" s="28">
        <v>136.0</v>
      </c>
      <c r="T56" s="32">
        <v>242.0</v>
      </c>
      <c r="V56" s="32">
        <v>0.0</v>
      </c>
      <c r="X56" s="32">
        <v>0.0</v>
      </c>
      <c r="Z56" s="32">
        <v>0.0</v>
      </c>
      <c r="AB56" s="32">
        <v>0.0</v>
      </c>
      <c r="AC56" s="29"/>
      <c r="AD56" s="26"/>
      <c r="AF56" s="27"/>
      <c r="AH56" s="27"/>
      <c r="AJ56" s="27"/>
      <c r="AL56" s="27"/>
      <c r="AN56" s="27"/>
      <c r="AO56" s="29"/>
      <c r="AP56" s="45">
        <f t="shared" si="1"/>
        <v>14416</v>
      </c>
      <c r="AQ56" s="41">
        <f t="shared" si="2"/>
        <v>613</v>
      </c>
      <c r="AR56" s="41">
        <f t="shared" si="3"/>
        <v>0</v>
      </c>
      <c r="AS56" s="41">
        <f t="shared" si="4"/>
        <v>613</v>
      </c>
      <c r="AT56" s="46">
        <f t="shared" si="5"/>
        <v>23.51712887</v>
      </c>
      <c r="AU56" s="37"/>
      <c r="AV56" s="37"/>
      <c r="AW56" s="37"/>
    </row>
    <row r="57" ht="15.75" customHeight="1">
      <c r="A57" s="39" t="s">
        <v>31</v>
      </c>
      <c r="B57" s="40">
        <f t="shared" si="6"/>
        <v>44617</v>
      </c>
      <c r="C57" s="41">
        <v>2.0</v>
      </c>
      <c r="D57" s="41" t="s">
        <v>35</v>
      </c>
      <c r="E57" s="43" t="s">
        <v>37</v>
      </c>
      <c r="F57" s="28">
        <v>93.0</v>
      </c>
      <c r="H57" s="32">
        <v>109.0</v>
      </c>
      <c r="J57" s="32">
        <v>0.0</v>
      </c>
      <c r="L57" s="32">
        <v>0.0</v>
      </c>
      <c r="N57" s="32">
        <v>0.0</v>
      </c>
      <c r="P57" s="32">
        <v>0.0</v>
      </c>
      <c r="Q57" s="29"/>
      <c r="R57" s="28">
        <v>123.0</v>
      </c>
      <c r="T57" s="32">
        <v>238.0</v>
      </c>
      <c r="V57" s="32">
        <v>0.0</v>
      </c>
      <c r="X57" s="32">
        <v>0.0</v>
      </c>
      <c r="Z57" s="32">
        <v>0.0</v>
      </c>
      <c r="AB57" s="32">
        <v>0.0</v>
      </c>
      <c r="AC57" s="29"/>
      <c r="AD57" s="26"/>
      <c r="AF57" s="27"/>
      <c r="AH57" s="27"/>
      <c r="AJ57" s="27"/>
      <c r="AL57" s="27"/>
      <c r="AN57" s="27"/>
      <c r="AO57" s="29"/>
      <c r="AP57" s="45">
        <f t="shared" si="1"/>
        <v>13005</v>
      </c>
      <c r="AQ57" s="41">
        <f t="shared" si="2"/>
        <v>563</v>
      </c>
      <c r="AR57" s="41">
        <f t="shared" si="3"/>
        <v>0</v>
      </c>
      <c r="AS57" s="41">
        <f t="shared" si="4"/>
        <v>563</v>
      </c>
      <c r="AT57" s="46">
        <f t="shared" si="5"/>
        <v>23.09946714</v>
      </c>
      <c r="AU57" s="37"/>
      <c r="AV57" s="37"/>
      <c r="AW57" s="37"/>
    </row>
    <row r="58" ht="15.75" customHeight="1">
      <c r="A58" s="49" t="s">
        <v>32</v>
      </c>
      <c r="B58" s="50">
        <f t="shared" si="6"/>
        <v>44618</v>
      </c>
      <c r="C58" s="51">
        <v>2.0</v>
      </c>
      <c r="D58" s="51" t="s">
        <v>35</v>
      </c>
      <c r="E58" s="53" t="s">
        <v>37</v>
      </c>
      <c r="F58" s="57">
        <v>105.0</v>
      </c>
      <c r="G58" s="55"/>
      <c r="H58" s="59">
        <v>62.0</v>
      </c>
      <c r="I58" s="55"/>
      <c r="J58" s="59">
        <v>0.0</v>
      </c>
      <c r="K58" s="55"/>
      <c r="L58" s="59">
        <v>0.0</v>
      </c>
      <c r="M58" s="55"/>
      <c r="N58" s="59">
        <v>0.0</v>
      </c>
      <c r="O58" s="55"/>
      <c r="P58" s="59">
        <v>0.0</v>
      </c>
      <c r="Q58" s="58"/>
      <c r="R58" s="57">
        <v>129.0</v>
      </c>
      <c r="S58" s="55"/>
      <c r="T58" s="59">
        <v>213.0</v>
      </c>
      <c r="U58" s="55"/>
      <c r="V58" s="59">
        <v>0.0</v>
      </c>
      <c r="W58" s="55"/>
      <c r="X58" s="59">
        <v>0.0</v>
      </c>
      <c r="Y58" s="55"/>
      <c r="Z58" s="59">
        <v>0.0</v>
      </c>
      <c r="AA58" s="55"/>
      <c r="AB58" s="59">
        <v>0.0</v>
      </c>
      <c r="AC58" s="58"/>
      <c r="AD58" s="54"/>
      <c r="AE58" s="55"/>
      <c r="AF58" s="56"/>
      <c r="AG58" s="55"/>
      <c r="AH58" s="56"/>
      <c r="AI58" s="55"/>
      <c r="AJ58" s="56"/>
      <c r="AK58" s="55"/>
      <c r="AL58" s="56"/>
      <c r="AM58" s="55"/>
      <c r="AN58" s="56"/>
      <c r="AO58" s="58"/>
      <c r="AP58" s="60">
        <f t="shared" si="1"/>
        <v>11492</v>
      </c>
      <c r="AQ58" s="51">
        <f t="shared" si="2"/>
        <v>509</v>
      </c>
      <c r="AR58" s="51">
        <f t="shared" si="3"/>
        <v>0</v>
      </c>
      <c r="AS58" s="51">
        <f t="shared" si="4"/>
        <v>509</v>
      </c>
      <c r="AT58" s="61">
        <f t="shared" si="5"/>
        <v>22.57760314</v>
      </c>
      <c r="AU58" s="37"/>
      <c r="AV58" s="37"/>
      <c r="AW58" s="37"/>
    </row>
    <row r="59" ht="15.75" customHeight="1">
      <c r="A59" s="21" t="s">
        <v>24</v>
      </c>
      <c r="B59" s="62">
        <f t="shared" si="6"/>
        <v>44619</v>
      </c>
      <c r="C59" s="23">
        <v>3.0</v>
      </c>
      <c r="D59" s="23" t="s">
        <v>25</v>
      </c>
      <c r="E59" s="63" t="s">
        <v>37</v>
      </c>
      <c r="F59" s="28">
        <v>101.0</v>
      </c>
      <c r="H59" s="32">
        <v>61.0</v>
      </c>
      <c r="J59" s="32">
        <v>0.0</v>
      </c>
      <c r="L59" s="32">
        <v>0.0</v>
      </c>
      <c r="N59" s="32">
        <v>0.0</v>
      </c>
      <c r="P59" s="32">
        <v>0.0</v>
      </c>
      <c r="Q59" s="29"/>
      <c r="R59" s="28">
        <v>151.0</v>
      </c>
      <c r="T59" s="32">
        <v>262.0</v>
      </c>
      <c r="V59" s="32">
        <v>0.0</v>
      </c>
      <c r="X59" s="32">
        <v>0.0</v>
      </c>
      <c r="Z59" s="32">
        <v>0.0</v>
      </c>
      <c r="AB59" s="32">
        <v>0.0</v>
      </c>
      <c r="AC59" s="29"/>
      <c r="AD59" s="26"/>
      <c r="AF59" s="27"/>
      <c r="AH59" s="27"/>
      <c r="AJ59" s="27"/>
      <c r="AL59" s="27"/>
      <c r="AN59" s="27"/>
      <c r="AO59" s="29"/>
      <c r="AP59" s="35">
        <f t="shared" si="1"/>
        <v>12529</v>
      </c>
      <c r="AQ59" s="23">
        <f t="shared" si="2"/>
        <v>575</v>
      </c>
      <c r="AR59" s="23">
        <f t="shared" si="3"/>
        <v>0</v>
      </c>
      <c r="AS59" s="23">
        <f t="shared" si="4"/>
        <v>575</v>
      </c>
      <c r="AT59" s="36">
        <f t="shared" si="5"/>
        <v>21.78956522</v>
      </c>
      <c r="AU59" s="37"/>
      <c r="AV59" s="37"/>
      <c r="AW59" s="37"/>
    </row>
    <row r="60" ht="15.75" customHeight="1">
      <c r="A60" s="39" t="s">
        <v>27</v>
      </c>
      <c r="B60" s="40">
        <f t="shared" si="6"/>
        <v>44620</v>
      </c>
      <c r="C60" s="41">
        <v>3.0</v>
      </c>
      <c r="D60" s="41" t="s">
        <v>25</v>
      </c>
      <c r="E60" s="43" t="s">
        <v>37</v>
      </c>
      <c r="F60" s="28">
        <v>98.0</v>
      </c>
      <c r="H60" s="32">
        <v>105.0</v>
      </c>
      <c r="J60" s="32">
        <v>0.0</v>
      </c>
      <c r="L60" s="32">
        <v>0.0</v>
      </c>
      <c r="N60" s="32">
        <v>0.0</v>
      </c>
      <c r="P60" s="32">
        <v>0.0</v>
      </c>
      <c r="Q60" s="29"/>
      <c r="R60" s="28">
        <v>154.0</v>
      </c>
      <c r="T60" s="32">
        <v>248.0</v>
      </c>
      <c r="V60" s="32">
        <v>0.0</v>
      </c>
      <c r="X60" s="32">
        <v>0.0</v>
      </c>
      <c r="Z60" s="32">
        <v>0.0</v>
      </c>
      <c r="AB60" s="32">
        <v>0.0</v>
      </c>
      <c r="AC60" s="29"/>
      <c r="AD60" s="26"/>
      <c r="AF60" s="27"/>
      <c r="AH60" s="27"/>
      <c r="AJ60" s="27"/>
      <c r="AL60" s="27"/>
      <c r="AN60" s="27"/>
      <c r="AO60" s="29"/>
      <c r="AP60" s="45">
        <f t="shared" si="1"/>
        <v>13736</v>
      </c>
      <c r="AQ60" s="41">
        <f t="shared" si="2"/>
        <v>605</v>
      </c>
      <c r="AR60" s="41">
        <f t="shared" si="3"/>
        <v>0</v>
      </c>
      <c r="AS60" s="41">
        <f t="shared" si="4"/>
        <v>605</v>
      </c>
      <c r="AT60" s="46">
        <f t="shared" si="5"/>
        <v>22.70413223</v>
      </c>
      <c r="AU60" s="37"/>
      <c r="AV60" s="37"/>
      <c r="AW60" s="37"/>
    </row>
    <row r="61" ht="15.75" customHeight="1">
      <c r="A61" s="39" t="s">
        <v>28</v>
      </c>
      <c r="B61" s="40">
        <f t="shared" si="6"/>
        <v>44621</v>
      </c>
      <c r="C61" s="41">
        <v>3.0</v>
      </c>
      <c r="D61" s="41" t="s">
        <v>25</v>
      </c>
      <c r="E61" s="43" t="s">
        <v>37</v>
      </c>
      <c r="F61" s="28">
        <v>95.0</v>
      </c>
      <c r="H61" s="32">
        <v>69.0</v>
      </c>
      <c r="J61" s="32">
        <v>0.0</v>
      </c>
      <c r="L61" s="32">
        <v>0.0</v>
      </c>
      <c r="N61" s="32">
        <v>0.0</v>
      </c>
      <c r="P61" s="32">
        <v>0.0</v>
      </c>
      <c r="Q61" s="29"/>
      <c r="R61" s="28">
        <v>127.0</v>
      </c>
      <c r="T61" s="32">
        <v>230.0</v>
      </c>
      <c r="V61" s="32">
        <v>0.0</v>
      </c>
      <c r="X61" s="32">
        <v>0.0</v>
      </c>
      <c r="Z61" s="32">
        <v>0.0</v>
      </c>
      <c r="AB61" s="32">
        <v>0.0</v>
      </c>
      <c r="AC61" s="29"/>
      <c r="AD61" s="26"/>
      <c r="AF61" s="27"/>
      <c r="AH61" s="27"/>
      <c r="AJ61" s="27"/>
      <c r="AL61" s="27"/>
      <c r="AN61" s="27"/>
      <c r="AO61" s="29"/>
      <c r="AP61" s="45">
        <f t="shared" si="1"/>
        <v>11645</v>
      </c>
      <c r="AQ61" s="41">
        <f t="shared" si="2"/>
        <v>521</v>
      </c>
      <c r="AR61" s="41">
        <f t="shared" si="3"/>
        <v>0</v>
      </c>
      <c r="AS61" s="41">
        <f t="shared" si="4"/>
        <v>521</v>
      </c>
      <c r="AT61" s="46">
        <f t="shared" si="5"/>
        <v>22.3512476</v>
      </c>
      <c r="AU61" s="37"/>
      <c r="AV61" s="37"/>
      <c r="AW61" s="37"/>
    </row>
    <row r="62" ht="15.75" customHeight="1">
      <c r="A62" s="39" t="s">
        <v>29</v>
      </c>
      <c r="B62" s="40">
        <f t="shared" si="6"/>
        <v>44622</v>
      </c>
      <c r="C62" s="41">
        <v>3.0</v>
      </c>
      <c r="D62" s="41" t="s">
        <v>25</v>
      </c>
      <c r="E62" s="43" t="s">
        <v>37</v>
      </c>
      <c r="F62" s="28">
        <v>99.0</v>
      </c>
      <c r="H62" s="32">
        <v>67.0</v>
      </c>
      <c r="J62" s="32">
        <v>0.0</v>
      </c>
      <c r="L62" s="32">
        <v>0.0</v>
      </c>
      <c r="N62" s="32">
        <v>0.0</v>
      </c>
      <c r="P62" s="32">
        <v>0.0</v>
      </c>
      <c r="Q62" s="29"/>
      <c r="R62" s="28">
        <v>140.0</v>
      </c>
      <c r="T62" s="32">
        <v>238.0</v>
      </c>
      <c r="V62" s="32">
        <v>0.0</v>
      </c>
      <c r="X62" s="32">
        <v>0.0</v>
      </c>
      <c r="Z62" s="32">
        <v>0.0</v>
      </c>
      <c r="AB62" s="32">
        <v>0.0</v>
      </c>
      <c r="AC62" s="29"/>
      <c r="AD62" s="26"/>
      <c r="AF62" s="27"/>
      <c r="AH62" s="27"/>
      <c r="AJ62" s="27"/>
      <c r="AL62" s="27"/>
      <c r="AN62" s="27"/>
      <c r="AO62" s="29"/>
      <c r="AP62" s="45">
        <f t="shared" si="1"/>
        <v>12070</v>
      </c>
      <c r="AQ62" s="41">
        <f t="shared" si="2"/>
        <v>544</v>
      </c>
      <c r="AR62" s="41">
        <f t="shared" si="3"/>
        <v>0</v>
      </c>
      <c r="AS62" s="41">
        <f t="shared" si="4"/>
        <v>544</v>
      </c>
      <c r="AT62" s="46">
        <f t="shared" si="5"/>
        <v>22.1875</v>
      </c>
      <c r="AU62" s="37"/>
      <c r="AV62" s="37"/>
      <c r="AW62" s="37"/>
    </row>
    <row r="63" ht="15.75" customHeight="1">
      <c r="A63" s="39" t="s">
        <v>30</v>
      </c>
      <c r="B63" s="40">
        <f t="shared" si="6"/>
        <v>44623</v>
      </c>
      <c r="C63" s="41">
        <v>3.0</v>
      </c>
      <c r="D63" s="41" t="s">
        <v>25</v>
      </c>
      <c r="E63" s="43" t="s">
        <v>37</v>
      </c>
      <c r="F63" s="28">
        <v>105.0</v>
      </c>
      <c r="H63" s="32">
        <v>105.0</v>
      </c>
      <c r="J63" s="32">
        <v>0.0</v>
      </c>
      <c r="L63" s="32">
        <v>0.0</v>
      </c>
      <c r="N63" s="32">
        <v>0.0</v>
      </c>
      <c r="P63" s="32">
        <v>0.0</v>
      </c>
      <c r="Q63" s="29"/>
      <c r="R63" s="28">
        <v>133.0</v>
      </c>
      <c r="T63" s="32">
        <v>223.0</v>
      </c>
      <c r="V63" s="32">
        <v>0.0</v>
      </c>
      <c r="X63" s="32">
        <v>0.0</v>
      </c>
      <c r="Z63" s="32">
        <v>0.0</v>
      </c>
      <c r="AB63" s="32">
        <v>0.0</v>
      </c>
      <c r="AC63" s="29"/>
      <c r="AD63" s="26"/>
      <c r="AF63" s="27"/>
      <c r="AH63" s="27"/>
      <c r="AJ63" s="27"/>
      <c r="AL63" s="27"/>
      <c r="AN63" s="27"/>
      <c r="AO63" s="29"/>
      <c r="AP63" s="45">
        <f t="shared" si="1"/>
        <v>13192</v>
      </c>
      <c r="AQ63" s="41">
        <f t="shared" si="2"/>
        <v>566</v>
      </c>
      <c r="AR63" s="41">
        <f t="shared" si="3"/>
        <v>0</v>
      </c>
      <c r="AS63" s="41">
        <f t="shared" si="4"/>
        <v>566</v>
      </c>
      <c r="AT63" s="46">
        <f t="shared" si="5"/>
        <v>23.30742049</v>
      </c>
      <c r="AU63" s="37"/>
      <c r="AV63" s="37"/>
      <c r="AW63" s="37"/>
    </row>
    <row r="64" ht="15.75" customHeight="1">
      <c r="A64" s="39" t="s">
        <v>31</v>
      </c>
      <c r="B64" s="40">
        <f t="shared" si="6"/>
        <v>44624</v>
      </c>
      <c r="C64" s="41">
        <v>3.0</v>
      </c>
      <c r="D64" s="41" t="s">
        <v>25</v>
      </c>
      <c r="E64" s="43" t="s">
        <v>37</v>
      </c>
      <c r="F64" s="28">
        <v>104.0</v>
      </c>
      <c r="H64" s="32">
        <v>65.0</v>
      </c>
      <c r="J64" s="32">
        <v>0.0</v>
      </c>
      <c r="L64" s="32">
        <v>0.0</v>
      </c>
      <c r="N64" s="32">
        <v>0.0</v>
      </c>
      <c r="P64" s="32">
        <v>0.0</v>
      </c>
      <c r="Q64" s="29"/>
      <c r="R64" s="28">
        <v>156.0</v>
      </c>
      <c r="T64" s="32">
        <v>232.0</v>
      </c>
      <c r="V64" s="32">
        <v>0.0</v>
      </c>
      <c r="X64" s="32">
        <v>0.0</v>
      </c>
      <c r="Z64" s="32">
        <v>0.0</v>
      </c>
      <c r="AB64" s="32">
        <v>0.0</v>
      </c>
      <c r="AC64" s="29"/>
      <c r="AD64" s="26"/>
      <c r="AF64" s="27"/>
      <c r="AH64" s="27"/>
      <c r="AJ64" s="27"/>
      <c r="AL64" s="27"/>
      <c r="AN64" s="27"/>
      <c r="AO64" s="29"/>
      <c r="AP64" s="45">
        <f t="shared" si="1"/>
        <v>12342</v>
      </c>
      <c r="AQ64" s="41">
        <f t="shared" si="2"/>
        <v>557</v>
      </c>
      <c r="AR64" s="41">
        <f t="shared" si="3"/>
        <v>0</v>
      </c>
      <c r="AS64" s="41">
        <f t="shared" si="4"/>
        <v>557</v>
      </c>
      <c r="AT64" s="46">
        <f t="shared" si="5"/>
        <v>22.15798923</v>
      </c>
      <c r="AU64" s="37"/>
      <c r="AV64" s="37"/>
      <c r="AW64" s="37"/>
    </row>
    <row r="65" ht="15.75" customHeight="1">
      <c r="A65" s="49" t="s">
        <v>32</v>
      </c>
      <c r="B65" s="50">
        <f t="shared" si="6"/>
        <v>44625</v>
      </c>
      <c r="C65" s="51">
        <v>3.0</v>
      </c>
      <c r="D65" s="51" t="s">
        <v>25</v>
      </c>
      <c r="E65" s="53" t="s">
        <v>37</v>
      </c>
      <c r="F65" s="57">
        <v>86.0</v>
      </c>
      <c r="G65" s="55"/>
      <c r="H65" s="59">
        <v>91.0</v>
      </c>
      <c r="I65" s="55"/>
      <c r="J65" s="59">
        <v>0.0</v>
      </c>
      <c r="K65" s="55"/>
      <c r="L65" s="59">
        <v>0.0</v>
      </c>
      <c r="M65" s="55"/>
      <c r="N65" s="59">
        <v>0.0</v>
      </c>
      <c r="O65" s="55"/>
      <c r="P65" s="59">
        <v>0.0</v>
      </c>
      <c r="Q65" s="58"/>
      <c r="R65" s="57">
        <v>186.0</v>
      </c>
      <c r="S65" s="55"/>
      <c r="T65" s="59">
        <v>225.0</v>
      </c>
      <c r="U65" s="55"/>
      <c r="V65" s="59">
        <v>0.0</v>
      </c>
      <c r="W65" s="55"/>
      <c r="X65" s="59">
        <v>0.0</v>
      </c>
      <c r="Y65" s="55"/>
      <c r="Z65" s="59">
        <v>0.0</v>
      </c>
      <c r="AA65" s="55"/>
      <c r="AB65" s="59">
        <v>0.0</v>
      </c>
      <c r="AC65" s="58"/>
      <c r="AD65" s="54"/>
      <c r="AE65" s="55"/>
      <c r="AF65" s="56"/>
      <c r="AG65" s="55"/>
      <c r="AH65" s="56"/>
      <c r="AI65" s="55"/>
      <c r="AJ65" s="56"/>
      <c r="AK65" s="55"/>
      <c r="AL65" s="56"/>
      <c r="AM65" s="55"/>
      <c r="AN65" s="56"/>
      <c r="AO65" s="58"/>
      <c r="AP65" s="60">
        <f t="shared" si="1"/>
        <v>13005</v>
      </c>
      <c r="AQ65" s="51">
        <f t="shared" si="2"/>
        <v>588</v>
      </c>
      <c r="AR65" s="51">
        <f t="shared" si="3"/>
        <v>0</v>
      </c>
      <c r="AS65" s="51">
        <f t="shared" si="4"/>
        <v>588</v>
      </c>
      <c r="AT65" s="61">
        <f t="shared" si="5"/>
        <v>22.11734694</v>
      </c>
      <c r="AU65" s="37"/>
      <c r="AV65" s="37"/>
      <c r="AW65" s="37"/>
    </row>
    <row r="66" ht="15.75" customHeight="1">
      <c r="A66" s="21" t="s">
        <v>24</v>
      </c>
      <c r="B66" s="62">
        <f t="shared" si="6"/>
        <v>44626</v>
      </c>
      <c r="C66" s="23">
        <v>3.0</v>
      </c>
      <c r="D66" s="23" t="s">
        <v>33</v>
      </c>
      <c r="E66" s="63" t="s">
        <v>37</v>
      </c>
      <c r="F66" s="28">
        <v>95.0</v>
      </c>
      <c r="H66" s="32">
        <v>48.0</v>
      </c>
      <c r="J66" s="32">
        <v>0.0</v>
      </c>
      <c r="L66" s="32">
        <v>0.0</v>
      </c>
      <c r="N66" s="32">
        <v>0.0</v>
      </c>
      <c r="P66" s="32">
        <v>0.0</v>
      </c>
      <c r="Q66" s="29"/>
      <c r="R66" s="28">
        <v>305.0</v>
      </c>
      <c r="T66" s="32">
        <v>298.0</v>
      </c>
      <c r="V66" s="32">
        <v>0.0</v>
      </c>
      <c r="X66" s="32">
        <v>0.0</v>
      </c>
      <c r="Z66" s="32">
        <v>0.0</v>
      </c>
      <c r="AB66" s="32">
        <v>0.0</v>
      </c>
      <c r="AC66" s="29"/>
      <c r="AD66" s="26"/>
      <c r="AF66" s="27"/>
      <c r="AH66" s="27"/>
      <c r="AJ66" s="27"/>
      <c r="AL66" s="27"/>
      <c r="AN66" s="27"/>
      <c r="AO66" s="29"/>
      <c r="AP66" s="35">
        <f t="shared" si="1"/>
        <v>15113</v>
      </c>
      <c r="AQ66" s="23">
        <f t="shared" si="2"/>
        <v>746</v>
      </c>
      <c r="AR66" s="23">
        <f t="shared" si="3"/>
        <v>0</v>
      </c>
      <c r="AS66" s="23">
        <f t="shared" si="4"/>
        <v>746</v>
      </c>
      <c r="AT66" s="36">
        <f t="shared" si="5"/>
        <v>20.25871314</v>
      </c>
      <c r="AU66" s="37"/>
      <c r="AV66" s="37"/>
      <c r="AW66" s="37"/>
    </row>
    <row r="67" ht="15.75" customHeight="1">
      <c r="A67" s="39" t="s">
        <v>27</v>
      </c>
      <c r="B67" s="40">
        <f t="shared" si="6"/>
        <v>44627</v>
      </c>
      <c r="C67" s="41">
        <v>3.0</v>
      </c>
      <c r="D67" s="41" t="s">
        <v>33</v>
      </c>
      <c r="E67" s="43" t="s">
        <v>37</v>
      </c>
      <c r="F67" s="28">
        <v>87.0</v>
      </c>
      <c r="H67" s="32">
        <v>107.0</v>
      </c>
      <c r="J67" s="32">
        <v>0.0</v>
      </c>
      <c r="L67" s="32">
        <v>0.0</v>
      </c>
      <c r="N67" s="32">
        <v>0.0</v>
      </c>
      <c r="P67" s="32">
        <v>0.0</v>
      </c>
      <c r="Q67" s="29"/>
      <c r="R67" s="28">
        <v>269.0</v>
      </c>
      <c r="T67" s="32">
        <v>341.0</v>
      </c>
      <c r="V67" s="32">
        <v>0.0</v>
      </c>
      <c r="X67" s="32">
        <v>0.0</v>
      </c>
      <c r="Z67" s="32">
        <v>0.0</v>
      </c>
      <c r="AB67" s="32">
        <v>0.0</v>
      </c>
      <c r="AC67" s="29"/>
      <c r="AD67" s="26"/>
      <c r="AF67" s="27"/>
      <c r="AH67" s="27"/>
      <c r="AJ67" s="27"/>
      <c r="AL67" s="27"/>
      <c r="AN67" s="27"/>
      <c r="AO67" s="29"/>
      <c r="AP67" s="45">
        <f t="shared" si="1"/>
        <v>16966</v>
      </c>
      <c r="AQ67" s="41">
        <f t="shared" si="2"/>
        <v>804</v>
      </c>
      <c r="AR67" s="41">
        <f t="shared" si="3"/>
        <v>0</v>
      </c>
      <c r="AS67" s="41">
        <f t="shared" si="4"/>
        <v>804</v>
      </c>
      <c r="AT67" s="46">
        <f t="shared" si="5"/>
        <v>21.10199005</v>
      </c>
      <c r="AU67" s="37"/>
      <c r="AV67" s="37"/>
      <c r="AW67" s="37"/>
    </row>
    <row r="68" ht="15.75" customHeight="1">
      <c r="A68" s="39" t="s">
        <v>28</v>
      </c>
      <c r="B68" s="40">
        <f t="shared" si="6"/>
        <v>44628</v>
      </c>
      <c r="C68" s="41">
        <v>3.0</v>
      </c>
      <c r="D68" s="41" t="s">
        <v>33</v>
      </c>
      <c r="E68" s="43" t="s">
        <v>37</v>
      </c>
      <c r="F68" s="28">
        <v>87.0</v>
      </c>
      <c r="H68" s="32">
        <v>26.0</v>
      </c>
      <c r="J68" s="32">
        <v>0.0</v>
      </c>
      <c r="L68" s="32">
        <v>0.0</v>
      </c>
      <c r="N68" s="32">
        <v>0.0</v>
      </c>
      <c r="P68" s="32">
        <v>0.0</v>
      </c>
      <c r="Q68" s="29"/>
      <c r="R68" s="28">
        <v>250.0</v>
      </c>
      <c r="T68" s="32">
        <v>279.0</v>
      </c>
      <c r="V68" s="32">
        <v>0.0</v>
      </c>
      <c r="X68" s="32">
        <v>0.0</v>
      </c>
      <c r="Z68" s="32">
        <v>0.0</v>
      </c>
      <c r="AB68" s="32">
        <v>0.0</v>
      </c>
      <c r="AC68" s="29"/>
      <c r="AD68" s="26"/>
      <c r="AF68" s="27"/>
      <c r="AH68" s="27"/>
      <c r="AJ68" s="27"/>
      <c r="AL68" s="27"/>
      <c r="AN68" s="27"/>
      <c r="AO68" s="29"/>
      <c r="AP68" s="45">
        <f t="shared" si="1"/>
        <v>12835</v>
      </c>
      <c r="AQ68" s="41">
        <f t="shared" si="2"/>
        <v>642</v>
      </c>
      <c r="AR68" s="41">
        <f t="shared" si="3"/>
        <v>0</v>
      </c>
      <c r="AS68" s="41">
        <f t="shared" si="4"/>
        <v>642</v>
      </c>
      <c r="AT68" s="46">
        <f t="shared" si="5"/>
        <v>19.99221184</v>
      </c>
      <c r="AU68" s="37"/>
      <c r="AV68" s="37"/>
      <c r="AW68" s="37"/>
    </row>
    <row r="69" ht="15.75" customHeight="1">
      <c r="A69" s="39" t="s">
        <v>29</v>
      </c>
      <c r="B69" s="40">
        <f t="shared" si="6"/>
        <v>44629</v>
      </c>
      <c r="C69" s="41">
        <v>3.0</v>
      </c>
      <c r="D69" s="41" t="s">
        <v>33</v>
      </c>
      <c r="E69" s="43" t="s">
        <v>37</v>
      </c>
      <c r="F69" s="28">
        <v>0.0</v>
      </c>
      <c r="H69" s="32">
        <v>0.0</v>
      </c>
      <c r="J69" s="32">
        <v>0.0</v>
      </c>
      <c r="L69" s="32">
        <v>0.0</v>
      </c>
      <c r="N69" s="32">
        <v>0.0</v>
      </c>
      <c r="P69" s="32">
        <v>0.0</v>
      </c>
      <c r="Q69" s="29"/>
      <c r="R69" s="28">
        <v>232.0</v>
      </c>
      <c r="T69" s="32">
        <v>270.0</v>
      </c>
      <c r="V69" s="32">
        <v>0.0</v>
      </c>
      <c r="X69" s="32">
        <v>0.0</v>
      </c>
      <c r="Z69" s="32">
        <v>0.0</v>
      </c>
      <c r="AB69" s="32">
        <v>0.0</v>
      </c>
      <c r="AC69" s="29"/>
      <c r="AD69" s="26"/>
      <c r="AF69" s="27"/>
      <c r="AH69" s="27"/>
      <c r="AJ69" s="27"/>
      <c r="AL69" s="27"/>
      <c r="AN69" s="27"/>
      <c r="AO69" s="29"/>
      <c r="AP69" s="45">
        <f t="shared" si="1"/>
        <v>8534</v>
      </c>
      <c r="AQ69" s="41">
        <f t="shared" si="2"/>
        <v>502</v>
      </c>
      <c r="AR69" s="41">
        <f t="shared" si="3"/>
        <v>0</v>
      </c>
      <c r="AS69" s="41">
        <f t="shared" si="4"/>
        <v>502</v>
      </c>
      <c r="AT69" s="46">
        <f t="shared" si="5"/>
        <v>17</v>
      </c>
      <c r="AU69" s="37"/>
      <c r="AV69" s="37"/>
      <c r="AW69" s="37"/>
    </row>
    <row r="70" ht="15.75" customHeight="1">
      <c r="A70" s="39" t="s">
        <v>30</v>
      </c>
      <c r="B70" s="40">
        <f t="shared" si="6"/>
        <v>44630</v>
      </c>
      <c r="C70" s="41">
        <v>3.0</v>
      </c>
      <c r="D70" s="41" t="s">
        <v>33</v>
      </c>
      <c r="E70" s="43" t="s">
        <v>37</v>
      </c>
      <c r="F70" s="28">
        <v>95.0</v>
      </c>
      <c r="H70" s="32">
        <v>30.0</v>
      </c>
      <c r="J70" s="32">
        <v>0.0</v>
      </c>
      <c r="L70" s="32">
        <v>0.0</v>
      </c>
      <c r="N70" s="32">
        <v>0.0</v>
      </c>
      <c r="P70" s="32">
        <v>0.0</v>
      </c>
      <c r="Q70" s="29"/>
      <c r="R70" s="28">
        <v>183.0</v>
      </c>
      <c r="T70" s="32">
        <v>274.0</v>
      </c>
      <c r="V70" s="32">
        <v>0.0</v>
      </c>
      <c r="X70" s="32">
        <v>0.0</v>
      </c>
      <c r="Z70" s="32">
        <v>0.0</v>
      </c>
      <c r="AB70" s="32">
        <v>0.0</v>
      </c>
      <c r="AC70" s="29"/>
      <c r="AD70" s="26"/>
      <c r="AF70" s="27"/>
      <c r="AH70" s="27"/>
      <c r="AJ70" s="27"/>
      <c r="AL70" s="27"/>
      <c r="AN70" s="27"/>
      <c r="AO70" s="29"/>
      <c r="AP70" s="45">
        <f t="shared" si="1"/>
        <v>12019</v>
      </c>
      <c r="AQ70" s="41">
        <f t="shared" si="2"/>
        <v>582</v>
      </c>
      <c r="AR70" s="41">
        <f t="shared" si="3"/>
        <v>0</v>
      </c>
      <c r="AS70" s="41">
        <f t="shared" si="4"/>
        <v>582</v>
      </c>
      <c r="AT70" s="46">
        <f t="shared" si="5"/>
        <v>20.65120275</v>
      </c>
      <c r="AU70" s="37"/>
      <c r="AV70" s="37"/>
      <c r="AW70" s="37"/>
    </row>
    <row r="71" ht="15.75" customHeight="1">
      <c r="A71" s="39" t="s">
        <v>31</v>
      </c>
      <c r="B71" s="40">
        <f t="shared" si="6"/>
        <v>44631</v>
      </c>
      <c r="C71" s="41">
        <v>3.0</v>
      </c>
      <c r="D71" s="41" t="s">
        <v>33</v>
      </c>
      <c r="E71" s="43" t="s">
        <v>37</v>
      </c>
      <c r="F71" s="28">
        <v>86.0</v>
      </c>
      <c r="H71" s="32">
        <v>108.0</v>
      </c>
      <c r="J71" s="32">
        <v>0.0</v>
      </c>
      <c r="L71" s="32">
        <v>0.0</v>
      </c>
      <c r="N71" s="32">
        <v>0.0</v>
      </c>
      <c r="P71" s="32">
        <v>0.0</v>
      </c>
      <c r="Q71" s="29"/>
      <c r="R71" s="28">
        <v>221.0</v>
      </c>
      <c r="T71" s="32">
        <v>270.0</v>
      </c>
      <c r="V71" s="32">
        <v>0.0</v>
      </c>
      <c r="X71" s="32">
        <v>0.0</v>
      </c>
      <c r="Z71" s="32">
        <v>0.0</v>
      </c>
      <c r="AB71" s="32">
        <v>0.0</v>
      </c>
      <c r="AC71" s="29"/>
      <c r="AD71" s="26"/>
      <c r="AF71" s="27"/>
      <c r="AH71" s="27"/>
      <c r="AJ71" s="27"/>
      <c r="AL71" s="27"/>
      <c r="AN71" s="27"/>
      <c r="AO71" s="29"/>
      <c r="AP71" s="45">
        <f t="shared" si="1"/>
        <v>14943</v>
      </c>
      <c r="AQ71" s="41">
        <f t="shared" si="2"/>
        <v>685</v>
      </c>
      <c r="AR71" s="41">
        <f t="shared" si="3"/>
        <v>0</v>
      </c>
      <c r="AS71" s="41">
        <f t="shared" si="4"/>
        <v>685</v>
      </c>
      <c r="AT71" s="46">
        <f t="shared" si="5"/>
        <v>21.81459854</v>
      </c>
      <c r="AU71" s="37"/>
      <c r="AV71" s="37"/>
      <c r="AW71" s="37"/>
    </row>
    <row r="72" ht="15.75" customHeight="1">
      <c r="A72" s="49" t="s">
        <v>32</v>
      </c>
      <c r="B72" s="50">
        <f t="shared" si="6"/>
        <v>44632</v>
      </c>
      <c r="C72" s="51">
        <v>3.0</v>
      </c>
      <c r="D72" s="51" t="s">
        <v>33</v>
      </c>
      <c r="E72" s="53" t="s">
        <v>37</v>
      </c>
      <c r="F72" s="57">
        <v>84.0</v>
      </c>
      <c r="G72" s="55"/>
      <c r="H72" s="59">
        <v>51.0</v>
      </c>
      <c r="I72" s="55"/>
      <c r="J72" s="59">
        <v>0.0</v>
      </c>
      <c r="K72" s="55"/>
      <c r="L72" s="59">
        <v>0.0</v>
      </c>
      <c r="M72" s="55"/>
      <c r="N72" s="59">
        <v>0.0</v>
      </c>
      <c r="O72" s="55"/>
      <c r="P72" s="59">
        <v>0.0</v>
      </c>
      <c r="Q72" s="58"/>
      <c r="R72" s="57">
        <v>186.0</v>
      </c>
      <c r="S72" s="55"/>
      <c r="T72" s="59">
        <v>196.0</v>
      </c>
      <c r="U72" s="55"/>
      <c r="V72" s="59">
        <v>0.0</v>
      </c>
      <c r="W72" s="55"/>
      <c r="X72" s="59">
        <v>0.0</v>
      </c>
      <c r="Y72" s="55"/>
      <c r="Z72" s="59">
        <v>0.0</v>
      </c>
      <c r="AA72" s="55"/>
      <c r="AB72" s="59">
        <v>0.0</v>
      </c>
      <c r="AC72" s="58"/>
      <c r="AD72" s="54"/>
      <c r="AE72" s="55"/>
      <c r="AF72" s="56"/>
      <c r="AG72" s="55"/>
      <c r="AH72" s="56"/>
      <c r="AI72" s="55"/>
      <c r="AJ72" s="56"/>
      <c r="AK72" s="55"/>
      <c r="AL72" s="56"/>
      <c r="AM72" s="55"/>
      <c r="AN72" s="56"/>
      <c r="AO72" s="58"/>
      <c r="AP72" s="60">
        <f t="shared" si="1"/>
        <v>11084</v>
      </c>
      <c r="AQ72" s="51">
        <f t="shared" si="2"/>
        <v>517</v>
      </c>
      <c r="AR72" s="51">
        <f t="shared" si="3"/>
        <v>0</v>
      </c>
      <c r="AS72" s="51">
        <f t="shared" si="4"/>
        <v>517</v>
      </c>
      <c r="AT72" s="61">
        <f t="shared" si="5"/>
        <v>21.43907157</v>
      </c>
      <c r="AU72" s="37"/>
      <c r="AV72" s="37"/>
      <c r="AW72" s="37"/>
    </row>
    <row r="73" ht="15.75" customHeight="1">
      <c r="A73" s="21" t="s">
        <v>24</v>
      </c>
      <c r="B73" s="62">
        <f t="shared" si="6"/>
        <v>44633</v>
      </c>
      <c r="C73" s="23">
        <v>3.0</v>
      </c>
      <c r="D73" s="23" t="s">
        <v>34</v>
      </c>
      <c r="E73" s="63" t="s">
        <v>37</v>
      </c>
      <c r="F73" s="28">
        <v>72.0</v>
      </c>
      <c r="H73" s="32">
        <v>70.0</v>
      </c>
      <c r="J73" s="32">
        <v>0.0</v>
      </c>
      <c r="L73" s="32">
        <v>0.0</v>
      </c>
      <c r="N73" s="32">
        <v>0.0</v>
      </c>
      <c r="P73" s="32">
        <v>0.0</v>
      </c>
      <c r="Q73" s="29"/>
      <c r="R73" s="28">
        <v>242.0</v>
      </c>
      <c r="T73" s="32">
        <v>215.0</v>
      </c>
      <c r="V73" s="32">
        <v>0.0</v>
      </c>
      <c r="X73" s="32">
        <v>0.0</v>
      </c>
      <c r="Z73" s="32">
        <v>0.0</v>
      </c>
      <c r="AB73" s="32">
        <v>0.0</v>
      </c>
      <c r="AC73" s="29"/>
      <c r="AD73" s="26"/>
      <c r="AF73" s="27"/>
      <c r="AH73" s="27"/>
      <c r="AJ73" s="27"/>
      <c r="AL73" s="27"/>
      <c r="AN73" s="27"/>
      <c r="AO73" s="29"/>
      <c r="AP73" s="35">
        <f t="shared" si="1"/>
        <v>12597</v>
      </c>
      <c r="AQ73" s="23">
        <f t="shared" si="2"/>
        <v>599</v>
      </c>
      <c r="AR73" s="23">
        <f t="shared" si="3"/>
        <v>0</v>
      </c>
      <c r="AS73" s="23">
        <f t="shared" si="4"/>
        <v>599</v>
      </c>
      <c r="AT73" s="36">
        <f t="shared" si="5"/>
        <v>21.03005008</v>
      </c>
      <c r="AU73" s="37"/>
      <c r="AV73" s="37"/>
      <c r="AW73" s="37"/>
    </row>
    <row r="74" ht="15.75" customHeight="1">
      <c r="A74" s="39" t="s">
        <v>27</v>
      </c>
      <c r="B74" s="40">
        <f t="shared" si="6"/>
        <v>44634</v>
      </c>
      <c r="C74" s="41">
        <v>3.0</v>
      </c>
      <c r="D74" s="41" t="s">
        <v>34</v>
      </c>
      <c r="E74" s="43" t="s">
        <v>37</v>
      </c>
      <c r="F74" s="28">
        <v>0.0</v>
      </c>
      <c r="H74" s="32">
        <v>0.0</v>
      </c>
      <c r="J74" s="32">
        <v>0.0</v>
      </c>
      <c r="L74" s="32">
        <v>0.0</v>
      </c>
      <c r="N74" s="32">
        <v>0.0</v>
      </c>
      <c r="P74" s="32">
        <v>0.0</v>
      </c>
      <c r="Q74" s="29"/>
      <c r="R74" s="28">
        <v>0.0</v>
      </c>
      <c r="T74" s="32">
        <v>0.0</v>
      </c>
      <c r="V74" s="32">
        <v>0.0</v>
      </c>
      <c r="X74" s="32">
        <v>0.0</v>
      </c>
      <c r="Z74" s="32">
        <v>0.0</v>
      </c>
      <c r="AB74" s="32">
        <v>0.0</v>
      </c>
      <c r="AC74" s="29"/>
      <c r="AD74" s="26"/>
      <c r="AF74" s="27"/>
      <c r="AH74" s="27"/>
      <c r="AJ74" s="27"/>
      <c r="AL74" s="27"/>
      <c r="AN74" s="27"/>
      <c r="AO74" s="29"/>
      <c r="AP74" s="45">
        <f t="shared" si="1"/>
        <v>0</v>
      </c>
      <c r="AQ74" s="41">
        <f t="shared" si="2"/>
        <v>0</v>
      </c>
      <c r="AR74" s="41">
        <f t="shared" si="3"/>
        <v>0</v>
      </c>
      <c r="AS74" s="41">
        <f t="shared" si="4"/>
        <v>0</v>
      </c>
      <c r="AT74" s="46" t="str">
        <f t="shared" si="5"/>
        <v/>
      </c>
      <c r="AU74" s="37"/>
      <c r="AV74" s="37"/>
      <c r="AW74" s="37"/>
    </row>
    <row r="75" ht="15.75" customHeight="1">
      <c r="A75" s="39" t="s">
        <v>28</v>
      </c>
      <c r="B75" s="40">
        <f t="shared" si="6"/>
        <v>44635</v>
      </c>
      <c r="C75" s="41">
        <v>3.0</v>
      </c>
      <c r="D75" s="41" t="s">
        <v>34</v>
      </c>
      <c r="E75" s="43" t="s">
        <v>37</v>
      </c>
      <c r="F75" s="28">
        <v>78.0</v>
      </c>
      <c r="H75" s="32">
        <v>80.0</v>
      </c>
      <c r="J75" s="32">
        <v>0.0</v>
      </c>
      <c r="L75" s="32">
        <v>0.0</v>
      </c>
      <c r="N75" s="32">
        <v>0.0</v>
      </c>
      <c r="P75" s="32">
        <v>0.0</v>
      </c>
      <c r="Q75" s="29"/>
      <c r="R75" s="28">
        <v>259.0</v>
      </c>
      <c r="T75" s="32">
        <v>269.0</v>
      </c>
      <c r="V75" s="32">
        <v>0.0</v>
      </c>
      <c r="X75" s="32">
        <v>0.0</v>
      </c>
      <c r="Z75" s="32">
        <v>0.0</v>
      </c>
      <c r="AB75" s="32">
        <v>0.0</v>
      </c>
      <c r="AC75" s="29"/>
      <c r="AD75" s="26"/>
      <c r="AF75" s="27"/>
      <c r="AH75" s="27"/>
      <c r="AJ75" s="27"/>
      <c r="AL75" s="27"/>
      <c r="AN75" s="27"/>
      <c r="AO75" s="29"/>
      <c r="AP75" s="45">
        <f t="shared" si="1"/>
        <v>14348</v>
      </c>
      <c r="AQ75" s="41">
        <f t="shared" si="2"/>
        <v>686</v>
      </c>
      <c r="AR75" s="41">
        <f t="shared" si="3"/>
        <v>0</v>
      </c>
      <c r="AS75" s="41">
        <f t="shared" si="4"/>
        <v>686</v>
      </c>
      <c r="AT75" s="46">
        <f t="shared" si="5"/>
        <v>20.9154519</v>
      </c>
      <c r="AU75" s="37"/>
      <c r="AV75" s="37"/>
      <c r="AW75" s="37"/>
    </row>
    <row r="76" ht="15.75" customHeight="1">
      <c r="A76" s="39" t="s">
        <v>29</v>
      </c>
      <c r="B76" s="40">
        <f t="shared" si="6"/>
        <v>44636</v>
      </c>
      <c r="C76" s="41">
        <v>3.0</v>
      </c>
      <c r="D76" s="41" t="s">
        <v>34</v>
      </c>
      <c r="E76" s="43" t="s">
        <v>37</v>
      </c>
      <c r="F76" s="28">
        <v>0.0</v>
      </c>
      <c r="H76" s="32">
        <v>72.0</v>
      </c>
      <c r="J76" s="32">
        <v>28.0</v>
      </c>
      <c r="L76" s="32">
        <v>0.0</v>
      </c>
      <c r="N76" s="32">
        <v>0.0</v>
      </c>
      <c r="P76" s="32">
        <v>0.0</v>
      </c>
      <c r="Q76" s="29"/>
      <c r="R76" s="28">
        <v>244.0</v>
      </c>
      <c r="T76" s="32">
        <v>298.0</v>
      </c>
      <c r="V76" s="32">
        <v>0.0</v>
      </c>
      <c r="X76" s="32">
        <v>0.0</v>
      </c>
      <c r="Z76" s="32">
        <v>0.0</v>
      </c>
      <c r="AB76" s="32">
        <v>0.0</v>
      </c>
      <c r="AC76" s="29"/>
      <c r="AD76" s="26"/>
      <c r="AF76" s="27"/>
      <c r="AH76" s="27"/>
      <c r="AJ76" s="27"/>
      <c r="AL76" s="27"/>
      <c r="AN76" s="27"/>
      <c r="AO76" s="29"/>
      <c r="AP76" s="45">
        <f t="shared" si="1"/>
        <v>12614</v>
      </c>
      <c r="AQ76" s="41">
        <f t="shared" si="2"/>
        <v>642</v>
      </c>
      <c r="AR76" s="41">
        <f t="shared" si="3"/>
        <v>0</v>
      </c>
      <c r="AS76" s="41">
        <f t="shared" si="4"/>
        <v>642</v>
      </c>
      <c r="AT76" s="46">
        <f t="shared" si="5"/>
        <v>19.64797508</v>
      </c>
      <c r="AU76" s="37"/>
      <c r="AV76" s="37"/>
      <c r="AW76" s="37"/>
    </row>
    <row r="77" ht="15.75" customHeight="1">
      <c r="A77" s="39" t="s">
        <v>30</v>
      </c>
      <c r="B77" s="40">
        <f t="shared" si="6"/>
        <v>44637</v>
      </c>
      <c r="C77" s="41">
        <v>3.0</v>
      </c>
      <c r="D77" s="41" t="s">
        <v>34</v>
      </c>
      <c r="E77" s="43" t="s">
        <v>37</v>
      </c>
      <c r="F77" s="28">
        <v>63.0</v>
      </c>
      <c r="H77" s="32">
        <v>81.0</v>
      </c>
      <c r="J77" s="32">
        <v>0.0</v>
      </c>
      <c r="L77" s="32">
        <v>0.0</v>
      </c>
      <c r="N77" s="32">
        <v>0.0</v>
      </c>
      <c r="P77" s="32">
        <v>0.0</v>
      </c>
      <c r="Q77" s="29"/>
      <c r="R77" s="28">
        <v>223.0</v>
      </c>
      <c r="T77" s="32">
        <v>306.0</v>
      </c>
      <c r="V77" s="32">
        <v>0.0</v>
      </c>
      <c r="X77" s="32">
        <v>0.0</v>
      </c>
      <c r="Z77" s="32">
        <v>0.0</v>
      </c>
      <c r="AB77" s="32">
        <v>0.0</v>
      </c>
      <c r="AC77" s="29"/>
      <c r="AD77" s="26"/>
      <c r="AF77" s="27"/>
      <c r="AH77" s="27"/>
      <c r="AJ77" s="27"/>
      <c r="AL77" s="27"/>
      <c r="AN77" s="27"/>
      <c r="AO77" s="29"/>
      <c r="AP77" s="45">
        <f t="shared" si="1"/>
        <v>13889</v>
      </c>
      <c r="AQ77" s="41">
        <f t="shared" si="2"/>
        <v>673</v>
      </c>
      <c r="AR77" s="41">
        <f t="shared" si="3"/>
        <v>0</v>
      </c>
      <c r="AS77" s="41">
        <f t="shared" si="4"/>
        <v>673</v>
      </c>
      <c r="AT77" s="46">
        <f t="shared" si="5"/>
        <v>20.63744428</v>
      </c>
      <c r="AU77" s="37"/>
      <c r="AV77" s="37"/>
      <c r="AW77" s="37"/>
    </row>
    <row r="78" ht="15.75" customHeight="1">
      <c r="A78" s="39" t="s">
        <v>31</v>
      </c>
      <c r="B78" s="40">
        <f t="shared" si="6"/>
        <v>44638</v>
      </c>
      <c r="C78" s="41">
        <v>3.0</v>
      </c>
      <c r="D78" s="41" t="s">
        <v>34</v>
      </c>
      <c r="E78" s="43" t="s">
        <v>37</v>
      </c>
      <c r="F78" s="28">
        <v>86.0</v>
      </c>
      <c r="H78" s="32">
        <v>32.0</v>
      </c>
      <c r="J78" s="32">
        <v>0.0</v>
      </c>
      <c r="L78" s="32">
        <v>0.0</v>
      </c>
      <c r="N78" s="32">
        <v>0.0</v>
      </c>
      <c r="P78" s="32">
        <v>0.0</v>
      </c>
      <c r="Q78" s="29"/>
      <c r="R78" s="28">
        <v>249.0</v>
      </c>
      <c r="T78" s="32">
        <v>260.0</v>
      </c>
      <c r="V78" s="32">
        <v>0.0</v>
      </c>
      <c r="X78" s="32">
        <v>0.0</v>
      </c>
      <c r="Z78" s="32">
        <v>0.0</v>
      </c>
      <c r="AB78" s="32">
        <v>0.0</v>
      </c>
      <c r="AC78" s="29"/>
      <c r="AD78" s="26"/>
      <c r="AF78" s="27"/>
      <c r="AH78" s="27"/>
      <c r="AJ78" s="27"/>
      <c r="AL78" s="27"/>
      <c r="AN78" s="27"/>
      <c r="AO78" s="29"/>
      <c r="AP78" s="45">
        <f t="shared" si="1"/>
        <v>12665</v>
      </c>
      <c r="AQ78" s="41">
        <f t="shared" si="2"/>
        <v>627</v>
      </c>
      <c r="AR78" s="41">
        <f t="shared" si="3"/>
        <v>0</v>
      </c>
      <c r="AS78" s="41">
        <f t="shared" si="4"/>
        <v>627</v>
      </c>
      <c r="AT78" s="46">
        <f t="shared" si="5"/>
        <v>20.19936204</v>
      </c>
      <c r="AU78" s="37"/>
      <c r="AV78" s="37"/>
      <c r="AW78" s="37"/>
    </row>
    <row r="79" ht="15.75" customHeight="1">
      <c r="A79" s="49" t="s">
        <v>32</v>
      </c>
      <c r="B79" s="50">
        <f t="shared" si="6"/>
        <v>44639</v>
      </c>
      <c r="C79" s="51">
        <v>3.0</v>
      </c>
      <c r="D79" s="51" t="s">
        <v>34</v>
      </c>
      <c r="E79" s="53" t="s">
        <v>37</v>
      </c>
      <c r="F79" s="57">
        <v>89.0</v>
      </c>
      <c r="G79" s="55"/>
      <c r="H79" s="59">
        <v>100.0</v>
      </c>
      <c r="I79" s="55"/>
      <c r="J79" s="59">
        <v>0.0</v>
      </c>
      <c r="K79" s="55"/>
      <c r="L79" s="59">
        <v>0.0</v>
      </c>
      <c r="M79" s="55"/>
      <c r="N79" s="59">
        <v>0.0</v>
      </c>
      <c r="O79" s="55"/>
      <c r="P79" s="59">
        <v>0.0</v>
      </c>
      <c r="Q79" s="58"/>
      <c r="R79" s="57">
        <v>210.0</v>
      </c>
      <c r="S79" s="55"/>
      <c r="T79" s="59">
        <v>247.0</v>
      </c>
      <c r="U79" s="55"/>
      <c r="V79" s="59">
        <v>0.0</v>
      </c>
      <c r="W79" s="55"/>
      <c r="X79" s="59">
        <v>0.0</v>
      </c>
      <c r="Y79" s="55"/>
      <c r="Z79" s="59">
        <v>0.0</v>
      </c>
      <c r="AA79" s="55"/>
      <c r="AB79" s="59">
        <v>0.0</v>
      </c>
      <c r="AC79" s="58"/>
      <c r="AD79" s="54"/>
      <c r="AE79" s="55"/>
      <c r="AF79" s="56"/>
      <c r="AG79" s="55"/>
      <c r="AH79" s="56"/>
      <c r="AI79" s="55"/>
      <c r="AJ79" s="56"/>
      <c r="AK79" s="55"/>
      <c r="AL79" s="56"/>
      <c r="AM79" s="55"/>
      <c r="AN79" s="56"/>
      <c r="AO79" s="58"/>
      <c r="AP79" s="60">
        <f t="shared" si="1"/>
        <v>14195</v>
      </c>
      <c r="AQ79" s="51">
        <f t="shared" si="2"/>
        <v>646</v>
      </c>
      <c r="AR79" s="51">
        <f t="shared" si="3"/>
        <v>0</v>
      </c>
      <c r="AS79" s="51">
        <f t="shared" si="4"/>
        <v>646</v>
      </c>
      <c r="AT79" s="61">
        <f t="shared" si="5"/>
        <v>21.97368421</v>
      </c>
      <c r="AU79" s="37"/>
      <c r="AV79" s="37"/>
      <c r="AW79" s="37"/>
    </row>
    <row r="80" ht="15.75" customHeight="1">
      <c r="A80" s="21" t="s">
        <v>24</v>
      </c>
      <c r="B80" s="62">
        <f t="shared" si="6"/>
        <v>44640</v>
      </c>
      <c r="C80" s="23">
        <v>3.0</v>
      </c>
      <c r="D80" s="23" t="s">
        <v>35</v>
      </c>
      <c r="E80" s="63" t="s">
        <v>37</v>
      </c>
      <c r="F80" s="28">
        <v>87.0</v>
      </c>
      <c r="H80" s="32">
        <v>86.0</v>
      </c>
      <c r="J80" s="32">
        <v>0.0</v>
      </c>
      <c r="L80" s="32">
        <v>0.0</v>
      </c>
      <c r="N80" s="32">
        <v>0.0</v>
      </c>
      <c r="P80" s="32">
        <v>0.0</v>
      </c>
      <c r="Q80" s="29"/>
      <c r="R80" s="28">
        <v>349.0</v>
      </c>
      <c r="T80" s="32">
        <v>313.0</v>
      </c>
      <c r="V80" s="32">
        <v>0.0</v>
      </c>
      <c r="X80" s="32">
        <v>0.0</v>
      </c>
      <c r="Z80" s="32">
        <v>0.0</v>
      </c>
      <c r="AB80" s="32">
        <v>0.0</v>
      </c>
      <c r="AC80" s="29"/>
      <c r="AD80" s="26"/>
      <c r="AF80" s="27"/>
      <c r="AH80" s="27"/>
      <c r="AJ80" s="27"/>
      <c r="AL80" s="27"/>
      <c r="AN80" s="27"/>
      <c r="AO80" s="29"/>
      <c r="AP80" s="35">
        <f t="shared" si="1"/>
        <v>17136</v>
      </c>
      <c r="AQ80" s="23">
        <f t="shared" si="2"/>
        <v>835</v>
      </c>
      <c r="AR80" s="23">
        <f t="shared" si="3"/>
        <v>0</v>
      </c>
      <c r="AS80" s="23">
        <f t="shared" si="4"/>
        <v>835</v>
      </c>
      <c r="AT80" s="36">
        <f t="shared" si="5"/>
        <v>20.52215569</v>
      </c>
      <c r="AU80" s="37"/>
      <c r="AV80" s="37"/>
      <c r="AW80" s="37"/>
    </row>
    <row r="81" ht="15.75" customHeight="1">
      <c r="A81" s="39" t="s">
        <v>27</v>
      </c>
      <c r="B81" s="40">
        <f t="shared" si="6"/>
        <v>44641</v>
      </c>
      <c r="C81" s="41">
        <v>3.0</v>
      </c>
      <c r="D81" s="41" t="s">
        <v>35</v>
      </c>
      <c r="E81" s="43" t="s">
        <v>37</v>
      </c>
      <c r="F81" s="28">
        <v>0.0</v>
      </c>
      <c r="H81" s="32">
        <v>0.0</v>
      </c>
      <c r="J81" s="32">
        <v>0.0</v>
      </c>
      <c r="L81" s="32">
        <v>0.0</v>
      </c>
      <c r="N81" s="32">
        <v>0.0</v>
      </c>
      <c r="P81" s="32">
        <v>0.0</v>
      </c>
      <c r="Q81" s="29"/>
      <c r="R81" s="28">
        <v>266.0</v>
      </c>
      <c r="T81" s="32">
        <v>286.0</v>
      </c>
      <c r="V81" s="32">
        <v>0.0</v>
      </c>
      <c r="X81" s="32">
        <v>0.0</v>
      </c>
      <c r="Z81" s="32">
        <v>0.0</v>
      </c>
      <c r="AB81" s="32">
        <v>0.0</v>
      </c>
      <c r="AC81" s="29"/>
      <c r="AD81" s="26"/>
      <c r="AF81" s="27"/>
      <c r="AH81" s="27"/>
      <c r="AJ81" s="27"/>
      <c r="AL81" s="27"/>
      <c r="AN81" s="27"/>
      <c r="AO81" s="29"/>
      <c r="AP81" s="45">
        <f t="shared" si="1"/>
        <v>9384</v>
      </c>
      <c r="AQ81" s="41">
        <f t="shared" si="2"/>
        <v>552</v>
      </c>
      <c r="AR81" s="41">
        <f t="shared" si="3"/>
        <v>0</v>
      </c>
      <c r="AS81" s="41">
        <f t="shared" si="4"/>
        <v>552</v>
      </c>
      <c r="AT81" s="46">
        <f t="shared" si="5"/>
        <v>17</v>
      </c>
      <c r="AU81" s="37"/>
      <c r="AV81" s="37"/>
      <c r="AW81" s="37"/>
    </row>
    <row r="82" ht="15.75" customHeight="1">
      <c r="A82" s="39" t="s">
        <v>28</v>
      </c>
      <c r="B82" s="40">
        <f t="shared" si="6"/>
        <v>44642</v>
      </c>
      <c r="C82" s="41">
        <v>3.0</v>
      </c>
      <c r="D82" s="41" t="s">
        <v>35</v>
      </c>
      <c r="E82" s="43" t="s">
        <v>37</v>
      </c>
      <c r="F82" s="28">
        <v>61.0</v>
      </c>
      <c r="H82" s="32">
        <v>56.0</v>
      </c>
      <c r="J82" s="32">
        <v>0.0</v>
      </c>
      <c r="L82" s="32">
        <v>0.0</v>
      </c>
      <c r="N82" s="32">
        <v>0.0</v>
      </c>
      <c r="P82" s="32">
        <v>0.0</v>
      </c>
      <c r="Q82" s="29"/>
      <c r="R82" s="28">
        <v>167.0</v>
      </c>
      <c r="T82" s="32">
        <v>219.0</v>
      </c>
      <c r="V82" s="32">
        <v>0.0</v>
      </c>
      <c r="X82" s="32">
        <v>0.0</v>
      </c>
      <c r="Z82" s="32">
        <v>0.0</v>
      </c>
      <c r="AB82" s="32">
        <v>0.0</v>
      </c>
      <c r="AC82" s="29"/>
      <c r="AD82" s="26"/>
      <c r="AF82" s="27"/>
      <c r="AH82" s="27"/>
      <c r="AJ82" s="27"/>
      <c r="AL82" s="27"/>
      <c r="AN82" s="27"/>
      <c r="AO82" s="29"/>
      <c r="AP82" s="45">
        <f t="shared" si="1"/>
        <v>10540</v>
      </c>
      <c r="AQ82" s="41">
        <f t="shared" si="2"/>
        <v>503</v>
      </c>
      <c r="AR82" s="41">
        <f t="shared" si="3"/>
        <v>0</v>
      </c>
      <c r="AS82" s="41">
        <f t="shared" si="4"/>
        <v>503</v>
      </c>
      <c r="AT82" s="46">
        <f t="shared" si="5"/>
        <v>20.95427435</v>
      </c>
      <c r="AU82" s="37"/>
      <c r="AV82" s="37"/>
      <c r="AW82" s="37"/>
    </row>
    <row r="83" ht="15.75" customHeight="1">
      <c r="A83" s="39" t="s">
        <v>29</v>
      </c>
      <c r="B83" s="40">
        <f t="shared" si="6"/>
        <v>44643</v>
      </c>
      <c r="C83" s="41">
        <v>3.0</v>
      </c>
      <c r="D83" s="41" t="s">
        <v>35</v>
      </c>
      <c r="E83" s="43" t="s">
        <v>37</v>
      </c>
      <c r="F83" s="28">
        <v>73.0</v>
      </c>
      <c r="H83" s="32">
        <v>56.0</v>
      </c>
      <c r="J83" s="32">
        <v>35.0</v>
      </c>
      <c r="L83" s="32">
        <v>0.0</v>
      </c>
      <c r="N83" s="32">
        <v>0.0</v>
      </c>
      <c r="P83" s="32">
        <v>0.0</v>
      </c>
      <c r="Q83" s="29"/>
      <c r="R83" s="28">
        <v>218.0</v>
      </c>
      <c r="T83" s="32">
        <v>256.0</v>
      </c>
      <c r="V83" s="32">
        <v>0.0</v>
      </c>
      <c r="X83" s="32">
        <v>0.0</v>
      </c>
      <c r="Z83" s="32">
        <v>0.0</v>
      </c>
      <c r="AB83" s="32">
        <v>0.0</v>
      </c>
      <c r="AC83" s="29"/>
      <c r="AD83" s="26"/>
      <c r="AF83" s="27"/>
      <c r="AH83" s="27"/>
      <c r="AJ83" s="27"/>
      <c r="AL83" s="27"/>
      <c r="AN83" s="27"/>
      <c r="AO83" s="29"/>
      <c r="AP83" s="45">
        <f t="shared" si="1"/>
        <v>13634</v>
      </c>
      <c r="AQ83" s="41">
        <f t="shared" si="2"/>
        <v>638</v>
      </c>
      <c r="AR83" s="41">
        <f t="shared" si="3"/>
        <v>0</v>
      </c>
      <c r="AS83" s="41">
        <f t="shared" si="4"/>
        <v>638</v>
      </c>
      <c r="AT83" s="46">
        <f t="shared" si="5"/>
        <v>21.36990596</v>
      </c>
      <c r="AU83" s="37"/>
      <c r="AV83" s="37"/>
      <c r="AW83" s="37"/>
    </row>
    <row r="84" ht="15.75" customHeight="1">
      <c r="A84" s="39" t="s">
        <v>30</v>
      </c>
      <c r="B84" s="40">
        <f t="shared" si="6"/>
        <v>44644</v>
      </c>
      <c r="C84" s="41">
        <v>3.0</v>
      </c>
      <c r="D84" s="41" t="s">
        <v>35</v>
      </c>
      <c r="E84" s="43" t="s">
        <v>37</v>
      </c>
      <c r="F84" s="28">
        <v>68.0</v>
      </c>
      <c r="H84" s="32">
        <v>27.0</v>
      </c>
      <c r="J84" s="32">
        <v>0.0</v>
      </c>
      <c r="L84" s="32">
        <v>0.0</v>
      </c>
      <c r="N84" s="32">
        <v>0.0</v>
      </c>
      <c r="P84" s="32">
        <v>0.0</v>
      </c>
      <c r="Q84" s="29"/>
      <c r="R84" s="28">
        <v>220.0</v>
      </c>
      <c r="T84" s="32">
        <v>280.0</v>
      </c>
      <c r="V84" s="32">
        <v>0.0</v>
      </c>
      <c r="X84" s="32">
        <v>0.0</v>
      </c>
      <c r="Z84" s="32">
        <v>0.0</v>
      </c>
      <c r="AB84" s="32">
        <v>0.0</v>
      </c>
      <c r="AC84" s="29"/>
      <c r="AD84" s="26"/>
      <c r="AF84" s="27"/>
      <c r="AH84" s="27"/>
      <c r="AJ84" s="27"/>
      <c r="AL84" s="27"/>
      <c r="AN84" s="27"/>
      <c r="AO84" s="29"/>
      <c r="AP84" s="45">
        <f t="shared" si="1"/>
        <v>11730</v>
      </c>
      <c r="AQ84" s="41">
        <f t="shared" si="2"/>
        <v>595</v>
      </c>
      <c r="AR84" s="41">
        <f t="shared" si="3"/>
        <v>0</v>
      </c>
      <c r="AS84" s="41">
        <f t="shared" si="4"/>
        <v>595</v>
      </c>
      <c r="AT84" s="46">
        <f t="shared" si="5"/>
        <v>19.71428571</v>
      </c>
      <c r="AU84" s="37"/>
      <c r="AV84" s="37"/>
      <c r="AW84" s="37"/>
    </row>
    <row r="85" ht="15.75" customHeight="1">
      <c r="A85" s="39" t="s">
        <v>31</v>
      </c>
      <c r="B85" s="40">
        <f t="shared" si="6"/>
        <v>44645</v>
      </c>
      <c r="C85" s="41">
        <v>3.0</v>
      </c>
      <c r="D85" s="41" t="s">
        <v>35</v>
      </c>
      <c r="E85" s="43" t="s">
        <v>37</v>
      </c>
      <c r="F85" s="28">
        <v>54.0</v>
      </c>
      <c r="H85" s="32">
        <v>45.0</v>
      </c>
      <c r="J85" s="32">
        <v>45.0</v>
      </c>
      <c r="L85" s="32">
        <v>0.0</v>
      </c>
      <c r="N85" s="32">
        <v>0.0</v>
      </c>
      <c r="P85" s="32">
        <v>0.0</v>
      </c>
      <c r="Q85" s="29"/>
      <c r="R85" s="28">
        <v>208.0</v>
      </c>
      <c r="T85" s="32">
        <v>280.0</v>
      </c>
      <c r="V85" s="32">
        <v>0.0</v>
      </c>
      <c r="X85" s="32">
        <v>0.0</v>
      </c>
      <c r="Z85" s="32">
        <v>0.0</v>
      </c>
      <c r="AB85" s="32">
        <v>0.0</v>
      </c>
      <c r="AC85" s="29"/>
      <c r="AD85" s="26"/>
      <c r="AF85" s="27"/>
      <c r="AH85" s="27"/>
      <c r="AJ85" s="27"/>
      <c r="AL85" s="27"/>
      <c r="AN85" s="27"/>
      <c r="AO85" s="29"/>
      <c r="AP85" s="45">
        <f t="shared" si="1"/>
        <v>13192</v>
      </c>
      <c r="AQ85" s="41">
        <f t="shared" si="2"/>
        <v>632</v>
      </c>
      <c r="AR85" s="41">
        <f t="shared" si="3"/>
        <v>0</v>
      </c>
      <c r="AS85" s="41">
        <f t="shared" si="4"/>
        <v>632</v>
      </c>
      <c r="AT85" s="46">
        <f t="shared" si="5"/>
        <v>20.87341772</v>
      </c>
      <c r="AU85" s="37"/>
      <c r="AV85" s="37"/>
      <c r="AW85" s="37"/>
    </row>
    <row r="86" ht="15.75" customHeight="1">
      <c r="A86" s="49" t="s">
        <v>32</v>
      </c>
      <c r="B86" s="50">
        <f t="shared" si="6"/>
        <v>44646</v>
      </c>
      <c r="C86" s="51">
        <v>3.0</v>
      </c>
      <c r="D86" s="51" t="s">
        <v>35</v>
      </c>
      <c r="E86" s="53" t="s">
        <v>37</v>
      </c>
      <c r="F86" s="57">
        <v>0.0</v>
      </c>
      <c r="G86" s="55"/>
      <c r="H86" s="59">
        <v>0.0</v>
      </c>
      <c r="I86" s="55"/>
      <c r="J86" s="59">
        <v>0.0</v>
      </c>
      <c r="K86" s="55"/>
      <c r="L86" s="59">
        <v>0.0</v>
      </c>
      <c r="M86" s="55"/>
      <c r="N86" s="59">
        <v>0.0</v>
      </c>
      <c r="O86" s="55"/>
      <c r="P86" s="59">
        <v>0.0</v>
      </c>
      <c r="Q86" s="58"/>
      <c r="R86" s="57">
        <v>180.0</v>
      </c>
      <c r="S86" s="55"/>
      <c r="T86" s="59">
        <v>280.0</v>
      </c>
      <c r="U86" s="55"/>
      <c r="V86" s="59">
        <v>0.0</v>
      </c>
      <c r="W86" s="55"/>
      <c r="X86" s="59">
        <v>0.0</v>
      </c>
      <c r="Y86" s="55"/>
      <c r="Z86" s="59">
        <v>0.0</v>
      </c>
      <c r="AA86" s="55"/>
      <c r="AB86" s="59">
        <v>0.0</v>
      </c>
      <c r="AC86" s="58"/>
      <c r="AD86" s="54"/>
      <c r="AE86" s="55"/>
      <c r="AF86" s="56"/>
      <c r="AG86" s="55"/>
      <c r="AH86" s="56"/>
      <c r="AI86" s="55"/>
      <c r="AJ86" s="56"/>
      <c r="AK86" s="55"/>
      <c r="AL86" s="56"/>
      <c r="AM86" s="55"/>
      <c r="AN86" s="56"/>
      <c r="AO86" s="58"/>
      <c r="AP86" s="60">
        <f t="shared" si="1"/>
        <v>7820</v>
      </c>
      <c r="AQ86" s="51">
        <f t="shared" si="2"/>
        <v>460</v>
      </c>
      <c r="AR86" s="51">
        <f t="shared" si="3"/>
        <v>0</v>
      </c>
      <c r="AS86" s="51">
        <f t="shared" si="4"/>
        <v>460</v>
      </c>
      <c r="AT86" s="61">
        <f t="shared" si="5"/>
        <v>17</v>
      </c>
      <c r="AU86" s="37"/>
      <c r="AV86" s="37"/>
      <c r="AW86" s="37"/>
    </row>
    <row r="87" ht="15.75" customHeight="1">
      <c r="A87" s="21" t="s">
        <v>24</v>
      </c>
      <c r="B87" s="62">
        <f t="shared" si="6"/>
        <v>44647</v>
      </c>
      <c r="C87" s="23">
        <v>4.0</v>
      </c>
      <c r="D87" s="23" t="s">
        <v>25</v>
      </c>
      <c r="E87" s="25" t="s">
        <v>39</v>
      </c>
      <c r="F87" s="28">
        <v>0.0</v>
      </c>
      <c r="H87" s="32">
        <v>0.0</v>
      </c>
      <c r="J87" s="32">
        <v>0.0</v>
      </c>
      <c r="L87" s="32">
        <v>0.0</v>
      </c>
      <c r="N87" s="32">
        <v>0.0</v>
      </c>
      <c r="P87" s="32">
        <v>0.0</v>
      </c>
      <c r="Q87" s="29"/>
      <c r="R87" s="28">
        <v>0.0</v>
      </c>
      <c r="T87" s="32">
        <v>0.0</v>
      </c>
      <c r="V87" s="32">
        <v>0.0</v>
      </c>
      <c r="X87" s="32">
        <v>0.0</v>
      </c>
      <c r="Z87" s="32">
        <v>0.0</v>
      </c>
      <c r="AB87" s="32">
        <v>0.0</v>
      </c>
      <c r="AC87" s="29"/>
      <c r="AD87" s="26"/>
      <c r="AF87" s="27"/>
      <c r="AH87" s="27"/>
      <c r="AJ87" s="27"/>
      <c r="AL87" s="27"/>
      <c r="AN87" s="27"/>
      <c r="AO87" s="29"/>
      <c r="AP87" s="35">
        <f t="shared" si="1"/>
        <v>0</v>
      </c>
      <c r="AQ87" s="23">
        <f t="shared" si="2"/>
        <v>0</v>
      </c>
      <c r="AR87" s="23">
        <f t="shared" si="3"/>
        <v>0</v>
      </c>
      <c r="AS87" s="23">
        <f t="shared" si="4"/>
        <v>0</v>
      </c>
      <c r="AT87" s="36" t="str">
        <f t="shared" si="5"/>
        <v/>
      </c>
      <c r="AU87" s="37"/>
      <c r="AV87" s="37"/>
      <c r="AW87" s="37"/>
    </row>
    <row r="88" ht="15.75" customHeight="1">
      <c r="A88" s="39" t="s">
        <v>27</v>
      </c>
      <c r="B88" s="40">
        <f t="shared" si="6"/>
        <v>44648</v>
      </c>
      <c r="C88" s="41">
        <v>4.0</v>
      </c>
      <c r="D88" s="41" t="s">
        <v>25</v>
      </c>
      <c r="E88" s="43" t="s">
        <v>39</v>
      </c>
      <c r="F88" s="28">
        <v>0.0</v>
      </c>
      <c r="H88" s="32">
        <v>0.0</v>
      </c>
      <c r="J88" s="32">
        <v>0.0</v>
      </c>
      <c r="L88" s="32">
        <v>0.0</v>
      </c>
      <c r="N88" s="32">
        <v>0.0</v>
      </c>
      <c r="P88" s="32">
        <v>0.0</v>
      </c>
      <c r="Q88" s="29"/>
      <c r="R88" s="28">
        <v>0.0</v>
      </c>
      <c r="T88" s="32">
        <v>197.0</v>
      </c>
      <c r="V88" s="32">
        <v>138.0</v>
      </c>
      <c r="X88" s="32">
        <v>0.0</v>
      </c>
      <c r="Z88" s="32">
        <v>200.0</v>
      </c>
      <c r="AB88" s="32">
        <v>0.0</v>
      </c>
      <c r="AC88" s="29"/>
      <c r="AD88" s="26"/>
      <c r="AF88" s="27"/>
      <c r="AH88" s="27"/>
      <c r="AJ88" s="27"/>
      <c r="AL88" s="27"/>
      <c r="AN88" s="27"/>
      <c r="AO88" s="29"/>
      <c r="AP88" s="45">
        <f t="shared" si="1"/>
        <v>8295</v>
      </c>
      <c r="AQ88" s="41">
        <f t="shared" si="2"/>
        <v>535</v>
      </c>
      <c r="AR88" s="41">
        <f t="shared" si="3"/>
        <v>0</v>
      </c>
      <c r="AS88" s="41">
        <f t="shared" si="4"/>
        <v>535</v>
      </c>
      <c r="AT88" s="46">
        <f t="shared" si="5"/>
        <v>15.5046729</v>
      </c>
      <c r="AU88" s="37"/>
      <c r="AV88" s="37"/>
      <c r="AW88" s="37"/>
    </row>
    <row r="89" ht="15.75" customHeight="1">
      <c r="A89" s="39" t="s">
        <v>28</v>
      </c>
      <c r="B89" s="40">
        <f t="shared" si="6"/>
        <v>44649</v>
      </c>
      <c r="C89" s="41">
        <v>4.0</v>
      </c>
      <c r="D89" s="41" t="s">
        <v>25</v>
      </c>
      <c r="E89" s="43" t="s">
        <v>39</v>
      </c>
      <c r="F89" s="28">
        <v>0.0</v>
      </c>
      <c r="H89" s="32">
        <v>0.0</v>
      </c>
      <c r="J89" s="32">
        <v>0.0</v>
      </c>
      <c r="L89" s="32">
        <v>0.0</v>
      </c>
      <c r="N89" s="32">
        <v>0.0</v>
      </c>
      <c r="P89" s="32">
        <v>0.0</v>
      </c>
      <c r="Q89" s="29"/>
      <c r="R89" s="28">
        <v>0.0</v>
      </c>
      <c r="T89" s="32">
        <v>236.0</v>
      </c>
      <c r="V89" s="32">
        <v>147.0</v>
      </c>
      <c r="X89" s="32">
        <v>0.0</v>
      </c>
      <c r="Z89" s="32">
        <v>188.0</v>
      </c>
      <c r="AB89" s="32">
        <v>0.0</v>
      </c>
      <c r="AC89" s="29"/>
      <c r="AD89" s="26"/>
      <c r="AF89" s="27"/>
      <c r="AH89" s="27"/>
      <c r="AJ89" s="27"/>
      <c r="AL89" s="27"/>
      <c r="AN89" s="27"/>
      <c r="AO89" s="29"/>
      <c r="AP89" s="45">
        <f t="shared" si="1"/>
        <v>8955</v>
      </c>
      <c r="AQ89" s="41">
        <f t="shared" si="2"/>
        <v>571</v>
      </c>
      <c r="AR89" s="41">
        <f t="shared" si="3"/>
        <v>0</v>
      </c>
      <c r="AS89" s="41">
        <f t="shared" si="4"/>
        <v>571</v>
      </c>
      <c r="AT89" s="46">
        <f t="shared" si="5"/>
        <v>15.68301226</v>
      </c>
      <c r="AU89" s="37"/>
      <c r="AV89" s="37"/>
      <c r="AW89" s="37"/>
    </row>
    <row r="90" ht="15.75" customHeight="1">
      <c r="A90" s="39" t="s">
        <v>29</v>
      </c>
      <c r="B90" s="40">
        <f t="shared" si="6"/>
        <v>44650</v>
      </c>
      <c r="C90" s="41">
        <v>4.0</v>
      </c>
      <c r="D90" s="41" t="s">
        <v>25</v>
      </c>
      <c r="E90" s="43" t="s">
        <v>39</v>
      </c>
      <c r="F90" s="28">
        <v>0.0</v>
      </c>
      <c r="H90" s="32">
        <v>0.0</v>
      </c>
      <c r="J90" s="32">
        <v>0.0</v>
      </c>
      <c r="L90" s="32">
        <v>0.0</v>
      </c>
      <c r="N90" s="32">
        <v>0.0</v>
      </c>
      <c r="P90" s="32">
        <v>0.0</v>
      </c>
      <c r="Q90" s="29"/>
      <c r="R90" s="28">
        <v>0.0</v>
      </c>
      <c r="T90" s="32">
        <v>194.0</v>
      </c>
      <c r="V90" s="32">
        <v>145.0</v>
      </c>
      <c r="X90" s="32">
        <v>0.0</v>
      </c>
      <c r="Z90" s="32">
        <v>190.0</v>
      </c>
      <c r="AB90" s="32">
        <v>0.0</v>
      </c>
      <c r="AC90" s="29"/>
      <c r="AD90" s="26"/>
      <c r="AF90" s="27"/>
      <c r="AH90" s="27"/>
      <c r="AJ90" s="27"/>
      <c r="AL90" s="27"/>
      <c r="AN90" s="27"/>
      <c r="AO90" s="29"/>
      <c r="AP90" s="45">
        <f t="shared" si="1"/>
        <v>8233</v>
      </c>
      <c r="AQ90" s="41">
        <f t="shared" si="2"/>
        <v>529</v>
      </c>
      <c r="AR90" s="41">
        <f t="shared" si="3"/>
        <v>0</v>
      </c>
      <c r="AS90" s="41">
        <f t="shared" si="4"/>
        <v>529</v>
      </c>
      <c r="AT90" s="46">
        <f t="shared" si="5"/>
        <v>15.56332703</v>
      </c>
      <c r="AU90" s="37"/>
      <c r="AV90" s="37"/>
      <c r="AW90" s="37"/>
    </row>
    <row r="91" ht="15.75" customHeight="1">
      <c r="A91" s="39" t="s">
        <v>30</v>
      </c>
      <c r="B91" s="40">
        <f t="shared" si="6"/>
        <v>44651</v>
      </c>
      <c r="C91" s="41">
        <v>4.0</v>
      </c>
      <c r="D91" s="41" t="s">
        <v>25</v>
      </c>
      <c r="E91" s="43" t="s">
        <v>39</v>
      </c>
      <c r="F91" s="28">
        <v>0.0</v>
      </c>
      <c r="H91" s="32">
        <v>0.0</v>
      </c>
      <c r="J91" s="32">
        <v>0.0</v>
      </c>
      <c r="L91" s="32">
        <v>0.0</v>
      </c>
      <c r="N91" s="32">
        <v>0.0</v>
      </c>
      <c r="P91" s="32">
        <v>0.0</v>
      </c>
      <c r="Q91" s="29"/>
      <c r="R91" s="28">
        <v>0.0</v>
      </c>
      <c r="T91" s="32">
        <v>181.0</v>
      </c>
      <c r="V91" s="32">
        <v>137.0</v>
      </c>
      <c r="X91" s="32">
        <v>0.0</v>
      </c>
      <c r="Z91" s="32">
        <v>195.0</v>
      </c>
      <c r="AB91" s="32">
        <v>0.0</v>
      </c>
      <c r="AC91" s="29"/>
      <c r="AD91" s="26"/>
      <c r="AF91" s="27"/>
      <c r="AH91" s="27"/>
      <c r="AJ91" s="27"/>
      <c r="AL91" s="27"/>
      <c r="AN91" s="27"/>
      <c r="AO91" s="29"/>
      <c r="AP91" s="45">
        <f t="shared" si="1"/>
        <v>7941</v>
      </c>
      <c r="AQ91" s="41">
        <f t="shared" si="2"/>
        <v>513</v>
      </c>
      <c r="AR91" s="41">
        <f t="shared" si="3"/>
        <v>0</v>
      </c>
      <c r="AS91" s="41">
        <f t="shared" si="4"/>
        <v>513</v>
      </c>
      <c r="AT91" s="46">
        <f t="shared" si="5"/>
        <v>15.47953216</v>
      </c>
      <c r="AU91" s="37"/>
      <c r="AV91" s="37"/>
      <c r="AW91" s="37"/>
    </row>
    <row r="92" ht="15.75" customHeight="1">
      <c r="A92" s="39" t="s">
        <v>31</v>
      </c>
      <c r="B92" s="40">
        <f t="shared" si="6"/>
        <v>44652</v>
      </c>
      <c r="C92" s="41">
        <v>4.0</v>
      </c>
      <c r="D92" s="41" t="s">
        <v>25</v>
      </c>
      <c r="E92" s="43" t="s">
        <v>39</v>
      </c>
      <c r="F92" s="28">
        <v>0.0</v>
      </c>
      <c r="H92" s="32">
        <v>0.0</v>
      </c>
      <c r="J92" s="32">
        <v>0.0</v>
      </c>
      <c r="L92" s="32">
        <v>0.0</v>
      </c>
      <c r="N92" s="32">
        <v>0.0</v>
      </c>
      <c r="P92" s="32">
        <v>0.0</v>
      </c>
      <c r="Q92" s="29"/>
      <c r="R92" s="28">
        <v>0.0</v>
      </c>
      <c r="T92" s="32">
        <v>167.0</v>
      </c>
      <c r="V92" s="32">
        <v>145.0</v>
      </c>
      <c r="X92" s="32">
        <v>0.0</v>
      </c>
      <c r="Z92" s="32">
        <v>116.0</v>
      </c>
      <c r="AB92" s="32">
        <v>0.0</v>
      </c>
      <c r="AC92" s="29"/>
      <c r="AD92" s="26"/>
      <c r="AF92" s="27"/>
      <c r="AH92" s="27"/>
      <c r="AJ92" s="27"/>
      <c r="AL92" s="27"/>
      <c r="AN92" s="27"/>
      <c r="AO92" s="29"/>
      <c r="AP92" s="45">
        <f t="shared" si="1"/>
        <v>6812</v>
      </c>
      <c r="AQ92" s="41">
        <f t="shared" si="2"/>
        <v>428</v>
      </c>
      <c r="AR92" s="41">
        <f t="shared" si="3"/>
        <v>0</v>
      </c>
      <c r="AS92" s="41">
        <f t="shared" si="4"/>
        <v>428</v>
      </c>
      <c r="AT92" s="46">
        <f t="shared" si="5"/>
        <v>15.91588785</v>
      </c>
      <c r="AU92" s="37"/>
      <c r="AV92" s="37"/>
      <c r="AW92" s="37"/>
    </row>
    <row r="93" ht="15.75" customHeight="1">
      <c r="A93" s="49" t="s">
        <v>32</v>
      </c>
      <c r="B93" s="50">
        <f t="shared" si="6"/>
        <v>44653</v>
      </c>
      <c r="C93" s="51">
        <v>4.0</v>
      </c>
      <c r="D93" s="51" t="s">
        <v>25</v>
      </c>
      <c r="E93" s="53" t="s">
        <v>39</v>
      </c>
      <c r="F93" s="57">
        <v>0.0</v>
      </c>
      <c r="G93" s="55"/>
      <c r="H93" s="59">
        <v>0.0</v>
      </c>
      <c r="I93" s="55"/>
      <c r="J93" s="59">
        <v>0.0</v>
      </c>
      <c r="K93" s="55"/>
      <c r="L93" s="59">
        <v>0.0</v>
      </c>
      <c r="M93" s="55"/>
      <c r="N93" s="59">
        <v>0.0</v>
      </c>
      <c r="O93" s="55"/>
      <c r="P93" s="59">
        <v>0.0</v>
      </c>
      <c r="Q93" s="58"/>
      <c r="R93" s="57">
        <v>140.0</v>
      </c>
      <c r="S93" s="55"/>
      <c r="T93" s="59">
        <v>126.0</v>
      </c>
      <c r="U93" s="55"/>
      <c r="V93" s="59">
        <v>0.0</v>
      </c>
      <c r="W93" s="55"/>
      <c r="X93" s="59">
        <v>0.0</v>
      </c>
      <c r="Y93" s="55"/>
      <c r="Z93" s="59">
        <v>0.0</v>
      </c>
      <c r="AA93" s="55"/>
      <c r="AB93" s="59">
        <v>0.0</v>
      </c>
      <c r="AC93" s="58"/>
      <c r="AD93" s="54"/>
      <c r="AE93" s="55"/>
      <c r="AF93" s="56"/>
      <c r="AG93" s="55"/>
      <c r="AH93" s="56"/>
      <c r="AI93" s="55"/>
      <c r="AJ93" s="56"/>
      <c r="AK93" s="55"/>
      <c r="AL93" s="56"/>
      <c r="AM93" s="55"/>
      <c r="AN93" s="56"/>
      <c r="AO93" s="58"/>
      <c r="AP93" s="60">
        <f t="shared" si="1"/>
        <v>4522</v>
      </c>
      <c r="AQ93" s="51">
        <f t="shared" si="2"/>
        <v>266</v>
      </c>
      <c r="AR93" s="51">
        <f t="shared" si="3"/>
        <v>0</v>
      </c>
      <c r="AS93" s="51">
        <f t="shared" si="4"/>
        <v>266</v>
      </c>
      <c r="AT93" s="61">
        <f t="shared" si="5"/>
        <v>17</v>
      </c>
      <c r="AU93" s="37"/>
      <c r="AV93" s="37"/>
      <c r="AW93" s="37"/>
    </row>
    <row r="94" ht="15.75" customHeight="1">
      <c r="A94" s="21" t="s">
        <v>24</v>
      </c>
      <c r="B94" s="62">
        <f t="shared" si="6"/>
        <v>44654</v>
      </c>
      <c r="C94" s="23">
        <v>4.0</v>
      </c>
      <c r="D94" s="23" t="s">
        <v>33</v>
      </c>
      <c r="E94" s="63" t="s">
        <v>39</v>
      </c>
      <c r="F94" s="28">
        <v>0.0</v>
      </c>
      <c r="H94" s="32">
        <v>0.0</v>
      </c>
      <c r="J94" s="32">
        <v>0.0</v>
      </c>
      <c r="L94" s="32">
        <v>0.0</v>
      </c>
      <c r="N94" s="32">
        <v>0.0</v>
      </c>
      <c r="P94" s="32">
        <v>0.0</v>
      </c>
      <c r="Q94" s="29"/>
      <c r="R94" s="28">
        <v>0.0</v>
      </c>
      <c r="T94" s="32">
        <v>0.0</v>
      </c>
      <c r="V94" s="32">
        <v>0.0</v>
      </c>
      <c r="X94" s="32">
        <v>0.0</v>
      </c>
      <c r="Z94" s="32">
        <v>0.0</v>
      </c>
      <c r="AB94" s="32">
        <v>0.0</v>
      </c>
      <c r="AC94" s="29"/>
      <c r="AD94" s="26"/>
      <c r="AF94" s="27"/>
      <c r="AH94" s="27"/>
      <c r="AJ94" s="27"/>
      <c r="AL94" s="27"/>
      <c r="AN94" s="27"/>
      <c r="AO94" s="29"/>
      <c r="AP94" s="35">
        <f t="shared" si="1"/>
        <v>0</v>
      </c>
      <c r="AQ94" s="23">
        <f t="shared" si="2"/>
        <v>0</v>
      </c>
      <c r="AR94" s="23">
        <f t="shared" si="3"/>
        <v>0</v>
      </c>
      <c r="AS94" s="23">
        <f t="shared" si="4"/>
        <v>0</v>
      </c>
      <c r="AT94" s="36" t="str">
        <f t="shared" si="5"/>
        <v/>
      </c>
      <c r="AU94" s="37"/>
      <c r="AV94" s="37"/>
      <c r="AW94" s="37"/>
    </row>
    <row r="95" ht="15.75" customHeight="1">
      <c r="A95" s="39" t="s">
        <v>27</v>
      </c>
      <c r="B95" s="40">
        <f t="shared" si="6"/>
        <v>44655</v>
      </c>
      <c r="C95" s="41">
        <v>4.0</v>
      </c>
      <c r="D95" s="41" t="s">
        <v>33</v>
      </c>
      <c r="E95" s="43" t="s">
        <v>39</v>
      </c>
      <c r="F95" s="28">
        <v>0.0</v>
      </c>
      <c r="H95" s="32">
        <v>0.0</v>
      </c>
      <c r="J95" s="32">
        <v>0.0</v>
      </c>
      <c r="L95" s="32">
        <v>0.0</v>
      </c>
      <c r="N95" s="32">
        <v>0.0</v>
      </c>
      <c r="P95" s="32">
        <v>0.0</v>
      </c>
      <c r="Q95" s="29"/>
      <c r="R95" s="28">
        <v>0.0</v>
      </c>
      <c r="T95" s="32">
        <v>0.0</v>
      </c>
      <c r="V95" s="32">
        <v>0.0</v>
      </c>
      <c r="X95" s="32">
        <v>0.0</v>
      </c>
      <c r="Z95" s="32">
        <v>0.0</v>
      </c>
      <c r="AB95" s="32">
        <v>0.0</v>
      </c>
      <c r="AC95" s="29"/>
      <c r="AD95" s="26"/>
      <c r="AF95" s="27"/>
      <c r="AH95" s="27"/>
      <c r="AJ95" s="27"/>
      <c r="AL95" s="27"/>
      <c r="AN95" s="27"/>
      <c r="AO95" s="29"/>
      <c r="AP95" s="45">
        <f t="shared" si="1"/>
        <v>0</v>
      </c>
      <c r="AQ95" s="41">
        <f t="shared" si="2"/>
        <v>0</v>
      </c>
      <c r="AR95" s="41">
        <f t="shared" si="3"/>
        <v>0</v>
      </c>
      <c r="AS95" s="41">
        <f t="shared" si="4"/>
        <v>0</v>
      </c>
      <c r="AT95" s="46" t="str">
        <f t="shared" si="5"/>
        <v/>
      </c>
      <c r="AU95" s="37"/>
      <c r="AV95" s="37"/>
      <c r="AW95" s="37"/>
    </row>
    <row r="96" ht="15.75" customHeight="1">
      <c r="A96" s="39" t="s">
        <v>28</v>
      </c>
      <c r="B96" s="40">
        <f t="shared" si="6"/>
        <v>44656</v>
      </c>
      <c r="C96" s="41">
        <v>4.0</v>
      </c>
      <c r="D96" s="41" t="s">
        <v>33</v>
      </c>
      <c r="E96" s="43" t="s">
        <v>39</v>
      </c>
      <c r="F96" s="28">
        <v>0.0</v>
      </c>
      <c r="H96" s="32">
        <v>0.0</v>
      </c>
      <c r="J96" s="32">
        <v>0.0</v>
      </c>
      <c r="L96" s="32">
        <v>0.0</v>
      </c>
      <c r="N96" s="32">
        <v>0.0</v>
      </c>
      <c r="P96" s="32">
        <v>0.0</v>
      </c>
      <c r="Q96" s="29"/>
      <c r="R96" s="28">
        <v>0.0</v>
      </c>
      <c r="T96" s="32">
        <v>0.0</v>
      </c>
      <c r="V96" s="32">
        <v>0.0</v>
      </c>
      <c r="X96" s="32">
        <v>0.0</v>
      </c>
      <c r="Z96" s="32">
        <v>0.0</v>
      </c>
      <c r="AB96" s="32">
        <v>0.0</v>
      </c>
      <c r="AC96" s="29"/>
      <c r="AD96" s="26"/>
      <c r="AF96" s="27"/>
      <c r="AH96" s="27"/>
      <c r="AJ96" s="27"/>
      <c r="AL96" s="27"/>
      <c r="AN96" s="27"/>
      <c r="AO96" s="29"/>
      <c r="AP96" s="45">
        <f t="shared" si="1"/>
        <v>0</v>
      </c>
      <c r="AQ96" s="41">
        <f t="shared" si="2"/>
        <v>0</v>
      </c>
      <c r="AR96" s="41">
        <f t="shared" si="3"/>
        <v>0</v>
      </c>
      <c r="AS96" s="41">
        <f t="shared" si="4"/>
        <v>0</v>
      </c>
      <c r="AT96" s="46" t="str">
        <f t="shared" si="5"/>
        <v/>
      </c>
      <c r="AU96" s="37"/>
      <c r="AV96" s="37"/>
      <c r="AW96" s="37"/>
    </row>
    <row r="97" ht="15.75" customHeight="1">
      <c r="A97" s="39" t="s">
        <v>29</v>
      </c>
      <c r="B97" s="40">
        <f t="shared" si="6"/>
        <v>44657</v>
      </c>
      <c r="C97" s="41">
        <v>4.0</v>
      </c>
      <c r="D97" s="41" t="s">
        <v>33</v>
      </c>
      <c r="E97" s="43" t="s">
        <v>39</v>
      </c>
      <c r="F97" s="28">
        <v>0.0</v>
      </c>
      <c r="H97" s="32">
        <v>0.0</v>
      </c>
      <c r="J97" s="32">
        <v>0.0</v>
      </c>
      <c r="L97" s="32">
        <v>0.0</v>
      </c>
      <c r="N97" s="32">
        <v>0.0</v>
      </c>
      <c r="P97" s="32">
        <v>0.0</v>
      </c>
      <c r="Q97" s="29"/>
      <c r="R97" s="28">
        <v>70.0</v>
      </c>
      <c r="T97" s="32">
        <v>89.0</v>
      </c>
      <c r="V97" s="32">
        <v>0.0</v>
      </c>
      <c r="X97" s="32">
        <v>0.0</v>
      </c>
      <c r="Z97" s="32">
        <v>0.0</v>
      </c>
      <c r="AB97" s="32">
        <v>0.0</v>
      </c>
      <c r="AC97" s="29"/>
      <c r="AD97" s="26"/>
      <c r="AF97" s="27"/>
      <c r="AH97" s="27"/>
      <c r="AJ97" s="27"/>
      <c r="AL97" s="27"/>
      <c r="AN97" s="27"/>
      <c r="AO97" s="29"/>
      <c r="AP97" s="45">
        <f t="shared" si="1"/>
        <v>2703</v>
      </c>
      <c r="AQ97" s="41">
        <f t="shared" si="2"/>
        <v>159</v>
      </c>
      <c r="AR97" s="41">
        <f t="shared" si="3"/>
        <v>0</v>
      </c>
      <c r="AS97" s="41">
        <f t="shared" si="4"/>
        <v>159</v>
      </c>
      <c r="AT97" s="46">
        <f t="shared" si="5"/>
        <v>17</v>
      </c>
      <c r="AU97" s="37"/>
      <c r="AV97" s="37"/>
      <c r="AW97" s="37"/>
    </row>
    <row r="98" ht="15.75" customHeight="1">
      <c r="A98" s="39" t="s">
        <v>30</v>
      </c>
      <c r="B98" s="40">
        <f t="shared" si="6"/>
        <v>44658</v>
      </c>
      <c r="C98" s="41">
        <v>4.0</v>
      </c>
      <c r="D98" s="41" t="s">
        <v>33</v>
      </c>
      <c r="E98" s="43" t="s">
        <v>39</v>
      </c>
      <c r="F98" s="28">
        <v>0.0</v>
      </c>
      <c r="H98" s="32">
        <v>0.0</v>
      </c>
      <c r="J98" s="32">
        <v>0.0</v>
      </c>
      <c r="L98" s="32">
        <v>0.0</v>
      </c>
      <c r="N98" s="32">
        <v>0.0</v>
      </c>
      <c r="P98" s="32">
        <v>0.0</v>
      </c>
      <c r="Q98" s="29"/>
      <c r="R98" s="28">
        <v>91.0</v>
      </c>
      <c r="T98" s="32">
        <v>81.0</v>
      </c>
      <c r="V98" s="32">
        <v>0.0</v>
      </c>
      <c r="X98" s="32">
        <v>0.0</v>
      </c>
      <c r="Z98" s="32">
        <v>0.0</v>
      </c>
      <c r="AB98" s="32">
        <v>0.0</v>
      </c>
      <c r="AC98" s="29"/>
      <c r="AD98" s="26"/>
      <c r="AF98" s="27"/>
      <c r="AH98" s="27"/>
      <c r="AJ98" s="27"/>
      <c r="AL98" s="27"/>
      <c r="AN98" s="27"/>
      <c r="AO98" s="29"/>
      <c r="AP98" s="45">
        <f t="shared" si="1"/>
        <v>2924</v>
      </c>
      <c r="AQ98" s="41">
        <f t="shared" si="2"/>
        <v>172</v>
      </c>
      <c r="AR98" s="41">
        <f t="shared" si="3"/>
        <v>0</v>
      </c>
      <c r="AS98" s="41">
        <f t="shared" si="4"/>
        <v>172</v>
      </c>
      <c r="AT98" s="46">
        <f t="shared" si="5"/>
        <v>17</v>
      </c>
      <c r="AU98" s="37"/>
      <c r="AV98" s="37"/>
      <c r="AW98" s="37"/>
    </row>
    <row r="99" ht="15.75" customHeight="1">
      <c r="A99" s="39" t="s">
        <v>31</v>
      </c>
      <c r="B99" s="40">
        <f t="shared" si="6"/>
        <v>44659</v>
      </c>
      <c r="C99" s="41">
        <v>4.0</v>
      </c>
      <c r="D99" s="41" t="s">
        <v>33</v>
      </c>
      <c r="E99" s="43" t="s">
        <v>39</v>
      </c>
      <c r="F99" s="28">
        <v>0.0</v>
      </c>
      <c r="H99" s="32">
        <v>0.0</v>
      </c>
      <c r="J99" s="32">
        <v>0.0</v>
      </c>
      <c r="L99" s="32">
        <v>0.0</v>
      </c>
      <c r="N99" s="32">
        <v>0.0</v>
      </c>
      <c r="P99" s="32">
        <v>0.0</v>
      </c>
      <c r="Q99" s="29"/>
      <c r="R99" s="28">
        <v>70.0</v>
      </c>
      <c r="T99" s="32">
        <v>80.0</v>
      </c>
      <c r="V99" s="32">
        <v>0.0</v>
      </c>
      <c r="X99" s="32">
        <v>0.0</v>
      </c>
      <c r="Z99" s="32">
        <v>0.0</v>
      </c>
      <c r="AB99" s="32">
        <v>0.0</v>
      </c>
      <c r="AC99" s="29"/>
      <c r="AD99" s="26"/>
      <c r="AF99" s="27"/>
      <c r="AH99" s="27"/>
      <c r="AJ99" s="27"/>
      <c r="AL99" s="27"/>
      <c r="AN99" s="27"/>
      <c r="AO99" s="29"/>
      <c r="AP99" s="45">
        <f t="shared" si="1"/>
        <v>2550</v>
      </c>
      <c r="AQ99" s="41">
        <f t="shared" si="2"/>
        <v>150</v>
      </c>
      <c r="AR99" s="41">
        <f t="shared" si="3"/>
        <v>0</v>
      </c>
      <c r="AS99" s="41">
        <f t="shared" si="4"/>
        <v>150</v>
      </c>
      <c r="AT99" s="46">
        <f t="shared" si="5"/>
        <v>17</v>
      </c>
      <c r="AU99" s="37"/>
      <c r="AV99" s="37"/>
      <c r="AW99" s="37"/>
    </row>
    <row r="100" ht="15.75" customHeight="1">
      <c r="A100" s="49" t="s">
        <v>32</v>
      </c>
      <c r="B100" s="50">
        <f t="shared" si="6"/>
        <v>44660</v>
      </c>
      <c r="C100" s="51">
        <v>4.0</v>
      </c>
      <c r="D100" s="51" t="s">
        <v>33</v>
      </c>
      <c r="E100" s="53" t="s">
        <v>39</v>
      </c>
      <c r="F100" s="57">
        <v>0.0</v>
      </c>
      <c r="G100" s="55"/>
      <c r="H100" s="59">
        <v>0.0</v>
      </c>
      <c r="I100" s="55"/>
      <c r="J100" s="59">
        <v>0.0</v>
      </c>
      <c r="K100" s="55"/>
      <c r="L100" s="59">
        <v>0.0</v>
      </c>
      <c r="M100" s="55"/>
      <c r="N100" s="59">
        <v>0.0</v>
      </c>
      <c r="O100" s="55"/>
      <c r="P100" s="59">
        <v>0.0</v>
      </c>
      <c r="Q100" s="58"/>
      <c r="R100" s="57">
        <v>0.0</v>
      </c>
      <c r="S100" s="55"/>
      <c r="T100" s="59">
        <v>0.0</v>
      </c>
      <c r="U100" s="55"/>
      <c r="V100" s="59">
        <v>0.0</v>
      </c>
      <c r="W100" s="55"/>
      <c r="X100" s="59">
        <v>0.0</v>
      </c>
      <c r="Y100" s="55"/>
      <c r="Z100" s="59">
        <v>0.0</v>
      </c>
      <c r="AA100" s="55"/>
      <c r="AB100" s="59">
        <v>0.0</v>
      </c>
      <c r="AC100" s="58"/>
      <c r="AD100" s="54"/>
      <c r="AE100" s="55"/>
      <c r="AF100" s="56"/>
      <c r="AG100" s="55"/>
      <c r="AH100" s="56"/>
      <c r="AI100" s="55"/>
      <c r="AJ100" s="56"/>
      <c r="AK100" s="55"/>
      <c r="AL100" s="56"/>
      <c r="AM100" s="55"/>
      <c r="AN100" s="56"/>
      <c r="AO100" s="58"/>
      <c r="AP100" s="60">
        <f t="shared" si="1"/>
        <v>0</v>
      </c>
      <c r="AQ100" s="51">
        <f t="shared" si="2"/>
        <v>0</v>
      </c>
      <c r="AR100" s="51">
        <f t="shared" si="3"/>
        <v>0</v>
      </c>
      <c r="AS100" s="51">
        <f t="shared" si="4"/>
        <v>0</v>
      </c>
      <c r="AT100" s="61" t="str">
        <f t="shared" si="5"/>
        <v/>
      </c>
      <c r="AU100" s="37"/>
      <c r="AV100" s="37"/>
      <c r="AW100" s="37"/>
    </row>
    <row r="101" ht="15.75" customHeight="1">
      <c r="A101" s="21" t="s">
        <v>24</v>
      </c>
      <c r="B101" s="62">
        <f t="shared" si="6"/>
        <v>44661</v>
      </c>
      <c r="C101" s="23">
        <v>4.0</v>
      </c>
      <c r="D101" s="23" t="s">
        <v>34</v>
      </c>
      <c r="E101" s="63" t="s">
        <v>39</v>
      </c>
      <c r="F101" s="28">
        <v>0.0</v>
      </c>
      <c r="H101" s="32">
        <v>0.0</v>
      </c>
      <c r="J101" s="32">
        <v>0.0</v>
      </c>
      <c r="L101" s="32">
        <v>0.0</v>
      </c>
      <c r="N101" s="32">
        <v>0.0</v>
      </c>
      <c r="P101" s="32">
        <v>0.0</v>
      </c>
      <c r="Q101" s="29"/>
      <c r="R101" s="28">
        <v>73.0</v>
      </c>
      <c r="T101" s="32">
        <v>78.0</v>
      </c>
      <c r="V101" s="32">
        <v>0.0</v>
      </c>
      <c r="X101" s="32">
        <v>0.0</v>
      </c>
      <c r="Z101" s="32">
        <v>0.0</v>
      </c>
      <c r="AB101" s="32">
        <v>0.0</v>
      </c>
      <c r="AC101" s="29"/>
      <c r="AD101" s="26"/>
      <c r="AF101" s="27"/>
      <c r="AH101" s="27"/>
      <c r="AJ101" s="27"/>
      <c r="AL101" s="27"/>
      <c r="AN101" s="27"/>
      <c r="AO101" s="29"/>
      <c r="AP101" s="35">
        <f t="shared" si="1"/>
        <v>2567</v>
      </c>
      <c r="AQ101" s="23">
        <f t="shared" si="2"/>
        <v>151</v>
      </c>
      <c r="AR101" s="23">
        <f t="shared" si="3"/>
        <v>0</v>
      </c>
      <c r="AS101" s="23">
        <f t="shared" si="4"/>
        <v>151</v>
      </c>
      <c r="AT101" s="36">
        <f t="shared" si="5"/>
        <v>17</v>
      </c>
      <c r="AU101" s="37"/>
      <c r="AV101" s="37"/>
      <c r="AW101" s="37"/>
    </row>
    <row r="102" ht="15.75" customHeight="1">
      <c r="A102" s="39" t="s">
        <v>27</v>
      </c>
      <c r="B102" s="40">
        <f t="shared" si="6"/>
        <v>44662</v>
      </c>
      <c r="C102" s="41">
        <v>4.0</v>
      </c>
      <c r="D102" s="41" t="s">
        <v>34</v>
      </c>
      <c r="E102" s="43" t="s">
        <v>39</v>
      </c>
      <c r="F102" s="28">
        <v>0.0</v>
      </c>
      <c r="H102" s="32">
        <v>0.0</v>
      </c>
      <c r="J102" s="32">
        <v>0.0</v>
      </c>
      <c r="L102" s="32">
        <v>0.0</v>
      </c>
      <c r="N102" s="32">
        <v>0.0</v>
      </c>
      <c r="P102" s="32">
        <v>0.0</v>
      </c>
      <c r="Q102" s="29"/>
      <c r="R102" s="28">
        <v>74.0</v>
      </c>
      <c r="T102" s="32">
        <v>84.0</v>
      </c>
      <c r="V102" s="32">
        <v>0.0</v>
      </c>
      <c r="X102" s="32">
        <v>0.0</v>
      </c>
      <c r="Z102" s="32">
        <v>0.0</v>
      </c>
      <c r="AB102" s="32">
        <v>0.0</v>
      </c>
      <c r="AC102" s="29"/>
      <c r="AD102" s="26"/>
      <c r="AF102" s="27"/>
      <c r="AH102" s="27"/>
      <c r="AJ102" s="27"/>
      <c r="AL102" s="27"/>
      <c r="AN102" s="27"/>
      <c r="AO102" s="29"/>
      <c r="AP102" s="45">
        <f t="shared" si="1"/>
        <v>2686</v>
      </c>
      <c r="AQ102" s="41">
        <f t="shared" si="2"/>
        <v>158</v>
      </c>
      <c r="AR102" s="41">
        <f t="shared" si="3"/>
        <v>0</v>
      </c>
      <c r="AS102" s="41">
        <f t="shared" si="4"/>
        <v>158</v>
      </c>
      <c r="AT102" s="46">
        <f t="shared" si="5"/>
        <v>17</v>
      </c>
      <c r="AU102" s="37"/>
      <c r="AV102" s="37"/>
      <c r="AW102" s="37"/>
    </row>
    <row r="103" ht="15.75" customHeight="1">
      <c r="A103" s="39" t="s">
        <v>28</v>
      </c>
      <c r="B103" s="40">
        <f t="shared" si="6"/>
        <v>44663</v>
      </c>
      <c r="C103" s="41">
        <v>4.0</v>
      </c>
      <c r="D103" s="41" t="s">
        <v>34</v>
      </c>
      <c r="E103" s="43" t="s">
        <v>39</v>
      </c>
      <c r="F103" s="28">
        <v>0.0</v>
      </c>
      <c r="H103" s="32">
        <v>0.0</v>
      </c>
      <c r="J103" s="32">
        <v>0.0</v>
      </c>
      <c r="L103" s="32">
        <v>0.0</v>
      </c>
      <c r="N103" s="32">
        <v>0.0</v>
      </c>
      <c r="P103" s="32">
        <v>0.0</v>
      </c>
      <c r="Q103" s="29"/>
      <c r="R103" s="28">
        <v>77.0</v>
      </c>
      <c r="T103" s="32">
        <v>90.0</v>
      </c>
      <c r="V103" s="32">
        <v>0.0</v>
      </c>
      <c r="X103" s="32">
        <v>0.0</v>
      </c>
      <c r="Z103" s="32">
        <v>0.0</v>
      </c>
      <c r="AB103" s="32">
        <v>0.0</v>
      </c>
      <c r="AC103" s="29"/>
      <c r="AD103" s="26"/>
      <c r="AF103" s="27"/>
      <c r="AH103" s="27"/>
      <c r="AJ103" s="27"/>
      <c r="AL103" s="27"/>
      <c r="AN103" s="27"/>
      <c r="AO103" s="29"/>
      <c r="AP103" s="45">
        <f t="shared" si="1"/>
        <v>2839</v>
      </c>
      <c r="AQ103" s="41">
        <f t="shared" si="2"/>
        <v>167</v>
      </c>
      <c r="AR103" s="41">
        <f t="shared" si="3"/>
        <v>0</v>
      </c>
      <c r="AS103" s="41">
        <f t="shared" si="4"/>
        <v>167</v>
      </c>
      <c r="AT103" s="46">
        <f t="shared" si="5"/>
        <v>17</v>
      </c>
      <c r="AU103" s="37"/>
      <c r="AV103" s="37"/>
      <c r="AW103" s="37"/>
    </row>
    <row r="104" ht="15.75" customHeight="1">
      <c r="A104" s="39" t="s">
        <v>29</v>
      </c>
      <c r="B104" s="40">
        <f t="shared" si="6"/>
        <v>44664</v>
      </c>
      <c r="C104" s="41">
        <v>4.0</v>
      </c>
      <c r="D104" s="41" t="s">
        <v>34</v>
      </c>
      <c r="E104" s="43" t="s">
        <v>39</v>
      </c>
      <c r="F104" s="28">
        <v>0.0</v>
      </c>
      <c r="H104" s="32">
        <v>0.0</v>
      </c>
      <c r="J104" s="32">
        <v>0.0</v>
      </c>
      <c r="L104" s="32">
        <v>0.0</v>
      </c>
      <c r="N104" s="32">
        <v>0.0</v>
      </c>
      <c r="P104" s="32">
        <v>0.0</v>
      </c>
      <c r="Q104" s="29"/>
      <c r="R104" s="28">
        <v>69.0</v>
      </c>
      <c r="T104" s="32">
        <v>93.0</v>
      </c>
      <c r="V104" s="32">
        <v>0.0</v>
      </c>
      <c r="X104" s="32">
        <v>0.0</v>
      </c>
      <c r="Z104" s="32">
        <v>0.0</v>
      </c>
      <c r="AB104" s="32">
        <v>0.0</v>
      </c>
      <c r="AC104" s="29"/>
      <c r="AD104" s="26"/>
      <c r="AF104" s="27"/>
      <c r="AH104" s="27"/>
      <c r="AJ104" s="27"/>
      <c r="AL104" s="27"/>
      <c r="AN104" s="27"/>
      <c r="AO104" s="29"/>
      <c r="AP104" s="45">
        <f t="shared" si="1"/>
        <v>2754</v>
      </c>
      <c r="AQ104" s="41">
        <f t="shared" si="2"/>
        <v>162</v>
      </c>
      <c r="AR104" s="41">
        <f t="shared" si="3"/>
        <v>0</v>
      </c>
      <c r="AS104" s="41">
        <f t="shared" si="4"/>
        <v>162</v>
      </c>
      <c r="AT104" s="46">
        <f t="shared" si="5"/>
        <v>17</v>
      </c>
      <c r="AU104" s="37"/>
      <c r="AV104" s="37"/>
      <c r="AW104" s="37"/>
    </row>
    <row r="105" ht="15.75" customHeight="1">
      <c r="A105" s="39" t="s">
        <v>30</v>
      </c>
      <c r="B105" s="40">
        <f t="shared" si="6"/>
        <v>44665</v>
      </c>
      <c r="C105" s="41">
        <v>4.0</v>
      </c>
      <c r="D105" s="41" t="s">
        <v>34</v>
      </c>
      <c r="E105" s="43" t="s">
        <v>39</v>
      </c>
      <c r="F105" s="28">
        <v>0.0</v>
      </c>
      <c r="H105" s="32">
        <v>0.0</v>
      </c>
      <c r="J105" s="32">
        <v>0.0</v>
      </c>
      <c r="L105" s="32">
        <v>0.0</v>
      </c>
      <c r="N105" s="32">
        <v>0.0</v>
      </c>
      <c r="P105" s="32">
        <v>0.0</v>
      </c>
      <c r="Q105" s="29"/>
      <c r="R105" s="28">
        <v>71.0</v>
      </c>
      <c r="T105" s="32">
        <v>87.0</v>
      </c>
      <c r="V105" s="32">
        <v>0.0</v>
      </c>
      <c r="X105" s="32">
        <v>0.0</v>
      </c>
      <c r="Z105" s="32">
        <v>0.0</v>
      </c>
      <c r="AB105" s="32">
        <v>0.0</v>
      </c>
      <c r="AC105" s="29"/>
      <c r="AD105" s="26"/>
      <c r="AF105" s="27"/>
      <c r="AH105" s="27"/>
      <c r="AJ105" s="27"/>
      <c r="AL105" s="27"/>
      <c r="AN105" s="27"/>
      <c r="AO105" s="29"/>
      <c r="AP105" s="45">
        <f t="shared" si="1"/>
        <v>2686</v>
      </c>
      <c r="AQ105" s="41">
        <f t="shared" si="2"/>
        <v>158</v>
      </c>
      <c r="AR105" s="41">
        <f t="shared" si="3"/>
        <v>0</v>
      </c>
      <c r="AS105" s="41">
        <f t="shared" si="4"/>
        <v>158</v>
      </c>
      <c r="AT105" s="46">
        <f t="shared" si="5"/>
        <v>17</v>
      </c>
      <c r="AU105" s="37"/>
      <c r="AV105" s="37"/>
      <c r="AW105" s="37"/>
    </row>
    <row r="106" ht="15.75" customHeight="1">
      <c r="A106" s="39" t="s">
        <v>31</v>
      </c>
      <c r="B106" s="40">
        <f t="shared" si="6"/>
        <v>44666</v>
      </c>
      <c r="C106" s="41">
        <v>4.0</v>
      </c>
      <c r="D106" s="41" t="s">
        <v>34</v>
      </c>
      <c r="E106" s="43" t="s">
        <v>39</v>
      </c>
      <c r="F106" s="28">
        <v>0.0</v>
      </c>
      <c r="H106" s="32">
        <v>0.0</v>
      </c>
      <c r="J106" s="32">
        <v>0.0</v>
      </c>
      <c r="L106" s="32">
        <v>0.0</v>
      </c>
      <c r="N106" s="32">
        <v>0.0</v>
      </c>
      <c r="P106" s="32">
        <v>0.0</v>
      </c>
      <c r="Q106" s="29"/>
      <c r="R106" s="28">
        <v>73.0</v>
      </c>
      <c r="T106" s="32">
        <v>87.0</v>
      </c>
      <c r="V106" s="32">
        <v>0.0</v>
      </c>
      <c r="X106" s="32">
        <v>0.0</v>
      </c>
      <c r="Z106" s="32">
        <v>0.0</v>
      </c>
      <c r="AB106" s="32">
        <v>0.0</v>
      </c>
      <c r="AC106" s="29"/>
      <c r="AD106" s="26"/>
      <c r="AF106" s="27"/>
      <c r="AH106" s="27"/>
      <c r="AJ106" s="27"/>
      <c r="AL106" s="27"/>
      <c r="AN106" s="27"/>
      <c r="AO106" s="29"/>
      <c r="AP106" s="45">
        <f t="shared" si="1"/>
        <v>2720</v>
      </c>
      <c r="AQ106" s="41">
        <f t="shared" si="2"/>
        <v>160</v>
      </c>
      <c r="AR106" s="41">
        <f t="shared" si="3"/>
        <v>0</v>
      </c>
      <c r="AS106" s="41">
        <f t="shared" si="4"/>
        <v>160</v>
      </c>
      <c r="AT106" s="46">
        <f t="shared" si="5"/>
        <v>17</v>
      </c>
      <c r="AU106" s="37"/>
      <c r="AV106" s="37"/>
      <c r="AW106" s="37"/>
    </row>
    <row r="107" ht="15.75" customHeight="1">
      <c r="A107" s="49" t="s">
        <v>32</v>
      </c>
      <c r="B107" s="50">
        <f t="shared" si="6"/>
        <v>44667</v>
      </c>
      <c r="C107" s="51">
        <v>4.0</v>
      </c>
      <c r="D107" s="51" t="s">
        <v>34</v>
      </c>
      <c r="E107" s="53" t="s">
        <v>39</v>
      </c>
      <c r="F107" s="57">
        <v>0.0</v>
      </c>
      <c r="G107" s="55"/>
      <c r="H107" s="59">
        <v>0.0</v>
      </c>
      <c r="I107" s="55"/>
      <c r="J107" s="59">
        <v>0.0</v>
      </c>
      <c r="K107" s="55"/>
      <c r="L107" s="59">
        <v>0.0</v>
      </c>
      <c r="M107" s="55"/>
      <c r="N107" s="59">
        <v>0.0</v>
      </c>
      <c r="O107" s="55"/>
      <c r="P107" s="59">
        <v>0.0</v>
      </c>
      <c r="Q107" s="58"/>
      <c r="R107" s="57">
        <v>0.0</v>
      </c>
      <c r="S107" s="55"/>
      <c r="T107" s="59">
        <v>0.0</v>
      </c>
      <c r="U107" s="55"/>
      <c r="V107" s="59">
        <v>0.0</v>
      </c>
      <c r="W107" s="55"/>
      <c r="X107" s="59">
        <v>0.0</v>
      </c>
      <c r="Y107" s="55"/>
      <c r="Z107" s="59">
        <v>0.0</v>
      </c>
      <c r="AA107" s="55"/>
      <c r="AB107" s="59">
        <v>0.0</v>
      </c>
      <c r="AC107" s="58"/>
      <c r="AD107" s="54"/>
      <c r="AE107" s="55"/>
      <c r="AF107" s="56"/>
      <c r="AG107" s="55"/>
      <c r="AH107" s="56"/>
      <c r="AI107" s="55"/>
      <c r="AJ107" s="56"/>
      <c r="AK107" s="55"/>
      <c r="AL107" s="56"/>
      <c r="AM107" s="55"/>
      <c r="AN107" s="56"/>
      <c r="AO107" s="58"/>
      <c r="AP107" s="60">
        <f t="shared" si="1"/>
        <v>0</v>
      </c>
      <c r="AQ107" s="51">
        <f t="shared" si="2"/>
        <v>0</v>
      </c>
      <c r="AR107" s="51">
        <f t="shared" si="3"/>
        <v>0</v>
      </c>
      <c r="AS107" s="51">
        <f t="shared" si="4"/>
        <v>0</v>
      </c>
      <c r="AT107" s="61" t="str">
        <f t="shared" si="5"/>
        <v/>
      </c>
      <c r="AU107" s="37"/>
      <c r="AV107" s="37"/>
      <c r="AW107" s="37"/>
    </row>
    <row r="108" ht="15.75" customHeight="1">
      <c r="A108" s="21" t="s">
        <v>24</v>
      </c>
      <c r="B108" s="62">
        <f t="shared" si="6"/>
        <v>44668</v>
      </c>
      <c r="C108" s="23">
        <v>4.0</v>
      </c>
      <c r="D108" s="23" t="s">
        <v>35</v>
      </c>
      <c r="E108" s="63" t="s">
        <v>39</v>
      </c>
      <c r="F108" s="28">
        <v>0.0</v>
      </c>
      <c r="H108" s="32">
        <v>0.0</v>
      </c>
      <c r="J108" s="32">
        <v>0.0</v>
      </c>
      <c r="L108" s="32">
        <v>0.0</v>
      </c>
      <c r="N108" s="32">
        <v>0.0</v>
      </c>
      <c r="P108" s="32">
        <v>0.0</v>
      </c>
      <c r="Q108" s="29"/>
      <c r="R108" s="28">
        <v>74.0</v>
      </c>
      <c r="T108" s="32">
        <v>94.0</v>
      </c>
      <c r="V108" s="32">
        <v>0.0</v>
      </c>
      <c r="X108" s="32">
        <v>0.0</v>
      </c>
      <c r="Z108" s="32">
        <v>0.0</v>
      </c>
      <c r="AB108" s="32">
        <v>0.0</v>
      </c>
      <c r="AC108" s="29"/>
      <c r="AD108" s="26"/>
      <c r="AF108" s="27"/>
      <c r="AH108" s="27"/>
      <c r="AJ108" s="27"/>
      <c r="AL108" s="27"/>
      <c r="AN108" s="27"/>
      <c r="AO108" s="29"/>
      <c r="AP108" s="35">
        <f t="shared" si="1"/>
        <v>2856</v>
      </c>
      <c r="AQ108" s="23">
        <f t="shared" si="2"/>
        <v>168</v>
      </c>
      <c r="AR108" s="23">
        <f t="shared" si="3"/>
        <v>0</v>
      </c>
      <c r="AS108" s="23">
        <f t="shared" si="4"/>
        <v>168</v>
      </c>
      <c r="AT108" s="36">
        <f t="shared" si="5"/>
        <v>17</v>
      </c>
      <c r="AU108" s="37"/>
      <c r="AV108" s="37"/>
      <c r="AW108" s="37"/>
    </row>
    <row r="109" ht="15.75" customHeight="1">
      <c r="A109" s="39" t="s">
        <v>27</v>
      </c>
      <c r="B109" s="40">
        <f t="shared" si="6"/>
        <v>44669</v>
      </c>
      <c r="C109" s="41">
        <v>4.0</v>
      </c>
      <c r="D109" s="41" t="s">
        <v>35</v>
      </c>
      <c r="E109" s="43" t="s">
        <v>39</v>
      </c>
      <c r="F109" s="28">
        <v>0.0</v>
      </c>
      <c r="H109" s="32">
        <v>0.0</v>
      </c>
      <c r="J109" s="32">
        <v>0.0</v>
      </c>
      <c r="L109" s="32">
        <v>0.0</v>
      </c>
      <c r="N109" s="32">
        <v>0.0</v>
      </c>
      <c r="P109" s="32">
        <v>0.0</v>
      </c>
      <c r="Q109" s="29"/>
      <c r="R109" s="28">
        <v>84.0</v>
      </c>
      <c r="T109" s="32">
        <v>97.0</v>
      </c>
      <c r="V109" s="32">
        <v>0.0</v>
      </c>
      <c r="X109" s="32">
        <v>0.0</v>
      </c>
      <c r="Z109" s="32">
        <v>0.0</v>
      </c>
      <c r="AB109" s="32">
        <v>0.0</v>
      </c>
      <c r="AC109" s="29"/>
      <c r="AD109" s="26"/>
      <c r="AF109" s="27"/>
      <c r="AH109" s="27"/>
      <c r="AJ109" s="27"/>
      <c r="AL109" s="27"/>
      <c r="AN109" s="27"/>
      <c r="AO109" s="29"/>
      <c r="AP109" s="45">
        <f t="shared" si="1"/>
        <v>3077</v>
      </c>
      <c r="AQ109" s="41">
        <f t="shared" si="2"/>
        <v>181</v>
      </c>
      <c r="AR109" s="41">
        <f t="shared" si="3"/>
        <v>0</v>
      </c>
      <c r="AS109" s="41">
        <f t="shared" si="4"/>
        <v>181</v>
      </c>
      <c r="AT109" s="46">
        <f t="shared" si="5"/>
        <v>17</v>
      </c>
      <c r="AU109" s="37"/>
      <c r="AV109" s="37"/>
      <c r="AW109" s="37"/>
    </row>
    <row r="110" ht="15.75" customHeight="1">
      <c r="A110" s="39" t="s">
        <v>28</v>
      </c>
      <c r="B110" s="40">
        <f t="shared" si="6"/>
        <v>44670</v>
      </c>
      <c r="C110" s="41">
        <v>4.0</v>
      </c>
      <c r="D110" s="41" t="s">
        <v>35</v>
      </c>
      <c r="E110" s="43" t="s">
        <v>39</v>
      </c>
      <c r="F110" s="28">
        <v>0.0</v>
      </c>
      <c r="H110" s="32">
        <v>0.0</v>
      </c>
      <c r="J110" s="32">
        <v>0.0</v>
      </c>
      <c r="L110" s="32">
        <v>0.0</v>
      </c>
      <c r="N110" s="32">
        <v>0.0</v>
      </c>
      <c r="P110" s="32">
        <v>0.0</v>
      </c>
      <c r="Q110" s="29"/>
      <c r="R110" s="28">
        <v>68.0</v>
      </c>
      <c r="T110" s="32">
        <v>81.0</v>
      </c>
      <c r="V110" s="32">
        <v>0.0</v>
      </c>
      <c r="X110" s="32">
        <v>0.0</v>
      </c>
      <c r="Z110" s="32">
        <v>0.0</v>
      </c>
      <c r="AB110" s="32">
        <v>0.0</v>
      </c>
      <c r="AC110" s="29"/>
      <c r="AD110" s="26"/>
      <c r="AF110" s="27"/>
      <c r="AH110" s="27"/>
      <c r="AJ110" s="27"/>
      <c r="AL110" s="27"/>
      <c r="AN110" s="27"/>
      <c r="AO110" s="29"/>
      <c r="AP110" s="45">
        <f t="shared" si="1"/>
        <v>2533</v>
      </c>
      <c r="AQ110" s="41">
        <f t="shared" si="2"/>
        <v>149</v>
      </c>
      <c r="AR110" s="41">
        <f t="shared" si="3"/>
        <v>0</v>
      </c>
      <c r="AS110" s="41">
        <f t="shared" si="4"/>
        <v>149</v>
      </c>
      <c r="AT110" s="46">
        <f t="shared" si="5"/>
        <v>17</v>
      </c>
      <c r="AU110" s="37"/>
      <c r="AV110" s="37"/>
      <c r="AW110" s="37"/>
    </row>
    <row r="111" ht="15.75" customHeight="1">
      <c r="A111" s="39" t="s">
        <v>29</v>
      </c>
      <c r="B111" s="40">
        <f t="shared" si="6"/>
        <v>44671</v>
      </c>
      <c r="C111" s="41">
        <v>4.0</v>
      </c>
      <c r="D111" s="41" t="s">
        <v>35</v>
      </c>
      <c r="E111" s="43" t="s">
        <v>39</v>
      </c>
      <c r="F111" s="28">
        <v>0.0</v>
      </c>
      <c r="H111" s="32">
        <v>0.0</v>
      </c>
      <c r="J111" s="32">
        <v>0.0</v>
      </c>
      <c r="L111" s="32">
        <v>0.0</v>
      </c>
      <c r="N111" s="32">
        <v>0.0</v>
      </c>
      <c r="P111" s="32">
        <v>0.0</v>
      </c>
      <c r="Q111" s="29"/>
      <c r="R111" s="28">
        <v>81.0</v>
      </c>
      <c r="T111" s="32">
        <v>98.0</v>
      </c>
      <c r="V111" s="32">
        <v>0.0</v>
      </c>
      <c r="X111" s="32">
        <v>0.0</v>
      </c>
      <c r="Z111" s="32">
        <v>0.0</v>
      </c>
      <c r="AB111" s="32">
        <v>0.0</v>
      </c>
      <c r="AC111" s="29"/>
      <c r="AD111" s="26"/>
      <c r="AF111" s="27"/>
      <c r="AH111" s="27"/>
      <c r="AJ111" s="27"/>
      <c r="AL111" s="27"/>
      <c r="AN111" s="27"/>
      <c r="AO111" s="29"/>
      <c r="AP111" s="45">
        <f t="shared" si="1"/>
        <v>3043</v>
      </c>
      <c r="AQ111" s="41">
        <f t="shared" si="2"/>
        <v>179</v>
      </c>
      <c r="AR111" s="41">
        <f t="shared" si="3"/>
        <v>0</v>
      </c>
      <c r="AS111" s="41">
        <f t="shared" si="4"/>
        <v>179</v>
      </c>
      <c r="AT111" s="46">
        <f t="shared" si="5"/>
        <v>17</v>
      </c>
      <c r="AU111" s="37"/>
      <c r="AV111" s="37"/>
      <c r="AW111" s="37"/>
    </row>
    <row r="112" ht="15.75" customHeight="1">
      <c r="A112" s="39" t="s">
        <v>30</v>
      </c>
      <c r="B112" s="40">
        <f t="shared" si="6"/>
        <v>44672</v>
      </c>
      <c r="C112" s="41">
        <v>4.0</v>
      </c>
      <c r="D112" s="41" t="s">
        <v>35</v>
      </c>
      <c r="E112" s="43" t="s">
        <v>39</v>
      </c>
      <c r="F112" s="28">
        <v>0.0</v>
      </c>
      <c r="H112" s="32">
        <v>0.0</v>
      </c>
      <c r="J112" s="32">
        <v>0.0</v>
      </c>
      <c r="L112" s="32">
        <v>0.0</v>
      </c>
      <c r="N112" s="32">
        <v>0.0</v>
      </c>
      <c r="P112" s="32">
        <v>0.0</v>
      </c>
      <c r="Q112" s="29"/>
      <c r="R112" s="28">
        <v>71.0</v>
      </c>
      <c r="T112" s="32">
        <v>88.0</v>
      </c>
      <c r="V112" s="32">
        <v>0.0</v>
      </c>
      <c r="X112" s="32">
        <v>0.0</v>
      </c>
      <c r="Z112" s="32">
        <v>0.0</v>
      </c>
      <c r="AB112" s="32">
        <v>0.0</v>
      </c>
      <c r="AC112" s="29"/>
      <c r="AD112" s="26"/>
      <c r="AF112" s="27"/>
      <c r="AH112" s="27"/>
      <c r="AJ112" s="27"/>
      <c r="AL112" s="27"/>
      <c r="AN112" s="27"/>
      <c r="AO112" s="29"/>
      <c r="AP112" s="45">
        <f t="shared" si="1"/>
        <v>2703</v>
      </c>
      <c r="AQ112" s="41">
        <f t="shared" si="2"/>
        <v>159</v>
      </c>
      <c r="AR112" s="41">
        <f t="shared" si="3"/>
        <v>0</v>
      </c>
      <c r="AS112" s="41">
        <f t="shared" si="4"/>
        <v>159</v>
      </c>
      <c r="AT112" s="46">
        <f t="shared" si="5"/>
        <v>17</v>
      </c>
      <c r="AU112" s="37"/>
      <c r="AV112" s="37"/>
      <c r="AW112" s="37"/>
    </row>
    <row r="113" ht="15.75" customHeight="1">
      <c r="A113" s="39" t="s">
        <v>31</v>
      </c>
      <c r="B113" s="40">
        <f t="shared" si="6"/>
        <v>44673</v>
      </c>
      <c r="C113" s="41">
        <v>4.0</v>
      </c>
      <c r="D113" s="41" t="s">
        <v>35</v>
      </c>
      <c r="E113" s="43" t="s">
        <v>39</v>
      </c>
      <c r="F113" s="28">
        <v>0.0</v>
      </c>
      <c r="H113" s="32">
        <v>0.0</v>
      </c>
      <c r="J113" s="32">
        <v>0.0</v>
      </c>
      <c r="L113" s="32">
        <v>0.0</v>
      </c>
      <c r="N113" s="32">
        <v>0.0</v>
      </c>
      <c r="P113" s="32">
        <v>0.0</v>
      </c>
      <c r="Q113" s="29"/>
      <c r="R113" s="28">
        <v>75.0</v>
      </c>
      <c r="T113" s="32">
        <v>77.0</v>
      </c>
      <c r="V113" s="32">
        <v>0.0</v>
      </c>
      <c r="X113" s="32">
        <v>0.0</v>
      </c>
      <c r="Z113" s="32">
        <v>0.0</v>
      </c>
      <c r="AB113" s="32">
        <v>0.0</v>
      </c>
      <c r="AC113" s="29"/>
      <c r="AD113" s="26"/>
      <c r="AF113" s="27"/>
      <c r="AH113" s="27"/>
      <c r="AJ113" s="27"/>
      <c r="AL113" s="27"/>
      <c r="AN113" s="27"/>
      <c r="AO113" s="29"/>
      <c r="AP113" s="45">
        <f t="shared" si="1"/>
        <v>2584</v>
      </c>
      <c r="AQ113" s="41">
        <f t="shared" si="2"/>
        <v>152</v>
      </c>
      <c r="AR113" s="41">
        <f t="shared" si="3"/>
        <v>0</v>
      </c>
      <c r="AS113" s="41">
        <f t="shared" si="4"/>
        <v>152</v>
      </c>
      <c r="AT113" s="46">
        <f t="shared" si="5"/>
        <v>17</v>
      </c>
      <c r="AU113" s="37"/>
      <c r="AV113" s="37"/>
      <c r="AW113" s="37"/>
    </row>
    <row r="114" ht="15.75" customHeight="1">
      <c r="A114" s="49" t="s">
        <v>32</v>
      </c>
      <c r="B114" s="50">
        <f t="shared" si="6"/>
        <v>44674</v>
      </c>
      <c r="C114" s="51">
        <v>4.0</v>
      </c>
      <c r="D114" s="51" t="s">
        <v>35</v>
      </c>
      <c r="E114" s="53" t="s">
        <v>39</v>
      </c>
      <c r="F114" s="57">
        <v>0.0</v>
      </c>
      <c r="G114" s="55"/>
      <c r="H114" s="59">
        <v>0.0</v>
      </c>
      <c r="I114" s="55"/>
      <c r="J114" s="59">
        <v>0.0</v>
      </c>
      <c r="K114" s="55"/>
      <c r="L114" s="59">
        <v>0.0</v>
      </c>
      <c r="M114" s="55"/>
      <c r="N114" s="59">
        <v>0.0</v>
      </c>
      <c r="O114" s="55"/>
      <c r="P114" s="59">
        <v>0.0</v>
      </c>
      <c r="Q114" s="58"/>
      <c r="R114" s="57">
        <v>0.0</v>
      </c>
      <c r="S114" s="55"/>
      <c r="T114" s="59">
        <v>0.0</v>
      </c>
      <c r="U114" s="55"/>
      <c r="V114" s="59">
        <v>0.0</v>
      </c>
      <c r="W114" s="55"/>
      <c r="X114" s="59">
        <v>0.0</v>
      </c>
      <c r="Y114" s="55"/>
      <c r="Z114" s="59">
        <v>0.0</v>
      </c>
      <c r="AA114" s="55"/>
      <c r="AB114" s="59">
        <v>0.0</v>
      </c>
      <c r="AC114" s="58"/>
      <c r="AD114" s="54"/>
      <c r="AE114" s="55"/>
      <c r="AF114" s="56"/>
      <c r="AG114" s="55"/>
      <c r="AH114" s="56"/>
      <c r="AI114" s="55"/>
      <c r="AJ114" s="56"/>
      <c r="AK114" s="55"/>
      <c r="AL114" s="56"/>
      <c r="AM114" s="55"/>
      <c r="AN114" s="56"/>
      <c r="AO114" s="58"/>
      <c r="AP114" s="60">
        <f t="shared" si="1"/>
        <v>0</v>
      </c>
      <c r="AQ114" s="51">
        <f t="shared" si="2"/>
        <v>0</v>
      </c>
      <c r="AR114" s="51">
        <f t="shared" si="3"/>
        <v>0</v>
      </c>
      <c r="AS114" s="51">
        <f t="shared" si="4"/>
        <v>0</v>
      </c>
      <c r="AT114" s="61" t="str">
        <f t="shared" si="5"/>
        <v/>
      </c>
      <c r="AU114" s="37"/>
      <c r="AV114" s="37"/>
      <c r="AW114" s="37"/>
    </row>
    <row r="115" ht="15.75" customHeight="1">
      <c r="A115" s="21" t="s">
        <v>24</v>
      </c>
      <c r="B115" s="62">
        <f t="shared" si="6"/>
        <v>44675</v>
      </c>
      <c r="C115" s="23">
        <v>5.0</v>
      </c>
      <c r="D115" s="23" t="s">
        <v>25</v>
      </c>
      <c r="E115" s="63" t="s">
        <v>39</v>
      </c>
      <c r="F115" s="28">
        <v>0.0</v>
      </c>
      <c r="H115" s="32">
        <v>0.0</v>
      </c>
      <c r="J115" s="32">
        <v>0.0</v>
      </c>
      <c r="L115" s="32">
        <v>0.0</v>
      </c>
      <c r="N115" s="32">
        <v>0.0</v>
      </c>
      <c r="P115" s="32">
        <v>0.0</v>
      </c>
      <c r="Q115" s="29"/>
      <c r="R115" s="28">
        <v>75.0</v>
      </c>
      <c r="T115" s="32">
        <v>94.0</v>
      </c>
      <c r="V115" s="32">
        <v>0.0</v>
      </c>
      <c r="X115" s="32">
        <v>0.0</v>
      </c>
      <c r="Z115" s="32">
        <v>0.0</v>
      </c>
      <c r="AB115" s="32">
        <v>0.0</v>
      </c>
      <c r="AC115" s="29"/>
      <c r="AD115" s="26"/>
      <c r="AF115" s="27"/>
      <c r="AH115" s="27"/>
      <c r="AJ115" s="27"/>
      <c r="AL115" s="27"/>
      <c r="AN115" s="27"/>
      <c r="AO115" s="29"/>
      <c r="AP115" s="35">
        <f t="shared" si="1"/>
        <v>2873</v>
      </c>
      <c r="AQ115" s="23">
        <f t="shared" si="2"/>
        <v>169</v>
      </c>
      <c r="AR115" s="23">
        <f t="shared" si="3"/>
        <v>0</v>
      </c>
      <c r="AS115" s="23">
        <f t="shared" si="4"/>
        <v>169</v>
      </c>
      <c r="AT115" s="36">
        <f t="shared" si="5"/>
        <v>17</v>
      </c>
      <c r="AU115" s="37"/>
      <c r="AV115" s="37"/>
      <c r="AW115" s="37"/>
    </row>
    <row r="116" ht="15.75" customHeight="1">
      <c r="A116" s="39" t="s">
        <v>27</v>
      </c>
      <c r="B116" s="40">
        <f t="shared" si="6"/>
        <v>44676</v>
      </c>
      <c r="C116" s="41">
        <v>5.0</v>
      </c>
      <c r="D116" s="41" t="s">
        <v>25</v>
      </c>
      <c r="E116" s="43" t="s">
        <v>39</v>
      </c>
      <c r="F116" s="28">
        <v>0.0</v>
      </c>
      <c r="H116" s="32">
        <v>0.0</v>
      </c>
      <c r="J116" s="32">
        <v>0.0</v>
      </c>
      <c r="L116" s="32">
        <v>0.0</v>
      </c>
      <c r="N116" s="32">
        <v>0.0</v>
      </c>
      <c r="P116" s="32">
        <v>0.0</v>
      </c>
      <c r="Q116" s="29"/>
      <c r="R116" s="28">
        <v>76.0</v>
      </c>
      <c r="T116" s="32">
        <v>101.0</v>
      </c>
      <c r="V116" s="32">
        <v>0.0</v>
      </c>
      <c r="X116" s="32">
        <v>0.0</v>
      </c>
      <c r="Z116" s="32">
        <v>0.0</v>
      </c>
      <c r="AB116" s="32">
        <v>0.0</v>
      </c>
      <c r="AC116" s="29"/>
      <c r="AD116" s="26"/>
      <c r="AF116" s="27"/>
      <c r="AH116" s="27"/>
      <c r="AJ116" s="27"/>
      <c r="AL116" s="27"/>
      <c r="AN116" s="27"/>
      <c r="AO116" s="29"/>
      <c r="AP116" s="45">
        <f t="shared" si="1"/>
        <v>3009</v>
      </c>
      <c r="AQ116" s="41">
        <f t="shared" si="2"/>
        <v>177</v>
      </c>
      <c r="AR116" s="41">
        <f t="shared" si="3"/>
        <v>0</v>
      </c>
      <c r="AS116" s="41">
        <f t="shared" si="4"/>
        <v>177</v>
      </c>
      <c r="AT116" s="46">
        <f t="shared" si="5"/>
        <v>17</v>
      </c>
      <c r="AU116" s="37"/>
      <c r="AV116" s="37"/>
      <c r="AW116" s="37"/>
    </row>
    <row r="117" ht="15.75" customHeight="1">
      <c r="A117" s="39" t="s">
        <v>28</v>
      </c>
      <c r="B117" s="40">
        <f t="shared" si="6"/>
        <v>44677</v>
      </c>
      <c r="C117" s="41">
        <v>5.0</v>
      </c>
      <c r="D117" s="41" t="s">
        <v>25</v>
      </c>
      <c r="E117" s="43" t="s">
        <v>39</v>
      </c>
      <c r="F117" s="28">
        <v>0.0</v>
      </c>
      <c r="H117" s="32">
        <v>0.0</v>
      </c>
      <c r="J117" s="32">
        <v>0.0</v>
      </c>
      <c r="L117" s="32">
        <v>0.0</v>
      </c>
      <c r="N117" s="32">
        <v>0.0</v>
      </c>
      <c r="P117" s="32">
        <v>0.0</v>
      </c>
      <c r="Q117" s="29"/>
      <c r="R117" s="28">
        <v>71.0</v>
      </c>
      <c r="T117" s="32">
        <v>81.0</v>
      </c>
      <c r="V117" s="32">
        <v>0.0</v>
      </c>
      <c r="X117" s="32">
        <v>0.0</v>
      </c>
      <c r="Z117" s="32">
        <v>0.0</v>
      </c>
      <c r="AB117" s="32">
        <v>0.0</v>
      </c>
      <c r="AC117" s="29"/>
      <c r="AD117" s="26"/>
      <c r="AF117" s="27"/>
      <c r="AH117" s="27"/>
      <c r="AJ117" s="27"/>
      <c r="AL117" s="27"/>
      <c r="AN117" s="27"/>
      <c r="AO117" s="29"/>
      <c r="AP117" s="45">
        <f t="shared" si="1"/>
        <v>2584</v>
      </c>
      <c r="AQ117" s="41">
        <f t="shared" si="2"/>
        <v>152</v>
      </c>
      <c r="AR117" s="41">
        <f t="shared" si="3"/>
        <v>0</v>
      </c>
      <c r="AS117" s="41">
        <f t="shared" si="4"/>
        <v>152</v>
      </c>
      <c r="AT117" s="46">
        <f t="shared" si="5"/>
        <v>17</v>
      </c>
      <c r="AU117" s="37"/>
      <c r="AV117" s="37"/>
      <c r="AW117" s="37"/>
    </row>
    <row r="118" ht="15.75" customHeight="1">
      <c r="A118" s="39" t="s">
        <v>29</v>
      </c>
      <c r="B118" s="40">
        <f t="shared" si="6"/>
        <v>44678</v>
      </c>
      <c r="C118" s="41">
        <v>5.0</v>
      </c>
      <c r="D118" s="41" t="s">
        <v>25</v>
      </c>
      <c r="E118" s="43" t="s">
        <v>39</v>
      </c>
      <c r="F118" s="28">
        <v>0.0</v>
      </c>
      <c r="H118" s="32">
        <v>0.0</v>
      </c>
      <c r="J118" s="32">
        <v>0.0</v>
      </c>
      <c r="L118" s="32">
        <v>0.0</v>
      </c>
      <c r="N118" s="32">
        <v>0.0</v>
      </c>
      <c r="P118" s="32">
        <v>0.0</v>
      </c>
      <c r="Q118" s="29"/>
      <c r="R118" s="28">
        <v>57.0</v>
      </c>
      <c r="T118" s="32">
        <v>75.0</v>
      </c>
      <c r="V118" s="32">
        <v>0.0</v>
      </c>
      <c r="X118" s="32">
        <v>0.0</v>
      </c>
      <c r="Z118" s="32">
        <v>0.0</v>
      </c>
      <c r="AB118" s="32">
        <v>0.0</v>
      </c>
      <c r="AC118" s="29"/>
      <c r="AD118" s="26"/>
      <c r="AF118" s="27"/>
      <c r="AH118" s="27"/>
      <c r="AJ118" s="27"/>
      <c r="AL118" s="27"/>
      <c r="AN118" s="27"/>
      <c r="AO118" s="29"/>
      <c r="AP118" s="45">
        <f t="shared" si="1"/>
        <v>2244</v>
      </c>
      <c r="AQ118" s="41">
        <f t="shared" si="2"/>
        <v>132</v>
      </c>
      <c r="AR118" s="41">
        <f t="shared" si="3"/>
        <v>0</v>
      </c>
      <c r="AS118" s="41">
        <f t="shared" si="4"/>
        <v>132</v>
      </c>
      <c r="AT118" s="46">
        <f t="shared" si="5"/>
        <v>17</v>
      </c>
      <c r="AU118" s="37"/>
      <c r="AV118" s="37"/>
      <c r="AW118" s="37"/>
    </row>
    <row r="119" ht="15.75" customHeight="1">
      <c r="A119" s="39" t="s">
        <v>30</v>
      </c>
      <c r="B119" s="40">
        <f t="shared" si="6"/>
        <v>44679</v>
      </c>
      <c r="C119" s="41">
        <v>5.0</v>
      </c>
      <c r="D119" s="41" t="s">
        <v>25</v>
      </c>
      <c r="E119" s="43" t="s">
        <v>39</v>
      </c>
      <c r="F119" s="28">
        <v>0.0</v>
      </c>
      <c r="H119" s="32">
        <v>0.0</v>
      </c>
      <c r="J119" s="32">
        <v>0.0</v>
      </c>
      <c r="L119" s="32">
        <v>0.0</v>
      </c>
      <c r="N119" s="32">
        <v>0.0</v>
      </c>
      <c r="P119" s="32">
        <v>0.0</v>
      </c>
      <c r="Q119" s="29"/>
      <c r="R119" s="28">
        <v>71.0</v>
      </c>
      <c r="T119" s="32">
        <v>86.0</v>
      </c>
      <c r="V119" s="32">
        <v>0.0</v>
      </c>
      <c r="X119" s="32">
        <v>0.0</v>
      </c>
      <c r="Z119" s="32">
        <v>0.0</v>
      </c>
      <c r="AB119" s="32">
        <v>0.0</v>
      </c>
      <c r="AC119" s="29"/>
      <c r="AD119" s="26"/>
      <c r="AF119" s="27"/>
      <c r="AH119" s="27"/>
      <c r="AJ119" s="27"/>
      <c r="AL119" s="27"/>
      <c r="AN119" s="27"/>
      <c r="AO119" s="29"/>
      <c r="AP119" s="45">
        <f t="shared" si="1"/>
        <v>2669</v>
      </c>
      <c r="AQ119" s="41">
        <f t="shared" si="2"/>
        <v>157</v>
      </c>
      <c r="AR119" s="41">
        <f t="shared" si="3"/>
        <v>0</v>
      </c>
      <c r="AS119" s="41">
        <f t="shared" si="4"/>
        <v>157</v>
      </c>
      <c r="AT119" s="46">
        <f t="shared" si="5"/>
        <v>17</v>
      </c>
      <c r="AU119" s="37"/>
      <c r="AV119" s="37"/>
      <c r="AW119" s="37"/>
    </row>
    <row r="120" ht="15.75" customHeight="1">
      <c r="A120" s="39" t="s">
        <v>31</v>
      </c>
      <c r="B120" s="40">
        <f t="shared" si="6"/>
        <v>44680</v>
      </c>
      <c r="C120" s="41">
        <v>5.0</v>
      </c>
      <c r="D120" s="41" t="s">
        <v>25</v>
      </c>
      <c r="E120" s="43" t="s">
        <v>39</v>
      </c>
      <c r="F120" s="28">
        <v>0.0</v>
      </c>
      <c r="H120" s="32">
        <v>0.0</v>
      </c>
      <c r="J120" s="32">
        <v>0.0</v>
      </c>
      <c r="L120" s="32">
        <v>0.0</v>
      </c>
      <c r="N120" s="32">
        <v>0.0</v>
      </c>
      <c r="P120" s="32">
        <v>0.0</v>
      </c>
      <c r="Q120" s="29"/>
      <c r="R120" s="28">
        <v>70.0</v>
      </c>
      <c r="T120" s="32">
        <v>84.0</v>
      </c>
      <c r="V120" s="32">
        <v>0.0</v>
      </c>
      <c r="X120" s="32">
        <v>0.0</v>
      </c>
      <c r="Z120" s="32">
        <v>0.0</v>
      </c>
      <c r="AB120" s="32">
        <v>0.0</v>
      </c>
      <c r="AC120" s="29"/>
      <c r="AD120" s="26"/>
      <c r="AF120" s="27"/>
      <c r="AH120" s="27"/>
      <c r="AJ120" s="27"/>
      <c r="AL120" s="27"/>
      <c r="AN120" s="27"/>
      <c r="AO120" s="29"/>
      <c r="AP120" s="45">
        <f t="shared" si="1"/>
        <v>2618</v>
      </c>
      <c r="AQ120" s="41">
        <f t="shared" si="2"/>
        <v>154</v>
      </c>
      <c r="AR120" s="41">
        <f t="shared" si="3"/>
        <v>0</v>
      </c>
      <c r="AS120" s="41">
        <f t="shared" si="4"/>
        <v>154</v>
      </c>
      <c r="AT120" s="46">
        <f t="shared" si="5"/>
        <v>17</v>
      </c>
      <c r="AU120" s="37"/>
      <c r="AV120" s="37"/>
      <c r="AW120" s="37"/>
    </row>
    <row r="121" ht="15.75" customHeight="1">
      <c r="A121" s="49" t="s">
        <v>32</v>
      </c>
      <c r="B121" s="50">
        <f t="shared" si="6"/>
        <v>44681</v>
      </c>
      <c r="C121" s="51">
        <v>5.0</v>
      </c>
      <c r="D121" s="51" t="s">
        <v>25</v>
      </c>
      <c r="E121" s="53" t="s">
        <v>39</v>
      </c>
      <c r="F121" s="57">
        <v>0.0</v>
      </c>
      <c r="G121" s="55"/>
      <c r="H121" s="59">
        <v>0.0</v>
      </c>
      <c r="I121" s="55"/>
      <c r="J121" s="59">
        <v>0.0</v>
      </c>
      <c r="K121" s="55"/>
      <c r="L121" s="59">
        <v>0.0</v>
      </c>
      <c r="M121" s="55"/>
      <c r="N121" s="59">
        <v>0.0</v>
      </c>
      <c r="O121" s="55"/>
      <c r="P121" s="59">
        <v>0.0</v>
      </c>
      <c r="Q121" s="58"/>
      <c r="R121" s="57">
        <v>0.0</v>
      </c>
      <c r="S121" s="55"/>
      <c r="T121" s="59">
        <v>0.0</v>
      </c>
      <c r="U121" s="55"/>
      <c r="V121" s="59">
        <v>0.0</v>
      </c>
      <c r="W121" s="55"/>
      <c r="X121" s="59">
        <v>0.0</v>
      </c>
      <c r="Y121" s="55"/>
      <c r="Z121" s="59">
        <v>0.0</v>
      </c>
      <c r="AA121" s="55"/>
      <c r="AB121" s="59">
        <v>0.0</v>
      </c>
      <c r="AC121" s="58"/>
      <c r="AD121" s="54"/>
      <c r="AE121" s="55"/>
      <c r="AF121" s="56"/>
      <c r="AG121" s="55"/>
      <c r="AH121" s="56"/>
      <c r="AI121" s="55"/>
      <c r="AJ121" s="56"/>
      <c r="AK121" s="55"/>
      <c r="AL121" s="56"/>
      <c r="AM121" s="55"/>
      <c r="AN121" s="56"/>
      <c r="AO121" s="58"/>
      <c r="AP121" s="60">
        <f t="shared" si="1"/>
        <v>0</v>
      </c>
      <c r="AQ121" s="51">
        <f t="shared" si="2"/>
        <v>0</v>
      </c>
      <c r="AR121" s="51">
        <f t="shared" si="3"/>
        <v>0</v>
      </c>
      <c r="AS121" s="51">
        <f t="shared" si="4"/>
        <v>0</v>
      </c>
      <c r="AT121" s="61" t="str">
        <f t="shared" si="5"/>
        <v/>
      </c>
      <c r="AU121" s="37"/>
      <c r="AV121" s="37"/>
      <c r="AW121" s="37"/>
    </row>
    <row r="122" ht="15.75" customHeight="1">
      <c r="A122" s="21" t="s">
        <v>24</v>
      </c>
      <c r="B122" s="62">
        <f t="shared" si="6"/>
        <v>44682</v>
      </c>
      <c r="C122" s="23">
        <v>5.0</v>
      </c>
      <c r="D122" s="23" t="s">
        <v>33</v>
      </c>
      <c r="E122" s="63" t="s">
        <v>39</v>
      </c>
      <c r="F122" s="28">
        <v>0.0</v>
      </c>
      <c r="H122" s="32">
        <v>0.0</v>
      </c>
      <c r="J122" s="32">
        <v>0.0</v>
      </c>
      <c r="L122" s="32">
        <v>0.0</v>
      </c>
      <c r="N122" s="32">
        <v>0.0</v>
      </c>
      <c r="P122" s="32">
        <v>0.0</v>
      </c>
      <c r="Q122" s="29"/>
      <c r="R122" s="28">
        <v>65.0</v>
      </c>
      <c r="T122" s="32">
        <v>112.0</v>
      </c>
      <c r="V122" s="32">
        <v>0.0</v>
      </c>
      <c r="X122" s="32">
        <v>0.0</v>
      </c>
      <c r="Z122" s="32">
        <v>0.0</v>
      </c>
      <c r="AB122" s="32">
        <v>0.0</v>
      </c>
      <c r="AC122" s="29"/>
      <c r="AD122" s="26"/>
      <c r="AF122" s="27"/>
      <c r="AH122" s="27"/>
      <c r="AJ122" s="27"/>
      <c r="AL122" s="27"/>
      <c r="AN122" s="27"/>
      <c r="AO122" s="29"/>
      <c r="AP122" s="35">
        <f t="shared" si="1"/>
        <v>3009</v>
      </c>
      <c r="AQ122" s="23">
        <f t="shared" si="2"/>
        <v>177</v>
      </c>
      <c r="AR122" s="23">
        <f t="shared" si="3"/>
        <v>0</v>
      </c>
      <c r="AS122" s="23">
        <f t="shared" si="4"/>
        <v>177</v>
      </c>
      <c r="AT122" s="36">
        <f t="shared" si="5"/>
        <v>17</v>
      </c>
      <c r="AU122" s="37"/>
      <c r="AV122" s="37"/>
      <c r="AW122" s="37"/>
    </row>
    <row r="123" ht="15.75" customHeight="1">
      <c r="A123" s="39" t="s">
        <v>27</v>
      </c>
      <c r="B123" s="40">
        <f t="shared" si="6"/>
        <v>44683</v>
      </c>
      <c r="C123" s="41">
        <v>5.0</v>
      </c>
      <c r="D123" s="41" t="s">
        <v>33</v>
      </c>
      <c r="E123" s="43" t="s">
        <v>39</v>
      </c>
      <c r="F123" s="28">
        <v>0.0</v>
      </c>
      <c r="H123" s="32">
        <v>0.0</v>
      </c>
      <c r="J123" s="32">
        <v>0.0</v>
      </c>
      <c r="L123" s="32">
        <v>0.0</v>
      </c>
      <c r="N123" s="32">
        <v>0.0</v>
      </c>
      <c r="P123" s="32">
        <v>0.0</v>
      </c>
      <c r="Q123" s="29"/>
      <c r="R123" s="28">
        <v>84.0</v>
      </c>
      <c r="T123" s="32">
        <v>76.0</v>
      </c>
      <c r="V123" s="32">
        <v>0.0</v>
      </c>
      <c r="X123" s="32">
        <v>0.0</v>
      </c>
      <c r="Z123" s="32">
        <v>0.0</v>
      </c>
      <c r="AB123" s="32">
        <v>0.0</v>
      </c>
      <c r="AC123" s="29"/>
      <c r="AD123" s="26"/>
      <c r="AF123" s="27"/>
      <c r="AH123" s="27"/>
      <c r="AJ123" s="27"/>
      <c r="AL123" s="27"/>
      <c r="AN123" s="27"/>
      <c r="AO123" s="29"/>
      <c r="AP123" s="45">
        <f t="shared" si="1"/>
        <v>2720</v>
      </c>
      <c r="AQ123" s="41">
        <f t="shared" si="2"/>
        <v>160</v>
      </c>
      <c r="AR123" s="41">
        <f t="shared" si="3"/>
        <v>0</v>
      </c>
      <c r="AS123" s="41">
        <f t="shared" si="4"/>
        <v>160</v>
      </c>
      <c r="AT123" s="46">
        <f t="shared" si="5"/>
        <v>17</v>
      </c>
      <c r="AU123" s="37"/>
      <c r="AV123" s="37"/>
      <c r="AW123" s="37"/>
    </row>
    <row r="124" ht="15.75" customHeight="1">
      <c r="A124" s="39" t="s">
        <v>28</v>
      </c>
      <c r="B124" s="40">
        <f t="shared" si="6"/>
        <v>44684</v>
      </c>
      <c r="C124" s="41">
        <v>5.0</v>
      </c>
      <c r="D124" s="41" t="s">
        <v>33</v>
      </c>
      <c r="E124" s="43" t="s">
        <v>39</v>
      </c>
      <c r="F124" s="28">
        <v>0.0</v>
      </c>
      <c r="H124" s="32">
        <v>0.0</v>
      </c>
      <c r="J124" s="32">
        <v>0.0</v>
      </c>
      <c r="L124" s="32">
        <v>0.0</v>
      </c>
      <c r="N124" s="32">
        <v>0.0</v>
      </c>
      <c r="P124" s="32">
        <v>0.0</v>
      </c>
      <c r="Q124" s="29"/>
      <c r="R124" s="28">
        <v>72.0</v>
      </c>
      <c r="T124" s="32">
        <v>86.0</v>
      </c>
      <c r="V124" s="32">
        <v>0.0</v>
      </c>
      <c r="X124" s="32">
        <v>0.0</v>
      </c>
      <c r="Z124" s="32">
        <v>0.0</v>
      </c>
      <c r="AB124" s="32">
        <v>0.0</v>
      </c>
      <c r="AC124" s="29"/>
      <c r="AD124" s="26"/>
      <c r="AF124" s="27"/>
      <c r="AH124" s="27"/>
      <c r="AJ124" s="27"/>
      <c r="AL124" s="27"/>
      <c r="AN124" s="27"/>
      <c r="AO124" s="29"/>
      <c r="AP124" s="45">
        <f t="shared" si="1"/>
        <v>2686</v>
      </c>
      <c r="AQ124" s="41">
        <f t="shared" si="2"/>
        <v>158</v>
      </c>
      <c r="AR124" s="41">
        <f t="shared" si="3"/>
        <v>0</v>
      </c>
      <c r="AS124" s="41">
        <f t="shared" si="4"/>
        <v>158</v>
      </c>
      <c r="AT124" s="46">
        <f t="shared" si="5"/>
        <v>17</v>
      </c>
      <c r="AU124" s="37"/>
      <c r="AV124" s="37"/>
      <c r="AW124" s="37"/>
    </row>
    <row r="125" ht="15.75" customHeight="1">
      <c r="A125" s="39" t="s">
        <v>29</v>
      </c>
      <c r="B125" s="40">
        <f t="shared" si="6"/>
        <v>44685</v>
      </c>
      <c r="C125" s="41">
        <v>5.0</v>
      </c>
      <c r="D125" s="41" t="s">
        <v>33</v>
      </c>
      <c r="E125" s="43" t="s">
        <v>39</v>
      </c>
      <c r="F125" s="28">
        <v>0.0</v>
      </c>
      <c r="H125" s="32">
        <v>0.0</v>
      </c>
      <c r="J125" s="32">
        <v>0.0</v>
      </c>
      <c r="L125" s="32">
        <v>0.0</v>
      </c>
      <c r="N125" s="32">
        <v>0.0</v>
      </c>
      <c r="P125" s="32">
        <v>0.0</v>
      </c>
      <c r="Q125" s="29"/>
      <c r="R125" s="28">
        <v>72.0</v>
      </c>
      <c r="T125" s="32">
        <v>84.0</v>
      </c>
      <c r="V125" s="32">
        <v>0.0</v>
      </c>
      <c r="X125" s="32">
        <v>0.0</v>
      </c>
      <c r="Z125" s="32">
        <v>0.0</v>
      </c>
      <c r="AB125" s="32">
        <v>0.0</v>
      </c>
      <c r="AC125" s="29"/>
      <c r="AD125" s="26"/>
      <c r="AF125" s="27"/>
      <c r="AH125" s="27"/>
      <c r="AJ125" s="27"/>
      <c r="AL125" s="27"/>
      <c r="AN125" s="27"/>
      <c r="AO125" s="29"/>
      <c r="AP125" s="45">
        <f t="shared" si="1"/>
        <v>2652</v>
      </c>
      <c r="AQ125" s="41">
        <f t="shared" si="2"/>
        <v>156</v>
      </c>
      <c r="AR125" s="41">
        <f t="shared" si="3"/>
        <v>0</v>
      </c>
      <c r="AS125" s="41">
        <f t="shared" si="4"/>
        <v>156</v>
      </c>
      <c r="AT125" s="46">
        <f t="shared" si="5"/>
        <v>17</v>
      </c>
      <c r="AU125" s="37"/>
      <c r="AV125" s="37"/>
      <c r="AW125" s="37"/>
    </row>
    <row r="126" ht="15.75" customHeight="1">
      <c r="A126" s="39" t="s">
        <v>30</v>
      </c>
      <c r="B126" s="40">
        <f t="shared" si="6"/>
        <v>44686</v>
      </c>
      <c r="C126" s="41">
        <v>5.0</v>
      </c>
      <c r="D126" s="41" t="s">
        <v>33</v>
      </c>
      <c r="E126" s="43" t="s">
        <v>39</v>
      </c>
      <c r="F126" s="28">
        <v>0.0</v>
      </c>
      <c r="H126" s="32">
        <v>0.0</v>
      </c>
      <c r="J126" s="32">
        <v>0.0</v>
      </c>
      <c r="L126" s="32">
        <v>0.0</v>
      </c>
      <c r="N126" s="32">
        <v>0.0</v>
      </c>
      <c r="P126" s="32">
        <v>0.0</v>
      </c>
      <c r="Q126" s="29"/>
      <c r="R126" s="28">
        <v>72.0</v>
      </c>
      <c r="T126" s="32">
        <v>85.0</v>
      </c>
      <c r="V126" s="32">
        <v>0.0</v>
      </c>
      <c r="X126" s="32">
        <v>0.0</v>
      </c>
      <c r="Z126" s="32">
        <v>0.0</v>
      </c>
      <c r="AB126" s="32">
        <v>0.0</v>
      </c>
      <c r="AC126" s="29"/>
      <c r="AD126" s="26"/>
      <c r="AF126" s="27"/>
      <c r="AH126" s="27"/>
      <c r="AJ126" s="27"/>
      <c r="AL126" s="27"/>
      <c r="AN126" s="27"/>
      <c r="AO126" s="29"/>
      <c r="AP126" s="45">
        <f t="shared" si="1"/>
        <v>2669</v>
      </c>
      <c r="AQ126" s="41">
        <f t="shared" si="2"/>
        <v>157</v>
      </c>
      <c r="AR126" s="41">
        <f t="shared" si="3"/>
        <v>0</v>
      </c>
      <c r="AS126" s="41">
        <f t="shared" si="4"/>
        <v>157</v>
      </c>
      <c r="AT126" s="46">
        <f t="shared" si="5"/>
        <v>17</v>
      </c>
      <c r="AU126" s="37"/>
      <c r="AV126" s="37"/>
      <c r="AW126" s="37"/>
    </row>
    <row r="127" ht="15.75" customHeight="1">
      <c r="A127" s="39" t="s">
        <v>31</v>
      </c>
      <c r="B127" s="40">
        <f t="shared" si="6"/>
        <v>44687</v>
      </c>
      <c r="C127" s="41">
        <v>5.0</v>
      </c>
      <c r="D127" s="41" t="s">
        <v>33</v>
      </c>
      <c r="E127" s="43" t="s">
        <v>39</v>
      </c>
      <c r="F127" s="28">
        <v>0.0</v>
      </c>
      <c r="H127" s="32">
        <v>0.0</v>
      </c>
      <c r="J127" s="32">
        <v>0.0</v>
      </c>
      <c r="L127" s="32">
        <v>0.0</v>
      </c>
      <c r="N127" s="32">
        <v>0.0</v>
      </c>
      <c r="P127" s="32">
        <v>0.0</v>
      </c>
      <c r="Q127" s="29"/>
      <c r="R127" s="28">
        <v>74.0</v>
      </c>
      <c r="T127" s="32">
        <v>81.0</v>
      </c>
      <c r="V127" s="32">
        <v>0.0</v>
      </c>
      <c r="X127" s="32">
        <v>0.0</v>
      </c>
      <c r="Z127" s="32">
        <v>0.0</v>
      </c>
      <c r="AB127" s="32">
        <v>0.0</v>
      </c>
      <c r="AC127" s="29"/>
      <c r="AD127" s="26"/>
      <c r="AF127" s="27"/>
      <c r="AH127" s="27"/>
      <c r="AJ127" s="27"/>
      <c r="AL127" s="27"/>
      <c r="AN127" s="27"/>
      <c r="AO127" s="29"/>
      <c r="AP127" s="45">
        <f t="shared" si="1"/>
        <v>2635</v>
      </c>
      <c r="AQ127" s="41">
        <f t="shared" si="2"/>
        <v>155</v>
      </c>
      <c r="AR127" s="41">
        <f t="shared" si="3"/>
        <v>0</v>
      </c>
      <c r="AS127" s="41">
        <f t="shared" si="4"/>
        <v>155</v>
      </c>
      <c r="AT127" s="46">
        <f t="shared" si="5"/>
        <v>17</v>
      </c>
      <c r="AU127" s="37"/>
      <c r="AV127" s="37"/>
      <c r="AW127" s="37"/>
    </row>
    <row r="128" ht="15.75" customHeight="1">
      <c r="A128" s="49" t="s">
        <v>32</v>
      </c>
      <c r="B128" s="50">
        <f t="shared" si="6"/>
        <v>44688</v>
      </c>
      <c r="C128" s="51">
        <v>5.0</v>
      </c>
      <c r="D128" s="51" t="s">
        <v>33</v>
      </c>
      <c r="E128" s="53" t="s">
        <v>39</v>
      </c>
      <c r="F128" s="57">
        <v>0.0</v>
      </c>
      <c r="G128" s="55"/>
      <c r="H128" s="59">
        <v>0.0</v>
      </c>
      <c r="I128" s="55"/>
      <c r="J128" s="59">
        <v>0.0</v>
      </c>
      <c r="K128" s="55"/>
      <c r="L128" s="59">
        <v>0.0</v>
      </c>
      <c r="M128" s="55"/>
      <c r="N128" s="59">
        <v>0.0</v>
      </c>
      <c r="O128" s="55"/>
      <c r="P128" s="59">
        <v>0.0</v>
      </c>
      <c r="Q128" s="58"/>
      <c r="R128" s="57">
        <v>0.0</v>
      </c>
      <c r="S128" s="55"/>
      <c r="T128" s="59">
        <v>0.0</v>
      </c>
      <c r="U128" s="55"/>
      <c r="V128" s="59">
        <v>0.0</v>
      </c>
      <c r="W128" s="55"/>
      <c r="X128" s="59">
        <v>0.0</v>
      </c>
      <c r="Y128" s="55"/>
      <c r="Z128" s="59">
        <v>0.0</v>
      </c>
      <c r="AA128" s="55"/>
      <c r="AB128" s="59">
        <v>0.0</v>
      </c>
      <c r="AC128" s="58"/>
      <c r="AD128" s="54"/>
      <c r="AE128" s="55"/>
      <c r="AF128" s="56"/>
      <c r="AG128" s="55"/>
      <c r="AH128" s="56"/>
      <c r="AI128" s="55"/>
      <c r="AJ128" s="56"/>
      <c r="AK128" s="55"/>
      <c r="AL128" s="56"/>
      <c r="AM128" s="55"/>
      <c r="AN128" s="56"/>
      <c r="AO128" s="58"/>
      <c r="AP128" s="60">
        <f t="shared" si="1"/>
        <v>0</v>
      </c>
      <c r="AQ128" s="51">
        <f t="shared" si="2"/>
        <v>0</v>
      </c>
      <c r="AR128" s="51">
        <f t="shared" si="3"/>
        <v>0</v>
      </c>
      <c r="AS128" s="51">
        <f t="shared" si="4"/>
        <v>0</v>
      </c>
      <c r="AT128" s="61" t="str">
        <f t="shared" si="5"/>
        <v/>
      </c>
      <c r="AU128" s="37"/>
      <c r="AV128" s="37"/>
      <c r="AW128" s="37"/>
    </row>
    <row r="129" ht="15.75" customHeight="1">
      <c r="A129" s="21" t="s">
        <v>24</v>
      </c>
      <c r="B129" s="62">
        <f t="shared" si="6"/>
        <v>44689</v>
      </c>
      <c r="C129" s="23">
        <v>5.0</v>
      </c>
      <c r="D129" s="23" t="s">
        <v>34</v>
      </c>
      <c r="E129" s="63" t="s">
        <v>39</v>
      </c>
      <c r="F129" s="28">
        <v>0.0</v>
      </c>
      <c r="H129" s="32">
        <v>0.0</v>
      </c>
      <c r="J129" s="32">
        <v>0.0</v>
      </c>
      <c r="L129" s="32">
        <v>0.0</v>
      </c>
      <c r="N129" s="32">
        <v>0.0</v>
      </c>
      <c r="P129" s="32">
        <v>0.0</v>
      </c>
      <c r="Q129" s="29"/>
      <c r="R129" s="28">
        <v>78.0</v>
      </c>
      <c r="T129" s="32">
        <v>89.0</v>
      </c>
      <c r="V129" s="32">
        <v>0.0</v>
      </c>
      <c r="X129" s="32">
        <v>0.0</v>
      </c>
      <c r="Z129" s="32">
        <v>0.0</v>
      </c>
      <c r="AB129" s="32">
        <v>0.0</v>
      </c>
      <c r="AC129" s="29"/>
      <c r="AD129" s="26"/>
      <c r="AF129" s="27"/>
      <c r="AH129" s="27"/>
      <c r="AJ129" s="27"/>
      <c r="AL129" s="27"/>
      <c r="AN129" s="27"/>
      <c r="AO129" s="29"/>
      <c r="AP129" s="35">
        <f t="shared" si="1"/>
        <v>2839</v>
      </c>
      <c r="AQ129" s="23">
        <f t="shared" si="2"/>
        <v>167</v>
      </c>
      <c r="AR129" s="23">
        <f t="shared" si="3"/>
        <v>0</v>
      </c>
      <c r="AS129" s="23">
        <f t="shared" si="4"/>
        <v>167</v>
      </c>
      <c r="AT129" s="36">
        <f t="shared" si="5"/>
        <v>17</v>
      </c>
      <c r="AU129" s="37"/>
      <c r="AV129" s="37"/>
      <c r="AW129" s="37"/>
    </row>
    <row r="130" ht="15.75" customHeight="1">
      <c r="A130" s="39" t="s">
        <v>27</v>
      </c>
      <c r="B130" s="40">
        <f t="shared" si="6"/>
        <v>44690</v>
      </c>
      <c r="C130" s="41">
        <v>5.0</v>
      </c>
      <c r="D130" s="41" t="s">
        <v>34</v>
      </c>
      <c r="E130" s="43" t="s">
        <v>39</v>
      </c>
      <c r="F130" s="28">
        <v>0.0</v>
      </c>
      <c r="H130" s="32">
        <v>0.0</v>
      </c>
      <c r="J130" s="32">
        <v>0.0</v>
      </c>
      <c r="L130" s="32">
        <v>0.0</v>
      </c>
      <c r="N130" s="32">
        <v>0.0</v>
      </c>
      <c r="P130" s="32">
        <v>0.0</v>
      </c>
      <c r="Q130" s="29"/>
      <c r="R130" s="28">
        <v>68.0</v>
      </c>
      <c r="T130" s="32">
        <v>82.0</v>
      </c>
      <c r="V130" s="32">
        <v>0.0</v>
      </c>
      <c r="X130" s="32">
        <v>0.0</v>
      </c>
      <c r="Z130" s="32">
        <v>0.0</v>
      </c>
      <c r="AB130" s="32">
        <v>0.0</v>
      </c>
      <c r="AC130" s="29"/>
      <c r="AD130" s="26"/>
      <c r="AF130" s="27"/>
      <c r="AH130" s="27"/>
      <c r="AJ130" s="27"/>
      <c r="AL130" s="27"/>
      <c r="AN130" s="27"/>
      <c r="AO130" s="29"/>
      <c r="AP130" s="45">
        <f t="shared" si="1"/>
        <v>2550</v>
      </c>
      <c r="AQ130" s="41">
        <f t="shared" si="2"/>
        <v>150</v>
      </c>
      <c r="AR130" s="41">
        <f t="shared" si="3"/>
        <v>0</v>
      </c>
      <c r="AS130" s="41">
        <f t="shared" si="4"/>
        <v>150</v>
      </c>
      <c r="AT130" s="46">
        <f t="shared" si="5"/>
        <v>17</v>
      </c>
      <c r="AU130" s="37"/>
      <c r="AV130" s="37"/>
      <c r="AW130" s="37"/>
    </row>
    <row r="131" ht="15.75" customHeight="1">
      <c r="A131" s="39" t="s">
        <v>28</v>
      </c>
      <c r="B131" s="40">
        <f t="shared" si="6"/>
        <v>44691</v>
      </c>
      <c r="C131" s="41">
        <v>5.0</v>
      </c>
      <c r="D131" s="41" t="s">
        <v>34</v>
      </c>
      <c r="E131" s="43" t="s">
        <v>39</v>
      </c>
      <c r="F131" s="28">
        <v>0.0</v>
      </c>
      <c r="H131" s="32">
        <v>0.0</v>
      </c>
      <c r="J131" s="32">
        <v>0.0</v>
      </c>
      <c r="L131" s="32">
        <v>0.0</v>
      </c>
      <c r="N131" s="32">
        <v>0.0</v>
      </c>
      <c r="P131" s="32">
        <v>0.0</v>
      </c>
      <c r="Q131" s="29"/>
      <c r="R131" s="28">
        <v>68.0</v>
      </c>
      <c r="T131" s="32">
        <v>104.0</v>
      </c>
      <c r="V131" s="32">
        <v>0.0</v>
      </c>
      <c r="X131" s="32">
        <v>0.0</v>
      </c>
      <c r="Z131" s="32">
        <v>0.0</v>
      </c>
      <c r="AB131" s="32">
        <v>0.0</v>
      </c>
      <c r="AC131" s="29"/>
      <c r="AD131" s="26"/>
      <c r="AF131" s="27"/>
      <c r="AH131" s="27"/>
      <c r="AJ131" s="27"/>
      <c r="AL131" s="27"/>
      <c r="AN131" s="27"/>
      <c r="AO131" s="29"/>
      <c r="AP131" s="45">
        <f t="shared" si="1"/>
        <v>2924</v>
      </c>
      <c r="AQ131" s="41">
        <f t="shared" si="2"/>
        <v>172</v>
      </c>
      <c r="AR131" s="41">
        <f t="shared" si="3"/>
        <v>0</v>
      </c>
      <c r="AS131" s="41">
        <f t="shared" si="4"/>
        <v>172</v>
      </c>
      <c r="AT131" s="46">
        <f t="shared" si="5"/>
        <v>17</v>
      </c>
      <c r="AU131" s="37"/>
      <c r="AV131" s="37"/>
      <c r="AW131" s="37"/>
    </row>
    <row r="132" ht="15.75" customHeight="1">
      <c r="A132" s="39" t="s">
        <v>29</v>
      </c>
      <c r="B132" s="40">
        <f t="shared" si="6"/>
        <v>44692</v>
      </c>
      <c r="C132" s="41">
        <v>5.0</v>
      </c>
      <c r="D132" s="41" t="s">
        <v>34</v>
      </c>
      <c r="E132" s="43" t="s">
        <v>39</v>
      </c>
      <c r="F132" s="28">
        <v>0.0</v>
      </c>
      <c r="H132" s="32">
        <v>0.0</v>
      </c>
      <c r="J132" s="32">
        <v>0.0</v>
      </c>
      <c r="L132" s="32">
        <v>0.0</v>
      </c>
      <c r="N132" s="32">
        <v>0.0</v>
      </c>
      <c r="P132" s="32">
        <v>0.0</v>
      </c>
      <c r="Q132" s="29"/>
      <c r="R132" s="28">
        <v>85.0</v>
      </c>
      <c r="T132" s="32">
        <v>89.0</v>
      </c>
      <c r="V132" s="32">
        <v>0.0</v>
      </c>
      <c r="X132" s="32">
        <v>0.0</v>
      </c>
      <c r="Z132" s="32">
        <v>0.0</v>
      </c>
      <c r="AB132" s="32">
        <v>0.0</v>
      </c>
      <c r="AC132" s="29"/>
      <c r="AD132" s="26"/>
      <c r="AF132" s="27"/>
      <c r="AH132" s="27"/>
      <c r="AJ132" s="27"/>
      <c r="AL132" s="27"/>
      <c r="AN132" s="27"/>
      <c r="AO132" s="29"/>
      <c r="AP132" s="45">
        <f t="shared" si="1"/>
        <v>2958</v>
      </c>
      <c r="AQ132" s="41">
        <f t="shared" si="2"/>
        <v>174</v>
      </c>
      <c r="AR132" s="41">
        <f t="shared" si="3"/>
        <v>0</v>
      </c>
      <c r="AS132" s="41">
        <f t="shared" si="4"/>
        <v>174</v>
      </c>
      <c r="AT132" s="46">
        <f t="shared" si="5"/>
        <v>17</v>
      </c>
      <c r="AU132" s="37"/>
      <c r="AV132" s="37"/>
      <c r="AW132" s="37"/>
    </row>
    <row r="133" ht="15.75" customHeight="1">
      <c r="A133" s="39" t="s">
        <v>30</v>
      </c>
      <c r="B133" s="40">
        <f t="shared" si="6"/>
        <v>44693</v>
      </c>
      <c r="C133" s="41">
        <v>5.0</v>
      </c>
      <c r="D133" s="41" t="s">
        <v>34</v>
      </c>
      <c r="E133" s="43" t="s">
        <v>39</v>
      </c>
      <c r="F133" s="28">
        <v>0.0</v>
      </c>
      <c r="H133" s="32">
        <v>0.0</v>
      </c>
      <c r="J133" s="32">
        <v>0.0</v>
      </c>
      <c r="L133" s="32">
        <v>0.0</v>
      </c>
      <c r="N133" s="32">
        <v>0.0</v>
      </c>
      <c r="P133" s="32">
        <v>0.0</v>
      </c>
      <c r="Q133" s="29"/>
      <c r="R133" s="28">
        <v>82.0</v>
      </c>
      <c r="T133" s="32">
        <v>77.0</v>
      </c>
      <c r="V133" s="32">
        <v>0.0</v>
      </c>
      <c r="X133" s="32">
        <v>0.0</v>
      </c>
      <c r="Z133" s="32">
        <v>0.0</v>
      </c>
      <c r="AB133" s="32">
        <v>0.0</v>
      </c>
      <c r="AC133" s="29"/>
      <c r="AD133" s="26"/>
      <c r="AF133" s="27"/>
      <c r="AH133" s="27"/>
      <c r="AJ133" s="27"/>
      <c r="AL133" s="27"/>
      <c r="AN133" s="27"/>
      <c r="AO133" s="29"/>
      <c r="AP133" s="45">
        <f t="shared" si="1"/>
        <v>2703</v>
      </c>
      <c r="AQ133" s="41">
        <f t="shared" si="2"/>
        <v>159</v>
      </c>
      <c r="AR133" s="41">
        <f t="shared" si="3"/>
        <v>0</v>
      </c>
      <c r="AS133" s="41">
        <f t="shared" si="4"/>
        <v>159</v>
      </c>
      <c r="AT133" s="46">
        <f t="shared" si="5"/>
        <v>17</v>
      </c>
      <c r="AU133" s="37"/>
      <c r="AV133" s="37"/>
      <c r="AW133" s="37"/>
    </row>
    <row r="134" ht="15.75" customHeight="1">
      <c r="A134" s="39" t="s">
        <v>31</v>
      </c>
      <c r="B134" s="40">
        <f t="shared" si="6"/>
        <v>44694</v>
      </c>
      <c r="C134" s="41">
        <v>5.0</v>
      </c>
      <c r="D134" s="41" t="s">
        <v>34</v>
      </c>
      <c r="E134" s="43" t="s">
        <v>39</v>
      </c>
      <c r="F134" s="28">
        <v>0.0</v>
      </c>
      <c r="H134" s="32">
        <v>0.0</v>
      </c>
      <c r="J134" s="32">
        <v>0.0</v>
      </c>
      <c r="L134" s="32">
        <v>0.0</v>
      </c>
      <c r="N134" s="32">
        <v>0.0</v>
      </c>
      <c r="P134" s="32">
        <v>0.0</v>
      </c>
      <c r="Q134" s="29"/>
      <c r="R134" s="28">
        <v>81.0</v>
      </c>
      <c r="T134" s="32">
        <v>91.0</v>
      </c>
      <c r="V134" s="32">
        <v>0.0</v>
      </c>
      <c r="X134" s="32">
        <v>0.0</v>
      </c>
      <c r="Z134" s="32">
        <v>0.0</v>
      </c>
      <c r="AB134" s="32">
        <v>0.0</v>
      </c>
      <c r="AC134" s="29"/>
      <c r="AD134" s="26"/>
      <c r="AF134" s="27"/>
      <c r="AH134" s="27"/>
      <c r="AJ134" s="27"/>
      <c r="AL134" s="27"/>
      <c r="AN134" s="27"/>
      <c r="AO134" s="29"/>
      <c r="AP134" s="45">
        <f t="shared" si="1"/>
        <v>2924</v>
      </c>
      <c r="AQ134" s="41">
        <f t="shared" si="2"/>
        <v>172</v>
      </c>
      <c r="AR134" s="41">
        <f t="shared" si="3"/>
        <v>0</v>
      </c>
      <c r="AS134" s="41">
        <f t="shared" si="4"/>
        <v>172</v>
      </c>
      <c r="AT134" s="46">
        <f t="shared" si="5"/>
        <v>17</v>
      </c>
      <c r="AU134" s="37"/>
      <c r="AV134" s="37"/>
      <c r="AW134" s="37"/>
    </row>
    <row r="135" ht="15.75" customHeight="1">
      <c r="A135" s="49" t="s">
        <v>32</v>
      </c>
      <c r="B135" s="50">
        <f t="shared" si="6"/>
        <v>44695</v>
      </c>
      <c r="C135" s="51">
        <v>5.0</v>
      </c>
      <c r="D135" s="51" t="s">
        <v>34</v>
      </c>
      <c r="E135" s="53" t="s">
        <v>39</v>
      </c>
      <c r="F135" s="57">
        <v>0.0</v>
      </c>
      <c r="G135" s="55"/>
      <c r="H135" s="59">
        <v>0.0</v>
      </c>
      <c r="I135" s="55"/>
      <c r="J135" s="59">
        <v>0.0</v>
      </c>
      <c r="K135" s="55"/>
      <c r="L135" s="59">
        <v>0.0</v>
      </c>
      <c r="M135" s="55"/>
      <c r="N135" s="59">
        <v>0.0</v>
      </c>
      <c r="O135" s="55"/>
      <c r="P135" s="59">
        <v>0.0</v>
      </c>
      <c r="Q135" s="58"/>
      <c r="R135" s="57">
        <v>0.0</v>
      </c>
      <c r="S135" s="55"/>
      <c r="T135" s="59">
        <v>0.0</v>
      </c>
      <c r="U135" s="55"/>
      <c r="V135" s="59">
        <v>0.0</v>
      </c>
      <c r="W135" s="55"/>
      <c r="X135" s="59">
        <v>0.0</v>
      </c>
      <c r="Y135" s="55"/>
      <c r="Z135" s="59">
        <v>0.0</v>
      </c>
      <c r="AA135" s="55"/>
      <c r="AB135" s="59">
        <v>0.0</v>
      </c>
      <c r="AC135" s="58"/>
      <c r="AD135" s="54"/>
      <c r="AE135" s="55"/>
      <c r="AF135" s="56"/>
      <c r="AG135" s="55"/>
      <c r="AH135" s="56"/>
      <c r="AI135" s="55"/>
      <c r="AJ135" s="56"/>
      <c r="AK135" s="55"/>
      <c r="AL135" s="56"/>
      <c r="AM135" s="55"/>
      <c r="AN135" s="56"/>
      <c r="AO135" s="58"/>
      <c r="AP135" s="60">
        <f t="shared" si="1"/>
        <v>0</v>
      </c>
      <c r="AQ135" s="51">
        <f t="shared" si="2"/>
        <v>0</v>
      </c>
      <c r="AR135" s="51">
        <f t="shared" si="3"/>
        <v>0</v>
      </c>
      <c r="AS135" s="51">
        <f t="shared" si="4"/>
        <v>0</v>
      </c>
      <c r="AT135" s="61" t="str">
        <f t="shared" si="5"/>
        <v/>
      </c>
      <c r="AU135" s="37"/>
      <c r="AV135" s="37"/>
      <c r="AW135" s="37"/>
    </row>
    <row r="136" ht="15.75" customHeight="1">
      <c r="A136" s="21" t="s">
        <v>24</v>
      </c>
      <c r="B136" s="62">
        <f t="shared" si="6"/>
        <v>44696</v>
      </c>
      <c r="C136" s="23">
        <v>5.0</v>
      </c>
      <c r="D136" s="23" t="s">
        <v>35</v>
      </c>
      <c r="E136" s="63" t="s">
        <v>39</v>
      </c>
      <c r="F136" s="28">
        <v>0.0</v>
      </c>
      <c r="H136" s="32">
        <v>0.0</v>
      </c>
      <c r="J136" s="32">
        <v>0.0</v>
      </c>
      <c r="L136" s="32">
        <v>0.0</v>
      </c>
      <c r="N136" s="32">
        <v>0.0</v>
      </c>
      <c r="P136" s="32">
        <v>0.0</v>
      </c>
      <c r="Q136" s="29"/>
      <c r="R136" s="28">
        <v>88.0</v>
      </c>
      <c r="T136" s="32">
        <v>113.0</v>
      </c>
      <c r="V136" s="32">
        <v>0.0</v>
      </c>
      <c r="X136" s="32">
        <v>0.0</v>
      </c>
      <c r="Z136" s="32">
        <v>0.0</v>
      </c>
      <c r="AB136" s="32">
        <v>0.0</v>
      </c>
      <c r="AC136" s="29"/>
      <c r="AD136" s="26"/>
      <c r="AF136" s="27"/>
      <c r="AH136" s="27"/>
      <c r="AJ136" s="27"/>
      <c r="AL136" s="27"/>
      <c r="AN136" s="27"/>
      <c r="AO136" s="29"/>
      <c r="AP136" s="35">
        <f t="shared" si="1"/>
        <v>3417</v>
      </c>
      <c r="AQ136" s="23">
        <f t="shared" si="2"/>
        <v>201</v>
      </c>
      <c r="AR136" s="23">
        <f t="shared" si="3"/>
        <v>0</v>
      </c>
      <c r="AS136" s="23">
        <f t="shared" si="4"/>
        <v>201</v>
      </c>
      <c r="AT136" s="36">
        <f t="shared" si="5"/>
        <v>17</v>
      </c>
      <c r="AU136" s="37"/>
      <c r="AV136" s="37"/>
      <c r="AW136" s="37"/>
    </row>
    <row r="137" ht="15.75" customHeight="1">
      <c r="A137" s="39" t="s">
        <v>27</v>
      </c>
      <c r="B137" s="40">
        <f t="shared" si="6"/>
        <v>44697</v>
      </c>
      <c r="C137" s="41">
        <v>5.0</v>
      </c>
      <c r="D137" s="41" t="s">
        <v>35</v>
      </c>
      <c r="E137" s="43" t="s">
        <v>39</v>
      </c>
      <c r="F137" s="28">
        <v>0.0</v>
      </c>
      <c r="H137" s="32">
        <v>0.0</v>
      </c>
      <c r="J137" s="32">
        <v>0.0</v>
      </c>
      <c r="L137" s="32">
        <v>0.0</v>
      </c>
      <c r="N137" s="32">
        <v>0.0</v>
      </c>
      <c r="P137" s="32">
        <v>0.0</v>
      </c>
      <c r="Q137" s="29"/>
      <c r="R137" s="28">
        <v>65.0</v>
      </c>
      <c r="T137" s="32">
        <v>106.0</v>
      </c>
      <c r="V137" s="32">
        <v>0.0</v>
      </c>
      <c r="X137" s="32">
        <v>0.0</v>
      </c>
      <c r="Z137" s="32">
        <v>0.0</v>
      </c>
      <c r="AB137" s="32">
        <v>0.0</v>
      </c>
      <c r="AC137" s="29"/>
      <c r="AD137" s="26"/>
      <c r="AF137" s="27"/>
      <c r="AH137" s="27"/>
      <c r="AJ137" s="27"/>
      <c r="AL137" s="27"/>
      <c r="AN137" s="27"/>
      <c r="AO137" s="29"/>
      <c r="AP137" s="45">
        <f t="shared" si="1"/>
        <v>2907</v>
      </c>
      <c r="AQ137" s="41">
        <f t="shared" si="2"/>
        <v>171</v>
      </c>
      <c r="AR137" s="41">
        <f t="shared" si="3"/>
        <v>0</v>
      </c>
      <c r="AS137" s="41">
        <f t="shared" si="4"/>
        <v>171</v>
      </c>
      <c r="AT137" s="46">
        <f t="shared" si="5"/>
        <v>17</v>
      </c>
      <c r="AU137" s="37"/>
      <c r="AV137" s="37"/>
      <c r="AW137" s="37"/>
    </row>
    <row r="138" ht="15.75" customHeight="1">
      <c r="A138" s="39" t="s">
        <v>28</v>
      </c>
      <c r="B138" s="40">
        <f t="shared" si="6"/>
        <v>44698</v>
      </c>
      <c r="C138" s="41">
        <v>5.0</v>
      </c>
      <c r="D138" s="41" t="s">
        <v>35</v>
      </c>
      <c r="E138" s="43" t="s">
        <v>39</v>
      </c>
      <c r="F138" s="28">
        <v>0.0</v>
      </c>
      <c r="H138" s="32">
        <v>0.0</v>
      </c>
      <c r="J138" s="32">
        <v>0.0</v>
      </c>
      <c r="L138" s="32">
        <v>0.0</v>
      </c>
      <c r="N138" s="32">
        <v>0.0</v>
      </c>
      <c r="P138" s="32">
        <v>0.0</v>
      </c>
      <c r="Q138" s="29"/>
      <c r="R138" s="28">
        <v>65.0</v>
      </c>
      <c r="T138" s="32">
        <v>0.0</v>
      </c>
      <c r="V138" s="32">
        <v>0.0</v>
      </c>
      <c r="X138" s="32">
        <v>0.0</v>
      </c>
      <c r="Z138" s="32">
        <v>0.0</v>
      </c>
      <c r="AB138" s="32">
        <v>0.0</v>
      </c>
      <c r="AC138" s="29"/>
      <c r="AD138" s="26"/>
      <c r="AF138" s="27"/>
      <c r="AH138" s="27"/>
      <c r="AJ138" s="27"/>
      <c r="AL138" s="27"/>
      <c r="AN138" s="27"/>
      <c r="AO138" s="29"/>
      <c r="AP138" s="45">
        <f t="shared" si="1"/>
        <v>1105</v>
      </c>
      <c r="AQ138" s="41">
        <f t="shared" si="2"/>
        <v>65</v>
      </c>
      <c r="AR138" s="41">
        <f t="shared" si="3"/>
        <v>0</v>
      </c>
      <c r="AS138" s="41">
        <f t="shared" si="4"/>
        <v>65</v>
      </c>
      <c r="AT138" s="46">
        <f t="shared" si="5"/>
        <v>17</v>
      </c>
      <c r="AU138" s="37"/>
      <c r="AV138" s="37"/>
      <c r="AW138" s="37"/>
    </row>
    <row r="139" ht="15.75" customHeight="1">
      <c r="A139" s="39" t="s">
        <v>29</v>
      </c>
      <c r="B139" s="40">
        <f t="shared" si="6"/>
        <v>44699</v>
      </c>
      <c r="C139" s="41">
        <v>5.0</v>
      </c>
      <c r="D139" s="41" t="s">
        <v>35</v>
      </c>
      <c r="E139" s="43" t="s">
        <v>39</v>
      </c>
      <c r="F139" s="28">
        <v>0.0</v>
      </c>
      <c r="H139" s="32">
        <v>0.0</v>
      </c>
      <c r="J139" s="32">
        <v>0.0</v>
      </c>
      <c r="L139" s="32">
        <v>0.0</v>
      </c>
      <c r="N139" s="32">
        <v>0.0</v>
      </c>
      <c r="P139" s="32">
        <v>0.0</v>
      </c>
      <c r="Q139" s="29"/>
      <c r="R139" s="28">
        <v>85.0</v>
      </c>
      <c r="T139" s="32">
        <v>100.0</v>
      </c>
      <c r="V139" s="32">
        <v>0.0</v>
      </c>
      <c r="X139" s="32">
        <v>0.0</v>
      </c>
      <c r="Z139" s="32">
        <v>0.0</v>
      </c>
      <c r="AB139" s="32">
        <v>0.0</v>
      </c>
      <c r="AC139" s="29"/>
      <c r="AD139" s="26"/>
      <c r="AF139" s="27"/>
      <c r="AH139" s="27"/>
      <c r="AJ139" s="27"/>
      <c r="AL139" s="27"/>
      <c r="AN139" s="27"/>
      <c r="AO139" s="29"/>
      <c r="AP139" s="45">
        <f t="shared" si="1"/>
        <v>3145</v>
      </c>
      <c r="AQ139" s="41">
        <f t="shared" si="2"/>
        <v>185</v>
      </c>
      <c r="AR139" s="41">
        <f t="shared" si="3"/>
        <v>0</v>
      </c>
      <c r="AS139" s="41">
        <f t="shared" si="4"/>
        <v>185</v>
      </c>
      <c r="AT139" s="46">
        <f t="shared" si="5"/>
        <v>17</v>
      </c>
      <c r="AU139" s="37"/>
      <c r="AV139" s="37"/>
      <c r="AW139" s="37"/>
    </row>
    <row r="140" ht="15.75" customHeight="1">
      <c r="A140" s="39" t="s">
        <v>30</v>
      </c>
      <c r="B140" s="40">
        <f t="shared" si="6"/>
        <v>44700</v>
      </c>
      <c r="C140" s="41">
        <v>5.0</v>
      </c>
      <c r="D140" s="41" t="s">
        <v>35</v>
      </c>
      <c r="E140" s="43" t="s">
        <v>39</v>
      </c>
      <c r="F140" s="28">
        <v>0.0</v>
      </c>
      <c r="H140" s="32">
        <v>0.0</v>
      </c>
      <c r="J140" s="32">
        <v>0.0</v>
      </c>
      <c r="L140" s="32">
        <v>0.0</v>
      </c>
      <c r="N140" s="32">
        <v>0.0</v>
      </c>
      <c r="P140" s="32">
        <v>0.0</v>
      </c>
      <c r="Q140" s="29"/>
      <c r="R140" s="28">
        <v>76.0</v>
      </c>
      <c r="T140" s="32">
        <v>93.0</v>
      </c>
      <c r="V140" s="32">
        <v>0.0</v>
      </c>
      <c r="X140" s="32">
        <v>0.0</v>
      </c>
      <c r="Z140" s="32">
        <v>0.0</v>
      </c>
      <c r="AB140" s="32">
        <v>0.0</v>
      </c>
      <c r="AC140" s="29"/>
      <c r="AD140" s="26"/>
      <c r="AF140" s="27"/>
      <c r="AH140" s="27"/>
      <c r="AJ140" s="27"/>
      <c r="AL140" s="27"/>
      <c r="AN140" s="27"/>
      <c r="AO140" s="29"/>
      <c r="AP140" s="45">
        <f t="shared" si="1"/>
        <v>2873</v>
      </c>
      <c r="AQ140" s="41">
        <f t="shared" si="2"/>
        <v>169</v>
      </c>
      <c r="AR140" s="41">
        <f t="shared" si="3"/>
        <v>0</v>
      </c>
      <c r="AS140" s="41">
        <f t="shared" si="4"/>
        <v>169</v>
      </c>
      <c r="AT140" s="46">
        <f t="shared" si="5"/>
        <v>17</v>
      </c>
      <c r="AU140" s="37"/>
      <c r="AV140" s="37"/>
      <c r="AW140" s="37"/>
    </row>
    <row r="141" ht="15.75" customHeight="1">
      <c r="A141" s="39" t="s">
        <v>31</v>
      </c>
      <c r="B141" s="40">
        <f t="shared" si="6"/>
        <v>44701</v>
      </c>
      <c r="C141" s="41">
        <v>5.0</v>
      </c>
      <c r="D141" s="41" t="s">
        <v>35</v>
      </c>
      <c r="E141" s="43" t="s">
        <v>39</v>
      </c>
      <c r="F141" s="28">
        <v>0.0</v>
      </c>
      <c r="H141" s="32">
        <v>0.0</v>
      </c>
      <c r="J141" s="32">
        <v>0.0</v>
      </c>
      <c r="L141" s="32">
        <v>0.0</v>
      </c>
      <c r="N141" s="32">
        <v>0.0</v>
      </c>
      <c r="P141" s="32">
        <v>0.0</v>
      </c>
      <c r="Q141" s="29"/>
      <c r="R141" s="28">
        <v>65.0</v>
      </c>
      <c r="T141" s="32">
        <v>58.0</v>
      </c>
      <c r="V141" s="32">
        <v>0.0</v>
      </c>
      <c r="X141" s="32">
        <v>0.0</v>
      </c>
      <c r="Z141" s="32">
        <v>0.0</v>
      </c>
      <c r="AB141" s="32">
        <v>0.0</v>
      </c>
      <c r="AC141" s="29"/>
      <c r="AD141" s="26"/>
      <c r="AF141" s="27"/>
      <c r="AH141" s="27"/>
      <c r="AJ141" s="27"/>
      <c r="AL141" s="27"/>
      <c r="AN141" s="27"/>
      <c r="AO141" s="29"/>
      <c r="AP141" s="45">
        <f t="shared" si="1"/>
        <v>2091</v>
      </c>
      <c r="AQ141" s="41">
        <f t="shared" si="2"/>
        <v>123</v>
      </c>
      <c r="AR141" s="41">
        <f t="shared" si="3"/>
        <v>0</v>
      </c>
      <c r="AS141" s="41">
        <f t="shared" si="4"/>
        <v>123</v>
      </c>
      <c r="AT141" s="46">
        <f t="shared" si="5"/>
        <v>17</v>
      </c>
      <c r="AU141" s="37"/>
      <c r="AV141" s="37"/>
      <c r="AW141" s="37"/>
    </row>
    <row r="142" ht="15.75" customHeight="1">
      <c r="A142" s="49" t="s">
        <v>32</v>
      </c>
      <c r="B142" s="50">
        <f t="shared" si="6"/>
        <v>44702</v>
      </c>
      <c r="C142" s="51">
        <v>5.0</v>
      </c>
      <c r="D142" s="51" t="s">
        <v>35</v>
      </c>
      <c r="E142" s="53" t="s">
        <v>39</v>
      </c>
      <c r="F142" s="57">
        <v>0.0</v>
      </c>
      <c r="G142" s="55"/>
      <c r="H142" s="59">
        <v>0.0</v>
      </c>
      <c r="I142" s="55"/>
      <c r="J142" s="59">
        <v>0.0</v>
      </c>
      <c r="K142" s="55"/>
      <c r="L142" s="59">
        <v>0.0</v>
      </c>
      <c r="M142" s="55"/>
      <c r="N142" s="59">
        <v>0.0</v>
      </c>
      <c r="O142" s="55"/>
      <c r="P142" s="59">
        <v>0.0</v>
      </c>
      <c r="Q142" s="58"/>
      <c r="R142" s="57">
        <v>0.0</v>
      </c>
      <c r="S142" s="55"/>
      <c r="T142" s="59">
        <v>0.0</v>
      </c>
      <c r="U142" s="55"/>
      <c r="V142" s="59">
        <v>0.0</v>
      </c>
      <c r="W142" s="55"/>
      <c r="X142" s="59">
        <v>0.0</v>
      </c>
      <c r="Y142" s="55"/>
      <c r="Z142" s="59">
        <v>0.0</v>
      </c>
      <c r="AA142" s="55"/>
      <c r="AB142" s="59">
        <v>0.0</v>
      </c>
      <c r="AC142" s="58"/>
      <c r="AD142" s="54"/>
      <c r="AE142" s="55"/>
      <c r="AF142" s="56"/>
      <c r="AG142" s="55"/>
      <c r="AH142" s="56"/>
      <c r="AI142" s="55"/>
      <c r="AJ142" s="56"/>
      <c r="AK142" s="55"/>
      <c r="AL142" s="56"/>
      <c r="AM142" s="55"/>
      <c r="AN142" s="56"/>
      <c r="AO142" s="58"/>
      <c r="AP142" s="60">
        <f t="shared" si="1"/>
        <v>0</v>
      </c>
      <c r="AQ142" s="51">
        <f t="shared" si="2"/>
        <v>0</v>
      </c>
      <c r="AR142" s="51">
        <f t="shared" si="3"/>
        <v>0</v>
      </c>
      <c r="AS142" s="51">
        <f t="shared" si="4"/>
        <v>0</v>
      </c>
      <c r="AT142" s="61" t="str">
        <f t="shared" si="5"/>
        <v/>
      </c>
      <c r="AU142" s="37"/>
      <c r="AV142" s="37"/>
      <c r="AW142" s="37"/>
    </row>
    <row r="143" ht="15.75" customHeight="1">
      <c r="A143" s="21" t="s">
        <v>24</v>
      </c>
      <c r="B143" s="62">
        <f t="shared" si="6"/>
        <v>44703</v>
      </c>
      <c r="C143" s="23">
        <v>6.0</v>
      </c>
      <c r="D143" s="23" t="s">
        <v>25</v>
      </c>
      <c r="E143" s="63" t="s">
        <v>39</v>
      </c>
      <c r="F143" s="28">
        <v>0.0</v>
      </c>
      <c r="H143" s="32">
        <v>0.0</v>
      </c>
      <c r="J143" s="32">
        <v>0.0</v>
      </c>
      <c r="L143" s="32">
        <v>0.0</v>
      </c>
      <c r="N143" s="32">
        <v>0.0</v>
      </c>
      <c r="P143" s="32">
        <v>0.0</v>
      </c>
      <c r="Q143" s="29"/>
      <c r="R143" s="28">
        <v>65.0</v>
      </c>
      <c r="T143" s="32">
        <v>106.0</v>
      </c>
      <c r="V143" s="32">
        <v>0.0</v>
      </c>
      <c r="X143" s="32">
        <v>0.0</v>
      </c>
      <c r="Z143" s="32">
        <v>0.0</v>
      </c>
      <c r="AB143" s="32">
        <v>0.0</v>
      </c>
      <c r="AC143" s="29"/>
      <c r="AD143" s="26"/>
      <c r="AF143" s="27"/>
      <c r="AH143" s="27"/>
      <c r="AJ143" s="27"/>
      <c r="AL143" s="27"/>
      <c r="AN143" s="27"/>
      <c r="AO143" s="29"/>
      <c r="AP143" s="35">
        <f t="shared" si="1"/>
        <v>2907</v>
      </c>
      <c r="AQ143" s="23">
        <f t="shared" si="2"/>
        <v>171</v>
      </c>
      <c r="AR143" s="23">
        <f t="shared" si="3"/>
        <v>0</v>
      </c>
      <c r="AS143" s="23">
        <f t="shared" si="4"/>
        <v>171</v>
      </c>
      <c r="AT143" s="36">
        <f t="shared" si="5"/>
        <v>17</v>
      </c>
      <c r="AU143" s="37"/>
      <c r="AV143" s="37"/>
      <c r="AW143" s="37"/>
    </row>
    <row r="144" ht="15.75" customHeight="1">
      <c r="A144" s="39" t="s">
        <v>27</v>
      </c>
      <c r="B144" s="40">
        <f t="shared" si="6"/>
        <v>44704</v>
      </c>
      <c r="C144" s="41">
        <v>6.0</v>
      </c>
      <c r="D144" s="41" t="s">
        <v>25</v>
      </c>
      <c r="E144" s="43" t="s">
        <v>39</v>
      </c>
      <c r="F144" s="28">
        <v>0.0</v>
      </c>
      <c r="H144" s="32">
        <v>0.0</v>
      </c>
      <c r="J144" s="32">
        <v>0.0</v>
      </c>
      <c r="L144" s="32">
        <v>0.0</v>
      </c>
      <c r="N144" s="32">
        <v>0.0</v>
      </c>
      <c r="P144" s="32">
        <v>0.0</v>
      </c>
      <c r="Q144" s="29"/>
      <c r="R144" s="28">
        <v>63.0</v>
      </c>
      <c r="T144" s="32">
        <v>102.0</v>
      </c>
      <c r="V144" s="32">
        <v>0.0</v>
      </c>
      <c r="X144" s="32">
        <v>0.0</v>
      </c>
      <c r="Z144" s="32">
        <v>0.0</v>
      </c>
      <c r="AB144" s="32">
        <v>0.0</v>
      </c>
      <c r="AC144" s="29"/>
      <c r="AD144" s="26"/>
      <c r="AF144" s="27"/>
      <c r="AH144" s="27"/>
      <c r="AJ144" s="27"/>
      <c r="AL144" s="27"/>
      <c r="AN144" s="27"/>
      <c r="AO144" s="29"/>
      <c r="AP144" s="45">
        <f t="shared" si="1"/>
        <v>2805</v>
      </c>
      <c r="AQ144" s="41">
        <f t="shared" si="2"/>
        <v>165</v>
      </c>
      <c r="AR144" s="41">
        <f t="shared" si="3"/>
        <v>0</v>
      </c>
      <c r="AS144" s="41">
        <f t="shared" si="4"/>
        <v>165</v>
      </c>
      <c r="AT144" s="46">
        <f t="shared" si="5"/>
        <v>17</v>
      </c>
      <c r="AU144" s="37"/>
      <c r="AV144" s="37"/>
      <c r="AW144" s="37"/>
    </row>
    <row r="145" ht="15.75" customHeight="1">
      <c r="A145" s="39" t="s">
        <v>28</v>
      </c>
      <c r="B145" s="40">
        <f t="shared" si="6"/>
        <v>44705</v>
      </c>
      <c r="C145" s="41">
        <v>6.0</v>
      </c>
      <c r="D145" s="41" t="s">
        <v>25</v>
      </c>
      <c r="E145" s="43" t="s">
        <v>39</v>
      </c>
      <c r="F145" s="28">
        <v>0.0</v>
      </c>
      <c r="H145" s="32">
        <v>0.0</v>
      </c>
      <c r="J145" s="32">
        <v>0.0</v>
      </c>
      <c r="L145" s="32">
        <v>0.0</v>
      </c>
      <c r="N145" s="32">
        <v>0.0</v>
      </c>
      <c r="P145" s="32">
        <v>0.0</v>
      </c>
      <c r="Q145" s="29"/>
      <c r="R145" s="28">
        <v>0.0</v>
      </c>
      <c r="T145" s="32">
        <v>77.0</v>
      </c>
      <c r="V145" s="32">
        <v>52.0</v>
      </c>
      <c r="X145" s="32">
        <v>0.0</v>
      </c>
      <c r="Z145" s="32">
        <v>81.0</v>
      </c>
      <c r="AB145" s="32">
        <v>0.0</v>
      </c>
      <c r="AC145" s="29"/>
      <c r="AD145" s="26"/>
      <c r="AF145" s="27"/>
      <c r="AH145" s="27"/>
      <c r="AJ145" s="27"/>
      <c r="AL145" s="27"/>
      <c r="AN145" s="27"/>
      <c r="AO145" s="29"/>
      <c r="AP145" s="45">
        <f t="shared" si="1"/>
        <v>3246</v>
      </c>
      <c r="AQ145" s="41">
        <f t="shared" si="2"/>
        <v>210</v>
      </c>
      <c r="AR145" s="41">
        <f t="shared" si="3"/>
        <v>0</v>
      </c>
      <c r="AS145" s="41">
        <f t="shared" si="4"/>
        <v>210</v>
      </c>
      <c r="AT145" s="46">
        <f t="shared" si="5"/>
        <v>15.45714286</v>
      </c>
      <c r="AU145" s="37"/>
      <c r="AV145" s="37"/>
      <c r="AW145" s="37"/>
    </row>
    <row r="146" ht="15.75" customHeight="1">
      <c r="A146" s="39" t="s">
        <v>29</v>
      </c>
      <c r="B146" s="40">
        <f t="shared" si="6"/>
        <v>44706</v>
      </c>
      <c r="C146" s="41">
        <v>6.0</v>
      </c>
      <c r="D146" s="41" t="s">
        <v>25</v>
      </c>
      <c r="E146" s="43" t="s">
        <v>39</v>
      </c>
      <c r="F146" s="28">
        <v>0.0</v>
      </c>
      <c r="H146" s="32">
        <v>0.0</v>
      </c>
      <c r="J146" s="32">
        <v>0.0</v>
      </c>
      <c r="L146" s="32">
        <v>0.0</v>
      </c>
      <c r="N146" s="32">
        <v>0.0</v>
      </c>
      <c r="P146" s="32">
        <v>0.0</v>
      </c>
      <c r="Q146" s="29"/>
      <c r="R146" s="28">
        <v>0.0</v>
      </c>
      <c r="T146" s="32">
        <v>79.0</v>
      </c>
      <c r="V146" s="32">
        <v>40.0</v>
      </c>
      <c r="X146" s="32">
        <v>0.0</v>
      </c>
      <c r="Z146" s="32">
        <v>63.0</v>
      </c>
      <c r="AB146" s="32">
        <v>0.0</v>
      </c>
      <c r="AC146" s="29"/>
      <c r="AD146" s="26"/>
      <c r="AF146" s="27"/>
      <c r="AH146" s="27"/>
      <c r="AJ146" s="27"/>
      <c r="AL146" s="27"/>
      <c r="AN146" s="27"/>
      <c r="AO146" s="29"/>
      <c r="AP146" s="45">
        <f t="shared" si="1"/>
        <v>2842</v>
      </c>
      <c r="AQ146" s="41">
        <f t="shared" si="2"/>
        <v>182</v>
      </c>
      <c r="AR146" s="41">
        <f t="shared" si="3"/>
        <v>0</v>
      </c>
      <c r="AS146" s="41">
        <f t="shared" si="4"/>
        <v>182</v>
      </c>
      <c r="AT146" s="46">
        <f t="shared" si="5"/>
        <v>15.61538462</v>
      </c>
      <c r="AU146" s="37"/>
      <c r="AV146" s="37"/>
      <c r="AW146" s="37"/>
    </row>
    <row r="147" ht="15.75" customHeight="1">
      <c r="A147" s="39" t="s">
        <v>30</v>
      </c>
      <c r="B147" s="40">
        <f t="shared" si="6"/>
        <v>44707</v>
      </c>
      <c r="C147" s="41">
        <v>6.0</v>
      </c>
      <c r="D147" s="41" t="s">
        <v>25</v>
      </c>
      <c r="E147" s="43" t="s">
        <v>39</v>
      </c>
      <c r="F147" s="28">
        <v>0.0</v>
      </c>
      <c r="H147" s="32">
        <v>0.0</v>
      </c>
      <c r="J147" s="32">
        <v>0.0</v>
      </c>
      <c r="L147" s="32">
        <v>0.0</v>
      </c>
      <c r="N147" s="32">
        <v>0.0</v>
      </c>
      <c r="P147" s="32">
        <v>0.0</v>
      </c>
      <c r="Q147" s="29"/>
      <c r="R147" s="28">
        <v>79.0</v>
      </c>
      <c r="T147" s="32">
        <v>45.0</v>
      </c>
      <c r="V147" s="32">
        <v>0.0</v>
      </c>
      <c r="X147" s="32">
        <v>0.0</v>
      </c>
      <c r="Z147" s="32">
        <v>0.0</v>
      </c>
      <c r="AB147" s="32">
        <v>0.0</v>
      </c>
      <c r="AC147" s="29"/>
      <c r="AD147" s="26"/>
      <c r="AF147" s="27"/>
      <c r="AH147" s="27"/>
      <c r="AJ147" s="27"/>
      <c r="AL147" s="27"/>
      <c r="AN147" s="27"/>
      <c r="AO147" s="29"/>
      <c r="AP147" s="45">
        <f t="shared" si="1"/>
        <v>2108</v>
      </c>
      <c r="AQ147" s="41">
        <f t="shared" si="2"/>
        <v>124</v>
      </c>
      <c r="AR147" s="41">
        <f t="shared" si="3"/>
        <v>0</v>
      </c>
      <c r="AS147" s="41">
        <f t="shared" si="4"/>
        <v>124</v>
      </c>
      <c r="AT147" s="46">
        <f t="shared" si="5"/>
        <v>17</v>
      </c>
      <c r="AU147" s="37"/>
      <c r="AV147" s="37"/>
      <c r="AW147" s="37"/>
    </row>
    <row r="148" ht="15.75" customHeight="1">
      <c r="A148" s="39" t="s">
        <v>31</v>
      </c>
      <c r="B148" s="40">
        <f t="shared" si="6"/>
        <v>44708</v>
      </c>
      <c r="C148" s="41">
        <v>6.0</v>
      </c>
      <c r="D148" s="41" t="s">
        <v>25</v>
      </c>
      <c r="E148" s="43" t="s">
        <v>39</v>
      </c>
      <c r="F148" s="28">
        <v>0.0</v>
      </c>
      <c r="H148" s="32">
        <v>0.0</v>
      </c>
      <c r="J148" s="32">
        <v>0.0</v>
      </c>
      <c r="L148" s="32">
        <v>0.0</v>
      </c>
      <c r="N148" s="32">
        <v>0.0</v>
      </c>
      <c r="P148" s="32">
        <v>0.0</v>
      </c>
      <c r="Q148" s="29"/>
      <c r="R148" s="28">
        <v>72.0</v>
      </c>
      <c r="T148" s="32">
        <v>60.0</v>
      </c>
      <c r="V148" s="32">
        <v>0.0</v>
      </c>
      <c r="X148" s="32">
        <v>0.0</v>
      </c>
      <c r="Z148" s="32">
        <v>0.0</v>
      </c>
      <c r="AB148" s="32">
        <v>0.0</v>
      </c>
      <c r="AC148" s="29"/>
      <c r="AD148" s="26"/>
      <c r="AF148" s="27"/>
      <c r="AH148" s="27"/>
      <c r="AJ148" s="27"/>
      <c r="AL148" s="27"/>
      <c r="AN148" s="27"/>
      <c r="AO148" s="29"/>
      <c r="AP148" s="45">
        <f t="shared" si="1"/>
        <v>2244</v>
      </c>
      <c r="AQ148" s="41">
        <f t="shared" si="2"/>
        <v>132</v>
      </c>
      <c r="AR148" s="41">
        <f t="shared" si="3"/>
        <v>0</v>
      </c>
      <c r="AS148" s="41">
        <f t="shared" si="4"/>
        <v>132</v>
      </c>
      <c r="AT148" s="46">
        <f t="shared" si="5"/>
        <v>17</v>
      </c>
      <c r="AU148" s="37"/>
      <c r="AV148" s="37"/>
      <c r="AW148" s="37"/>
    </row>
    <row r="149" ht="15.75" customHeight="1">
      <c r="A149" s="49" t="s">
        <v>32</v>
      </c>
      <c r="B149" s="50">
        <f t="shared" si="6"/>
        <v>44709</v>
      </c>
      <c r="C149" s="51">
        <v>6.0</v>
      </c>
      <c r="D149" s="51" t="s">
        <v>25</v>
      </c>
      <c r="E149" s="53" t="s">
        <v>39</v>
      </c>
      <c r="F149" s="57">
        <v>0.0</v>
      </c>
      <c r="G149" s="55"/>
      <c r="H149" s="59">
        <v>0.0</v>
      </c>
      <c r="I149" s="55"/>
      <c r="J149" s="59">
        <v>0.0</v>
      </c>
      <c r="K149" s="55"/>
      <c r="L149" s="59">
        <v>0.0</v>
      </c>
      <c r="M149" s="55"/>
      <c r="N149" s="59">
        <v>0.0</v>
      </c>
      <c r="O149" s="55"/>
      <c r="P149" s="59">
        <v>0.0</v>
      </c>
      <c r="Q149" s="58"/>
      <c r="R149" s="57">
        <v>0.0</v>
      </c>
      <c r="S149" s="55"/>
      <c r="T149" s="59">
        <v>0.0</v>
      </c>
      <c r="U149" s="55"/>
      <c r="V149" s="59">
        <v>0.0</v>
      </c>
      <c r="W149" s="55"/>
      <c r="X149" s="59">
        <v>0.0</v>
      </c>
      <c r="Y149" s="55"/>
      <c r="Z149" s="59">
        <v>0.0</v>
      </c>
      <c r="AA149" s="55"/>
      <c r="AB149" s="59">
        <v>0.0</v>
      </c>
      <c r="AC149" s="58"/>
      <c r="AD149" s="54"/>
      <c r="AE149" s="55"/>
      <c r="AF149" s="56"/>
      <c r="AG149" s="55"/>
      <c r="AH149" s="56"/>
      <c r="AI149" s="55"/>
      <c r="AJ149" s="56"/>
      <c r="AK149" s="55"/>
      <c r="AL149" s="56"/>
      <c r="AM149" s="55"/>
      <c r="AN149" s="56"/>
      <c r="AO149" s="58"/>
      <c r="AP149" s="60">
        <f t="shared" si="1"/>
        <v>0</v>
      </c>
      <c r="AQ149" s="51">
        <f t="shared" si="2"/>
        <v>0</v>
      </c>
      <c r="AR149" s="51">
        <f t="shared" si="3"/>
        <v>0</v>
      </c>
      <c r="AS149" s="51">
        <f t="shared" si="4"/>
        <v>0</v>
      </c>
      <c r="AT149" s="61" t="str">
        <f t="shared" si="5"/>
        <v/>
      </c>
      <c r="AU149" s="37"/>
      <c r="AV149" s="37"/>
      <c r="AW149" s="37"/>
    </row>
    <row r="150" ht="15.75" customHeight="1">
      <c r="A150" s="21" t="s">
        <v>24</v>
      </c>
      <c r="B150" s="62">
        <f t="shared" si="6"/>
        <v>44710</v>
      </c>
      <c r="C150" s="23">
        <v>6.0</v>
      </c>
      <c r="D150" s="23" t="s">
        <v>33</v>
      </c>
      <c r="E150" s="63" t="s">
        <v>39</v>
      </c>
      <c r="F150" s="28">
        <v>0.0</v>
      </c>
      <c r="H150" s="32">
        <v>0.0</v>
      </c>
      <c r="J150" s="32">
        <v>0.0</v>
      </c>
      <c r="L150" s="32">
        <v>0.0</v>
      </c>
      <c r="N150" s="32">
        <v>0.0</v>
      </c>
      <c r="P150" s="32">
        <v>0.0</v>
      </c>
      <c r="Q150" s="29"/>
      <c r="R150" s="28">
        <v>71.0</v>
      </c>
      <c r="T150" s="32">
        <v>81.0</v>
      </c>
      <c r="V150" s="32">
        <v>0.0</v>
      </c>
      <c r="X150" s="32">
        <v>0.0</v>
      </c>
      <c r="Z150" s="32">
        <v>0.0</v>
      </c>
      <c r="AB150" s="32">
        <v>0.0</v>
      </c>
      <c r="AC150" s="29"/>
      <c r="AD150" s="26"/>
      <c r="AF150" s="27"/>
      <c r="AH150" s="27"/>
      <c r="AJ150" s="27"/>
      <c r="AL150" s="27"/>
      <c r="AN150" s="27"/>
      <c r="AO150" s="29"/>
      <c r="AP150" s="35">
        <f t="shared" si="1"/>
        <v>2584</v>
      </c>
      <c r="AQ150" s="23">
        <f t="shared" si="2"/>
        <v>152</v>
      </c>
      <c r="AR150" s="23">
        <f t="shared" si="3"/>
        <v>0</v>
      </c>
      <c r="AS150" s="23">
        <f t="shared" si="4"/>
        <v>152</v>
      </c>
      <c r="AT150" s="36">
        <f t="shared" si="5"/>
        <v>17</v>
      </c>
      <c r="AU150" s="37"/>
      <c r="AV150" s="37"/>
      <c r="AW150" s="37"/>
    </row>
    <row r="151" ht="15.75" customHeight="1">
      <c r="A151" s="39" t="s">
        <v>27</v>
      </c>
      <c r="B151" s="40">
        <f t="shared" si="6"/>
        <v>44711</v>
      </c>
      <c r="C151" s="41">
        <v>6.0</v>
      </c>
      <c r="D151" s="41" t="s">
        <v>33</v>
      </c>
      <c r="E151" s="43" t="s">
        <v>39</v>
      </c>
      <c r="F151" s="28">
        <v>0.0</v>
      </c>
      <c r="H151" s="32">
        <v>0.0</v>
      </c>
      <c r="J151" s="32">
        <v>0.0</v>
      </c>
      <c r="L151" s="32">
        <v>0.0</v>
      </c>
      <c r="N151" s="32">
        <v>0.0</v>
      </c>
      <c r="P151" s="32">
        <v>0.0</v>
      </c>
      <c r="Q151" s="29"/>
      <c r="R151" s="28">
        <v>65.0</v>
      </c>
      <c r="T151" s="32">
        <v>114.0</v>
      </c>
      <c r="V151" s="32">
        <v>0.0</v>
      </c>
      <c r="X151" s="32">
        <v>0.0</v>
      </c>
      <c r="Z151" s="32">
        <v>0.0</v>
      </c>
      <c r="AB151" s="32">
        <v>0.0</v>
      </c>
      <c r="AC151" s="29"/>
      <c r="AD151" s="26"/>
      <c r="AF151" s="27"/>
      <c r="AH151" s="27"/>
      <c r="AJ151" s="27"/>
      <c r="AL151" s="27"/>
      <c r="AN151" s="27"/>
      <c r="AO151" s="29"/>
      <c r="AP151" s="45">
        <f t="shared" si="1"/>
        <v>3043</v>
      </c>
      <c r="AQ151" s="41">
        <f t="shared" si="2"/>
        <v>179</v>
      </c>
      <c r="AR151" s="41">
        <f t="shared" si="3"/>
        <v>0</v>
      </c>
      <c r="AS151" s="41">
        <f t="shared" si="4"/>
        <v>179</v>
      </c>
      <c r="AT151" s="46">
        <f t="shared" si="5"/>
        <v>17</v>
      </c>
      <c r="AU151" s="37"/>
      <c r="AV151" s="37"/>
      <c r="AW151" s="37"/>
    </row>
    <row r="152" ht="15.75" customHeight="1">
      <c r="A152" s="39" t="s">
        <v>28</v>
      </c>
      <c r="B152" s="40">
        <f t="shared" si="6"/>
        <v>44712</v>
      </c>
      <c r="C152" s="41">
        <v>6.0</v>
      </c>
      <c r="D152" s="41" t="s">
        <v>33</v>
      </c>
      <c r="E152" s="43" t="s">
        <v>39</v>
      </c>
      <c r="F152" s="28">
        <v>0.0</v>
      </c>
      <c r="H152" s="32">
        <v>0.0</v>
      </c>
      <c r="J152" s="32">
        <v>0.0</v>
      </c>
      <c r="L152" s="32">
        <v>0.0</v>
      </c>
      <c r="N152" s="32">
        <v>0.0</v>
      </c>
      <c r="P152" s="32">
        <v>0.0</v>
      </c>
      <c r="Q152" s="29"/>
      <c r="R152" s="28">
        <v>88.0</v>
      </c>
      <c r="T152" s="32">
        <v>67.0</v>
      </c>
      <c r="V152" s="32">
        <v>0.0</v>
      </c>
      <c r="X152" s="32">
        <v>0.0</v>
      </c>
      <c r="Z152" s="32">
        <v>0.0</v>
      </c>
      <c r="AB152" s="32">
        <v>0.0</v>
      </c>
      <c r="AC152" s="29"/>
      <c r="AD152" s="26"/>
      <c r="AF152" s="27"/>
      <c r="AH152" s="27"/>
      <c r="AJ152" s="27"/>
      <c r="AL152" s="27"/>
      <c r="AN152" s="27"/>
      <c r="AO152" s="29"/>
      <c r="AP152" s="45">
        <f t="shared" si="1"/>
        <v>2635</v>
      </c>
      <c r="AQ152" s="41">
        <f t="shared" si="2"/>
        <v>155</v>
      </c>
      <c r="AR152" s="41">
        <f t="shared" si="3"/>
        <v>0</v>
      </c>
      <c r="AS152" s="41">
        <f t="shared" si="4"/>
        <v>155</v>
      </c>
      <c r="AT152" s="46">
        <f t="shared" si="5"/>
        <v>17</v>
      </c>
      <c r="AU152" s="37"/>
      <c r="AV152" s="37"/>
      <c r="AW152" s="37"/>
    </row>
    <row r="153" ht="15.75" customHeight="1">
      <c r="A153" s="39" t="s">
        <v>29</v>
      </c>
      <c r="B153" s="40">
        <f t="shared" si="6"/>
        <v>44713</v>
      </c>
      <c r="C153" s="41">
        <v>6.0</v>
      </c>
      <c r="D153" s="41" t="s">
        <v>33</v>
      </c>
      <c r="E153" s="43" t="s">
        <v>39</v>
      </c>
      <c r="F153" s="28">
        <v>0.0</v>
      </c>
      <c r="H153" s="32">
        <v>0.0</v>
      </c>
      <c r="J153" s="32">
        <v>0.0</v>
      </c>
      <c r="L153" s="32">
        <v>0.0</v>
      </c>
      <c r="N153" s="32">
        <v>0.0</v>
      </c>
      <c r="P153" s="32">
        <v>0.0</v>
      </c>
      <c r="Q153" s="29"/>
      <c r="R153" s="28">
        <v>74.0</v>
      </c>
      <c r="T153" s="32">
        <v>79.0</v>
      </c>
      <c r="V153" s="32">
        <v>0.0</v>
      </c>
      <c r="X153" s="32">
        <v>0.0</v>
      </c>
      <c r="Z153" s="32">
        <v>0.0</v>
      </c>
      <c r="AB153" s="32">
        <v>0.0</v>
      </c>
      <c r="AC153" s="29"/>
      <c r="AD153" s="26"/>
      <c r="AF153" s="27"/>
      <c r="AH153" s="27"/>
      <c r="AJ153" s="27"/>
      <c r="AL153" s="27"/>
      <c r="AN153" s="27"/>
      <c r="AO153" s="29"/>
      <c r="AP153" s="45">
        <f t="shared" si="1"/>
        <v>2601</v>
      </c>
      <c r="AQ153" s="41">
        <f t="shared" si="2"/>
        <v>153</v>
      </c>
      <c r="AR153" s="41">
        <f t="shared" si="3"/>
        <v>0</v>
      </c>
      <c r="AS153" s="41">
        <f t="shared" si="4"/>
        <v>153</v>
      </c>
      <c r="AT153" s="46">
        <f t="shared" si="5"/>
        <v>17</v>
      </c>
      <c r="AU153" s="37"/>
      <c r="AV153" s="37"/>
      <c r="AW153" s="37"/>
    </row>
    <row r="154" ht="15.75" customHeight="1">
      <c r="A154" s="39" t="s">
        <v>30</v>
      </c>
      <c r="B154" s="40">
        <f t="shared" si="6"/>
        <v>44714</v>
      </c>
      <c r="C154" s="41">
        <v>6.0</v>
      </c>
      <c r="D154" s="41" t="s">
        <v>33</v>
      </c>
      <c r="E154" s="43" t="s">
        <v>39</v>
      </c>
      <c r="F154" s="28">
        <v>0.0</v>
      </c>
      <c r="H154" s="32">
        <v>0.0</v>
      </c>
      <c r="J154" s="32">
        <v>0.0</v>
      </c>
      <c r="L154" s="32">
        <v>0.0</v>
      </c>
      <c r="N154" s="32">
        <v>0.0</v>
      </c>
      <c r="P154" s="32">
        <v>0.0</v>
      </c>
      <c r="Q154" s="29"/>
      <c r="R154" s="28">
        <v>73.0</v>
      </c>
      <c r="T154" s="32">
        <v>77.0</v>
      </c>
      <c r="V154" s="32">
        <v>0.0</v>
      </c>
      <c r="X154" s="32">
        <v>0.0</v>
      </c>
      <c r="Z154" s="32">
        <v>0.0</v>
      </c>
      <c r="AB154" s="32">
        <v>0.0</v>
      </c>
      <c r="AC154" s="29"/>
      <c r="AD154" s="26"/>
      <c r="AF154" s="27"/>
      <c r="AH154" s="27"/>
      <c r="AJ154" s="27"/>
      <c r="AL154" s="27"/>
      <c r="AN154" s="27"/>
      <c r="AO154" s="29"/>
      <c r="AP154" s="45">
        <f t="shared" si="1"/>
        <v>2550</v>
      </c>
      <c r="AQ154" s="41">
        <f t="shared" si="2"/>
        <v>150</v>
      </c>
      <c r="AR154" s="41">
        <f t="shared" si="3"/>
        <v>0</v>
      </c>
      <c r="AS154" s="41">
        <f t="shared" si="4"/>
        <v>150</v>
      </c>
      <c r="AT154" s="46">
        <f t="shared" si="5"/>
        <v>17</v>
      </c>
      <c r="AU154" s="37"/>
      <c r="AV154" s="37"/>
      <c r="AW154" s="37"/>
    </row>
    <row r="155" ht="15.75" customHeight="1">
      <c r="A155" s="39" t="s">
        <v>31</v>
      </c>
      <c r="B155" s="40">
        <f t="shared" si="6"/>
        <v>44715</v>
      </c>
      <c r="C155" s="41">
        <v>6.0</v>
      </c>
      <c r="D155" s="41" t="s">
        <v>33</v>
      </c>
      <c r="E155" s="43" t="s">
        <v>39</v>
      </c>
      <c r="F155" s="28">
        <v>0.0</v>
      </c>
      <c r="H155" s="32">
        <v>0.0</v>
      </c>
      <c r="J155" s="32">
        <v>0.0</v>
      </c>
      <c r="L155" s="32">
        <v>0.0</v>
      </c>
      <c r="N155" s="32">
        <v>0.0</v>
      </c>
      <c r="P155" s="32">
        <v>0.0</v>
      </c>
      <c r="Q155" s="29"/>
      <c r="R155" s="28">
        <v>63.0</v>
      </c>
      <c r="T155" s="32">
        <v>59.0</v>
      </c>
      <c r="V155" s="32">
        <v>0.0</v>
      </c>
      <c r="X155" s="32">
        <v>0.0</v>
      </c>
      <c r="Z155" s="32">
        <v>0.0</v>
      </c>
      <c r="AB155" s="32">
        <v>0.0</v>
      </c>
      <c r="AC155" s="29"/>
      <c r="AD155" s="26"/>
      <c r="AF155" s="27"/>
      <c r="AH155" s="27"/>
      <c r="AJ155" s="27"/>
      <c r="AL155" s="27"/>
      <c r="AN155" s="27"/>
      <c r="AO155" s="29"/>
      <c r="AP155" s="45">
        <f t="shared" si="1"/>
        <v>2074</v>
      </c>
      <c r="AQ155" s="41">
        <f t="shared" si="2"/>
        <v>122</v>
      </c>
      <c r="AR155" s="41">
        <f t="shared" si="3"/>
        <v>0</v>
      </c>
      <c r="AS155" s="41">
        <f t="shared" si="4"/>
        <v>122</v>
      </c>
      <c r="AT155" s="46">
        <f t="shared" si="5"/>
        <v>17</v>
      </c>
      <c r="AU155" s="37"/>
      <c r="AV155" s="37"/>
      <c r="AW155" s="37"/>
    </row>
    <row r="156" ht="15.75" customHeight="1">
      <c r="A156" s="49" t="s">
        <v>32</v>
      </c>
      <c r="B156" s="50">
        <f t="shared" si="6"/>
        <v>44716</v>
      </c>
      <c r="C156" s="51">
        <v>6.0</v>
      </c>
      <c r="D156" s="51" t="s">
        <v>33</v>
      </c>
      <c r="E156" s="53" t="s">
        <v>39</v>
      </c>
      <c r="F156" s="57">
        <v>0.0</v>
      </c>
      <c r="G156" s="55"/>
      <c r="H156" s="59">
        <v>0.0</v>
      </c>
      <c r="I156" s="55"/>
      <c r="J156" s="59">
        <v>0.0</v>
      </c>
      <c r="K156" s="55"/>
      <c r="L156" s="59">
        <v>0.0</v>
      </c>
      <c r="M156" s="55"/>
      <c r="N156" s="59">
        <v>0.0</v>
      </c>
      <c r="O156" s="55"/>
      <c r="P156" s="59">
        <v>0.0</v>
      </c>
      <c r="Q156" s="58"/>
      <c r="R156" s="57">
        <v>0.0</v>
      </c>
      <c r="S156" s="55"/>
      <c r="T156" s="59">
        <v>0.0</v>
      </c>
      <c r="U156" s="55"/>
      <c r="V156" s="59">
        <v>0.0</v>
      </c>
      <c r="W156" s="55"/>
      <c r="X156" s="59">
        <v>0.0</v>
      </c>
      <c r="Y156" s="55"/>
      <c r="Z156" s="59">
        <v>0.0</v>
      </c>
      <c r="AA156" s="55"/>
      <c r="AB156" s="59">
        <v>0.0</v>
      </c>
      <c r="AC156" s="58"/>
      <c r="AD156" s="54"/>
      <c r="AE156" s="55"/>
      <c r="AF156" s="56"/>
      <c r="AG156" s="55"/>
      <c r="AH156" s="56"/>
      <c r="AI156" s="55"/>
      <c r="AJ156" s="56"/>
      <c r="AK156" s="55"/>
      <c r="AL156" s="56"/>
      <c r="AM156" s="55"/>
      <c r="AN156" s="56"/>
      <c r="AO156" s="58"/>
      <c r="AP156" s="60">
        <f t="shared" si="1"/>
        <v>0</v>
      </c>
      <c r="AQ156" s="51">
        <f t="shared" si="2"/>
        <v>0</v>
      </c>
      <c r="AR156" s="51">
        <f t="shared" si="3"/>
        <v>0</v>
      </c>
      <c r="AS156" s="51">
        <f t="shared" si="4"/>
        <v>0</v>
      </c>
      <c r="AT156" s="61" t="str">
        <f t="shared" si="5"/>
        <v/>
      </c>
      <c r="AU156" s="37"/>
      <c r="AV156" s="37"/>
      <c r="AW156" s="37"/>
    </row>
    <row r="157" ht="15.75" customHeight="1">
      <c r="A157" s="21" t="s">
        <v>24</v>
      </c>
      <c r="B157" s="62">
        <f t="shared" si="6"/>
        <v>44717</v>
      </c>
      <c r="C157" s="23">
        <v>6.0</v>
      </c>
      <c r="D157" s="23" t="s">
        <v>34</v>
      </c>
      <c r="E157" s="63" t="s">
        <v>39</v>
      </c>
      <c r="F157" s="28">
        <v>0.0</v>
      </c>
      <c r="H157" s="32">
        <v>0.0</v>
      </c>
      <c r="J157" s="32">
        <v>0.0</v>
      </c>
      <c r="L157" s="32">
        <v>0.0</v>
      </c>
      <c r="N157" s="32">
        <v>0.0</v>
      </c>
      <c r="P157" s="32">
        <v>0.0</v>
      </c>
      <c r="Q157" s="29"/>
      <c r="R157" s="28">
        <v>0.0</v>
      </c>
      <c r="T157" s="32">
        <v>85.0</v>
      </c>
      <c r="V157" s="32">
        <v>74.0</v>
      </c>
      <c r="X157" s="32">
        <v>0.0</v>
      </c>
      <c r="Z157" s="32">
        <v>80.0</v>
      </c>
      <c r="AB157" s="32">
        <v>0.0</v>
      </c>
      <c r="AC157" s="29"/>
      <c r="AD157" s="26"/>
      <c r="AF157" s="27"/>
      <c r="AH157" s="27"/>
      <c r="AJ157" s="27"/>
      <c r="AL157" s="27"/>
      <c r="AN157" s="27"/>
      <c r="AO157" s="29"/>
      <c r="AP157" s="35">
        <f t="shared" si="1"/>
        <v>3743</v>
      </c>
      <c r="AQ157" s="23">
        <f t="shared" si="2"/>
        <v>239</v>
      </c>
      <c r="AR157" s="23">
        <f t="shared" si="3"/>
        <v>0</v>
      </c>
      <c r="AS157" s="23">
        <f t="shared" si="4"/>
        <v>239</v>
      </c>
      <c r="AT157" s="36">
        <f t="shared" si="5"/>
        <v>15.66108787</v>
      </c>
      <c r="AU157" s="37"/>
      <c r="AV157" s="37"/>
      <c r="AW157" s="37"/>
    </row>
    <row r="158" ht="15.75" customHeight="1">
      <c r="A158" s="39" t="s">
        <v>27</v>
      </c>
      <c r="B158" s="40">
        <f t="shared" si="6"/>
        <v>44718</v>
      </c>
      <c r="C158" s="41">
        <v>6.0</v>
      </c>
      <c r="D158" s="41" t="s">
        <v>34</v>
      </c>
      <c r="E158" s="43" t="s">
        <v>39</v>
      </c>
      <c r="F158" s="28">
        <v>0.0</v>
      </c>
      <c r="H158" s="32">
        <v>0.0</v>
      </c>
      <c r="J158" s="32">
        <v>0.0</v>
      </c>
      <c r="L158" s="32">
        <v>0.0</v>
      </c>
      <c r="N158" s="32">
        <v>0.0</v>
      </c>
      <c r="P158" s="32">
        <v>0.0</v>
      </c>
      <c r="Q158" s="29"/>
      <c r="R158" s="28">
        <v>0.0</v>
      </c>
      <c r="T158" s="32">
        <v>81.0</v>
      </c>
      <c r="V158" s="32">
        <v>0.0</v>
      </c>
      <c r="X158" s="32">
        <v>0.0</v>
      </c>
      <c r="Z158" s="32">
        <v>0.0</v>
      </c>
      <c r="AB158" s="32">
        <v>110.0</v>
      </c>
      <c r="AC158" s="29"/>
      <c r="AD158" s="26"/>
      <c r="AF158" s="27"/>
      <c r="AH158" s="27"/>
      <c r="AJ158" s="27"/>
      <c r="AL158" s="27"/>
      <c r="AN158" s="27"/>
      <c r="AO158" s="29"/>
      <c r="AP158" s="45">
        <f t="shared" si="1"/>
        <v>2147</v>
      </c>
      <c r="AQ158" s="41">
        <f t="shared" si="2"/>
        <v>81</v>
      </c>
      <c r="AR158" s="41">
        <f t="shared" si="3"/>
        <v>110</v>
      </c>
      <c r="AS158" s="41">
        <f t="shared" si="4"/>
        <v>191</v>
      </c>
      <c r="AT158" s="46">
        <f t="shared" si="5"/>
        <v>11.2408377</v>
      </c>
      <c r="AU158" s="37"/>
      <c r="AV158" s="37"/>
      <c r="AW158" s="37"/>
    </row>
    <row r="159" ht="15.75" customHeight="1">
      <c r="A159" s="39" t="s">
        <v>28</v>
      </c>
      <c r="B159" s="40">
        <f t="shared" si="6"/>
        <v>44719</v>
      </c>
      <c r="C159" s="41">
        <v>6.0</v>
      </c>
      <c r="D159" s="41" t="s">
        <v>34</v>
      </c>
      <c r="E159" s="43" t="s">
        <v>39</v>
      </c>
      <c r="F159" s="28">
        <v>0.0</v>
      </c>
      <c r="H159" s="32">
        <v>0.0</v>
      </c>
      <c r="J159" s="32">
        <v>0.0</v>
      </c>
      <c r="L159" s="32">
        <v>0.0</v>
      </c>
      <c r="N159" s="32">
        <v>0.0</v>
      </c>
      <c r="P159" s="32">
        <v>0.0</v>
      </c>
      <c r="Q159" s="29"/>
      <c r="R159" s="28">
        <v>83.0</v>
      </c>
      <c r="T159" s="32">
        <v>69.0</v>
      </c>
      <c r="V159" s="32">
        <v>0.0</v>
      </c>
      <c r="X159" s="32">
        <v>0.0</v>
      </c>
      <c r="Z159" s="32">
        <v>0.0</v>
      </c>
      <c r="AB159" s="32">
        <v>0.0</v>
      </c>
      <c r="AC159" s="29"/>
      <c r="AD159" s="26"/>
      <c r="AF159" s="27"/>
      <c r="AH159" s="27"/>
      <c r="AJ159" s="27"/>
      <c r="AL159" s="27"/>
      <c r="AN159" s="27"/>
      <c r="AO159" s="29"/>
      <c r="AP159" s="45">
        <f t="shared" si="1"/>
        <v>2584</v>
      </c>
      <c r="AQ159" s="41">
        <f t="shared" si="2"/>
        <v>152</v>
      </c>
      <c r="AR159" s="41">
        <f t="shared" si="3"/>
        <v>0</v>
      </c>
      <c r="AS159" s="41">
        <f t="shared" si="4"/>
        <v>152</v>
      </c>
      <c r="AT159" s="46">
        <f t="shared" si="5"/>
        <v>17</v>
      </c>
      <c r="AU159" s="37"/>
      <c r="AV159" s="37"/>
      <c r="AW159" s="37"/>
    </row>
    <row r="160" ht="15.75" customHeight="1">
      <c r="A160" s="39" t="s">
        <v>29</v>
      </c>
      <c r="B160" s="40">
        <f t="shared" si="6"/>
        <v>44720</v>
      </c>
      <c r="C160" s="41">
        <v>6.0</v>
      </c>
      <c r="D160" s="41" t="s">
        <v>34</v>
      </c>
      <c r="E160" s="43" t="s">
        <v>39</v>
      </c>
      <c r="F160" s="28">
        <v>0.0</v>
      </c>
      <c r="H160" s="32">
        <v>0.0</v>
      </c>
      <c r="J160" s="32">
        <v>0.0</v>
      </c>
      <c r="L160" s="32">
        <v>0.0</v>
      </c>
      <c r="N160" s="32">
        <v>0.0</v>
      </c>
      <c r="P160" s="32">
        <v>0.0</v>
      </c>
      <c r="Q160" s="29"/>
      <c r="R160" s="28">
        <v>0.0</v>
      </c>
      <c r="T160" s="32">
        <v>77.0</v>
      </c>
      <c r="V160" s="32">
        <v>0.0</v>
      </c>
      <c r="X160" s="32">
        <v>0.0</v>
      </c>
      <c r="Z160" s="32">
        <v>68.0</v>
      </c>
      <c r="AB160" s="32">
        <v>0.0</v>
      </c>
      <c r="AC160" s="29"/>
      <c r="AD160" s="26"/>
      <c r="AF160" s="27"/>
      <c r="AH160" s="27"/>
      <c r="AJ160" s="27"/>
      <c r="AL160" s="27"/>
      <c r="AN160" s="27"/>
      <c r="AO160" s="29"/>
      <c r="AP160" s="45">
        <f t="shared" si="1"/>
        <v>2193</v>
      </c>
      <c r="AQ160" s="41">
        <f t="shared" si="2"/>
        <v>145</v>
      </c>
      <c r="AR160" s="41">
        <f t="shared" si="3"/>
        <v>0</v>
      </c>
      <c r="AS160" s="41">
        <f t="shared" si="4"/>
        <v>145</v>
      </c>
      <c r="AT160" s="46">
        <f t="shared" si="5"/>
        <v>15.12413793</v>
      </c>
      <c r="AU160" s="37"/>
      <c r="AV160" s="37"/>
      <c r="AW160" s="37"/>
    </row>
    <row r="161" ht="15.75" customHeight="1">
      <c r="A161" s="39" t="s">
        <v>30</v>
      </c>
      <c r="B161" s="40">
        <f t="shared" si="6"/>
        <v>44721</v>
      </c>
      <c r="C161" s="41">
        <v>6.0</v>
      </c>
      <c r="D161" s="41" t="s">
        <v>34</v>
      </c>
      <c r="E161" s="43" t="s">
        <v>39</v>
      </c>
      <c r="F161" s="28">
        <v>0.0</v>
      </c>
      <c r="H161" s="32">
        <v>0.0</v>
      </c>
      <c r="J161" s="32">
        <v>0.0</v>
      </c>
      <c r="L161" s="32">
        <v>0.0</v>
      </c>
      <c r="N161" s="32">
        <v>0.0</v>
      </c>
      <c r="P161" s="32">
        <v>0.0</v>
      </c>
      <c r="Q161" s="29"/>
      <c r="R161" s="28">
        <v>0.0</v>
      </c>
      <c r="T161" s="32">
        <v>68.0</v>
      </c>
      <c r="V161" s="32">
        <v>56.0</v>
      </c>
      <c r="X161" s="32">
        <v>0.0</v>
      </c>
      <c r="Z161" s="32">
        <v>69.0</v>
      </c>
      <c r="AB161" s="32">
        <v>0.0</v>
      </c>
      <c r="AC161" s="29"/>
      <c r="AD161" s="26"/>
      <c r="AF161" s="27"/>
      <c r="AH161" s="27"/>
      <c r="AJ161" s="27"/>
      <c r="AL161" s="27"/>
      <c r="AN161" s="27"/>
      <c r="AO161" s="29"/>
      <c r="AP161" s="45">
        <f t="shared" si="1"/>
        <v>3005</v>
      </c>
      <c r="AQ161" s="41">
        <f t="shared" si="2"/>
        <v>193</v>
      </c>
      <c r="AR161" s="41">
        <f t="shared" si="3"/>
        <v>0</v>
      </c>
      <c r="AS161" s="41">
        <f t="shared" si="4"/>
        <v>193</v>
      </c>
      <c r="AT161" s="46">
        <f t="shared" si="5"/>
        <v>15.56994819</v>
      </c>
      <c r="AU161" s="37"/>
      <c r="AV161" s="37"/>
      <c r="AW161" s="37"/>
    </row>
    <row r="162" ht="15.75" customHeight="1">
      <c r="A162" s="39" t="s">
        <v>31</v>
      </c>
      <c r="B162" s="40">
        <f t="shared" si="6"/>
        <v>44722</v>
      </c>
      <c r="C162" s="41">
        <v>6.0</v>
      </c>
      <c r="D162" s="41" t="s">
        <v>34</v>
      </c>
      <c r="E162" s="43" t="s">
        <v>39</v>
      </c>
      <c r="F162" s="28">
        <v>0.0</v>
      </c>
      <c r="H162" s="32">
        <v>0.0</v>
      </c>
      <c r="J162" s="32">
        <v>0.0</v>
      </c>
      <c r="L162" s="32">
        <v>0.0</v>
      </c>
      <c r="N162" s="32">
        <v>0.0</v>
      </c>
      <c r="P162" s="32">
        <v>0.0</v>
      </c>
      <c r="Q162" s="29"/>
      <c r="R162" s="28">
        <v>80.0</v>
      </c>
      <c r="T162" s="32">
        <v>91.0</v>
      </c>
      <c r="V162" s="32">
        <v>0.0</v>
      </c>
      <c r="X162" s="32">
        <v>0.0</v>
      </c>
      <c r="Z162" s="32">
        <v>0.0</v>
      </c>
      <c r="AB162" s="32">
        <v>0.0</v>
      </c>
      <c r="AC162" s="29"/>
      <c r="AD162" s="26"/>
      <c r="AF162" s="27"/>
      <c r="AH162" s="27"/>
      <c r="AJ162" s="27"/>
      <c r="AL162" s="27"/>
      <c r="AN162" s="27"/>
      <c r="AO162" s="29"/>
      <c r="AP162" s="45">
        <f t="shared" si="1"/>
        <v>2907</v>
      </c>
      <c r="AQ162" s="41">
        <f t="shared" si="2"/>
        <v>171</v>
      </c>
      <c r="AR162" s="41">
        <f t="shared" si="3"/>
        <v>0</v>
      </c>
      <c r="AS162" s="41">
        <f t="shared" si="4"/>
        <v>171</v>
      </c>
      <c r="AT162" s="46">
        <f t="shared" si="5"/>
        <v>17</v>
      </c>
      <c r="AU162" s="37"/>
      <c r="AV162" s="37"/>
      <c r="AW162" s="37"/>
    </row>
    <row r="163" ht="15.75" customHeight="1">
      <c r="A163" s="49" t="s">
        <v>32</v>
      </c>
      <c r="B163" s="50">
        <f t="shared" si="6"/>
        <v>44723</v>
      </c>
      <c r="C163" s="51">
        <v>6.0</v>
      </c>
      <c r="D163" s="51" t="s">
        <v>34</v>
      </c>
      <c r="E163" s="53" t="s">
        <v>39</v>
      </c>
      <c r="F163" s="57">
        <v>0.0</v>
      </c>
      <c r="G163" s="55"/>
      <c r="H163" s="59">
        <v>0.0</v>
      </c>
      <c r="I163" s="55"/>
      <c r="J163" s="59">
        <v>0.0</v>
      </c>
      <c r="K163" s="55"/>
      <c r="L163" s="59">
        <v>0.0</v>
      </c>
      <c r="M163" s="55"/>
      <c r="N163" s="59">
        <v>0.0</v>
      </c>
      <c r="O163" s="55"/>
      <c r="P163" s="59">
        <v>0.0</v>
      </c>
      <c r="Q163" s="58"/>
      <c r="R163" s="57">
        <v>0.0</v>
      </c>
      <c r="S163" s="55"/>
      <c r="T163" s="59">
        <v>0.0</v>
      </c>
      <c r="U163" s="55"/>
      <c r="V163" s="59">
        <v>0.0</v>
      </c>
      <c r="W163" s="55"/>
      <c r="X163" s="59">
        <v>0.0</v>
      </c>
      <c r="Y163" s="55"/>
      <c r="Z163" s="59">
        <v>0.0</v>
      </c>
      <c r="AA163" s="55"/>
      <c r="AB163" s="59">
        <v>0.0</v>
      </c>
      <c r="AC163" s="58"/>
      <c r="AD163" s="54"/>
      <c r="AE163" s="55"/>
      <c r="AF163" s="56"/>
      <c r="AG163" s="55"/>
      <c r="AH163" s="56"/>
      <c r="AI163" s="55"/>
      <c r="AJ163" s="56"/>
      <c r="AK163" s="55"/>
      <c r="AL163" s="56"/>
      <c r="AM163" s="55"/>
      <c r="AN163" s="56"/>
      <c r="AO163" s="58"/>
      <c r="AP163" s="60">
        <f t="shared" si="1"/>
        <v>0</v>
      </c>
      <c r="AQ163" s="51">
        <f t="shared" si="2"/>
        <v>0</v>
      </c>
      <c r="AR163" s="51">
        <f t="shared" si="3"/>
        <v>0</v>
      </c>
      <c r="AS163" s="51">
        <f t="shared" si="4"/>
        <v>0</v>
      </c>
      <c r="AT163" s="61" t="str">
        <f t="shared" si="5"/>
        <v/>
      </c>
      <c r="AU163" s="37"/>
      <c r="AV163" s="37"/>
      <c r="AW163" s="37"/>
    </row>
    <row r="164" ht="15.75" customHeight="1">
      <c r="A164" s="21" t="s">
        <v>24</v>
      </c>
      <c r="B164" s="62">
        <f t="shared" si="6"/>
        <v>44724</v>
      </c>
      <c r="C164" s="23">
        <v>6.0</v>
      </c>
      <c r="D164" s="23" t="s">
        <v>35</v>
      </c>
      <c r="E164" s="63" t="s">
        <v>39</v>
      </c>
      <c r="F164" s="28">
        <v>0.0</v>
      </c>
      <c r="H164" s="32">
        <v>0.0</v>
      </c>
      <c r="J164" s="32">
        <v>0.0</v>
      </c>
      <c r="L164" s="32">
        <v>0.0</v>
      </c>
      <c r="N164" s="32">
        <v>0.0</v>
      </c>
      <c r="P164" s="32">
        <v>0.0</v>
      </c>
      <c r="Q164" s="29"/>
      <c r="R164" s="28">
        <v>0.0</v>
      </c>
      <c r="T164" s="32">
        <v>81.0</v>
      </c>
      <c r="V164" s="32">
        <v>57.0</v>
      </c>
      <c r="X164" s="32">
        <v>0.0</v>
      </c>
      <c r="Z164" s="32">
        <v>110.0</v>
      </c>
      <c r="AB164" s="32">
        <v>0.0</v>
      </c>
      <c r="AC164" s="29"/>
      <c r="AD164" s="26"/>
      <c r="AF164" s="27"/>
      <c r="AH164" s="27"/>
      <c r="AJ164" s="27"/>
      <c r="AL164" s="27"/>
      <c r="AN164" s="27"/>
      <c r="AO164" s="29"/>
      <c r="AP164" s="35">
        <f t="shared" si="1"/>
        <v>3776</v>
      </c>
      <c r="AQ164" s="23">
        <f t="shared" si="2"/>
        <v>248</v>
      </c>
      <c r="AR164" s="23">
        <f t="shared" si="3"/>
        <v>0</v>
      </c>
      <c r="AS164" s="23">
        <f t="shared" si="4"/>
        <v>248</v>
      </c>
      <c r="AT164" s="36">
        <f t="shared" si="5"/>
        <v>15.22580645</v>
      </c>
      <c r="AU164" s="37"/>
      <c r="AV164" s="37"/>
      <c r="AW164" s="37"/>
    </row>
    <row r="165" ht="15.75" customHeight="1">
      <c r="A165" s="39" t="s">
        <v>27</v>
      </c>
      <c r="B165" s="40">
        <f t="shared" si="6"/>
        <v>44725</v>
      </c>
      <c r="C165" s="41">
        <v>6.0</v>
      </c>
      <c r="D165" s="41" t="s">
        <v>35</v>
      </c>
      <c r="E165" s="43" t="s">
        <v>39</v>
      </c>
      <c r="F165" s="28">
        <v>0.0</v>
      </c>
      <c r="H165" s="32">
        <v>0.0</v>
      </c>
      <c r="J165" s="32">
        <v>0.0</v>
      </c>
      <c r="L165" s="32">
        <v>0.0</v>
      </c>
      <c r="N165" s="32">
        <v>0.0</v>
      </c>
      <c r="P165" s="32">
        <v>0.0</v>
      </c>
      <c r="Q165" s="29"/>
      <c r="R165" s="28">
        <v>0.0</v>
      </c>
      <c r="T165" s="32">
        <v>78.0</v>
      </c>
      <c r="V165" s="32">
        <v>47.0</v>
      </c>
      <c r="X165" s="32">
        <v>0.0</v>
      </c>
      <c r="Z165" s="32">
        <v>110.0</v>
      </c>
      <c r="AB165" s="32">
        <v>0.0</v>
      </c>
      <c r="AC165" s="29"/>
      <c r="AD165" s="26"/>
      <c r="AF165" s="27"/>
      <c r="AH165" s="27"/>
      <c r="AJ165" s="27"/>
      <c r="AL165" s="27"/>
      <c r="AN165" s="27"/>
      <c r="AO165" s="29"/>
      <c r="AP165" s="45">
        <f t="shared" si="1"/>
        <v>3555</v>
      </c>
      <c r="AQ165" s="41">
        <f t="shared" si="2"/>
        <v>235</v>
      </c>
      <c r="AR165" s="41">
        <f t="shared" si="3"/>
        <v>0</v>
      </c>
      <c r="AS165" s="41">
        <f t="shared" si="4"/>
        <v>235</v>
      </c>
      <c r="AT165" s="46">
        <f t="shared" si="5"/>
        <v>15.12765957</v>
      </c>
      <c r="AU165" s="37"/>
      <c r="AV165" s="37"/>
      <c r="AW165" s="37"/>
    </row>
    <row r="166" ht="15.75" customHeight="1">
      <c r="A166" s="39" t="s">
        <v>28</v>
      </c>
      <c r="B166" s="40">
        <f t="shared" si="6"/>
        <v>44726</v>
      </c>
      <c r="C166" s="41">
        <v>6.0</v>
      </c>
      <c r="D166" s="41" t="s">
        <v>35</v>
      </c>
      <c r="E166" s="43" t="s">
        <v>39</v>
      </c>
      <c r="F166" s="28">
        <v>0.0</v>
      </c>
      <c r="H166" s="32">
        <v>0.0</v>
      </c>
      <c r="J166" s="32">
        <v>0.0</v>
      </c>
      <c r="L166" s="32">
        <v>0.0</v>
      </c>
      <c r="N166" s="32">
        <v>0.0</v>
      </c>
      <c r="P166" s="32">
        <v>0.0</v>
      </c>
      <c r="Q166" s="29"/>
      <c r="R166" s="28">
        <v>69.0</v>
      </c>
      <c r="T166" s="32">
        <v>76.0</v>
      </c>
      <c r="V166" s="32">
        <v>0.0</v>
      </c>
      <c r="X166" s="32">
        <v>0.0</v>
      </c>
      <c r="Z166" s="32">
        <v>0.0</v>
      </c>
      <c r="AB166" s="32">
        <v>0.0</v>
      </c>
      <c r="AC166" s="29"/>
      <c r="AD166" s="26"/>
      <c r="AF166" s="27"/>
      <c r="AH166" s="27"/>
      <c r="AJ166" s="27"/>
      <c r="AL166" s="27"/>
      <c r="AN166" s="27"/>
      <c r="AO166" s="29"/>
      <c r="AP166" s="45">
        <f t="shared" si="1"/>
        <v>2465</v>
      </c>
      <c r="AQ166" s="41">
        <f t="shared" si="2"/>
        <v>145</v>
      </c>
      <c r="AR166" s="41">
        <f t="shared" si="3"/>
        <v>0</v>
      </c>
      <c r="AS166" s="41">
        <f t="shared" si="4"/>
        <v>145</v>
      </c>
      <c r="AT166" s="46">
        <f t="shared" si="5"/>
        <v>17</v>
      </c>
      <c r="AU166" s="37"/>
      <c r="AV166" s="37"/>
      <c r="AW166" s="37"/>
    </row>
    <row r="167" ht="15.75" customHeight="1">
      <c r="A167" s="39" t="s">
        <v>29</v>
      </c>
      <c r="B167" s="40">
        <f t="shared" si="6"/>
        <v>44727</v>
      </c>
      <c r="C167" s="41">
        <v>6.0</v>
      </c>
      <c r="D167" s="41" t="s">
        <v>35</v>
      </c>
      <c r="E167" s="43" t="s">
        <v>39</v>
      </c>
      <c r="F167" s="28">
        <v>0.0</v>
      </c>
      <c r="H167" s="32">
        <v>0.0</v>
      </c>
      <c r="J167" s="32">
        <v>0.0</v>
      </c>
      <c r="L167" s="32">
        <v>0.0</v>
      </c>
      <c r="N167" s="32">
        <v>0.0</v>
      </c>
      <c r="P167" s="32">
        <v>0.0</v>
      </c>
      <c r="Q167" s="29"/>
      <c r="R167" s="28">
        <v>0.0</v>
      </c>
      <c r="T167" s="32">
        <v>85.0</v>
      </c>
      <c r="V167" s="32">
        <v>36.0</v>
      </c>
      <c r="X167" s="32">
        <v>0.0</v>
      </c>
      <c r="Z167" s="32">
        <v>80.0</v>
      </c>
      <c r="AB167" s="32">
        <v>0.0</v>
      </c>
      <c r="AC167" s="29"/>
      <c r="AD167" s="26"/>
      <c r="AF167" s="27"/>
      <c r="AH167" s="27"/>
      <c r="AJ167" s="27"/>
      <c r="AL167" s="27"/>
      <c r="AN167" s="27"/>
      <c r="AO167" s="29"/>
      <c r="AP167" s="45">
        <f t="shared" si="1"/>
        <v>3097</v>
      </c>
      <c r="AQ167" s="41">
        <f t="shared" si="2"/>
        <v>201</v>
      </c>
      <c r="AR167" s="41">
        <f t="shared" si="3"/>
        <v>0</v>
      </c>
      <c r="AS167" s="41">
        <f t="shared" si="4"/>
        <v>201</v>
      </c>
      <c r="AT167" s="46">
        <f t="shared" si="5"/>
        <v>15.4079602</v>
      </c>
      <c r="AU167" s="37"/>
      <c r="AV167" s="37"/>
      <c r="AW167" s="37"/>
    </row>
    <row r="168" ht="15.75" customHeight="1">
      <c r="A168" s="39" t="s">
        <v>30</v>
      </c>
      <c r="B168" s="40">
        <f t="shared" si="6"/>
        <v>44728</v>
      </c>
      <c r="C168" s="41">
        <v>6.0</v>
      </c>
      <c r="D168" s="41" t="s">
        <v>35</v>
      </c>
      <c r="E168" s="43" t="s">
        <v>39</v>
      </c>
      <c r="F168" s="28">
        <v>0.0</v>
      </c>
      <c r="H168" s="32">
        <v>0.0</v>
      </c>
      <c r="J168" s="32">
        <v>0.0</v>
      </c>
      <c r="L168" s="32">
        <v>0.0</v>
      </c>
      <c r="N168" s="32">
        <v>0.0</v>
      </c>
      <c r="P168" s="32">
        <v>0.0</v>
      </c>
      <c r="Q168" s="29"/>
      <c r="R168" s="28">
        <v>0.0</v>
      </c>
      <c r="T168" s="32">
        <v>75.0</v>
      </c>
      <c r="V168" s="32">
        <v>56.0</v>
      </c>
      <c r="X168" s="32">
        <v>0.0</v>
      </c>
      <c r="Z168" s="32">
        <v>75.0</v>
      </c>
      <c r="AB168" s="32">
        <v>0.0</v>
      </c>
      <c r="AC168" s="29"/>
      <c r="AD168" s="26"/>
      <c r="AF168" s="27"/>
      <c r="AH168" s="27"/>
      <c r="AJ168" s="27"/>
      <c r="AL168" s="27"/>
      <c r="AN168" s="27"/>
      <c r="AO168" s="29"/>
      <c r="AP168" s="45">
        <f t="shared" si="1"/>
        <v>3202</v>
      </c>
      <c r="AQ168" s="41">
        <f t="shared" si="2"/>
        <v>206</v>
      </c>
      <c r="AR168" s="41">
        <f t="shared" si="3"/>
        <v>0</v>
      </c>
      <c r="AS168" s="41">
        <f t="shared" si="4"/>
        <v>206</v>
      </c>
      <c r="AT168" s="46">
        <f t="shared" si="5"/>
        <v>15.54368932</v>
      </c>
      <c r="AU168" s="37"/>
      <c r="AV168" s="37"/>
      <c r="AW168" s="37"/>
    </row>
    <row r="169" ht="15.75" customHeight="1">
      <c r="A169" s="39" t="s">
        <v>31</v>
      </c>
      <c r="B169" s="40">
        <f t="shared" si="6"/>
        <v>44729</v>
      </c>
      <c r="C169" s="41">
        <v>6.0</v>
      </c>
      <c r="D169" s="41" t="s">
        <v>35</v>
      </c>
      <c r="E169" s="43" t="s">
        <v>39</v>
      </c>
      <c r="F169" s="28">
        <v>0.0</v>
      </c>
      <c r="H169" s="32">
        <v>0.0</v>
      </c>
      <c r="J169" s="32">
        <v>0.0</v>
      </c>
      <c r="L169" s="32">
        <v>0.0</v>
      </c>
      <c r="N169" s="32">
        <v>0.0</v>
      </c>
      <c r="P169" s="32">
        <v>0.0</v>
      </c>
      <c r="Q169" s="29"/>
      <c r="R169" s="28">
        <v>71.0</v>
      </c>
      <c r="T169" s="32">
        <v>81.0</v>
      </c>
      <c r="V169" s="32">
        <v>0.0</v>
      </c>
      <c r="X169" s="32">
        <v>0.0</v>
      </c>
      <c r="Z169" s="32">
        <v>0.0</v>
      </c>
      <c r="AB169" s="32">
        <v>0.0</v>
      </c>
      <c r="AC169" s="29"/>
      <c r="AD169" s="26"/>
      <c r="AF169" s="27"/>
      <c r="AH169" s="27"/>
      <c r="AJ169" s="27"/>
      <c r="AL169" s="27"/>
      <c r="AN169" s="27"/>
      <c r="AO169" s="29"/>
      <c r="AP169" s="45">
        <f t="shared" si="1"/>
        <v>2584</v>
      </c>
      <c r="AQ169" s="41">
        <f t="shared" si="2"/>
        <v>152</v>
      </c>
      <c r="AR169" s="41">
        <f t="shared" si="3"/>
        <v>0</v>
      </c>
      <c r="AS169" s="41">
        <f t="shared" si="4"/>
        <v>152</v>
      </c>
      <c r="AT169" s="46">
        <f t="shared" si="5"/>
        <v>17</v>
      </c>
      <c r="AU169" s="37"/>
      <c r="AV169" s="37"/>
      <c r="AW169" s="37"/>
    </row>
    <row r="170" ht="15.75" customHeight="1">
      <c r="A170" s="49" t="s">
        <v>32</v>
      </c>
      <c r="B170" s="50">
        <f t="shared" si="6"/>
        <v>44730</v>
      </c>
      <c r="C170" s="51">
        <v>6.0</v>
      </c>
      <c r="D170" s="51" t="s">
        <v>35</v>
      </c>
      <c r="E170" s="53" t="s">
        <v>39</v>
      </c>
      <c r="F170" s="57">
        <v>0.0</v>
      </c>
      <c r="G170" s="55"/>
      <c r="H170" s="59">
        <v>0.0</v>
      </c>
      <c r="I170" s="55"/>
      <c r="J170" s="59">
        <v>0.0</v>
      </c>
      <c r="K170" s="55"/>
      <c r="L170" s="59">
        <v>0.0</v>
      </c>
      <c r="M170" s="55"/>
      <c r="N170" s="59">
        <v>0.0</v>
      </c>
      <c r="O170" s="55"/>
      <c r="P170" s="59">
        <v>0.0</v>
      </c>
      <c r="Q170" s="58"/>
      <c r="R170" s="57">
        <v>0.0</v>
      </c>
      <c r="S170" s="55"/>
      <c r="T170" s="59">
        <v>0.0</v>
      </c>
      <c r="U170" s="55"/>
      <c r="V170" s="59">
        <v>0.0</v>
      </c>
      <c r="W170" s="55"/>
      <c r="X170" s="59">
        <v>0.0</v>
      </c>
      <c r="Y170" s="55"/>
      <c r="Z170" s="59">
        <v>0.0</v>
      </c>
      <c r="AA170" s="55"/>
      <c r="AB170" s="59">
        <v>0.0</v>
      </c>
      <c r="AC170" s="58"/>
      <c r="AD170" s="54"/>
      <c r="AE170" s="55"/>
      <c r="AF170" s="56"/>
      <c r="AG170" s="55"/>
      <c r="AH170" s="56"/>
      <c r="AI170" s="55"/>
      <c r="AJ170" s="56"/>
      <c r="AK170" s="55"/>
      <c r="AL170" s="56"/>
      <c r="AM170" s="55"/>
      <c r="AN170" s="56"/>
      <c r="AO170" s="58"/>
      <c r="AP170" s="60">
        <f t="shared" si="1"/>
        <v>0</v>
      </c>
      <c r="AQ170" s="51">
        <f t="shared" si="2"/>
        <v>0</v>
      </c>
      <c r="AR170" s="51">
        <f t="shared" si="3"/>
        <v>0</v>
      </c>
      <c r="AS170" s="51">
        <f t="shared" si="4"/>
        <v>0</v>
      </c>
      <c r="AT170" s="61" t="str">
        <f t="shared" si="5"/>
        <v/>
      </c>
      <c r="AU170" s="37"/>
      <c r="AV170" s="37"/>
      <c r="AW170" s="37"/>
    </row>
    <row r="171" ht="15.75" customHeight="1">
      <c r="A171" s="21" t="s">
        <v>24</v>
      </c>
      <c r="B171" s="62">
        <f t="shared" si="6"/>
        <v>44731</v>
      </c>
      <c r="C171" s="23">
        <v>7.0</v>
      </c>
      <c r="D171" s="23" t="s">
        <v>25</v>
      </c>
      <c r="E171" s="25" t="s">
        <v>40</v>
      </c>
      <c r="F171" s="28">
        <v>0.0</v>
      </c>
      <c r="H171" s="32">
        <v>0.0</v>
      </c>
      <c r="J171" s="32">
        <v>0.0</v>
      </c>
      <c r="L171" s="32">
        <v>0.0</v>
      </c>
      <c r="N171" s="32">
        <v>0.0</v>
      </c>
      <c r="P171" s="32">
        <v>0.0</v>
      </c>
      <c r="Q171" s="29"/>
      <c r="R171" s="28">
        <v>0.0</v>
      </c>
      <c r="T171" s="32">
        <v>103.0</v>
      </c>
      <c r="V171" s="32">
        <v>0.0</v>
      </c>
      <c r="X171" s="32">
        <v>0.0</v>
      </c>
      <c r="Z171" s="32">
        <v>80.0</v>
      </c>
      <c r="AB171" s="32">
        <v>0.0</v>
      </c>
      <c r="AC171" s="29"/>
      <c r="AD171" s="26"/>
      <c r="AF171" s="27"/>
      <c r="AH171" s="27"/>
      <c r="AJ171" s="27"/>
      <c r="AL171" s="27"/>
      <c r="AN171" s="27"/>
      <c r="AO171" s="29"/>
      <c r="AP171" s="35">
        <f t="shared" si="1"/>
        <v>2791</v>
      </c>
      <c r="AQ171" s="23">
        <f t="shared" si="2"/>
        <v>183</v>
      </c>
      <c r="AR171" s="23">
        <f t="shared" si="3"/>
        <v>0</v>
      </c>
      <c r="AS171" s="23">
        <f t="shared" si="4"/>
        <v>183</v>
      </c>
      <c r="AT171" s="36">
        <f t="shared" si="5"/>
        <v>15.25136612</v>
      </c>
      <c r="AU171" s="37"/>
      <c r="AV171" s="37"/>
      <c r="AW171" s="37"/>
    </row>
    <row r="172" ht="15.75" customHeight="1">
      <c r="A172" s="39" t="s">
        <v>27</v>
      </c>
      <c r="B172" s="40">
        <f t="shared" si="6"/>
        <v>44732</v>
      </c>
      <c r="C172" s="41">
        <v>7.0</v>
      </c>
      <c r="D172" s="41" t="s">
        <v>25</v>
      </c>
      <c r="E172" s="43" t="s">
        <v>40</v>
      </c>
      <c r="F172" s="28">
        <v>0.0</v>
      </c>
      <c r="H172" s="32">
        <v>0.0</v>
      </c>
      <c r="J172" s="32">
        <v>0.0</v>
      </c>
      <c r="L172" s="32">
        <v>0.0</v>
      </c>
      <c r="N172" s="32">
        <v>0.0</v>
      </c>
      <c r="P172" s="32">
        <v>0.0</v>
      </c>
      <c r="Q172" s="29"/>
      <c r="R172" s="28">
        <v>0.0</v>
      </c>
      <c r="T172" s="32">
        <v>76.0</v>
      </c>
      <c r="V172" s="32">
        <v>0.0</v>
      </c>
      <c r="X172" s="32">
        <v>0.0</v>
      </c>
      <c r="Z172" s="32">
        <v>80.0</v>
      </c>
      <c r="AB172" s="32">
        <v>0.0</v>
      </c>
      <c r="AC172" s="29"/>
      <c r="AD172" s="26"/>
      <c r="AF172" s="27"/>
      <c r="AH172" s="27"/>
      <c r="AJ172" s="27"/>
      <c r="AL172" s="27"/>
      <c r="AN172" s="27"/>
      <c r="AO172" s="29"/>
      <c r="AP172" s="45">
        <f t="shared" si="1"/>
        <v>2332</v>
      </c>
      <c r="AQ172" s="41">
        <f t="shared" si="2"/>
        <v>156</v>
      </c>
      <c r="AR172" s="41">
        <f t="shared" si="3"/>
        <v>0</v>
      </c>
      <c r="AS172" s="41">
        <f t="shared" si="4"/>
        <v>156</v>
      </c>
      <c r="AT172" s="46">
        <f t="shared" si="5"/>
        <v>14.94871795</v>
      </c>
      <c r="AU172" s="37"/>
      <c r="AV172" s="37"/>
      <c r="AW172" s="37"/>
    </row>
    <row r="173" ht="15.75" customHeight="1">
      <c r="A173" s="39" t="s">
        <v>28</v>
      </c>
      <c r="B173" s="40">
        <f t="shared" si="6"/>
        <v>44733</v>
      </c>
      <c r="C173" s="41">
        <v>7.0</v>
      </c>
      <c r="D173" s="41" t="s">
        <v>25</v>
      </c>
      <c r="E173" s="43" t="s">
        <v>40</v>
      </c>
      <c r="F173" s="28">
        <v>0.0</v>
      </c>
      <c r="H173" s="32">
        <v>0.0</v>
      </c>
      <c r="J173" s="32">
        <v>0.0</v>
      </c>
      <c r="L173" s="32">
        <v>0.0</v>
      </c>
      <c r="N173" s="32">
        <v>0.0</v>
      </c>
      <c r="P173" s="32">
        <v>0.0</v>
      </c>
      <c r="Q173" s="29"/>
      <c r="R173" s="28">
        <v>75.0</v>
      </c>
      <c r="T173" s="32">
        <v>74.0</v>
      </c>
      <c r="V173" s="32">
        <v>0.0</v>
      </c>
      <c r="X173" s="32">
        <v>0.0</v>
      </c>
      <c r="Z173" s="32">
        <v>0.0</v>
      </c>
      <c r="AB173" s="32">
        <v>25.0</v>
      </c>
      <c r="AC173" s="29"/>
      <c r="AD173" s="26"/>
      <c r="AF173" s="27"/>
      <c r="AH173" s="27"/>
      <c r="AJ173" s="27"/>
      <c r="AL173" s="27"/>
      <c r="AN173" s="27"/>
      <c r="AO173" s="29"/>
      <c r="AP173" s="45">
        <f t="shared" si="1"/>
        <v>2708</v>
      </c>
      <c r="AQ173" s="41">
        <f t="shared" si="2"/>
        <v>149</v>
      </c>
      <c r="AR173" s="41">
        <f t="shared" si="3"/>
        <v>25</v>
      </c>
      <c r="AS173" s="41">
        <f t="shared" si="4"/>
        <v>174</v>
      </c>
      <c r="AT173" s="46">
        <f t="shared" si="5"/>
        <v>15.56321839</v>
      </c>
      <c r="AU173" s="37"/>
      <c r="AV173" s="37"/>
      <c r="AW173" s="37"/>
    </row>
    <row r="174" ht="15.75" customHeight="1">
      <c r="A174" s="39" t="s">
        <v>29</v>
      </c>
      <c r="B174" s="40">
        <f t="shared" si="6"/>
        <v>44734</v>
      </c>
      <c r="C174" s="41">
        <v>7.0</v>
      </c>
      <c r="D174" s="41" t="s">
        <v>25</v>
      </c>
      <c r="E174" s="43" t="s">
        <v>40</v>
      </c>
      <c r="F174" s="28">
        <v>0.0</v>
      </c>
      <c r="H174" s="32">
        <v>0.0</v>
      </c>
      <c r="J174" s="32">
        <v>0.0</v>
      </c>
      <c r="L174" s="32">
        <v>0.0</v>
      </c>
      <c r="N174" s="32">
        <v>0.0</v>
      </c>
      <c r="P174" s="32">
        <v>0.0</v>
      </c>
      <c r="Q174" s="29"/>
      <c r="R174" s="28">
        <v>0.0</v>
      </c>
      <c r="T174" s="32">
        <v>76.0</v>
      </c>
      <c r="V174" s="32">
        <v>48.0</v>
      </c>
      <c r="X174" s="32">
        <v>0.0</v>
      </c>
      <c r="Z174" s="32">
        <v>80.0</v>
      </c>
      <c r="AB174" s="32">
        <v>0.0</v>
      </c>
      <c r="AC174" s="29"/>
      <c r="AD174" s="26"/>
      <c r="AF174" s="27"/>
      <c r="AH174" s="27"/>
      <c r="AJ174" s="27"/>
      <c r="AL174" s="27"/>
      <c r="AN174" s="27"/>
      <c r="AO174" s="29"/>
      <c r="AP174" s="45">
        <f t="shared" si="1"/>
        <v>3148</v>
      </c>
      <c r="AQ174" s="41">
        <f t="shared" si="2"/>
        <v>204</v>
      </c>
      <c r="AR174" s="41">
        <f t="shared" si="3"/>
        <v>0</v>
      </c>
      <c r="AS174" s="41">
        <f t="shared" si="4"/>
        <v>204</v>
      </c>
      <c r="AT174" s="46">
        <f t="shared" si="5"/>
        <v>15.43137255</v>
      </c>
      <c r="AU174" s="37"/>
      <c r="AV174" s="37"/>
      <c r="AW174" s="37"/>
    </row>
    <row r="175" ht="15.75" customHeight="1">
      <c r="A175" s="39" t="s">
        <v>30</v>
      </c>
      <c r="B175" s="40">
        <f t="shared" si="6"/>
        <v>44735</v>
      </c>
      <c r="C175" s="41">
        <v>7.0</v>
      </c>
      <c r="D175" s="41" t="s">
        <v>25</v>
      </c>
      <c r="E175" s="43" t="s">
        <v>40</v>
      </c>
      <c r="F175" s="28">
        <v>0.0</v>
      </c>
      <c r="H175" s="32">
        <v>0.0</v>
      </c>
      <c r="J175" s="32">
        <v>0.0</v>
      </c>
      <c r="L175" s="32">
        <v>0.0</v>
      </c>
      <c r="N175" s="32">
        <v>0.0</v>
      </c>
      <c r="P175" s="32">
        <v>0.0</v>
      </c>
      <c r="Q175" s="29"/>
      <c r="R175" s="28">
        <v>0.0</v>
      </c>
      <c r="T175" s="32">
        <v>76.0</v>
      </c>
      <c r="V175" s="32">
        <v>56.0</v>
      </c>
      <c r="X175" s="32">
        <v>0.0</v>
      </c>
      <c r="Z175" s="32">
        <v>75.0</v>
      </c>
      <c r="AB175" s="32">
        <v>0.0</v>
      </c>
      <c r="AC175" s="29"/>
      <c r="AD175" s="26"/>
      <c r="AF175" s="27"/>
      <c r="AH175" s="27"/>
      <c r="AJ175" s="27"/>
      <c r="AL175" s="27"/>
      <c r="AN175" s="27"/>
      <c r="AO175" s="29"/>
      <c r="AP175" s="45">
        <f t="shared" si="1"/>
        <v>3219</v>
      </c>
      <c r="AQ175" s="41">
        <f t="shared" si="2"/>
        <v>207</v>
      </c>
      <c r="AR175" s="41">
        <f t="shared" si="3"/>
        <v>0</v>
      </c>
      <c r="AS175" s="41">
        <f t="shared" si="4"/>
        <v>207</v>
      </c>
      <c r="AT175" s="46">
        <f t="shared" si="5"/>
        <v>15.55072464</v>
      </c>
      <c r="AU175" s="37"/>
      <c r="AV175" s="37"/>
      <c r="AW175" s="37"/>
    </row>
    <row r="176" ht="15.75" customHeight="1">
      <c r="A176" s="39" t="s">
        <v>31</v>
      </c>
      <c r="B176" s="40">
        <f t="shared" si="6"/>
        <v>44736</v>
      </c>
      <c r="C176" s="41">
        <v>7.0</v>
      </c>
      <c r="D176" s="41" t="s">
        <v>25</v>
      </c>
      <c r="E176" s="43" t="s">
        <v>40</v>
      </c>
      <c r="F176" s="28">
        <v>0.0</v>
      </c>
      <c r="H176" s="32">
        <v>0.0</v>
      </c>
      <c r="J176" s="32">
        <v>0.0</v>
      </c>
      <c r="L176" s="32">
        <v>0.0</v>
      </c>
      <c r="N176" s="32">
        <v>0.0</v>
      </c>
      <c r="P176" s="32">
        <v>0.0</v>
      </c>
      <c r="Q176" s="29"/>
      <c r="R176" s="26"/>
      <c r="T176" s="27"/>
      <c r="V176" s="32">
        <v>0.0</v>
      </c>
      <c r="X176" s="32">
        <v>0.0</v>
      </c>
      <c r="Z176" s="32">
        <v>0.0</v>
      </c>
      <c r="AB176" s="27"/>
      <c r="AC176" s="29"/>
      <c r="AD176" s="26"/>
      <c r="AF176" s="27"/>
      <c r="AH176" s="27"/>
      <c r="AJ176" s="27"/>
      <c r="AL176" s="27"/>
      <c r="AN176" s="27"/>
      <c r="AO176" s="29"/>
      <c r="AP176" s="45">
        <f t="shared" si="1"/>
        <v>0</v>
      </c>
      <c r="AQ176" s="41">
        <f t="shared" si="2"/>
        <v>0</v>
      </c>
      <c r="AR176" s="41">
        <f t="shared" si="3"/>
        <v>0</v>
      </c>
      <c r="AS176" s="41">
        <f t="shared" si="4"/>
        <v>0</v>
      </c>
      <c r="AT176" s="46" t="str">
        <f t="shared" si="5"/>
        <v/>
      </c>
      <c r="AU176" s="37"/>
      <c r="AV176" s="37"/>
      <c r="AW176" s="37"/>
    </row>
    <row r="177" ht="15.75" customHeight="1">
      <c r="A177" s="49" t="s">
        <v>32</v>
      </c>
      <c r="B177" s="50">
        <f t="shared" si="6"/>
        <v>44737</v>
      </c>
      <c r="C177" s="51">
        <v>7.0</v>
      </c>
      <c r="D177" s="51" t="s">
        <v>25</v>
      </c>
      <c r="E177" s="53" t="s">
        <v>40</v>
      </c>
      <c r="F177" s="57">
        <v>0.0</v>
      </c>
      <c r="G177" s="55"/>
      <c r="H177" s="59">
        <v>0.0</v>
      </c>
      <c r="I177" s="55"/>
      <c r="J177" s="59">
        <v>0.0</v>
      </c>
      <c r="K177" s="55"/>
      <c r="L177" s="59">
        <v>0.0</v>
      </c>
      <c r="M177" s="55"/>
      <c r="N177" s="59">
        <v>0.0</v>
      </c>
      <c r="O177" s="55"/>
      <c r="P177" s="59">
        <v>0.0</v>
      </c>
      <c r="Q177" s="58"/>
      <c r="R177" s="57">
        <v>0.0</v>
      </c>
      <c r="S177" s="55"/>
      <c r="T177" s="59">
        <v>0.0</v>
      </c>
      <c r="U177" s="55"/>
      <c r="V177" s="59">
        <v>0.0</v>
      </c>
      <c r="W177" s="55"/>
      <c r="X177" s="59">
        <v>0.0</v>
      </c>
      <c r="Y177" s="55"/>
      <c r="Z177" s="59">
        <v>0.0</v>
      </c>
      <c r="AA177" s="55"/>
      <c r="AB177" s="59">
        <v>0.0</v>
      </c>
      <c r="AC177" s="58"/>
      <c r="AD177" s="54"/>
      <c r="AE177" s="55"/>
      <c r="AF177" s="56"/>
      <c r="AG177" s="55"/>
      <c r="AH177" s="56"/>
      <c r="AI177" s="55"/>
      <c r="AJ177" s="56"/>
      <c r="AK177" s="55"/>
      <c r="AL177" s="56"/>
      <c r="AM177" s="55"/>
      <c r="AN177" s="56"/>
      <c r="AO177" s="58"/>
      <c r="AP177" s="60">
        <f t="shared" si="1"/>
        <v>0</v>
      </c>
      <c r="AQ177" s="51">
        <f t="shared" si="2"/>
        <v>0</v>
      </c>
      <c r="AR177" s="51">
        <f t="shared" si="3"/>
        <v>0</v>
      </c>
      <c r="AS177" s="51">
        <f t="shared" si="4"/>
        <v>0</v>
      </c>
      <c r="AT177" s="61" t="str">
        <f t="shared" si="5"/>
        <v/>
      </c>
      <c r="AU177" s="37"/>
      <c r="AV177" s="37"/>
      <c r="AW177" s="37"/>
    </row>
    <row r="178" ht="15.75" customHeight="1">
      <c r="A178" s="21" t="s">
        <v>24</v>
      </c>
      <c r="B178" s="62">
        <f t="shared" si="6"/>
        <v>44738</v>
      </c>
      <c r="C178" s="23">
        <v>7.0</v>
      </c>
      <c r="D178" s="23" t="s">
        <v>33</v>
      </c>
      <c r="E178" s="63" t="s">
        <v>40</v>
      </c>
      <c r="F178" s="28">
        <v>0.0</v>
      </c>
      <c r="H178" s="32">
        <v>0.0</v>
      </c>
      <c r="J178" s="32">
        <v>0.0</v>
      </c>
      <c r="L178" s="32">
        <v>0.0</v>
      </c>
      <c r="N178" s="32">
        <v>0.0</v>
      </c>
      <c r="P178" s="32">
        <v>0.0</v>
      </c>
      <c r="Q178" s="29"/>
      <c r="R178" s="28">
        <v>0.0</v>
      </c>
      <c r="T178" s="32">
        <v>65.0</v>
      </c>
      <c r="V178" s="32">
        <v>49.0</v>
      </c>
      <c r="X178" s="32">
        <v>0.0</v>
      </c>
      <c r="Z178" s="32">
        <v>69.0</v>
      </c>
      <c r="AB178" s="32">
        <v>0.0</v>
      </c>
      <c r="AC178" s="29"/>
      <c r="AD178" s="26"/>
      <c r="AF178" s="27"/>
      <c r="AH178" s="27"/>
      <c r="AJ178" s="27"/>
      <c r="AL178" s="27"/>
      <c r="AN178" s="27"/>
      <c r="AO178" s="29"/>
      <c r="AP178" s="35">
        <f t="shared" si="1"/>
        <v>2835</v>
      </c>
      <c r="AQ178" s="23">
        <f t="shared" si="2"/>
        <v>183</v>
      </c>
      <c r="AR178" s="23">
        <f t="shared" si="3"/>
        <v>0</v>
      </c>
      <c r="AS178" s="23">
        <f t="shared" si="4"/>
        <v>183</v>
      </c>
      <c r="AT178" s="36">
        <f t="shared" si="5"/>
        <v>15.49180328</v>
      </c>
      <c r="AU178" s="37"/>
      <c r="AV178" s="37"/>
      <c r="AW178" s="37"/>
    </row>
    <row r="179" ht="15.75" customHeight="1">
      <c r="A179" s="39" t="s">
        <v>27</v>
      </c>
      <c r="B179" s="40">
        <f t="shared" si="6"/>
        <v>44739</v>
      </c>
      <c r="C179" s="41">
        <v>7.0</v>
      </c>
      <c r="D179" s="41" t="s">
        <v>33</v>
      </c>
      <c r="E179" s="43" t="s">
        <v>40</v>
      </c>
      <c r="F179" s="28">
        <v>0.0</v>
      </c>
      <c r="H179" s="32">
        <v>0.0</v>
      </c>
      <c r="J179" s="32">
        <v>0.0</v>
      </c>
      <c r="L179" s="32">
        <v>0.0</v>
      </c>
      <c r="N179" s="32">
        <v>0.0</v>
      </c>
      <c r="P179" s="32">
        <v>0.0</v>
      </c>
      <c r="Q179" s="29"/>
      <c r="R179" s="28">
        <v>0.0</v>
      </c>
      <c r="T179" s="27"/>
      <c r="V179" s="27"/>
      <c r="X179" s="32">
        <v>0.0</v>
      </c>
      <c r="Z179" s="27"/>
      <c r="AB179" s="32">
        <v>0.0</v>
      </c>
      <c r="AC179" s="29"/>
      <c r="AD179" s="26"/>
      <c r="AF179" s="27"/>
      <c r="AH179" s="27"/>
      <c r="AJ179" s="27"/>
      <c r="AL179" s="27"/>
      <c r="AN179" s="27"/>
      <c r="AO179" s="29"/>
      <c r="AP179" s="45">
        <f t="shared" si="1"/>
        <v>0</v>
      </c>
      <c r="AQ179" s="41">
        <f t="shared" si="2"/>
        <v>0</v>
      </c>
      <c r="AR179" s="41">
        <f t="shared" si="3"/>
        <v>0</v>
      </c>
      <c r="AS179" s="41">
        <f t="shared" si="4"/>
        <v>0</v>
      </c>
      <c r="AT179" s="46" t="str">
        <f t="shared" si="5"/>
        <v/>
      </c>
      <c r="AU179" s="37"/>
      <c r="AV179" s="37"/>
      <c r="AW179" s="37"/>
    </row>
    <row r="180" ht="15.75" customHeight="1">
      <c r="A180" s="39" t="s">
        <v>28</v>
      </c>
      <c r="B180" s="40">
        <f t="shared" si="6"/>
        <v>44740</v>
      </c>
      <c r="C180" s="41">
        <v>7.0</v>
      </c>
      <c r="D180" s="41" t="s">
        <v>33</v>
      </c>
      <c r="E180" s="43" t="s">
        <v>40</v>
      </c>
      <c r="F180" s="28">
        <v>0.0</v>
      </c>
      <c r="H180" s="32">
        <v>0.0</v>
      </c>
      <c r="J180" s="32">
        <v>0.0</v>
      </c>
      <c r="L180" s="32">
        <v>0.0</v>
      </c>
      <c r="N180" s="32">
        <v>0.0</v>
      </c>
      <c r="P180" s="32">
        <v>0.0</v>
      </c>
      <c r="Q180" s="29"/>
      <c r="R180" s="28">
        <v>60.0</v>
      </c>
      <c r="T180" s="32">
        <v>67.0</v>
      </c>
      <c r="V180" s="32">
        <v>0.0</v>
      </c>
      <c r="X180" s="32">
        <v>0.0</v>
      </c>
      <c r="Z180" s="32">
        <v>0.0</v>
      </c>
      <c r="AB180" s="32">
        <v>0.0</v>
      </c>
      <c r="AC180" s="29"/>
      <c r="AD180" s="26"/>
      <c r="AF180" s="27"/>
      <c r="AH180" s="27"/>
      <c r="AJ180" s="27"/>
      <c r="AL180" s="27"/>
      <c r="AN180" s="27"/>
      <c r="AO180" s="29"/>
      <c r="AP180" s="45">
        <f t="shared" si="1"/>
        <v>2159</v>
      </c>
      <c r="AQ180" s="41">
        <f t="shared" si="2"/>
        <v>127</v>
      </c>
      <c r="AR180" s="41">
        <f t="shared" si="3"/>
        <v>0</v>
      </c>
      <c r="AS180" s="41">
        <f t="shared" si="4"/>
        <v>127</v>
      </c>
      <c r="AT180" s="46">
        <f t="shared" si="5"/>
        <v>17</v>
      </c>
      <c r="AU180" s="37"/>
      <c r="AV180" s="37"/>
      <c r="AW180" s="37"/>
    </row>
    <row r="181" ht="15.75" customHeight="1">
      <c r="A181" s="39" t="s">
        <v>29</v>
      </c>
      <c r="B181" s="40">
        <f t="shared" si="6"/>
        <v>44741</v>
      </c>
      <c r="C181" s="41">
        <v>7.0</v>
      </c>
      <c r="D181" s="41" t="s">
        <v>33</v>
      </c>
      <c r="E181" s="43" t="s">
        <v>40</v>
      </c>
      <c r="F181" s="28">
        <v>0.0</v>
      </c>
      <c r="H181" s="32">
        <v>0.0</v>
      </c>
      <c r="J181" s="32">
        <v>0.0</v>
      </c>
      <c r="L181" s="32">
        <v>0.0</v>
      </c>
      <c r="N181" s="32">
        <v>0.0</v>
      </c>
      <c r="P181" s="32">
        <v>0.0</v>
      </c>
      <c r="Q181" s="29"/>
      <c r="R181" s="28">
        <v>0.0</v>
      </c>
      <c r="T181" s="32">
        <v>84.0</v>
      </c>
      <c r="V181" s="32">
        <v>38.0</v>
      </c>
      <c r="X181" s="32">
        <v>0.0</v>
      </c>
      <c r="Z181" s="32">
        <v>68.0</v>
      </c>
      <c r="AB181" s="32">
        <v>0.0</v>
      </c>
      <c r="AC181" s="29"/>
      <c r="AD181" s="26"/>
      <c r="AF181" s="27"/>
      <c r="AH181" s="27"/>
      <c r="AJ181" s="27"/>
      <c r="AL181" s="27"/>
      <c r="AN181" s="27"/>
      <c r="AO181" s="29"/>
      <c r="AP181" s="45">
        <f t="shared" si="1"/>
        <v>2958</v>
      </c>
      <c r="AQ181" s="41">
        <f t="shared" si="2"/>
        <v>190</v>
      </c>
      <c r="AR181" s="41">
        <f t="shared" si="3"/>
        <v>0</v>
      </c>
      <c r="AS181" s="41">
        <f t="shared" si="4"/>
        <v>190</v>
      </c>
      <c r="AT181" s="46">
        <f t="shared" si="5"/>
        <v>15.56842105</v>
      </c>
      <c r="AU181" s="37"/>
      <c r="AV181" s="37"/>
      <c r="AW181" s="37"/>
    </row>
    <row r="182" ht="15.75" customHeight="1">
      <c r="A182" s="39" t="s">
        <v>30</v>
      </c>
      <c r="B182" s="40">
        <f t="shared" si="6"/>
        <v>44742</v>
      </c>
      <c r="C182" s="41">
        <v>7.0</v>
      </c>
      <c r="D182" s="41" t="s">
        <v>33</v>
      </c>
      <c r="E182" s="43" t="s">
        <v>40</v>
      </c>
      <c r="F182" s="28">
        <v>0.0</v>
      </c>
      <c r="H182" s="32">
        <v>0.0</v>
      </c>
      <c r="J182" s="32">
        <v>0.0</v>
      </c>
      <c r="L182" s="32">
        <v>0.0</v>
      </c>
      <c r="N182" s="32">
        <v>0.0</v>
      </c>
      <c r="P182" s="32">
        <v>0.0</v>
      </c>
      <c r="Q182" s="29"/>
      <c r="R182" s="28">
        <v>74.0</v>
      </c>
      <c r="T182" s="32">
        <v>81.0</v>
      </c>
      <c r="V182" s="32">
        <v>0.0</v>
      </c>
      <c r="X182" s="32">
        <v>0.0</v>
      </c>
      <c r="Z182" s="32">
        <v>0.0</v>
      </c>
      <c r="AB182" s="32">
        <v>0.0</v>
      </c>
      <c r="AC182" s="29"/>
      <c r="AD182" s="26"/>
      <c r="AF182" s="27"/>
      <c r="AH182" s="27"/>
      <c r="AJ182" s="27"/>
      <c r="AL182" s="27"/>
      <c r="AN182" s="27"/>
      <c r="AO182" s="29"/>
      <c r="AP182" s="45">
        <f t="shared" si="1"/>
        <v>2635</v>
      </c>
      <c r="AQ182" s="41">
        <f t="shared" si="2"/>
        <v>155</v>
      </c>
      <c r="AR182" s="41">
        <f t="shared" si="3"/>
        <v>0</v>
      </c>
      <c r="AS182" s="41">
        <f t="shared" si="4"/>
        <v>155</v>
      </c>
      <c r="AT182" s="46">
        <f t="shared" si="5"/>
        <v>17</v>
      </c>
      <c r="AU182" s="37"/>
      <c r="AV182" s="37"/>
      <c r="AW182" s="37"/>
    </row>
    <row r="183" ht="15.75" customHeight="1">
      <c r="A183" s="39" t="s">
        <v>31</v>
      </c>
      <c r="B183" s="40">
        <f t="shared" si="6"/>
        <v>44743</v>
      </c>
      <c r="C183" s="41">
        <v>7.0</v>
      </c>
      <c r="D183" s="41" t="s">
        <v>33</v>
      </c>
      <c r="E183" s="43" t="s">
        <v>40</v>
      </c>
      <c r="F183" s="28">
        <v>0.0</v>
      </c>
      <c r="H183" s="32">
        <v>0.0</v>
      </c>
      <c r="J183" s="32">
        <v>0.0</v>
      </c>
      <c r="L183" s="32">
        <v>0.0</v>
      </c>
      <c r="N183" s="32">
        <v>0.0</v>
      </c>
      <c r="P183" s="32">
        <v>0.0</v>
      </c>
      <c r="Q183" s="29"/>
      <c r="R183" s="28">
        <v>70.0</v>
      </c>
      <c r="T183" s="32">
        <v>66.0</v>
      </c>
      <c r="V183" s="32">
        <v>0.0</v>
      </c>
      <c r="X183" s="32">
        <v>0.0</v>
      </c>
      <c r="Z183" s="32">
        <v>0.0</v>
      </c>
      <c r="AB183" s="32">
        <v>0.0</v>
      </c>
      <c r="AC183" s="29"/>
      <c r="AD183" s="26"/>
      <c r="AF183" s="27"/>
      <c r="AH183" s="27"/>
      <c r="AJ183" s="27"/>
      <c r="AL183" s="27"/>
      <c r="AN183" s="27"/>
      <c r="AO183" s="29"/>
      <c r="AP183" s="45">
        <f t="shared" si="1"/>
        <v>2312</v>
      </c>
      <c r="AQ183" s="41">
        <f t="shared" si="2"/>
        <v>136</v>
      </c>
      <c r="AR183" s="41">
        <f t="shared" si="3"/>
        <v>0</v>
      </c>
      <c r="AS183" s="41">
        <f t="shared" si="4"/>
        <v>136</v>
      </c>
      <c r="AT183" s="46">
        <f t="shared" si="5"/>
        <v>17</v>
      </c>
      <c r="AU183" s="37"/>
      <c r="AV183" s="37"/>
      <c r="AW183" s="37"/>
    </row>
    <row r="184" ht="15.75" customHeight="1">
      <c r="A184" s="49" t="s">
        <v>32</v>
      </c>
      <c r="B184" s="50">
        <f t="shared" si="6"/>
        <v>44744</v>
      </c>
      <c r="C184" s="51">
        <v>7.0</v>
      </c>
      <c r="D184" s="51" t="s">
        <v>33</v>
      </c>
      <c r="E184" s="53" t="s">
        <v>40</v>
      </c>
      <c r="F184" s="57">
        <v>0.0</v>
      </c>
      <c r="G184" s="55"/>
      <c r="H184" s="59">
        <v>0.0</v>
      </c>
      <c r="I184" s="55"/>
      <c r="J184" s="59">
        <v>0.0</v>
      </c>
      <c r="K184" s="55"/>
      <c r="L184" s="59">
        <v>0.0</v>
      </c>
      <c r="M184" s="55"/>
      <c r="N184" s="59">
        <v>0.0</v>
      </c>
      <c r="O184" s="55"/>
      <c r="P184" s="59">
        <v>0.0</v>
      </c>
      <c r="Q184" s="58"/>
      <c r="R184" s="57">
        <v>0.0</v>
      </c>
      <c r="S184" s="55"/>
      <c r="T184" s="59">
        <v>0.0</v>
      </c>
      <c r="U184" s="55"/>
      <c r="V184" s="59">
        <v>0.0</v>
      </c>
      <c r="W184" s="55"/>
      <c r="X184" s="59">
        <v>0.0</v>
      </c>
      <c r="Y184" s="55"/>
      <c r="Z184" s="59">
        <v>0.0</v>
      </c>
      <c r="AA184" s="55"/>
      <c r="AB184" s="59">
        <v>0.0</v>
      </c>
      <c r="AC184" s="58"/>
      <c r="AD184" s="54"/>
      <c r="AE184" s="55"/>
      <c r="AF184" s="56"/>
      <c r="AG184" s="55"/>
      <c r="AH184" s="56"/>
      <c r="AI184" s="55"/>
      <c r="AJ184" s="56"/>
      <c r="AK184" s="55"/>
      <c r="AL184" s="56"/>
      <c r="AM184" s="55"/>
      <c r="AN184" s="56"/>
      <c r="AO184" s="58"/>
      <c r="AP184" s="60">
        <f t="shared" si="1"/>
        <v>0</v>
      </c>
      <c r="AQ184" s="51">
        <f t="shared" si="2"/>
        <v>0</v>
      </c>
      <c r="AR184" s="51">
        <f t="shared" si="3"/>
        <v>0</v>
      </c>
      <c r="AS184" s="51">
        <f t="shared" si="4"/>
        <v>0</v>
      </c>
      <c r="AT184" s="61" t="str">
        <f t="shared" si="5"/>
        <v/>
      </c>
      <c r="AU184" s="37"/>
      <c r="AV184" s="37"/>
      <c r="AW184" s="37"/>
    </row>
    <row r="185" ht="15.75" customHeight="1">
      <c r="A185" s="21" t="s">
        <v>24</v>
      </c>
      <c r="B185" s="62">
        <f t="shared" si="6"/>
        <v>44745</v>
      </c>
      <c r="C185" s="23">
        <v>7.0</v>
      </c>
      <c r="D185" s="23" t="s">
        <v>34</v>
      </c>
      <c r="E185" s="63" t="s">
        <v>40</v>
      </c>
      <c r="F185" s="28">
        <v>0.0</v>
      </c>
      <c r="H185" s="32">
        <v>0.0</v>
      </c>
      <c r="J185" s="32">
        <v>0.0</v>
      </c>
      <c r="L185" s="32">
        <v>0.0</v>
      </c>
      <c r="N185" s="32">
        <v>0.0</v>
      </c>
      <c r="P185" s="32">
        <v>0.0</v>
      </c>
      <c r="Q185" s="29"/>
      <c r="R185" s="28">
        <v>13.0</v>
      </c>
      <c r="T185" s="32">
        <v>75.0</v>
      </c>
      <c r="V185" s="32">
        <v>0.0</v>
      </c>
      <c r="X185" s="32">
        <v>0.0</v>
      </c>
      <c r="Z185" s="32">
        <v>56.0</v>
      </c>
      <c r="AB185" s="32">
        <v>0.0</v>
      </c>
      <c r="AC185" s="29"/>
      <c r="AD185" s="26"/>
      <c r="AF185" s="27"/>
      <c r="AH185" s="27"/>
      <c r="AJ185" s="27"/>
      <c r="AL185" s="27"/>
      <c r="AN185" s="27"/>
      <c r="AO185" s="29"/>
      <c r="AP185" s="35">
        <f t="shared" si="1"/>
        <v>2224</v>
      </c>
      <c r="AQ185" s="23">
        <f t="shared" si="2"/>
        <v>144</v>
      </c>
      <c r="AR185" s="23">
        <f t="shared" si="3"/>
        <v>0</v>
      </c>
      <c r="AS185" s="23">
        <f t="shared" si="4"/>
        <v>144</v>
      </c>
      <c r="AT185" s="36">
        <f t="shared" si="5"/>
        <v>15.44444444</v>
      </c>
      <c r="AU185" s="37"/>
      <c r="AV185" s="37"/>
      <c r="AW185" s="37"/>
    </row>
    <row r="186" ht="15.75" customHeight="1">
      <c r="A186" s="39" t="s">
        <v>27</v>
      </c>
      <c r="B186" s="40">
        <f t="shared" si="6"/>
        <v>44746</v>
      </c>
      <c r="C186" s="41">
        <v>7.0</v>
      </c>
      <c r="D186" s="41" t="s">
        <v>34</v>
      </c>
      <c r="E186" s="43" t="s">
        <v>40</v>
      </c>
      <c r="F186" s="28">
        <v>0.0</v>
      </c>
      <c r="H186" s="32">
        <v>0.0</v>
      </c>
      <c r="J186" s="32">
        <v>0.0</v>
      </c>
      <c r="L186" s="32">
        <v>0.0</v>
      </c>
      <c r="N186" s="32">
        <v>0.0</v>
      </c>
      <c r="P186" s="32">
        <v>0.0</v>
      </c>
      <c r="Q186" s="29"/>
      <c r="R186" s="28">
        <v>0.0</v>
      </c>
      <c r="T186" s="32">
        <v>84.0</v>
      </c>
      <c r="V186" s="32">
        <v>68.0</v>
      </c>
      <c r="X186" s="32">
        <v>0.0</v>
      </c>
      <c r="Z186" s="32">
        <v>49.0</v>
      </c>
      <c r="AB186" s="32">
        <v>0.0</v>
      </c>
      <c r="AC186" s="29"/>
      <c r="AD186" s="26"/>
      <c r="AF186" s="27"/>
      <c r="AH186" s="27"/>
      <c r="AJ186" s="27"/>
      <c r="AL186" s="27"/>
      <c r="AN186" s="27"/>
      <c r="AO186" s="29"/>
      <c r="AP186" s="45">
        <f t="shared" si="1"/>
        <v>3221</v>
      </c>
      <c r="AQ186" s="41">
        <f t="shared" si="2"/>
        <v>201</v>
      </c>
      <c r="AR186" s="41">
        <f t="shared" si="3"/>
        <v>0</v>
      </c>
      <c r="AS186" s="41">
        <f t="shared" si="4"/>
        <v>201</v>
      </c>
      <c r="AT186" s="46">
        <f t="shared" si="5"/>
        <v>16.02487562</v>
      </c>
      <c r="AU186" s="37"/>
      <c r="AV186" s="37"/>
      <c r="AW186" s="37"/>
    </row>
    <row r="187" ht="15.75" customHeight="1">
      <c r="A187" s="39" t="s">
        <v>28</v>
      </c>
      <c r="B187" s="40">
        <f t="shared" si="6"/>
        <v>44747</v>
      </c>
      <c r="C187" s="41">
        <v>7.0</v>
      </c>
      <c r="D187" s="41" t="s">
        <v>34</v>
      </c>
      <c r="E187" s="43" t="s">
        <v>40</v>
      </c>
      <c r="F187" s="28">
        <v>0.0</v>
      </c>
      <c r="H187" s="32">
        <v>0.0</v>
      </c>
      <c r="J187" s="32">
        <v>0.0</v>
      </c>
      <c r="L187" s="32">
        <v>0.0</v>
      </c>
      <c r="N187" s="32">
        <v>0.0</v>
      </c>
      <c r="P187" s="32">
        <v>0.0</v>
      </c>
      <c r="Q187" s="29"/>
      <c r="R187" s="28">
        <v>14.0</v>
      </c>
      <c r="T187" s="32">
        <v>82.0</v>
      </c>
      <c r="V187" s="32">
        <v>0.0</v>
      </c>
      <c r="X187" s="32">
        <v>0.0</v>
      </c>
      <c r="Z187" s="32">
        <v>55.0</v>
      </c>
      <c r="AB187" s="32">
        <v>0.0</v>
      </c>
      <c r="AC187" s="29"/>
      <c r="AD187" s="26"/>
      <c r="AF187" s="27"/>
      <c r="AH187" s="27"/>
      <c r="AJ187" s="27"/>
      <c r="AL187" s="27"/>
      <c r="AN187" s="27"/>
      <c r="AO187" s="29"/>
      <c r="AP187" s="45">
        <f t="shared" si="1"/>
        <v>2347</v>
      </c>
      <c r="AQ187" s="41">
        <f t="shared" si="2"/>
        <v>151</v>
      </c>
      <c r="AR187" s="41">
        <f t="shared" si="3"/>
        <v>0</v>
      </c>
      <c r="AS187" s="41">
        <f t="shared" si="4"/>
        <v>151</v>
      </c>
      <c r="AT187" s="46">
        <f t="shared" si="5"/>
        <v>15.54304636</v>
      </c>
      <c r="AU187" s="37"/>
      <c r="AV187" s="37"/>
      <c r="AW187" s="37"/>
    </row>
    <row r="188" ht="15.75" customHeight="1">
      <c r="A188" s="39" t="s">
        <v>29</v>
      </c>
      <c r="B188" s="40">
        <f t="shared" si="6"/>
        <v>44748</v>
      </c>
      <c r="C188" s="41">
        <v>7.0</v>
      </c>
      <c r="D188" s="41" t="s">
        <v>34</v>
      </c>
      <c r="E188" s="43" t="s">
        <v>40</v>
      </c>
      <c r="F188" s="28">
        <v>0.0</v>
      </c>
      <c r="H188" s="32">
        <v>0.0</v>
      </c>
      <c r="J188" s="32">
        <v>0.0</v>
      </c>
      <c r="L188" s="32">
        <v>0.0</v>
      </c>
      <c r="N188" s="32">
        <v>0.0</v>
      </c>
      <c r="P188" s="32">
        <v>0.0</v>
      </c>
      <c r="Q188" s="29"/>
      <c r="R188" s="28">
        <v>0.0</v>
      </c>
      <c r="T188" s="32">
        <v>78.0</v>
      </c>
      <c r="V188" s="32">
        <v>75.0</v>
      </c>
      <c r="X188" s="32">
        <v>0.0</v>
      </c>
      <c r="Z188" s="32">
        <v>70.0</v>
      </c>
      <c r="AB188" s="32">
        <v>0.0</v>
      </c>
      <c r="AC188" s="29"/>
      <c r="AD188" s="26"/>
      <c r="AF188" s="27"/>
      <c r="AH188" s="27"/>
      <c r="AJ188" s="27"/>
      <c r="AL188" s="27"/>
      <c r="AN188" s="27"/>
      <c r="AO188" s="29"/>
      <c r="AP188" s="45">
        <f t="shared" si="1"/>
        <v>3511</v>
      </c>
      <c r="AQ188" s="41">
        <f t="shared" si="2"/>
        <v>223</v>
      </c>
      <c r="AR188" s="41">
        <f t="shared" si="3"/>
        <v>0</v>
      </c>
      <c r="AS188" s="41">
        <f t="shared" si="4"/>
        <v>223</v>
      </c>
      <c r="AT188" s="46">
        <f t="shared" si="5"/>
        <v>15.74439462</v>
      </c>
      <c r="AU188" s="37"/>
      <c r="AV188" s="37"/>
      <c r="AW188" s="37"/>
    </row>
    <row r="189" ht="15.75" customHeight="1">
      <c r="A189" s="39" t="s">
        <v>30</v>
      </c>
      <c r="B189" s="40">
        <f t="shared" si="6"/>
        <v>44749</v>
      </c>
      <c r="C189" s="41">
        <v>7.0</v>
      </c>
      <c r="D189" s="41" t="s">
        <v>34</v>
      </c>
      <c r="E189" s="43" t="s">
        <v>40</v>
      </c>
      <c r="F189" s="28">
        <v>0.0</v>
      </c>
      <c r="H189" s="32">
        <v>0.0</v>
      </c>
      <c r="J189" s="32">
        <v>0.0</v>
      </c>
      <c r="L189" s="32">
        <v>0.0</v>
      </c>
      <c r="N189" s="32">
        <v>0.0</v>
      </c>
      <c r="P189" s="32">
        <v>0.0</v>
      </c>
      <c r="Q189" s="29"/>
      <c r="R189" s="28">
        <v>0.0</v>
      </c>
      <c r="T189" s="32">
        <v>71.0</v>
      </c>
      <c r="V189" s="32">
        <v>54.0</v>
      </c>
      <c r="X189" s="32">
        <v>0.0</v>
      </c>
      <c r="Z189" s="32">
        <v>68.0</v>
      </c>
      <c r="AB189" s="32">
        <v>0.0</v>
      </c>
      <c r="AC189" s="29"/>
      <c r="AD189" s="26"/>
      <c r="AF189" s="27"/>
      <c r="AH189" s="27"/>
      <c r="AJ189" s="27"/>
      <c r="AL189" s="27"/>
      <c r="AN189" s="27"/>
      <c r="AO189" s="29"/>
      <c r="AP189" s="45">
        <f t="shared" si="1"/>
        <v>3009</v>
      </c>
      <c r="AQ189" s="41">
        <f t="shared" si="2"/>
        <v>193</v>
      </c>
      <c r="AR189" s="41">
        <f t="shared" si="3"/>
        <v>0</v>
      </c>
      <c r="AS189" s="41">
        <f t="shared" si="4"/>
        <v>193</v>
      </c>
      <c r="AT189" s="46">
        <f t="shared" si="5"/>
        <v>15.59067358</v>
      </c>
      <c r="AU189" s="37"/>
      <c r="AV189" s="37"/>
      <c r="AW189" s="37"/>
    </row>
    <row r="190" ht="15.75" customHeight="1">
      <c r="A190" s="39" t="s">
        <v>31</v>
      </c>
      <c r="B190" s="40">
        <f t="shared" si="6"/>
        <v>44750</v>
      </c>
      <c r="C190" s="41">
        <v>7.0</v>
      </c>
      <c r="D190" s="41" t="s">
        <v>34</v>
      </c>
      <c r="E190" s="43" t="s">
        <v>40</v>
      </c>
      <c r="F190" s="28">
        <v>0.0</v>
      </c>
      <c r="H190" s="32">
        <v>0.0</v>
      </c>
      <c r="J190" s="32">
        <v>0.0</v>
      </c>
      <c r="L190" s="32">
        <v>0.0</v>
      </c>
      <c r="N190" s="32">
        <v>0.0</v>
      </c>
      <c r="P190" s="32">
        <v>0.0</v>
      </c>
      <c r="Q190" s="29"/>
      <c r="R190" s="28">
        <v>60.0</v>
      </c>
      <c r="T190" s="32">
        <v>58.0</v>
      </c>
      <c r="V190" s="32">
        <v>0.0</v>
      </c>
      <c r="X190" s="32">
        <v>0.0</v>
      </c>
      <c r="Z190" s="32">
        <v>0.0</v>
      </c>
      <c r="AB190" s="32">
        <v>0.0</v>
      </c>
      <c r="AC190" s="29"/>
      <c r="AD190" s="26"/>
      <c r="AF190" s="27"/>
      <c r="AH190" s="27"/>
      <c r="AJ190" s="27"/>
      <c r="AL190" s="27"/>
      <c r="AN190" s="27"/>
      <c r="AO190" s="29"/>
      <c r="AP190" s="45">
        <f t="shared" si="1"/>
        <v>2006</v>
      </c>
      <c r="AQ190" s="41">
        <f t="shared" si="2"/>
        <v>118</v>
      </c>
      <c r="AR190" s="41">
        <f t="shared" si="3"/>
        <v>0</v>
      </c>
      <c r="AS190" s="41">
        <f t="shared" si="4"/>
        <v>118</v>
      </c>
      <c r="AT190" s="46">
        <f t="shared" si="5"/>
        <v>17</v>
      </c>
      <c r="AU190" s="37"/>
      <c r="AV190" s="37"/>
      <c r="AW190" s="37"/>
    </row>
    <row r="191" ht="15.75" customHeight="1">
      <c r="A191" s="49" t="s">
        <v>32</v>
      </c>
      <c r="B191" s="50">
        <f t="shared" si="6"/>
        <v>44751</v>
      </c>
      <c r="C191" s="51">
        <v>7.0</v>
      </c>
      <c r="D191" s="51" t="s">
        <v>34</v>
      </c>
      <c r="E191" s="53" t="s">
        <v>40</v>
      </c>
      <c r="F191" s="57">
        <v>0.0</v>
      </c>
      <c r="G191" s="55"/>
      <c r="H191" s="59">
        <v>0.0</v>
      </c>
      <c r="I191" s="55"/>
      <c r="J191" s="59">
        <v>0.0</v>
      </c>
      <c r="K191" s="55"/>
      <c r="L191" s="59">
        <v>0.0</v>
      </c>
      <c r="M191" s="55"/>
      <c r="N191" s="59">
        <v>0.0</v>
      </c>
      <c r="O191" s="55"/>
      <c r="P191" s="59">
        <v>0.0</v>
      </c>
      <c r="Q191" s="58"/>
      <c r="R191" s="57">
        <v>0.0</v>
      </c>
      <c r="S191" s="55"/>
      <c r="T191" s="59">
        <v>0.0</v>
      </c>
      <c r="U191" s="55"/>
      <c r="V191" s="59">
        <v>0.0</v>
      </c>
      <c r="W191" s="55"/>
      <c r="X191" s="59">
        <v>0.0</v>
      </c>
      <c r="Y191" s="55"/>
      <c r="Z191" s="59">
        <v>0.0</v>
      </c>
      <c r="AA191" s="55"/>
      <c r="AB191" s="59">
        <v>0.0</v>
      </c>
      <c r="AC191" s="58"/>
      <c r="AD191" s="54"/>
      <c r="AE191" s="55"/>
      <c r="AF191" s="56"/>
      <c r="AG191" s="55"/>
      <c r="AH191" s="56"/>
      <c r="AI191" s="55"/>
      <c r="AJ191" s="56"/>
      <c r="AK191" s="55"/>
      <c r="AL191" s="56"/>
      <c r="AM191" s="55"/>
      <c r="AN191" s="56"/>
      <c r="AO191" s="58"/>
      <c r="AP191" s="60">
        <f t="shared" si="1"/>
        <v>0</v>
      </c>
      <c r="AQ191" s="51">
        <f t="shared" si="2"/>
        <v>0</v>
      </c>
      <c r="AR191" s="51">
        <f t="shared" si="3"/>
        <v>0</v>
      </c>
      <c r="AS191" s="51">
        <f t="shared" si="4"/>
        <v>0</v>
      </c>
      <c r="AT191" s="61" t="str">
        <f t="shared" si="5"/>
        <v/>
      </c>
      <c r="AU191" s="37"/>
      <c r="AV191" s="37"/>
      <c r="AW191" s="37"/>
    </row>
    <row r="192" ht="15.75" customHeight="1">
      <c r="A192" s="21" t="s">
        <v>24</v>
      </c>
      <c r="B192" s="62">
        <f t="shared" si="6"/>
        <v>44752</v>
      </c>
      <c r="C192" s="23">
        <v>7.0</v>
      </c>
      <c r="D192" s="23" t="s">
        <v>35</v>
      </c>
      <c r="E192" s="63" t="s">
        <v>40</v>
      </c>
      <c r="F192" s="28">
        <v>0.0</v>
      </c>
      <c r="H192" s="32">
        <v>0.0</v>
      </c>
      <c r="J192" s="32">
        <v>0.0</v>
      </c>
      <c r="L192" s="32">
        <v>0.0</v>
      </c>
      <c r="N192" s="32">
        <v>0.0</v>
      </c>
      <c r="P192" s="32">
        <v>0.0</v>
      </c>
      <c r="Q192" s="29"/>
      <c r="R192" s="28">
        <v>0.0</v>
      </c>
      <c r="T192" s="32">
        <v>0.0</v>
      </c>
      <c r="V192" s="32">
        <v>0.0</v>
      </c>
      <c r="X192" s="32">
        <v>0.0</v>
      </c>
      <c r="Z192" s="32">
        <v>0.0</v>
      </c>
      <c r="AB192" s="32">
        <v>0.0</v>
      </c>
      <c r="AC192" s="29"/>
      <c r="AD192" s="26"/>
      <c r="AF192" s="27"/>
      <c r="AH192" s="27"/>
      <c r="AJ192" s="27"/>
      <c r="AL192" s="27"/>
      <c r="AN192" s="27"/>
      <c r="AO192" s="29"/>
      <c r="AP192" s="35">
        <f t="shared" si="1"/>
        <v>0</v>
      </c>
      <c r="AQ192" s="23">
        <f t="shared" si="2"/>
        <v>0</v>
      </c>
      <c r="AR192" s="23">
        <f t="shared" si="3"/>
        <v>0</v>
      </c>
      <c r="AS192" s="23">
        <f t="shared" si="4"/>
        <v>0</v>
      </c>
      <c r="AT192" s="36" t="str">
        <f t="shared" si="5"/>
        <v/>
      </c>
      <c r="AU192" s="37"/>
      <c r="AV192" s="37"/>
      <c r="AW192" s="37"/>
    </row>
    <row r="193" ht="15.75" customHeight="1">
      <c r="A193" s="39" t="s">
        <v>27</v>
      </c>
      <c r="B193" s="40">
        <f t="shared" si="6"/>
        <v>44753</v>
      </c>
      <c r="C193" s="41">
        <v>7.0</v>
      </c>
      <c r="D193" s="41" t="s">
        <v>35</v>
      </c>
      <c r="E193" s="43" t="s">
        <v>40</v>
      </c>
      <c r="F193" s="28">
        <v>0.0</v>
      </c>
      <c r="H193" s="32">
        <v>0.0</v>
      </c>
      <c r="J193" s="32">
        <v>0.0</v>
      </c>
      <c r="L193" s="32">
        <v>0.0</v>
      </c>
      <c r="N193" s="32">
        <v>0.0</v>
      </c>
      <c r="P193" s="32">
        <v>0.0</v>
      </c>
      <c r="Q193" s="29"/>
      <c r="R193" s="28">
        <v>71.0</v>
      </c>
      <c r="T193" s="27"/>
      <c r="V193" s="32">
        <v>0.0</v>
      </c>
      <c r="X193" s="32">
        <v>0.0</v>
      </c>
      <c r="Z193" s="32">
        <v>0.0</v>
      </c>
      <c r="AB193" s="32">
        <v>0.0</v>
      </c>
      <c r="AC193" s="29"/>
      <c r="AD193" s="26"/>
      <c r="AF193" s="27"/>
      <c r="AH193" s="27"/>
      <c r="AJ193" s="27"/>
      <c r="AL193" s="27"/>
      <c r="AN193" s="27"/>
      <c r="AO193" s="29"/>
      <c r="AP193" s="45">
        <f t="shared" si="1"/>
        <v>1207</v>
      </c>
      <c r="AQ193" s="41">
        <f t="shared" si="2"/>
        <v>71</v>
      </c>
      <c r="AR193" s="41">
        <f t="shared" si="3"/>
        <v>0</v>
      </c>
      <c r="AS193" s="41">
        <f t="shared" si="4"/>
        <v>71</v>
      </c>
      <c r="AT193" s="46">
        <f t="shared" si="5"/>
        <v>17</v>
      </c>
      <c r="AU193" s="37"/>
      <c r="AV193" s="37"/>
      <c r="AW193" s="37"/>
    </row>
    <row r="194" ht="15.75" customHeight="1">
      <c r="A194" s="39" t="s">
        <v>28</v>
      </c>
      <c r="B194" s="40">
        <f t="shared" si="6"/>
        <v>44754</v>
      </c>
      <c r="C194" s="41">
        <v>7.0</v>
      </c>
      <c r="D194" s="41" t="s">
        <v>35</v>
      </c>
      <c r="E194" s="43" t="s">
        <v>40</v>
      </c>
      <c r="F194" s="28">
        <v>0.0</v>
      </c>
      <c r="H194" s="32">
        <v>0.0</v>
      </c>
      <c r="J194" s="32">
        <v>0.0</v>
      </c>
      <c r="L194" s="32">
        <v>0.0</v>
      </c>
      <c r="N194" s="32">
        <v>0.0</v>
      </c>
      <c r="P194" s="32">
        <v>0.0</v>
      </c>
      <c r="Q194" s="29"/>
      <c r="R194" s="28">
        <v>71.0</v>
      </c>
      <c r="T194" s="32">
        <v>85.0</v>
      </c>
      <c r="V194" s="32">
        <v>0.0</v>
      </c>
      <c r="X194" s="32">
        <v>0.0</v>
      </c>
      <c r="Z194" s="32">
        <v>0.0</v>
      </c>
      <c r="AB194" s="32">
        <v>0.0</v>
      </c>
      <c r="AC194" s="29"/>
      <c r="AD194" s="26"/>
      <c r="AF194" s="27"/>
      <c r="AH194" s="27"/>
      <c r="AJ194" s="27"/>
      <c r="AL194" s="27"/>
      <c r="AN194" s="27"/>
      <c r="AO194" s="29"/>
      <c r="AP194" s="45">
        <f t="shared" si="1"/>
        <v>2652</v>
      </c>
      <c r="AQ194" s="41">
        <f t="shared" si="2"/>
        <v>156</v>
      </c>
      <c r="AR194" s="41">
        <f t="shared" si="3"/>
        <v>0</v>
      </c>
      <c r="AS194" s="41">
        <f t="shared" si="4"/>
        <v>156</v>
      </c>
      <c r="AT194" s="46">
        <f t="shared" si="5"/>
        <v>17</v>
      </c>
      <c r="AU194" s="37"/>
      <c r="AV194" s="37"/>
      <c r="AW194" s="37"/>
    </row>
    <row r="195" ht="15.75" customHeight="1">
      <c r="A195" s="39" t="s">
        <v>29</v>
      </c>
      <c r="B195" s="40">
        <f t="shared" si="6"/>
        <v>44755</v>
      </c>
      <c r="C195" s="41">
        <v>7.0</v>
      </c>
      <c r="D195" s="41" t="s">
        <v>35</v>
      </c>
      <c r="E195" s="43" t="s">
        <v>40</v>
      </c>
      <c r="F195" s="28">
        <v>0.0</v>
      </c>
      <c r="H195" s="32">
        <v>0.0</v>
      </c>
      <c r="J195" s="32">
        <v>0.0</v>
      </c>
      <c r="L195" s="32">
        <v>0.0</v>
      </c>
      <c r="N195" s="32">
        <v>0.0</v>
      </c>
      <c r="P195" s="32">
        <v>0.0</v>
      </c>
      <c r="Q195" s="29"/>
      <c r="R195" s="28">
        <v>0.0</v>
      </c>
      <c r="T195" s="32">
        <v>85.0</v>
      </c>
      <c r="V195" s="32">
        <v>72.0</v>
      </c>
      <c r="X195" s="32">
        <v>0.0</v>
      </c>
      <c r="Z195" s="32">
        <v>61.0</v>
      </c>
      <c r="AB195" s="32">
        <v>0.0</v>
      </c>
      <c r="AC195" s="29"/>
      <c r="AD195" s="26"/>
      <c r="AF195" s="27"/>
      <c r="AH195" s="27"/>
      <c r="AJ195" s="27"/>
      <c r="AL195" s="27"/>
      <c r="AN195" s="27"/>
      <c r="AO195" s="29"/>
      <c r="AP195" s="45">
        <f t="shared" si="1"/>
        <v>3462</v>
      </c>
      <c r="AQ195" s="41">
        <f t="shared" si="2"/>
        <v>218</v>
      </c>
      <c r="AR195" s="41">
        <f t="shared" si="3"/>
        <v>0</v>
      </c>
      <c r="AS195" s="41">
        <f t="shared" si="4"/>
        <v>218</v>
      </c>
      <c r="AT195" s="46">
        <f t="shared" si="5"/>
        <v>15.88073394</v>
      </c>
      <c r="AU195" s="37"/>
      <c r="AV195" s="37"/>
      <c r="AW195" s="37"/>
    </row>
    <row r="196" ht="15.75" customHeight="1">
      <c r="A196" s="39" t="s">
        <v>30</v>
      </c>
      <c r="B196" s="40">
        <f t="shared" si="6"/>
        <v>44756</v>
      </c>
      <c r="C196" s="41">
        <v>7.0</v>
      </c>
      <c r="D196" s="41" t="s">
        <v>35</v>
      </c>
      <c r="E196" s="43" t="s">
        <v>40</v>
      </c>
      <c r="F196" s="28">
        <v>0.0</v>
      </c>
      <c r="H196" s="32">
        <v>0.0</v>
      </c>
      <c r="J196" s="32">
        <v>0.0</v>
      </c>
      <c r="L196" s="32">
        <v>0.0</v>
      </c>
      <c r="N196" s="32">
        <v>0.0</v>
      </c>
      <c r="P196" s="32">
        <v>0.0</v>
      </c>
      <c r="Q196" s="29"/>
      <c r="R196" s="28">
        <v>0.0</v>
      </c>
      <c r="T196" s="32">
        <v>85.0</v>
      </c>
      <c r="V196" s="32">
        <v>38.0</v>
      </c>
      <c r="X196" s="32">
        <v>0.0</v>
      </c>
      <c r="Z196" s="32">
        <v>72.0</v>
      </c>
      <c r="AB196" s="32">
        <v>0.0</v>
      </c>
      <c r="AC196" s="29"/>
      <c r="AD196" s="26"/>
      <c r="AF196" s="27"/>
      <c r="AH196" s="27"/>
      <c r="AJ196" s="27"/>
      <c r="AL196" s="27"/>
      <c r="AN196" s="27"/>
      <c r="AO196" s="29"/>
      <c r="AP196" s="45">
        <f t="shared" si="1"/>
        <v>3027</v>
      </c>
      <c r="AQ196" s="41">
        <f t="shared" si="2"/>
        <v>195</v>
      </c>
      <c r="AR196" s="41">
        <f t="shared" si="3"/>
        <v>0</v>
      </c>
      <c r="AS196" s="41">
        <f t="shared" si="4"/>
        <v>195</v>
      </c>
      <c r="AT196" s="46">
        <f t="shared" si="5"/>
        <v>15.52307692</v>
      </c>
      <c r="AU196" s="37"/>
      <c r="AV196" s="37"/>
      <c r="AW196" s="37"/>
    </row>
    <row r="197" ht="15.75" customHeight="1">
      <c r="A197" s="39" t="s">
        <v>31</v>
      </c>
      <c r="B197" s="40">
        <f t="shared" si="6"/>
        <v>44757</v>
      </c>
      <c r="C197" s="41">
        <v>7.0</v>
      </c>
      <c r="D197" s="41" t="s">
        <v>35</v>
      </c>
      <c r="E197" s="43" t="s">
        <v>40</v>
      </c>
      <c r="F197" s="28">
        <v>0.0</v>
      </c>
      <c r="H197" s="32">
        <v>0.0</v>
      </c>
      <c r="J197" s="32">
        <v>0.0</v>
      </c>
      <c r="L197" s="32">
        <v>0.0</v>
      </c>
      <c r="N197" s="32">
        <v>0.0</v>
      </c>
      <c r="P197" s="32">
        <v>0.0</v>
      </c>
      <c r="Q197" s="29"/>
      <c r="R197" s="28">
        <v>16.0</v>
      </c>
      <c r="T197" s="32">
        <v>72.0</v>
      </c>
      <c r="V197" s="32">
        <v>0.0</v>
      </c>
      <c r="X197" s="32">
        <v>0.0</v>
      </c>
      <c r="Z197" s="32">
        <v>0.0</v>
      </c>
      <c r="AB197" s="32">
        <v>44.0</v>
      </c>
      <c r="AC197" s="29"/>
      <c r="AD197" s="26"/>
      <c r="AF197" s="27"/>
      <c r="AH197" s="27"/>
      <c r="AJ197" s="27"/>
      <c r="AL197" s="27"/>
      <c r="AN197" s="27"/>
      <c r="AO197" s="29"/>
      <c r="AP197" s="45">
        <f t="shared" si="1"/>
        <v>1804</v>
      </c>
      <c r="AQ197" s="41">
        <f t="shared" si="2"/>
        <v>88</v>
      </c>
      <c r="AR197" s="41">
        <f t="shared" si="3"/>
        <v>44</v>
      </c>
      <c r="AS197" s="41">
        <f t="shared" si="4"/>
        <v>132</v>
      </c>
      <c r="AT197" s="46">
        <f t="shared" si="5"/>
        <v>13.66666667</v>
      </c>
      <c r="AU197" s="37"/>
      <c r="AV197" s="37"/>
      <c r="AW197" s="37"/>
    </row>
    <row r="198" ht="15.75" customHeight="1">
      <c r="A198" s="49" t="s">
        <v>32</v>
      </c>
      <c r="B198" s="50">
        <f t="shared" si="6"/>
        <v>44758</v>
      </c>
      <c r="C198" s="51">
        <v>7.0</v>
      </c>
      <c r="D198" s="51" t="s">
        <v>35</v>
      </c>
      <c r="E198" s="53" t="s">
        <v>40</v>
      </c>
      <c r="F198" s="57">
        <v>0.0</v>
      </c>
      <c r="G198" s="55"/>
      <c r="H198" s="59">
        <v>0.0</v>
      </c>
      <c r="I198" s="55"/>
      <c r="J198" s="59">
        <v>0.0</v>
      </c>
      <c r="K198" s="55"/>
      <c r="L198" s="59">
        <v>0.0</v>
      </c>
      <c r="M198" s="55"/>
      <c r="N198" s="59">
        <v>0.0</v>
      </c>
      <c r="O198" s="55"/>
      <c r="P198" s="59">
        <v>0.0</v>
      </c>
      <c r="Q198" s="58"/>
      <c r="R198" s="57">
        <v>0.0</v>
      </c>
      <c r="S198" s="55"/>
      <c r="T198" s="59">
        <v>0.0</v>
      </c>
      <c r="U198" s="55"/>
      <c r="V198" s="59">
        <v>0.0</v>
      </c>
      <c r="W198" s="55"/>
      <c r="X198" s="59">
        <v>0.0</v>
      </c>
      <c r="Y198" s="55"/>
      <c r="Z198" s="59">
        <v>0.0</v>
      </c>
      <c r="AA198" s="55"/>
      <c r="AB198" s="59">
        <v>0.0</v>
      </c>
      <c r="AC198" s="58"/>
      <c r="AD198" s="54"/>
      <c r="AE198" s="55"/>
      <c r="AF198" s="56"/>
      <c r="AG198" s="55"/>
      <c r="AH198" s="56"/>
      <c r="AI198" s="55"/>
      <c r="AJ198" s="56"/>
      <c r="AK198" s="55"/>
      <c r="AL198" s="56"/>
      <c r="AM198" s="55"/>
      <c r="AN198" s="56"/>
      <c r="AO198" s="58"/>
      <c r="AP198" s="60">
        <f t="shared" si="1"/>
        <v>0</v>
      </c>
      <c r="AQ198" s="51">
        <f t="shared" si="2"/>
        <v>0</v>
      </c>
      <c r="AR198" s="51">
        <f t="shared" si="3"/>
        <v>0</v>
      </c>
      <c r="AS198" s="51">
        <f t="shared" si="4"/>
        <v>0</v>
      </c>
      <c r="AT198" s="61" t="str">
        <f t="shared" si="5"/>
        <v/>
      </c>
      <c r="AU198" s="37"/>
      <c r="AV198" s="37"/>
      <c r="AW198" s="37"/>
    </row>
    <row r="199" ht="15.75" customHeight="1">
      <c r="A199" s="21" t="s">
        <v>24</v>
      </c>
      <c r="B199" s="62">
        <f t="shared" si="6"/>
        <v>44759</v>
      </c>
      <c r="C199" s="23">
        <v>8.0</v>
      </c>
      <c r="D199" s="23" t="s">
        <v>25</v>
      </c>
      <c r="E199" s="63" t="s">
        <v>40</v>
      </c>
      <c r="F199" s="28">
        <v>0.0</v>
      </c>
      <c r="H199" s="32">
        <v>0.0</v>
      </c>
      <c r="J199" s="32">
        <v>0.0</v>
      </c>
      <c r="L199" s="32">
        <v>0.0</v>
      </c>
      <c r="N199" s="32">
        <v>0.0</v>
      </c>
      <c r="P199" s="32">
        <v>0.0</v>
      </c>
      <c r="Q199" s="29"/>
      <c r="R199" s="28">
        <v>46.0</v>
      </c>
      <c r="T199" s="32">
        <v>136.0</v>
      </c>
      <c r="V199" s="32">
        <v>117.0</v>
      </c>
      <c r="X199" s="32">
        <v>0.0</v>
      </c>
      <c r="Z199" s="32">
        <v>90.0</v>
      </c>
      <c r="AB199" s="32">
        <v>0.0</v>
      </c>
      <c r="AC199" s="29"/>
      <c r="AD199" s="26"/>
      <c r="AF199" s="27"/>
      <c r="AH199" s="27"/>
      <c r="AJ199" s="27"/>
      <c r="AL199" s="27"/>
      <c r="AN199" s="27"/>
      <c r="AO199" s="29"/>
      <c r="AP199" s="35">
        <f t="shared" si="1"/>
        <v>6253</v>
      </c>
      <c r="AQ199" s="23">
        <f t="shared" si="2"/>
        <v>389</v>
      </c>
      <c r="AR199" s="23">
        <f t="shared" si="3"/>
        <v>0</v>
      </c>
      <c r="AS199" s="23">
        <f t="shared" si="4"/>
        <v>389</v>
      </c>
      <c r="AT199" s="36">
        <f t="shared" si="5"/>
        <v>16.07455013</v>
      </c>
      <c r="AU199" s="37"/>
      <c r="AV199" s="37"/>
      <c r="AW199" s="37"/>
    </row>
    <row r="200" ht="15.75" customHeight="1">
      <c r="A200" s="39" t="s">
        <v>27</v>
      </c>
      <c r="B200" s="40">
        <f t="shared" si="6"/>
        <v>44760</v>
      </c>
      <c r="C200" s="41">
        <v>8.0</v>
      </c>
      <c r="D200" s="41" t="s">
        <v>25</v>
      </c>
      <c r="E200" s="43" t="s">
        <v>40</v>
      </c>
      <c r="F200" s="28">
        <v>0.0</v>
      </c>
      <c r="H200" s="32">
        <v>0.0</v>
      </c>
      <c r="J200" s="32">
        <v>0.0</v>
      </c>
      <c r="L200" s="32">
        <v>0.0</v>
      </c>
      <c r="N200" s="32">
        <v>0.0</v>
      </c>
      <c r="P200" s="32">
        <v>0.0</v>
      </c>
      <c r="Q200" s="29"/>
      <c r="R200" s="28">
        <v>46.0</v>
      </c>
      <c r="T200" s="32">
        <v>152.0</v>
      </c>
      <c r="V200" s="32">
        <v>51.0</v>
      </c>
      <c r="X200" s="32">
        <v>0.0</v>
      </c>
      <c r="Z200" s="32">
        <v>60.0</v>
      </c>
      <c r="AB200" s="32">
        <v>0.0</v>
      </c>
      <c r="AC200" s="29"/>
      <c r="AD200" s="26"/>
      <c r="AF200" s="27"/>
      <c r="AH200" s="27"/>
      <c r="AJ200" s="27"/>
      <c r="AL200" s="27"/>
      <c r="AN200" s="27"/>
      <c r="AO200" s="29"/>
      <c r="AP200" s="45">
        <f t="shared" si="1"/>
        <v>5013</v>
      </c>
      <c r="AQ200" s="41">
        <f t="shared" si="2"/>
        <v>309</v>
      </c>
      <c r="AR200" s="41">
        <f t="shared" si="3"/>
        <v>0</v>
      </c>
      <c r="AS200" s="41">
        <f t="shared" si="4"/>
        <v>309</v>
      </c>
      <c r="AT200" s="46">
        <f t="shared" si="5"/>
        <v>16.22330097</v>
      </c>
      <c r="AU200" s="37"/>
      <c r="AV200" s="37"/>
      <c r="AW200" s="37"/>
    </row>
    <row r="201" ht="15.75" customHeight="1">
      <c r="A201" s="39" t="s">
        <v>28</v>
      </c>
      <c r="B201" s="40">
        <f t="shared" si="6"/>
        <v>44761</v>
      </c>
      <c r="C201" s="41">
        <v>8.0</v>
      </c>
      <c r="D201" s="41" t="s">
        <v>25</v>
      </c>
      <c r="E201" s="43" t="s">
        <v>40</v>
      </c>
      <c r="F201" s="28">
        <v>0.0</v>
      </c>
      <c r="H201" s="32">
        <v>0.0</v>
      </c>
      <c r="J201" s="32">
        <v>0.0</v>
      </c>
      <c r="L201" s="32">
        <v>0.0</v>
      </c>
      <c r="N201" s="32">
        <v>0.0</v>
      </c>
      <c r="P201" s="32">
        <v>0.0</v>
      </c>
      <c r="Q201" s="29"/>
      <c r="R201" s="28">
        <v>96.0</v>
      </c>
      <c r="T201" s="32">
        <v>128.0</v>
      </c>
      <c r="V201" s="32">
        <v>0.0</v>
      </c>
      <c r="X201" s="32">
        <v>0.0</v>
      </c>
      <c r="Z201" s="32">
        <v>0.0</v>
      </c>
      <c r="AB201" s="32">
        <v>0.0</v>
      </c>
      <c r="AC201" s="29"/>
      <c r="AD201" s="26"/>
      <c r="AF201" s="27"/>
      <c r="AH201" s="27"/>
      <c r="AJ201" s="27"/>
      <c r="AL201" s="27"/>
      <c r="AN201" s="27"/>
      <c r="AO201" s="29"/>
      <c r="AP201" s="45">
        <f t="shared" si="1"/>
        <v>3808</v>
      </c>
      <c r="AQ201" s="41">
        <f t="shared" si="2"/>
        <v>224</v>
      </c>
      <c r="AR201" s="41">
        <f t="shared" si="3"/>
        <v>0</v>
      </c>
      <c r="AS201" s="41">
        <f t="shared" si="4"/>
        <v>224</v>
      </c>
      <c r="AT201" s="46">
        <f t="shared" si="5"/>
        <v>17</v>
      </c>
      <c r="AU201" s="37"/>
      <c r="AV201" s="37"/>
      <c r="AW201" s="37"/>
    </row>
    <row r="202" ht="15.75" customHeight="1">
      <c r="A202" s="39" t="s">
        <v>29</v>
      </c>
      <c r="B202" s="40">
        <f t="shared" si="6"/>
        <v>44762</v>
      </c>
      <c r="C202" s="41">
        <v>8.0</v>
      </c>
      <c r="D202" s="41" t="s">
        <v>25</v>
      </c>
      <c r="E202" s="43" t="s">
        <v>40</v>
      </c>
      <c r="F202" s="28">
        <v>0.0</v>
      </c>
      <c r="H202" s="32">
        <v>0.0</v>
      </c>
      <c r="J202" s="32">
        <v>0.0</v>
      </c>
      <c r="L202" s="32">
        <v>0.0</v>
      </c>
      <c r="N202" s="32">
        <v>0.0</v>
      </c>
      <c r="P202" s="32">
        <v>0.0</v>
      </c>
      <c r="Q202" s="29"/>
      <c r="R202" s="28">
        <v>47.0</v>
      </c>
      <c r="T202" s="32">
        <v>147.0</v>
      </c>
      <c r="V202" s="32">
        <v>72.0</v>
      </c>
      <c r="X202" s="32">
        <v>0.0</v>
      </c>
      <c r="Z202" s="32">
        <v>77.0</v>
      </c>
      <c r="AB202" s="32">
        <v>0.0</v>
      </c>
      <c r="AC202" s="29"/>
      <c r="AD202" s="26"/>
      <c r="AF202" s="27"/>
      <c r="AH202" s="27"/>
      <c r="AJ202" s="27"/>
      <c r="AL202" s="27"/>
      <c r="AN202" s="27"/>
      <c r="AO202" s="29"/>
      <c r="AP202" s="45">
        <f t="shared" si="1"/>
        <v>5523</v>
      </c>
      <c r="AQ202" s="41">
        <f t="shared" si="2"/>
        <v>343</v>
      </c>
      <c r="AR202" s="41">
        <f t="shared" si="3"/>
        <v>0</v>
      </c>
      <c r="AS202" s="41">
        <f t="shared" si="4"/>
        <v>343</v>
      </c>
      <c r="AT202" s="46">
        <f t="shared" si="5"/>
        <v>16.10204082</v>
      </c>
      <c r="AU202" s="37"/>
      <c r="AV202" s="37"/>
      <c r="AW202" s="37"/>
    </row>
    <row r="203" ht="15.75" customHeight="1">
      <c r="A203" s="39" t="s">
        <v>30</v>
      </c>
      <c r="B203" s="40">
        <f t="shared" si="6"/>
        <v>44763</v>
      </c>
      <c r="C203" s="41">
        <v>8.0</v>
      </c>
      <c r="D203" s="41" t="s">
        <v>25</v>
      </c>
      <c r="E203" s="43" t="s">
        <v>40</v>
      </c>
      <c r="F203" s="28">
        <v>0.0</v>
      </c>
      <c r="H203" s="32">
        <v>0.0</v>
      </c>
      <c r="J203" s="32">
        <v>0.0</v>
      </c>
      <c r="L203" s="32">
        <v>0.0</v>
      </c>
      <c r="N203" s="32">
        <v>0.0</v>
      </c>
      <c r="P203" s="32">
        <v>0.0</v>
      </c>
      <c r="Q203" s="29"/>
      <c r="R203" s="28">
        <v>57.0</v>
      </c>
      <c r="T203" s="32">
        <v>102.0</v>
      </c>
      <c r="V203" s="32">
        <v>26.0</v>
      </c>
      <c r="X203" s="32">
        <v>0.0</v>
      </c>
      <c r="Z203" s="32">
        <v>91.0</v>
      </c>
      <c r="AB203" s="32">
        <v>0.0</v>
      </c>
      <c r="AC203" s="29"/>
      <c r="AD203" s="26"/>
      <c r="AF203" s="27"/>
      <c r="AH203" s="27"/>
      <c r="AJ203" s="27"/>
      <c r="AL203" s="27"/>
      <c r="AN203" s="27"/>
      <c r="AO203" s="29"/>
      <c r="AP203" s="45">
        <f t="shared" si="1"/>
        <v>4328</v>
      </c>
      <c r="AQ203" s="41">
        <f t="shared" si="2"/>
        <v>276</v>
      </c>
      <c r="AR203" s="41">
        <f t="shared" si="3"/>
        <v>0</v>
      </c>
      <c r="AS203" s="41">
        <f t="shared" si="4"/>
        <v>276</v>
      </c>
      <c r="AT203" s="46">
        <f t="shared" si="5"/>
        <v>15.68115942</v>
      </c>
      <c r="AU203" s="37"/>
      <c r="AV203" s="37"/>
      <c r="AW203" s="37"/>
    </row>
    <row r="204" ht="15.75" customHeight="1">
      <c r="A204" s="39" t="s">
        <v>31</v>
      </c>
      <c r="B204" s="40">
        <f t="shared" si="6"/>
        <v>44764</v>
      </c>
      <c r="C204" s="41">
        <v>8.0</v>
      </c>
      <c r="D204" s="41" t="s">
        <v>25</v>
      </c>
      <c r="E204" s="43" t="s">
        <v>40</v>
      </c>
      <c r="F204" s="28">
        <v>0.0</v>
      </c>
      <c r="H204" s="32">
        <v>0.0</v>
      </c>
      <c r="J204" s="32">
        <v>0.0</v>
      </c>
      <c r="L204" s="32">
        <v>0.0</v>
      </c>
      <c r="N204" s="32">
        <v>0.0</v>
      </c>
      <c r="P204" s="32">
        <v>0.0</v>
      </c>
      <c r="Q204" s="29"/>
      <c r="R204" s="28">
        <v>89.0</v>
      </c>
      <c r="T204" s="32">
        <v>74.0</v>
      </c>
      <c r="V204" s="32">
        <v>0.0</v>
      </c>
      <c r="X204" s="32">
        <v>0.0</v>
      </c>
      <c r="Z204" s="32">
        <v>0.0</v>
      </c>
      <c r="AB204" s="32">
        <v>0.0</v>
      </c>
      <c r="AC204" s="29"/>
      <c r="AD204" s="26"/>
      <c r="AF204" s="27"/>
      <c r="AH204" s="27"/>
      <c r="AJ204" s="27"/>
      <c r="AL204" s="27"/>
      <c r="AN204" s="27"/>
      <c r="AO204" s="29"/>
      <c r="AP204" s="45">
        <f t="shared" si="1"/>
        <v>2771</v>
      </c>
      <c r="AQ204" s="41">
        <f t="shared" si="2"/>
        <v>163</v>
      </c>
      <c r="AR204" s="41">
        <f t="shared" si="3"/>
        <v>0</v>
      </c>
      <c r="AS204" s="41">
        <f t="shared" si="4"/>
        <v>163</v>
      </c>
      <c r="AT204" s="46">
        <f t="shared" si="5"/>
        <v>17</v>
      </c>
      <c r="AU204" s="37"/>
      <c r="AV204" s="37"/>
      <c r="AW204" s="37"/>
    </row>
    <row r="205" ht="15.75" customHeight="1">
      <c r="A205" s="49" t="s">
        <v>32</v>
      </c>
      <c r="B205" s="50">
        <f t="shared" si="6"/>
        <v>44765</v>
      </c>
      <c r="C205" s="51">
        <v>8.0</v>
      </c>
      <c r="D205" s="51" t="s">
        <v>25</v>
      </c>
      <c r="E205" s="53" t="s">
        <v>40</v>
      </c>
      <c r="F205" s="57">
        <v>0.0</v>
      </c>
      <c r="G205" s="55"/>
      <c r="H205" s="59">
        <v>0.0</v>
      </c>
      <c r="I205" s="55"/>
      <c r="J205" s="59">
        <v>0.0</v>
      </c>
      <c r="K205" s="55"/>
      <c r="L205" s="59">
        <v>0.0</v>
      </c>
      <c r="M205" s="55"/>
      <c r="N205" s="59">
        <v>0.0</v>
      </c>
      <c r="O205" s="55"/>
      <c r="P205" s="59">
        <v>0.0</v>
      </c>
      <c r="Q205" s="58"/>
      <c r="R205" s="57">
        <v>0.0</v>
      </c>
      <c r="S205" s="55"/>
      <c r="T205" s="59">
        <v>0.0</v>
      </c>
      <c r="U205" s="55"/>
      <c r="V205" s="59">
        <v>0.0</v>
      </c>
      <c r="W205" s="55"/>
      <c r="X205" s="59">
        <v>0.0</v>
      </c>
      <c r="Y205" s="55"/>
      <c r="Z205" s="59">
        <v>0.0</v>
      </c>
      <c r="AA205" s="55"/>
      <c r="AB205" s="59">
        <v>0.0</v>
      </c>
      <c r="AC205" s="58"/>
      <c r="AD205" s="54"/>
      <c r="AE205" s="55"/>
      <c r="AF205" s="56"/>
      <c r="AG205" s="55"/>
      <c r="AH205" s="56"/>
      <c r="AI205" s="55"/>
      <c r="AJ205" s="56"/>
      <c r="AK205" s="55"/>
      <c r="AL205" s="56"/>
      <c r="AM205" s="55"/>
      <c r="AN205" s="56"/>
      <c r="AO205" s="58"/>
      <c r="AP205" s="60">
        <f t="shared" si="1"/>
        <v>0</v>
      </c>
      <c r="AQ205" s="51">
        <f t="shared" si="2"/>
        <v>0</v>
      </c>
      <c r="AR205" s="51">
        <f t="shared" si="3"/>
        <v>0</v>
      </c>
      <c r="AS205" s="51">
        <f t="shared" si="4"/>
        <v>0</v>
      </c>
      <c r="AT205" s="61" t="str">
        <f t="shared" si="5"/>
        <v/>
      </c>
      <c r="AU205" s="37"/>
      <c r="AV205" s="37"/>
      <c r="AW205" s="37"/>
    </row>
    <row r="206" ht="15.75" customHeight="1">
      <c r="A206" s="21" t="s">
        <v>24</v>
      </c>
      <c r="B206" s="62">
        <f t="shared" si="6"/>
        <v>44766</v>
      </c>
      <c r="C206" s="23">
        <v>8.0</v>
      </c>
      <c r="D206" s="23" t="s">
        <v>33</v>
      </c>
      <c r="E206" s="63" t="s">
        <v>40</v>
      </c>
      <c r="F206" s="28">
        <v>0.0</v>
      </c>
      <c r="H206" s="32">
        <v>0.0</v>
      </c>
      <c r="J206" s="32">
        <v>0.0</v>
      </c>
      <c r="L206" s="32">
        <v>0.0</v>
      </c>
      <c r="N206" s="32">
        <v>0.0</v>
      </c>
      <c r="P206" s="32">
        <v>0.0</v>
      </c>
      <c r="Q206" s="29"/>
      <c r="R206" s="28">
        <v>0.0</v>
      </c>
      <c r="T206" s="32">
        <v>116.0</v>
      </c>
      <c r="V206" s="32">
        <v>78.0</v>
      </c>
      <c r="X206" s="32">
        <v>0.0</v>
      </c>
      <c r="Z206" s="32">
        <v>108.0</v>
      </c>
      <c r="AB206" s="32">
        <v>0.0</v>
      </c>
      <c r="AC206" s="29"/>
      <c r="AD206" s="26"/>
      <c r="AF206" s="27"/>
      <c r="AH206" s="27"/>
      <c r="AJ206" s="27"/>
      <c r="AL206" s="27"/>
      <c r="AN206" s="27"/>
      <c r="AO206" s="29"/>
      <c r="AP206" s="35">
        <f t="shared" si="1"/>
        <v>4702</v>
      </c>
      <c r="AQ206" s="23">
        <f t="shared" si="2"/>
        <v>302</v>
      </c>
      <c r="AR206" s="23">
        <f t="shared" si="3"/>
        <v>0</v>
      </c>
      <c r="AS206" s="23">
        <f t="shared" si="4"/>
        <v>302</v>
      </c>
      <c r="AT206" s="36">
        <f t="shared" si="5"/>
        <v>15.56953642</v>
      </c>
      <c r="AU206" s="37"/>
      <c r="AV206" s="37"/>
      <c r="AW206" s="37"/>
    </row>
    <row r="207" ht="15.75" customHeight="1">
      <c r="A207" s="39" t="s">
        <v>27</v>
      </c>
      <c r="B207" s="40">
        <f t="shared" si="6"/>
        <v>44767</v>
      </c>
      <c r="C207" s="41">
        <v>8.0</v>
      </c>
      <c r="D207" s="41" t="s">
        <v>33</v>
      </c>
      <c r="E207" s="43" t="s">
        <v>40</v>
      </c>
      <c r="F207" s="28">
        <v>0.0</v>
      </c>
      <c r="H207" s="32">
        <v>0.0</v>
      </c>
      <c r="J207" s="32">
        <v>0.0</v>
      </c>
      <c r="L207" s="32">
        <v>0.0</v>
      </c>
      <c r="N207" s="32">
        <v>0.0</v>
      </c>
      <c r="P207" s="32">
        <v>0.0</v>
      </c>
      <c r="Q207" s="29"/>
      <c r="R207" s="28">
        <v>0.0</v>
      </c>
      <c r="T207" s="32">
        <v>104.0</v>
      </c>
      <c r="V207" s="32">
        <v>51.0</v>
      </c>
      <c r="X207" s="32">
        <v>0.0</v>
      </c>
      <c r="Z207" s="32">
        <v>81.0</v>
      </c>
      <c r="AB207" s="32">
        <v>0.0</v>
      </c>
      <c r="AC207" s="29"/>
      <c r="AD207" s="26"/>
      <c r="AF207" s="27"/>
      <c r="AH207" s="27"/>
      <c r="AJ207" s="27"/>
      <c r="AL207" s="27"/>
      <c r="AN207" s="27"/>
      <c r="AO207" s="29"/>
      <c r="AP207" s="45">
        <f t="shared" si="1"/>
        <v>3688</v>
      </c>
      <c r="AQ207" s="41">
        <f t="shared" si="2"/>
        <v>236</v>
      </c>
      <c r="AR207" s="41">
        <f t="shared" si="3"/>
        <v>0</v>
      </c>
      <c r="AS207" s="41">
        <f t="shared" si="4"/>
        <v>236</v>
      </c>
      <c r="AT207" s="46">
        <f t="shared" si="5"/>
        <v>15.62711864</v>
      </c>
      <c r="AU207" s="37"/>
      <c r="AV207" s="37"/>
      <c r="AW207" s="37"/>
    </row>
    <row r="208" ht="15.75" customHeight="1">
      <c r="A208" s="39" t="s">
        <v>28</v>
      </c>
      <c r="B208" s="40">
        <f t="shared" si="6"/>
        <v>44768</v>
      </c>
      <c r="C208" s="41">
        <v>8.0</v>
      </c>
      <c r="D208" s="41" t="s">
        <v>33</v>
      </c>
      <c r="E208" s="43" t="s">
        <v>40</v>
      </c>
      <c r="F208" s="28">
        <v>0.0</v>
      </c>
      <c r="H208" s="32">
        <v>0.0</v>
      </c>
      <c r="J208" s="32">
        <v>0.0</v>
      </c>
      <c r="L208" s="32">
        <v>0.0</v>
      </c>
      <c r="N208" s="32">
        <v>0.0</v>
      </c>
      <c r="P208" s="32">
        <v>0.0</v>
      </c>
      <c r="Q208" s="29"/>
      <c r="R208" s="28">
        <v>21.0</v>
      </c>
      <c r="T208" s="32">
        <v>104.0</v>
      </c>
      <c r="V208" s="32">
        <v>0.0</v>
      </c>
      <c r="X208" s="32">
        <v>0.0</v>
      </c>
      <c r="Z208" s="32">
        <v>86.0</v>
      </c>
      <c r="AB208" s="32">
        <v>0.0</v>
      </c>
      <c r="AC208" s="29"/>
      <c r="AD208" s="26"/>
      <c r="AF208" s="27"/>
      <c r="AH208" s="27"/>
      <c r="AJ208" s="27"/>
      <c r="AL208" s="27"/>
      <c r="AN208" s="27"/>
      <c r="AO208" s="29"/>
      <c r="AP208" s="45">
        <f t="shared" si="1"/>
        <v>3243</v>
      </c>
      <c r="AQ208" s="41">
        <f t="shared" si="2"/>
        <v>211</v>
      </c>
      <c r="AR208" s="41">
        <f t="shared" si="3"/>
        <v>0</v>
      </c>
      <c r="AS208" s="41">
        <f t="shared" si="4"/>
        <v>211</v>
      </c>
      <c r="AT208" s="46">
        <f t="shared" si="5"/>
        <v>15.36966825</v>
      </c>
      <c r="AU208" s="37"/>
      <c r="AV208" s="37"/>
      <c r="AW208" s="37"/>
    </row>
    <row r="209" ht="15.75" customHeight="1">
      <c r="A209" s="39" t="s">
        <v>29</v>
      </c>
      <c r="B209" s="40">
        <f t="shared" si="6"/>
        <v>44769</v>
      </c>
      <c r="C209" s="41">
        <v>8.0</v>
      </c>
      <c r="D209" s="41" t="s">
        <v>33</v>
      </c>
      <c r="E209" s="43" t="s">
        <v>40</v>
      </c>
      <c r="F209" s="28">
        <v>0.0</v>
      </c>
      <c r="H209" s="32">
        <v>0.0</v>
      </c>
      <c r="J209" s="32">
        <v>0.0</v>
      </c>
      <c r="L209" s="32">
        <v>0.0</v>
      </c>
      <c r="N209" s="32">
        <v>0.0</v>
      </c>
      <c r="P209" s="32">
        <v>0.0</v>
      </c>
      <c r="Q209" s="29"/>
      <c r="R209" s="28">
        <v>0.0</v>
      </c>
      <c r="T209" s="32">
        <v>93.0</v>
      </c>
      <c r="V209" s="32">
        <v>0.0</v>
      </c>
      <c r="X209" s="32">
        <v>0.0</v>
      </c>
      <c r="Z209" s="32">
        <v>85.0</v>
      </c>
      <c r="AB209" s="32">
        <v>0.0</v>
      </c>
      <c r="AC209" s="29"/>
      <c r="AD209" s="26"/>
      <c r="AF209" s="27"/>
      <c r="AH209" s="27"/>
      <c r="AJ209" s="27"/>
      <c r="AL209" s="27"/>
      <c r="AN209" s="27"/>
      <c r="AO209" s="29"/>
      <c r="AP209" s="45">
        <f t="shared" si="1"/>
        <v>2686</v>
      </c>
      <c r="AQ209" s="41">
        <f t="shared" si="2"/>
        <v>178</v>
      </c>
      <c r="AR209" s="41">
        <f t="shared" si="3"/>
        <v>0</v>
      </c>
      <c r="AS209" s="41">
        <f t="shared" si="4"/>
        <v>178</v>
      </c>
      <c r="AT209" s="46">
        <f t="shared" si="5"/>
        <v>15.08988764</v>
      </c>
      <c r="AU209" s="37"/>
      <c r="AV209" s="37"/>
      <c r="AW209" s="37"/>
    </row>
    <row r="210" ht="15.75" customHeight="1">
      <c r="A210" s="39" t="s">
        <v>30</v>
      </c>
      <c r="B210" s="40">
        <f t="shared" si="6"/>
        <v>44770</v>
      </c>
      <c r="C210" s="41">
        <v>8.0</v>
      </c>
      <c r="D210" s="41" t="s">
        <v>33</v>
      </c>
      <c r="E210" s="43" t="s">
        <v>40</v>
      </c>
      <c r="F210" s="28">
        <v>0.0</v>
      </c>
      <c r="H210" s="32">
        <v>0.0</v>
      </c>
      <c r="J210" s="32">
        <v>0.0</v>
      </c>
      <c r="L210" s="32">
        <v>0.0</v>
      </c>
      <c r="N210" s="32">
        <v>0.0</v>
      </c>
      <c r="P210" s="32">
        <v>0.0</v>
      </c>
      <c r="Q210" s="29"/>
      <c r="R210" s="28">
        <v>0.0</v>
      </c>
      <c r="T210" s="32">
        <v>101.0</v>
      </c>
      <c r="V210" s="32">
        <v>40.0</v>
      </c>
      <c r="X210" s="32">
        <v>0.0</v>
      </c>
      <c r="Z210" s="32">
        <v>103.0</v>
      </c>
      <c r="AB210" s="32">
        <v>0.0</v>
      </c>
      <c r="AC210" s="29"/>
      <c r="AD210" s="26"/>
      <c r="AF210" s="27"/>
      <c r="AH210" s="27"/>
      <c r="AJ210" s="27"/>
      <c r="AL210" s="27"/>
      <c r="AN210" s="27"/>
      <c r="AO210" s="29"/>
      <c r="AP210" s="45">
        <f t="shared" si="1"/>
        <v>3736</v>
      </c>
      <c r="AQ210" s="41">
        <f t="shared" si="2"/>
        <v>244</v>
      </c>
      <c r="AR210" s="41">
        <f t="shared" si="3"/>
        <v>0</v>
      </c>
      <c r="AS210" s="41">
        <f t="shared" si="4"/>
        <v>244</v>
      </c>
      <c r="AT210" s="46">
        <f t="shared" si="5"/>
        <v>15.31147541</v>
      </c>
      <c r="AU210" s="37"/>
      <c r="AV210" s="37"/>
      <c r="AW210" s="37"/>
    </row>
    <row r="211" ht="15.75" customHeight="1">
      <c r="A211" s="39" t="s">
        <v>31</v>
      </c>
      <c r="B211" s="40">
        <f t="shared" si="6"/>
        <v>44771</v>
      </c>
      <c r="C211" s="41">
        <v>8.0</v>
      </c>
      <c r="D211" s="41" t="s">
        <v>33</v>
      </c>
      <c r="E211" s="43" t="s">
        <v>40</v>
      </c>
      <c r="F211" s="28">
        <v>0.0</v>
      </c>
      <c r="H211" s="32">
        <v>0.0</v>
      </c>
      <c r="J211" s="32">
        <v>0.0</v>
      </c>
      <c r="L211" s="32">
        <v>0.0</v>
      </c>
      <c r="N211" s="32">
        <v>0.0</v>
      </c>
      <c r="P211" s="32">
        <v>0.0</v>
      </c>
      <c r="Q211" s="29"/>
      <c r="R211" s="28">
        <v>0.0</v>
      </c>
      <c r="T211" s="32">
        <v>102.0</v>
      </c>
      <c r="V211" s="32">
        <v>60.0</v>
      </c>
      <c r="X211" s="32">
        <v>0.0</v>
      </c>
      <c r="Z211" s="32">
        <v>101.0</v>
      </c>
      <c r="AB211" s="32">
        <v>0.0</v>
      </c>
      <c r="AC211" s="29"/>
      <c r="AD211" s="26"/>
      <c r="AF211" s="27"/>
      <c r="AH211" s="27"/>
      <c r="AJ211" s="27"/>
      <c r="AL211" s="27"/>
      <c r="AN211" s="27"/>
      <c r="AO211" s="29"/>
      <c r="AP211" s="45">
        <f t="shared" si="1"/>
        <v>4067</v>
      </c>
      <c r="AQ211" s="41">
        <f t="shared" si="2"/>
        <v>263</v>
      </c>
      <c r="AR211" s="41">
        <f t="shared" si="3"/>
        <v>0</v>
      </c>
      <c r="AS211" s="41">
        <f t="shared" si="4"/>
        <v>263</v>
      </c>
      <c r="AT211" s="46">
        <f t="shared" si="5"/>
        <v>15.46387833</v>
      </c>
      <c r="AU211" s="37"/>
      <c r="AV211" s="37"/>
      <c r="AW211" s="37"/>
    </row>
    <row r="212" ht="15.75" customHeight="1">
      <c r="A212" s="49" t="s">
        <v>32</v>
      </c>
      <c r="B212" s="50">
        <f t="shared" si="6"/>
        <v>44772</v>
      </c>
      <c r="C212" s="51">
        <v>8.0</v>
      </c>
      <c r="D212" s="51" t="s">
        <v>33</v>
      </c>
      <c r="E212" s="53" t="s">
        <v>40</v>
      </c>
      <c r="F212" s="57">
        <v>0.0</v>
      </c>
      <c r="G212" s="55"/>
      <c r="H212" s="59">
        <v>0.0</v>
      </c>
      <c r="I212" s="55"/>
      <c r="J212" s="59">
        <v>0.0</v>
      </c>
      <c r="K212" s="55"/>
      <c r="L212" s="59">
        <v>0.0</v>
      </c>
      <c r="M212" s="55"/>
      <c r="N212" s="59">
        <v>0.0</v>
      </c>
      <c r="O212" s="55"/>
      <c r="P212" s="59">
        <v>0.0</v>
      </c>
      <c r="Q212" s="58"/>
      <c r="R212" s="57">
        <v>0.0</v>
      </c>
      <c r="S212" s="55"/>
      <c r="T212" s="59">
        <v>0.0</v>
      </c>
      <c r="U212" s="55"/>
      <c r="V212" s="59">
        <v>0.0</v>
      </c>
      <c r="W212" s="55"/>
      <c r="X212" s="59">
        <v>0.0</v>
      </c>
      <c r="Y212" s="55"/>
      <c r="Z212" s="59">
        <v>0.0</v>
      </c>
      <c r="AA212" s="55"/>
      <c r="AB212" s="59">
        <v>0.0</v>
      </c>
      <c r="AC212" s="58"/>
      <c r="AD212" s="54"/>
      <c r="AE212" s="55"/>
      <c r="AF212" s="56"/>
      <c r="AG212" s="55"/>
      <c r="AH212" s="56"/>
      <c r="AI212" s="55"/>
      <c r="AJ212" s="56"/>
      <c r="AK212" s="55"/>
      <c r="AL212" s="56"/>
      <c r="AM212" s="55"/>
      <c r="AN212" s="56"/>
      <c r="AO212" s="58"/>
      <c r="AP212" s="60">
        <f t="shared" si="1"/>
        <v>0</v>
      </c>
      <c r="AQ212" s="51">
        <f t="shared" si="2"/>
        <v>0</v>
      </c>
      <c r="AR212" s="51">
        <f t="shared" si="3"/>
        <v>0</v>
      </c>
      <c r="AS212" s="51">
        <f t="shared" si="4"/>
        <v>0</v>
      </c>
      <c r="AT212" s="61" t="str">
        <f t="shared" si="5"/>
        <v/>
      </c>
      <c r="AU212" s="37"/>
      <c r="AV212" s="37"/>
      <c r="AW212" s="37"/>
    </row>
    <row r="213" ht="15.75" customHeight="1">
      <c r="A213" s="21" t="s">
        <v>24</v>
      </c>
      <c r="B213" s="62">
        <f t="shared" si="6"/>
        <v>44773</v>
      </c>
      <c r="C213" s="23">
        <v>8.0</v>
      </c>
      <c r="D213" s="23" t="s">
        <v>34</v>
      </c>
      <c r="E213" s="63" t="s">
        <v>40</v>
      </c>
      <c r="F213" s="28">
        <v>0.0</v>
      </c>
      <c r="H213" s="32">
        <v>0.0</v>
      </c>
      <c r="J213" s="32">
        <v>0.0</v>
      </c>
      <c r="L213" s="32">
        <v>0.0</v>
      </c>
      <c r="N213" s="32">
        <v>0.0</v>
      </c>
      <c r="P213" s="32">
        <v>0.0</v>
      </c>
      <c r="Q213" s="29"/>
      <c r="R213" s="28">
        <v>0.0</v>
      </c>
      <c r="T213" s="32">
        <v>102.0</v>
      </c>
      <c r="V213" s="32">
        <v>0.0</v>
      </c>
      <c r="X213" s="32">
        <v>0.0</v>
      </c>
      <c r="Z213" s="32">
        <v>76.0</v>
      </c>
      <c r="AB213" s="32">
        <v>0.0</v>
      </c>
      <c r="AC213" s="29"/>
      <c r="AD213" s="26"/>
      <c r="AF213" s="27"/>
      <c r="AH213" s="27"/>
      <c r="AJ213" s="27"/>
      <c r="AL213" s="27"/>
      <c r="AN213" s="27"/>
      <c r="AO213" s="29"/>
      <c r="AP213" s="35">
        <f t="shared" si="1"/>
        <v>2722</v>
      </c>
      <c r="AQ213" s="23">
        <f t="shared" si="2"/>
        <v>178</v>
      </c>
      <c r="AR213" s="23">
        <f t="shared" si="3"/>
        <v>0</v>
      </c>
      <c r="AS213" s="23">
        <f t="shared" si="4"/>
        <v>178</v>
      </c>
      <c r="AT213" s="36">
        <f t="shared" si="5"/>
        <v>15.29213483</v>
      </c>
      <c r="AU213" s="37"/>
      <c r="AV213" s="37"/>
      <c r="AW213" s="37"/>
    </row>
    <row r="214" ht="15.75" customHeight="1">
      <c r="A214" s="39" t="s">
        <v>27</v>
      </c>
      <c r="B214" s="40">
        <f t="shared" si="6"/>
        <v>44774</v>
      </c>
      <c r="C214" s="41">
        <v>8.0</v>
      </c>
      <c r="D214" s="41" t="s">
        <v>34</v>
      </c>
      <c r="E214" s="43" t="s">
        <v>40</v>
      </c>
      <c r="F214" s="28">
        <v>0.0</v>
      </c>
      <c r="H214" s="32">
        <v>0.0</v>
      </c>
      <c r="J214" s="32">
        <v>0.0</v>
      </c>
      <c r="L214" s="32">
        <v>0.0</v>
      </c>
      <c r="N214" s="32">
        <v>0.0</v>
      </c>
      <c r="P214" s="32">
        <v>0.0</v>
      </c>
      <c r="Q214" s="29"/>
      <c r="R214" s="28">
        <v>0.0</v>
      </c>
      <c r="T214" s="32">
        <v>97.0</v>
      </c>
      <c r="V214" s="32">
        <v>75.0</v>
      </c>
      <c r="X214" s="32">
        <v>0.0</v>
      </c>
      <c r="Z214" s="32">
        <v>70.0</v>
      </c>
      <c r="AB214" s="32">
        <v>0.0</v>
      </c>
      <c r="AC214" s="29"/>
      <c r="AD214" s="26"/>
      <c r="AF214" s="27"/>
      <c r="AH214" s="27"/>
      <c r="AJ214" s="27"/>
      <c r="AL214" s="27"/>
      <c r="AN214" s="27"/>
      <c r="AO214" s="29"/>
      <c r="AP214" s="45">
        <f t="shared" si="1"/>
        <v>3834</v>
      </c>
      <c r="AQ214" s="41">
        <f t="shared" si="2"/>
        <v>242</v>
      </c>
      <c r="AR214" s="41">
        <f t="shared" si="3"/>
        <v>0</v>
      </c>
      <c r="AS214" s="41">
        <f t="shared" si="4"/>
        <v>242</v>
      </c>
      <c r="AT214" s="46">
        <f t="shared" si="5"/>
        <v>15.84297521</v>
      </c>
      <c r="AU214" s="37"/>
      <c r="AV214" s="37"/>
      <c r="AW214" s="37"/>
    </row>
    <row r="215" ht="15.75" customHeight="1">
      <c r="A215" s="39" t="s">
        <v>28</v>
      </c>
      <c r="B215" s="40">
        <f t="shared" si="6"/>
        <v>44775</v>
      </c>
      <c r="C215" s="41">
        <v>8.0</v>
      </c>
      <c r="D215" s="41" t="s">
        <v>34</v>
      </c>
      <c r="E215" s="43" t="s">
        <v>40</v>
      </c>
      <c r="F215" s="28">
        <v>0.0</v>
      </c>
      <c r="H215" s="32">
        <v>0.0</v>
      </c>
      <c r="J215" s="32">
        <v>0.0</v>
      </c>
      <c r="L215" s="32">
        <v>0.0</v>
      </c>
      <c r="N215" s="32">
        <v>0.0</v>
      </c>
      <c r="P215" s="32">
        <v>0.0</v>
      </c>
      <c r="Q215" s="29"/>
      <c r="R215" s="28">
        <v>0.0</v>
      </c>
      <c r="T215" s="32">
        <v>93.0</v>
      </c>
      <c r="V215" s="32">
        <v>66.0</v>
      </c>
      <c r="X215" s="32">
        <v>0.0</v>
      </c>
      <c r="Z215" s="32">
        <v>63.0</v>
      </c>
      <c r="AB215" s="32">
        <v>0.0</v>
      </c>
      <c r="AC215" s="29"/>
      <c r="AD215" s="26"/>
      <c r="AF215" s="27"/>
      <c r="AH215" s="27"/>
      <c r="AJ215" s="27"/>
      <c r="AL215" s="27"/>
      <c r="AN215" s="27"/>
      <c r="AO215" s="29"/>
      <c r="AP215" s="45">
        <f t="shared" si="1"/>
        <v>3522</v>
      </c>
      <c r="AQ215" s="41">
        <f t="shared" si="2"/>
        <v>222</v>
      </c>
      <c r="AR215" s="41">
        <f t="shared" si="3"/>
        <v>0</v>
      </c>
      <c r="AS215" s="41">
        <f t="shared" si="4"/>
        <v>222</v>
      </c>
      <c r="AT215" s="46">
        <f t="shared" si="5"/>
        <v>15.86486486</v>
      </c>
      <c r="AU215" s="37"/>
      <c r="AV215" s="37"/>
      <c r="AW215" s="37"/>
    </row>
    <row r="216" ht="15.75" customHeight="1">
      <c r="A216" s="39" t="s">
        <v>29</v>
      </c>
      <c r="B216" s="40">
        <f t="shared" si="6"/>
        <v>44776</v>
      </c>
      <c r="C216" s="41">
        <v>8.0</v>
      </c>
      <c r="D216" s="41" t="s">
        <v>34</v>
      </c>
      <c r="E216" s="43" t="s">
        <v>40</v>
      </c>
      <c r="F216" s="28">
        <v>0.0</v>
      </c>
      <c r="H216" s="32">
        <v>0.0</v>
      </c>
      <c r="J216" s="32">
        <v>0.0</v>
      </c>
      <c r="L216" s="32">
        <v>0.0</v>
      </c>
      <c r="N216" s="32">
        <v>0.0</v>
      </c>
      <c r="P216" s="32">
        <v>0.0</v>
      </c>
      <c r="Q216" s="29"/>
      <c r="R216" s="28">
        <v>0.0</v>
      </c>
      <c r="T216" s="32">
        <v>94.0</v>
      </c>
      <c r="V216" s="32">
        <v>52.0</v>
      </c>
      <c r="X216" s="32">
        <v>0.0</v>
      </c>
      <c r="Z216" s="32">
        <v>81.0</v>
      </c>
      <c r="AB216" s="32">
        <v>0.0</v>
      </c>
      <c r="AC216" s="29"/>
      <c r="AD216" s="26"/>
      <c r="AF216" s="27"/>
      <c r="AH216" s="27"/>
      <c r="AJ216" s="27"/>
      <c r="AL216" s="27"/>
      <c r="AN216" s="27"/>
      <c r="AO216" s="29"/>
      <c r="AP216" s="45">
        <f t="shared" si="1"/>
        <v>3535</v>
      </c>
      <c r="AQ216" s="41">
        <f t="shared" si="2"/>
        <v>227</v>
      </c>
      <c r="AR216" s="41">
        <f t="shared" si="3"/>
        <v>0</v>
      </c>
      <c r="AS216" s="41">
        <f t="shared" si="4"/>
        <v>227</v>
      </c>
      <c r="AT216" s="46">
        <f t="shared" si="5"/>
        <v>15.57268722</v>
      </c>
      <c r="AU216" s="37"/>
      <c r="AV216" s="37"/>
      <c r="AW216" s="37"/>
    </row>
    <row r="217" ht="15.75" customHeight="1">
      <c r="A217" s="39" t="s">
        <v>30</v>
      </c>
      <c r="B217" s="40">
        <f t="shared" si="6"/>
        <v>44777</v>
      </c>
      <c r="C217" s="41">
        <v>8.0</v>
      </c>
      <c r="D217" s="41" t="s">
        <v>34</v>
      </c>
      <c r="E217" s="43" t="s">
        <v>40</v>
      </c>
      <c r="F217" s="28">
        <v>0.0</v>
      </c>
      <c r="H217" s="32">
        <v>0.0</v>
      </c>
      <c r="J217" s="32">
        <v>0.0</v>
      </c>
      <c r="L217" s="32">
        <v>0.0</v>
      </c>
      <c r="N217" s="32">
        <v>0.0</v>
      </c>
      <c r="P217" s="32">
        <v>0.0</v>
      </c>
      <c r="Q217" s="29"/>
      <c r="R217" s="28">
        <v>0.0</v>
      </c>
      <c r="T217" s="32">
        <v>90.0</v>
      </c>
      <c r="V217" s="32">
        <v>62.0</v>
      </c>
      <c r="X217" s="32">
        <v>0.0</v>
      </c>
      <c r="Z217" s="27"/>
      <c r="AB217" s="32">
        <v>0.0</v>
      </c>
      <c r="AC217" s="29"/>
      <c r="AD217" s="26"/>
      <c r="AF217" s="27"/>
      <c r="AH217" s="27"/>
      <c r="AJ217" s="27"/>
      <c r="AL217" s="27"/>
      <c r="AN217" s="27"/>
      <c r="AO217" s="29"/>
      <c r="AP217" s="45">
        <f t="shared" si="1"/>
        <v>2584</v>
      </c>
      <c r="AQ217" s="41">
        <f t="shared" si="2"/>
        <v>152</v>
      </c>
      <c r="AR217" s="41">
        <f t="shared" si="3"/>
        <v>0</v>
      </c>
      <c r="AS217" s="41">
        <f t="shared" si="4"/>
        <v>152</v>
      </c>
      <c r="AT217" s="46">
        <f t="shared" si="5"/>
        <v>17</v>
      </c>
      <c r="AU217" s="37"/>
      <c r="AV217" s="37"/>
      <c r="AW217" s="37"/>
    </row>
    <row r="218" ht="15.75" customHeight="1">
      <c r="A218" s="39" t="s">
        <v>31</v>
      </c>
      <c r="B218" s="40">
        <f t="shared" si="6"/>
        <v>44778</v>
      </c>
      <c r="C218" s="41">
        <v>8.0</v>
      </c>
      <c r="D218" s="41" t="s">
        <v>34</v>
      </c>
      <c r="E218" s="43" t="s">
        <v>40</v>
      </c>
      <c r="F218" s="28">
        <v>0.0</v>
      </c>
      <c r="H218" s="32">
        <v>0.0</v>
      </c>
      <c r="J218" s="32">
        <v>0.0</v>
      </c>
      <c r="L218" s="32">
        <v>0.0</v>
      </c>
      <c r="N218" s="32">
        <v>0.0</v>
      </c>
      <c r="P218" s="32">
        <v>0.0</v>
      </c>
      <c r="Q218" s="29"/>
      <c r="R218" s="28">
        <v>88.0</v>
      </c>
      <c r="T218" s="27"/>
      <c r="V218" s="32">
        <v>0.0</v>
      </c>
      <c r="X218" s="32">
        <v>0.0</v>
      </c>
      <c r="Z218" s="32">
        <v>0.0</v>
      </c>
      <c r="AB218" s="32">
        <v>0.0</v>
      </c>
      <c r="AC218" s="29"/>
      <c r="AD218" s="26"/>
      <c r="AF218" s="27"/>
      <c r="AH218" s="27"/>
      <c r="AJ218" s="27"/>
      <c r="AL218" s="27"/>
      <c r="AN218" s="27"/>
      <c r="AO218" s="29"/>
      <c r="AP218" s="45">
        <f t="shared" si="1"/>
        <v>1496</v>
      </c>
      <c r="AQ218" s="41">
        <f t="shared" si="2"/>
        <v>88</v>
      </c>
      <c r="AR218" s="41">
        <f t="shared" si="3"/>
        <v>0</v>
      </c>
      <c r="AS218" s="41">
        <f t="shared" si="4"/>
        <v>88</v>
      </c>
      <c r="AT218" s="46">
        <f t="shared" si="5"/>
        <v>17</v>
      </c>
      <c r="AU218" s="37"/>
      <c r="AV218" s="37"/>
      <c r="AW218" s="37"/>
    </row>
    <row r="219" ht="15.75" customHeight="1">
      <c r="A219" s="49" t="s">
        <v>32</v>
      </c>
      <c r="B219" s="50">
        <f t="shared" si="6"/>
        <v>44779</v>
      </c>
      <c r="C219" s="51">
        <v>8.0</v>
      </c>
      <c r="D219" s="51" t="s">
        <v>34</v>
      </c>
      <c r="E219" s="53" t="s">
        <v>40</v>
      </c>
      <c r="F219" s="57">
        <v>0.0</v>
      </c>
      <c r="G219" s="55"/>
      <c r="H219" s="59">
        <v>0.0</v>
      </c>
      <c r="I219" s="55"/>
      <c r="J219" s="59">
        <v>0.0</v>
      </c>
      <c r="K219" s="55"/>
      <c r="L219" s="59">
        <v>0.0</v>
      </c>
      <c r="M219" s="55"/>
      <c r="N219" s="59">
        <v>0.0</v>
      </c>
      <c r="O219" s="55"/>
      <c r="P219" s="59">
        <v>0.0</v>
      </c>
      <c r="Q219" s="58"/>
      <c r="R219" s="57">
        <v>0.0</v>
      </c>
      <c r="S219" s="55"/>
      <c r="T219" s="59">
        <v>0.0</v>
      </c>
      <c r="U219" s="55"/>
      <c r="V219" s="59">
        <v>0.0</v>
      </c>
      <c r="W219" s="55"/>
      <c r="X219" s="59">
        <v>0.0</v>
      </c>
      <c r="Y219" s="55"/>
      <c r="Z219" s="59">
        <v>0.0</v>
      </c>
      <c r="AA219" s="55"/>
      <c r="AB219" s="59">
        <v>0.0</v>
      </c>
      <c r="AC219" s="58"/>
      <c r="AD219" s="54"/>
      <c r="AE219" s="55"/>
      <c r="AF219" s="56"/>
      <c r="AG219" s="55"/>
      <c r="AH219" s="56"/>
      <c r="AI219" s="55"/>
      <c r="AJ219" s="56"/>
      <c r="AK219" s="55"/>
      <c r="AL219" s="56"/>
      <c r="AM219" s="55"/>
      <c r="AN219" s="56"/>
      <c r="AO219" s="58"/>
      <c r="AP219" s="60">
        <f t="shared" si="1"/>
        <v>0</v>
      </c>
      <c r="AQ219" s="51">
        <f t="shared" si="2"/>
        <v>0</v>
      </c>
      <c r="AR219" s="51">
        <f t="shared" si="3"/>
        <v>0</v>
      </c>
      <c r="AS219" s="51">
        <f t="shared" si="4"/>
        <v>0</v>
      </c>
      <c r="AT219" s="61" t="str">
        <f t="shared" si="5"/>
        <v/>
      </c>
      <c r="AU219" s="37"/>
      <c r="AV219" s="37"/>
      <c r="AW219" s="37"/>
    </row>
    <row r="220" ht="15.75" customHeight="1">
      <c r="A220" s="21" t="s">
        <v>24</v>
      </c>
      <c r="B220" s="62">
        <f t="shared" si="6"/>
        <v>44780</v>
      </c>
      <c r="C220" s="23">
        <v>8.0</v>
      </c>
      <c r="D220" s="23" t="s">
        <v>35</v>
      </c>
      <c r="E220" s="63" t="s">
        <v>40</v>
      </c>
      <c r="F220" s="28">
        <v>0.0</v>
      </c>
      <c r="H220" s="32">
        <v>0.0</v>
      </c>
      <c r="J220" s="32">
        <v>0.0</v>
      </c>
      <c r="L220" s="32">
        <v>0.0</v>
      </c>
      <c r="N220" s="32">
        <v>0.0</v>
      </c>
      <c r="P220" s="32">
        <v>0.0</v>
      </c>
      <c r="Q220" s="29"/>
      <c r="R220" s="28">
        <v>0.0</v>
      </c>
      <c r="T220" s="32">
        <v>98.0</v>
      </c>
      <c r="V220" s="32">
        <v>73.0</v>
      </c>
      <c r="X220" s="32">
        <v>0.0</v>
      </c>
      <c r="Z220" s="32">
        <v>81.0</v>
      </c>
      <c r="AB220" s="32">
        <v>0.0</v>
      </c>
      <c r="AC220" s="29"/>
      <c r="AD220" s="26"/>
      <c r="AF220" s="27"/>
      <c r="AH220" s="27"/>
      <c r="AJ220" s="27"/>
      <c r="AL220" s="27"/>
      <c r="AN220" s="27"/>
      <c r="AO220" s="29"/>
      <c r="AP220" s="35">
        <f t="shared" si="1"/>
        <v>3960</v>
      </c>
      <c r="AQ220" s="23">
        <f t="shared" si="2"/>
        <v>252</v>
      </c>
      <c r="AR220" s="23">
        <f t="shared" si="3"/>
        <v>0</v>
      </c>
      <c r="AS220" s="23">
        <f t="shared" si="4"/>
        <v>252</v>
      </c>
      <c r="AT220" s="36">
        <f t="shared" si="5"/>
        <v>15.71428571</v>
      </c>
      <c r="AU220" s="37"/>
      <c r="AV220" s="37"/>
      <c r="AW220" s="37"/>
    </row>
    <row r="221" ht="15.75" customHeight="1">
      <c r="A221" s="39" t="s">
        <v>27</v>
      </c>
      <c r="B221" s="40">
        <f t="shared" si="6"/>
        <v>44781</v>
      </c>
      <c r="C221" s="41">
        <v>8.0</v>
      </c>
      <c r="D221" s="41" t="s">
        <v>35</v>
      </c>
      <c r="E221" s="43" t="s">
        <v>40</v>
      </c>
      <c r="F221" s="28">
        <v>0.0</v>
      </c>
      <c r="H221" s="32">
        <v>0.0</v>
      </c>
      <c r="J221" s="32">
        <v>0.0</v>
      </c>
      <c r="L221" s="32">
        <v>0.0</v>
      </c>
      <c r="N221" s="32">
        <v>0.0</v>
      </c>
      <c r="P221" s="32">
        <v>0.0</v>
      </c>
      <c r="Q221" s="29"/>
      <c r="R221" s="28">
        <v>0.0</v>
      </c>
      <c r="T221" s="32">
        <v>88.0</v>
      </c>
      <c r="V221" s="32">
        <v>68.0</v>
      </c>
      <c r="X221" s="32">
        <v>0.0</v>
      </c>
      <c r="Z221" s="32">
        <v>72.0</v>
      </c>
      <c r="AB221" s="32">
        <v>0.0</v>
      </c>
      <c r="AC221" s="29"/>
      <c r="AD221" s="26"/>
      <c r="AF221" s="27"/>
      <c r="AH221" s="27"/>
      <c r="AJ221" s="27"/>
      <c r="AL221" s="27"/>
      <c r="AN221" s="27"/>
      <c r="AO221" s="29"/>
      <c r="AP221" s="45">
        <f t="shared" si="1"/>
        <v>3588</v>
      </c>
      <c r="AQ221" s="41">
        <f t="shared" si="2"/>
        <v>228</v>
      </c>
      <c r="AR221" s="41">
        <f t="shared" si="3"/>
        <v>0</v>
      </c>
      <c r="AS221" s="41">
        <f t="shared" si="4"/>
        <v>228</v>
      </c>
      <c r="AT221" s="46">
        <f t="shared" si="5"/>
        <v>15.73684211</v>
      </c>
      <c r="AU221" s="37"/>
      <c r="AV221" s="37"/>
      <c r="AW221" s="37"/>
    </row>
    <row r="222" ht="15.75" customHeight="1">
      <c r="A222" s="39" t="s">
        <v>28</v>
      </c>
      <c r="B222" s="40">
        <f t="shared" si="6"/>
        <v>44782</v>
      </c>
      <c r="C222" s="41">
        <v>8.0</v>
      </c>
      <c r="D222" s="41" t="s">
        <v>35</v>
      </c>
      <c r="E222" s="43" t="s">
        <v>40</v>
      </c>
      <c r="F222" s="28">
        <v>0.0</v>
      </c>
      <c r="H222" s="32">
        <v>0.0</v>
      </c>
      <c r="J222" s="32">
        <v>0.0</v>
      </c>
      <c r="L222" s="32">
        <v>0.0</v>
      </c>
      <c r="N222" s="32">
        <v>0.0</v>
      </c>
      <c r="P222" s="32">
        <v>0.0</v>
      </c>
      <c r="Q222" s="29"/>
      <c r="R222" s="28">
        <v>0.0</v>
      </c>
      <c r="T222" s="32">
        <v>103.0</v>
      </c>
      <c r="V222" s="27"/>
      <c r="X222" s="32">
        <v>0.0</v>
      </c>
      <c r="Z222" s="32">
        <v>72.0</v>
      </c>
      <c r="AB222" s="32">
        <v>0.0</v>
      </c>
      <c r="AC222" s="29"/>
      <c r="AD222" s="26"/>
      <c r="AF222" s="27"/>
      <c r="AH222" s="27"/>
      <c r="AJ222" s="27"/>
      <c r="AL222" s="27"/>
      <c r="AN222" s="27"/>
      <c r="AO222" s="29"/>
      <c r="AP222" s="45">
        <f t="shared" si="1"/>
        <v>2687</v>
      </c>
      <c r="AQ222" s="41">
        <f t="shared" si="2"/>
        <v>175</v>
      </c>
      <c r="AR222" s="41">
        <f t="shared" si="3"/>
        <v>0</v>
      </c>
      <c r="AS222" s="41">
        <f t="shared" si="4"/>
        <v>175</v>
      </c>
      <c r="AT222" s="46">
        <f t="shared" si="5"/>
        <v>15.35428571</v>
      </c>
      <c r="AU222" s="37"/>
      <c r="AV222" s="37"/>
      <c r="AW222" s="37"/>
    </row>
    <row r="223" ht="15.75" customHeight="1">
      <c r="A223" s="39" t="s">
        <v>29</v>
      </c>
      <c r="B223" s="40">
        <f t="shared" si="6"/>
        <v>44783</v>
      </c>
      <c r="C223" s="41">
        <v>8.0</v>
      </c>
      <c r="D223" s="41" t="s">
        <v>35</v>
      </c>
      <c r="E223" s="43" t="s">
        <v>40</v>
      </c>
      <c r="F223" s="28">
        <v>0.0</v>
      </c>
      <c r="H223" s="32">
        <v>0.0</v>
      </c>
      <c r="J223" s="32">
        <v>0.0</v>
      </c>
      <c r="L223" s="32">
        <v>0.0</v>
      </c>
      <c r="N223" s="32">
        <v>0.0</v>
      </c>
      <c r="P223" s="32">
        <v>0.0</v>
      </c>
      <c r="Q223" s="29"/>
      <c r="R223" s="28">
        <v>0.0</v>
      </c>
      <c r="T223" s="32">
        <v>91.0</v>
      </c>
      <c r="V223" s="27"/>
      <c r="X223" s="32">
        <v>0.0</v>
      </c>
      <c r="Z223" s="32">
        <v>72.0</v>
      </c>
      <c r="AB223" s="32">
        <v>0.0</v>
      </c>
      <c r="AC223" s="29"/>
      <c r="AD223" s="26"/>
      <c r="AF223" s="27"/>
      <c r="AH223" s="27"/>
      <c r="AJ223" s="27"/>
      <c r="AL223" s="27"/>
      <c r="AN223" s="27"/>
      <c r="AO223" s="29"/>
      <c r="AP223" s="45">
        <f t="shared" si="1"/>
        <v>2483</v>
      </c>
      <c r="AQ223" s="41">
        <f t="shared" si="2"/>
        <v>163</v>
      </c>
      <c r="AR223" s="41">
        <f t="shared" si="3"/>
        <v>0</v>
      </c>
      <c r="AS223" s="41">
        <f t="shared" si="4"/>
        <v>163</v>
      </c>
      <c r="AT223" s="46">
        <f t="shared" si="5"/>
        <v>15.23312883</v>
      </c>
      <c r="AU223" s="37"/>
      <c r="AV223" s="37"/>
      <c r="AW223" s="37"/>
    </row>
    <row r="224" ht="15.75" customHeight="1">
      <c r="A224" s="39" t="s">
        <v>30</v>
      </c>
      <c r="B224" s="40">
        <f t="shared" si="6"/>
        <v>44784</v>
      </c>
      <c r="C224" s="41">
        <v>8.0</v>
      </c>
      <c r="D224" s="41" t="s">
        <v>35</v>
      </c>
      <c r="E224" s="43" t="s">
        <v>40</v>
      </c>
      <c r="F224" s="28">
        <v>0.0</v>
      </c>
      <c r="H224" s="32">
        <v>0.0</v>
      </c>
      <c r="J224" s="32">
        <v>0.0</v>
      </c>
      <c r="L224" s="32">
        <v>0.0</v>
      </c>
      <c r="N224" s="32">
        <v>0.0</v>
      </c>
      <c r="P224" s="32">
        <v>0.0</v>
      </c>
      <c r="Q224" s="29"/>
      <c r="R224" s="28">
        <v>0.0</v>
      </c>
      <c r="T224" s="32">
        <v>72.0</v>
      </c>
      <c r="V224" s="32">
        <v>0.0</v>
      </c>
      <c r="X224" s="32">
        <v>0.0</v>
      </c>
      <c r="Z224" s="32">
        <v>62.0</v>
      </c>
      <c r="AB224" s="32">
        <v>0.0</v>
      </c>
      <c r="AC224" s="29"/>
      <c r="AD224" s="26"/>
      <c r="AF224" s="27"/>
      <c r="AH224" s="27"/>
      <c r="AJ224" s="27"/>
      <c r="AL224" s="27"/>
      <c r="AN224" s="27"/>
      <c r="AO224" s="29"/>
      <c r="AP224" s="45">
        <f t="shared" si="1"/>
        <v>2030</v>
      </c>
      <c r="AQ224" s="41">
        <f t="shared" si="2"/>
        <v>134</v>
      </c>
      <c r="AR224" s="41">
        <f t="shared" si="3"/>
        <v>0</v>
      </c>
      <c r="AS224" s="41">
        <f t="shared" si="4"/>
        <v>134</v>
      </c>
      <c r="AT224" s="46">
        <f t="shared" si="5"/>
        <v>15.14925373</v>
      </c>
      <c r="AU224" s="37"/>
      <c r="AV224" s="37"/>
      <c r="AW224" s="37"/>
    </row>
    <row r="225" ht="15.75" customHeight="1">
      <c r="A225" s="39" t="s">
        <v>31</v>
      </c>
      <c r="B225" s="40">
        <f t="shared" si="6"/>
        <v>44785</v>
      </c>
      <c r="C225" s="41">
        <v>8.0</v>
      </c>
      <c r="D225" s="41" t="s">
        <v>35</v>
      </c>
      <c r="E225" s="43" t="s">
        <v>40</v>
      </c>
      <c r="F225" s="28">
        <v>0.0</v>
      </c>
      <c r="H225" s="32">
        <v>0.0</v>
      </c>
      <c r="J225" s="32">
        <v>0.0</v>
      </c>
      <c r="L225" s="32">
        <v>0.0</v>
      </c>
      <c r="N225" s="32">
        <v>0.0</v>
      </c>
      <c r="P225" s="32">
        <v>0.0</v>
      </c>
      <c r="Q225" s="29"/>
      <c r="R225" s="28">
        <v>68.0</v>
      </c>
      <c r="T225" s="32">
        <v>48.0</v>
      </c>
      <c r="V225" s="32">
        <v>0.0</v>
      </c>
      <c r="X225" s="32">
        <v>0.0</v>
      </c>
      <c r="Z225" s="32">
        <v>0.0</v>
      </c>
      <c r="AB225" s="32">
        <v>15.0</v>
      </c>
      <c r="AC225" s="29"/>
      <c r="AD225" s="26"/>
      <c r="AF225" s="27"/>
      <c r="AH225" s="27"/>
      <c r="AJ225" s="27"/>
      <c r="AL225" s="27"/>
      <c r="AN225" s="27"/>
      <c r="AO225" s="29"/>
      <c r="AP225" s="45">
        <f t="shared" si="1"/>
        <v>2077</v>
      </c>
      <c r="AQ225" s="41">
        <f t="shared" si="2"/>
        <v>116</v>
      </c>
      <c r="AR225" s="41">
        <f t="shared" si="3"/>
        <v>15</v>
      </c>
      <c r="AS225" s="41">
        <f t="shared" si="4"/>
        <v>131</v>
      </c>
      <c r="AT225" s="46">
        <f t="shared" si="5"/>
        <v>15.85496183</v>
      </c>
      <c r="AU225" s="37"/>
      <c r="AV225" s="37"/>
      <c r="AW225" s="37"/>
    </row>
    <row r="226" ht="15.75" customHeight="1">
      <c r="A226" s="49" t="s">
        <v>32</v>
      </c>
      <c r="B226" s="50">
        <f t="shared" si="6"/>
        <v>44786</v>
      </c>
      <c r="C226" s="51">
        <v>8.0</v>
      </c>
      <c r="D226" s="51" t="s">
        <v>35</v>
      </c>
      <c r="E226" s="53" t="s">
        <v>40</v>
      </c>
      <c r="F226" s="57">
        <v>0.0</v>
      </c>
      <c r="G226" s="55"/>
      <c r="H226" s="59">
        <v>0.0</v>
      </c>
      <c r="I226" s="55"/>
      <c r="J226" s="59">
        <v>0.0</v>
      </c>
      <c r="K226" s="55"/>
      <c r="L226" s="59">
        <v>0.0</v>
      </c>
      <c r="M226" s="55"/>
      <c r="N226" s="59">
        <v>0.0</v>
      </c>
      <c r="O226" s="55"/>
      <c r="P226" s="59">
        <v>0.0</v>
      </c>
      <c r="Q226" s="58"/>
      <c r="R226" s="57">
        <v>0.0</v>
      </c>
      <c r="S226" s="55"/>
      <c r="T226" s="59">
        <v>0.0</v>
      </c>
      <c r="U226" s="55"/>
      <c r="V226" s="59">
        <v>0.0</v>
      </c>
      <c r="W226" s="55"/>
      <c r="X226" s="59">
        <v>0.0</v>
      </c>
      <c r="Y226" s="55"/>
      <c r="Z226" s="59">
        <v>0.0</v>
      </c>
      <c r="AA226" s="55"/>
      <c r="AB226" s="59">
        <v>0.0</v>
      </c>
      <c r="AC226" s="58"/>
      <c r="AD226" s="54"/>
      <c r="AE226" s="55"/>
      <c r="AF226" s="56"/>
      <c r="AG226" s="55"/>
      <c r="AH226" s="56"/>
      <c r="AI226" s="55"/>
      <c r="AJ226" s="56"/>
      <c r="AK226" s="55"/>
      <c r="AL226" s="56"/>
      <c r="AM226" s="55"/>
      <c r="AN226" s="56"/>
      <c r="AO226" s="58"/>
      <c r="AP226" s="60">
        <f t="shared" si="1"/>
        <v>0</v>
      </c>
      <c r="AQ226" s="51">
        <f t="shared" si="2"/>
        <v>0</v>
      </c>
      <c r="AR226" s="51">
        <f t="shared" si="3"/>
        <v>0</v>
      </c>
      <c r="AS226" s="51">
        <f t="shared" si="4"/>
        <v>0</v>
      </c>
      <c r="AT226" s="61" t="str">
        <f t="shared" si="5"/>
        <v/>
      </c>
      <c r="AU226" s="37"/>
      <c r="AV226" s="37"/>
      <c r="AW226" s="37"/>
    </row>
    <row r="227" ht="15.75" customHeight="1">
      <c r="A227" s="21" t="s">
        <v>24</v>
      </c>
      <c r="B227" s="62">
        <f t="shared" si="6"/>
        <v>44787</v>
      </c>
      <c r="C227" s="23">
        <v>9.0</v>
      </c>
      <c r="D227" s="23" t="s">
        <v>25</v>
      </c>
      <c r="E227" s="63" t="s">
        <v>40</v>
      </c>
      <c r="F227" s="28">
        <v>0.0</v>
      </c>
      <c r="H227" s="32">
        <v>0.0</v>
      </c>
      <c r="J227" s="32">
        <v>0.0</v>
      </c>
      <c r="L227" s="32">
        <v>0.0</v>
      </c>
      <c r="N227" s="32">
        <v>0.0</v>
      </c>
      <c r="P227" s="32">
        <v>0.0</v>
      </c>
      <c r="Q227" s="29"/>
      <c r="R227" s="28">
        <v>0.0</v>
      </c>
      <c r="T227" s="32">
        <v>118.0</v>
      </c>
      <c r="V227" s="32">
        <v>64.0</v>
      </c>
      <c r="X227" s="32">
        <v>0.0</v>
      </c>
      <c r="Z227" s="32">
        <v>86.0</v>
      </c>
      <c r="AB227" s="32">
        <v>0.0</v>
      </c>
      <c r="AC227" s="29"/>
      <c r="AD227" s="26"/>
      <c r="AF227" s="27"/>
      <c r="AH227" s="27"/>
      <c r="AJ227" s="27"/>
      <c r="AL227" s="27"/>
      <c r="AN227" s="27"/>
      <c r="AO227" s="29"/>
      <c r="AP227" s="35">
        <f t="shared" si="1"/>
        <v>4212</v>
      </c>
      <c r="AQ227" s="23">
        <f t="shared" si="2"/>
        <v>268</v>
      </c>
      <c r="AR227" s="23">
        <f t="shared" si="3"/>
        <v>0</v>
      </c>
      <c r="AS227" s="23">
        <f t="shared" si="4"/>
        <v>268</v>
      </c>
      <c r="AT227" s="36">
        <f t="shared" si="5"/>
        <v>15.71641791</v>
      </c>
      <c r="AU227" s="37"/>
      <c r="AV227" s="37"/>
      <c r="AW227" s="37"/>
    </row>
    <row r="228" ht="15.75" customHeight="1">
      <c r="A228" s="39" t="s">
        <v>27</v>
      </c>
      <c r="B228" s="40">
        <f t="shared" si="6"/>
        <v>44788</v>
      </c>
      <c r="C228" s="41">
        <v>9.0</v>
      </c>
      <c r="D228" s="41" t="s">
        <v>25</v>
      </c>
      <c r="E228" s="43" t="s">
        <v>40</v>
      </c>
      <c r="F228" s="28">
        <v>0.0</v>
      </c>
      <c r="H228" s="32">
        <v>0.0</v>
      </c>
      <c r="J228" s="32">
        <v>0.0</v>
      </c>
      <c r="L228" s="32">
        <v>0.0</v>
      </c>
      <c r="N228" s="32">
        <v>0.0</v>
      </c>
      <c r="P228" s="32">
        <v>0.0</v>
      </c>
      <c r="Q228" s="29"/>
      <c r="R228" s="28">
        <v>0.0</v>
      </c>
      <c r="T228" s="32">
        <v>81.0</v>
      </c>
      <c r="V228" s="27"/>
      <c r="X228" s="32" t="s">
        <v>41</v>
      </c>
      <c r="Z228" s="32">
        <v>69.0</v>
      </c>
      <c r="AB228" s="32">
        <v>0.0</v>
      </c>
      <c r="AC228" s="29"/>
      <c r="AD228" s="26"/>
      <c r="AF228" s="27"/>
      <c r="AH228" s="27"/>
      <c r="AJ228" s="27"/>
      <c r="AL228" s="27"/>
      <c r="AN228" s="27"/>
      <c r="AO228" s="29"/>
      <c r="AP228" s="45" t="str">
        <f t="shared" si="1"/>
        <v>#VALUE!</v>
      </c>
      <c r="AQ228" s="41">
        <f t="shared" si="2"/>
        <v>150</v>
      </c>
      <c r="AR228" s="41">
        <f t="shared" si="3"/>
        <v>0</v>
      </c>
      <c r="AS228" s="41">
        <f t="shared" si="4"/>
        <v>150</v>
      </c>
      <c r="AT228" s="46" t="str">
        <f t="shared" si="5"/>
        <v/>
      </c>
      <c r="AU228" s="37"/>
      <c r="AV228" s="37"/>
      <c r="AW228" s="37"/>
    </row>
    <row r="229" ht="15.75" customHeight="1">
      <c r="A229" s="39" t="s">
        <v>28</v>
      </c>
      <c r="B229" s="40">
        <f t="shared" si="6"/>
        <v>44789</v>
      </c>
      <c r="C229" s="41">
        <v>9.0</v>
      </c>
      <c r="D229" s="41" t="s">
        <v>25</v>
      </c>
      <c r="E229" s="43" t="s">
        <v>40</v>
      </c>
      <c r="F229" s="28">
        <v>0.0</v>
      </c>
      <c r="H229" s="32">
        <v>0.0</v>
      </c>
      <c r="J229" s="32">
        <v>0.0</v>
      </c>
      <c r="L229" s="32">
        <v>0.0</v>
      </c>
      <c r="N229" s="32">
        <v>0.0</v>
      </c>
      <c r="P229" s="32">
        <v>0.0</v>
      </c>
      <c r="Q229" s="29"/>
      <c r="R229" s="26"/>
      <c r="T229" s="32">
        <v>74.0</v>
      </c>
      <c r="V229" s="27"/>
      <c r="X229" s="32">
        <v>0.0</v>
      </c>
      <c r="Z229" s="27"/>
      <c r="AB229" s="32">
        <v>0.0</v>
      </c>
      <c r="AC229" s="29"/>
      <c r="AD229" s="26"/>
      <c r="AF229" s="27"/>
      <c r="AH229" s="27"/>
      <c r="AJ229" s="27"/>
      <c r="AL229" s="27"/>
      <c r="AN229" s="27"/>
      <c r="AO229" s="29"/>
      <c r="AP229" s="45">
        <f t="shared" si="1"/>
        <v>1258</v>
      </c>
      <c r="AQ229" s="41">
        <f t="shared" si="2"/>
        <v>74</v>
      </c>
      <c r="AR229" s="41">
        <f t="shared" si="3"/>
        <v>0</v>
      </c>
      <c r="AS229" s="41">
        <f t="shared" si="4"/>
        <v>74</v>
      </c>
      <c r="AT229" s="46">
        <f t="shared" si="5"/>
        <v>17</v>
      </c>
      <c r="AU229" s="37"/>
      <c r="AV229" s="37"/>
      <c r="AW229" s="37"/>
    </row>
    <row r="230" ht="15.75" customHeight="1">
      <c r="A230" s="39" t="s">
        <v>29</v>
      </c>
      <c r="B230" s="40">
        <f t="shared" si="6"/>
        <v>44790</v>
      </c>
      <c r="C230" s="41">
        <v>9.0</v>
      </c>
      <c r="D230" s="41" t="s">
        <v>25</v>
      </c>
      <c r="E230" s="43" t="s">
        <v>40</v>
      </c>
      <c r="F230" s="28">
        <v>0.0</v>
      </c>
      <c r="H230" s="32">
        <v>0.0</v>
      </c>
      <c r="J230" s="32">
        <v>0.0</v>
      </c>
      <c r="L230" s="32">
        <v>0.0</v>
      </c>
      <c r="N230" s="32">
        <v>0.0</v>
      </c>
      <c r="P230" s="32">
        <v>0.0</v>
      </c>
      <c r="Q230" s="29"/>
      <c r="R230" s="28">
        <v>0.0</v>
      </c>
      <c r="T230" s="32">
        <v>90.0</v>
      </c>
      <c r="V230" s="32">
        <v>74.0</v>
      </c>
      <c r="X230" s="32">
        <v>0.0</v>
      </c>
      <c r="Z230" s="32">
        <v>68.0</v>
      </c>
      <c r="AB230" s="32">
        <v>0.0</v>
      </c>
      <c r="AC230" s="29"/>
      <c r="AD230" s="26"/>
      <c r="AF230" s="27"/>
      <c r="AH230" s="27"/>
      <c r="AJ230" s="27"/>
      <c r="AL230" s="27"/>
      <c r="AN230" s="27"/>
      <c r="AO230" s="29"/>
      <c r="AP230" s="45">
        <f t="shared" si="1"/>
        <v>3672</v>
      </c>
      <c r="AQ230" s="41">
        <f t="shared" si="2"/>
        <v>232</v>
      </c>
      <c r="AR230" s="41">
        <f t="shared" si="3"/>
        <v>0</v>
      </c>
      <c r="AS230" s="41">
        <f t="shared" si="4"/>
        <v>232</v>
      </c>
      <c r="AT230" s="46">
        <f t="shared" si="5"/>
        <v>15.82758621</v>
      </c>
      <c r="AU230" s="37"/>
      <c r="AV230" s="37"/>
      <c r="AW230" s="37"/>
    </row>
    <row r="231" ht="15.75" customHeight="1">
      <c r="A231" s="39" t="s">
        <v>30</v>
      </c>
      <c r="B231" s="40">
        <f t="shared" si="6"/>
        <v>44791</v>
      </c>
      <c r="C231" s="41">
        <v>9.0</v>
      </c>
      <c r="D231" s="41" t="s">
        <v>25</v>
      </c>
      <c r="E231" s="43" t="s">
        <v>40</v>
      </c>
      <c r="F231" s="28">
        <v>0.0</v>
      </c>
      <c r="H231" s="32">
        <v>0.0</v>
      </c>
      <c r="J231" s="32">
        <v>0.0</v>
      </c>
      <c r="L231" s="32">
        <v>0.0</v>
      </c>
      <c r="N231" s="32">
        <v>0.0</v>
      </c>
      <c r="P231" s="32">
        <v>0.0</v>
      </c>
      <c r="Q231" s="29"/>
      <c r="R231" s="28">
        <v>0.0</v>
      </c>
      <c r="T231" s="32">
        <v>92.0</v>
      </c>
      <c r="V231" s="32">
        <v>0.0</v>
      </c>
      <c r="X231" s="32">
        <v>0.0</v>
      </c>
      <c r="Z231" s="32">
        <v>84.0</v>
      </c>
      <c r="AB231" s="32">
        <v>0.0</v>
      </c>
      <c r="AC231" s="29"/>
      <c r="AD231" s="26"/>
      <c r="AF231" s="27"/>
      <c r="AH231" s="27"/>
      <c r="AJ231" s="27"/>
      <c r="AL231" s="27"/>
      <c r="AN231" s="27"/>
      <c r="AO231" s="29"/>
      <c r="AP231" s="45">
        <f t="shared" si="1"/>
        <v>2656</v>
      </c>
      <c r="AQ231" s="41">
        <f t="shared" si="2"/>
        <v>176</v>
      </c>
      <c r="AR231" s="41">
        <f t="shared" si="3"/>
        <v>0</v>
      </c>
      <c r="AS231" s="41">
        <f t="shared" si="4"/>
        <v>176</v>
      </c>
      <c r="AT231" s="46">
        <f t="shared" si="5"/>
        <v>15.09090909</v>
      </c>
      <c r="AU231" s="37"/>
      <c r="AV231" s="37"/>
      <c r="AW231" s="37"/>
    </row>
    <row r="232" ht="15.75" customHeight="1">
      <c r="A232" s="39" t="s">
        <v>31</v>
      </c>
      <c r="B232" s="40">
        <f t="shared" si="6"/>
        <v>44792</v>
      </c>
      <c r="C232" s="41">
        <v>9.0</v>
      </c>
      <c r="D232" s="41" t="s">
        <v>25</v>
      </c>
      <c r="E232" s="43" t="s">
        <v>40</v>
      </c>
      <c r="F232" s="28">
        <v>0.0</v>
      </c>
      <c r="H232" s="32">
        <v>0.0</v>
      </c>
      <c r="J232" s="32">
        <v>0.0</v>
      </c>
      <c r="L232" s="32">
        <v>0.0</v>
      </c>
      <c r="N232" s="32">
        <v>0.0</v>
      </c>
      <c r="P232" s="32">
        <v>0.0</v>
      </c>
      <c r="Q232" s="29"/>
      <c r="R232" s="28">
        <v>66.0</v>
      </c>
      <c r="T232" s="32">
        <v>70.0</v>
      </c>
      <c r="V232" s="32">
        <v>0.0</v>
      </c>
      <c r="X232" s="32">
        <v>0.0</v>
      </c>
      <c r="Z232" s="32">
        <v>0.0</v>
      </c>
      <c r="AB232" s="32">
        <v>0.0</v>
      </c>
      <c r="AC232" s="29"/>
      <c r="AD232" s="26"/>
      <c r="AF232" s="27"/>
      <c r="AH232" s="27"/>
      <c r="AJ232" s="27"/>
      <c r="AL232" s="27"/>
      <c r="AN232" s="27"/>
      <c r="AO232" s="29"/>
      <c r="AP232" s="45">
        <f t="shared" si="1"/>
        <v>2312</v>
      </c>
      <c r="AQ232" s="41">
        <f t="shared" si="2"/>
        <v>136</v>
      </c>
      <c r="AR232" s="41">
        <f t="shared" si="3"/>
        <v>0</v>
      </c>
      <c r="AS232" s="41">
        <f t="shared" si="4"/>
        <v>136</v>
      </c>
      <c r="AT232" s="46">
        <f t="shared" si="5"/>
        <v>17</v>
      </c>
      <c r="AU232" s="37"/>
      <c r="AV232" s="37"/>
      <c r="AW232" s="37"/>
    </row>
    <row r="233" ht="15.75" customHeight="1">
      <c r="A233" s="49" t="s">
        <v>32</v>
      </c>
      <c r="B233" s="50">
        <f t="shared" si="6"/>
        <v>44793</v>
      </c>
      <c r="C233" s="51">
        <v>9.0</v>
      </c>
      <c r="D233" s="51" t="s">
        <v>25</v>
      </c>
      <c r="E233" s="53" t="s">
        <v>40</v>
      </c>
      <c r="F233" s="57">
        <v>0.0</v>
      </c>
      <c r="G233" s="55"/>
      <c r="H233" s="59">
        <v>0.0</v>
      </c>
      <c r="I233" s="55"/>
      <c r="J233" s="59">
        <v>0.0</v>
      </c>
      <c r="K233" s="55"/>
      <c r="L233" s="59">
        <v>0.0</v>
      </c>
      <c r="M233" s="55"/>
      <c r="N233" s="59">
        <v>0.0</v>
      </c>
      <c r="O233" s="55"/>
      <c r="P233" s="59">
        <v>0.0</v>
      </c>
      <c r="Q233" s="58"/>
      <c r="R233" s="57">
        <v>0.0</v>
      </c>
      <c r="S233" s="55"/>
      <c r="T233" s="59">
        <v>0.0</v>
      </c>
      <c r="U233" s="55"/>
      <c r="V233" s="59">
        <v>0.0</v>
      </c>
      <c r="W233" s="55"/>
      <c r="X233" s="59">
        <v>0.0</v>
      </c>
      <c r="Y233" s="55"/>
      <c r="Z233" s="59">
        <v>0.0</v>
      </c>
      <c r="AA233" s="55"/>
      <c r="AB233" s="59">
        <v>0.0</v>
      </c>
      <c r="AC233" s="58"/>
      <c r="AD233" s="54"/>
      <c r="AE233" s="55"/>
      <c r="AF233" s="56"/>
      <c r="AG233" s="55"/>
      <c r="AH233" s="56"/>
      <c r="AI233" s="55"/>
      <c r="AJ233" s="56"/>
      <c r="AK233" s="55"/>
      <c r="AL233" s="56"/>
      <c r="AM233" s="55"/>
      <c r="AN233" s="56"/>
      <c r="AO233" s="58"/>
      <c r="AP233" s="60">
        <f t="shared" si="1"/>
        <v>0</v>
      </c>
      <c r="AQ233" s="51">
        <f t="shared" si="2"/>
        <v>0</v>
      </c>
      <c r="AR233" s="51">
        <f t="shared" si="3"/>
        <v>0</v>
      </c>
      <c r="AS233" s="51">
        <f t="shared" si="4"/>
        <v>0</v>
      </c>
      <c r="AT233" s="61" t="str">
        <f t="shared" si="5"/>
        <v/>
      </c>
      <c r="AU233" s="37"/>
      <c r="AV233" s="37"/>
      <c r="AW233" s="37"/>
    </row>
    <row r="234" ht="15.75" customHeight="1">
      <c r="A234" s="21" t="s">
        <v>24</v>
      </c>
      <c r="B234" s="62">
        <f t="shared" si="6"/>
        <v>44794</v>
      </c>
      <c r="C234" s="23">
        <v>9.0</v>
      </c>
      <c r="D234" s="23" t="s">
        <v>33</v>
      </c>
      <c r="E234" s="63" t="s">
        <v>40</v>
      </c>
      <c r="F234" s="28">
        <v>0.0</v>
      </c>
      <c r="H234" s="32">
        <v>0.0</v>
      </c>
      <c r="J234" s="32">
        <v>0.0</v>
      </c>
      <c r="L234" s="32">
        <v>0.0</v>
      </c>
      <c r="N234" s="32">
        <v>0.0</v>
      </c>
      <c r="P234" s="32">
        <v>0.0</v>
      </c>
      <c r="Q234" s="29"/>
      <c r="R234" s="28">
        <v>75.0</v>
      </c>
      <c r="T234" s="32">
        <v>75.0</v>
      </c>
      <c r="V234" s="32">
        <v>0.0</v>
      </c>
      <c r="X234" s="32">
        <v>0.0</v>
      </c>
      <c r="Z234" s="32">
        <v>0.0</v>
      </c>
      <c r="AB234" s="32">
        <v>0.0</v>
      </c>
      <c r="AC234" s="29"/>
      <c r="AD234" s="26"/>
      <c r="AF234" s="27"/>
      <c r="AH234" s="27"/>
      <c r="AJ234" s="27"/>
      <c r="AL234" s="27"/>
      <c r="AN234" s="27"/>
      <c r="AO234" s="29"/>
      <c r="AP234" s="35">
        <f t="shared" si="1"/>
        <v>2550</v>
      </c>
      <c r="AQ234" s="23">
        <f t="shared" si="2"/>
        <v>150</v>
      </c>
      <c r="AR234" s="23">
        <f t="shared" si="3"/>
        <v>0</v>
      </c>
      <c r="AS234" s="23">
        <f t="shared" si="4"/>
        <v>150</v>
      </c>
      <c r="AT234" s="36">
        <f t="shared" si="5"/>
        <v>17</v>
      </c>
      <c r="AU234" s="37"/>
      <c r="AV234" s="37"/>
      <c r="AW234" s="37"/>
    </row>
    <row r="235" ht="15.75" customHeight="1">
      <c r="A235" s="39" t="s">
        <v>27</v>
      </c>
      <c r="B235" s="40">
        <f t="shared" si="6"/>
        <v>44795</v>
      </c>
      <c r="C235" s="41">
        <v>9.0</v>
      </c>
      <c r="D235" s="41" t="s">
        <v>33</v>
      </c>
      <c r="E235" s="43" t="s">
        <v>40</v>
      </c>
      <c r="F235" s="28">
        <v>0.0</v>
      </c>
      <c r="H235" s="32">
        <v>0.0</v>
      </c>
      <c r="J235" s="32">
        <v>0.0</v>
      </c>
      <c r="L235" s="32">
        <v>0.0</v>
      </c>
      <c r="N235" s="32">
        <v>0.0</v>
      </c>
      <c r="P235" s="32">
        <v>0.0</v>
      </c>
      <c r="Q235" s="29"/>
      <c r="R235" s="28">
        <v>71.0</v>
      </c>
      <c r="T235" s="32">
        <v>92.0</v>
      </c>
      <c r="V235" s="32">
        <v>0.0</v>
      </c>
      <c r="X235" s="32">
        <v>0.0</v>
      </c>
      <c r="Z235" s="32">
        <v>0.0</v>
      </c>
      <c r="AB235" s="32">
        <v>0.0</v>
      </c>
      <c r="AC235" s="29"/>
      <c r="AD235" s="26"/>
      <c r="AF235" s="27"/>
      <c r="AH235" s="27"/>
      <c r="AJ235" s="27"/>
      <c r="AL235" s="27"/>
      <c r="AN235" s="27"/>
      <c r="AO235" s="29"/>
      <c r="AP235" s="45">
        <f t="shared" si="1"/>
        <v>2771</v>
      </c>
      <c r="AQ235" s="41">
        <f t="shared" si="2"/>
        <v>163</v>
      </c>
      <c r="AR235" s="41">
        <f t="shared" si="3"/>
        <v>0</v>
      </c>
      <c r="AS235" s="41">
        <f t="shared" si="4"/>
        <v>163</v>
      </c>
      <c r="AT235" s="46">
        <f t="shared" si="5"/>
        <v>17</v>
      </c>
      <c r="AU235" s="37"/>
      <c r="AV235" s="37"/>
      <c r="AW235" s="37"/>
    </row>
    <row r="236" ht="15.75" customHeight="1">
      <c r="A236" s="39" t="s">
        <v>28</v>
      </c>
      <c r="B236" s="40">
        <f t="shared" si="6"/>
        <v>44796</v>
      </c>
      <c r="C236" s="41">
        <v>9.0</v>
      </c>
      <c r="D236" s="41" t="s">
        <v>33</v>
      </c>
      <c r="E236" s="43" t="s">
        <v>40</v>
      </c>
      <c r="F236" s="28">
        <v>0.0</v>
      </c>
      <c r="H236" s="32">
        <v>0.0</v>
      </c>
      <c r="J236" s="32">
        <v>0.0</v>
      </c>
      <c r="L236" s="32">
        <v>0.0</v>
      </c>
      <c r="N236" s="32">
        <v>0.0</v>
      </c>
      <c r="P236" s="32">
        <v>0.0</v>
      </c>
      <c r="Q236" s="29"/>
      <c r="R236" s="28">
        <v>74.0</v>
      </c>
      <c r="T236" s="32">
        <v>82.0</v>
      </c>
      <c r="V236" s="32">
        <v>0.0</v>
      </c>
      <c r="X236" s="32">
        <v>0.0</v>
      </c>
      <c r="Z236" s="32">
        <v>0.0</v>
      </c>
      <c r="AB236" s="32">
        <v>0.0</v>
      </c>
      <c r="AC236" s="29"/>
      <c r="AD236" s="26"/>
      <c r="AF236" s="27"/>
      <c r="AH236" s="27"/>
      <c r="AJ236" s="27"/>
      <c r="AL236" s="27"/>
      <c r="AN236" s="27"/>
      <c r="AO236" s="29"/>
      <c r="AP236" s="45">
        <f t="shared" si="1"/>
        <v>2652</v>
      </c>
      <c r="AQ236" s="41">
        <f t="shared" si="2"/>
        <v>156</v>
      </c>
      <c r="AR236" s="41">
        <f t="shared" si="3"/>
        <v>0</v>
      </c>
      <c r="AS236" s="41">
        <f t="shared" si="4"/>
        <v>156</v>
      </c>
      <c r="AT236" s="46">
        <f t="shared" si="5"/>
        <v>17</v>
      </c>
      <c r="AU236" s="37"/>
      <c r="AV236" s="37"/>
      <c r="AW236" s="37"/>
    </row>
    <row r="237" ht="15.75" customHeight="1">
      <c r="A237" s="39" t="s">
        <v>29</v>
      </c>
      <c r="B237" s="40">
        <f t="shared" si="6"/>
        <v>44797</v>
      </c>
      <c r="C237" s="41">
        <v>9.0</v>
      </c>
      <c r="D237" s="41" t="s">
        <v>33</v>
      </c>
      <c r="E237" s="43" t="s">
        <v>40</v>
      </c>
      <c r="F237" s="28">
        <v>0.0</v>
      </c>
      <c r="H237" s="32">
        <v>0.0</v>
      </c>
      <c r="J237" s="32">
        <v>0.0</v>
      </c>
      <c r="L237" s="32">
        <v>0.0</v>
      </c>
      <c r="N237" s="32">
        <v>0.0</v>
      </c>
      <c r="P237" s="32">
        <v>0.0</v>
      </c>
      <c r="Q237" s="29"/>
      <c r="R237" s="28">
        <v>72.0</v>
      </c>
      <c r="T237" s="32">
        <v>83.0</v>
      </c>
      <c r="V237" s="32">
        <v>0.0</v>
      </c>
      <c r="X237" s="32">
        <v>0.0</v>
      </c>
      <c r="Z237" s="32">
        <v>0.0</v>
      </c>
      <c r="AB237" s="32">
        <v>0.0</v>
      </c>
      <c r="AC237" s="29"/>
      <c r="AD237" s="26"/>
      <c r="AF237" s="27"/>
      <c r="AH237" s="27"/>
      <c r="AJ237" s="27"/>
      <c r="AL237" s="27"/>
      <c r="AN237" s="27"/>
      <c r="AO237" s="29"/>
      <c r="AP237" s="45">
        <f t="shared" si="1"/>
        <v>2635</v>
      </c>
      <c r="AQ237" s="41">
        <f t="shared" si="2"/>
        <v>155</v>
      </c>
      <c r="AR237" s="41">
        <f t="shared" si="3"/>
        <v>0</v>
      </c>
      <c r="AS237" s="41">
        <f t="shared" si="4"/>
        <v>155</v>
      </c>
      <c r="AT237" s="46">
        <f t="shared" si="5"/>
        <v>17</v>
      </c>
      <c r="AU237" s="37"/>
      <c r="AV237" s="37"/>
      <c r="AW237" s="37"/>
    </row>
    <row r="238" ht="15.75" customHeight="1">
      <c r="A238" s="39" t="s">
        <v>30</v>
      </c>
      <c r="B238" s="40">
        <f t="shared" si="6"/>
        <v>44798</v>
      </c>
      <c r="C238" s="41">
        <v>9.0</v>
      </c>
      <c r="D238" s="41" t="s">
        <v>33</v>
      </c>
      <c r="E238" s="43" t="s">
        <v>40</v>
      </c>
      <c r="F238" s="28">
        <v>0.0</v>
      </c>
      <c r="H238" s="32">
        <v>0.0</v>
      </c>
      <c r="J238" s="32">
        <v>0.0</v>
      </c>
      <c r="L238" s="32">
        <v>0.0</v>
      </c>
      <c r="N238" s="32">
        <v>0.0</v>
      </c>
      <c r="P238" s="32">
        <v>0.0</v>
      </c>
      <c r="Q238" s="29"/>
      <c r="R238" s="28">
        <v>74.0</v>
      </c>
      <c r="T238" s="32">
        <v>73.0</v>
      </c>
      <c r="V238" s="32">
        <v>0.0</v>
      </c>
      <c r="X238" s="32">
        <v>0.0</v>
      </c>
      <c r="Z238" s="32">
        <v>0.0</v>
      </c>
      <c r="AB238" s="32">
        <v>0.0</v>
      </c>
      <c r="AC238" s="29"/>
      <c r="AD238" s="26"/>
      <c r="AF238" s="27"/>
      <c r="AH238" s="27"/>
      <c r="AJ238" s="27"/>
      <c r="AL238" s="27"/>
      <c r="AN238" s="27"/>
      <c r="AO238" s="29"/>
      <c r="AP238" s="45">
        <f t="shared" si="1"/>
        <v>2499</v>
      </c>
      <c r="AQ238" s="41">
        <f t="shared" si="2"/>
        <v>147</v>
      </c>
      <c r="AR238" s="41">
        <f t="shared" si="3"/>
        <v>0</v>
      </c>
      <c r="AS238" s="41">
        <f t="shared" si="4"/>
        <v>147</v>
      </c>
      <c r="AT238" s="46">
        <f t="shared" si="5"/>
        <v>17</v>
      </c>
      <c r="AU238" s="37"/>
      <c r="AV238" s="37"/>
      <c r="AW238" s="37"/>
    </row>
    <row r="239" ht="15.75" customHeight="1">
      <c r="A239" s="39" t="s">
        <v>31</v>
      </c>
      <c r="B239" s="40">
        <f t="shared" si="6"/>
        <v>44799</v>
      </c>
      <c r="C239" s="41">
        <v>9.0</v>
      </c>
      <c r="D239" s="41" t="s">
        <v>33</v>
      </c>
      <c r="E239" s="43" t="s">
        <v>40</v>
      </c>
      <c r="F239" s="28">
        <v>0.0</v>
      </c>
      <c r="H239" s="32">
        <v>0.0</v>
      </c>
      <c r="J239" s="32">
        <v>0.0</v>
      </c>
      <c r="L239" s="32">
        <v>0.0</v>
      </c>
      <c r="N239" s="32">
        <v>0.0</v>
      </c>
      <c r="P239" s="32">
        <v>0.0</v>
      </c>
      <c r="Q239" s="29"/>
      <c r="R239" s="28">
        <v>0.0</v>
      </c>
      <c r="T239" s="32">
        <v>0.0</v>
      </c>
      <c r="V239" s="32">
        <v>0.0</v>
      </c>
      <c r="X239" s="32">
        <v>0.0</v>
      </c>
      <c r="Z239" s="32">
        <v>0.0</v>
      </c>
      <c r="AB239" s="32">
        <v>0.0</v>
      </c>
      <c r="AC239" s="29"/>
      <c r="AD239" s="26"/>
      <c r="AF239" s="27"/>
      <c r="AH239" s="27"/>
      <c r="AJ239" s="27"/>
      <c r="AL239" s="27"/>
      <c r="AN239" s="27"/>
      <c r="AO239" s="29"/>
      <c r="AP239" s="45">
        <f t="shared" si="1"/>
        <v>0</v>
      </c>
      <c r="AQ239" s="41">
        <f t="shared" si="2"/>
        <v>0</v>
      </c>
      <c r="AR239" s="41">
        <f t="shared" si="3"/>
        <v>0</v>
      </c>
      <c r="AS239" s="41">
        <f t="shared" si="4"/>
        <v>0</v>
      </c>
      <c r="AT239" s="46" t="str">
        <f t="shared" si="5"/>
        <v/>
      </c>
      <c r="AU239" s="37"/>
      <c r="AV239" s="37"/>
      <c r="AW239" s="37"/>
    </row>
    <row r="240" ht="15.75" customHeight="1">
      <c r="A240" s="49" t="s">
        <v>32</v>
      </c>
      <c r="B240" s="50">
        <f t="shared" si="6"/>
        <v>44800</v>
      </c>
      <c r="C240" s="51">
        <v>9.0</v>
      </c>
      <c r="D240" s="51" t="s">
        <v>33</v>
      </c>
      <c r="E240" s="53" t="s">
        <v>40</v>
      </c>
      <c r="F240" s="57">
        <v>0.0</v>
      </c>
      <c r="G240" s="55"/>
      <c r="H240" s="59">
        <v>0.0</v>
      </c>
      <c r="I240" s="55"/>
      <c r="J240" s="59">
        <v>0.0</v>
      </c>
      <c r="K240" s="55"/>
      <c r="L240" s="59">
        <v>0.0</v>
      </c>
      <c r="M240" s="55"/>
      <c r="N240" s="59">
        <v>0.0</v>
      </c>
      <c r="O240" s="55"/>
      <c r="P240" s="59">
        <v>0.0</v>
      </c>
      <c r="Q240" s="58"/>
      <c r="R240" s="57">
        <v>0.0</v>
      </c>
      <c r="S240" s="55"/>
      <c r="T240" s="59">
        <v>0.0</v>
      </c>
      <c r="U240" s="55"/>
      <c r="V240" s="59">
        <v>0.0</v>
      </c>
      <c r="W240" s="55"/>
      <c r="X240" s="59">
        <v>0.0</v>
      </c>
      <c r="Y240" s="55"/>
      <c r="Z240" s="59">
        <v>0.0</v>
      </c>
      <c r="AA240" s="55"/>
      <c r="AB240" s="59">
        <v>0.0</v>
      </c>
      <c r="AC240" s="58"/>
      <c r="AD240" s="54"/>
      <c r="AE240" s="55"/>
      <c r="AF240" s="56"/>
      <c r="AG240" s="55"/>
      <c r="AH240" s="56"/>
      <c r="AI240" s="55"/>
      <c r="AJ240" s="56"/>
      <c r="AK240" s="55"/>
      <c r="AL240" s="56"/>
      <c r="AM240" s="55"/>
      <c r="AN240" s="56"/>
      <c r="AO240" s="58"/>
      <c r="AP240" s="60">
        <f t="shared" si="1"/>
        <v>0</v>
      </c>
      <c r="AQ240" s="51">
        <f t="shared" si="2"/>
        <v>0</v>
      </c>
      <c r="AR240" s="51">
        <f t="shared" si="3"/>
        <v>0</v>
      </c>
      <c r="AS240" s="51">
        <f t="shared" si="4"/>
        <v>0</v>
      </c>
      <c r="AT240" s="61" t="str">
        <f t="shared" si="5"/>
        <v/>
      </c>
      <c r="AU240" s="37"/>
      <c r="AV240" s="37"/>
      <c r="AW240" s="37"/>
    </row>
    <row r="241" ht="15.75" customHeight="1">
      <c r="A241" s="21" t="s">
        <v>24</v>
      </c>
      <c r="B241" s="62">
        <f t="shared" si="6"/>
        <v>44801</v>
      </c>
      <c r="C241" s="23">
        <v>9.0</v>
      </c>
      <c r="D241" s="23" t="s">
        <v>34</v>
      </c>
      <c r="E241" s="63" t="s">
        <v>40</v>
      </c>
      <c r="F241" s="28">
        <v>0.0</v>
      </c>
      <c r="H241" s="32">
        <v>0.0</v>
      </c>
      <c r="J241" s="32">
        <v>0.0</v>
      </c>
      <c r="L241" s="32">
        <v>0.0</v>
      </c>
      <c r="N241" s="32">
        <v>0.0</v>
      </c>
      <c r="P241" s="32">
        <v>0.0</v>
      </c>
      <c r="Q241" s="29"/>
      <c r="R241" s="28">
        <v>78.0</v>
      </c>
      <c r="T241" s="32">
        <v>93.0</v>
      </c>
      <c r="V241" s="32">
        <v>0.0</v>
      </c>
      <c r="X241" s="32">
        <v>0.0</v>
      </c>
      <c r="Z241" s="32">
        <v>0.0</v>
      </c>
      <c r="AB241" s="32">
        <v>0.0</v>
      </c>
      <c r="AC241" s="29"/>
      <c r="AD241" s="26"/>
      <c r="AF241" s="27"/>
      <c r="AH241" s="27"/>
      <c r="AJ241" s="27"/>
      <c r="AL241" s="27"/>
      <c r="AN241" s="27"/>
      <c r="AO241" s="29"/>
      <c r="AP241" s="35">
        <f t="shared" si="1"/>
        <v>2907</v>
      </c>
      <c r="AQ241" s="23">
        <f t="shared" si="2"/>
        <v>171</v>
      </c>
      <c r="AR241" s="23">
        <f t="shared" si="3"/>
        <v>0</v>
      </c>
      <c r="AS241" s="23">
        <f t="shared" si="4"/>
        <v>171</v>
      </c>
      <c r="AT241" s="36">
        <f t="shared" si="5"/>
        <v>17</v>
      </c>
      <c r="AU241" s="37"/>
      <c r="AV241" s="37"/>
      <c r="AW241" s="37"/>
    </row>
    <row r="242" ht="15.75" customHeight="1">
      <c r="A242" s="39" t="s">
        <v>27</v>
      </c>
      <c r="B242" s="40">
        <f t="shared" si="6"/>
        <v>44802</v>
      </c>
      <c r="C242" s="41">
        <v>9.0</v>
      </c>
      <c r="D242" s="41" t="s">
        <v>34</v>
      </c>
      <c r="E242" s="43" t="s">
        <v>40</v>
      </c>
      <c r="F242" s="28">
        <v>0.0</v>
      </c>
      <c r="H242" s="32">
        <v>0.0</v>
      </c>
      <c r="J242" s="32">
        <v>0.0</v>
      </c>
      <c r="L242" s="32">
        <v>0.0</v>
      </c>
      <c r="N242" s="32">
        <v>0.0</v>
      </c>
      <c r="P242" s="32">
        <v>0.0</v>
      </c>
      <c r="Q242" s="29"/>
      <c r="R242" s="28">
        <v>75.0</v>
      </c>
      <c r="T242" s="32">
        <v>91.0</v>
      </c>
      <c r="V242" s="32">
        <v>0.0</v>
      </c>
      <c r="X242" s="32">
        <v>0.0</v>
      </c>
      <c r="Z242" s="32">
        <v>0.0</v>
      </c>
      <c r="AB242" s="32">
        <v>0.0</v>
      </c>
      <c r="AC242" s="29"/>
      <c r="AD242" s="26"/>
      <c r="AF242" s="27"/>
      <c r="AH242" s="27"/>
      <c r="AJ242" s="27"/>
      <c r="AL242" s="27"/>
      <c r="AN242" s="27"/>
      <c r="AO242" s="29"/>
      <c r="AP242" s="45">
        <f t="shared" si="1"/>
        <v>2822</v>
      </c>
      <c r="AQ242" s="41">
        <f t="shared" si="2"/>
        <v>166</v>
      </c>
      <c r="AR242" s="41">
        <f t="shared" si="3"/>
        <v>0</v>
      </c>
      <c r="AS242" s="41">
        <f t="shared" si="4"/>
        <v>166</v>
      </c>
      <c r="AT242" s="46">
        <f t="shared" si="5"/>
        <v>17</v>
      </c>
      <c r="AU242" s="37"/>
      <c r="AV242" s="37"/>
      <c r="AW242" s="37"/>
    </row>
    <row r="243" ht="15.75" customHeight="1">
      <c r="A243" s="39" t="s">
        <v>28</v>
      </c>
      <c r="B243" s="40">
        <f t="shared" si="6"/>
        <v>44803</v>
      </c>
      <c r="C243" s="41">
        <v>9.0</v>
      </c>
      <c r="D243" s="41" t="s">
        <v>34</v>
      </c>
      <c r="E243" s="43" t="s">
        <v>40</v>
      </c>
      <c r="F243" s="28">
        <v>0.0</v>
      </c>
      <c r="H243" s="32">
        <v>0.0</v>
      </c>
      <c r="J243" s="32">
        <v>0.0</v>
      </c>
      <c r="L243" s="32">
        <v>0.0</v>
      </c>
      <c r="N243" s="32">
        <v>0.0</v>
      </c>
      <c r="P243" s="32">
        <v>0.0</v>
      </c>
      <c r="Q243" s="29"/>
      <c r="R243" s="28">
        <v>58.0</v>
      </c>
      <c r="T243" s="32">
        <v>78.0</v>
      </c>
      <c r="V243" s="32">
        <v>0.0</v>
      </c>
      <c r="X243" s="32">
        <v>0.0</v>
      </c>
      <c r="Z243" s="32">
        <v>0.0</v>
      </c>
      <c r="AB243" s="32">
        <v>0.0</v>
      </c>
      <c r="AC243" s="29"/>
      <c r="AD243" s="26"/>
      <c r="AF243" s="27"/>
      <c r="AH243" s="27"/>
      <c r="AJ243" s="27"/>
      <c r="AL243" s="27"/>
      <c r="AN243" s="27"/>
      <c r="AO243" s="29"/>
      <c r="AP243" s="45">
        <f t="shared" si="1"/>
        <v>2312</v>
      </c>
      <c r="AQ243" s="41">
        <f t="shared" si="2"/>
        <v>136</v>
      </c>
      <c r="AR243" s="41">
        <f t="shared" si="3"/>
        <v>0</v>
      </c>
      <c r="AS243" s="41">
        <f t="shared" si="4"/>
        <v>136</v>
      </c>
      <c r="AT243" s="46">
        <f t="shared" si="5"/>
        <v>17</v>
      </c>
      <c r="AU243" s="37"/>
      <c r="AV243" s="37"/>
      <c r="AW243" s="37"/>
    </row>
    <row r="244" ht="15.75" customHeight="1">
      <c r="A244" s="39" t="s">
        <v>29</v>
      </c>
      <c r="B244" s="40">
        <f t="shared" si="6"/>
        <v>44804</v>
      </c>
      <c r="C244" s="41">
        <v>9.0</v>
      </c>
      <c r="D244" s="41" t="s">
        <v>34</v>
      </c>
      <c r="E244" s="43" t="s">
        <v>40</v>
      </c>
      <c r="F244" s="28">
        <v>0.0</v>
      </c>
      <c r="H244" s="32">
        <v>0.0</v>
      </c>
      <c r="J244" s="32">
        <v>0.0</v>
      </c>
      <c r="L244" s="32">
        <v>0.0</v>
      </c>
      <c r="N244" s="32">
        <v>0.0</v>
      </c>
      <c r="P244" s="32">
        <v>0.0</v>
      </c>
      <c r="Q244" s="29"/>
      <c r="R244" s="28">
        <v>63.0</v>
      </c>
      <c r="T244" s="32">
        <v>105.0</v>
      </c>
      <c r="V244" s="32">
        <v>0.0</v>
      </c>
      <c r="X244" s="32">
        <v>0.0</v>
      </c>
      <c r="Z244" s="32">
        <v>0.0</v>
      </c>
      <c r="AB244" s="32">
        <v>0.0</v>
      </c>
      <c r="AC244" s="29"/>
      <c r="AD244" s="26"/>
      <c r="AF244" s="27"/>
      <c r="AH244" s="27"/>
      <c r="AJ244" s="27"/>
      <c r="AL244" s="27"/>
      <c r="AN244" s="27"/>
      <c r="AO244" s="29"/>
      <c r="AP244" s="45">
        <f t="shared" si="1"/>
        <v>2856</v>
      </c>
      <c r="AQ244" s="41">
        <f t="shared" si="2"/>
        <v>168</v>
      </c>
      <c r="AR244" s="41">
        <f t="shared" si="3"/>
        <v>0</v>
      </c>
      <c r="AS244" s="41">
        <f t="shared" si="4"/>
        <v>168</v>
      </c>
      <c r="AT244" s="46">
        <f t="shared" si="5"/>
        <v>17</v>
      </c>
      <c r="AU244" s="37"/>
      <c r="AV244" s="37"/>
      <c r="AW244" s="37"/>
    </row>
    <row r="245" ht="15.75" customHeight="1">
      <c r="A245" s="39" t="s">
        <v>30</v>
      </c>
      <c r="B245" s="40">
        <f t="shared" si="6"/>
        <v>44805</v>
      </c>
      <c r="C245" s="41">
        <v>9.0</v>
      </c>
      <c r="D245" s="41" t="s">
        <v>34</v>
      </c>
      <c r="E245" s="43" t="s">
        <v>40</v>
      </c>
      <c r="F245" s="28">
        <v>0.0</v>
      </c>
      <c r="H245" s="32">
        <v>0.0</v>
      </c>
      <c r="J245" s="32">
        <v>0.0</v>
      </c>
      <c r="L245" s="32">
        <v>0.0</v>
      </c>
      <c r="N245" s="32">
        <v>0.0</v>
      </c>
      <c r="P245" s="32">
        <v>0.0</v>
      </c>
      <c r="Q245" s="29"/>
      <c r="R245" s="28">
        <v>81.0</v>
      </c>
      <c r="T245" s="32">
        <v>77.0</v>
      </c>
      <c r="V245" s="32">
        <v>0.0</v>
      </c>
      <c r="X245" s="32">
        <v>0.0</v>
      </c>
      <c r="Z245" s="32">
        <v>0.0</v>
      </c>
      <c r="AB245" s="32">
        <v>0.0</v>
      </c>
      <c r="AC245" s="29"/>
      <c r="AD245" s="26"/>
      <c r="AF245" s="27"/>
      <c r="AH245" s="27"/>
      <c r="AJ245" s="27"/>
      <c r="AL245" s="27"/>
      <c r="AN245" s="27"/>
      <c r="AO245" s="29"/>
      <c r="AP245" s="45">
        <f t="shared" si="1"/>
        <v>2686</v>
      </c>
      <c r="AQ245" s="41">
        <f t="shared" si="2"/>
        <v>158</v>
      </c>
      <c r="AR245" s="41">
        <f t="shared" si="3"/>
        <v>0</v>
      </c>
      <c r="AS245" s="41">
        <f t="shared" si="4"/>
        <v>158</v>
      </c>
      <c r="AT245" s="46">
        <f t="shared" si="5"/>
        <v>17</v>
      </c>
      <c r="AU245" s="37"/>
      <c r="AV245" s="37"/>
      <c r="AW245" s="37"/>
    </row>
    <row r="246" ht="15.75" customHeight="1">
      <c r="A246" s="39" t="s">
        <v>31</v>
      </c>
      <c r="B246" s="40">
        <f t="shared" si="6"/>
        <v>44806</v>
      </c>
      <c r="C246" s="41">
        <v>9.0</v>
      </c>
      <c r="D246" s="41" t="s">
        <v>34</v>
      </c>
      <c r="E246" s="43" t="s">
        <v>40</v>
      </c>
      <c r="F246" s="28">
        <v>0.0</v>
      </c>
      <c r="H246" s="32">
        <v>0.0</v>
      </c>
      <c r="J246" s="32">
        <v>0.0</v>
      </c>
      <c r="L246" s="32">
        <v>0.0</v>
      </c>
      <c r="N246" s="32">
        <v>0.0</v>
      </c>
      <c r="P246" s="32">
        <v>0.0</v>
      </c>
      <c r="Q246" s="29"/>
      <c r="R246" s="28">
        <v>0.0</v>
      </c>
      <c r="T246" s="32">
        <v>0.0</v>
      </c>
      <c r="V246" s="32">
        <v>0.0</v>
      </c>
      <c r="X246" s="32">
        <v>0.0</v>
      </c>
      <c r="Z246" s="32">
        <v>0.0</v>
      </c>
      <c r="AB246" s="32">
        <v>0.0</v>
      </c>
      <c r="AC246" s="29"/>
      <c r="AD246" s="26"/>
      <c r="AF246" s="27"/>
      <c r="AH246" s="27"/>
      <c r="AJ246" s="27"/>
      <c r="AL246" s="27"/>
      <c r="AN246" s="27"/>
      <c r="AO246" s="29"/>
      <c r="AP246" s="45">
        <f t="shared" si="1"/>
        <v>0</v>
      </c>
      <c r="AQ246" s="41">
        <f t="shared" si="2"/>
        <v>0</v>
      </c>
      <c r="AR246" s="41">
        <f t="shared" si="3"/>
        <v>0</v>
      </c>
      <c r="AS246" s="41">
        <f t="shared" si="4"/>
        <v>0</v>
      </c>
      <c r="AT246" s="46" t="str">
        <f t="shared" si="5"/>
        <v/>
      </c>
      <c r="AU246" s="37"/>
      <c r="AV246" s="37"/>
      <c r="AW246" s="37"/>
    </row>
    <row r="247" ht="15.75" customHeight="1">
      <c r="A247" s="49" t="s">
        <v>32</v>
      </c>
      <c r="B247" s="50">
        <f t="shared" si="6"/>
        <v>44807</v>
      </c>
      <c r="C247" s="51">
        <v>9.0</v>
      </c>
      <c r="D247" s="51" t="s">
        <v>34</v>
      </c>
      <c r="E247" s="53" t="s">
        <v>40</v>
      </c>
      <c r="F247" s="57">
        <v>0.0</v>
      </c>
      <c r="G247" s="55"/>
      <c r="H247" s="59">
        <v>0.0</v>
      </c>
      <c r="I247" s="55"/>
      <c r="J247" s="59">
        <v>0.0</v>
      </c>
      <c r="K247" s="55"/>
      <c r="L247" s="59">
        <v>0.0</v>
      </c>
      <c r="M247" s="55"/>
      <c r="N247" s="59">
        <v>0.0</v>
      </c>
      <c r="O247" s="55"/>
      <c r="P247" s="59">
        <v>0.0</v>
      </c>
      <c r="Q247" s="58"/>
      <c r="R247" s="57">
        <v>0.0</v>
      </c>
      <c r="S247" s="55"/>
      <c r="T247" s="59">
        <v>0.0</v>
      </c>
      <c r="U247" s="55"/>
      <c r="V247" s="59">
        <v>0.0</v>
      </c>
      <c r="W247" s="55"/>
      <c r="X247" s="59">
        <v>0.0</v>
      </c>
      <c r="Y247" s="55"/>
      <c r="Z247" s="59">
        <v>0.0</v>
      </c>
      <c r="AA247" s="55"/>
      <c r="AB247" s="59">
        <v>0.0</v>
      </c>
      <c r="AC247" s="58"/>
      <c r="AD247" s="54"/>
      <c r="AE247" s="55"/>
      <c r="AF247" s="56"/>
      <c r="AG247" s="55"/>
      <c r="AH247" s="56"/>
      <c r="AI247" s="55"/>
      <c r="AJ247" s="56"/>
      <c r="AK247" s="55"/>
      <c r="AL247" s="56"/>
      <c r="AM247" s="55"/>
      <c r="AN247" s="56"/>
      <c r="AO247" s="58"/>
      <c r="AP247" s="60">
        <f t="shared" si="1"/>
        <v>0</v>
      </c>
      <c r="AQ247" s="51">
        <f t="shared" si="2"/>
        <v>0</v>
      </c>
      <c r="AR247" s="51">
        <f t="shared" si="3"/>
        <v>0</v>
      </c>
      <c r="AS247" s="51">
        <f t="shared" si="4"/>
        <v>0</v>
      </c>
      <c r="AT247" s="61" t="str">
        <f t="shared" si="5"/>
        <v/>
      </c>
      <c r="AU247" s="37"/>
      <c r="AV247" s="37"/>
      <c r="AW247" s="37"/>
    </row>
    <row r="248" ht="15.75" customHeight="1">
      <c r="A248" s="21" t="s">
        <v>24</v>
      </c>
      <c r="B248" s="62">
        <f t="shared" si="6"/>
        <v>44808</v>
      </c>
      <c r="C248" s="23">
        <v>9.0</v>
      </c>
      <c r="D248" s="23" t="s">
        <v>35</v>
      </c>
      <c r="E248" s="25" t="s">
        <v>26</v>
      </c>
      <c r="F248" s="28">
        <v>0.0</v>
      </c>
      <c r="H248" s="32">
        <v>0.0</v>
      </c>
      <c r="J248" s="32">
        <v>0.0</v>
      </c>
      <c r="L248" s="32">
        <v>0.0</v>
      </c>
      <c r="N248" s="32">
        <v>0.0</v>
      </c>
      <c r="P248" s="32">
        <v>0.0</v>
      </c>
      <c r="Q248" s="29"/>
      <c r="R248" s="28">
        <v>0.0</v>
      </c>
      <c r="T248" s="32">
        <v>0.0</v>
      </c>
      <c r="V248" s="32">
        <v>0.0</v>
      </c>
      <c r="X248" s="32">
        <v>0.0</v>
      </c>
      <c r="Z248" s="32">
        <v>0.0</v>
      </c>
      <c r="AB248" s="32">
        <v>0.0</v>
      </c>
      <c r="AC248" s="29"/>
      <c r="AD248" s="26"/>
      <c r="AF248" s="27"/>
      <c r="AH248" s="27"/>
      <c r="AJ248" s="27"/>
      <c r="AL248" s="27"/>
      <c r="AN248" s="27"/>
      <c r="AO248" s="29"/>
      <c r="AP248" s="35">
        <f t="shared" si="1"/>
        <v>0</v>
      </c>
      <c r="AQ248" s="23">
        <f t="shared" si="2"/>
        <v>0</v>
      </c>
      <c r="AR248" s="23">
        <f t="shared" si="3"/>
        <v>0</v>
      </c>
      <c r="AS248" s="23">
        <f t="shared" si="4"/>
        <v>0</v>
      </c>
      <c r="AT248" s="36" t="str">
        <f t="shared" si="5"/>
        <v/>
      </c>
      <c r="AU248" s="37"/>
      <c r="AV248" s="37"/>
      <c r="AW248" s="37"/>
    </row>
    <row r="249" ht="15.75" customHeight="1">
      <c r="A249" s="39" t="s">
        <v>27</v>
      </c>
      <c r="B249" s="40">
        <f t="shared" si="6"/>
        <v>44809</v>
      </c>
      <c r="C249" s="41">
        <v>9.0</v>
      </c>
      <c r="D249" s="41" t="s">
        <v>35</v>
      </c>
      <c r="E249" s="43" t="s">
        <v>26</v>
      </c>
      <c r="F249" s="28">
        <v>0.0</v>
      </c>
      <c r="H249" s="32">
        <v>0.0</v>
      </c>
      <c r="J249" s="32">
        <v>0.0</v>
      </c>
      <c r="L249" s="32">
        <v>0.0</v>
      </c>
      <c r="N249" s="32">
        <v>0.0</v>
      </c>
      <c r="P249" s="32">
        <v>0.0</v>
      </c>
      <c r="Q249" s="29"/>
      <c r="R249" s="28">
        <v>62.0</v>
      </c>
      <c r="T249" s="32">
        <v>73.0</v>
      </c>
      <c r="V249" s="32">
        <v>0.0</v>
      </c>
      <c r="X249" s="32">
        <v>0.0</v>
      </c>
      <c r="Z249" s="32">
        <v>0.0</v>
      </c>
      <c r="AB249" s="32">
        <v>0.0</v>
      </c>
      <c r="AC249" s="29"/>
      <c r="AD249" s="26"/>
      <c r="AF249" s="27"/>
      <c r="AH249" s="27"/>
      <c r="AJ249" s="27"/>
      <c r="AL249" s="27"/>
      <c r="AN249" s="27"/>
      <c r="AO249" s="29"/>
      <c r="AP249" s="45">
        <f t="shared" si="1"/>
        <v>2295</v>
      </c>
      <c r="AQ249" s="41">
        <f t="shared" si="2"/>
        <v>135</v>
      </c>
      <c r="AR249" s="41">
        <f t="shared" si="3"/>
        <v>0</v>
      </c>
      <c r="AS249" s="41">
        <f t="shared" si="4"/>
        <v>135</v>
      </c>
      <c r="AT249" s="46">
        <f t="shared" si="5"/>
        <v>17</v>
      </c>
      <c r="AU249" s="37"/>
      <c r="AV249" s="37"/>
      <c r="AW249" s="37"/>
    </row>
    <row r="250" ht="15.75" customHeight="1">
      <c r="A250" s="39" t="s">
        <v>28</v>
      </c>
      <c r="B250" s="40">
        <f t="shared" si="6"/>
        <v>44810</v>
      </c>
      <c r="C250" s="41">
        <v>9.0</v>
      </c>
      <c r="D250" s="41" t="s">
        <v>35</v>
      </c>
      <c r="E250" s="43" t="s">
        <v>26</v>
      </c>
      <c r="F250" s="28">
        <v>0.0</v>
      </c>
      <c r="H250" s="32">
        <v>0.0</v>
      </c>
      <c r="J250" s="32">
        <v>0.0</v>
      </c>
      <c r="L250" s="32">
        <v>0.0</v>
      </c>
      <c r="N250" s="32">
        <v>0.0</v>
      </c>
      <c r="P250" s="32">
        <v>0.0</v>
      </c>
      <c r="Q250" s="29"/>
      <c r="R250" s="28">
        <v>57.0</v>
      </c>
      <c r="T250" s="32">
        <v>76.0</v>
      </c>
      <c r="V250" s="32">
        <v>0.0</v>
      </c>
      <c r="X250" s="32">
        <v>0.0</v>
      </c>
      <c r="Z250" s="32">
        <v>0.0</v>
      </c>
      <c r="AB250" s="32">
        <v>0.0</v>
      </c>
      <c r="AC250" s="29"/>
      <c r="AD250" s="26"/>
      <c r="AF250" s="27"/>
      <c r="AH250" s="27"/>
      <c r="AJ250" s="27"/>
      <c r="AL250" s="27"/>
      <c r="AN250" s="27"/>
      <c r="AO250" s="29"/>
      <c r="AP250" s="45">
        <f t="shared" si="1"/>
        <v>2261</v>
      </c>
      <c r="AQ250" s="41">
        <f t="shared" si="2"/>
        <v>133</v>
      </c>
      <c r="AR250" s="41">
        <f t="shared" si="3"/>
        <v>0</v>
      </c>
      <c r="AS250" s="41">
        <f t="shared" si="4"/>
        <v>133</v>
      </c>
      <c r="AT250" s="46">
        <f t="shared" si="5"/>
        <v>17</v>
      </c>
      <c r="AU250" s="37"/>
      <c r="AV250" s="37"/>
      <c r="AW250" s="37"/>
    </row>
    <row r="251" ht="15.75" customHeight="1">
      <c r="A251" s="39" t="s">
        <v>29</v>
      </c>
      <c r="B251" s="40">
        <f t="shared" si="6"/>
        <v>44811</v>
      </c>
      <c r="C251" s="41">
        <v>9.0</v>
      </c>
      <c r="D251" s="41" t="s">
        <v>35</v>
      </c>
      <c r="E251" s="43" t="s">
        <v>26</v>
      </c>
      <c r="F251" s="28">
        <v>0.0</v>
      </c>
      <c r="H251" s="32">
        <v>0.0</v>
      </c>
      <c r="J251" s="32">
        <v>0.0</v>
      </c>
      <c r="L251" s="32">
        <v>0.0</v>
      </c>
      <c r="N251" s="32">
        <v>0.0</v>
      </c>
      <c r="P251" s="32">
        <v>0.0</v>
      </c>
      <c r="Q251" s="29"/>
      <c r="R251" s="28">
        <v>49.0</v>
      </c>
      <c r="T251" s="32">
        <v>67.0</v>
      </c>
      <c r="V251" s="32">
        <v>0.0</v>
      </c>
      <c r="X251" s="32">
        <v>0.0</v>
      </c>
      <c r="Z251" s="32">
        <v>0.0</v>
      </c>
      <c r="AB251" s="32">
        <v>0.0</v>
      </c>
      <c r="AC251" s="29"/>
      <c r="AD251" s="26"/>
      <c r="AF251" s="27"/>
      <c r="AH251" s="27"/>
      <c r="AJ251" s="27"/>
      <c r="AL251" s="27"/>
      <c r="AN251" s="27"/>
      <c r="AO251" s="29"/>
      <c r="AP251" s="45">
        <f t="shared" si="1"/>
        <v>1972</v>
      </c>
      <c r="AQ251" s="41">
        <f t="shared" si="2"/>
        <v>116</v>
      </c>
      <c r="AR251" s="41">
        <f t="shared" si="3"/>
        <v>0</v>
      </c>
      <c r="AS251" s="41">
        <f t="shared" si="4"/>
        <v>116</v>
      </c>
      <c r="AT251" s="46">
        <f t="shared" si="5"/>
        <v>17</v>
      </c>
      <c r="AU251" s="37"/>
      <c r="AV251" s="37"/>
      <c r="AW251" s="37"/>
    </row>
    <row r="252" ht="15.75" customHeight="1">
      <c r="A252" s="39" t="s">
        <v>30</v>
      </c>
      <c r="B252" s="40">
        <f t="shared" si="6"/>
        <v>44812</v>
      </c>
      <c r="C252" s="41">
        <v>9.0</v>
      </c>
      <c r="D252" s="41" t="s">
        <v>35</v>
      </c>
      <c r="E252" s="43" t="s">
        <v>26</v>
      </c>
      <c r="F252" s="28">
        <v>0.0</v>
      </c>
      <c r="H252" s="32">
        <v>0.0</v>
      </c>
      <c r="J252" s="32">
        <v>0.0</v>
      </c>
      <c r="L252" s="32">
        <v>0.0</v>
      </c>
      <c r="N252" s="32">
        <v>0.0</v>
      </c>
      <c r="P252" s="32">
        <v>0.0</v>
      </c>
      <c r="Q252" s="29"/>
      <c r="R252" s="28">
        <v>56.0</v>
      </c>
      <c r="T252" s="32">
        <v>73.0</v>
      </c>
      <c r="V252" s="32">
        <v>0.0</v>
      </c>
      <c r="X252" s="32">
        <v>0.0</v>
      </c>
      <c r="Z252" s="32">
        <v>0.0</v>
      </c>
      <c r="AB252" s="32">
        <v>0.0</v>
      </c>
      <c r="AC252" s="29"/>
      <c r="AD252" s="26"/>
      <c r="AF252" s="27"/>
      <c r="AH252" s="27"/>
      <c r="AJ252" s="27"/>
      <c r="AL252" s="27"/>
      <c r="AN252" s="27"/>
      <c r="AO252" s="29"/>
      <c r="AP252" s="45">
        <f t="shared" si="1"/>
        <v>2193</v>
      </c>
      <c r="AQ252" s="41">
        <f t="shared" si="2"/>
        <v>129</v>
      </c>
      <c r="AR252" s="41">
        <f t="shared" si="3"/>
        <v>0</v>
      </c>
      <c r="AS252" s="41">
        <f t="shared" si="4"/>
        <v>129</v>
      </c>
      <c r="AT252" s="46">
        <f t="shared" si="5"/>
        <v>17</v>
      </c>
      <c r="AU252" s="37"/>
      <c r="AV252" s="37"/>
      <c r="AW252" s="37"/>
    </row>
    <row r="253" ht="15.75" customHeight="1">
      <c r="A253" s="39" t="s">
        <v>31</v>
      </c>
      <c r="B253" s="40">
        <f t="shared" si="6"/>
        <v>44813</v>
      </c>
      <c r="C253" s="41">
        <v>9.0</v>
      </c>
      <c r="D253" s="41" t="s">
        <v>35</v>
      </c>
      <c r="E253" s="43" t="s">
        <v>26</v>
      </c>
      <c r="F253" s="28">
        <v>0.0</v>
      </c>
      <c r="H253" s="32">
        <v>0.0</v>
      </c>
      <c r="J253" s="32">
        <v>0.0</v>
      </c>
      <c r="L253" s="32">
        <v>0.0</v>
      </c>
      <c r="N253" s="32">
        <v>0.0</v>
      </c>
      <c r="P253" s="32">
        <v>0.0</v>
      </c>
      <c r="Q253" s="29"/>
      <c r="R253" s="28">
        <v>0.0</v>
      </c>
      <c r="T253" s="32">
        <v>0.0</v>
      </c>
      <c r="V253" s="32">
        <v>0.0</v>
      </c>
      <c r="X253" s="32">
        <v>0.0</v>
      </c>
      <c r="Z253" s="32">
        <v>0.0</v>
      </c>
      <c r="AB253" s="32">
        <v>0.0</v>
      </c>
      <c r="AC253" s="29"/>
      <c r="AD253" s="26"/>
      <c r="AF253" s="27"/>
      <c r="AH253" s="27"/>
      <c r="AJ253" s="27"/>
      <c r="AL253" s="27"/>
      <c r="AN253" s="27"/>
      <c r="AO253" s="29"/>
      <c r="AP253" s="45">
        <f t="shared" si="1"/>
        <v>0</v>
      </c>
      <c r="AQ253" s="41">
        <f t="shared" si="2"/>
        <v>0</v>
      </c>
      <c r="AR253" s="41">
        <f t="shared" si="3"/>
        <v>0</v>
      </c>
      <c r="AS253" s="41">
        <f t="shared" si="4"/>
        <v>0</v>
      </c>
      <c r="AT253" s="46" t="str">
        <f t="shared" si="5"/>
        <v/>
      </c>
      <c r="AU253" s="37"/>
      <c r="AV253" s="37"/>
      <c r="AW253" s="37"/>
    </row>
    <row r="254" ht="15.75" customHeight="1">
      <c r="A254" s="49" t="s">
        <v>32</v>
      </c>
      <c r="B254" s="50">
        <f t="shared" si="6"/>
        <v>44814</v>
      </c>
      <c r="C254" s="51">
        <v>9.0</v>
      </c>
      <c r="D254" s="51" t="s">
        <v>35</v>
      </c>
      <c r="E254" s="53" t="s">
        <v>26</v>
      </c>
      <c r="F254" s="57">
        <v>0.0</v>
      </c>
      <c r="G254" s="55"/>
      <c r="H254" s="59">
        <v>0.0</v>
      </c>
      <c r="I254" s="55"/>
      <c r="J254" s="59">
        <v>0.0</v>
      </c>
      <c r="K254" s="55"/>
      <c r="L254" s="59">
        <v>0.0</v>
      </c>
      <c r="M254" s="55"/>
      <c r="N254" s="59">
        <v>0.0</v>
      </c>
      <c r="O254" s="55"/>
      <c r="P254" s="59">
        <v>0.0</v>
      </c>
      <c r="Q254" s="58"/>
      <c r="R254" s="57">
        <v>0.0</v>
      </c>
      <c r="S254" s="55"/>
      <c r="T254" s="59">
        <v>0.0</v>
      </c>
      <c r="U254" s="55"/>
      <c r="V254" s="59">
        <v>0.0</v>
      </c>
      <c r="W254" s="55"/>
      <c r="X254" s="59">
        <v>0.0</v>
      </c>
      <c r="Y254" s="55"/>
      <c r="Z254" s="59">
        <v>0.0</v>
      </c>
      <c r="AA254" s="55"/>
      <c r="AB254" s="59">
        <v>0.0</v>
      </c>
      <c r="AC254" s="58"/>
      <c r="AD254" s="54"/>
      <c r="AE254" s="55"/>
      <c r="AF254" s="56"/>
      <c r="AG254" s="55"/>
      <c r="AH254" s="56"/>
      <c r="AI254" s="55"/>
      <c r="AJ254" s="56"/>
      <c r="AK254" s="55"/>
      <c r="AL254" s="56"/>
      <c r="AM254" s="55"/>
      <c r="AN254" s="56"/>
      <c r="AO254" s="58"/>
      <c r="AP254" s="60">
        <f t="shared" si="1"/>
        <v>0</v>
      </c>
      <c r="AQ254" s="51">
        <f t="shared" si="2"/>
        <v>0</v>
      </c>
      <c r="AR254" s="51">
        <f t="shared" si="3"/>
        <v>0</v>
      </c>
      <c r="AS254" s="51">
        <f t="shared" si="4"/>
        <v>0</v>
      </c>
      <c r="AT254" s="61" t="str">
        <f t="shared" si="5"/>
        <v/>
      </c>
      <c r="AU254" s="37"/>
      <c r="AV254" s="37"/>
      <c r="AW254" s="37"/>
    </row>
    <row r="255" ht="15.75" customHeight="1">
      <c r="A255" s="21" t="s">
        <v>24</v>
      </c>
      <c r="B255" s="62">
        <f t="shared" si="6"/>
        <v>44815</v>
      </c>
      <c r="C255" s="23">
        <v>10.0</v>
      </c>
      <c r="D255" s="23" t="s">
        <v>25</v>
      </c>
      <c r="E255" s="25" t="s">
        <v>42</v>
      </c>
      <c r="F255" s="28">
        <v>0.0</v>
      </c>
      <c r="H255" s="32">
        <v>0.0</v>
      </c>
      <c r="J255" s="32">
        <v>0.0</v>
      </c>
      <c r="L255" s="32">
        <v>0.0</v>
      </c>
      <c r="N255" s="32">
        <v>0.0</v>
      </c>
      <c r="P255" s="32">
        <v>0.0</v>
      </c>
      <c r="Q255" s="29"/>
      <c r="R255" s="28">
        <v>0.0</v>
      </c>
      <c r="T255" s="32">
        <v>96.0</v>
      </c>
      <c r="V255" s="32">
        <v>72.0</v>
      </c>
      <c r="X255" s="32">
        <v>0.0</v>
      </c>
      <c r="Z255" s="32">
        <v>0.0</v>
      </c>
      <c r="AB255" s="32">
        <v>0.0</v>
      </c>
      <c r="AC255" s="29"/>
      <c r="AD255" s="26"/>
      <c r="AF255" s="27"/>
      <c r="AH255" s="27"/>
      <c r="AJ255" s="27"/>
      <c r="AL255" s="27"/>
      <c r="AN255" s="27"/>
      <c r="AO255" s="29"/>
      <c r="AP255" s="35">
        <f t="shared" si="1"/>
        <v>2856</v>
      </c>
      <c r="AQ255" s="23">
        <f t="shared" si="2"/>
        <v>168</v>
      </c>
      <c r="AR255" s="23">
        <f t="shared" si="3"/>
        <v>0</v>
      </c>
      <c r="AS255" s="23">
        <f t="shared" si="4"/>
        <v>168</v>
      </c>
      <c r="AT255" s="36">
        <f t="shared" si="5"/>
        <v>17</v>
      </c>
      <c r="AU255" s="37"/>
      <c r="AV255" s="37"/>
      <c r="AW255" s="37"/>
    </row>
    <row r="256" ht="15.75" customHeight="1">
      <c r="A256" s="39" t="s">
        <v>27</v>
      </c>
      <c r="B256" s="40">
        <f t="shared" si="6"/>
        <v>44816</v>
      </c>
      <c r="C256" s="41">
        <v>10.0</v>
      </c>
      <c r="D256" s="41" t="s">
        <v>25</v>
      </c>
      <c r="E256" s="43" t="s">
        <v>42</v>
      </c>
      <c r="F256" s="28">
        <v>0.0</v>
      </c>
      <c r="H256" s="32">
        <v>0.0</v>
      </c>
      <c r="J256" s="32">
        <v>0.0</v>
      </c>
      <c r="L256" s="32">
        <v>0.0</v>
      </c>
      <c r="N256" s="32">
        <v>0.0</v>
      </c>
      <c r="P256" s="32">
        <v>0.0</v>
      </c>
      <c r="Q256" s="29"/>
      <c r="R256" s="28">
        <v>83.0</v>
      </c>
      <c r="T256" s="32">
        <v>110.0</v>
      </c>
      <c r="V256" s="32">
        <v>0.0</v>
      </c>
      <c r="X256" s="32">
        <v>0.0</v>
      </c>
      <c r="Z256" s="32">
        <v>0.0</v>
      </c>
      <c r="AB256" s="32">
        <v>0.0</v>
      </c>
      <c r="AC256" s="29"/>
      <c r="AD256" s="26"/>
      <c r="AF256" s="27"/>
      <c r="AH256" s="27"/>
      <c r="AJ256" s="27"/>
      <c r="AL256" s="27"/>
      <c r="AN256" s="27"/>
      <c r="AO256" s="29"/>
      <c r="AP256" s="45">
        <f t="shared" si="1"/>
        <v>3281</v>
      </c>
      <c r="AQ256" s="41">
        <f t="shared" si="2"/>
        <v>193</v>
      </c>
      <c r="AR256" s="41">
        <f t="shared" si="3"/>
        <v>0</v>
      </c>
      <c r="AS256" s="41">
        <f t="shared" si="4"/>
        <v>193</v>
      </c>
      <c r="AT256" s="46">
        <f t="shared" si="5"/>
        <v>17</v>
      </c>
      <c r="AU256" s="37"/>
      <c r="AV256" s="37"/>
      <c r="AW256" s="37"/>
    </row>
    <row r="257" ht="15.75" customHeight="1">
      <c r="A257" s="39" t="s">
        <v>28</v>
      </c>
      <c r="B257" s="40">
        <f t="shared" si="6"/>
        <v>44817</v>
      </c>
      <c r="C257" s="41">
        <v>10.0</v>
      </c>
      <c r="D257" s="41" t="s">
        <v>25</v>
      </c>
      <c r="E257" s="43" t="s">
        <v>42</v>
      </c>
      <c r="F257" s="28">
        <v>0.0</v>
      </c>
      <c r="H257" s="32">
        <v>0.0</v>
      </c>
      <c r="J257" s="32">
        <v>0.0</v>
      </c>
      <c r="L257" s="32">
        <v>0.0</v>
      </c>
      <c r="N257" s="32">
        <v>0.0</v>
      </c>
      <c r="P257" s="32">
        <v>0.0</v>
      </c>
      <c r="Q257" s="29"/>
      <c r="R257" s="28">
        <v>75.0</v>
      </c>
      <c r="T257" s="32">
        <v>94.0</v>
      </c>
      <c r="V257" s="32">
        <v>0.0</v>
      </c>
      <c r="X257" s="32">
        <v>0.0</v>
      </c>
      <c r="Z257" s="32">
        <v>0.0</v>
      </c>
      <c r="AB257" s="32">
        <v>0.0</v>
      </c>
      <c r="AC257" s="29"/>
      <c r="AD257" s="26"/>
      <c r="AF257" s="27"/>
      <c r="AH257" s="27"/>
      <c r="AJ257" s="27"/>
      <c r="AL257" s="27"/>
      <c r="AN257" s="27"/>
      <c r="AO257" s="29"/>
      <c r="AP257" s="45">
        <f t="shared" si="1"/>
        <v>2873</v>
      </c>
      <c r="AQ257" s="41">
        <f t="shared" si="2"/>
        <v>169</v>
      </c>
      <c r="AR257" s="41">
        <f t="shared" si="3"/>
        <v>0</v>
      </c>
      <c r="AS257" s="41">
        <f t="shared" si="4"/>
        <v>169</v>
      </c>
      <c r="AT257" s="46">
        <f t="shared" si="5"/>
        <v>17</v>
      </c>
      <c r="AU257" s="37"/>
      <c r="AV257" s="37"/>
      <c r="AW257" s="37"/>
    </row>
    <row r="258" ht="15.75" customHeight="1">
      <c r="A258" s="39" t="s">
        <v>29</v>
      </c>
      <c r="B258" s="40">
        <f t="shared" si="6"/>
        <v>44818</v>
      </c>
      <c r="C258" s="41">
        <v>10.0</v>
      </c>
      <c r="D258" s="41" t="s">
        <v>25</v>
      </c>
      <c r="E258" s="43" t="s">
        <v>42</v>
      </c>
      <c r="F258" s="28">
        <v>0.0</v>
      </c>
      <c r="H258" s="32">
        <v>0.0</v>
      </c>
      <c r="J258" s="32">
        <v>0.0</v>
      </c>
      <c r="L258" s="32">
        <v>0.0</v>
      </c>
      <c r="N258" s="32">
        <v>0.0</v>
      </c>
      <c r="P258" s="32">
        <v>0.0</v>
      </c>
      <c r="Q258" s="29"/>
      <c r="R258" s="28">
        <v>74.0</v>
      </c>
      <c r="T258" s="32">
        <v>97.0</v>
      </c>
      <c r="V258" s="32">
        <v>0.0</v>
      </c>
      <c r="X258" s="32">
        <v>0.0</v>
      </c>
      <c r="Z258" s="32">
        <v>0.0</v>
      </c>
      <c r="AB258" s="32">
        <v>0.0</v>
      </c>
      <c r="AC258" s="29"/>
      <c r="AD258" s="26"/>
      <c r="AF258" s="27"/>
      <c r="AH258" s="27"/>
      <c r="AJ258" s="27"/>
      <c r="AL258" s="27"/>
      <c r="AN258" s="27"/>
      <c r="AO258" s="29"/>
      <c r="AP258" s="45">
        <f t="shared" si="1"/>
        <v>2907</v>
      </c>
      <c r="AQ258" s="41">
        <f t="shared" si="2"/>
        <v>171</v>
      </c>
      <c r="AR258" s="41">
        <f t="shared" si="3"/>
        <v>0</v>
      </c>
      <c r="AS258" s="41">
        <f t="shared" si="4"/>
        <v>171</v>
      </c>
      <c r="AT258" s="46">
        <f t="shared" si="5"/>
        <v>17</v>
      </c>
      <c r="AU258" s="37"/>
      <c r="AV258" s="37"/>
      <c r="AW258" s="37"/>
    </row>
    <row r="259" ht="15.75" customHeight="1">
      <c r="A259" s="39" t="s">
        <v>30</v>
      </c>
      <c r="B259" s="40">
        <f t="shared" si="6"/>
        <v>44819</v>
      </c>
      <c r="C259" s="41">
        <v>10.0</v>
      </c>
      <c r="D259" s="41" t="s">
        <v>25</v>
      </c>
      <c r="E259" s="43" t="s">
        <v>42</v>
      </c>
      <c r="F259" s="28">
        <v>0.0</v>
      </c>
      <c r="H259" s="32">
        <v>0.0</v>
      </c>
      <c r="J259" s="32">
        <v>0.0</v>
      </c>
      <c r="L259" s="32">
        <v>0.0</v>
      </c>
      <c r="N259" s="32">
        <v>0.0</v>
      </c>
      <c r="P259" s="32">
        <v>0.0</v>
      </c>
      <c r="Q259" s="29"/>
      <c r="R259" s="28">
        <v>82.0</v>
      </c>
      <c r="T259" s="32">
        <v>98.0</v>
      </c>
      <c r="V259" s="32">
        <v>0.0</v>
      </c>
      <c r="X259" s="32">
        <v>0.0</v>
      </c>
      <c r="Z259" s="32">
        <v>0.0</v>
      </c>
      <c r="AB259" s="32">
        <v>0.0</v>
      </c>
      <c r="AC259" s="29"/>
      <c r="AD259" s="26"/>
      <c r="AF259" s="27"/>
      <c r="AH259" s="27"/>
      <c r="AJ259" s="27"/>
      <c r="AL259" s="27"/>
      <c r="AN259" s="27"/>
      <c r="AO259" s="29"/>
      <c r="AP259" s="45">
        <f t="shared" si="1"/>
        <v>3060</v>
      </c>
      <c r="AQ259" s="41">
        <f t="shared" si="2"/>
        <v>180</v>
      </c>
      <c r="AR259" s="41">
        <f t="shared" si="3"/>
        <v>0</v>
      </c>
      <c r="AS259" s="41">
        <f t="shared" si="4"/>
        <v>180</v>
      </c>
      <c r="AT259" s="46">
        <f t="shared" si="5"/>
        <v>17</v>
      </c>
      <c r="AU259" s="37"/>
      <c r="AV259" s="37"/>
      <c r="AW259" s="37"/>
    </row>
    <row r="260" ht="15.75" customHeight="1">
      <c r="A260" s="39" t="s">
        <v>31</v>
      </c>
      <c r="B260" s="40">
        <f t="shared" si="6"/>
        <v>44820</v>
      </c>
      <c r="C260" s="41">
        <v>10.0</v>
      </c>
      <c r="D260" s="41" t="s">
        <v>25</v>
      </c>
      <c r="E260" s="43" t="s">
        <v>42</v>
      </c>
      <c r="F260" s="28">
        <v>0.0</v>
      </c>
      <c r="H260" s="32">
        <v>0.0</v>
      </c>
      <c r="J260" s="32">
        <v>0.0</v>
      </c>
      <c r="L260" s="32">
        <v>0.0</v>
      </c>
      <c r="N260" s="32">
        <v>0.0</v>
      </c>
      <c r="P260" s="32">
        <v>0.0</v>
      </c>
      <c r="Q260" s="29"/>
      <c r="R260" s="28">
        <v>79.0</v>
      </c>
      <c r="T260" s="32">
        <v>101.0</v>
      </c>
      <c r="V260" s="32">
        <v>0.0</v>
      </c>
      <c r="X260" s="32">
        <v>0.0</v>
      </c>
      <c r="Z260" s="32">
        <v>0.0</v>
      </c>
      <c r="AB260" s="32">
        <v>0.0</v>
      </c>
      <c r="AC260" s="29"/>
      <c r="AD260" s="26"/>
      <c r="AF260" s="27"/>
      <c r="AH260" s="27"/>
      <c r="AJ260" s="27"/>
      <c r="AL260" s="27"/>
      <c r="AN260" s="27"/>
      <c r="AO260" s="29"/>
      <c r="AP260" s="45">
        <f t="shared" si="1"/>
        <v>3060</v>
      </c>
      <c r="AQ260" s="41">
        <f t="shared" si="2"/>
        <v>180</v>
      </c>
      <c r="AR260" s="41">
        <f t="shared" si="3"/>
        <v>0</v>
      </c>
      <c r="AS260" s="41">
        <f t="shared" si="4"/>
        <v>180</v>
      </c>
      <c r="AT260" s="46">
        <f t="shared" si="5"/>
        <v>17</v>
      </c>
      <c r="AU260" s="37"/>
      <c r="AV260" s="37"/>
      <c r="AW260" s="37"/>
    </row>
    <row r="261" ht="15.75" customHeight="1">
      <c r="A261" s="49" t="s">
        <v>32</v>
      </c>
      <c r="B261" s="50">
        <f t="shared" si="6"/>
        <v>44821</v>
      </c>
      <c r="C261" s="51">
        <v>10.0</v>
      </c>
      <c r="D261" s="51" t="s">
        <v>25</v>
      </c>
      <c r="E261" s="53" t="s">
        <v>42</v>
      </c>
      <c r="F261" s="57">
        <v>0.0</v>
      </c>
      <c r="G261" s="55"/>
      <c r="H261" s="59">
        <v>0.0</v>
      </c>
      <c r="I261" s="55"/>
      <c r="J261" s="59">
        <v>0.0</v>
      </c>
      <c r="K261" s="55"/>
      <c r="L261" s="59">
        <v>0.0</v>
      </c>
      <c r="M261" s="55"/>
      <c r="N261" s="59">
        <v>0.0</v>
      </c>
      <c r="O261" s="55"/>
      <c r="P261" s="59">
        <v>0.0</v>
      </c>
      <c r="Q261" s="58"/>
      <c r="R261" s="57">
        <v>0.0</v>
      </c>
      <c r="S261" s="55"/>
      <c r="T261" s="59">
        <v>0.0</v>
      </c>
      <c r="U261" s="55"/>
      <c r="V261" s="59">
        <v>0.0</v>
      </c>
      <c r="W261" s="55"/>
      <c r="X261" s="59">
        <v>0.0</v>
      </c>
      <c r="Y261" s="55"/>
      <c r="Z261" s="59">
        <v>0.0</v>
      </c>
      <c r="AA261" s="55"/>
      <c r="AB261" s="59">
        <v>0.0</v>
      </c>
      <c r="AC261" s="58"/>
      <c r="AD261" s="54"/>
      <c r="AE261" s="55"/>
      <c r="AF261" s="56"/>
      <c r="AG261" s="55"/>
      <c r="AH261" s="56"/>
      <c r="AI261" s="55"/>
      <c r="AJ261" s="56"/>
      <c r="AK261" s="55"/>
      <c r="AL261" s="56"/>
      <c r="AM261" s="55"/>
      <c r="AN261" s="56"/>
      <c r="AO261" s="58"/>
      <c r="AP261" s="60">
        <f t="shared" si="1"/>
        <v>0</v>
      </c>
      <c r="AQ261" s="51">
        <f t="shared" si="2"/>
        <v>0</v>
      </c>
      <c r="AR261" s="51">
        <f t="shared" si="3"/>
        <v>0</v>
      </c>
      <c r="AS261" s="51">
        <f t="shared" si="4"/>
        <v>0</v>
      </c>
      <c r="AT261" s="61" t="str">
        <f t="shared" si="5"/>
        <v/>
      </c>
      <c r="AU261" s="37"/>
      <c r="AV261" s="37"/>
      <c r="AW261" s="37"/>
    </row>
    <row r="262" ht="15.75" customHeight="1">
      <c r="A262" s="21" t="s">
        <v>24</v>
      </c>
      <c r="B262" s="62">
        <f t="shared" si="6"/>
        <v>44822</v>
      </c>
      <c r="C262" s="23">
        <v>10.0</v>
      </c>
      <c r="D262" s="23" t="s">
        <v>33</v>
      </c>
      <c r="E262" s="63" t="s">
        <v>42</v>
      </c>
      <c r="F262" s="28">
        <v>0.0</v>
      </c>
      <c r="H262" s="32">
        <v>0.0</v>
      </c>
      <c r="J262" s="32">
        <v>0.0</v>
      </c>
      <c r="L262" s="32">
        <v>0.0</v>
      </c>
      <c r="N262" s="32">
        <v>0.0</v>
      </c>
      <c r="P262" s="32">
        <v>0.0</v>
      </c>
      <c r="Q262" s="29"/>
      <c r="R262" s="28">
        <v>100.0</v>
      </c>
      <c r="T262" s="32">
        <v>109.0</v>
      </c>
      <c r="V262" s="32">
        <v>0.0</v>
      </c>
      <c r="X262" s="32">
        <v>0.0</v>
      </c>
      <c r="Z262" s="32">
        <v>0.0</v>
      </c>
      <c r="AB262" s="32">
        <v>0.0</v>
      </c>
      <c r="AC262" s="29"/>
      <c r="AD262" s="26"/>
      <c r="AF262" s="27"/>
      <c r="AH262" s="27"/>
      <c r="AJ262" s="27"/>
      <c r="AL262" s="27"/>
      <c r="AN262" s="27"/>
      <c r="AO262" s="29"/>
      <c r="AP262" s="35">
        <f t="shared" si="1"/>
        <v>3553</v>
      </c>
      <c r="AQ262" s="23">
        <f t="shared" si="2"/>
        <v>209</v>
      </c>
      <c r="AR262" s="23">
        <f t="shared" si="3"/>
        <v>0</v>
      </c>
      <c r="AS262" s="23">
        <f t="shared" si="4"/>
        <v>209</v>
      </c>
      <c r="AT262" s="36">
        <f t="shared" si="5"/>
        <v>17</v>
      </c>
      <c r="AU262" s="37"/>
      <c r="AV262" s="37"/>
      <c r="AW262" s="37"/>
    </row>
    <row r="263" ht="15.75" customHeight="1">
      <c r="A263" s="39" t="s">
        <v>27</v>
      </c>
      <c r="B263" s="40">
        <f t="shared" si="6"/>
        <v>44823</v>
      </c>
      <c r="C263" s="41">
        <v>10.0</v>
      </c>
      <c r="D263" s="41" t="s">
        <v>33</v>
      </c>
      <c r="E263" s="43" t="s">
        <v>42</v>
      </c>
      <c r="F263" s="28">
        <v>0.0</v>
      </c>
      <c r="H263" s="32">
        <v>0.0</v>
      </c>
      <c r="J263" s="32">
        <v>0.0</v>
      </c>
      <c r="L263" s="32">
        <v>0.0</v>
      </c>
      <c r="N263" s="32">
        <v>0.0</v>
      </c>
      <c r="P263" s="32">
        <v>0.0</v>
      </c>
      <c r="Q263" s="29"/>
      <c r="R263" s="28">
        <v>99.0</v>
      </c>
      <c r="T263" s="32">
        <v>128.0</v>
      </c>
      <c r="V263" s="32">
        <v>0.0</v>
      </c>
      <c r="X263" s="32">
        <v>0.0</v>
      </c>
      <c r="Z263" s="32">
        <v>0.0</v>
      </c>
      <c r="AB263" s="32">
        <v>0.0</v>
      </c>
      <c r="AC263" s="29"/>
      <c r="AD263" s="26"/>
      <c r="AF263" s="27"/>
      <c r="AH263" s="27"/>
      <c r="AJ263" s="27"/>
      <c r="AL263" s="27"/>
      <c r="AN263" s="27"/>
      <c r="AO263" s="29"/>
      <c r="AP263" s="45">
        <f t="shared" si="1"/>
        <v>3859</v>
      </c>
      <c r="AQ263" s="41">
        <f t="shared" si="2"/>
        <v>227</v>
      </c>
      <c r="AR263" s="41">
        <f t="shared" si="3"/>
        <v>0</v>
      </c>
      <c r="AS263" s="41">
        <f t="shared" si="4"/>
        <v>227</v>
      </c>
      <c r="AT263" s="46">
        <f t="shared" si="5"/>
        <v>17</v>
      </c>
      <c r="AU263" s="37"/>
      <c r="AV263" s="37"/>
      <c r="AW263" s="37"/>
    </row>
    <row r="264" ht="15.75" customHeight="1">
      <c r="A264" s="39" t="s">
        <v>28</v>
      </c>
      <c r="B264" s="40">
        <f t="shared" si="6"/>
        <v>44824</v>
      </c>
      <c r="C264" s="41">
        <v>10.0</v>
      </c>
      <c r="D264" s="41" t="s">
        <v>33</v>
      </c>
      <c r="E264" s="43" t="s">
        <v>42</v>
      </c>
      <c r="F264" s="28">
        <v>0.0</v>
      </c>
      <c r="H264" s="32">
        <v>0.0</v>
      </c>
      <c r="J264" s="32">
        <v>0.0</v>
      </c>
      <c r="L264" s="32">
        <v>0.0</v>
      </c>
      <c r="N264" s="32">
        <v>0.0</v>
      </c>
      <c r="P264" s="32">
        <v>0.0</v>
      </c>
      <c r="Q264" s="29"/>
      <c r="R264" s="28">
        <v>86.0</v>
      </c>
      <c r="T264" s="32">
        <v>138.0</v>
      </c>
      <c r="V264" s="32">
        <v>0.0</v>
      </c>
      <c r="X264" s="32">
        <v>0.0</v>
      </c>
      <c r="Z264" s="32">
        <v>0.0</v>
      </c>
      <c r="AB264" s="32">
        <v>0.0</v>
      </c>
      <c r="AC264" s="29"/>
      <c r="AD264" s="26"/>
      <c r="AF264" s="27"/>
      <c r="AH264" s="27"/>
      <c r="AJ264" s="27"/>
      <c r="AL264" s="27"/>
      <c r="AN264" s="27"/>
      <c r="AO264" s="29"/>
      <c r="AP264" s="45">
        <f t="shared" si="1"/>
        <v>3808</v>
      </c>
      <c r="AQ264" s="41">
        <f t="shared" si="2"/>
        <v>224</v>
      </c>
      <c r="AR264" s="41">
        <f t="shared" si="3"/>
        <v>0</v>
      </c>
      <c r="AS264" s="41">
        <f t="shared" si="4"/>
        <v>224</v>
      </c>
      <c r="AT264" s="46">
        <f t="shared" si="5"/>
        <v>17</v>
      </c>
      <c r="AU264" s="37"/>
      <c r="AV264" s="37"/>
      <c r="AW264" s="37"/>
    </row>
    <row r="265" ht="15.75" customHeight="1">
      <c r="A265" s="39" t="s">
        <v>29</v>
      </c>
      <c r="B265" s="40">
        <f t="shared" si="6"/>
        <v>44825</v>
      </c>
      <c r="C265" s="41">
        <v>10.0</v>
      </c>
      <c r="D265" s="41" t="s">
        <v>33</v>
      </c>
      <c r="E265" s="43" t="s">
        <v>42</v>
      </c>
      <c r="F265" s="28">
        <v>0.0</v>
      </c>
      <c r="H265" s="32">
        <v>0.0</v>
      </c>
      <c r="J265" s="32">
        <v>0.0</v>
      </c>
      <c r="L265" s="32">
        <v>0.0</v>
      </c>
      <c r="N265" s="32">
        <v>0.0</v>
      </c>
      <c r="P265" s="32">
        <v>0.0</v>
      </c>
      <c r="Q265" s="29"/>
      <c r="R265" s="28">
        <v>113.0</v>
      </c>
      <c r="T265" s="32">
        <v>138.0</v>
      </c>
      <c r="V265" s="32">
        <v>0.0</v>
      </c>
      <c r="X265" s="32">
        <v>0.0</v>
      </c>
      <c r="Z265" s="32">
        <v>0.0</v>
      </c>
      <c r="AB265" s="32">
        <v>0.0</v>
      </c>
      <c r="AC265" s="29"/>
      <c r="AD265" s="26"/>
      <c r="AF265" s="27"/>
      <c r="AH265" s="27"/>
      <c r="AJ265" s="27"/>
      <c r="AL265" s="27"/>
      <c r="AN265" s="27"/>
      <c r="AO265" s="29"/>
      <c r="AP265" s="45">
        <f t="shared" si="1"/>
        <v>4267</v>
      </c>
      <c r="AQ265" s="41">
        <f t="shared" si="2"/>
        <v>251</v>
      </c>
      <c r="AR265" s="41">
        <f t="shared" si="3"/>
        <v>0</v>
      </c>
      <c r="AS265" s="41">
        <f t="shared" si="4"/>
        <v>251</v>
      </c>
      <c r="AT265" s="46">
        <f t="shared" si="5"/>
        <v>17</v>
      </c>
      <c r="AU265" s="37"/>
      <c r="AV265" s="37"/>
      <c r="AW265" s="37"/>
    </row>
    <row r="266" ht="15.75" customHeight="1">
      <c r="A266" s="39" t="s">
        <v>30</v>
      </c>
      <c r="B266" s="40">
        <f t="shared" si="6"/>
        <v>44826</v>
      </c>
      <c r="C266" s="41">
        <v>10.0</v>
      </c>
      <c r="D266" s="41" t="s">
        <v>33</v>
      </c>
      <c r="E266" s="43" t="s">
        <v>42</v>
      </c>
      <c r="F266" s="28">
        <v>0.0</v>
      </c>
      <c r="H266" s="32">
        <v>0.0</v>
      </c>
      <c r="J266" s="32">
        <v>0.0</v>
      </c>
      <c r="L266" s="32">
        <v>0.0</v>
      </c>
      <c r="N266" s="32">
        <v>0.0</v>
      </c>
      <c r="P266" s="32">
        <v>0.0</v>
      </c>
      <c r="Q266" s="29"/>
      <c r="R266" s="28">
        <v>115.0</v>
      </c>
      <c r="T266" s="32">
        <v>137.0</v>
      </c>
      <c r="V266" s="32">
        <v>0.0</v>
      </c>
      <c r="X266" s="32">
        <v>0.0</v>
      </c>
      <c r="Z266" s="32">
        <v>0.0</v>
      </c>
      <c r="AB266" s="32">
        <v>0.0</v>
      </c>
      <c r="AC266" s="29"/>
      <c r="AD266" s="26"/>
      <c r="AF266" s="27"/>
      <c r="AH266" s="27"/>
      <c r="AJ266" s="27"/>
      <c r="AL266" s="27"/>
      <c r="AN266" s="27"/>
      <c r="AO266" s="29"/>
      <c r="AP266" s="45">
        <f t="shared" si="1"/>
        <v>4284</v>
      </c>
      <c r="AQ266" s="41">
        <f t="shared" si="2"/>
        <v>252</v>
      </c>
      <c r="AR266" s="41">
        <f t="shared" si="3"/>
        <v>0</v>
      </c>
      <c r="AS266" s="41">
        <f t="shared" si="4"/>
        <v>252</v>
      </c>
      <c r="AT266" s="46">
        <f t="shared" si="5"/>
        <v>17</v>
      </c>
      <c r="AU266" s="37"/>
      <c r="AV266" s="37"/>
      <c r="AW266" s="37"/>
    </row>
    <row r="267" ht="15.75" customHeight="1">
      <c r="A267" s="39" t="s">
        <v>31</v>
      </c>
      <c r="B267" s="40">
        <f t="shared" si="6"/>
        <v>44827</v>
      </c>
      <c r="C267" s="41">
        <v>10.0</v>
      </c>
      <c r="D267" s="41" t="s">
        <v>33</v>
      </c>
      <c r="E267" s="43" t="s">
        <v>42</v>
      </c>
      <c r="F267" s="28">
        <v>0.0</v>
      </c>
      <c r="H267" s="32">
        <v>0.0</v>
      </c>
      <c r="J267" s="32">
        <v>0.0</v>
      </c>
      <c r="L267" s="32">
        <v>0.0</v>
      </c>
      <c r="N267" s="32">
        <v>0.0</v>
      </c>
      <c r="P267" s="32">
        <v>0.0</v>
      </c>
      <c r="Q267" s="29"/>
      <c r="R267" s="28">
        <v>97.0</v>
      </c>
      <c r="T267" s="32">
        <v>106.0</v>
      </c>
      <c r="V267" s="32">
        <v>0.0</v>
      </c>
      <c r="X267" s="32">
        <v>0.0</v>
      </c>
      <c r="Z267" s="32">
        <v>0.0</v>
      </c>
      <c r="AB267" s="32">
        <v>0.0</v>
      </c>
      <c r="AC267" s="29"/>
      <c r="AD267" s="26"/>
      <c r="AF267" s="27"/>
      <c r="AH267" s="27"/>
      <c r="AJ267" s="27"/>
      <c r="AL267" s="27"/>
      <c r="AN267" s="27"/>
      <c r="AO267" s="29"/>
      <c r="AP267" s="45">
        <f t="shared" si="1"/>
        <v>3451</v>
      </c>
      <c r="AQ267" s="41">
        <f t="shared" si="2"/>
        <v>203</v>
      </c>
      <c r="AR267" s="41">
        <f t="shared" si="3"/>
        <v>0</v>
      </c>
      <c r="AS267" s="41">
        <f t="shared" si="4"/>
        <v>203</v>
      </c>
      <c r="AT267" s="46">
        <f t="shared" si="5"/>
        <v>17</v>
      </c>
      <c r="AU267" s="37"/>
      <c r="AV267" s="37"/>
      <c r="AW267" s="37"/>
    </row>
    <row r="268" ht="15.75" customHeight="1">
      <c r="A268" s="49" t="s">
        <v>32</v>
      </c>
      <c r="B268" s="50">
        <f t="shared" si="6"/>
        <v>44828</v>
      </c>
      <c r="C268" s="51">
        <v>10.0</v>
      </c>
      <c r="D268" s="51" t="s">
        <v>33</v>
      </c>
      <c r="E268" s="53" t="s">
        <v>42</v>
      </c>
      <c r="F268" s="57">
        <v>0.0</v>
      </c>
      <c r="G268" s="55"/>
      <c r="H268" s="59">
        <v>0.0</v>
      </c>
      <c r="I268" s="55"/>
      <c r="J268" s="59">
        <v>0.0</v>
      </c>
      <c r="K268" s="55"/>
      <c r="L268" s="59">
        <v>0.0</v>
      </c>
      <c r="M268" s="55"/>
      <c r="N268" s="59">
        <v>0.0</v>
      </c>
      <c r="O268" s="55"/>
      <c r="P268" s="59">
        <v>0.0</v>
      </c>
      <c r="Q268" s="58"/>
      <c r="R268" s="57">
        <v>0.0</v>
      </c>
      <c r="S268" s="55"/>
      <c r="T268" s="59">
        <v>0.0</v>
      </c>
      <c r="U268" s="55"/>
      <c r="V268" s="59">
        <v>0.0</v>
      </c>
      <c r="W268" s="55"/>
      <c r="X268" s="59">
        <v>0.0</v>
      </c>
      <c r="Y268" s="55"/>
      <c r="Z268" s="59">
        <v>0.0</v>
      </c>
      <c r="AA268" s="55"/>
      <c r="AB268" s="59">
        <v>0.0</v>
      </c>
      <c r="AC268" s="58"/>
      <c r="AD268" s="54"/>
      <c r="AE268" s="55"/>
      <c r="AF268" s="56"/>
      <c r="AG268" s="55"/>
      <c r="AH268" s="56"/>
      <c r="AI268" s="55"/>
      <c r="AJ268" s="56"/>
      <c r="AK268" s="55"/>
      <c r="AL268" s="56"/>
      <c r="AM268" s="55"/>
      <c r="AN268" s="56"/>
      <c r="AO268" s="58"/>
      <c r="AP268" s="60">
        <f t="shared" si="1"/>
        <v>0</v>
      </c>
      <c r="AQ268" s="51">
        <f t="shared" si="2"/>
        <v>0</v>
      </c>
      <c r="AR268" s="51">
        <f t="shared" si="3"/>
        <v>0</v>
      </c>
      <c r="AS268" s="51">
        <f t="shared" si="4"/>
        <v>0</v>
      </c>
      <c r="AT268" s="61" t="str">
        <f t="shared" si="5"/>
        <v/>
      </c>
      <c r="AU268" s="37"/>
      <c r="AV268" s="37"/>
      <c r="AW268" s="37"/>
    </row>
    <row r="269" ht="15.75" customHeight="1">
      <c r="A269" s="21" t="s">
        <v>24</v>
      </c>
      <c r="B269" s="62">
        <f t="shared" si="6"/>
        <v>44829</v>
      </c>
      <c r="C269" s="23">
        <v>10.0</v>
      </c>
      <c r="D269" s="23" t="s">
        <v>34</v>
      </c>
      <c r="E269" s="63" t="s">
        <v>42</v>
      </c>
      <c r="F269" s="28">
        <v>0.0</v>
      </c>
      <c r="H269" s="32">
        <v>0.0</v>
      </c>
      <c r="J269" s="32">
        <v>0.0</v>
      </c>
      <c r="L269" s="32">
        <v>0.0</v>
      </c>
      <c r="N269" s="32">
        <v>0.0</v>
      </c>
      <c r="P269" s="32">
        <v>0.0</v>
      </c>
      <c r="Q269" s="29"/>
      <c r="R269" s="28">
        <v>114.0</v>
      </c>
      <c r="T269" s="32">
        <v>133.0</v>
      </c>
      <c r="V269" s="32">
        <v>0.0</v>
      </c>
      <c r="X269" s="32">
        <v>0.0</v>
      </c>
      <c r="Z269" s="32">
        <v>0.0</v>
      </c>
      <c r="AB269" s="32">
        <v>0.0</v>
      </c>
      <c r="AC269" s="29"/>
      <c r="AD269" s="26"/>
      <c r="AF269" s="27"/>
      <c r="AH269" s="27"/>
      <c r="AJ269" s="27"/>
      <c r="AL269" s="27"/>
      <c r="AN269" s="27"/>
      <c r="AO269" s="29"/>
      <c r="AP269" s="35">
        <f t="shared" si="1"/>
        <v>4199</v>
      </c>
      <c r="AQ269" s="23">
        <f t="shared" si="2"/>
        <v>247</v>
      </c>
      <c r="AR269" s="23">
        <f t="shared" si="3"/>
        <v>0</v>
      </c>
      <c r="AS269" s="23">
        <f t="shared" si="4"/>
        <v>247</v>
      </c>
      <c r="AT269" s="36">
        <f t="shared" si="5"/>
        <v>17</v>
      </c>
      <c r="AU269" s="37"/>
      <c r="AV269" s="37"/>
      <c r="AW269" s="37"/>
    </row>
    <row r="270" ht="15.75" customHeight="1">
      <c r="A270" s="39" t="s">
        <v>27</v>
      </c>
      <c r="B270" s="40">
        <f t="shared" si="6"/>
        <v>44830</v>
      </c>
      <c r="C270" s="41">
        <v>10.0</v>
      </c>
      <c r="D270" s="41" t="s">
        <v>34</v>
      </c>
      <c r="E270" s="43" t="s">
        <v>42</v>
      </c>
      <c r="F270" s="28">
        <v>0.0</v>
      </c>
      <c r="H270" s="32">
        <v>0.0</v>
      </c>
      <c r="J270" s="32">
        <v>0.0</v>
      </c>
      <c r="L270" s="32">
        <v>0.0</v>
      </c>
      <c r="N270" s="32">
        <v>0.0</v>
      </c>
      <c r="P270" s="32">
        <v>0.0</v>
      </c>
      <c r="Q270" s="29"/>
      <c r="R270" s="28">
        <v>113.0</v>
      </c>
      <c r="T270" s="32">
        <v>103.0</v>
      </c>
      <c r="V270" s="32">
        <v>0.0</v>
      </c>
      <c r="X270" s="32">
        <v>0.0</v>
      </c>
      <c r="Z270" s="32">
        <v>0.0</v>
      </c>
      <c r="AB270" s="32">
        <v>0.0</v>
      </c>
      <c r="AC270" s="29"/>
      <c r="AD270" s="26"/>
      <c r="AF270" s="27"/>
      <c r="AH270" s="27"/>
      <c r="AJ270" s="27"/>
      <c r="AL270" s="27"/>
      <c r="AN270" s="27"/>
      <c r="AO270" s="29"/>
      <c r="AP270" s="45">
        <f t="shared" si="1"/>
        <v>3672</v>
      </c>
      <c r="AQ270" s="41">
        <f t="shared" si="2"/>
        <v>216</v>
      </c>
      <c r="AR270" s="41">
        <f t="shared" si="3"/>
        <v>0</v>
      </c>
      <c r="AS270" s="41">
        <f t="shared" si="4"/>
        <v>216</v>
      </c>
      <c r="AT270" s="46">
        <f t="shared" si="5"/>
        <v>17</v>
      </c>
      <c r="AU270" s="37"/>
      <c r="AV270" s="37"/>
      <c r="AW270" s="37"/>
    </row>
    <row r="271" ht="15.75" customHeight="1">
      <c r="A271" s="39" t="s">
        <v>28</v>
      </c>
      <c r="B271" s="40">
        <f t="shared" si="6"/>
        <v>44831</v>
      </c>
      <c r="C271" s="41">
        <v>10.0</v>
      </c>
      <c r="D271" s="41" t="s">
        <v>34</v>
      </c>
      <c r="E271" s="43" t="s">
        <v>42</v>
      </c>
      <c r="F271" s="28">
        <v>0.0</v>
      </c>
      <c r="H271" s="32">
        <v>0.0</v>
      </c>
      <c r="J271" s="32">
        <v>0.0</v>
      </c>
      <c r="L271" s="32">
        <v>0.0</v>
      </c>
      <c r="N271" s="32">
        <v>0.0</v>
      </c>
      <c r="P271" s="32">
        <v>0.0</v>
      </c>
      <c r="Q271" s="29"/>
      <c r="R271" s="28">
        <v>114.0</v>
      </c>
      <c r="T271" s="32">
        <v>114.0</v>
      </c>
      <c r="V271" s="32">
        <v>0.0</v>
      </c>
      <c r="X271" s="32">
        <v>0.0</v>
      </c>
      <c r="Z271" s="32">
        <v>0.0</v>
      </c>
      <c r="AB271" s="32">
        <v>0.0</v>
      </c>
      <c r="AC271" s="29"/>
      <c r="AD271" s="26"/>
      <c r="AF271" s="27"/>
      <c r="AH271" s="27"/>
      <c r="AJ271" s="27"/>
      <c r="AL271" s="27"/>
      <c r="AN271" s="27"/>
      <c r="AO271" s="29"/>
      <c r="AP271" s="45">
        <f t="shared" si="1"/>
        <v>3876</v>
      </c>
      <c r="AQ271" s="41">
        <f t="shared" si="2"/>
        <v>228</v>
      </c>
      <c r="AR271" s="41">
        <f t="shared" si="3"/>
        <v>0</v>
      </c>
      <c r="AS271" s="41">
        <f t="shared" si="4"/>
        <v>228</v>
      </c>
      <c r="AT271" s="46">
        <f t="shared" si="5"/>
        <v>17</v>
      </c>
      <c r="AU271" s="37"/>
      <c r="AV271" s="37"/>
      <c r="AW271" s="37"/>
    </row>
    <row r="272" ht="15.75" customHeight="1">
      <c r="A272" s="39" t="s">
        <v>29</v>
      </c>
      <c r="B272" s="40">
        <f t="shared" si="6"/>
        <v>44832</v>
      </c>
      <c r="C272" s="41">
        <v>10.0</v>
      </c>
      <c r="D272" s="41" t="s">
        <v>34</v>
      </c>
      <c r="E272" s="43" t="s">
        <v>42</v>
      </c>
      <c r="F272" s="28">
        <v>0.0</v>
      </c>
      <c r="H272" s="32">
        <v>0.0</v>
      </c>
      <c r="J272" s="32">
        <v>0.0</v>
      </c>
      <c r="L272" s="32">
        <v>0.0</v>
      </c>
      <c r="N272" s="32">
        <v>0.0</v>
      </c>
      <c r="P272" s="32">
        <v>0.0</v>
      </c>
      <c r="Q272" s="29"/>
      <c r="R272" s="28">
        <v>106.0</v>
      </c>
      <c r="T272" s="32">
        <v>108.0</v>
      </c>
      <c r="V272" s="32">
        <v>0.0</v>
      </c>
      <c r="X272" s="32">
        <v>0.0</v>
      </c>
      <c r="Z272" s="32">
        <v>0.0</v>
      </c>
      <c r="AB272" s="32">
        <v>0.0</v>
      </c>
      <c r="AC272" s="29"/>
      <c r="AD272" s="26"/>
      <c r="AF272" s="27"/>
      <c r="AH272" s="27"/>
      <c r="AJ272" s="27"/>
      <c r="AL272" s="27"/>
      <c r="AN272" s="27"/>
      <c r="AO272" s="29"/>
      <c r="AP272" s="45">
        <f t="shared" si="1"/>
        <v>3638</v>
      </c>
      <c r="AQ272" s="41">
        <f t="shared" si="2"/>
        <v>214</v>
      </c>
      <c r="AR272" s="41">
        <f t="shared" si="3"/>
        <v>0</v>
      </c>
      <c r="AS272" s="41">
        <f t="shared" si="4"/>
        <v>214</v>
      </c>
      <c r="AT272" s="46">
        <f t="shared" si="5"/>
        <v>17</v>
      </c>
      <c r="AU272" s="37"/>
      <c r="AV272" s="37"/>
      <c r="AW272" s="37"/>
    </row>
    <row r="273" ht="15.75" customHeight="1">
      <c r="A273" s="39" t="s">
        <v>30</v>
      </c>
      <c r="B273" s="40">
        <f t="shared" si="6"/>
        <v>44833</v>
      </c>
      <c r="C273" s="41">
        <v>10.0</v>
      </c>
      <c r="D273" s="41" t="s">
        <v>34</v>
      </c>
      <c r="E273" s="43" t="s">
        <v>42</v>
      </c>
      <c r="F273" s="28">
        <v>0.0</v>
      </c>
      <c r="H273" s="32">
        <v>0.0</v>
      </c>
      <c r="J273" s="32">
        <v>0.0</v>
      </c>
      <c r="L273" s="32">
        <v>0.0</v>
      </c>
      <c r="N273" s="32">
        <v>0.0</v>
      </c>
      <c r="P273" s="32">
        <v>0.0</v>
      </c>
      <c r="Q273" s="29"/>
      <c r="R273" s="28">
        <v>111.0</v>
      </c>
      <c r="T273" s="32">
        <v>102.0</v>
      </c>
      <c r="V273" s="32">
        <v>0.0</v>
      </c>
      <c r="X273" s="32">
        <v>0.0</v>
      </c>
      <c r="Z273" s="32">
        <v>0.0</v>
      </c>
      <c r="AB273" s="32">
        <v>0.0</v>
      </c>
      <c r="AC273" s="29"/>
      <c r="AD273" s="26"/>
      <c r="AF273" s="27"/>
      <c r="AH273" s="27"/>
      <c r="AJ273" s="27"/>
      <c r="AL273" s="27"/>
      <c r="AN273" s="27"/>
      <c r="AO273" s="29"/>
      <c r="AP273" s="45">
        <f t="shared" si="1"/>
        <v>3621</v>
      </c>
      <c r="AQ273" s="41">
        <f t="shared" si="2"/>
        <v>213</v>
      </c>
      <c r="AR273" s="41">
        <f t="shared" si="3"/>
        <v>0</v>
      </c>
      <c r="AS273" s="41">
        <f t="shared" si="4"/>
        <v>213</v>
      </c>
      <c r="AT273" s="46">
        <f t="shared" si="5"/>
        <v>17</v>
      </c>
      <c r="AU273" s="37"/>
      <c r="AV273" s="37"/>
      <c r="AW273" s="37"/>
    </row>
    <row r="274" ht="15.75" customHeight="1">
      <c r="A274" s="39" t="s">
        <v>31</v>
      </c>
      <c r="B274" s="40">
        <f t="shared" si="6"/>
        <v>44834</v>
      </c>
      <c r="C274" s="41">
        <v>10.0</v>
      </c>
      <c r="D274" s="41" t="s">
        <v>34</v>
      </c>
      <c r="E274" s="43" t="s">
        <v>42</v>
      </c>
      <c r="F274" s="28">
        <v>0.0</v>
      </c>
      <c r="H274" s="32">
        <v>0.0</v>
      </c>
      <c r="J274" s="32">
        <v>0.0</v>
      </c>
      <c r="L274" s="32">
        <v>0.0</v>
      </c>
      <c r="N274" s="32">
        <v>0.0</v>
      </c>
      <c r="P274" s="32">
        <v>0.0</v>
      </c>
      <c r="Q274" s="29"/>
      <c r="R274" s="28">
        <v>103.0</v>
      </c>
      <c r="T274" s="32">
        <v>65.0</v>
      </c>
      <c r="V274" s="32">
        <v>0.0</v>
      </c>
      <c r="X274" s="32">
        <v>0.0</v>
      </c>
      <c r="Z274" s="32">
        <v>0.0</v>
      </c>
      <c r="AB274" s="32">
        <v>0.0</v>
      </c>
      <c r="AC274" s="29"/>
      <c r="AD274" s="26"/>
      <c r="AF274" s="27"/>
      <c r="AH274" s="27"/>
      <c r="AJ274" s="27"/>
      <c r="AL274" s="27"/>
      <c r="AN274" s="27"/>
      <c r="AO274" s="29"/>
      <c r="AP274" s="45">
        <f t="shared" si="1"/>
        <v>2856</v>
      </c>
      <c r="AQ274" s="41">
        <f t="shared" si="2"/>
        <v>168</v>
      </c>
      <c r="AR274" s="41">
        <f t="shared" si="3"/>
        <v>0</v>
      </c>
      <c r="AS274" s="41">
        <f t="shared" si="4"/>
        <v>168</v>
      </c>
      <c r="AT274" s="46">
        <f t="shared" si="5"/>
        <v>17</v>
      </c>
      <c r="AU274" s="37"/>
      <c r="AV274" s="37"/>
      <c r="AW274" s="37"/>
    </row>
    <row r="275" ht="15.75" customHeight="1">
      <c r="A275" s="49" t="s">
        <v>32</v>
      </c>
      <c r="B275" s="50">
        <f t="shared" si="6"/>
        <v>44835</v>
      </c>
      <c r="C275" s="51">
        <v>10.0</v>
      </c>
      <c r="D275" s="51" t="s">
        <v>34</v>
      </c>
      <c r="E275" s="53" t="s">
        <v>42</v>
      </c>
      <c r="F275" s="57">
        <v>0.0</v>
      </c>
      <c r="G275" s="55"/>
      <c r="H275" s="59">
        <v>0.0</v>
      </c>
      <c r="I275" s="55"/>
      <c r="J275" s="59">
        <v>0.0</v>
      </c>
      <c r="K275" s="55"/>
      <c r="L275" s="59">
        <v>0.0</v>
      </c>
      <c r="M275" s="55"/>
      <c r="N275" s="59">
        <v>0.0</v>
      </c>
      <c r="O275" s="55"/>
      <c r="P275" s="59">
        <v>0.0</v>
      </c>
      <c r="Q275" s="58"/>
      <c r="R275" s="57">
        <v>0.0</v>
      </c>
      <c r="S275" s="55"/>
      <c r="T275" s="59">
        <v>0.0</v>
      </c>
      <c r="U275" s="55"/>
      <c r="V275" s="59">
        <v>0.0</v>
      </c>
      <c r="W275" s="55"/>
      <c r="X275" s="59">
        <v>0.0</v>
      </c>
      <c r="Y275" s="55"/>
      <c r="Z275" s="59">
        <v>0.0</v>
      </c>
      <c r="AA275" s="55"/>
      <c r="AB275" s="59">
        <v>0.0</v>
      </c>
      <c r="AC275" s="58"/>
      <c r="AD275" s="54"/>
      <c r="AE275" s="55"/>
      <c r="AF275" s="56"/>
      <c r="AG275" s="55"/>
      <c r="AH275" s="56"/>
      <c r="AI275" s="55"/>
      <c r="AJ275" s="56"/>
      <c r="AK275" s="55"/>
      <c r="AL275" s="56"/>
      <c r="AM275" s="55"/>
      <c r="AN275" s="56"/>
      <c r="AO275" s="58"/>
      <c r="AP275" s="60">
        <f t="shared" si="1"/>
        <v>0</v>
      </c>
      <c r="AQ275" s="51">
        <f t="shared" si="2"/>
        <v>0</v>
      </c>
      <c r="AR275" s="51">
        <f t="shared" si="3"/>
        <v>0</v>
      </c>
      <c r="AS275" s="51">
        <f t="shared" si="4"/>
        <v>0</v>
      </c>
      <c r="AT275" s="61" t="str">
        <f t="shared" si="5"/>
        <v/>
      </c>
      <c r="AU275" s="37"/>
      <c r="AV275" s="37"/>
      <c r="AW275" s="37"/>
    </row>
    <row r="276" ht="15.75" customHeight="1">
      <c r="A276" s="21" t="s">
        <v>24</v>
      </c>
      <c r="B276" s="62">
        <f t="shared" si="6"/>
        <v>44836</v>
      </c>
      <c r="C276" s="23">
        <v>10.0</v>
      </c>
      <c r="D276" s="23" t="s">
        <v>35</v>
      </c>
      <c r="E276" s="63" t="s">
        <v>42</v>
      </c>
      <c r="F276" s="28">
        <v>0.0</v>
      </c>
      <c r="H276" s="32">
        <v>0.0</v>
      </c>
      <c r="J276" s="32">
        <v>0.0</v>
      </c>
      <c r="L276" s="32">
        <v>0.0</v>
      </c>
      <c r="N276" s="32">
        <v>0.0</v>
      </c>
      <c r="P276" s="32">
        <v>0.0</v>
      </c>
      <c r="Q276" s="29"/>
      <c r="R276" s="28">
        <v>35.0</v>
      </c>
      <c r="T276" s="32">
        <v>32.0</v>
      </c>
      <c r="V276" s="32">
        <v>0.0</v>
      </c>
      <c r="X276" s="32">
        <v>0.0</v>
      </c>
      <c r="Z276" s="32">
        <v>0.0</v>
      </c>
      <c r="AB276" s="32">
        <v>0.0</v>
      </c>
      <c r="AC276" s="29"/>
      <c r="AD276" s="26"/>
      <c r="AF276" s="27"/>
      <c r="AH276" s="27"/>
      <c r="AJ276" s="27"/>
      <c r="AL276" s="27"/>
      <c r="AN276" s="27"/>
      <c r="AO276" s="29"/>
      <c r="AP276" s="35">
        <f t="shared" si="1"/>
        <v>1139</v>
      </c>
      <c r="AQ276" s="23">
        <f t="shared" si="2"/>
        <v>67</v>
      </c>
      <c r="AR276" s="23">
        <f t="shared" si="3"/>
        <v>0</v>
      </c>
      <c r="AS276" s="23">
        <f t="shared" si="4"/>
        <v>67</v>
      </c>
      <c r="AT276" s="36">
        <f t="shared" si="5"/>
        <v>17</v>
      </c>
      <c r="AU276" s="37"/>
      <c r="AV276" s="37"/>
      <c r="AW276" s="37"/>
    </row>
    <row r="277" ht="15.75" customHeight="1">
      <c r="A277" s="39" t="s">
        <v>27</v>
      </c>
      <c r="B277" s="40">
        <f t="shared" si="6"/>
        <v>44837</v>
      </c>
      <c r="C277" s="41">
        <v>10.0</v>
      </c>
      <c r="D277" s="41" t="s">
        <v>35</v>
      </c>
      <c r="E277" s="43" t="s">
        <v>42</v>
      </c>
      <c r="F277" s="28">
        <v>0.0</v>
      </c>
      <c r="H277" s="32">
        <v>0.0</v>
      </c>
      <c r="J277" s="32">
        <v>0.0</v>
      </c>
      <c r="L277" s="32">
        <v>0.0</v>
      </c>
      <c r="N277" s="32">
        <v>0.0</v>
      </c>
      <c r="P277" s="32">
        <v>0.0</v>
      </c>
      <c r="Q277" s="29"/>
      <c r="R277" s="28">
        <v>38.0</v>
      </c>
      <c r="T277" s="32">
        <v>53.0</v>
      </c>
      <c r="V277" s="32">
        <v>0.0</v>
      </c>
      <c r="X277" s="32">
        <v>0.0</v>
      </c>
      <c r="Z277" s="32">
        <v>0.0</v>
      </c>
      <c r="AB277" s="32">
        <v>0.0</v>
      </c>
      <c r="AC277" s="29"/>
      <c r="AD277" s="26"/>
      <c r="AF277" s="27"/>
      <c r="AH277" s="27"/>
      <c r="AJ277" s="27"/>
      <c r="AL277" s="27"/>
      <c r="AN277" s="27"/>
      <c r="AO277" s="29"/>
      <c r="AP277" s="45">
        <f t="shared" si="1"/>
        <v>1547</v>
      </c>
      <c r="AQ277" s="41">
        <f t="shared" si="2"/>
        <v>91</v>
      </c>
      <c r="AR277" s="41">
        <f t="shared" si="3"/>
        <v>0</v>
      </c>
      <c r="AS277" s="41">
        <f t="shared" si="4"/>
        <v>91</v>
      </c>
      <c r="AT277" s="46">
        <f t="shared" si="5"/>
        <v>17</v>
      </c>
      <c r="AU277" s="37"/>
      <c r="AV277" s="37"/>
      <c r="AW277" s="37"/>
    </row>
    <row r="278" ht="15.75" customHeight="1">
      <c r="A278" s="39" t="s">
        <v>28</v>
      </c>
      <c r="B278" s="40">
        <f t="shared" si="6"/>
        <v>44838</v>
      </c>
      <c r="C278" s="41">
        <v>10.0</v>
      </c>
      <c r="D278" s="41" t="s">
        <v>35</v>
      </c>
      <c r="E278" s="43" t="s">
        <v>42</v>
      </c>
      <c r="F278" s="28">
        <v>0.0</v>
      </c>
      <c r="H278" s="32">
        <v>0.0</v>
      </c>
      <c r="J278" s="32">
        <v>0.0</v>
      </c>
      <c r="L278" s="32">
        <v>0.0</v>
      </c>
      <c r="N278" s="32">
        <v>0.0</v>
      </c>
      <c r="P278" s="32">
        <v>0.0</v>
      </c>
      <c r="Q278" s="29"/>
      <c r="R278" s="28">
        <v>31.0</v>
      </c>
      <c r="T278" s="32">
        <v>42.0</v>
      </c>
      <c r="V278" s="32">
        <v>0.0</v>
      </c>
      <c r="X278" s="32">
        <v>0.0</v>
      </c>
      <c r="Z278" s="32">
        <v>0.0</v>
      </c>
      <c r="AB278" s="32">
        <v>0.0</v>
      </c>
      <c r="AC278" s="29"/>
      <c r="AD278" s="26"/>
      <c r="AF278" s="27"/>
      <c r="AH278" s="27"/>
      <c r="AJ278" s="27"/>
      <c r="AL278" s="27"/>
      <c r="AN278" s="27"/>
      <c r="AO278" s="29"/>
      <c r="AP278" s="45">
        <f t="shared" si="1"/>
        <v>1241</v>
      </c>
      <c r="AQ278" s="41">
        <f t="shared" si="2"/>
        <v>73</v>
      </c>
      <c r="AR278" s="41">
        <f t="shared" si="3"/>
        <v>0</v>
      </c>
      <c r="AS278" s="41">
        <f t="shared" si="4"/>
        <v>73</v>
      </c>
      <c r="AT278" s="46">
        <f t="shared" si="5"/>
        <v>17</v>
      </c>
      <c r="AU278" s="37"/>
      <c r="AV278" s="37"/>
      <c r="AW278" s="37"/>
    </row>
    <row r="279" ht="15.75" customHeight="1">
      <c r="A279" s="39" t="s">
        <v>29</v>
      </c>
      <c r="B279" s="40">
        <f t="shared" si="6"/>
        <v>44839</v>
      </c>
      <c r="C279" s="41">
        <v>10.0</v>
      </c>
      <c r="D279" s="41" t="s">
        <v>35</v>
      </c>
      <c r="E279" s="43" t="s">
        <v>42</v>
      </c>
      <c r="F279" s="28">
        <v>0.0</v>
      </c>
      <c r="H279" s="32">
        <v>0.0</v>
      </c>
      <c r="J279" s="32">
        <v>0.0</v>
      </c>
      <c r="L279" s="32">
        <v>0.0</v>
      </c>
      <c r="N279" s="32">
        <v>0.0</v>
      </c>
      <c r="P279" s="32">
        <v>0.0</v>
      </c>
      <c r="Q279" s="29"/>
      <c r="R279" s="28">
        <v>32.0</v>
      </c>
      <c r="T279" s="32">
        <v>43.0</v>
      </c>
      <c r="V279" s="32">
        <v>0.0</v>
      </c>
      <c r="X279" s="32">
        <v>0.0</v>
      </c>
      <c r="Z279" s="32">
        <v>0.0</v>
      </c>
      <c r="AB279" s="32">
        <v>0.0</v>
      </c>
      <c r="AC279" s="29"/>
      <c r="AD279" s="26"/>
      <c r="AF279" s="27"/>
      <c r="AH279" s="27"/>
      <c r="AJ279" s="27"/>
      <c r="AL279" s="27"/>
      <c r="AN279" s="27"/>
      <c r="AO279" s="29"/>
      <c r="AP279" s="45">
        <f t="shared" si="1"/>
        <v>1275</v>
      </c>
      <c r="AQ279" s="41">
        <f t="shared" si="2"/>
        <v>75</v>
      </c>
      <c r="AR279" s="41">
        <f t="shared" si="3"/>
        <v>0</v>
      </c>
      <c r="AS279" s="41">
        <f t="shared" si="4"/>
        <v>75</v>
      </c>
      <c r="AT279" s="46">
        <f t="shared" si="5"/>
        <v>17</v>
      </c>
      <c r="AU279" s="37"/>
      <c r="AV279" s="37"/>
      <c r="AW279" s="37"/>
    </row>
    <row r="280" ht="15.75" customHeight="1">
      <c r="A280" s="39" t="s">
        <v>30</v>
      </c>
      <c r="B280" s="40">
        <f t="shared" si="6"/>
        <v>44840</v>
      </c>
      <c r="C280" s="41">
        <v>10.0</v>
      </c>
      <c r="D280" s="41" t="s">
        <v>35</v>
      </c>
      <c r="E280" s="43" t="s">
        <v>42</v>
      </c>
      <c r="F280" s="28">
        <v>0.0</v>
      </c>
      <c r="H280" s="32">
        <v>0.0</v>
      </c>
      <c r="J280" s="32">
        <v>0.0</v>
      </c>
      <c r="L280" s="32">
        <v>0.0</v>
      </c>
      <c r="N280" s="32">
        <v>0.0</v>
      </c>
      <c r="P280" s="32">
        <v>0.0</v>
      </c>
      <c r="Q280" s="29"/>
      <c r="R280" s="28">
        <v>32.0</v>
      </c>
      <c r="T280" s="32">
        <v>42.0</v>
      </c>
      <c r="V280" s="32">
        <v>0.0</v>
      </c>
      <c r="X280" s="32">
        <v>0.0</v>
      </c>
      <c r="Z280" s="32">
        <v>0.0</v>
      </c>
      <c r="AB280" s="32">
        <v>0.0</v>
      </c>
      <c r="AC280" s="29"/>
      <c r="AD280" s="26"/>
      <c r="AF280" s="27"/>
      <c r="AH280" s="27"/>
      <c r="AJ280" s="27"/>
      <c r="AL280" s="27"/>
      <c r="AN280" s="27"/>
      <c r="AO280" s="29"/>
      <c r="AP280" s="45">
        <f t="shared" si="1"/>
        <v>1258</v>
      </c>
      <c r="AQ280" s="41">
        <f t="shared" si="2"/>
        <v>74</v>
      </c>
      <c r="AR280" s="41">
        <f t="shared" si="3"/>
        <v>0</v>
      </c>
      <c r="AS280" s="41">
        <f t="shared" si="4"/>
        <v>74</v>
      </c>
      <c r="AT280" s="46">
        <f t="shared" si="5"/>
        <v>17</v>
      </c>
      <c r="AU280" s="37"/>
      <c r="AV280" s="37"/>
      <c r="AW280" s="37"/>
    </row>
    <row r="281" ht="15.75" customHeight="1">
      <c r="A281" s="39" t="s">
        <v>31</v>
      </c>
      <c r="B281" s="40">
        <f t="shared" si="6"/>
        <v>44841</v>
      </c>
      <c r="C281" s="41">
        <v>10.0</v>
      </c>
      <c r="D281" s="41" t="s">
        <v>35</v>
      </c>
      <c r="E281" s="43" t="s">
        <v>42</v>
      </c>
      <c r="F281" s="28">
        <v>0.0</v>
      </c>
      <c r="H281" s="32">
        <v>0.0</v>
      </c>
      <c r="J281" s="32">
        <v>0.0</v>
      </c>
      <c r="L281" s="32">
        <v>0.0</v>
      </c>
      <c r="N281" s="32">
        <v>0.0</v>
      </c>
      <c r="P281" s="32">
        <v>0.0</v>
      </c>
      <c r="Q281" s="29"/>
      <c r="R281" s="28">
        <v>0.0</v>
      </c>
      <c r="T281" s="32">
        <v>0.0</v>
      </c>
      <c r="V281" s="32">
        <v>0.0</v>
      </c>
      <c r="X281" s="32">
        <v>0.0</v>
      </c>
      <c r="Z281" s="32">
        <v>0.0</v>
      </c>
      <c r="AB281" s="32">
        <v>0.0</v>
      </c>
      <c r="AC281" s="29"/>
      <c r="AD281" s="26"/>
      <c r="AF281" s="27"/>
      <c r="AH281" s="27"/>
      <c r="AJ281" s="27"/>
      <c r="AL281" s="27"/>
      <c r="AN281" s="27"/>
      <c r="AO281" s="29"/>
      <c r="AP281" s="45">
        <f t="shared" si="1"/>
        <v>0</v>
      </c>
      <c r="AQ281" s="41">
        <f t="shared" si="2"/>
        <v>0</v>
      </c>
      <c r="AR281" s="41">
        <f t="shared" si="3"/>
        <v>0</v>
      </c>
      <c r="AS281" s="41">
        <f t="shared" si="4"/>
        <v>0</v>
      </c>
      <c r="AT281" s="46" t="str">
        <f t="shared" si="5"/>
        <v/>
      </c>
      <c r="AU281" s="37"/>
      <c r="AV281" s="37"/>
      <c r="AW281" s="37"/>
    </row>
    <row r="282" ht="15.75" customHeight="1">
      <c r="A282" s="49" t="s">
        <v>32</v>
      </c>
      <c r="B282" s="50">
        <f t="shared" si="6"/>
        <v>44842</v>
      </c>
      <c r="C282" s="51">
        <v>10.0</v>
      </c>
      <c r="D282" s="51" t="s">
        <v>35</v>
      </c>
      <c r="E282" s="53" t="s">
        <v>42</v>
      </c>
      <c r="F282" s="57">
        <v>0.0</v>
      </c>
      <c r="G282" s="55"/>
      <c r="H282" s="59">
        <v>0.0</v>
      </c>
      <c r="I282" s="55"/>
      <c r="J282" s="59">
        <v>0.0</v>
      </c>
      <c r="K282" s="55"/>
      <c r="L282" s="59">
        <v>0.0</v>
      </c>
      <c r="M282" s="55"/>
      <c r="N282" s="59">
        <v>0.0</v>
      </c>
      <c r="O282" s="55"/>
      <c r="P282" s="59">
        <v>0.0</v>
      </c>
      <c r="Q282" s="58"/>
      <c r="R282" s="57">
        <v>0.0</v>
      </c>
      <c r="S282" s="55"/>
      <c r="T282" s="59">
        <v>0.0</v>
      </c>
      <c r="U282" s="55"/>
      <c r="V282" s="59">
        <v>0.0</v>
      </c>
      <c r="W282" s="55"/>
      <c r="X282" s="59">
        <v>0.0</v>
      </c>
      <c r="Y282" s="55"/>
      <c r="Z282" s="59">
        <v>0.0</v>
      </c>
      <c r="AA282" s="55"/>
      <c r="AB282" s="59">
        <v>0.0</v>
      </c>
      <c r="AC282" s="58"/>
      <c r="AD282" s="54"/>
      <c r="AE282" s="55"/>
      <c r="AF282" s="56"/>
      <c r="AG282" s="55"/>
      <c r="AH282" s="56"/>
      <c r="AI282" s="55"/>
      <c r="AJ282" s="56"/>
      <c r="AK282" s="55"/>
      <c r="AL282" s="56"/>
      <c r="AM282" s="55"/>
      <c r="AN282" s="56"/>
      <c r="AO282" s="58"/>
      <c r="AP282" s="60">
        <f t="shared" si="1"/>
        <v>0</v>
      </c>
      <c r="AQ282" s="51">
        <f t="shared" si="2"/>
        <v>0</v>
      </c>
      <c r="AR282" s="51">
        <f t="shared" si="3"/>
        <v>0</v>
      </c>
      <c r="AS282" s="51">
        <f t="shared" si="4"/>
        <v>0</v>
      </c>
      <c r="AT282" s="61" t="str">
        <f t="shared" si="5"/>
        <v/>
      </c>
      <c r="AU282" s="37"/>
      <c r="AV282" s="37"/>
      <c r="AW282" s="37"/>
    </row>
    <row r="283" ht="15.75" customHeight="1">
      <c r="A283" s="21" t="s">
        <v>24</v>
      </c>
      <c r="B283" s="62">
        <f t="shared" si="6"/>
        <v>44843</v>
      </c>
      <c r="C283" s="23">
        <v>11.0</v>
      </c>
      <c r="D283" s="23" t="s">
        <v>25</v>
      </c>
      <c r="E283" s="63" t="s">
        <v>42</v>
      </c>
      <c r="F283" s="28">
        <v>0.0</v>
      </c>
      <c r="H283" s="32">
        <v>0.0</v>
      </c>
      <c r="J283" s="32">
        <v>0.0</v>
      </c>
      <c r="L283" s="32">
        <v>0.0</v>
      </c>
      <c r="N283" s="32">
        <v>0.0</v>
      </c>
      <c r="P283" s="32">
        <v>0.0</v>
      </c>
      <c r="Q283" s="29"/>
      <c r="R283" s="28">
        <v>33.0</v>
      </c>
      <c r="T283" s="32">
        <v>41.0</v>
      </c>
      <c r="V283" s="32">
        <v>0.0</v>
      </c>
      <c r="X283" s="32">
        <v>0.0</v>
      </c>
      <c r="Z283" s="32">
        <v>0.0</v>
      </c>
      <c r="AB283" s="32">
        <v>0.0</v>
      </c>
      <c r="AC283" s="29"/>
      <c r="AD283" s="26"/>
      <c r="AF283" s="27"/>
      <c r="AH283" s="27"/>
      <c r="AJ283" s="27"/>
      <c r="AL283" s="27"/>
      <c r="AN283" s="27"/>
      <c r="AO283" s="29"/>
      <c r="AP283" s="35">
        <f t="shared" si="1"/>
        <v>1258</v>
      </c>
      <c r="AQ283" s="23">
        <f t="shared" si="2"/>
        <v>74</v>
      </c>
      <c r="AR283" s="23">
        <f t="shared" si="3"/>
        <v>0</v>
      </c>
      <c r="AS283" s="23">
        <f t="shared" si="4"/>
        <v>74</v>
      </c>
      <c r="AT283" s="36">
        <f t="shared" si="5"/>
        <v>17</v>
      </c>
      <c r="AU283" s="37"/>
      <c r="AV283" s="37"/>
      <c r="AW283" s="37"/>
    </row>
    <row r="284" ht="15.75" customHeight="1">
      <c r="A284" s="39" t="s">
        <v>27</v>
      </c>
      <c r="B284" s="40">
        <f t="shared" si="6"/>
        <v>44844</v>
      </c>
      <c r="C284" s="41">
        <v>11.0</v>
      </c>
      <c r="D284" s="41" t="s">
        <v>25</v>
      </c>
      <c r="E284" s="43" t="s">
        <v>42</v>
      </c>
      <c r="F284" s="28">
        <v>0.0</v>
      </c>
      <c r="H284" s="32">
        <v>0.0</v>
      </c>
      <c r="J284" s="32">
        <v>0.0</v>
      </c>
      <c r="L284" s="32">
        <v>0.0</v>
      </c>
      <c r="N284" s="32">
        <v>0.0</v>
      </c>
      <c r="P284" s="32">
        <v>0.0</v>
      </c>
      <c r="Q284" s="29"/>
      <c r="R284" s="28">
        <v>33.0</v>
      </c>
      <c r="T284" s="32">
        <v>49.0</v>
      </c>
      <c r="V284" s="32">
        <v>0.0</v>
      </c>
      <c r="X284" s="32">
        <v>0.0</v>
      </c>
      <c r="Z284" s="32">
        <v>0.0</v>
      </c>
      <c r="AB284" s="32">
        <v>0.0</v>
      </c>
      <c r="AC284" s="29"/>
      <c r="AD284" s="26"/>
      <c r="AF284" s="27"/>
      <c r="AH284" s="27"/>
      <c r="AJ284" s="27"/>
      <c r="AL284" s="27"/>
      <c r="AN284" s="27"/>
      <c r="AO284" s="29"/>
      <c r="AP284" s="45">
        <f t="shared" si="1"/>
        <v>1394</v>
      </c>
      <c r="AQ284" s="41">
        <f t="shared" si="2"/>
        <v>82</v>
      </c>
      <c r="AR284" s="41">
        <f t="shared" si="3"/>
        <v>0</v>
      </c>
      <c r="AS284" s="41">
        <f t="shared" si="4"/>
        <v>82</v>
      </c>
      <c r="AT284" s="46">
        <f t="shared" si="5"/>
        <v>17</v>
      </c>
      <c r="AU284" s="37"/>
      <c r="AV284" s="37"/>
      <c r="AW284" s="37"/>
    </row>
    <row r="285" ht="15.75" customHeight="1">
      <c r="A285" s="39" t="s">
        <v>28</v>
      </c>
      <c r="B285" s="40">
        <f t="shared" si="6"/>
        <v>44845</v>
      </c>
      <c r="C285" s="41">
        <v>11.0</v>
      </c>
      <c r="D285" s="41" t="s">
        <v>25</v>
      </c>
      <c r="E285" s="43" t="s">
        <v>42</v>
      </c>
      <c r="F285" s="28">
        <v>0.0</v>
      </c>
      <c r="H285" s="32">
        <v>0.0</v>
      </c>
      <c r="J285" s="32">
        <v>0.0</v>
      </c>
      <c r="L285" s="32">
        <v>0.0</v>
      </c>
      <c r="N285" s="32">
        <v>0.0</v>
      </c>
      <c r="P285" s="32">
        <v>0.0</v>
      </c>
      <c r="Q285" s="29"/>
      <c r="R285" s="28">
        <v>24.0</v>
      </c>
      <c r="T285" s="32">
        <v>38.0</v>
      </c>
      <c r="V285" s="32">
        <v>0.0</v>
      </c>
      <c r="X285" s="32">
        <v>0.0</v>
      </c>
      <c r="Z285" s="32">
        <v>0.0</v>
      </c>
      <c r="AB285" s="32">
        <v>0.0</v>
      </c>
      <c r="AC285" s="29"/>
      <c r="AD285" s="26"/>
      <c r="AF285" s="27"/>
      <c r="AH285" s="27"/>
      <c r="AJ285" s="27"/>
      <c r="AL285" s="27"/>
      <c r="AN285" s="27"/>
      <c r="AO285" s="29"/>
      <c r="AP285" s="45">
        <f t="shared" si="1"/>
        <v>1054</v>
      </c>
      <c r="AQ285" s="41">
        <f t="shared" si="2"/>
        <v>62</v>
      </c>
      <c r="AR285" s="41">
        <f t="shared" si="3"/>
        <v>0</v>
      </c>
      <c r="AS285" s="41">
        <f t="shared" si="4"/>
        <v>62</v>
      </c>
      <c r="AT285" s="46">
        <f t="shared" si="5"/>
        <v>17</v>
      </c>
      <c r="AU285" s="37"/>
      <c r="AV285" s="37"/>
      <c r="AW285" s="37"/>
    </row>
    <row r="286" ht="15.75" customHeight="1">
      <c r="A286" s="39" t="s">
        <v>29</v>
      </c>
      <c r="B286" s="40">
        <f t="shared" si="6"/>
        <v>44846</v>
      </c>
      <c r="C286" s="41">
        <v>11.0</v>
      </c>
      <c r="D286" s="41" t="s">
        <v>25</v>
      </c>
      <c r="E286" s="43" t="s">
        <v>42</v>
      </c>
      <c r="F286" s="28">
        <v>0.0</v>
      </c>
      <c r="H286" s="32">
        <v>0.0</v>
      </c>
      <c r="J286" s="32">
        <v>0.0</v>
      </c>
      <c r="L286" s="32">
        <v>0.0</v>
      </c>
      <c r="N286" s="32">
        <v>0.0</v>
      </c>
      <c r="P286" s="32">
        <v>0.0</v>
      </c>
      <c r="Q286" s="29"/>
      <c r="R286" s="28">
        <v>27.0</v>
      </c>
      <c r="T286" s="32">
        <v>36.0</v>
      </c>
      <c r="V286" s="32">
        <v>0.0</v>
      </c>
      <c r="X286" s="32">
        <v>0.0</v>
      </c>
      <c r="Z286" s="32">
        <v>0.0</v>
      </c>
      <c r="AB286" s="32">
        <v>0.0</v>
      </c>
      <c r="AC286" s="29"/>
      <c r="AD286" s="26"/>
      <c r="AF286" s="27"/>
      <c r="AH286" s="27"/>
      <c r="AJ286" s="27"/>
      <c r="AL286" s="27"/>
      <c r="AN286" s="27"/>
      <c r="AO286" s="29"/>
      <c r="AP286" s="45">
        <f t="shared" si="1"/>
        <v>1071</v>
      </c>
      <c r="AQ286" s="41">
        <f t="shared" si="2"/>
        <v>63</v>
      </c>
      <c r="AR286" s="41">
        <f t="shared" si="3"/>
        <v>0</v>
      </c>
      <c r="AS286" s="41">
        <f t="shared" si="4"/>
        <v>63</v>
      </c>
      <c r="AT286" s="46">
        <f t="shared" si="5"/>
        <v>17</v>
      </c>
      <c r="AU286" s="37"/>
      <c r="AV286" s="37"/>
      <c r="AW286" s="37"/>
    </row>
    <row r="287" ht="15.75" customHeight="1">
      <c r="A287" s="39" t="s">
        <v>30</v>
      </c>
      <c r="B287" s="40">
        <f t="shared" si="6"/>
        <v>44847</v>
      </c>
      <c r="C287" s="41">
        <v>11.0</v>
      </c>
      <c r="D287" s="41" t="s">
        <v>25</v>
      </c>
      <c r="E287" s="43" t="s">
        <v>42</v>
      </c>
      <c r="F287" s="28">
        <v>0.0</v>
      </c>
      <c r="H287" s="32">
        <v>0.0</v>
      </c>
      <c r="J287" s="32">
        <v>0.0</v>
      </c>
      <c r="L287" s="32">
        <v>0.0</v>
      </c>
      <c r="N287" s="32">
        <v>0.0</v>
      </c>
      <c r="P287" s="32">
        <v>0.0</v>
      </c>
      <c r="Q287" s="29"/>
      <c r="R287" s="28">
        <v>32.0</v>
      </c>
      <c r="T287" s="32">
        <v>29.0</v>
      </c>
      <c r="V287" s="32">
        <v>0.0</v>
      </c>
      <c r="X287" s="32">
        <v>0.0</v>
      </c>
      <c r="Z287" s="32">
        <v>0.0</v>
      </c>
      <c r="AB287" s="32">
        <v>0.0</v>
      </c>
      <c r="AC287" s="29"/>
      <c r="AD287" s="26"/>
      <c r="AF287" s="27"/>
      <c r="AH287" s="27"/>
      <c r="AJ287" s="27"/>
      <c r="AL287" s="27"/>
      <c r="AN287" s="27"/>
      <c r="AO287" s="29"/>
      <c r="AP287" s="45">
        <f t="shared" si="1"/>
        <v>1037</v>
      </c>
      <c r="AQ287" s="41">
        <f t="shared" si="2"/>
        <v>61</v>
      </c>
      <c r="AR287" s="41">
        <f t="shared" si="3"/>
        <v>0</v>
      </c>
      <c r="AS287" s="41">
        <f t="shared" si="4"/>
        <v>61</v>
      </c>
      <c r="AT287" s="46">
        <f t="shared" si="5"/>
        <v>17</v>
      </c>
      <c r="AU287" s="37"/>
      <c r="AV287" s="37"/>
      <c r="AW287" s="37"/>
    </row>
    <row r="288" ht="15.75" customHeight="1">
      <c r="A288" s="39" t="s">
        <v>31</v>
      </c>
      <c r="B288" s="40">
        <f t="shared" si="6"/>
        <v>44848</v>
      </c>
      <c r="C288" s="41">
        <v>11.0</v>
      </c>
      <c r="D288" s="41" t="s">
        <v>25</v>
      </c>
      <c r="E288" s="43" t="s">
        <v>42</v>
      </c>
      <c r="F288" s="28">
        <v>0.0</v>
      </c>
      <c r="H288" s="32">
        <v>0.0</v>
      </c>
      <c r="J288" s="32">
        <v>0.0</v>
      </c>
      <c r="L288" s="32">
        <v>0.0</v>
      </c>
      <c r="N288" s="32">
        <v>0.0</v>
      </c>
      <c r="P288" s="32">
        <v>0.0</v>
      </c>
      <c r="Q288" s="29"/>
      <c r="R288" s="28">
        <v>0.0</v>
      </c>
      <c r="T288" s="32">
        <v>0.0</v>
      </c>
      <c r="V288" s="32">
        <v>0.0</v>
      </c>
      <c r="X288" s="32">
        <v>0.0</v>
      </c>
      <c r="Z288" s="32">
        <v>0.0</v>
      </c>
      <c r="AB288" s="32">
        <v>0.0</v>
      </c>
      <c r="AC288" s="29"/>
      <c r="AD288" s="26"/>
      <c r="AF288" s="27"/>
      <c r="AH288" s="27"/>
      <c r="AJ288" s="27"/>
      <c r="AL288" s="27"/>
      <c r="AN288" s="27"/>
      <c r="AO288" s="29"/>
      <c r="AP288" s="45">
        <f t="shared" si="1"/>
        <v>0</v>
      </c>
      <c r="AQ288" s="41">
        <f t="shared" si="2"/>
        <v>0</v>
      </c>
      <c r="AR288" s="41">
        <f t="shared" si="3"/>
        <v>0</v>
      </c>
      <c r="AS288" s="41">
        <f t="shared" si="4"/>
        <v>0</v>
      </c>
      <c r="AT288" s="46" t="str">
        <f t="shared" si="5"/>
        <v/>
      </c>
      <c r="AU288" s="37"/>
      <c r="AV288" s="37"/>
      <c r="AW288" s="37"/>
    </row>
    <row r="289" ht="15.75" customHeight="1">
      <c r="A289" s="49" t="s">
        <v>32</v>
      </c>
      <c r="B289" s="50">
        <f t="shared" si="6"/>
        <v>44849</v>
      </c>
      <c r="C289" s="51">
        <v>11.0</v>
      </c>
      <c r="D289" s="51" t="s">
        <v>25</v>
      </c>
      <c r="E289" s="53" t="s">
        <v>42</v>
      </c>
      <c r="F289" s="57">
        <v>0.0</v>
      </c>
      <c r="G289" s="55"/>
      <c r="H289" s="59">
        <v>0.0</v>
      </c>
      <c r="I289" s="55"/>
      <c r="J289" s="59">
        <v>0.0</v>
      </c>
      <c r="K289" s="55"/>
      <c r="L289" s="59">
        <v>0.0</v>
      </c>
      <c r="M289" s="55"/>
      <c r="N289" s="59">
        <v>0.0</v>
      </c>
      <c r="O289" s="55"/>
      <c r="P289" s="59">
        <v>0.0</v>
      </c>
      <c r="Q289" s="58"/>
      <c r="R289" s="57">
        <v>0.0</v>
      </c>
      <c r="S289" s="55"/>
      <c r="T289" s="59">
        <v>0.0</v>
      </c>
      <c r="U289" s="55"/>
      <c r="V289" s="59">
        <v>0.0</v>
      </c>
      <c r="W289" s="55"/>
      <c r="X289" s="59">
        <v>0.0</v>
      </c>
      <c r="Y289" s="55"/>
      <c r="Z289" s="59">
        <v>0.0</v>
      </c>
      <c r="AA289" s="55"/>
      <c r="AB289" s="59">
        <v>0.0</v>
      </c>
      <c r="AC289" s="58"/>
      <c r="AD289" s="54"/>
      <c r="AE289" s="55"/>
      <c r="AF289" s="56"/>
      <c r="AG289" s="55"/>
      <c r="AH289" s="56"/>
      <c r="AI289" s="55"/>
      <c r="AJ289" s="56"/>
      <c r="AK289" s="55"/>
      <c r="AL289" s="56"/>
      <c r="AM289" s="55"/>
      <c r="AN289" s="56"/>
      <c r="AO289" s="58"/>
      <c r="AP289" s="60">
        <f t="shared" si="1"/>
        <v>0</v>
      </c>
      <c r="AQ289" s="51">
        <f t="shared" si="2"/>
        <v>0</v>
      </c>
      <c r="AR289" s="51">
        <f t="shared" si="3"/>
        <v>0</v>
      </c>
      <c r="AS289" s="51">
        <f t="shared" si="4"/>
        <v>0</v>
      </c>
      <c r="AT289" s="61" t="str">
        <f t="shared" si="5"/>
        <v/>
      </c>
      <c r="AU289" s="37"/>
      <c r="AV289" s="37"/>
      <c r="AW289" s="37"/>
    </row>
    <row r="290" ht="15.75" customHeight="1">
      <c r="A290" s="21" t="s">
        <v>24</v>
      </c>
      <c r="B290" s="62">
        <f t="shared" si="6"/>
        <v>44850</v>
      </c>
      <c r="C290" s="23">
        <v>11.0</v>
      </c>
      <c r="D290" s="23" t="s">
        <v>33</v>
      </c>
      <c r="E290" s="63" t="s">
        <v>42</v>
      </c>
      <c r="F290" s="28">
        <v>0.0</v>
      </c>
      <c r="H290" s="32">
        <v>0.0</v>
      </c>
      <c r="J290" s="32">
        <v>0.0</v>
      </c>
      <c r="L290" s="32">
        <v>0.0</v>
      </c>
      <c r="N290" s="32">
        <v>0.0</v>
      </c>
      <c r="P290" s="32">
        <v>0.0</v>
      </c>
      <c r="Q290" s="29"/>
      <c r="R290" s="28">
        <v>27.0</v>
      </c>
      <c r="T290" s="32">
        <v>32.0</v>
      </c>
      <c r="V290" s="32">
        <v>0.0</v>
      </c>
      <c r="X290" s="32">
        <v>0.0</v>
      </c>
      <c r="Z290" s="32">
        <v>0.0</v>
      </c>
      <c r="AB290" s="32">
        <v>0.0</v>
      </c>
      <c r="AC290" s="29"/>
      <c r="AD290" s="26"/>
      <c r="AF290" s="27"/>
      <c r="AH290" s="27"/>
      <c r="AJ290" s="27"/>
      <c r="AL290" s="27"/>
      <c r="AN290" s="27"/>
      <c r="AO290" s="29"/>
      <c r="AP290" s="35">
        <f t="shared" si="1"/>
        <v>1003</v>
      </c>
      <c r="AQ290" s="23">
        <f t="shared" si="2"/>
        <v>59</v>
      </c>
      <c r="AR290" s="23">
        <f t="shared" si="3"/>
        <v>0</v>
      </c>
      <c r="AS290" s="23">
        <f t="shared" si="4"/>
        <v>59</v>
      </c>
      <c r="AT290" s="36">
        <f t="shared" si="5"/>
        <v>17</v>
      </c>
      <c r="AU290" s="37"/>
      <c r="AV290" s="37"/>
      <c r="AW290" s="37"/>
    </row>
    <row r="291" ht="15.75" customHeight="1">
      <c r="A291" s="39" t="s">
        <v>27</v>
      </c>
      <c r="B291" s="40">
        <f t="shared" si="6"/>
        <v>44851</v>
      </c>
      <c r="C291" s="41">
        <v>11.0</v>
      </c>
      <c r="D291" s="41" t="s">
        <v>33</v>
      </c>
      <c r="E291" s="43" t="s">
        <v>42</v>
      </c>
      <c r="F291" s="28">
        <v>0.0</v>
      </c>
      <c r="H291" s="32">
        <v>0.0</v>
      </c>
      <c r="J291" s="32">
        <v>0.0</v>
      </c>
      <c r="L291" s="32">
        <v>0.0</v>
      </c>
      <c r="N291" s="32">
        <v>0.0</v>
      </c>
      <c r="P291" s="32">
        <v>0.0</v>
      </c>
      <c r="Q291" s="29"/>
      <c r="R291" s="28">
        <v>28.0</v>
      </c>
      <c r="T291" s="32">
        <v>32.0</v>
      </c>
      <c r="V291" s="32">
        <v>0.0</v>
      </c>
      <c r="X291" s="32">
        <v>0.0</v>
      </c>
      <c r="Z291" s="32">
        <v>0.0</v>
      </c>
      <c r="AB291" s="32">
        <v>0.0</v>
      </c>
      <c r="AC291" s="29"/>
      <c r="AD291" s="26"/>
      <c r="AF291" s="27"/>
      <c r="AH291" s="27"/>
      <c r="AJ291" s="27"/>
      <c r="AL291" s="27"/>
      <c r="AN291" s="27"/>
      <c r="AO291" s="29"/>
      <c r="AP291" s="45">
        <f t="shared" si="1"/>
        <v>1020</v>
      </c>
      <c r="AQ291" s="41">
        <f t="shared" si="2"/>
        <v>60</v>
      </c>
      <c r="AR291" s="41">
        <f t="shared" si="3"/>
        <v>0</v>
      </c>
      <c r="AS291" s="41">
        <f t="shared" si="4"/>
        <v>60</v>
      </c>
      <c r="AT291" s="46">
        <f t="shared" si="5"/>
        <v>17</v>
      </c>
      <c r="AU291" s="37"/>
      <c r="AV291" s="37"/>
      <c r="AW291" s="37"/>
    </row>
    <row r="292" ht="15.75" customHeight="1">
      <c r="A292" s="39" t="s">
        <v>28</v>
      </c>
      <c r="B292" s="40">
        <f t="shared" si="6"/>
        <v>44852</v>
      </c>
      <c r="C292" s="41">
        <v>11.0</v>
      </c>
      <c r="D292" s="41" t="s">
        <v>33</v>
      </c>
      <c r="E292" s="43" t="s">
        <v>42</v>
      </c>
      <c r="F292" s="28">
        <v>0.0</v>
      </c>
      <c r="H292" s="32">
        <v>0.0</v>
      </c>
      <c r="J292" s="32">
        <v>0.0</v>
      </c>
      <c r="L292" s="32">
        <v>0.0</v>
      </c>
      <c r="N292" s="32">
        <v>0.0</v>
      </c>
      <c r="P292" s="32">
        <v>0.0</v>
      </c>
      <c r="Q292" s="29"/>
      <c r="R292" s="28">
        <v>22.0</v>
      </c>
      <c r="T292" s="32">
        <v>20.0</v>
      </c>
      <c r="V292" s="32">
        <v>0.0</v>
      </c>
      <c r="X292" s="32">
        <v>0.0</v>
      </c>
      <c r="Z292" s="32">
        <v>0.0</v>
      </c>
      <c r="AB292" s="32">
        <v>0.0</v>
      </c>
      <c r="AC292" s="29"/>
      <c r="AD292" s="26"/>
      <c r="AF292" s="27"/>
      <c r="AH292" s="27"/>
      <c r="AJ292" s="27"/>
      <c r="AL292" s="27"/>
      <c r="AN292" s="27"/>
      <c r="AO292" s="29"/>
      <c r="AP292" s="45">
        <f t="shared" si="1"/>
        <v>714</v>
      </c>
      <c r="AQ292" s="41">
        <f t="shared" si="2"/>
        <v>42</v>
      </c>
      <c r="AR292" s="41">
        <f t="shared" si="3"/>
        <v>0</v>
      </c>
      <c r="AS292" s="41">
        <f t="shared" si="4"/>
        <v>42</v>
      </c>
      <c r="AT292" s="46">
        <f t="shared" si="5"/>
        <v>17</v>
      </c>
      <c r="AU292" s="37"/>
      <c r="AV292" s="37"/>
      <c r="AW292" s="37"/>
    </row>
    <row r="293" ht="15.75" customHeight="1">
      <c r="A293" s="39" t="s">
        <v>29</v>
      </c>
      <c r="B293" s="40">
        <f t="shared" si="6"/>
        <v>44853</v>
      </c>
      <c r="C293" s="41">
        <v>11.0</v>
      </c>
      <c r="D293" s="41" t="s">
        <v>33</v>
      </c>
      <c r="E293" s="43" t="s">
        <v>42</v>
      </c>
      <c r="F293" s="28">
        <v>0.0</v>
      </c>
      <c r="H293" s="32">
        <v>0.0</v>
      </c>
      <c r="J293" s="32">
        <v>0.0</v>
      </c>
      <c r="L293" s="32">
        <v>0.0</v>
      </c>
      <c r="N293" s="32">
        <v>0.0</v>
      </c>
      <c r="P293" s="32">
        <v>0.0</v>
      </c>
      <c r="Q293" s="29"/>
      <c r="R293" s="28">
        <v>25.0</v>
      </c>
      <c r="T293" s="32">
        <v>21.0</v>
      </c>
      <c r="V293" s="32">
        <v>0.0</v>
      </c>
      <c r="X293" s="32">
        <v>0.0</v>
      </c>
      <c r="Z293" s="32">
        <v>0.0</v>
      </c>
      <c r="AB293" s="32">
        <v>0.0</v>
      </c>
      <c r="AC293" s="29"/>
      <c r="AD293" s="26"/>
      <c r="AF293" s="27"/>
      <c r="AH293" s="27"/>
      <c r="AJ293" s="27"/>
      <c r="AL293" s="27"/>
      <c r="AN293" s="27"/>
      <c r="AO293" s="29"/>
      <c r="AP293" s="45">
        <f t="shared" si="1"/>
        <v>782</v>
      </c>
      <c r="AQ293" s="41">
        <f t="shared" si="2"/>
        <v>46</v>
      </c>
      <c r="AR293" s="41">
        <f t="shared" si="3"/>
        <v>0</v>
      </c>
      <c r="AS293" s="41">
        <f t="shared" si="4"/>
        <v>46</v>
      </c>
      <c r="AT293" s="46">
        <f t="shared" si="5"/>
        <v>17</v>
      </c>
      <c r="AU293" s="37"/>
      <c r="AV293" s="37"/>
      <c r="AW293" s="37"/>
    </row>
    <row r="294" ht="15.75" customHeight="1">
      <c r="A294" s="39" t="s">
        <v>30</v>
      </c>
      <c r="B294" s="40">
        <f t="shared" si="6"/>
        <v>44854</v>
      </c>
      <c r="C294" s="41">
        <v>11.0</v>
      </c>
      <c r="D294" s="41" t="s">
        <v>33</v>
      </c>
      <c r="E294" s="43" t="s">
        <v>42</v>
      </c>
      <c r="F294" s="28">
        <v>0.0</v>
      </c>
      <c r="H294" s="32">
        <v>0.0</v>
      </c>
      <c r="J294" s="32">
        <v>0.0</v>
      </c>
      <c r="L294" s="32">
        <v>0.0</v>
      </c>
      <c r="N294" s="32">
        <v>0.0</v>
      </c>
      <c r="P294" s="32">
        <v>0.0</v>
      </c>
      <c r="Q294" s="29"/>
      <c r="R294" s="28">
        <v>20.0</v>
      </c>
      <c r="T294" s="32">
        <v>35.0</v>
      </c>
      <c r="V294" s="32">
        <v>0.0</v>
      </c>
      <c r="X294" s="32">
        <v>0.0</v>
      </c>
      <c r="Z294" s="32">
        <v>0.0</v>
      </c>
      <c r="AB294" s="32">
        <v>0.0</v>
      </c>
      <c r="AC294" s="29"/>
      <c r="AD294" s="26"/>
      <c r="AF294" s="27"/>
      <c r="AH294" s="27"/>
      <c r="AJ294" s="27"/>
      <c r="AL294" s="27"/>
      <c r="AN294" s="27"/>
      <c r="AO294" s="29"/>
      <c r="AP294" s="45">
        <f t="shared" si="1"/>
        <v>935</v>
      </c>
      <c r="AQ294" s="41">
        <f t="shared" si="2"/>
        <v>55</v>
      </c>
      <c r="AR294" s="41">
        <f t="shared" si="3"/>
        <v>0</v>
      </c>
      <c r="AS294" s="41">
        <f t="shared" si="4"/>
        <v>55</v>
      </c>
      <c r="AT294" s="46">
        <f t="shared" si="5"/>
        <v>17</v>
      </c>
      <c r="AU294" s="37"/>
      <c r="AV294" s="37"/>
      <c r="AW294" s="37"/>
    </row>
    <row r="295" ht="15.75" customHeight="1">
      <c r="A295" s="39" t="s">
        <v>31</v>
      </c>
      <c r="B295" s="40">
        <f t="shared" si="6"/>
        <v>44855</v>
      </c>
      <c r="C295" s="41">
        <v>11.0</v>
      </c>
      <c r="D295" s="41" t="s">
        <v>33</v>
      </c>
      <c r="E295" s="43" t="s">
        <v>42</v>
      </c>
      <c r="F295" s="28">
        <v>0.0</v>
      </c>
      <c r="H295" s="32">
        <v>0.0</v>
      </c>
      <c r="J295" s="32">
        <v>0.0</v>
      </c>
      <c r="L295" s="32">
        <v>0.0</v>
      </c>
      <c r="N295" s="32">
        <v>0.0</v>
      </c>
      <c r="P295" s="32">
        <v>0.0</v>
      </c>
      <c r="Q295" s="29"/>
      <c r="R295" s="28">
        <v>0.0</v>
      </c>
      <c r="T295" s="32">
        <v>0.0</v>
      </c>
      <c r="V295" s="32">
        <v>0.0</v>
      </c>
      <c r="X295" s="32">
        <v>0.0</v>
      </c>
      <c r="Z295" s="32">
        <v>0.0</v>
      </c>
      <c r="AB295" s="32">
        <v>0.0</v>
      </c>
      <c r="AC295" s="29"/>
      <c r="AD295" s="26"/>
      <c r="AF295" s="27"/>
      <c r="AH295" s="27"/>
      <c r="AJ295" s="27"/>
      <c r="AL295" s="27"/>
      <c r="AN295" s="27"/>
      <c r="AO295" s="29"/>
      <c r="AP295" s="45">
        <f t="shared" si="1"/>
        <v>0</v>
      </c>
      <c r="AQ295" s="41">
        <f t="shared" si="2"/>
        <v>0</v>
      </c>
      <c r="AR295" s="41">
        <f t="shared" si="3"/>
        <v>0</v>
      </c>
      <c r="AS295" s="41">
        <f t="shared" si="4"/>
        <v>0</v>
      </c>
      <c r="AT295" s="46" t="str">
        <f t="shared" si="5"/>
        <v/>
      </c>
      <c r="AU295" s="37"/>
      <c r="AV295" s="37"/>
      <c r="AW295" s="37"/>
    </row>
    <row r="296" ht="15.75" customHeight="1">
      <c r="A296" s="49" t="s">
        <v>32</v>
      </c>
      <c r="B296" s="50">
        <f t="shared" si="6"/>
        <v>44856</v>
      </c>
      <c r="C296" s="51">
        <v>11.0</v>
      </c>
      <c r="D296" s="51" t="s">
        <v>33</v>
      </c>
      <c r="E296" s="53" t="s">
        <v>42</v>
      </c>
      <c r="F296" s="57">
        <v>0.0</v>
      </c>
      <c r="G296" s="55"/>
      <c r="H296" s="59">
        <v>0.0</v>
      </c>
      <c r="I296" s="55"/>
      <c r="J296" s="59">
        <v>0.0</v>
      </c>
      <c r="K296" s="55"/>
      <c r="L296" s="59">
        <v>0.0</v>
      </c>
      <c r="M296" s="55"/>
      <c r="N296" s="59">
        <v>0.0</v>
      </c>
      <c r="O296" s="55"/>
      <c r="P296" s="59">
        <v>0.0</v>
      </c>
      <c r="Q296" s="58"/>
      <c r="R296" s="57">
        <v>0.0</v>
      </c>
      <c r="S296" s="55"/>
      <c r="T296" s="59">
        <v>0.0</v>
      </c>
      <c r="U296" s="55"/>
      <c r="V296" s="59">
        <v>0.0</v>
      </c>
      <c r="W296" s="55"/>
      <c r="X296" s="59">
        <v>0.0</v>
      </c>
      <c r="Y296" s="55"/>
      <c r="Z296" s="59">
        <v>0.0</v>
      </c>
      <c r="AA296" s="55"/>
      <c r="AB296" s="59">
        <v>0.0</v>
      </c>
      <c r="AC296" s="58"/>
      <c r="AD296" s="54"/>
      <c r="AE296" s="55"/>
      <c r="AF296" s="56"/>
      <c r="AG296" s="55"/>
      <c r="AH296" s="56"/>
      <c r="AI296" s="55"/>
      <c r="AJ296" s="56"/>
      <c r="AK296" s="55"/>
      <c r="AL296" s="56"/>
      <c r="AM296" s="55"/>
      <c r="AN296" s="56"/>
      <c r="AO296" s="58"/>
      <c r="AP296" s="60">
        <f t="shared" si="1"/>
        <v>0</v>
      </c>
      <c r="AQ296" s="51">
        <f t="shared" si="2"/>
        <v>0</v>
      </c>
      <c r="AR296" s="51">
        <f t="shared" si="3"/>
        <v>0</v>
      </c>
      <c r="AS296" s="51">
        <f t="shared" si="4"/>
        <v>0</v>
      </c>
      <c r="AT296" s="61" t="str">
        <f t="shared" si="5"/>
        <v/>
      </c>
      <c r="AU296" s="37"/>
      <c r="AV296" s="37"/>
      <c r="AW296" s="37"/>
    </row>
    <row r="297" ht="15.75" customHeight="1">
      <c r="A297" s="21" t="s">
        <v>24</v>
      </c>
      <c r="B297" s="62">
        <f t="shared" si="6"/>
        <v>44857</v>
      </c>
      <c r="C297" s="23">
        <v>11.0</v>
      </c>
      <c r="D297" s="23" t="s">
        <v>34</v>
      </c>
      <c r="E297" s="63" t="s">
        <v>42</v>
      </c>
      <c r="F297" s="28">
        <v>0.0</v>
      </c>
      <c r="H297" s="32">
        <v>0.0</v>
      </c>
      <c r="J297" s="32">
        <v>0.0</v>
      </c>
      <c r="L297" s="32">
        <v>0.0</v>
      </c>
      <c r="N297" s="32">
        <v>0.0</v>
      </c>
      <c r="P297" s="32">
        <v>0.0</v>
      </c>
      <c r="Q297" s="29"/>
      <c r="R297" s="28">
        <v>26.0</v>
      </c>
      <c r="T297" s="32">
        <v>31.0</v>
      </c>
      <c r="V297" s="32">
        <v>0.0</v>
      </c>
      <c r="X297" s="32">
        <v>0.0</v>
      </c>
      <c r="Z297" s="32">
        <v>0.0</v>
      </c>
      <c r="AB297" s="32">
        <v>0.0</v>
      </c>
      <c r="AC297" s="29"/>
      <c r="AD297" s="26"/>
      <c r="AF297" s="27"/>
      <c r="AH297" s="27"/>
      <c r="AJ297" s="27"/>
      <c r="AL297" s="27"/>
      <c r="AN297" s="27"/>
      <c r="AO297" s="29"/>
      <c r="AP297" s="35">
        <f t="shared" si="1"/>
        <v>969</v>
      </c>
      <c r="AQ297" s="23">
        <f t="shared" si="2"/>
        <v>57</v>
      </c>
      <c r="AR297" s="23">
        <f t="shared" si="3"/>
        <v>0</v>
      </c>
      <c r="AS297" s="23">
        <f t="shared" si="4"/>
        <v>57</v>
      </c>
      <c r="AT297" s="36">
        <f t="shared" si="5"/>
        <v>17</v>
      </c>
      <c r="AU297" s="37"/>
      <c r="AV297" s="37"/>
      <c r="AW297" s="37"/>
    </row>
    <row r="298" ht="15.75" customHeight="1">
      <c r="A298" s="39" t="s">
        <v>27</v>
      </c>
      <c r="B298" s="40">
        <f t="shared" si="6"/>
        <v>44858</v>
      </c>
      <c r="C298" s="41">
        <v>11.0</v>
      </c>
      <c r="D298" s="41" t="s">
        <v>34</v>
      </c>
      <c r="E298" s="43" t="s">
        <v>42</v>
      </c>
      <c r="F298" s="28">
        <v>0.0</v>
      </c>
      <c r="H298" s="32">
        <v>0.0</v>
      </c>
      <c r="J298" s="32">
        <v>0.0</v>
      </c>
      <c r="L298" s="32">
        <v>0.0</v>
      </c>
      <c r="N298" s="32">
        <v>0.0</v>
      </c>
      <c r="P298" s="32">
        <v>0.0</v>
      </c>
      <c r="Q298" s="29"/>
      <c r="R298" s="28">
        <v>29.0</v>
      </c>
      <c r="T298" s="32">
        <v>32.0</v>
      </c>
      <c r="V298" s="32">
        <v>0.0</v>
      </c>
      <c r="X298" s="32">
        <v>0.0</v>
      </c>
      <c r="Z298" s="32">
        <v>0.0</v>
      </c>
      <c r="AB298" s="32">
        <v>0.0</v>
      </c>
      <c r="AC298" s="29"/>
      <c r="AD298" s="26"/>
      <c r="AF298" s="27"/>
      <c r="AH298" s="27"/>
      <c r="AJ298" s="27"/>
      <c r="AL298" s="27"/>
      <c r="AN298" s="27"/>
      <c r="AO298" s="29"/>
      <c r="AP298" s="45">
        <f t="shared" si="1"/>
        <v>1037</v>
      </c>
      <c r="AQ298" s="41">
        <f t="shared" si="2"/>
        <v>61</v>
      </c>
      <c r="AR298" s="41">
        <f t="shared" si="3"/>
        <v>0</v>
      </c>
      <c r="AS298" s="41">
        <f t="shared" si="4"/>
        <v>61</v>
      </c>
      <c r="AT298" s="46">
        <f t="shared" si="5"/>
        <v>17</v>
      </c>
      <c r="AU298" s="37"/>
      <c r="AV298" s="37"/>
      <c r="AW298" s="37"/>
    </row>
    <row r="299" ht="15.75" customHeight="1">
      <c r="A299" s="39" t="s">
        <v>28</v>
      </c>
      <c r="B299" s="40">
        <f t="shared" si="6"/>
        <v>44859</v>
      </c>
      <c r="C299" s="41">
        <v>11.0</v>
      </c>
      <c r="D299" s="41" t="s">
        <v>34</v>
      </c>
      <c r="E299" s="43" t="s">
        <v>42</v>
      </c>
      <c r="F299" s="28">
        <v>0.0</v>
      </c>
      <c r="H299" s="32">
        <v>0.0</v>
      </c>
      <c r="J299" s="32">
        <v>0.0</v>
      </c>
      <c r="L299" s="32">
        <v>0.0</v>
      </c>
      <c r="N299" s="32">
        <v>0.0</v>
      </c>
      <c r="P299" s="32">
        <v>0.0</v>
      </c>
      <c r="Q299" s="29"/>
      <c r="R299" s="28">
        <v>21.0</v>
      </c>
      <c r="T299" s="32">
        <v>20.0</v>
      </c>
      <c r="V299" s="32">
        <v>0.0</v>
      </c>
      <c r="X299" s="32">
        <v>0.0</v>
      </c>
      <c r="Z299" s="32">
        <v>0.0</v>
      </c>
      <c r="AB299" s="32">
        <v>0.0</v>
      </c>
      <c r="AC299" s="29"/>
      <c r="AD299" s="26"/>
      <c r="AF299" s="27"/>
      <c r="AH299" s="27"/>
      <c r="AJ299" s="27"/>
      <c r="AL299" s="27"/>
      <c r="AN299" s="27"/>
      <c r="AO299" s="29"/>
      <c r="AP299" s="45">
        <f t="shared" si="1"/>
        <v>697</v>
      </c>
      <c r="AQ299" s="41">
        <f t="shared" si="2"/>
        <v>41</v>
      </c>
      <c r="AR299" s="41">
        <f t="shared" si="3"/>
        <v>0</v>
      </c>
      <c r="AS299" s="41">
        <f t="shared" si="4"/>
        <v>41</v>
      </c>
      <c r="AT299" s="46">
        <f t="shared" si="5"/>
        <v>17</v>
      </c>
      <c r="AU299" s="37"/>
      <c r="AV299" s="37"/>
      <c r="AW299" s="37"/>
    </row>
    <row r="300" ht="15.75" customHeight="1">
      <c r="A300" s="39" t="s">
        <v>29</v>
      </c>
      <c r="B300" s="40">
        <f t="shared" si="6"/>
        <v>44860</v>
      </c>
      <c r="C300" s="41">
        <v>11.0</v>
      </c>
      <c r="D300" s="41" t="s">
        <v>34</v>
      </c>
      <c r="E300" s="43" t="s">
        <v>42</v>
      </c>
      <c r="F300" s="28">
        <v>0.0</v>
      </c>
      <c r="H300" s="32">
        <v>0.0</v>
      </c>
      <c r="J300" s="32">
        <v>0.0</v>
      </c>
      <c r="L300" s="32">
        <v>0.0</v>
      </c>
      <c r="N300" s="32">
        <v>0.0</v>
      </c>
      <c r="P300" s="32">
        <v>0.0</v>
      </c>
      <c r="Q300" s="29"/>
      <c r="R300" s="28">
        <v>20.0</v>
      </c>
      <c r="T300" s="32">
        <v>22.0</v>
      </c>
      <c r="V300" s="32">
        <v>0.0</v>
      </c>
      <c r="X300" s="32">
        <v>0.0</v>
      </c>
      <c r="Z300" s="32">
        <v>0.0</v>
      </c>
      <c r="AB300" s="32">
        <v>0.0</v>
      </c>
      <c r="AC300" s="29"/>
      <c r="AD300" s="26"/>
      <c r="AF300" s="27"/>
      <c r="AH300" s="27"/>
      <c r="AJ300" s="27"/>
      <c r="AL300" s="27"/>
      <c r="AN300" s="27"/>
      <c r="AO300" s="29"/>
      <c r="AP300" s="45">
        <f t="shared" si="1"/>
        <v>714</v>
      </c>
      <c r="AQ300" s="41">
        <f t="shared" si="2"/>
        <v>42</v>
      </c>
      <c r="AR300" s="41">
        <f t="shared" si="3"/>
        <v>0</v>
      </c>
      <c r="AS300" s="41">
        <f t="shared" si="4"/>
        <v>42</v>
      </c>
      <c r="AT300" s="46">
        <f t="shared" si="5"/>
        <v>17</v>
      </c>
      <c r="AU300" s="37"/>
      <c r="AV300" s="37"/>
      <c r="AW300" s="37"/>
    </row>
    <row r="301" ht="15.75" customHeight="1">
      <c r="A301" s="39" t="s">
        <v>30</v>
      </c>
      <c r="B301" s="40">
        <f t="shared" si="6"/>
        <v>44861</v>
      </c>
      <c r="C301" s="41">
        <v>11.0</v>
      </c>
      <c r="D301" s="41" t="s">
        <v>34</v>
      </c>
      <c r="E301" s="43" t="s">
        <v>42</v>
      </c>
      <c r="F301" s="28">
        <v>0.0</v>
      </c>
      <c r="H301" s="32">
        <v>0.0</v>
      </c>
      <c r="J301" s="32">
        <v>0.0</v>
      </c>
      <c r="L301" s="32">
        <v>0.0</v>
      </c>
      <c r="N301" s="32">
        <v>0.0</v>
      </c>
      <c r="P301" s="32">
        <v>0.0</v>
      </c>
      <c r="Q301" s="29"/>
      <c r="R301" s="28">
        <v>23.0</v>
      </c>
      <c r="T301" s="32">
        <v>21.0</v>
      </c>
      <c r="V301" s="32">
        <v>0.0</v>
      </c>
      <c r="X301" s="32">
        <v>0.0</v>
      </c>
      <c r="Z301" s="32">
        <v>0.0</v>
      </c>
      <c r="AB301" s="32">
        <v>0.0</v>
      </c>
      <c r="AC301" s="29"/>
      <c r="AD301" s="26"/>
      <c r="AF301" s="27"/>
      <c r="AH301" s="27"/>
      <c r="AJ301" s="27"/>
      <c r="AL301" s="27"/>
      <c r="AN301" s="27"/>
      <c r="AO301" s="29"/>
      <c r="AP301" s="45">
        <f t="shared" si="1"/>
        <v>748</v>
      </c>
      <c r="AQ301" s="41">
        <f t="shared" si="2"/>
        <v>44</v>
      </c>
      <c r="AR301" s="41">
        <f t="shared" si="3"/>
        <v>0</v>
      </c>
      <c r="AS301" s="41">
        <f t="shared" si="4"/>
        <v>44</v>
      </c>
      <c r="AT301" s="46">
        <f t="shared" si="5"/>
        <v>17</v>
      </c>
      <c r="AU301" s="37"/>
      <c r="AV301" s="37"/>
      <c r="AW301" s="37"/>
    </row>
    <row r="302" ht="15.75" customHeight="1">
      <c r="A302" s="39" t="s">
        <v>31</v>
      </c>
      <c r="B302" s="40">
        <f t="shared" si="6"/>
        <v>44862</v>
      </c>
      <c r="C302" s="41">
        <v>11.0</v>
      </c>
      <c r="D302" s="41" t="s">
        <v>34</v>
      </c>
      <c r="E302" s="43" t="s">
        <v>42</v>
      </c>
      <c r="F302" s="28">
        <v>0.0</v>
      </c>
      <c r="H302" s="32">
        <v>0.0</v>
      </c>
      <c r="J302" s="32">
        <v>0.0</v>
      </c>
      <c r="L302" s="32">
        <v>0.0</v>
      </c>
      <c r="N302" s="32">
        <v>0.0</v>
      </c>
      <c r="P302" s="32">
        <v>0.0</v>
      </c>
      <c r="Q302" s="29"/>
      <c r="R302" s="28">
        <v>0.0</v>
      </c>
      <c r="T302" s="32">
        <v>0.0</v>
      </c>
      <c r="V302" s="32">
        <v>0.0</v>
      </c>
      <c r="X302" s="32">
        <v>0.0</v>
      </c>
      <c r="Z302" s="32">
        <v>0.0</v>
      </c>
      <c r="AB302" s="32">
        <v>0.0</v>
      </c>
      <c r="AC302" s="29"/>
      <c r="AD302" s="26"/>
      <c r="AF302" s="27"/>
      <c r="AH302" s="27"/>
      <c r="AJ302" s="27"/>
      <c r="AL302" s="27"/>
      <c r="AN302" s="27"/>
      <c r="AO302" s="29"/>
      <c r="AP302" s="45">
        <f t="shared" si="1"/>
        <v>0</v>
      </c>
      <c r="AQ302" s="41">
        <f t="shared" si="2"/>
        <v>0</v>
      </c>
      <c r="AR302" s="41">
        <f t="shared" si="3"/>
        <v>0</v>
      </c>
      <c r="AS302" s="41">
        <f t="shared" si="4"/>
        <v>0</v>
      </c>
      <c r="AT302" s="46" t="str">
        <f t="shared" si="5"/>
        <v/>
      </c>
      <c r="AU302" s="37"/>
      <c r="AV302" s="37"/>
      <c r="AW302" s="37"/>
    </row>
    <row r="303" ht="15.75" customHeight="1">
      <c r="A303" s="49" t="s">
        <v>32</v>
      </c>
      <c r="B303" s="50">
        <f t="shared" si="6"/>
        <v>44863</v>
      </c>
      <c r="C303" s="51">
        <v>11.0</v>
      </c>
      <c r="D303" s="51" t="s">
        <v>34</v>
      </c>
      <c r="E303" s="53" t="s">
        <v>42</v>
      </c>
      <c r="F303" s="57">
        <v>0.0</v>
      </c>
      <c r="G303" s="55"/>
      <c r="H303" s="59">
        <v>0.0</v>
      </c>
      <c r="I303" s="55"/>
      <c r="J303" s="59">
        <v>0.0</v>
      </c>
      <c r="K303" s="55"/>
      <c r="L303" s="59">
        <v>0.0</v>
      </c>
      <c r="M303" s="55"/>
      <c r="N303" s="59">
        <v>0.0</v>
      </c>
      <c r="O303" s="55"/>
      <c r="P303" s="59">
        <v>0.0</v>
      </c>
      <c r="Q303" s="58"/>
      <c r="R303" s="57">
        <v>0.0</v>
      </c>
      <c r="S303" s="55"/>
      <c r="T303" s="59">
        <v>0.0</v>
      </c>
      <c r="U303" s="55"/>
      <c r="V303" s="59">
        <v>0.0</v>
      </c>
      <c r="W303" s="55"/>
      <c r="X303" s="59">
        <v>0.0</v>
      </c>
      <c r="Y303" s="55"/>
      <c r="Z303" s="59">
        <v>0.0</v>
      </c>
      <c r="AA303" s="55"/>
      <c r="AB303" s="59">
        <v>0.0</v>
      </c>
      <c r="AC303" s="58"/>
      <c r="AD303" s="54"/>
      <c r="AE303" s="55"/>
      <c r="AF303" s="56"/>
      <c r="AG303" s="55"/>
      <c r="AH303" s="56"/>
      <c r="AI303" s="55"/>
      <c r="AJ303" s="56"/>
      <c r="AK303" s="55"/>
      <c r="AL303" s="56"/>
      <c r="AM303" s="55"/>
      <c r="AN303" s="56"/>
      <c r="AO303" s="58"/>
      <c r="AP303" s="60">
        <f t="shared" si="1"/>
        <v>0</v>
      </c>
      <c r="AQ303" s="51">
        <f t="shared" si="2"/>
        <v>0</v>
      </c>
      <c r="AR303" s="51">
        <f t="shared" si="3"/>
        <v>0</v>
      </c>
      <c r="AS303" s="51">
        <f t="shared" si="4"/>
        <v>0</v>
      </c>
      <c r="AT303" s="61" t="str">
        <f t="shared" si="5"/>
        <v/>
      </c>
      <c r="AU303" s="37"/>
      <c r="AV303" s="37"/>
      <c r="AW303" s="37"/>
    </row>
    <row r="304" ht="15.75" customHeight="1">
      <c r="A304" s="21" t="s">
        <v>24</v>
      </c>
      <c r="B304" s="62">
        <f t="shared" si="6"/>
        <v>44864</v>
      </c>
      <c r="C304" s="23">
        <v>11.0</v>
      </c>
      <c r="D304" s="23" t="s">
        <v>35</v>
      </c>
      <c r="E304" s="63" t="s">
        <v>42</v>
      </c>
      <c r="F304" s="28">
        <v>0.0</v>
      </c>
      <c r="H304" s="32">
        <v>0.0</v>
      </c>
      <c r="J304" s="32">
        <v>0.0</v>
      </c>
      <c r="L304" s="32">
        <v>0.0</v>
      </c>
      <c r="N304" s="32">
        <v>0.0</v>
      </c>
      <c r="P304" s="32">
        <v>0.0</v>
      </c>
      <c r="Q304" s="29"/>
      <c r="R304" s="28">
        <v>24.0</v>
      </c>
      <c r="T304" s="32">
        <v>29.0</v>
      </c>
      <c r="V304" s="32">
        <v>0.0</v>
      </c>
      <c r="X304" s="32">
        <v>0.0</v>
      </c>
      <c r="Z304" s="32">
        <v>0.0</v>
      </c>
      <c r="AB304" s="32">
        <v>0.0</v>
      </c>
      <c r="AC304" s="29"/>
      <c r="AD304" s="26"/>
      <c r="AF304" s="27"/>
      <c r="AH304" s="27"/>
      <c r="AJ304" s="27"/>
      <c r="AL304" s="27"/>
      <c r="AN304" s="27"/>
      <c r="AO304" s="29"/>
      <c r="AP304" s="35">
        <f t="shared" si="1"/>
        <v>901</v>
      </c>
      <c r="AQ304" s="23">
        <f t="shared" si="2"/>
        <v>53</v>
      </c>
      <c r="AR304" s="23">
        <f t="shared" si="3"/>
        <v>0</v>
      </c>
      <c r="AS304" s="23">
        <f t="shared" si="4"/>
        <v>53</v>
      </c>
      <c r="AT304" s="36">
        <f t="shared" si="5"/>
        <v>17</v>
      </c>
      <c r="AU304" s="37"/>
      <c r="AV304" s="37"/>
      <c r="AW304" s="37"/>
    </row>
    <row r="305" ht="15.75" customHeight="1">
      <c r="A305" s="39" t="s">
        <v>27</v>
      </c>
      <c r="B305" s="40">
        <f t="shared" si="6"/>
        <v>44865</v>
      </c>
      <c r="C305" s="41">
        <v>11.0</v>
      </c>
      <c r="D305" s="41" t="s">
        <v>35</v>
      </c>
      <c r="E305" s="43" t="s">
        <v>42</v>
      </c>
      <c r="F305" s="28">
        <v>0.0</v>
      </c>
      <c r="H305" s="32">
        <v>0.0</v>
      </c>
      <c r="J305" s="32">
        <v>0.0</v>
      </c>
      <c r="L305" s="32">
        <v>0.0</v>
      </c>
      <c r="N305" s="32">
        <v>0.0</v>
      </c>
      <c r="P305" s="32">
        <v>0.0</v>
      </c>
      <c r="Q305" s="29"/>
      <c r="R305" s="28">
        <v>27.0</v>
      </c>
      <c r="T305" s="32">
        <v>45.0</v>
      </c>
      <c r="V305" s="32">
        <v>0.0</v>
      </c>
      <c r="X305" s="32">
        <v>0.0</v>
      </c>
      <c r="Z305" s="32">
        <v>0.0</v>
      </c>
      <c r="AB305" s="32">
        <v>0.0</v>
      </c>
      <c r="AC305" s="29"/>
      <c r="AD305" s="26"/>
      <c r="AF305" s="27"/>
      <c r="AH305" s="27"/>
      <c r="AJ305" s="27"/>
      <c r="AL305" s="27"/>
      <c r="AN305" s="27"/>
      <c r="AO305" s="29"/>
      <c r="AP305" s="45">
        <f t="shared" si="1"/>
        <v>1224</v>
      </c>
      <c r="AQ305" s="41">
        <f t="shared" si="2"/>
        <v>72</v>
      </c>
      <c r="AR305" s="41">
        <f t="shared" si="3"/>
        <v>0</v>
      </c>
      <c r="AS305" s="41">
        <f t="shared" si="4"/>
        <v>72</v>
      </c>
      <c r="AT305" s="46">
        <f t="shared" si="5"/>
        <v>17</v>
      </c>
      <c r="AU305" s="37"/>
      <c r="AV305" s="37"/>
      <c r="AW305" s="37"/>
    </row>
    <row r="306" ht="15.75" customHeight="1">
      <c r="A306" s="39" t="s">
        <v>28</v>
      </c>
      <c r="B306" s="40">
        <f t="shared" si="6"/>
        <v>44866</v>
      </c>
      <c r="C306" s="41">
        <v>11.0</v>
      </c>
      <c r="D306" s="41" t="s">
        <v>35</v>
      </c>
      <c r="E306" s="43" t="s">
        <v>42</v>
      </c>
      <c r="F306" s="28">
        <v>0.0</v>
      </c>
      <c r="H306" s="32">
        <v>0.0</v>
      </c>
      <c r="J306" s="32">
        <v>0.0</v>
      </c>
      <c r="L306" s="32">
        <v>0.0</v>
      </c>
      <c r="N306" s="32">
        <v>0.0</v>
      </c>
      <c r="P306" s="32">
        <v>0.0</v>
      </c>
      <c r="Q306" s="29"/>
      <c r="R306" s="28">
        <v>30.0</v>
      </c>
      <c r="T306" s="32">
        <v>38.0</v>
      </c>
      <c r="V306" s="32">
        <v>0.0</v>
      </c>
      <c r="X306" s="32">
        <v>0.0</v>
      </c>
      <c r="Z306" s="32">
        <v>0.0</v>
      </c>
      <c r="AB306" s="32">
        <v>0.0</v>
      </c>
      <c r="AC306" s="29"/>
      <c r="AD306" s="26"/>
      <c r="AF306" s="27"/>
      <c r="AH306" s="27"/>
      <c r="AJ306" s="27"/>
      <c r="AL306" s="27"/>
      <c r="AN306" s="27"/>
      <c r="AO306" s="29"/>
      <c r="AP306" s="45">
        <f t="shared" si="1"/>
        <v>1156</v>
      </c>
      <c r="AQ306" s="41">
        <f t="shared" si="2"/>
        <v>68</v>
      </c>
      <c r="AR306" s="41">
        <f t="shared" si="3"/>
        <v>0</v>
      </c>
      <c r="AS306" s="41">
        <f t="shared" si="4"/>
        <v>68</v>
      </c>
      <c r="AT306" s="46">
        <f t="shared" si="5"/>
        <v>17</v>
      </c>
      <c r="AU306" s="37"/>
      <c r="AV306" s="37"/>
      <c r="AW306" s="37"/>
    </row>
    <row r="307" ht="15.75" customHeight="1">
      <c r="A307" s="39" t="s">
        <v>29</v>
      </c>
      <c r="B307" s="40">
        <f t="shared" si="6"/>
        <v>44867</v>
      </c>
      <c r="C307" s="41">
        <v>11.0</v>
      </c>
      <c r="D307" s="41" t="s">
        <v>35</v>
      </c>
      <c r="E307" s="43" t="s">
        <v>42</v>
      </c>
      <c r="F307" s="28">
        <v>0.0</v>
      </c>
      <c r="H307" s="32">
        <v>0.0</v>
      </c>
      <c r="J307" s="32">
        <v>0.0</v>
      </c>
      <c r="L307" s="32">
        <v>0.0</v>
      </c>
      <c r="N307" s="32">
        <v>0.0</v>
      </c>
      <c r="P307" s="32">
        <v>0.0</v>
      </c>
      <c r="Q307" s="29"/>
      <c r="R307" s="28">
        <v>26.0</v>
      </c>
      <c r="T307" s="32">
        <v>0.0</v>
      </c>
      <c r="V307" s="32">
        <v>0.0</v>
      </c>
      <c r="X307" s="32">
        <v>0.0</v>
      </c>
      <c r="Z307" s="32">
        <v>0.0</v>
      </c>
      <c r="AB307" s="32">
        <v>0.0</v>
      </c>
      <c r="AC307" s="29"/>
      <c r="AD307" s="26"/>
      <c r="AF307" s="27"/>
      <c r="AH307" s="27"/>
      <c r="AJ307" s="27"/>
      <c r="AL307" s="27"/>
      <c r="AN307" s="27"/>
      <c r="AO307" s="29"/>
      <c r="AP307" s="45">
        <f t="shared" si="1"/>
        <v>442</v>
      </c>
      <c r="AQ307" s="41">
        <f t="shared" si="2"/>
        <v>26</v>
      </c>
      <c r="AR307" s="41">
        <f t="shared" si="3"/>
        <v>0</v>
      </c>
      <c r="AS307" s="41">
        <f t="shared" si="4"/>
        <v>26</v>
      </c>
      <c r="AT307" s="46">
        <f t="shared" si="5"/>
        <v>17</v>
      </c>
      <c r="AU307" s="37"/>
      <c r="AV307" s="37"/>
      <c r="AW307" s="37"/>
    </row>
    <row r="308" ht="15.75" customHeight="1">
      <c r="A308" s="39" t="s">
        <v>30</v>
      </c>
      <c r="B308" s="40">
        <f t="shared" si="6"/>
        <v>44868</v>
      </c>
      <c r="C308" s="41">
        <v>11.0</v>
      </c>
      <c r="D308" s="41" t="s">
        <v>35</v>
      </c>
      <c r="E308" s="43" t="s">
        <v>42</v>
      </c>
      <c r="F308" s="28">
        <v>0.0</v>
      </c>
      <c r="H308" s="32">
        <v>0.0</v>
      </c>
      <c r="J308" s="32">
        <v>0.0</v>
      </c>
      <c r="L308" s="32">
        <v>0.0</v>
      </c>
      <c r="N308" s="32">
        <v>0.0</v>
      </c>
      <c r="P308" s="32">
        <v>0.0</v>
      </c>
      <c r="Q308" s="29"/>
      <c r="R308" s="28">
        <v>28.0</v>
      </c>
      <c r="T308" s="27"/>
      <c r="V308" s="32">
        <v>0.0</v>
      </c>
      <c r="X308" s="32">
        <v>0.0</v>
      </c>
      <c r="Z308" s="32">
        <v>0.0</v>
      </c>
      <c r="AB308" s="32">
        <v>0.0</v>
      </c>
      <c r="AC308" s="29"/>
      <c r="AD308" s="26"/>
      <c r="AF308" s="27"/>
      <c r="AH308" s="27"/>
      <c r="AJ308" s="27"/>
      <c r="AL308" s="27"/>
      <c r="AN308" s="27"/>
      <c r="AO308" s="29"/>
      <c r="AP308" s="45">
        <f t="shared" si="1"/>
        <v>476</v>
      </c>
      <c r="AQ308" s="41">
        <f t="shared" si="2"/>
        <v>28</v>
      </c>
      <c r="AR308" s="41">
        <f t="shared" si="3"/>
        <v>0</v>
      </c>
      <c r="AS308" s="41">
        <f t="shared" si="4"/>
        <v>28</v>
      </c>
      <c r="AT308" s="46">
        <f t="shared" si="5"/>
        <v>17</v>
      </c>
      <c r="AU308" s="37"/>
      <c r="AV308" s="37"/>
      <c r="AW308" s="37"/>
    </row>
    <row r="309" ht="15.75" customHeight="1">
      <c r="A309" s="39" t="s">
        <v>31</v>
      </c>
      <c r="B309" s="40">
        <f t="shared" si="6"/>
        <v>44869</v>
      </c>
      <c r="C309" s="41">
        <v>11.0</v>
      </c>
      <c r="D309" s="41" t="s">
        <v>35</v>
      </c>
      <c r="E309" s="43" t="s">
        <v>42</v>
      </c>
      <c r="F309" s="28">
        <v>0.0</v>
      </c>
      <c r="H309" s="32">
        <v>0.0</v>
      </c>
      <c r="J309" s="32">
        <v>0.0</v>
      </c>
      <c r="L309" s="32">
        <v>0.0</v>
      </c>
      <c r="N309" s="32">
        <v>0.0</v>
      </c>
      <c r="P309" s="32">
        <v>0.0</v>
      </c>
      <c r="Q309" s="29"/>
      <c r="R309" s="28">
        <v>0.0</v>
      </c>
      <c r="T309" s="32">
        <v>0.0</v>
      </c>
      <c r="V309" s="32">
        <v>0.0</v>
      </c>
      <c r="X309" s="32">
        <v>0.0</v>
      </c>
      <c r="Z309" s="32">
        <v>0.0</v>
      </c>
      <c r="AB309" s="32">
        <v>0.0</v>
      </c>
      <c r="AC309" s="29"/>
      <c r="AD309" s="26"/>
      <c r="AF309" s="27"/>
      <c r="AH309" s="27"/>
      <c r="AJ309" s="27"/>
      <c r="AL309" s="27"/>
      <c r="AN309" s="27"/>
      <c r="AO309" s="29"/>
      <c r="AP309" s="45">
        <f t="shared" si="1"/>
        <v>0</v>
      </c>
      <c r="AQ309" s="41">
        <f t="shared" si="2"/>
        <v>0</v>
      </c>
      <c r="AR309" s="41">
        <f t="shared" si="3"/>
        <v>0</v>
      </c>
      <c r="AS309" s="41">
        <f t="shared" si="4"/>
        <v>0</v>
      </c>
      <c r="AT309" s="46" t="str">
        <f t="shared" si="5"/>
        <v/>
      </c>
      <c r="AU309" s="37"/>
      <c r="AV309" s="37"/>
      <c r="AW309" s="37"/>
    </row>
    <row r="310" ht="15.75" customHeight="1">
      <c r="A310" s="49" t="s">
        <v>32</v>
      </c>
      <c r="B310" s="50">
        <f t="shared" si="6"/>
        <v>44870</v>
      </c>
      <c r="C310" s="51">
        <v>11.0</v>
      </c>
      <c r="D310" s="51" t="s">
        <v>35</v>
      </c>
      <c r="E310" s="53" t="s">
        <v>42</v>
      </c>
      <c r="F310" s="57">
        <v>0.0</v>
      </c>
      <c r="G310" s="55"/>
      <c r="H310" s="59">
        <v>0.0</v>
      </c>
      <c r="I310" s="55"/>
      <c r="J310" s="59">
        <v>0.0</v>
      </c>
      <c r="K310" s="55"/>
      <c r="L310" s="59">
        <v>0.0</v>
      </c>
      <c r="M310" s="55"/>
      <c r="N310" s="59">
        <v>0.0</v>
      </c>
      <c r="O310" s="55"/>
      <c r="P310" s="59">
        <v>0.0</v>
      </c>
      <c r="Q310" s="58"/>
      <c r="R310" s="57">
        <v>0.0</v>
      </c>
      <c r="S310" s="55"/>
      <c r="T310" s="59">
        <v>0.0</v>
      </c>
      <c r="U310" s="55"/>
      <c r="V310" s="59">
        <v>0.0</v>
      </c>
      <c r="W310" s="55"/>
      <c r="X310" s="59">
        <v>0.0</v>
      </c>
      <c r="Y310" s="55"/>
      <c r="Z310" s="59">
        <v>0.0</v>
      </c>
      <c r="AA310" s="55"/>
      <c r="AB310" s="59">
        <v>0.0</v>
      </c>
      <c r="AC310" s="58"/>
      <c r="AD310" s="54"/>
      <c r="AE310" s="55"/>
      <c r="AF310" s="56"/>
      <c r="AG310" s="55"/>
      <c r="AH310" s="56"/>
      <c r="AI310" s="55"/>
      <c r="AJ310" s="56"/>
      <c r="AK310" s="55"/>
      <c r="AL310" s="56"/>
      <c r="AM310" s="55"/>
      <c r="AN310" s="56"/>
      <c r="AO310" s="58"/>
      <c r="AP310" s="60">
        <f t="shared" si="1"/>
        <v>0</v>
      </c>
      <c r="AQ310" s="51">
        <f t="shared" si="2"/>
        <v>0</v>
      </c>
      <c r="AR310" s="51">
        <f t="shared" si="3"/>
        <v>0</v>
      </c>
      <c r="AS310" s="51">
        <f t="shared" si="4"/>
        <v>0</v>
      </c>
      <c r="AT310" s="61" t="str">
        <f t="shared" si="5"/>
        <v/>
      </c>
      <c r="AU310" s="37"/>
      <c r="AV310" s="37"/>
      <c r="AW310" s="37"/>
    </row>
    <row r="311" ht="15.75" customHeight="1">
      <c r="A311" s="21" t="s">
        <v>24</v>
      </c>
      <c r="B311" s="62">
        <f t="shared" si="6"/>
        <v>44871</v>
      </c>
      <c r="C311" s="23">
        <v>12.0</v>
      </c>
      <c r="D311" s="23" t="s">
        <v>25</v>
      </c>
      <c r="E311" s="63" t="s">
        <v>42</v>
      </c>
      <c r="F311" s="28">
        <v>0.0</v>
      </c>
      <c r="H311" s="32">
        <v>0.0</v>
      </c>
      <c r="J311" s="32">
        <v>0.0</v>
      </c>
      <c r="L311" s="32">
        <v>0.0</v>
      </c>
      <c r="N311" s="32">
        <v>0.0</v>
      </c>
      <c r="P311" s="32">
        <v>0.0</v>
      </c>
      <c r="Q311" s="29"/>
      <c r="R311" s="28">
        <v>58.0</v>
      </c>
      <c r="T311" s="32">
        <v>65.0</v>
      </c>
      <c r="V311" s="32">
        <v>0.0</v>
      </c>
      <c r="X311" s="32">
        <v>0.0</v>
      </c>
      <c r="Z311" s="32">
        <v>0.0</v>
      </c>
      <c r="AB311" s="32">
        <v>0.0</v>
      </c>
      <c r="AC311" s="29"/>
      <c r="AD311" s="26"/>
      <c r="AF311" s="27"/>
      <c r="AH311" s="27"/>
      <c r="AJ311" s="27"/>
      <c r="AL311" s="27"/>
      <c r="AN311" s="27"/>
      <c r="AO311" s="29"/>
      <c r="AP311" s="35">
        <f t="shared" si="1"/>
        <v>2091</v>
      </c>
      <c r="AQ311" s="23">
        <f t="shared" si="2"/>
        <v>123</v>
      </c>
      <c r="AR311" s="23">
        <f t="shared" si="3"/>
        <v>0</v>
      </c>
      <c r="AS311" s="23">
        <f t="shared" si="4"/>
        <v>123</v>
      </c>
      <c r="AT311" s="36">
        <f t="shared" si="5"/>
        <v>17</v>
      </c>
      <c r="AU311" s="37"/>
      <c r="AV311" s="37"/>
      <c r="AW311" s="37"/>
    </row>
    <row r="312" ht="15.75" customHeight="1">
      <c r="A312" s="39" t="s">
        <v>27</v>
      </c>
      <c r="B312" s="40">
        <f t="shared" si="6"/>
        <v>44872</v>
      </c>
      <c r="C312" s="41">
        <v>12.0</v>
      </c>
      <c r="D312" s="41" t="s">
        <v>25</v>
      </c>
      <c r="E312" s="43" t="s">
        <v>42</v>
      </c>
      <c r="F312" s="28">
        <v>0.0</v>
      </c>
      <c r="H312" s="32">
        <v>0.0</v>
      </c>
      <c r="J312" s="32">
        <v>0.0</v>
      </c>
      <c r="L312" s="32">
        <v>0.0</v>
      </c>
      <c r="N312" s="32">
        <v>0.0</v>
      </c>
      <c r="P312" s="32">
        <v>0.0</v>
      </c>
      <c r="Q312" s="29"/>
      <c r="R312" s="28">
        <v>54.0</v>
      </c>
      <c r="T312" s="32">
        <v>60.0</v>
      </c>
      <c r="V312" s="32">
        <v>0.0</v>
      </c>
      <c r="X312" s="32">
        <v>0.0</v>
      </c>
      <c r="Z312" s="32">
        <v>0.0</v>
      </c>
      <c r="AB312" s="32">
        <v>0.0</v>
      </c>
      <c r="AC312" s="29"/>
      <c r="AD312" s="26"/>
      <c r="AF312" s="27"/>
      <c r="AH312" s="27"/>
      <c r="AJ312" s="27"/>
      <c r="AL312" s="27"/>
      <c r="AN312" s="27"/>
      <c r="AO312" s="29"/>
      <c r="AP312" s="45">
        <f t="shared" si="1"/>
        <v>1938</v>
      </c>
      <c r="AQ312" s="41">
        <f t="shared" si="2"/>
        <v>114</v>
      </c>
      <c r="AR312" s="41">
        <f t="shared" si="3"/>
        <v>0</v>
      </c>
      <c r="AS312" s="41">
        <f t="shared" si="4"/>
        <v>114</v>
      </c>
      <c r="AT312" s="46">
        <f t="shared" si="5"/>
        <v>17</v>
      </c>
      <c r="AU312" s="37"/>
      <c r="AV312" s="37"/>
      <c r="AW312" s="37"/>
    </row>
    <row r="313" ht="15.75" customHeight="1">
      <c r="A313" s="39" t="s">
        <v>28</v>
      </c>
      <c r="B313" s="40">
        <f t="shared" si="6"/>
        <v>44873</v>
      </c>
      <c r="C313" s="41">
        <v>12.0</v>
      </c>
      <c r="D313" s="41" t="s">
        <v>25</v>
      </c>
      <c r="E313" s="43" t="s">
        <v>42</v>
      </c>
      <c r="F313" s="28">
        <v>0.0</v>
      </c>
      <c r="H313" s="32">
        <v>0.0</v>
      </c>
      <c r="J313" s="32">
        <v>0.0</v>
      </c>
      <c r="L313" s="32">
        <v>0.0</v>
      </c>
      <c r="N313" s="32">
        <v>0.0</v>
      </c>
      <c r="P313" s="32">
        <v>0.0</v>
      </c>
      <c r="Q313" s="29"/>
      <c r="R313" s="28">
        <v>52.0</v>
      </c>
      <c r="T313" s="32">
        <v>70.0</v>
      </c>
      <c r="V313" s="32">
        <v>0.0</v>
      </c>
      <c r="X313" s="32">
        <v>0.0</v>
      </c>
      <c r="Z313" s="32">
        <v>0.0</v>
      </c>
      <c r="AB313" s="32">
        <v>0.0</v>
      </c>
      <c r="AC313" s="29"/>
      <c r="AD313" s="26"/>
      <c r="AF313" s="27"/>
      <c r="AH313" s="27"/>
      <c r="AJ313" s="27"/>
      <c r="AL313" s="27"/>
      <c r="AN313" s="27"/>
      <c r="AO313" s="29"/>
      <c r="AP313" s="45">
        <f t="shared" si="1"/>
        <v>2074</v>
      </c>
      <c r="AQ313" s="41">
        <f t="shared" si="2"/>
        <v>122</v>
      </c>
      <c r="AR313" s="41">
        <f t="shared" si="3"/>
        <v>0</v>
      </c>
      <c r="AS313" s="41">
        <f t="shared" si="4"/>
        <v>122</v>
      </c>
      <c r="AT313" s="46">
        <f t="shared" si="5"/>
        <v>17</v>
      </c>
      <c r="AU313" s="37"/>
      <c r="AV313" s="37"/>
      <c r="AW313" s="37"/>
    </row>
    <row r="314" ht="15.75" customHeight="1">
      <c r="A314" s="39" t="s">
        <v>29</v>
      </c>
      <c r="B314" s="40">
        <f t="shared" si="6"/>
        <v>44874</v>
      </c>
      <c r="C314" s="41">
        <v>12.0</v>
      </c>
      <c r="D314" s="41" t="s">
        <v>25</v>
      </c>
      <c r="E314" s="43" t="s">
        <v>42</v>
      </c>
      <c r="F314" s="28">
        <v>0.0</v>
      </c>
      <c r="H314" s="32">
        <v>0.0</v>
      </c>
      <c r="J314" s="32">
        <v>0.0</v>
      </c>
      <c r="L314" s="32">
        <v>0.0</v>
      </c>
      <c r="N314" s="32">
        <v>0.0</v>
      </c>
      <c r="P314" s="32">
        <v>0.0</v>
      </c>
      <c r="Q314" s="29"/>
      <c r="R314" s="28">
        <v>61.0</v>
      </c>
      <c r="T314" s="32">
        <v>66.0</v>
      </c>
      <c r="V314" s="32">
        <v>0.0</v>
      </c>
      <c r="X314" s="32">
        <v>0.0</v>
      </c>
      <c r="Z314" s="32">
        <v>0.0</v>
      </c>
      <c r="AB314" s="32">
        <v>0.0</v>
      </c>
      <c r="AC314" s="29"/>
      <c r="AD314" s="26"/>
      <c r="AF314" s="27"/>
      <c r="AH314" s="27"/>
      <c r="AJ314" s="27"/>
      <c r="AL314" s="27"/>
      <c r="AN314" s="27"/>
      <c r="AO314" s="29"/>
      <c r="AP314" s="45">
        <f t="shared" si="1"/>
        <v>2159</v>
      </c>
      <c r="AQ314" s="41">
        <f t="shared" si="2"/>
        <v>127</v>
      </c>
      <c r="AR314" s="41">
        <f t="shared" si="3"/>
        <v>0</v>
      </c>
      <c r="AS314" s="41">
        <f t="shared" si="4"/>
        <v>127</v>
      </c>
      <c r="AT314" s="46">
        <f t="shared" si="5"/>
        <v>17</v>
      </c>
      <c r="AU314" s="37"/>
      <c r="AV314" s="37"/>
      <c r="AW314" s="37"/>
    </row>
    <row r="315" ht="15.75" customHeight="1">
      <c r="A315" s="39" t="s">
        <v>30</v>
      </c>
      <c r="B315" s="40">
        <f t="shared" si="6"/>
        <v>44875</v>
      </c>
      <c r="C315" s="41">
        <v>12.0</v>
      </c>
      <c r="D315" s="41" t="s">
        <v>25</v>
      </c>
      <c r="E315" s="43" t="s">
        <v>42</v>
      </c>
      <c r="F315" s="28">
        <v>0.0</v>
      </c>
      <c r="H315" s="32">
        <v>0.0</v>
      </c>
      <c r="J315" s="32">
        <v>0.0</v>
      </c>
      <c r="L315" s="32">
        <v>0.0</v>
      </c>
      <c r="N315" s="32">
        <v>0.0</v>
      </c>
      <c r="P315" s="32">
        <v>0.0</v>
      </c>
      <c r="Q315" s="29"/>
      <c r="R315" s="28">
        <v>57.0</v>
      </c>
      <c r="T315" s="27"/>
      <c r="V315" s="32">
        <v>0.0</v>
      </c>
      <c r="X315" s="32">
        <v>0.0</v>
      </c>
      <c r="Z315" s="32">
        <v>0.0</v>
      </c>
      <c r="AB315" s="32">
        <v>0.0</v>
      </c>
      <c r="AC315" s="29"/>
      <c r="AD315" s="26"/>
      <c r="AF315" s="27"/>
      <c r="AH315" s="27"/>
      <c r="AJ315" s="27"/>
      <c r="AL315" s="27"/>
      <c r="AN315" s="27"/>
      <c r="AO315" s="29"/>
      <c r="AP315" s="45">
        <f t="shared" si="1"/>
        <v>969</v>
      </c>
      <c r="AQ315" s="41">
        <f t="shared" si="2"/>
        <v>57</v>
      </c>
      <c r="AR315" s="41">
        <f t="shared" si="3"/>
        <v>0</v>
      </c>
      <c r="AS315" s="41">
        <f t="shared" si="4"/>
        <v>57</v>
      </c>
      <c r="AT315" s="46">
        <f t="shared" si="5"/>
        <v>17</v>
      </c>
      <c r="AU315" s="37"/>
      <c r="AV315" s="37"/>
      <c r="AW315" s="37"/>
    </row>
    <row r="316" ht="15.75" customHeight="1">
      <c r="A316" s="39" t="s">
        <v>31</v>
      </c>
      <c r="B316" s="40">
        <f t="shared" si="6"/>
        <v>44876</v>
      </c>
      <c r="C316" s="41">
        <v>12.0</v>
      </c>
      <c r="D316" s="41" t="s">
        <v>25</v>
      </c>
      <c r="E316" s="43" t="s">
        <v>42</v>
      </c>
      <c r="F316" s="28">
        <v>0.0</v>
      </c>
      <c r="H316" s="32">
        <v>0.0</v>
      </c>
      <c r="J316" s="32">
        <v>0.0</v>
      </c>
      <c r="L316" s="32">
        <v>0.0</v>
      </c>
      <c r="N316" s="32">
        <v>0.0</v>
      </c>
      <c r="P316" s="32">
        <v>0.0</v>
      </c>
      <c r="Q316" s="29"/>
      <c r="R316" s="28">
        <v>0.0</v>
      </c>
      <c r="T316" s="32">
        <v>0.0</v>
      </c>
      <c r="V316" s="32">
        <v>0.0</v>
      </c>
      <c r="X316" s="32">
        <v>0.0</v>
      </c>
      <c r="Z316" s="32">
        <v>0.0</v>
      </c>
      <c r="AB316" s="32">
        <v>0.0</v>
      </c>
      <c r="AC316" s="29"/>
      <c r="AD316" s="26"/>
      <c r="AF316" s="27"/>
      <c r="AH316" s="27"/>
      <c r="AJ316" s="27"/>
      <c r="AL316" s="27"/>
      <c r="AN316" s="27"/>
      <c r="AO316" s="29"/>
      <c r="AP316" s="45">
        <f t="shared" si="1"/>
        <v>0</v>
      </c>
      <c r="AQ316" s="41">
        <f t="shared" si="2"/>
        <v>0</v>
      </c>
      <c r="AR316" s="41">
        <f t="shared" si="3"/>
        <v>0</v>
      </c>
      <c r="AS316" s="41">
        <f t="shared" si="4"/>
        <v>0</v>
      </c>
      <c r="AT316" s="46" t="str">
        <f t="shared" si="5"/>
        <v/>
      </c>
      <c r="AU316" s="37"/>
      <c r="AV316" s="37"/>
      <c r="AW316" s="37"/>
    </row>
    <row r="317" ht="15.75" customHeight="1">
      <c r="A317" s="49" t="s">
        <v>32</v>
      </c>
      <c r="B317" s="50">
        <f t="shared" si="6"/>
        <v>44877</v>
      </c>
      <c r="C317" s="51">
        <v>12.0</v>
      </c>
      <c r="D317" s="51" t="s">
        <v>25</v>
      </c>
      <c r="E317" s="53" t="s">
        <v>42</v>
      </c>
      <c r="F317" s="57">
        <v>0.0</v>
      </c>
      <c r="G317" s="55"/>
      <c r="H317" s="59">
        <v>0.0</v>
      </c>
      <c r="I317" s="55"/>
      <c r="J317" s="59">
        <v>0.0</v>
      </c>
      <c r="K317" s="55"/>
      <c r="L317" s="59">
        <v>0.0</v>
      </c>
      <c r="M317" s="55"/>
      <c r="N317" s="59">
        <v>0.0</v>
      </c>
      <c r="O317" s="55"/>
      <c r="P317" s="59">
        <v>0.0</v>
      </c>
      <c r="Q317" s="58"/>
      <c r="R317" s="57">
        <v>0.0</v>
      </c>
      <c r="S317" s="55"/>
      <c r="T317" s="59">
        <v>0.0</v>
      </c>
      <c r="U317" s="55"/>
      <c r="V317" s="59">
        <v>0.0</v>
      </c>
      <c r="W317" s="55"/>
      <c r="X317" s="59">
        <v>0.0</v>
      </c>
      <c r="Y317" s="55"/>
      <c r="Z317" s="59">
        <v>0.0</v>
      </c>
      <c r="AA317" s="55"/>
      <c r="AB317" s="59">
        <v>0.0</v>
      </c>
      <c r="AC317" s="58"/>
      <c r="AD317" s="54"/>
      <c r="AE317" s="55"/>
      <c r="AF317" s="56"/>
      <c r="AG317" s="55"/>
      <c r="AH317" s="56"/>
      <c r="AI317" s="55"/>
      <c r="AJ317" s="56"/>
      <c r="AK317" s="55"/>
      <c r="AL317" s="56"/>
      <c r="AM317" s="55"/>
      <c r="AN317" s="56"/>
      <c r="AO317" s="58"/>
      <c r="AP317" s="60">
        <f t="shared" si="1"/>
        <v>0</v>
      </c>
      <c r="AQ317" s="51">
        <f t="shared" si="2"/>
        <v>0</v>
      </c>
      <c r="AR317" s="51">
        <f t="shared" si="3"/>
        <v>0</v>
      </c>
      <c r="AS317" s="51">
        <f t="shared" si="4"/>
        <v>0</v>
      </c>
      <c r="AT317" s="61" t="str">
        <f t="shared" si="5"/>
        <v/>
      </c>
      <c r="AU317" s="37"/>
      <c r="AV317" s="37"/>
      <c r="AW317" s="37"/>
    </row>
    <row r="318" ht="15.75" customHeight="1">
      <c r="A318" s="21" t="s">
        <v>24</v>
      </c>
      <c r="B318" s="62">
        <f t="shared" si="6"/>
        <v>44878</v>
      </c>
      <c r="C318" s="23">
        <v>12.0</v>
      </c>
      <c r="D318" s="23" t="s">
        <v>33</v>
      </c>
      <c r="E318" s="63" t="s">
        <v>42</v>
      </c>
      <c r="F318" s="28">
        <v>0.0</v>
      </c>
      <c r="H318" s="32">
        <v>0.0</v>
      </c>
      <c r="J318" s="32">
        <v>0.0</v>
      </c>
      <c r="L318" s="32">
        <v>0.0</v>
      </c>
      <c r="N318" s="32">
        <v>0.0</v>
      </c>
      <c r="P318" s="32">
        <v>0.0</v>
      </c>
      <c r="Q318" s="29"/>
      <c r="R318" s="28">
        <v>38.0</v>
      </c>
      <c r="T318" s="32">
        <v>50.0</v>
      </c>
      <c r="V318" s="32">
        <v>0.0</v>
      </c>
      <c r="X318" s="32">
        <v>0.0</v>
      </c>
      <c r="Z318" s="32">
        <v>0.0</v>
      </c>
      <c r="AB318" s="32">
        <v>0.0</v>
      </c>
      <c r="AC318" s="29"/>
      <c r="AD318" s="26"/>
      <c r="AF318" s="27"/>
      <c r="AH318" s="27"/>
      <c r="AJ318" s="27"/>
      <c r="AL318" s="27"/>
      <c r="AN318" s="27"/>
      <c r="AO318" s="29"/>
      <c r="AP318" s="35">
        <f t="shared" si="1"/>
        <v>1496</v>
      </c>
      <c r="AQ318" s="23">
        <f t="shared" si="2"/>
        <v>88</v>
      </c>
      <c r="AR318" s="23">
        <f t="shared" si="3"/>
        <v>0</v>
      </c>
      <c r="AS318" s="23">
        <f t="shared" si="4"/>
        <v>88</v>
      </c>
      <c r="AT318" s="36">
        <f t="shared" si="5"/>
        <v>17</v>
      </c>
      <c r="AU318" s="37"/>
      <c r="AV318" s="37"/>
      <c r="AW318" s="37"/>
    </row>
    <row r="319" ht="15.75" customHeight="1">
      <c r="A319" s="39" t="s">
        <v>27</v>
      </c>
      <c r="B319" s="40">
        <f t="shared" si="6"/>
        <v>44879</v>
      </c>
      <c r="C319" s="41">
        <v>12.0</v>
      </c>
      <c r="D319" s="41" t="s">
        <v>33</v>
      </c>
      <c r="E319" s="43" t="s">
        <v>42</v>
      </c>
      <c r="F319" s="28">
        <v>0.0</v>
      </c>
      <c r="H319" s="32">
        <v>0.0</v>
      </c>
      <c r="J319" s="32">
        <v>0.0</v>
      </c>
      <c r="L319" s="32">
        <v>0.0</v>
      </c>
      <c r="N319" s="32">
        <v>0.0</v>
      </c>
      <c r="P319" s="32">
        <v>0.0</v>
      </c>
      <c r="Q319" s="29"/>
      <c r="R319" s="28">
        <v>40.0</v>
      </c>
      <c r="T319" s="32">
        <v>49.0</v>
      </c>
      <c r="V319" s="32">
        <v>0.0</v>
      </c>
      <c r="X319" s="32">
        <v>0.0</v>
      </c>
      <c r="Z319" s="32">
        <v>0.0</v>
      </c>
      <c r="AB319" s="32">
        <v>0.0</v>
      </c>
      <c r="AC319" s="29"/>
      <c r="AD319" s="26"/>
      <c r="AF319" s="27"/>
      <c r="AH319" s="27"/>
      <c r="AJ319" s="27"/>
      <c r="AL319" s="27"/>
      <c r="AN319" s="27"/>
      <c r="AO319" s="29"/>
      <c r="AP319" s="45">
        <f t="shared" si="1"/>
        <v>1513</v>
      </c>
      <c r="AQ319" s="41">
        <f t="shared" si="2"/>
        <v>89</v>
      </c>
      <c r="AR319" s="41">
        <f t="shared" si="3"/>
        <v>0</v>
      </c>
      <c r="AS319" s="41">
        <f t="shared" si="4"/>
        <v>89</v>
      </c>
      <c r="AT319" s="46">
        <f t="shared" si="5"/>
        <v>17</v>
      </c>
      <c r="AU319" s="37"/>
      <c r="AV319" s="37"/>
      <c r="AW319" s="37"/>
    </row>
    <row r="320" ht="15.75" customHeight="1">
      <c r="A320" s="39" t="s">
        <v>28</v>
      </c>
      <c r="B320" s="40">
        <f t="shared" si="6"/>
        <v>44880</v>
      </c>
      <c r="C320" s="41">
        <v>12.0</v>
      </c>
      <c r="D320" s="41" t="s">
        <v>33</v>
      </c>
      <c r="E320" s="43" t="s">
        <v>42</v>
      </c>
      <c r="F320" s="28">
        <v>0.0</v>
      </c>
      <c r="H320" s="32">
        <v>0.0</v>
      </c>
      <c r="J320" s="32">
        <v>0.0</v>
      </c>
      <c r="L320" s="32">
        <v>0.0</v>
      </c>
      <c r="N320" s="32">
        <v>0.0</v>
      </c>
      <c r="P320" s="32">
        <v>0.0</v>
      </c>
      <c r="Q320" s="29"/>
      <c r="R320" s="28">
        <v>36.0</v>
      </c>
      <c r="T320" s="32">
        <v>68.0</v>
      </c>
      <c r="V320" s="32">
        <v>0.0</v>
      </c>
      <c r="X320" s="32">
        <v>0.0</v>
      </c>
      <c r="Z320" s="32">
        <v>0.0</v>
      </c>
      <c r="AB320" s="32">
        <v>0.0</v>
      </c>
      <c r="AC320" s="29"/>
      <c r="AD320" s="26"/>
      <c r="AF320" s="27"/>
      <c r="AH320" s="27"/>
      <c r="AJ320" s="27"/>
      <c r="AL320" s="27"/>
      <c r="AN320" s="27"/>
      <c r="AO320" s="29"/>
      <c r="AP320" s="45">
        <f t="shared" si="1"/>
        <v>1768</v>
      </c>
      <c r="AQ320" s="41">
        <f t="shared" si="2"/>
        <v>104</v>
      </c>
      <c r="AR320" s="41">
        <f t="shared" si="3"/>
        <v>0</v>
      </c>
      <c r="AS320" s="41">
        <f t="shared" si="4"/>
        <v>104</v>
      </c>
      <c r="AT320" s="46">
        <f t="shared" si="5"/>
        <v>17</v>
      </c>
      <c r="AU320" s="37"/>
      <c r="AV320" s="37"/>
      <c r="AW320" s="37"/>
    </row>
    <row r="321" ht="15.75" customHeight="1">
      <c r="A321" s="39" t="s">
        <v>29</v>
      </c>
      <c r="B321" s="40">
        <f t="shared" si="6"/>
        <v>44881</v>
      </c>
      <c r="C321" s="41">
        <v>12.0</v>
      </c>
      <c r="D321" s="41" t="s">
        <v>33</v>
      </c>
      <c r="E321" s="43" t="s">
        <v>42</v>
      </c>
      <c r="F321" s="28">
        <v>0.0</v>
      </c>
      <c r="H321" s="32">
        <v>0.0</v>
      </c>
      <c r="J321" s="32">
        <v>0.0</v>
      </c>
      <c r="L321" s="32">
        <v>0.0</v>
      </c>
      <c r="N321" s="32">
        <v>0.0</v>
      </c>
      <c r="P321" s="32">
        <v>0.0</v>
      </c>
      <c r="Q321" s="29"/>
      <c r="R321" s="28">
        <v>46.0</v>
      </c>
      <c r="T321" s="32">
        <v>60.0</v>
      </c>
      <c r="V321" s="32">
        <v>0.0</v>
      </c>
      <c r="X321" s="32">
        <v>0.0</v>
      </c>
      <c r="Z321" s="32">
        <v>0.0</v>
      </c>
      <c r="AB321" s="32">
        <v>0.0</v>
      </c>
      <c r="AC321" s="29"/>
      <c r="AD321" s="26"/>
      <c r="AF321" s="27"/>
      <c r="AH321" s="27"/>
      <c r="AJ321" s="27"/>
      <c r="AL321" s="27"/>
      <c r="AN321" s="27"/>
      <c r="AO321" s="29"/>
      <c r="AP321" s="45">
        <f t="shared" si="1"/>
        <v>1802</v>
      </c>
      <c r="AQ321" s="41">
        <f t="shared" si="2"/>
        <v>106</v>
      </c>
      <c r="AR321" s="41">
        <f t="shared" si="3"/>
        <v>0</v>
      </c>
      <c r="AS321" s="41">
        <f t="shared" si="4"/>
        <v>106</v>
      </c>
      <c r="AT321" s="46">
        <f t="shared" si="5"/>
        <v>17</v>
      </c>
      <c r="AU321" s="37"/>
      <c r="AV321" s="37"/>
      <c r="AW321" s="37"/>
    </row>
    <row r="322" ht="15.75" customHeight="1">
      <c r="A322" s="39" t="s">
        <v>30</v>
      </c>
      <c r="B322" s="40">
        <f t="shared" si="6"/>
        <v>44882</v>
      </c>
      <c r="C322" s="41">
        <v>12.0</v>
      </c>
      <c r="D322" s="41" t="s">
        <v>33</v>
      </c>
      <c r="E322" s="43" t="s">
        <v>42</v>
      </c>
      <c r="F322" s="28">
        <v>0.0</v>
      </c>
      <c r="H322" s="32">
        <v>0.0</v>
      </c>
      <c r="J322" s="32">
        <v>0.0</v>
      </c>
      <c r="L322" s="32">
        <v>0.0</v>
      </c>
      <c r="N322" s="32">
        <v>0.0</v>
      </c>
      <c r="P322" s="32">
        <v>0.0</v>
      </c>
      <c r="Q322" s="29"/>
      <c r="R322" s="28">
        <v>38.0</v>
      </c>
      <c r="T322" s="27"/>
      <c r="V322" s="32">
        <v>0.0</v>
      </c>
      <c r="X322" s="32">
        <v>0.0</v>
      </c>
      <c r="Z322" s="32">
        <v>0.0</v>
      </c>
      <c r="AB322" s="32">
        <v>0.0</v>
      </c>
      <c r="AC322" s="29"/>
      <c r="AD322" s="26"/>
      <c r="AF322" s="27"/>
      <c r="AH322" s="27"/>
      <c r="AJ322" s="27"/>
      <c r="AL322" s="27"/>
      <c r="AN322" s="27"/>
      <c r="AO322" s="29"/>
      <c r="AP322" s="45">
        <f t="shared" si="1"/>
        <v>646</v>
      </c>
      <c r="AQ322" s="41">
        <f t="shared" si="2"/>
        <v>38</v>
      </c>
      <c r="AR322" s="41">
        <f t="shared" si="3"/>
        <v>0</v>
      </c>
      <c r="AS322" s="41">
        <f t="shared" si="4"/>
        <v>38</v>
      </c>
      <c r="AT322" s="46">
        <f t="shared" si="5"/>
        <v>17</v>
      </c>
      <c r="AU322" s="37"/>
      <c r="AV322" s="37"/>
      <c r="AW322" s="37"/>
    </row>
    <row r="323" ht="15.75" customHeight="1">
      <c r="A323" s="39" t="s">
        <v>31</v>
      </c>
      <c r="B323" s="40">
        <f t="shared" si="6"/>
        <v>44883</v>
      </c>
      <c r="C323" s="41">
        <v>12.0</v>
      </c>
      <c r="D323" s="41" t="s">
        <v>33</v>
      </c>
      <c r="E323" s="43" t="s">
        <v>42</v>
      </c>
      <c r="F323" s="28">
        <v>0.0</v>
      </c>
      <c r="H323" s="32">
        <v>0.0</v>
      </c>
      <c r="J323" s="32">
        <v>0.0</v>
      </c>
      <c r="L323" s="32">
        <v>0.0</v>
      </c>
      <c r="N323" s="32">
        <v>0.0</v>
      </c>
      <c r="P323" s="32">
        <v>0.0</v>
      </c>
      <c r="Q323" s="29"/>
      <c r="R323" s="28">
        <v>0.0</v>
      </c>
      <c r="T323" s="32">
        <v>0.0</v>
      </c>
      <c r="V323" s="32">
        <v>0.0</v>
      </c>
      <c r="X323" s="32">
        <v>0.0</v>
      </c>
      <c r="Z323" s="32">
        <v>0.0</v>
      </c>
      <c r="AB323" s="32">
        <v>0.0</v>
      </c>
      <c r="AC323" s="29"/>
      <c r="AD323" s="26"/>
      <c r="AF323" s="27"/>
      <c r="AH323" s="27"/>
      <c r="AJ323" s="27"/>
      <c r="AL323" s="27"/>
      <c r="AN323" s="27"/>
      <c r="AO323" s="29"/>
      <c r="AP323" s="45">
        <f t="shared" si="1"/>
        <v>0</v>
      </c>
      <c r="AQ323" s="41">
        <f t="shared" si="2"/>
        <v>0</v>
      </c>
      <c r="AR323" s="41">
        <f t="shared" si="3"/>
        <v>0</v>
      </c>
      <c r="AS323" s="41">
        <f t="shared" si="4"/>
        <v>0</v>
      </c>
      <c r="AT323" s="46" t="str">
        <f t="shared" si="5"/>
        <v/>
      </c>
      <c r="AU323" s="37"/>
      <c r="AV323" s="37"/>
      <c r="AW323" s="37"/>
    </row>
    <row r="324" ht="15.75" customHeight="1">
      <c r="A324" s="49" t="s">
        <v>32</v>
      </c>
      <c r="B324" s="50">
        <f t="shared" si="6"/>
        <v>44884</v>
      </c>
      <c r="C324" s="51">
        <v>12.0</v>
      </c>
      <c r="D324" s="51" t="s">
        <v>33</v>
      </c>
      <c r="E324" s="53" t="s">
        <v>42</v>
      </c>
      <c r="F324" s="57">
        <v>0.0</v>
      </c>
      <c r="G324" s="55"/>
      <c r="H324" s="59">
        <v>0.0</v>
      </c>
      <c r="I324" s="55"/>
      <c r="J324" s="59">
        <v>0.0</v>
      </c>
      <c r="K324" s="55"/>
      <c r="L324" s="59">
        <v>0.0</v>
      </c>
      <c r="M324" s="55"/>
      <c r="N324" s="59">
        <v>0.0</v>
      </c>
      <c r="O324" s="55"/>
      <c r="P324" s="59">
        <v>0.0</v>
      </c>
      <c r="Q324" s="58"/>
      <c r="R324" s="57">
        <v>0.0</v>
      </c>
      <c r="S324" s="55"/>
      <c r="T324" s="59">
        <v>0.0</v>
      </c>
      <c r="U324" s="55"/>
      <c r="V324" s="59">
        <v>0.0</v>
      </c>
      <c r="W324" s="55"/>
      <c r="X324" s="59">
        <v>0.0</v>
      </c>
      <c r="Y324" s="55"/>
      <c r="Z324" s="59">
        <v>0.0</v>
      </c>
      <c r="AA324" s="55"/>
      <c r="AB324" s="59">
        <v>0.0</v>
      </c>
      <c r="AC324" s="58"/>
      <c r="AD324" s="54"/>
      <c r="AE324" s="55"/>
      <c r="AF324" s="56"/>
      <c r="AG324" s="55"/>
      <c r="AH324" s="56"/>
      <c r="AI324" s="55"/>
      <c r="AJ324" s="56"/>
      <c r="AK324" s="55"/>
      <c r="AL324" s="56"/>
      <c r="AM324" s="55"/>
      <c r="AN324" s="56"/>
      <c r="AO324" s="58"/>
      <c r="AP324" s="60">
        <f t="shared" si="1"/>
        <v>0</v>
      </c>
      <c r="AQ324" s="51">
        <f t="shared" si="2"/>
        <v>0</v>
      </c>
      <c r="AR324" s="51">
        <f t="shared" si="3"/>
        <v>0</v>
      </c>
      <c r="AS324" s="51">
        <f t="shared" si="4"/>
        <v>0</v>
      </c>
      <c r="AT324" s="61" t="str">
        <f t="shared" si="5"/>
        <v/>
      </c>
      <c r="AU324" s="37"/>
      <c r="AV324" s="37"/>
      <c r="AW324" s="37"/>
    </row>
    <row r="325" ht="15.75" customHeight="1">
      <c r="A325" s="21" t="s">
        <v>24</v>
      </c>
      <c r="B325" s="62">
        <f t="shared" si="6"/>
        <v>44885</v>
      </c>
      <c r="C325" s="23">
        <v>12.0</v>
      </c>
      <c r="D325" s="23" t="s">
        <v>34</v>
      </c>
      <c r="E325" s="25" t="s">
        <v>43</v>
      </c>
      <c r="F325" s="26"/>
      <c r="H325" s="27"/>
      <c r="J325" s="27"/>
      <c r="L325" s="27"/>
      <c r="N325" s="27"/>
      <c r="P325" s="27"/>
      <c r="Q325" s="29"/>
      <c r="R325" s="26"/>
      <c r="T325" s="27"/>
      <c r="V325" s="27"/>
      <c r="X325" s="27"/>
      <c r="Z325" s="27"/>
      <c r="AB325" s="27"/>
      <c r="AC325" s="29"/>
      <c r="AD325" s="26"/>
      <c r="AF325" s="27"/>
      <c r="AH325" s="27"/>
      <c r="AJ325" s="27"/>
      <c r="AL325" s="27"/>
      <c r="AN325" s="27"/>
      <c r="AO325" s="29"/>
      <c r="AP325" s="35">
        <f t="shared" si="1"/>
        <v>0</v>
      </c>
      <c r="AQ325" s="23">
        <f t="shared" si="2"/>
        <v>0</v>
      </c>
      <c r="AR325" s="23">
        <f t="shared" si="3"/>
        <v>0</v>
      </c>
      <c r="AS325" s="23">
        <f t="shared" si="4"/>
        <v>0</v>
      </c>
      <c r="AT325" s="36" t="str">
        <f t="shared" si="5"/>
        <v/>
      </c>
      <c r="AU325" s="37"/>
      <c r="AV325" s="37"/>
      <c r="AW325" s="37"/>
    </row>
    <row r="326" ht="15.75" customHeight="1">
      <c r="A326" s="39" t="s">
        <v>27</v>
      </c>
      <c r="B326" s="40">
        <f t="shared" si="6"/>
        <v>44886</v>
      </c>
      <c r="C326" s="41">
        <v>12.0</v>
      </c>
      <c r="D326" s="41" t="s">
        <v>34</v>
      </c>
      <c r="E326" s="43" t="s">
        <v>43</v>
      </c>
      <c r="F326" s="26"/>
      <c r="H326" s="27"/>
      <c r="J326" s="27"/>
      <c r="L326" s="27"/>
      <c r="N326" s="27"/>
      <c r="P326" s="27"/>
      <c r="Q326" s="29"/>
      <c r="R326" s="26"/>
      <c r="T326" s="27"/>
      <c r="V326" s="27"/>
      <c r="X326" s="27"/>
      <c r="Z326" s="27"/>
      <c r="AB326" s="27"/>
      <c r="AC326" s="29"/>
      <c r="AD326" s="26"/>
      <c r="AF326" s="27"/>
      <c r="AH326" s="27"/>
      <c r="AJ326" s="27"/>
      <c r="AL326" s="27"/>
      <c r="AN326" s="27"/>
      <c r="AO326" s="29"/>
      <c r="AP326" s="45">
        <f t="shared" si="1"/>
        <v>0</v>
      </c>
      <c r="AQ326" s="41">
        <f t="shared" si="2"/>
        <v>0</v>
      </c>
      <c r="AR326" s="41">
        <f t="shared" si="3"/>
        <v>0</v>
      </c>
      <c r="AS326" s="41">
        <f t="shared" si="4"/>
        <v>0</v>
      </c>
      <c r="AT326" s="46" t="str">
        <f t="shared" si="5"/>
        <v/>
      </c>
      <c r="AU326" s="37"/>
      <c r="AV326" s="37"/>
      <c r="AW326" s="37"/>
    </row>
    <row r="327" ht="15.75" customHeight="1">
      <c r="A327" s="39" t="s">
        <v>28</v>
      </c>
      <c r="B327" s="40">
        <f t="shared" si="6"/>
        <v>44887</v>
      </c>
      <c r="C327" s="41">
        <v>12.0</v>
      </c>
      <c r="D327" s="41" t="s">
        <v>34</v>
      </c>
      <c r="E327" s="43" t="s">
        <v>43</v>
      </c>
      <c r="F327" s="26"/>
      <c r="H327" s="27"/>
      <c r="J327" s="27"/>
      <c r="L327" s="27"/>
      <c r="N327" s="27"/>
      <c r="P327" s="27"/>
      <c r="Q327" s="29"/>
      <c r="R327" s="26"/>
      <c r="T327" s="27"/>
      <c r="V327" s="27"/>
      <c r="X327" s="27"/>
      <c r="Z327" s="27"/>
      <c r="AB327" s="27"/>
      <c r="AC327" s="29"/>
      <c r="AD327" s="26"/>
      <c r="AF327" s="27"/>
      <c r="AH327" s="27"/>
      <c r="AJ327" s="27"/>
      <c r="AL327" s="27"/>
      <c r="AN327" s="27"/>
      <c r="AO327" s="29"/>
      <c r="AP327" s="45">
        <f t="shared" si="1"/>
        <v>0</v>
      </c>
      <c r="AQ327" s="41">
        <f t="shared" si="2"/>
        <v>0</v>
      </c>
      <c r="AR327" s="41">
        <f t="shared" si="3"/>
        <v>0</v>
      </c>
      <c r="AS327" s="41">
        <f t="shared" si="4"/>
        <v>0</v>
      </c>
      <c r="AT327" s="46" t="str">
        <f t="shared" si="5"/>
        <v/>
      </c>
      <c r="AU327" s="37"/>
      <c r="AV327" s="37"/>
      <c r="AW327" s="37"/>
    </row>
    <row r="328" ht="15.75" customHeight="1">
      <c r="A328" s="39" t="s">
        <v>29</v>
      </c>
      <c r="B328" s="40">
        <f t="shared" si="6"/>
        <v>44888</v>
      </c>
      <c r="C328" s="41">
        <v>12.0</v>
      </c>
      <c r="D328" s="41" t="s">
        <v>34</v>
      </c>
      <c r="E328" s="43" t="s">
        <v>43</v>
      </c>
      <c r="F328" s="26"/>
      <c r="H328" s="27"/>
      <c r="J328" s="27"/>
      <c r="L328" s="27"/>
      <c r="N328" s="27"/>
      <c r="P328" s="27"/>
      <c r="Q328" s="29"/>
      <c r="R328" s="26"/>
      <c r="T328" s="27"/>
      <c r="V328" s="27"/>
      <c r="X328" s="27"/>
      <c r="Z328" s="27"/>
      <c r="AB328" s="27"/>
      <c r="AC328" s="29"/>
      <c r="AD328" s="26"/>
      <c r="AF328" s="27"/>
      <c r="AH328" s="27"/>
      <c r="AJ328" s="27"/>
      <c r="AL328" s="27"/>
      <c r="AN328" s="27"/>
      <c r="AO328" s="29"/>
      <c r="AP328" s="45">
        <f t="shared" si="1"/>
        <v>0</v>
      </c>
      <c r="AQ328" s="41">
        <f t="shared" si="2"/>
        <v>0</v>
      </c>
      <c r="AR328" s="41">
        <f t="shared" si="3"/>
        <v>0</v>
      </c>
      <c r="AS328" s="41">
        <f t="shared" si="4"/>
        <v>0</v>
      </c>
      <c r="AT328" s="46" t="str">
        <f t="shared" si="5"/>
        <v/>
      </c>
      <c r="AU328" s="37"/>
      <c r="AV328" s="37"/>
      <c r="AW328" s="37"/>
    </row>
    <row r="329" ht="15.75" customHeight="1">
      <c r="A329" s="39" t="s">
        <v>30</v>
      </c>
      <c r="B329" s="40">
        <f t="shared" si="6"/>
        <v>44889</v>
      </c>
      <c r="C329" s="41">
        <v>12.0</v>
      </c>
      <c r="D329" s="41" t="s">
        <v>34</v>
      </c>
      <c r="E329" s="43" t="s">
        <v>43</v>
      </c>
      <c r="F329" s="26"/>
      <c r="H329" s="27"/>
      <c r="J329" s="27"/>
      <c r="L329" s="27"/>
      <c r="N329" s="27"/>
      <c r="P329" s="27"/>
      <c r="Q329" s="29"/>
      <c r="R329" s="26"/>
      <c r="T329" s="27"/>
      <c r="V329" s="27"/>
      <c r="X329" s="27"/>
      <c r="Z329" s="27"/>
      <c r="AB329" s="27"/>
      <c r="AC329" s="29"/>
      <c r="AD329" s="26"/>
      <c r="AF329" s="27"/>
      <c r="AH329" s="27"/>
      <c r="AJ329" s="27"/>
      <c r="AL329" s="27"/>
      <c r="AN329" s="27"/>
      <c r="AO329" s="29"/>
      <c r="AP329" s="45">
        <f t="shared" si="1"/>
        <v>0</v>
      </c>
      <c r="AQ329" s="41">
        <f t="shared" si="2"/>
        <v>0</v>
      </c>
      <c r="AR329" s="41">
        <f t="shared" si="3"/>
        <v>0</v>
      </c>
      <c r="AS329" s="41">
        <f t="shared" si="4"/>
        <v>0</v>
      </c>
      <c r="AT329" s="46" t="str">
        <f t="shared" si="5"/>
        <v/>
      </c>
      <c r="AU329" s="37"/>
      <c r="AV329" s="37"/>
      <c r="AW329" s="37"/>
    </row>
    <row r="330" ht="15.75" customHeight="1">
      <c r="A330" s="39" t="s">
        <v>31</v>
      </c>
      <c r="B330" s="40">
        <f t="shared" si="6"/>
        <v>44890</v>
      </c>
      <c r="C330" s="41">
        <v>12.0</v>
      </c>
      <c r="D330" s="41" t="s">
        <v>34</v>
      </c>
      <c r="E330" s="43" t="s">
        <v>43</v>
      </c>
      <c r="F330" s="26"/>
      <c r="H330" s="27"/>
      <c r="J330" s="27"/>
      <c r="L330" s="27"/>
      <c r="N330" s="27"/>
      <c r="P330" s="27"/>
      <c r="Q330" s="29"/>
      <c r="R330" s="26"/>
      <c r="T330" s="27"/>
      <c r="V330" s="27"/>
      <c r="X330" s="27"/>
      <c r="Z330" s="27"/>
      <c r="AB330" s="27"/>
      <c r="AC330" s="29"/>
      <c r="AD330" s="26"/>
      <c r="AF330" s="27"/>
      <c r="AH330" s="27"/>
      <c r="AJ330" s="27"/>
      <c r="AL330" s="27"/>
      <c r="AN330" s="27"/>
      <c r="AO330" s="29"/>
      <c r="AP330" s="45">
        <f t="shared" si="1"/>
        <v>0</v>
      </c>
      <c r="AQ330" s="41">
        <f t="shared" si="2"/>
        <v>0</v>
      </c>
      <c r="AR330" s="41">
        <f t="shared" si="3"/>
        <v>0</v>
      </c>
      <c r="AS330" s="41">
        <f t="shared" si="4"/>
        <v>0</v>
      </c>
      <c r="AT330" s="46" t="str">
        <f t="shared" si="5"/>
        <v/>
      </c>
      <c r="AU330" s="37"/>
      <c r="AV330" s="37"/>
      <c r="AW330" s="37"/>
    </row>
    <row r="331" ht="15.75" customHeight="1">
      <c r="A331" s="49" t="s">
        <v>32</v>
      </c>
      <c r="B331" s="50">
        <f t="shared" si="6"/>
        <v>44891</v>
      </c>
      <c r="C331" s="51">
        <v>12.0</v>
      </c>
      <c r="D331" s="51" t="s">
        <v>34</v>
      </c>
      <c r="E331" s="53" t="s">
        <v>43</v>
      </c>
      <c r="F331" s="54"/>
      <c r="G331" s="55"/>
      <c r="H331" s="56"/>
      <c r="I331" s="55"/>
      <c r="J331" s="56"/>
      <c r="K331" s="55"/>
      <c r="L331" s="56"/>
      <c r="M331" s="55"/>
      <c r="N331" s="56"/>
      <c r="O331" s="55"/>
      <c r="P331" s="56"/>
      <c r="Q331" s="58"/>
      <c r="R331" s="54"/>
      <c r="S331" s="55"/>
      <c r="T331" s="56"/>
      <c r="U331" s="55"/>
      <c r="V331" s="56"/>
      <c r="W331" s="55"/>
      <c r="X331" s="56"/>
      <c r="Y331" s="55"/>
      <c r="Z331" s="56"/>
      <c r="AA331" s="55"/>
      <c r="AB331" s="56"/>
      <c r="AC331" s="58"/>
      <c r="AD331" s="54"/>
      <c r="AE331" s="55"/>
      <c r="AF331" s="56"/>
      <c r="AG331" s="55"/>
      <c r="AH331" s="56"/>
      <c r="AI331" s="55"/>
      <c r="AJ331" s="56"/>
      <c r="AK331" s="55"/>
      <c r="AL331" s="56"/>
      <c r="AM331" s="55"/>
      <c r="AN331" s="56"/>
      <c r="AO331" s="58"/>
      <c r="AP331" s="60">
        <f t="shared" si="1"/>
        <v>0</v>
      </c>
      <c r="AQ331" s="51">
        <f t="shared" si="2"/>
        <v>0</v>
      </c>
      <c r="AR331" s="51">
        <f t="shared" si="3"/>
        <v>0</v>
      </c>
      <c r="AS331" s="51">
        <f t="shared" si="4"/>
        <v>0</v>
      </c>
      <c r="AT331" s="61" t="str">
        <f t="shared" si="5"/>
        <v/>
      </c>
      <c r="AU331" s="37"/>
      <c r="AV331" s="37"/>
      <c r="AW331" s="37"/>
    </row>
    <row r="332" ht="15.75" customHeight="1">
      <c r="A332" s="21" t="s">
        <v>24</v>
      </c>
      <c r="B332" s="62">
        <f t="shared" si="6"/>
        <v>44892</v>
      </c>
      <c r="C332" s="23">
        <v>12.0</v>
      </c>
      <c r="D332" s="23" t="s">
        <v>35</v>
      </c>
      <c r="E332" s="25" t="s">
        <v>26</v>
      </c>
      <c r="F332" s="26"/>
      <c r="H332" s="27"/>
      <c r="J332" s="27"/>
      <c r="L332" s="27"/>
      <c r="N332" s="27"/>
      <c r="P332" s="27"/>
      <c r="Q332" s="29"/>
      <c r="R332" s="26"/>
      <c r="T332" s="27"/>
      <c r="V332" s="27"/>
      <c r="X332" s="27"/>
      <c r="Z332" s="27"/>
      <c r="AB332" s="27"/>
      <c r="AC332" s="29"/>
      <c r="AD332" s="26"/>
      <c r="AF332" s="27"/>
      <c r="AH332" s="27"/>
      <c r="AJ332" s="27"/>
      <c r="AL332" s="27"/>
      <c r="AN332" s="27"/>
      <c r="AO332" s="29"/>
      <c r="AP332" s="35">
        <f t="shared" si="1"/>
        <v>0</v>
      </c>
      <c r="AQ332" s="23">
        <f t="shared" si="2"/>
        <v>0</v>
      </c>
      <c r="AR332" s="23">
        <f t="shared" si="3"/>
        <v>0</v>
      </c>
      <c r="AS332" s="23">
        <f t="shared" si="4"/>
        <v>0</v>
      </c>
      <c r="AT332" s="36" t="str">
        <f t="shared" si="5"/>
        <v/>
      </c>
      <c r="AU332" s="37"/>
      <c r="AV332" s="37"/>
      <c r="AW332" s="37"/>
    </row>
    <row r="333" ht="15.75" customHeight="1">
      <c r="A333" s="39" t="s">
        <v>27</v>
      </c>
      <c r="B333" s="40">
        <f t="shared" si="6"/>
        <v>44893</v>
      </c>
      <c r="C333" s="41">
        <v>12.0</v>
      </c>
      <c r="D333" s="41" t="s">
        <v>35</v>
      </c>
      <c r="E333" s="43" t="s">
        <v>26</v>
      </c>
      <c r="F333" s="26"/>
      <c r="H333" s="27"/>
      <c r="J333" s="27"/>
      <c r="L333" s="27"/>
      <c r="N333" s="27"/>
      <c r="P333" s="27"/>
      <c r="Q333" s="29"/>
      <c r="R333" s="26"/>
      <c r="T333" s="27"/>
      <c r="V333" s="27"/>
      <c r="X333" s="27"/>
      <c r="Z333" s="27"/>
      <c r="AB333" s="27"/>
      <c r="AC333" s="29"/>
      <c r="AD333" s="26"/>
      <c r="AF333" s="27"/>
      <c r="AH333" s="27"/>
      <c r="AJ333" s="27"/>
      <c r="AL333" s="27"/>
      <c r="AN333" s="27"/>
      <c r="AO333" s="29"/>
      <c r="AP333" s="45">
        <f t="shared" si="1"/>
        <v>0</v>
      </c>
      <c r="AQ333" s="41">
        <f t="shared" si="2"/>
        <v>0</v>
      </c>
      <c r="AR333" s="41">
        <f t="shared" si="3"/>
        <v>0</v>
      </c>
      <c r="AS333" s="41">
        <f t="shared" si="4"/>
        <v>0</v>
      </c>
      <c r="AT333" s="46" t="str">
        <f t="shared" si="5"/>
        <v/>
      </c>
      <c r="AU333" s="37"/>
      <c r="AV333" s="37"/>
      <c r="AW333" s="37"/>
    </row>
    <row r="334" ht="15.75" customHeight="1">
      <c r="A334" s="39" t="s">
        <v>28</v>
      </c>
      <c r="B334" s="40">
        <f t="shared" si="6"/>
        <v>44894</v>
      </c>
      <c r="C334" s="41">
        <v>12.0</v>
      </c>
      <c r="D334" s="41" t="s">
        <v>35</v>
      </c>
      <c r="E334" s="43" t="s">
        <v>26</v>
      </c>
      <c r="F334" s="26"/>
      <c r="H334" s="27"/>
      <c r="J334" s="27"/>
      <c r="L334" s="27"/>
      <c r="N334" s="27"/>
      <c r="P334" s="27"/>
      <c r="Q334" s="29"/>
      <c r="R334" s="26"/>
      <c r="T334" s="27"/>
      <c r="V334" s="27"/>
      <c r="X334" s="27"/>
      <c r="Z334" s="27"/>
      <c r="AB334" s="27"/>
      <c r="AC334" s="29"/>
      <c r="AD334" s="26"/>
      <c r="AF334" s="27"/>
      <c r="AH334" s="27"/>
      <c r="AJ334" s="27"/>
      <c r="AL334" s="27"/>
      <c r="AN334" s="27"/>
      <c r="AO334" s="29"/>
      <c r="AP334" s="45">
        <f t="shared" si="1"/>
        <v>0</v>
      </c>
      <c r="AQ334" s="41">
        <f t="shared" si="2"/>
        <v>0</v>
      </c>
      <c r="AR334" s="41">
        <f t="shared" si="3"/>
        <v>0</v>
      </c>
      <c r="AS334" s="41">
        <f t="shared" si="4"/>
        <v>0</v>
      </c>
      <c r="AT334" s="46" t="str">
        <f t="shared" si="5"/>
        <v/>
      </c>
      <c r="AU334" s="37"/>
      <c r="AV334" s="37"/>
      <c r="AW334" s="37"/>
    </row>
    <row r="335" ht="15.75" customHeight="1">
      <c r="A335" s="39" t="s">
        <v>29</v>
      </c>
      <c r="B335" s="40">
        <f t="shared" si="6"/>
        <v>44895</v>
      </c>
      <c r="C335" s="41">
        <v>12.0</v>
      </c>
      <c r="D335" s="41" t="s">
        <v>35</v>
      </c>
      <c r="E335" s="43" t="s">
        <v>26</v>
      </c>
      <c r="F335" s="26"/>
      <c r="H335" s="27"/>
      <c r="J335" s="27"/>
      <c r="L335" s="27"/>
      <c r="N335" s="27"/>
      <c r="P335" s="27"/>
      <c r="Q335" s="29"/>
      <c r="R335" s="26"/>
      <c r="T335" s="27"/>
      <c r="V335" s="27"/>
      <c r="X335" s="27"/>
      <c r="Z335" s="27"/>
      <c r="AB335" s="27"/>
      <c r="AC335" s="29"/>
      <c r="AD335" s="26"/>
      <c r="AF335" s="27"/>
      <c r="AH335" s="27"/>
      <c r="AJ335" s="27"/>
      <c r="AL335" s="27"/>
      <c r="AN335" s="27"/>
      <c r="AO335" s="29"/>
      <c r="AP335" s="45">
        <f t="shared" si="1"/>
        <v>0</v>
      </c>
      <c r="AQ335" s="41">
        <f t="shared" si="2"/>
        <v>0</v>
      </c>
      <c r="AR335" s="41">
        <f t="shared" si="3"/>
        <v>0</v>
      </c>
      <c r="AS335" s="41">
        <f t="shared" si="4"/>
        <v>0</v>
      </c>
      <c r="AT335" s="46" t="str">
        <f t="shared" si="5"/>
        <v/>
      </c>
      <c r="AU335" s="37"/>
      <c r="AV335" s="37"/>
      <c r="AW335" s="37"/>
    </row>
    <row r="336" ht="15.75" customHeight="1">
      <c r="A336" s="39" t="s">
        <v>30</v>
      </c>
      <c r="B336" s="40">
        <f t="shared" si="6"/>
        <v>44896</v>
      </c>
      <c r="C336" s="41">
        <v>12.0</v>
      </c>
      <c r="D336" s="41" t="s">
        <v>35</v>
      </c>
      <c r="E336" s="43" t="s">
        <v>26</v>
      </c>
      <c r="F336" s="26"/>
      <c r="H336" s="27"/>
      <c r="J336" s="27"/>
      <c r="L336" s="27"/>
      <c r="N336" s="27"/>
      <c r="P336" s="27"/>
      <c r="Q336" s="29"/>
      <c r="R336" s="26"/>
      <c r="T336" s="27"/>
      <c r="V336" s="27"/>
      <c r="X336" s="27"/>
      <c r="Z336" s="27"/>
      <c r="AB336" s="27"/>
      <c r="AC336" s="29"/>
      <c r="AD336" s="26"/>
      <c r="AF336" s="27"/>
      <c r="AH336" s="27"/>
      <c r="AJ336" s="27"/>
      <c r="AL336" s="27"/>
      <c r="AN336" s="27"/>
      <c r="AO336" s="29"/>
      <c r="AP336" s="45">
        <f t="shared" si="1"/>
        <v>0</v>
      </c>
      <c r="AQ336" s="41">
        <f t="shared" si="2"/>
        <v>0</v>
      </c>
      <c r="AR336" s="41">
        <f t="shared" si="3"/>
        <v>0</v>
      </c>
      <c r="AS336" s="41">
        <f t="shared" si="4"/>
        <v>0</v>
      </c>
      <c r="AT336" s="46" t="str">
        <f t="shared" si="5"/>
        <v/>
      </c>
      <c r="AU336" s="37"/>
      <c r="AV336" s="37"/>
      <c r="AW336" s="37"/>
    </row>
    <row r="337" ht="15.75" customHeight="1">
      <c r="A337" s="39" t="s">
        <v>31</v>
      </c>
      <c r="B337" s="40">
        <f t="shared" si="6"/>
        <v>44897</v>
      </c>
      <c r="C337" s="41">
        <v>12.0</v>
      </c>
      <c r="D337" s="41" t="s">
        <v>35</v>
      </c>
      <c r="E337" s="43" t="s">
        <v>26</v>
      </c>
      <c r="F337" s="26"/>
      <c r="H337" s="27"/>
      <c r="J337" s="27"/>
      <c r="L337" s="27"/>
      <c r="N337" s="27"/>
      <c r="P337" s="27"/>
      <c r="Q337" s="29"/>
      <c r="R337" s="26"/>
      <c r="T337" s="27"/>
      <c r="V337" s="27"/>
      <c r="X337" s="27"/>
      <c r="Z337" s="27"/>
      <c r="AB337" s="27"/>
      <c r="AC337" s="29"/>
      <c r="AD337" s="26"/>
      <c r="AF337" s="27"/>
      <c r="AH337" s="27"/>
      <c r="AJ337" s="27"/>
      <c r="AL337" s="27"/>
      <c r="AN337" s="27"/>
      <c r="AO337" s="29"/>
      <c r="AP337" s="45">
        <f t="shared" si="1"/>
        <v>0</v>
      </c>
      <c r="AQ337" s="41">
        <f t="shared" si="2"/>
        <v>0</v>
      </c>
      <c r="AR337" s="41">
        <f t="shared" si="3"/>
        <v>0</v>
      </c>
      <c r="AS337" s="41">
        <f t="shared" si="4"/>
        <v>0</v>
      </c>
      <c r="AT337" s="46" t="str">
        <f t="shared" si="5"/>
        <v/>
      </c>
      <c r="AU337" s="37"/>
      <c r="AV337" s="37"/>
      <c r="AW337" s="37"/>
    </row>
    <row r="338" ht="15.75" customHeight="1">
      <c r="A338" s="49" t="s">
        <v>32</v>
      </c>
      <c r="B338" s="50">
        <f t="shared" si="6"/>
        <v>44898</v>
      </c>
      <c r="C338" s="51">
        <v>12.0</v>
      </c>
      <c r="D338" s="51" t="s">
        <v>35</v>
      </c>
      <c r="E338" s="53" t="s">
        <v>26</v>
      </c>
      <c r="F338" s="54"/>
      <c r="G338" s="55"/>
      <c r="H338" s="56"/>
      <c r="I338" s="55"/>
      <c r="J338" s="56"/>
      <c r="K338" s="55"/>
      <c r="L338" s="56"/>
      <c r="M338" s="55"/>
      <c r="N338" s="56"/>
      <c r="O338" s="55"/>
      <c r="P338" s="56"/>
      <c r="Q338" s="58"/>
      <c r="R338" s="54"/>
      <c r="S338" s="55"/>
      <c r="T338" s="56"/>
      <c r="U338" s="55"/>
      <c r="V338" s="56"/>
      <c r="W338" s="55"/>
      <c r="X338" s="56"/>
      <c r="Y338" s="55"/>
      <c r="Z338" s="56"/>
      <c r="AA338" s="55"/>
      <c r="AB338" s="56"/>
      <c r="AC338" s="58"/>
      <c r="AD338" s="54"/>
      <c r="AE338" s="55"/>
      <c r="AF338" s="56"/>
      <c r="AG338" s="55"/>
      <c r="AH338" s="56"/>
      <c r="AI338" s="55"/>
      <c r="AJ338" s="56"/>
      <c r="AK338" s="55"/>
      <c r="AL338" s="56"/>
      <c r="AM338" s="55"/>
      <c r="AN338" s="56"/>
      <c r="AO338" s="58"/>
      <c r="AP338" s="60">
        <f t="shared" si="1"/>
        <v>0</v>
      </c>
      <c r="AQ338" s="51">
        <f t="shared" si="2"/>
        <v>0</v>
      </c>
      <c r="AR338" s="51">
        <f t="shared" si="3"/>
        <v>0</v>
      </c>
      <c r="AS338" s="51">
        <f t="shared" si="4"/>
        <v>0</v>
      </c>
      <c r="AT338" s="61" t="str">
        <f t="shared" si="5"/>
        <v/>
      </c>
      <c r="AU338" s="37"/>
      <c r="AV338" s="37"/>
      <c r="AW338" s="37"/>
    </row>
    <row r="339" ht="15.75" customHeight="1">
      <c r="A339" s="21" t="s">
        <v>24</v>
      </c>
      <c r="B339" s="62">
        <f t="shared" si="6"/>
        <v>44899</v>
      </c>
      <c r="C339" s="23">
        <v>13.0</v>
      </c>
      <c r="D339" s="23" t="s">
        <v>25</v>
      </c>
      <c r="E339" s="63" t="s">
        <v>26</v>
      </c>
      <c r="F339" s="26"/>
      <c r="H339" s="27"/>
      <c r="J339" s="27"/>
      <c r="L339" s="27"/>
      <c r="N339" s="27"/>
      <c r="P339" s="27"/>
      <c r="Q339" s="29"/>
      <c r="R339" s="26"/>
      <c r="T339" s="27"/>
      <c r="V339" s="27"/>
      <c r="X339" s="27"/>
      <c r="Z339" s="27"/>
      <c r="AB339" s="27"/>
      <c r="AC339" s="29"/>
      <c r="AD339" s="26"/>
      <c r="AF339" s="27"/>
      <c r="AH339" s="27"/>
      <c r="AJ339" s="27"/>
      <c r="AL339" s="27"/>
      <c r="AN339" s="27"/>
      <c r="AO339" s="29"/>
      <c r="AP339" s="35">
        <f t="shared" si="1"/>
        <v>0</v>
      </c>
      <c r="AQ339" s="23">
        <f t="shared" si="2"/>
        <v>0</v>
      </c>
      <c r="AR339" s="23">
        <f t="shared" si="3"/>
        <v>0</v>
      </c>
      <c r="AS339" s="23">
        <f t="shared" si="4"/>
        <v>0</v>
      </c>
      <c r="AT339" s="36" t="str">
        <f t="shared" si="5"/>
        <v/>
      </c>
      <c r="AU339" s="37"/>
      <c r="AV339" s="37"/>
      <c r="AW339" s="37"/>
    </row>
    <row r="340" ht="15.75" customHeight="1">
      <c r="A340" s="39" t="s">
        <v>27</v>
      </c>
      <c r="B340" s="40">
        <f t="shared" si="6"/>
        <v>44900</v>
      </c>
      <c r="C340" s="41">
        <v>13.0</v>
      </c>
      <c r="D340" s="41" t="s">
        <v>25</v>
      </c>
      <c r="E340" s="43" t="s">
        <v>26</v>
      </c>
      <c r="F340" s="26"/>
      <c r="H340" s="27"/>
      <c r="J340" s="27"/>
      <c r="L340" s="27"/>
      <c r="N340" s="27"/>
      <c r="P340" s="27"/>
      <c r="Q340" s="29"/>
      <c r="R340" s="26"/>
      <c r="T340" s="27"/>
      <c r="V340" s="27"/>
      <c r="X340" s="27"/>
      <c r="Z340" s="27"/>
      <c r="AB340" s="27"/>
      <c r="AC340" s="29"/>
      <c r="AD340" s="26"/>
      <c r="AF340" s="27"/>
      <c r="AH340" s="27"/>
      <c r="AJ340" s="27"/>
      <c r="AL340" s="27"/>
      <c r="AN340" s="27"/>
      <c r="AO340" s="29"/>
      <c r="AP340" s="45">
        <f t="shared" si="1"/>
        <v>0</v>
      </c>
      <c r="AQ340" s="41">
        <f t="shared" si="2"/>
        <v>0</v>
      </c>
      <c r="AR340" s="41">
        <f t="shared" si="3"/>
        <v>0</v>
      </c>
      <c r="AS340" s="41">
        <f t="shared" si="4"/>
        <v>0</v>
      </c>
      <c r="AT340" s="46" t="str">
        <f t="shared" si="5"/>
        <v/>
      </c>
      <c r="AU340" s="37"/>
      <c r="AV340" s="37"/>
      <c r="AW340" s="37"/>
    </row>
    <row r="341" ht="15.75" customHeight="1">
      <c r="A341" s="39" t="s">
        <v>28</v>
      </c>
      <c r="B341" s="40">
        <f t="shared" si="6"/>
        <v>44901</v>
      </c>
      <c r="C341" s="41">
        <v>13.0</v>
      </c>
      <c r="D341" s="41" t="s">
        <v>25</v>
      </c>
      <c r="E341" s="43" t="s">
        <v>26</v>
      </c>
      <c r="F341" s="26"/>
      <c r="H341" s="27"/>
      <c r="J341" s="27"/>
      <c r="L341" s="27"/>
      <c r="N341" s="27"/>
      <c r="P341" s="27"/>
      <c r="Q341" s="29"/>
      <c r="R341" s="26"/>
      <c r="T341" s="27"/>
      <c r="V341" s="27"/>
      <c r="X341" s="27"/>
      <c r="Z341" s="27"/>
      <c r="AB341" s="27"/>
      <c r="AC341" s="29"/>
      <c r="AD341" s="26"/>
      <c r="AF341" s="27"/>
      <c r="AH341" s="27"/>
      <c r="AJ341" s="27"/>
      <c r="AL341" s="27"/>
      <c r="AN341" s="27"/>
      <c r="AO341" s="29"/>
      <c r="AP341" s="45">
        <f t="shared" si="1"/>
        <v>0</v>
      </c>
      <c r="AQ341" s="41">
        <f t="shared" si="2"/>
        <v>0</v>
      </c>
      <c r="AR341" s="41">
        <f t="shared" si="3"/>
        <v>0</v>
      </c>
      <c r="AS341" s="41">
        <f t="shared" si="4"/>
        <v>0</v>
      </c>
      <c r="AT341" s="46" t="str">
        <f t="shared" si="5"/>
        <v/>
      </c>
      <c r="AU341" s="37"/>
      <c r="AV341" s="37"/>
      <c r="AW341" s="37"/>
    </row>
    <row r="342" ht="15.75" customHeight="1">
      <c r="A342" s="39" t="s">
        <v>29</v>
      </c>
      <c r="B342" s="40">
        <f t="shared" si="6"/>
        <v>44902</v>
      </c>
      <c r="C342" s="41">
        <v>13.0</v>
      </c>
      <c r="D342" s="41" t="s">
        <v>25</v>
      </c>
      <c r="E342" s="43" t="s">
        <v>26</v>
      </c>
      <c r="F342" s="26"/>
      <c r="H342" s="27"/>
      <c r="J342" s="27"/>
      <c r="L342" s="27"/>
      <c r="N342" s="27"/>
      <c r="P342" s="27"/>
      <c r="Q342" s="29"/>
      <c r="R342" s="26"/>
      <c r="T342" s="27"/>
      <c r="V342" s="27"/>
      <c r="X342" s="27"/>
      <c r="Z342" s="27"/>
      <c r="AB342" s="27"/>
      <c r="AC342" s="29"/>
      <c r="AD342" s="26"/>
      <c r="AF342" s="27"/>
      <c r="AH342" s="27"/>
      <c r="AJ342" s="27"/>
      <c r="AL342" s="27"/>
      <c r="AN342" s="27"/>
      <c r="AO342" s="29"/>
      <c r="AP342" s="45">
        <f t="shared" si="1"/>
        <v>0</v>
      </c>
      <c r="AQ342" s="41">
        <f t="shared" si="2"/>
        <v>0</v>
      </c>
      <c r="AR342" s="41">
        <f t="shared" si="3"/>
        <v>0</v>
      </c>
      <c r="AS342" s="41">
        <f t="shared" si="4"/>
        <v>0</v>
      </c>
      <c r="AT342" s="46" t="str">
        <f t="shared" si="5"/>
        <v/>
      </c>
      <c r="AU342" s="37"/>
      <c r="AV342" s="37"/>
      <c r="AW342" s="37"/>
    </row>
    <row r="343" ht="15.75" customHeight="1">
      <c r="A343" s="39" t="s">
        <v>30</v>
      </c>
      <c r="B343" s="40">
        <f t="shared" si="6"/>
        <v>44903</v>
      </c>
      <c r="C343" s="41">
        <v>13.0</v>
      </c>
      <c r="D343" s="41" t="s">
        <v>25</v>
      </c>
      <c r="E343" s="43" t="s">
        <v>26</v>
      </c>
      <c r="F343" s="26"/>
      <c r="H343" s="27"/>
      <c r="J343" s="27"/>
      <c r="L343" s="27"/>
      <c r="N343" s="27"/>
      <c r="P343" s="27"/>
      <c r="Q343" s="29"/>
      <c r="R343" s="26"/>
      <c r="T343" s="27"/>
      <c r="V343" s="27"/>
      <c r="X343" s="27"/>
      <c r="Z343" s="27"/>
      <c r="AB343" s="27"/>
      <c r="AC343" s="29"/>
      <c r="AD343" s="26"/>
      <c r="AF343" s="27"/>
      <c r="AH343" s="27"/>
      <c r="AJ343" s="27"/>
      <c r="AL343" s="27"/>
      <c r="AN343" s="27"/>
      <c r="AO343" s="29"/>
      <c r="AP343" s="45">
        <f t="shared" si="1"/>
        <v>0</v>
      </c>
      <c r="AQ343" s="41">
        <f t="shared" si="2"/>
        <v>0</v>
      </c>
      <c r="AR343" s="41">
        <f t="shared" si="3"/>
        <v>0</v>
      </c>
      <c r="AS343" s="41">
        <f t="shared" si="4"/>
        <v>0</v>
      </c>
      <c r="AT343" s="46" t="str">
        <f t="shared" si="5"/>
        <v/>
      </c>
      <c r="AU343" s="37"/>
      <c r="AV343" s="37"/>
      <c r="AW343" s="37"/>
    </row>
    <row r="344" ht="15.75" customHeight="1">
      <c r="A344" s="39" t="s">
        <v>31</v>
      </c>
      <c r="B344" s="40">
        <f t="shared" si="6"/>
        <v>44904</v>
      </c>
      <c r="C344" s="41">
        <v>13.0</v>
      </c>
      <c r="D344" s="41" t="s">
        <v>25</v>
      </c>
      <c r="E344" s="43" t="s">
        <v>26</v>
      </c>
      <c r="F344" s="26"/>
      <c r="H344" s="27"/>
      <c r="J344" s="27"/>
      <c r="L344" s="27"/>
      <c r="N344" s="27"/>
      <c r="P344" s="27"/>
      <c r="Q344" s="29"/>
      <c r="R344" s="26"/>
      <c r="T344" s="27"/>
      <c r="V344" s="27"/>
      <c r="X344" s="27"/>
      <c r="Z344" s="27"/>
      <c r="AB344" s="27"/>
      <c r="AC344" s="29"/>
      <c r="AD344" s="26"/>
      <c r="AF344" s="27"/>
      <c r="AH344" s="27"/>
      <c r="AJ344" s="27"/>
      <c r="AL344" s="27"/>
      <c r="AN344" s="27"/>
      <c r="AO344" s="29"/>
      <c r="AP344" s="45">
        <f t="shared" si="1"/>
        <v>0</v>
      </c>
      <c r="AQ344" s="41">
        <f t="shared" si="2"/>
        <v>0</v>
      </c>
      <c r="AR344" s="41">
        <f t="shared" si="3"/>
        <v>0</v>
      </c>
      <c r="AS344" s="41">
        <f t="shared" si="4"/>
        <v>0</v>
      </c>
      <c r="AT344" s="46" t="str">
        <f t="shared" si="5"/>
        <v/>
      </c>
      <c r="AU344" s="37"/>
      <c r="AV344" s="37"/>
      <c r="AW344" s="37"/>
    </row>
    <row r="345" ht="15.75" customHeight="1">
      <c r="A345" s="49" t="s">
        <v>32</v>
      </c>
      <c r="B345" s="50">
        <f t="shared" si="6"/>
        <v>44905</v>
      </c>
      <c r="C345" s="51">
        <v>13.0</v>
      </c>
      <c r="D345" s="51" t="s">
        <v>25</v>
      </c>
      <c r="E345" s="53" t="s">
        <v>26</v>
      </c>
      <c r="F345" s="54"/>
      <c r="G345" s="55"/>
      <c r="H345" s="56"/>
      <c r="I345" s="55"/>
      <c r="J345" s="56"/>
      <c r="K345" s="55"/>
      <c r="L345" s="56"/>
      <c r="M345" s="55"/>
      <c r="N345" s="56"/>
      <c r="O345" s="55"/>
      <c r="P345" s="56"/>
      <c r="Q345" s="58"/>
      <c r="R345" s="54"/>
      <c r="S345" s="55"/>
      <c r="T345" s="56"/>
      <c r="U345" s="55"/>
      <c r="V345" s="56"/>
      <c r="W345" s="55"/>
      <c r="X345" s="56"/>
      <c r="Y345" s="55"/>
      <c r="Z345" s="56"/>
      <c r="AA345" s="55"/>
      <c r="AB345" s="56"/>
      <c r="AC345" s="58"/>
      <c r="AD345" s="54"/>
      <c r="AE345" s="55"/>
      <c r="AF345" s="56"/>
      <c r="AG345" s="55"/>
      <c r="AH345" s="56"/>
      <c r="AI345" s="55"/>
      <c r="AJ345" s="56"/>
      <c r="AK345" s="55"/>
      <c r="AL345" s="56"/>
      <c r="AM345" s="55"/>
      <c r="AN345" s="56"/>
      <c r="AO345" s="58"/>
      <c r="AP345" s="60">
        <f t="shared" si="1"/>
        <v>0</v>
      </c>
      <c r="AQ345" s="51">
        <f t="shared" si="2"/>
        <v>0</v>
      </c>
      <c r="AR345" s="51">
        <f t="shared" si="3"/>
        <v>0</v>
      </c>
      <c r="AS345" s="51">
        <f t="shared" si="4"/>
        <v>0</v>
      </c>
      <c r="AT345" s="61" t="str">
        <f t="shared" si="5"/>
        <v/>
      </c>
      <c r="AU345" s="37"/>
      <c r="AV345" s="37"/>
      <c r="AW345" s="37"/>
    </row>
    <row r="346" ht="15.75" customHeight="1">
      <c r="A346" s="21" t="s">
        <v>24</v>
      </c>
      <c r="B346" s="62">
        <f t="shared" si="6"/>
        <v>44906</v>
      </c>
      <c r="C346" s="23">
        <v>13.0</v>
      </c>
      <c r="D346" s="23" t="s">
        <v>33</v>
      </c>
      <c r="E346" s="63" t="s">
        <v>26</v>
      </c>
      <c r="F346" s="26"/>
      <c r="H346" s="27"/>
      <c r="J346" s="27"/>
      <c r="L346" s="27"/>
      <c r="N346" s="27"/>
      <c r="P346" s="27"/>
      <c r="Q346" s="29"/>
      <c r="R346" s="26"/>
      <c r="T346" s="27"/>
      <c r="V346" s="27"/>
      <c r="X346" s="27"/>
      <c r="Z346" s="27"/>
      <c r="AB346" s="27"/>
      <c r="AC346" s="29"/>
      <c r="AD346" s="26"/>
      <c r="AF346" s="27"/>
      <c r="AH346" s="27"/>
      <c r="AJ346" s="27"/>
      <c r="AL346" s="27"/>
      <c r="AN346" s="27"/>
      <c r="AO346" s="29"/>
      <c r="AP346" s="35">
        <f t="shared" si="1"/>
        <v>0</v>
      </c>
      <c r="AQ346" s="23">
        <f t="shared" si="2"/>
        <v>0</v>
      </c>
      <c r="AR346" s="23">
        <f t="shared" si="3"/>
        <v>0</v>
      </c>
      <c r="AS346" s="23">
        <f t="shared" si="4"/>
        <v>0</v>
      </c>
      <c r="AT346" s="36" t="str">
        <f t="shared" si="5"/>
        <v/>
      </c>
      <c r="AU346" s="37"/>
      <c r="AV346" s="37"/>
      <c r="AW346" s="37"/>
    </row>
    <row r="347" ht="15.75" customHeight="1">
      <c r="A347" s="39" t="s">
        <v>27</v>
      </c>
      <c r="B347" s="40">
        <f t="shared" si="6"/>
        <v>44907</v>
      </c>
      <c r="C347" s="41">
        <v>13.0</v>
      </c>
      <c r="D347" s="41" t="s">
        <v>33</v>
      </c>
      <c r="E347" s="43" t="s">
        <v>26</v>
      </c>
      <c r="F347" s="26"/>
      <c r="H347" s="27"/>
      <c r="J347" s="27"/>
      <c r="L347" s="27"/>
      <c r="N347" s="27"/>
      <c r="P347" s="27"/>
      <c r="Q347" s="29"/>
      <c r="R347" s="26"/>
      <c r="T347" s="27"/>
      <c r="V347" s="27"/>
      <c r="X347" s="27"/>
      <c r="Z347" s="27"/>
      <c r="AB347" s="27"/>
      <c r="AC347" s="29"/>
      <c r="AD347" s="26"/>
      <c r="AF347" s="27"/>
      <c r="AH347" s="27"/>
      <c r="AJ347" s="27"/>
      <c r="AL347" s="27"/>
      <c r="AN347" s="27"/>
      <c r="AO347" s="29"/>
      <c r="AP347" s="45">
        <f t="shared" si="1"/>
        <v>0</v>
      </c>
      <c r="AQ347" s="41">
        <f t="shared" si="2"/>
        <v>0</v>
      </c>
      <c r="AR347" s="41">
        <f t="shared" si="3"/>
        <v>0</v>
      </c>
      <c r="AS347" s="41">
        <f t="shared" si="4"/>
        <v>0</v>
      </c>
      <c r="AT347" s="46" t="str">
        <f t="shared" si="5"/>
        <v/>
      </c>
      <c r="AU347" s="37"/>
      <c r="AV347" s="37"/>
      <c r="AW347" s="37"/>
    </row>
    <row r="348" ht="15.75" customHeight="1">
      <c r="A348" s="39" t="s">
        <v>28</v>
      </c>
      <c r="B348" s="40">
        <f t="shared" si="6"/>
        <v>44908</v>
      </c>
      <c r="C348" s="41">
        <v>13.0</v>
      </c>
      <c r="D348" s="41" t="s">
        <v>33</v>
      </c>
      <c r="E348" s="43" t="s">
        <v>26</v>
      </c>
      <c r="F348" s="26"/>
      <c r="H348" s="27"/>
      <c r="J348" s="27"/>
      <c r="L348" s="27"/>
      <c r="N348" s="27"/>
      <c r="P348" s="27"/>
      <c r="Q348" s="29"/>
      <c r="R348" s="26"/>
      <c r="T348" s="27"/>
      <c r="V348" s="27"/>
      <c r="X348" s="27"/>
      <c r="Z348" s="27"/>
      <c r="AB348" s="27"/>
      <c r="AC348" s="29"/>
      <c r="AD348" s="26"/>
      <c r="AF348" s="27"/>
      <c r="AH348" s="27"/>
      <c r="AJ348" s="27"/>
      <c r="AL348" s="27"/>
      <c r="AN348" s="27"/>
      <c r="AO348" s="29"/>
      <c r="AP348" s="45">
        <f t="shared" si="1"/>
        <v>0</v>
      </c>
      <c r="AQ348" s="41">
        <f t="shared" si="2"/>
        <v>0</v>
      </c>
      <c r="AR348" s="41">
        <f t="shared" si="3"/>
        <v>0</v>
      </c>
      <c r="AS348" s="41">
        <f t="shared" si="4"/>
        <v>0</v>
      </c>
      <c r="AT348" s="46" t="str">
        <f t="shared" si="5"/>
        <v/>
      </c>
      <c r="AU348" s="37"/>
      <c r="AV348" s="37"/>
      <c r="AW348" s="37"/>
    </row>
    <row r="349" ht="15.75" customHeight="1">
      <c r="A349" s="39" t="s">
        <v>29</v>
      </c>
      <c r="B349" s="40">
        <f t="shared" si="6"/>
        <v>44909</v>
      </c>
      <c r="C349" s="41">
        <v>13.0</v>
      </c>
      <c r="D349" s="41" t="s">
        <v>33</v>
      </c>
      <c r="E349" s="43" t="s">
        <v>26</v>
      </c>
      <c r="F349" s="26"/>
      <c r="H349" s="27"/>
      <c r="J349" s="27"/>
      <c r="L349" s="27"/>
      <c r="N349" s="27"/>
      <c r="P349" s="27"/>
      <c r="Q349" s="29"/>
      <c r="R349" s="26"/>
      <c r="T349" s="27"/>
      <c r="V349" s="27"/>
      <c r="X349" s="27"/>
      <c r="Z349" s="27"/>
      <c r="AB349" s="27"/>
      <c r="AC349" s="29"/>
      <c r="AD349" s="26"/>
      <c r="AF349" s="27"/>
      <c r="AH349" s="27"/>
      <c r="AJ349" s="27"/>
      <c r="AL349" s="27"/>
      <c r="AN349" s="27"/>
      <c r="AO349" s="29"/>
      <c r="AP349" s="45">
        <f t="shared" si="1"/>
        <v>0</v>
      </c>
      <c r="AQ349" s="41">
        <f t="shared" si="2"/>
        <v>0</v>
      </c>
      <c r="AR349" s="41">
        <f t="shared" si="3"/>
        <v>0</v>
      </c>
      <c r="AS349" s="41">
        <f t="shared" si="4"/>
        <v>0</v>
      </c>
      <c r="AT349" s="46" t="str">
        <f t="shared" si="5"/>
        <v/>
      </c>
      <c r="AU349" s="37"/>
      <c r="AV349" s="37"/>
      <c r="AW349" s="37"/>
    </row>
    <row r="350" ht="15.75" customHeight="1">
      <c r="A350" s="39" t="s">
        <v>30</v>
      </c>
      <c r="B350" s="40">
        <f t="shared" si="6"/>
        <v>44910</v>
      </c>
      <c r="C350" s="41">
        <v>13.0</v>
      </c>
      <c r="D350" s="41" t="s">
        <v>33</v>
      </c>
      <c r="E350" s="43" t="s">
        <v>26</v>
      </c>
      <c r="F350" s="26"/>
      <c r="H350" s="27"/>
      <c r="J350" s="27"/>
      <c r="L350" s="27"/>
      <c r="N350" s="27"/>
      <c r="P350" s="27"/>
      <c r="Q350" s="29"/>
      <c r="R350" s="26"/>
      <c r="T350" s="27"/>
      <c r="V350" s="27"/>
      <c r="X350" s="27"/>
      <c r="Z350" s="27"/>
      <c r="AB350" s="27"/>
      <c r="AC350" s="29"/>
      <c r="AD350" s="26"/>
      <c r="AF350" s="27"/>
      <c r="AH350" s="27"/>
      <c r="AJ350" s="27"/>
      <c r="AL350" s="27"/>
      <c r="AN350" s="27"/>
      <c r="AO350" s="29"/>
      <c r="AP350" s="45">
        <f t="shared" si="1"/>
        <v>0</v>
      </c>
      <c r="AQ350" s="41">
        <f t="shared" si="2"/>
        <v>0</v>
      </c>
      <c r="AR350" s="41">
        <f t="shared" si="3"/>
        <v>0</v>
      </c>
      <c r="AS350" s="41">
        <f t="shared" si="4"/>
        <v>0</v>
      </c>
      <c r="AT350" s="46" t="str">
        <f t="shared" si="5"/>
        <v/>
      </c>
      <c r="AU350" s="37"/>
      <c r="AV350" s="37"/>
      <c r="AW350" s="37"/>
    </row>
    <row r="351" ht="15.75" customHeight="1">
      <c r="A351" s="39" t="s">
        <v>31</v>
      </c>
      <c r="B351" s="40">
        <f t="shared" si="6"/>
        <v>44911</v>
      </c>
      <c r="C351" s="41">
        <v>13.0</v>
      </c>
      <c r="D351" s="41" t="s">
        <v>33</v>
      </c>
      <c r="E351" s="43" t="s">
        <v>26</v>
      </c>
      <c r="F351" s="26"/>
      <c r="H351" s="27"/>
      <c r="J351" s="27"/>
      <c r="L351" s="27"/>
      <c r="N351" s="27"/>
      <c r="P351" s="27"/>
      <c r="Q351" s="29"/>
      <c r="R351" s="26"/>
      <c r="T351" s="27"/>
      <c r="V351" s="27"/>
      <c r="X351" s="27"/>
      <c r="Z351" s="27"/>
      <c r="AB351" s="27"/>
      <c r="AC351" s="29"/>
      <c r="AD351" s="26"/>
      <c r="AF351" s="27"/>
      <c r="AH351" s="27"/>
      <c r="AJ351" s="27"/>
      <c r="AL351" s="27"/>
      <c r="AN351" s="27"/>
      <c r="AO351" s="29"/>
      <c r="AP351" s="45">
        <f t="shared" si="1"/>
        <v>0</v>
      </c>
      <c r="AQ351" s="41">
        <f t="shared" si="2"/>
        <v>0</v>
      </c>
      <c r="AR351" s="41">
        <f t="shared" si="3"/>
        <v>0</v>
      </c>
      <c r="AS351" s="41">
        <f t="shared" si="4"/>
        <v>0</v>
      </c>
      <c r="AT351" s="46" t="str">
        <f t="shared" si="5"/>
        <v/>
      </c>
      <c r="AU351" s="37"/>
      <c r="AV351" s="37"/>
      <c r="AW351" s="37"/>
    </row>
    <row r="352" ht="15.75" customHeight="1">
      <c r="A352" s="49" t="s">
        <v>32</v>
      </c>
      <c r="B352" s="50">
        <f t="shared" si="6"/>
        <v>44912</v>
      </c>
      <c r="C352" s="51">
        <v>13.0</v>
      </c>
      <c r="D352" s="51" t="s">
        <v>33</v>
      </c>
      <c r="E352" s="53" t="s">
        <v>26</v>
      </c>
      <c r="F352" s="54"/>
      <c r="G352" s="55"/>
      <c r="H352" s="56"/>
      <c r="I352" s="55"/>
      <c r="J352" s="56"/>
      <c r="K352" s="55"/>
      <c r="L352" s="56"/>
      <c r="M352" s="55"/>
      <c r="N352" s="56"/>
      <c r="O352" s="55"/>
      <c r="P352" s="56"/>
      <c r="Q352" s="58"/>
      <c r="R352" s="54"/>
      <c r="S352" s="55"/>
      <c r="T352" s="56"/>
      <c r="U352" s="55"/>
      <c r="V352" s="56"/>
      <c r="W352" s="55"/>
      <c r="X352" s="56"/>
      <c r="Y352" s="55"/>
      <c r="Z352" s="56"/>
      <c r="AA352" s="55"/>
      <c r="AB352" s="56"/>
      <c r="AC352" s="58"/>
      <c r="AD352" s="54"/>
      <c r="AE352" s="55"/>
      <c r="AF352" s="56"/>
      <c r="AG352" s="55"/>
      <c r="AH352" s="56"/>
      <c r="AI352" s="55"/>
      <c r="AJ352" s="56"/>
      <c r="AK352" s="55"/>
      <c r="AL352" s="56"/>
      <c r="AM352" s="55"/>
      <c r="AN352" s="56"/>
      <c r="AO352" s="58"/>
      <c r="AP352" s="60">
        <f t="shared" si="1"/>
        <v>0</v>
      </c>
      <c r="AQ352" s="51">
        <f t="shared" si="2"/>
        <v>0</v>
      </c>
      <c r="AR352" s="51">
        <f t="shared" si="3"/>
        <v>0</v>
      </c>
      <c r="AS352" s="51">
        <f t="shared" si="4"/>
        <v>0</v>
      </c>
      <c r="AT352" s="61" t="str">
        <f t="shared" si="5"/>
        <v/>
      </c>
      <c r="AU352" s="37"/>
      <c r="AV352" s="37"/>
      <c r="AW352" s="37"/>
    </row>
    <row r="353" ht="15.75" customHeight="1">
      <c r="A353" s="21" t="s">
        <v>24</v>
      </c>
      <c r="B353" s="62">
        <f t="shared" si="6"/>
        <v>44913</v>
      </c>
      <c r="C353" s="23">
        <v>13.0</v>
      </c>
      <c r="D353" s="23" t="s">
        <v>34</v>
      </c>
      <c r="E353" s="63" t="s">
        <v>43</v>
      </c>
      <c r="F353" s="26"/>
      <c r="H353" s="27"/>
      <c r="J353" s="27"/>
      <c r="L353" s="27"/>
      <c r="N353" s="27"/>
      <c r="P353" s="27"/>
      <c r="Q353" s="29"/>
      <c r="R353" s="26"/>
      <c r="T353" s="27"/>
      <c r="V353" s="27"/>
      <c r="X353" s="27"/>
      <c r="Z353" s="27"/>
      <c r="AB353" s="27"/>
      <c r="AC353" s="29"/>
      <c r="AD353" s="26"/>
      <c r="AF353" s="27"/>
      <c r="AH353" s="27"/>
      <c r="AJ353" s="27"/>
      <c r="AL353" s="27"/>
      <c r="AN353" s="27"/>
      <c r="AO353" s="29"/>
      <c r="AP353" s="35">
        <f t="shared" si="1"/>
        <v>0</v>
      </c>
      <c r="AQ353" s="23">
        <f t="shared" si="2"/>
        <v>0</v>
      </c>
      <c r="AR353" s="23">
        <f t="shared" si="3"/>
        <v>0</v>
      </c>
      <c r="AS353" s="23">
        <f t="shared" si="4"/>
        <v>0</v>
      </c>
      <c r="AT353" s="36" t="str">
        <f t="shared" si="5"/>
        <v/>
      </c>
      <c r="AU353" s="37"/>
      <c r="AV353" s="37"/>
      <c r="AW353" s="37"/>
    </row>
    <row r="354" ht="15.75" customHeight="1">
      <c r="A354" s="39" t="s">
        <v>27</v>
      </c>
      <c r="B354" s="40">
        <f t="shared" si="6"/>
        <v>44914</v>
      </c>
      <c r="C354" s="41">
        <v>13.0</v>
      </c>
      <c r="D354" s="41" t="s">
        <v>34</v>
      </c>
      <c r="E354" s="43" t="s">
        <v>43</v>
      </c>
      <c r="F354" s="26"/>
      <c r="H354" s="27"/>
      <c r="J354" s="27"/>
      <c r="L354" s="27"/>
      <c r="N354" s="27"/>
      <c r="P354" s="27"/>
      <c r="Q354" s="29"/>
      <c r="R354" s="26"/>
      <c r="T354" s="27"/>
      <c r="V354" s="27"/>
      <c r="X354" s="27"/>
      <c r="Z354" s="27"/>
      <c r="AB354" s="27"/>
      <c r="AC354" s="29"/>
      <c r="AD354" s="26"/>
      <c r="AF354" s="27"/>
      <c r="AH354" s="27"/>
      <c r="AJ354" s="27"/>
      <c r="AL354" s="27"/>
      <c r="AN354" s="27"/>
      <c r="AO354" s="29"/>
      <c r="AP354" s="45">
        <f t="shared" si="1"/>
        <v>0</v>
      </c>
      <c r="AQ354" s="41">
        <f t="shared" si="2"/>
        <v>0</v>
      </c>
      <c r="AR354" s="41">
        <f t="shared" si="3"/>
        <v>0</v>
      </c>
      <c r="AS354" s="41">
        <f t="shared" si="4"/>
        <v>0</v>
      </c>
      <c r="AT354" s="46" t="str">
        <f t="shared" si="5"/>
        <v/>
      </c>
      <c r="AU354" s="37"/>
      <c r="AV354" s="37"/>
      <c r="AW354" s="37"/>
    </row>
    <row r="355" ht="15.75" customHeight="1">
      <c r="A355" s="39" t="s">
        <v>28</v>
      </c>
      <c r="B355" s="40">
        <f t="shared" si="6"/>
        <v>44915</v>
      </c>
      <c r="C355" s="41">
        <v>13.0</v>
      </c>
      <c r="D355" s="41" t="s">
        <v>34</v>
      </c>
      <c r="E355" s="43" t="s">
        <v>43</v>
      </c>
      <c r="F355" s="26"/>
      <c r="H355" s="27"/>
      <c r="J355" s="27"/>
      <c r="L355" s="27"/>
      <c r="N355" s="27"/>
      <c r="P355" s="27"/>
      <c r="Q355" s="29"/>
      <c r="R355" s="26"/>
      <c r="T355" s="27"/>
      <c r="V355" s="27"/>
      <c r="X355" s="27"/>
      <c r="Z355" s="27"/>
      <c r="AB355" s="27"/>
      <c r="AC355" s="29"/>
      <c r="AD355" s="26"/>
      <c r="AF355" s="27"/>
      <c r="AH355" s="27"/>
      <c r="AJ355" s="27"/>
      <c r="AL355" s="27"/>
      <c r="AN355" s="27"/>
      <c r="AO355" s="29"/>
      <c r="AP355" s="45">
        <f t="shared" si="1"/>
        <v>0</v>
      </c>
      <c r="AQ355" s="41">
        <f t="shared" si="2"/>
        <v>0</v>
      </c>
      <c r="AR355" s="41">
        <f t="shared" si="3"/>
        <v>0</v>
      </c>
      <c r="AS355" s="41">
        <f t="shared" si="4"/>
        <v>0</v>
      </c>
      <c r="AT355" s="46" t="str">
        <f t="shared" si="5"/>
        <v/>
      </c>
      <c r="AU355" s="37"/>
      <c r="AV355" s="37"/>
      <c r="AW355" s="37"/>
    </row>
    <row r="356" ht="15.75" customHeight="1">
      <c r="A356" s="39" t="s">
        <v>29</v>
      </c>
      <c r="B356" s="40">
        <f t="shared" si="6"/>
        <v>44916</v>
      </c>
      <c r="C356" s="41">
        <v>13.0</v>
      </c>
      <c r="D356" s="41" t="s">
        <v>34</v>
      </c>
      <c r="E356" s="43" t="s">
        <v>43</v>
      </c>
      <c r="F356" s="26"/>
      <c r="H356" s="27"/>
      <c r="J356" s="27"/>
      <c r="L356" s="27"/>
      <c r="N356" s="27"/>
      <c r="P356" s="27"/>
      <c r="Q356" s="29"/>
      <c r="R356" s="26"/>
      <c r="T356" s="27"/>
      <c r="V356" s="27"/>
      <c r="X356" s="27"/>
      <c r="Z356" s="27"/>
      <c r="AB356" s="27"/>
      <c r="AC356" s="29"/>
      <c r="AD356" s="26"/>
      <c r="AF356" s="27"/>
      <c r="AH356" s="27"/>
      <c r="AJ356" s="27"/>
      <c r="AL356" s="27"/>
      <c r="AN356" s="27"/>
      <c r="AO356" s="29"/>
      <c r="AP356" s="45">
        <f t="shared" si="1"/>
        <v>0</v>
      </c>
      <c r="AQ356" s="41">
        <f t="shared" si="2"/>
        <v>0</v>
      </c>
      <c r="AR356" s="41">
        <f t="shared" si="3"/>
        <v>0</v>
      </c>
      <c r="AS356" s="41">
        <f t="shared" si="4"/>
        <v>0</v>
      </c>
      <c r="AT356" s="46" t="str">
        <f t="shared" si="5"/>
        <v/>
      </c>
      <c r="AU356" s="37"/>
      <c r="AV356" s="37"/>
      <c r="AW356" s="37"/>
    </row>
    <row r="357" ht="15.75" customHeight="1">
      <c r="A357" s="39" t="s">
        <v>30</v>
      </c>
      <c r="B357" s="40">
        <f t="shared" si="6"/>
        <v>44917</v>
      </c>
      <c r="C357" s="41">
        <v>13.0</v>
      </c>
      <c r="D357" s="41" t="s">
        <v>34</v>
      </c>
      <c r="E357" s="43" t="s">
        <v>43</v>
      </c>
      <c r="F357" s="26"/>
      <c r="H357" s="27"/>
      <c r="J357" s="27"/>
      <c r="L357" s="27"/>
      <c r="N357" s="27"/>
      <c r="P357" s="27"/>
      <c r="Q357" s="29"/>
      <c r="R357" s="26"/>
      <c r="T357" s="27"/>
      <c r="V357" s="27"/>
      <c r="X357" s="27"/>
      <c r="Z357" s="27"/>
      <c r="AB357" s="27"/>
      <c r="AC357" s="29"/>
      <c r="AD357" s="26"/>
      <c r="AF357" s="27"/>
      <c r="AH357" s="27"/>
      <c r="AJ357" s="27"/>
      <c r="AL357" s="27"/>
      <c r="AN357" s="27"/>
      <c r="AO357" s="29"/>
      <c r="AP357" s="45">
        <f t="shared" si="1"/>
        <v>0</v>
      </c>
      <c r="AQ357" s="41">
        <f t="shared" si="2"/>
        <v>0</v>
      </c>
      <c r="AR357" s="41">
        <f t="shared" si="3"/>
        <v>0</v>
      </c>
      <c r="AS357" s="41">
        <f t="shared" si="4"/>
        <v>0</v>
      </c>
      <c r="AT357" s="46" t="str">
        <f t="shared" si="5"/>
        <v/>
      </c>
      <c r="AU357" s="37"/>
      <c r="AV357" s="37"/>
      <c r="AW357" s="37"/>
    </row>
    <row r="358" ht="15.75" customHeight="1">
      <c r="A358" s="39" t="s">
        <v>31</v>
      </c>
      <c r="B358" s="40">
        <f t="shared" si="6"/>
        <v>44918</v>
      </c>
      <c r="C358" s="41">
        <v>13.0</v>
      </c>
      <c r="D358" s="41" t="s">
        <v>34</v>
      </c>
      <c r="E358" s="43" t="s">
        <v>43</v>
      </c>
      <c r="F358" s="26"/>
      <c r="H358" s="27"/>
      <c r="J358" s="27"/>
      <c r="L358" s="27"/>
      <c r="N358" s="27"/>
      <c r="P358" s="27"/>
      <c r="Q358" s="29"/>
      <c r="R358" s="26"/>
      <c r="T358" s="27"/>
      <c r="V358" s="27"/>
      <c r="X358" s="27"/>
      <c r="Z358" s="27"/>
      <c r="AB358" s="27"/>
      <c r="AC358" s="29"/>
      <c r="AD358" s="26"/>
      <c r="AF358" s="27"/>
      <c r="AH358" s="27"/>
      <c r="AJ358" s="27"/>
      <c r="AL358" s="27"/>
      <c r="AN358" s="27"/>
      <c r="AO358" s="29"/>
      <c r="AP358" s="45">
        <f t="shared" si="1"/>
        <v>0</v>
      </c>
      <c r="AQ358" s="41">
        <f t="shared" si="2"/>
        <v>0</v>
      </c>
      <c r="AR358" s="41">
        <f t="shared" si="3"/>
        <v>0</v>
      </c>
      <c r="AS358" s="41">
        <f t="shared" si="4"/>
        <v>0</v>
      </c>
      <c r="AT358" s="46" t="str">
        <f t="shared" si="5"/>
        <v/>
      </c>
      <c r="AU358" s="37"/>
      <c r="AV358" s="37"/>
      <c r="AW358" s="37"/>
    </row>
    <row r="359" ht="15.75" customHeight="1">
      <c r="A359" s="49" t="s">
        <v>32</v>
      </c>
      <c r="B359" s="50">
        <f t="shared" si="6"/>
        <v>44919</v>
      </c>
      <c r="C359" s="51">
        <v>13.0</v>
      </c>
      <c r="D359" s="51" t="s">
        <v>34</v>
      </c>
      <c r="E359" s="53" t="s">
        <v>43</v>
      </c>
      <c r="F359" s="54"/>
      <c r="G359" s="55"/>
      <c r="H359" s="56"/>
      <c r="I359" s="55"/>
      <c r="J359" s="56"/>
      <c r="K359" s="55"/>
      <c r="L359" s="56"/>
      <c r="M359" s="55"/>
      <c r="N359" s="56"/>
      <c r="O359" s="55"/>
      <c r="P359" s="56"/>
      <c r="Q359" s="58"/>
      <c r="R359" s="54"/>
      <c r="S359" s="55"/>
      <c r="T359" s="56"/>
      <c r="U359" s="55"/>
      <c r="V359" s="56"/>
      <c r="W359" s="55"/>
      <c r="X359" s="56"/>
      <c r="Y359" s="55"/>
      <c r="Z359" s="56"/>
      <c r="AA359" s="55"/>
      <c r="AB359" s="56"/>
      <c r="AC359" s="58"/>
      <c r="AD359" s="54"/>
      <c r="AE359" s="55"/>
      <c r="AF359" s="56"/>
      <c r="AG359" s="55"/>
      <c r="AH359" s="56"/>
      <c r="AI359" s="55"/>
      <c r="AJ359" s="56"/>
      <c r="AK359" s="55"/>
      <c r="AL359" s="56"/>
      <c r="AM359" s="55"/>
      <c r="AN359" s="56"/>
      <c r="AO359" s="58"/>
      <c r="AP359" s="60">
        <f t="shared" si="1"/>
        <v>0</v>
      </c>
      <c r="AQ359" s="51">
        <f t="shared" si="2"/>
        <v>0</v>
      </c>
      <c r="AR359" s="51">
        <f t="shared" si="3"/>
        <v>0</v>
      </c>
      <c r="AS359" s="51">
        <f t="shared" si="4"/>
        <v>0</v>
      </c>
      <c r="AT359" s="61" t="str">
        <f t="shared" si="5"/>
        <v/>
      </c>
      <c r="AU359" s="37"/>
      <c r="AV359" s="37"/>
      <c r="AW359" s="37"/>
    </row>
    <row r="360" ht="15.75" customHeight="1">
      <c r="A360" s="72"/>
      <c r="B360" s="73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</row>
    <row r="361" ht="15.75" customHeight="1">
      <c r="A361" s="72"/>
      <c r="B361" s="73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P361" s="75" t="str">
        <f>SUM(AP3:AP359)</f>
        <v>#VALUE!</v>
      </c>
      <c r="AQ361" s="76" t="s">
        <v>44</v>
      </c>
      <c r="AR361" s="74"/>
      <c r="AS361" s="77">
        <f>SUM(AS3:AS359)</f>
        <v>59569</v>
      </c>
      <c r="AT361" s="74"/>
      <c r="AU361" s="74"/>
      <c r="AV361" s="74"/>
      <c r="AW361" s="74"/>
    </row>
    <row r="362" ht="15.75" customHeight="1">
      <c r="A362" s="72"/>
      <c r="B362" s="73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P362" s="78" t="str">
        <f>AP361/0.8</f>
        <v>#VALUE!</v>
      </c>
      <c r="AQ362" s="76" t="s">
        <v>45</v>
      </c>
      <c r="AR362" s="74"/>
      <c r="AS362" s="74"/>
      <c r="AT362" s="74"/>
      <c r="AU362" s="74"/>
      <c r="AV362" s="74"/>
      <c r="AW362" s="74"/>
    </row>
    <row r="363" ht="15.75" customHeight="1">
      <c r="A363" s="79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8"/>
      <c r="AQ363" s="74"/>
      <c r="AR363" s="74"/>
      <c r="AS363" s="74"/>
      <c r="AT363" s="74"/>
      <c r="AU363" s="74"/>
      <c r="AV363" s="74"/>
      <c r="AW363" s="74"/>
    </row>
    <row r="364" ht="15.75" customHeight="1">
      <c r="A364" s="79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81"/>
      <c r="AP364" s="79"/>
      <c r="AQ364" s="79"/>
      <c r="AR364" s="79"/>
      <c r="AS364" s="74"/>
      <c r="AT364" s="74"/>
      <c r="AU364" s="74"/>
      <c r="AV364" s="74"/>
      <c r="AW364" s="74"/>
    </row>
    <row r="365" ht="15.75" customHeight="1">
      <c r="A365" s="79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81"/>
      <c r="AP365" s="81" t="s">
        <v>46</v>
      </c>
      <c r="AQ365" s="79" t="s">
        <v>47</v>
      </c>
      <c r="AR365" s="79" t="s">
        <v>48</v>
      </c>
      <c r="AS365" s="79" t="s">
        <v>49</v>
      </c>
      <c r="AT365" s="80"/>
      <c r="AU365" s="74"/>
      <c r="AV365" s="74"/>
      <c r="AW365" s="74"/>
    </row>
    <row r="366" ht="15.75" customHeight="1">
      <c r="A366" s="79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1"/>
      <c r="W366" s="79"/>
      <c r="X366" s="79"/>
      <c r="Y366" s="79"/>
      <c r="Z366" s="80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81"/>
      <c r="AP366" s="81">
        <v>1.0</v>
      </c>
      <c r="AQ366" s="83">
        <f t="shared" ref="AQ366:AQ378" si="7">sumif($C$3:$C$359, AP366, $AP$3:$AP$359)</f>
        <v>41293</v>
      </c>
      <c r="AR366" s="81">
        <f>sum(R3:AC30)</f>
        <v>2429</v>
      </c>
      <c r="AS366" s="79">
        <v>0.0</v>
      </c>
      <c r="AT366" s="80"/>
      <c r="AU366" s="74"/>
      <c r="AV366" s="74"/>
      <c r="AW366" s="74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1"/>
      <c r="W367" s="83"/>
      <c r="X367" s="81"/>
      <c r="Y367" s="80"/>
      <c r="Z367" s="80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81"/>
      <c r="AP367" s="81">
        <v>2.0</v>
      </c>
      <c r="AQ367" s="83">
        <f t="shared" si="7"/>
        <v>198526</v>
      </c>
      <c r="AR367" s="81">
        <f>sum(R31:AC58)</f>
        <v>6808</v>
      </c>
      <c r="AS367" s="81">
        <f>sum(F31:Q58)</f>
        <v>2435</v>
      </c>
      <c r="AT367" s="80"/>
      <c r="AU367" s="74"/>
      <c r="AV367" s="74"/>
      <c r="AW367" s="74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1"/>
      <c r="W368" s="83"/>
      <c r="X368" s="81"/>
      <c r="Y368" s="81"/>
      <c r="Z368" s="80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81"/>
      <c r="AP368" s="81">
        <v>3.0</v>
      </c>
      <c r="AQ368" s="83">
        <f t="shared" si="7"/>
        <v>343757</v>
      </c>
      <c r="AR368" s="81">
        <f>sum(R59:AC86)</f>
        <v>12823</v>
      </c>
      <c r="AS368" s="81">
        <f>sum(F59:Q86)</f>
        <v>3699</v>
      </c>
      <c r="AT368" s="80"/>
      <c r="AU368" s="74"/>
      <c r="AV368" s="74"/>
      <c r="AW368" s="74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1"/>
      <c r="W369" s="83"/>
      <c r="X369" s="81"/>
      <c r="Y369" s="81"/>
      <c r="Z369" s="80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81"/>
      <c r="AP369" s="81">
        <v>4.0</v>
      </c>
      <c r="AQ369" s="83">
        <f t="shared" si="7"/>
        <v>85983</v>
      </c>
      <c r="AR369" s="81">
        <f>sum(R87:AC114)</f>
        <v>5267</v>
      </c>
      <c r="AS369" s="79">
        <v>0.0</v>
      </c>
      <c r="AT369" s="80"/>
      <c r="AU369" s="74"/>
      <c r="AV369" s="74"/>
      <c r="AW369" s="74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1"/>
      <c r="W370" s="83"/>
      <c r="X370" s="81"/>
      <c r="Y370" s="80"/>
      <c r="Z370" s="80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81"/>
      <c r="AP370" s="81">
        <v>5.0</v>
      </c>
      <c r="AQ370" s="83">
        <f t="shared" si="7"/>
        <v>64804</v>
      </c>
      <c r="AR370" s="81">
        <f>sum(R115:AC142)</f>
        <v>3812</v>
      </c>
      <c r="AS370" s="79">
        <v>0.0</v>
      </c>
      <c r="AT370" s="80"/>
      <c r="AU370" s="74"/>
      <c r="AV370" s="74"/>
      <c r="AW370" s="74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1"/>
      <c r="W371" s="83"/>
      <c r="X371" s="81"/>
      <c r="Y371" s="80"/>
      <c r="Z371" s="80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81"/>
      <c r="AP371" s="81">
        <v>6.0</v>
      </c>
      <c r="AQ371" s="83">
        <f t="shared" si="7"/>
        <v>66897</v>
      </c>
      <c r="AR371" s="81">
        <f>sum(R143:AC170)</f>
        <v>4173</v>
      </c>
      <c r="AS371" s="79">
        <v>0.0</v>
      </c>
      <c r="AT371" s="80"/>
      <c r="AU371" s="74"/>
      <c r="AV371" s="74"/>
      <c r="AW371" s="74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1"/>
      <c r="W372" s="83"/>
      <c r="X372" s="81"/>
      <c r="Y372" s="80"/>
      <c r="Z372" s="80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81"/>
      <c r="AP372" s="81">
        <v>7.0</v>
      </c>
      <c r="AQ372" s="83">
        <f t="shared" si="7"/>
        <v>55567</v>
      </c>
      <c r="AR372" s="81">
        <f>sum(R171:AC198)</f>
        <v>3517</v>
      </c>
      <c r="AS372" s="79">
        <v>0.0</v>
      </c>
      <c r="AT372" s="80"/>
      <c r="AU372" s="74"/>
      <c r="AV372" s="74"/>
      <c r="AW372" s="74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1"/>
      <c r="W373" s="83"/>
      <c r="X373" s="81"/>
      <c r="Y373" s="80"/>
      <c r="Z373" s="80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81"/>
      <c r="AP373" s="81">
        <v>8.0</v>
      </c>
      <c r="AQ373" s="83">
        <f t="shared" si="7"/>
        <v>84336</v>
      </c>
      <c r="AR373" s="81">
        <f>sum(R199:AC226)</f>
        <v>5330</v>
      </c>
      <c r="AS373" s="79">
        <v>0.0</v>
      </c>
      <c r="AT373" s="80"/>
      <c r="AU373" s="74"/>
      <c r="AV373" s="74"/>
      <c r="AW373" s="74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1"/>
      <c r="W374" s="83"/>
      <c r="X374" s="81"/>
      <c r="Y374" s="80"/>
      <c r="Z374" s="80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81"/>
      <c r="AP374" s="81">
        <v>9.0</v>
      </c>
      <c r="AQ374" s="83" t="str">
        <f t="shared" si="7"/>
        <v>#VALUE!</v>
      </c>
      <c r="AR374" s="81">
        <f>sum(R227:AC254)</f>
        <v>3119</v>
      </c>
      <c r="AS374" s="79">
        <v>0.0</v>
      </c>
      <c r="AT374" s="80"/>
      <c r="AU374" s="74"/>
      <c r="AV374" s="74"/>
      <c r="AW374" s="74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1"/>
      <c r="W375" s="83"/>
      <c r="X375" s="81"/>
      <c r="Y375" s="80"/>
      <c r="Z375" s="80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81"/>
      <c r="AP375" s="81">
        <v>10.0</v>
      </c>
      <c r="AQ375" s="83">
        <f t="shared" si="7"/>
        <v>69581</v>
      </c>
      <c r="AR375" s="81">
        <f>sum(R255:AC282)</f>
        <v>4093</v>
      </c>
      <c r="AS375" s="79">
        <v>0.0</v>
      </c>
      <c r="AT375" s="80"/>
      <c r="AU375" s="74"/>
      <c r="AV375" s="74"/>
      <c r="AW375" s="74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1"/>
      <c r="W376" s="83"/>
      <c r="X376" s="81"/>
      <c r="Y376" s="80"/>
      <c r="Z376" s="80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81"/>
      <c r="AP376" s="81">
        <v>11.0</v>
      </c>
      <c r="AQ376" s="83">
        <f t="shared" si="7"/>
        <v>18632</v>
      </c>
      <c r="AR376" s="81">
        <f>sum(R283:AC310)</f>
        <v>1096</v>
      </c>
      <c r="AS376" s="79">
        <v>0.0</v>
      </c>
      <c r="AT376" s="80"/>
      <c r="AU376" s="74"/>
      <c r="AV376" s="74"/>
      <c r="AW376" s="74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1"/>
      <c r="W377" s="83"/>
      <c r="X377" s="81"/>
      <c r="Y377" s="80"/>
      <c r="Z377" s="80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81"/>
      <c r="AP377" s="81">
        <v>12.0</v>
      </c>
      <c r="AQ377" s="83">
        <f t="shared" si="7"/>
        <v>16456</v>
      </c>
      <c r="AR377" s="81">
        <f>sum(R311:AC338)</f>
        <v>968</v>
      </c>
      <c r="AS377" s="79">
        <v>0.0</v>
      </c>
      <c r="AT377" s="80"/>
      <c r="AU377" s="74"/>
      <c r="AV377" s="74"/>
      <c r="AW377" s="74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1"/>
      <c r="W378" s="83"/>
      <c r="X378" s="81"/>
      <c r="Y378" s="80"/>
      <c r="Z378" s="80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81">
        <v>13.0</v>
      </c>
      <c r="AQ378" s="83">
        <f t="shared" si="7"/>
        <v>0</v>
      </c>
      <c r="AR378" s="81">
        <f>sum(R339:AC359)</f>
        <v>0</v>
      </c>
      <c r="AS378" s="79">
        <v>0.0</v>
      </c>
      <c r="AT378" s="80"/>
      <c r="AU378" s="74"/>
      <c r="AV378" s="74"/>
      <c r="AW378" s="74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1"/>
      <c r="W379" s="79"/>
      <c r="X379" s="81"/>
      <c r="Y379" s="80"/>
      <c r="Z379" s="80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</row>
    <row r="380" ht="15.75" customHeight="1">
      <c r="A380" s="8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</row>
    <row r="381" ht="15.75" customHeight="1">
      <c r="A381" s="8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</row>
    <row r="382" ht="15.75" customHeight="1">
      <c r="A382" s="8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</row>
    <row r="383" ht="15.75" customHeight="1">
      <c r="A383" s="8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</row>
    <row r="384" ht="15.75" customHeight="1">
      <c r="A384" s="8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</row>
    <row r="385" ht="15.75" customHeight="1">
      <c r="A385" s="8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</row>
    <row r="386" ht="15.75" customHeight="1">
      <c r="A386" s="8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</row>
    <row r="387" ht="15.75" customHeight="1">
      <c r="A387" s="8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</row>
    <row r="388" ht="15.75" customHeight="1">
      <c r="A388" s="8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</row>
    <row r="389" ht="15.75" customHeight="1">
      <c r="A389" s="8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</row>
    <row r="390" ht="15.75" customHeight="1">
      <c r="A390" s="8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</row>
    <row r="391" ht="15.75" customHeight="1">
      <c r="A391" s="8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</row>
    <row r="392" ht="15.75" customHeight="1">
      <c r="A392" s="8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</row>
    <row r="393" ht="15.75" customHeight="1">
      <c r="A393" s="8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</row>
    <row r="394" ht="15.75" customHeight="1">
      <c r="A394" s="8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</row>
    <row r="395" ht="15.75" customHeight="1">
      <c r="A395" s="8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</row>
    <row r="396" ht="15.75" customHeight="1">
      <c r="A396" s="8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</row>
    <row r="397" ht="15.75" customHeight="1">
      <c r="A397" s="8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</row>
    <row r="398" ht="15.75" customHeight="1">
      <c r="A398" s="8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</row>
    <row r="399" ht="15.75" customHeight="1">
      <c r="A399" s="8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</row>
    <row r="400" ht="15.75" customHeight="1">
      <c r="A400" s="8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</row>
    <row r="401" ht="15.75" customHeight="1">
      <c r="A401" s="8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</row>
    <row r="402" ht="15.75" customHeight="1">
      <c r="A402" s="8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</row>
    <row r="403" ht="15.75" customHeight="1">
      <c r="A403" s="8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</row>
    <row r="404" ht="15.75" customHeight="1">
      <c r="A404" s="8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</row>
    <row r="405" ht="15.75" customHeight="1">
      <c r="A405" s="8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</row>
    <row r="406" ht="15.75" customHeight="1">
      <c r="A406" s="8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</row>
    <row r="407" ht="15.75" customHeight="1">
      <c r="A407" s="8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</row>
    <row r="408" ht="15.75" customHeight="1">
      <c r="A408" s="8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</row>
    <row r="409" ht="15.75" customHeight="1">
      <c r="A409" s="8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</row>
    <row r="410" ht="15.75" customHeight="1">
      <c r="A410" s="8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</row>
    <row r="411" ht="15.75" customHeight="1">
      <c r="A411" s="8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</row>
    <row r="412" ht="15.75" customHeight="1">
      <c r="A412" s="8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</row>
    <row r="413" ht="15.75" customHeight="1">
      <c r="A413" s="8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</row>
    <row r="414" ht="15.75" customHeight="1">
      <c r="A414" s="8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</row>
    <row r="415" ht="15.75" customHeight="1">
      <c r="A415" s="8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</row>
    <row r="416" ht="15.75" customHeight="1">
      <c r="A416" s="8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</row>
    <row r="417" ht="15.75" customHeight="1">
      <c r="A417" s="8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</row>
    <row r="418" ht="15.75" customHeight="1">
      <c r="A418" s="8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</row>
    <row r="419" ht="15.75" customHeight="1">
      <c r="A419" s="8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</row>
    <row r="420" ht="15.75" customHeight="1">
      <c r="A420" s="8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</row>
    <row r="421" ht="15.75" customHeight="1">
      <c r="A421" s="8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</row>
    <row r="422" ht="15.75" customHeight="1">
      <c r="A422" s="8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</row>
    <row r="423" ht="15.75" customHeight="1">
      <c r="A423" s="8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</row>
    <row r="424" ht="15.75" customHeight="1">
      <c r="A424" s="8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</row>
    <row r="425" ht="15.75" customHeight="1">
      <c r="A425" s="8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</row>
    <row r="426" ht="15.75" customHeight="1">
      <c r="A426" s="8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</row>
    <row r="427" ht="15.75" customHeight="1">
      <c r="A427" s="8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</row>
    <row r="428" ht="15.75" customHeight="1">
      <c r="A428" s="8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</row>
    <row r="429" ht="15.75" customHeight="1">
      <c r="A429" s="8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</row>
    <row r="430" ht="15.75" customHeight="1">
      <c r="A430" s="8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</row>
    <row r="431" ht="15.75" customHeight="1">
      <c r="A431" s="8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</row>
    <row r="432" ht="15.75" customHeight="1">
      <c r="A432" s="8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</row>
    <row r="433" ht="15.75" customHeight="1">
      <c r="A433" s="8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</row>
    <row r="434" ht="15.75" customHeight="1">
      <c r="A434" s="8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</row>
    <row r="435" ht="15.75" customHeight="1">
      <c r="A435" s="8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</row>
    <row r="436" ht="15.75" customHeight="1">
      <c r="A436" s="8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</row>
    <row r="437" ht="15.75" customHeight="1">
      <c r="A437" s="8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</row>
    <row r="438" ht="15.75" customHeight="1">
      <c r="A438" s="8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</row>
    <row r="439" ht="15.75" customHeight="1">
      <c r="A439" s="8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</row>
    <row r="440" ht="15.75" customHeight="1">
      <c r="A440" s="8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</row>
    <row r="441" ht="15.75" customHeight="1">
      <c r="A441" s="8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</row>
    <row r="442" ht="15.75" customHeight="1">
      <c r="A442" s="8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</row>
    <row r="443" ht="15.75" customHeight="1">
      <c r="A443" s="8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</row>
    <row r="444" ht="15.75" customHeight="1">
      <c r="A444" s="8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</row>
    <row r="445" ht="15.75" customHeight="1">
      <c r="A445" s="8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</row>
    <row r="446" ht="15.75" customHeight="1">
      <c r="A446" s="8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</row>
    <row r="447" ht="15.75" customHeight="1">
      <c r="A447" s="8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</row>
    <row r="448" ht="15.75" customHeight="1">
      <c r="A448" s="8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</row>
    <row r="449" ht="15.75" customHeight="1">
      <c r="A449" s="8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</row>
    <row r="450" ht="15.75" customHeight="1">
      <c r="A450" s="8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</row>
    <row r="451" ht="15.75" customHeight="1">
      <c r="A451" s="8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</row>
    <row r="452" ht="15.75" customHeight="1">
      <c r="A452" s="8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</row>
    <row r="453" ht="15.75" customHeight="1">
      <c r="A453" s="8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</row>
    <row r="454" ht="15.75" customHeight="1">
      <c r="A454" s="8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</row>
    <row r="455" ht="15.75" customHeight="1">
      <c r="A455" s="8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</row>
    <row r="456" ht="15.75" customHeight="1">
      <c r="A456" s="8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</row>
    <row r="457" ht="15.75" customHeight="1">
      <c r="A457" s="8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</row>
    <row r="458" ht="15.75" customHeight="1">
      <c r="A458" s="8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</row>
    <row r="459" ht="15.75" customHeight="1">
      <c r="A459" s="8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</row>
    <row r="460" ht="15.75" customHeight="1">
      <c r="A460" s="8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</row>
    <row r="461" ht="15.75" customHeight="1">
      <c r="A461" s="8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</row>
    <row r="462" ht="15.75" customHeight="1">
      <c r="A462" s="8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</row>
    <row r="463" ht="15.75" customHeight="1">
      <c r="A463" s="8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</row>
    <row r="464" ht="15.75" customHeight="1">
      <c r="A464" s="8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</row>
    <row r="465" ht="15.75" customHeight="1">
      <c r="A465" s="8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</row>
    <row r="466" ht="15.75" customHeight="1">
      <c r="A466" s="8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</row>
    <row r="467" ht="15.75" customHeight="1">
      <c r="A467" s="8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</row>
    <row r="468" ht="15.75" customHeight="1">
      <c r="A468" s="8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</row>
    <row r="469" ht="15.75" customHeight="1">
      <c r="A469" s="8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</row>
    <row r="470" ht="15.75" customHeight="1">
      <c r="A470" s="8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</row>
    <row r="471" ht="15.75" customHeight="1">
      <c r="A471" s="8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</row>
    <row r="472" ht="15.75" customHeight="1">
      <c r="A472" s="8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</row>
    <row r="473" ht="15.75" customHeight="1">
      <c r="A473" s="8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</row>
    <row r="474" ht="15.75" customHeight="1">
      <c r="A474" s="8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</row>
    <row r="475" ht="15.75" customHeight="1">
      <c r="A475" s="8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</row>
    <row r="476" ht="15.75" customHeight="1">
      <c r="A476" s="8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</row>
    <row r="477" ht="15.75" customHeight="1">
      <c r="A477" s="8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</row>
    <row r="478" ht="15.75" customHeight="1">
      <c r="A478" s="8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</row>
    <row r="479" ht="15.75" customHeight="1">
      <c r="A479" s="8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</row>
    <row r="480" ht="15.75" customHeight="1">
      <c r="A480" s="8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</row>
    <row r="481" ht="15.75" customHeight="1">
      <c r="A481" s="8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</row>
    <row r="482" ht="15.75" customHeight="1">
      <c r="A482" s="8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</row>
    <row r="483" ht="15.75" customHeight="1">
      <c r="A483" s="8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</row>
    <row r="484" ht="15.75" customHeight="1">
      <c r="A484" s="8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</row>
    <row r="485" ht="15.75" customHeight="1">
      <c r="A485" s="8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</row>
    <row r="486" ht="15.75" customHeight="1">
      <c r="A486" s="8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</row>
    <row r="487" ht="15.75" customHeight="1">
      <c r="A487" s="8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</row>
    <row r="488" ht="15.75" customHeight="1">
      <c r="A488" s="8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</row>
    <row r="489" ht="15.75" customHeight="1">
      <c r="A489" s="8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</row>
    <row r="490" ht="15.75" customHeight="1">
      <c r="A490" s="8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</row>
    <row r="491" ht="15.75" customHeight="1">
      <c r="A491" s="8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</row>
    <row r="492" ht="15.75" customHeight="1">
      <c r="A492" s="8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</row>
    <row r="493" ht="15.75" customHeight="1">
      <c r="A493" s="8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</row>
    <row r="494" ht="15.75" customHeight="1">
      <c r="A494" s="8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</row>
    <row r="495" ht="15.75" customHeight="1">
      <c r="A495" s="8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</row>
    <row r="496" ht="15.75" customHeight="1">
      <c r="A496" s="8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</row>
    <row r="497" ht="15.75" customHeight="1">
      <c r="A497" s="8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</row>
    <row r="498" ht="15.75" customHeight="1">
      <c r="A498" s="8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</row>
    <row r="499" ht="15.75" customHeight="1">
      <c r="A499" s="8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</row>
    <row r="500" ht="15.75" customHeight="1">
      <c r="A500" s="8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</row>
    <row r="501" ht="15.75" customHeight="1">
      <c r="A501" s="8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</row>
    <row r="502" ht="15.75" customHeight="1">
      <c r="A502" s="8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</row>
    <row r="503" ht="15.75" customHeight="1">
      <c r="A503" s="8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</row>
    <row r="504" ht="15.75" customHeight="1">
      <c r="A504" s="8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</row>
    <row r="505" ht="15.75" customHeight="1">
      <c r="A505" s="8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</row>
    <row r="506" ht="15.75" customHeight="1">
      <c r="A506" s="8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</row>
    <row r="507" ht="15.75" customHeight="1">
      <c r="A507" s="8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</row>
    <row r="508" ht="15.75" customHeight="1">
      <c r="A508" s="8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</row>
    <row r="509" ht="15.75" customHeight="1">
      <c r="A509" s="8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</row>
    <row r="510" ht="15.75" customHeight="1">
      <c r="A510" s="8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</row>
    <row r="511" ht="15.75" customHeight="1">
      <c r="A511" s="8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</row>
    <row r="512" ht="15.75" customHeight="1">
      <c r="A512" s="8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</row>
    <row r="513" ht="15.75" customHeight="1">
      <c r="A513" s="8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</row>
    <row r="514" ht="15.75" customHeight="1">
      <c r="A514" s="8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</row>
    <row r="515" ht="15.75" customHeight="1">
      <c r="A515" s="8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</row>
    <row r="516" ht="15.75" customHeight="1">
      <c r="A516" s="8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</row>
    <row r="517" ht="15.75" customHeight="1">
      <c r="A517" s="8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</row>
    <row r="518" ht="15.75" customHeight="1">
      <c r="A518" s="8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</row>
    <row r="519" ht="15.75" customHeight="1">
      <c r="A519" s="8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</row>
    <row r="520" ht="15.75" customHeight="1">
      <c r="A520" s="8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</row>
    <row r="521" ht="15.75" customHeight="1">
      <c r="A521" s="8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</row>
    <row r="522" ht="15.75" customHeight="1">
      <c r="A522" s="8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</row>
    <row r="523" ht="15.75" customHeight="1">
      <c r="A523" s="8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</row>
    <row r="524" ht="15.75" customHeight="1">
      <c r="A524" s="8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</row>
    <row r="525" ht="15.75" customHeight="1">
      <c r="A525" s="8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</row>
    <row r="526" ht="15.75" customHeight="1">
      <c r="A526" s="8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</row>
    <row r="527" ht="15.75" customHeight="1">
      <c r="A527" s="8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</row>
    <row r="528" ht="15.75" customHeight="1">
      <c r="A528" s="8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</row>
    <row r="529" ht="15.75" customHeight="1">
      <c r="A529" s="8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</row>
    <row r="530" ht="15.75" customHeight="1">
      <c r="A530" s="8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</row>
    <row r="531" ht="15.75" customHeight="1">
      <c r="A531" s="8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</row>
    <row r="532" ht="15.75" customHeight="1">
      <c r="A532" s="8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</row>
    <row r="533" ht="15.75" customHeight="1">
      <c r="A533" s="8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</row>
    <row r="534" ht="15.75" customHeight="1">
      <c r="A534" s="8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</row>
    <row r="535" ht="15.75" customHeight="1">
      <c r="A535" s="8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</row>
    <row r="536" ht="15.75" customHeight="1">
      <c r="A536" s="8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</row>
    <row r="537" ht="15.75" customHeight="1">
      <c r="A537" s="8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</row>
    <row r="538" ht="15.75" customHeight="1">
      <c r="A538" s="8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</row>
    <row r="539" ht="15.75" customHeight="1">
      <c r="A539" s="8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</row>
    <row r="540" ht="15.75" customHeight="1">
      <c r="A540" s="8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</row>
    <row r="541" ht="15.75" customHeight="1">
      <c r="A541" s="8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</row>
    <row r="542" ht="15.75" customHeight="1">
      <c r="A542" s="8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</row>
    <row r="543" ht="15.75" customHeight="1">
      <c r="A543" s="8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</row>
    <row r="544" ht="15.75" customHeight="1">
      <c r="A544" s="8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</row>
    <row r="545" ht="15.75" customHeight="1">
      <c r="A545" s="8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</row>
    <row r="546" ht="15.75" customHeight="1">
      <c r="A546" s="8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</row>
    <row r="547" ht="15.75" customHeight="1">
      <c r="A547" s="8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</row>
    <row r="548" ht="15.75" customHeight="1">
      <c r="A548" s="8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</row>
    <row r="549" ht="15.75" customHeight="1">
      <c r="A549" s="8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</row>
    <row r="550" ht="15.75" customHeight="1">
      <c r="A550" s="8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</row>
    <row r="551" ht="15.75" customHeight="1">
      <c r="A551" s="8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</row>
    <row r="552" ht="15.75" customHeight="1">
      <c r="A552" s="8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</row>
    <row r="553" ht="15.75" customHeight="1">
      <c r="A553" s="8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</row>
    <row r="554" ht="15.75" customHeight="1">
      <c r="A554" s="8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</row>
    <row r="555" ht="15.75" customHeight="1">
      <c r="A555" s="8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</row>
    <row r="556" ht="15.75" customHeight="1">
      <c r="A556" s="8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</row>
    <row r="557" ht="15.75" customHeight="1">
      <c r="A557" s="8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</row>
    <row r="558" ht="15.75" customHeight="1">
      <c r="A558" s="8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</row>
    <row r="559" ht="15.75" customHeight="1">
      <c r="A559" s="8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</row>
    <row r="560" ht="15.75" customHeight="1">
      <c r="A560" s="8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</row>
    <row r="561" ht="15.75" customHeight="1">
      <c r="A561" s="8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</row>
    <row r="562" ht="15.75" customHeight="1">
      <c r="A562" s="8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</row>
    <row r="563" ht="15.75" customHeight="1">
      <c r="A563" s="8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</row>
    <row r="564" ht="15.75" customHeight="1">
      <c r="A564" s="8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</row>
    <row r="565" ht="15.75" customHeight="1">
      <c r="A565" s="8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</row>
    <row r="566" ht="15.75" customHeight="1">
      <c r="A566" s="8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</row>
    <row r="567" ht="15.75" customHeight="1">
      <c r="A567" s="8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</row>
    <row r="568" ht="15.75" customHeight="1">
      <c r="A568" s="8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</row>
    <row r="569" ht="15.75" customHeight="1">
      <c r="A569" s="8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</row>
    <row r="570" ht="15.75" customHeight="1">
      <c r="A570" s="8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</row>
    <row r="571" ht="15.75" customHeight="1">
      <c r="A571" s="8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</row>
    <row r="572" ht="15.75" customHeight="1">
      <c r="A572" s="8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</row>
    <row r="573" ht="15.75" customHeight="1">
      <c r="A573" s="8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</row>
    <row r="574" ht="15.75" customHeight="1">
      <c r="A574" s="8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</row>
    <row r="575" ht="15.75" customHeight="1">
      <c r="A575" s="8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</row>
    <row r="576" ht="15.75" customHeight="1">
      <c r="A576" s="8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</row>
    <row r="577" ht="15.75" customHeight="1">
      <c r="A577" s="8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</row>
    <row r="578" ht="15.75" customHeight="1">
      <c r="A578" s="8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</row>
    <row r="579" ht="15.75" customHeight="1">
      <c r="A579" s="8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</row>
    <row r="580" ht="15.75" customHeight="1">
      <c r="A580" s="8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</row>
    <row r="581" ht="15.75" customHeight="1">
      <c r="A581" s="8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</row>
    <row r="582" ht="15.75" customHeight="1">
      <c r="A582" s="8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</row>
    <row r="583" ht="15.75" customHeight="1">
      <c r="A583" s="8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</row>
    <row r="584" ht="15.75" customHeight="1">
      <c r="A584" s="8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</row>
    <row r="585" ht="15.75" customHeight="1">
      <c r="A585" s="8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</row>
    <row r="586" ht="15.75" customHeight="1">
      <c r="A586" s="8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</row>
    <row r="587" ht="15.75" customHeight="1">
      <c r="A587" s="8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</row>
    <row r="588" ht="15.75" customHeight="1">
      <c r="A588" s="8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</row>
    <row r="589" ht="15.75" customHeight="1">
      <c r="A589" s="8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</row>
    <row r="590" ht="15.75" customHeight="1">
      <c r="A590" s="8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</row>
    <row r="591" ht="15.75" customHeight="1">
      <c r="A591" s="8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</row>
    <row r="592" ht="15.75" customHeight="1">
      <c r="A592" s="8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</row>
    <row r="593" ht="15.75" customHeight="1">
      <c r="A593" s="8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</row>
    <row r="594" ht="15.75" customHeight="1">
      <c r="A594" s="8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</row>
    <row r="595" ht="15.75" customHeight="1">
      <c r="A595" s="8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</row>
    <row r="596" ht="15.75" customHeight="1">
      <c r="A596" s="8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</row>
    <row r="597" ht="15.75" customHeight="1">
      <c r="A597" s="8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</row>
    <row r="598" ht="15.75" customHeight="1">
      <c r="A598" s="8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</row>
    <row r="599" ht="15.75" customHeight="1">
      <c r="A599" s="8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</row>
    <row r="600" ht="15.75" customHeight="1">
      <c r="A600" s="8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</row>
    <row r="601" ht="15.75" customHeight="1">
      <c r="A601" s="8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</row>
    <row r="602" ht="15.75" customHeight="1">
      <c r="A602" s="8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</row>
    <row r="603" ht="15.75" customHeight="1">
      <c r="A603" s="8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</row>
    <row r="604" ht="15.75" customHeight="1">
      <c r="A604" s="8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</row>
    <row r="605" ht="15.75" customHeight="1">
      <c r="A605" s="8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</row>
    <row r="606" ht="15.75" customHeight="1">
      <c r="A606" s="8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</row>
    <row r="607" ht="15.75" customHeight="1">
      <c r="A607" s="8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</row>
    <row r="608" ht="15.75" customHeight="1">
      <c r="A608" s="8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</row>
    <row r="609" ht="15.75" customHeight="1">
      <c r="A609" s="8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</row>
    <row r="610" ht="15.75" customHeight="1">
      <c r="A610" s="8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</row>
    <row r="611" ht="15.75" customHeight="1">
      <c r="A611" s="8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</row>
    <row r="612" ht="15.75" customHeight="1">
      <c r="A612" s="8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</row>
    <row r="613" ht="15.75" customHeight="1">
      <c r="A613" s="8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</row>
    <row r="614" ht="15.75" customHeight="1">
      <c r="A614" s="8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</row>
    <row r="615" ht="15.75" customHeight="1">
      <c r="A615" s="8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</row>
    <row r="616" ht="15.75" customHeight="1">
      <c r="A616" s="8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</row>
    <row r="617" ht="15.75" customHeight="1">
      <c r="A617" s="8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</row>
    <row r="618" ht="15.75" customHeight="1">
      <c r="A618" s="8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</row>
    <row r="619" ht="15.75" customHeight="1">
      <c r="A619" s="8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</row>
    <row r="620" ht="15.75" customHeight="1">
      <c r="A620" s="8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</row>
    <row r="621" ht="15.75" customHeight="1">
      <c r="A621" s="8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</row>
    <row r="622" ht="15.75" customHeight="1">
      <c r="A622" s="8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</row>
    <row r="623" ht="15.75" customHeight="1">
      <c r="A623" s="8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</row>
    <row r="624" ht="15.75" customHeight="1">
      <c r="A624" s="8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</row>
    <row r="625" ht="15.75" customHeight="1">
      <c r="A625" s="8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</row>
    <row r="626" ht="15.75" customHeight="1">
      <c r="A626" s="8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</row>
    <row r="627" ht="15.75" customHeight="1">
      <c r="A627" s="8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</row>
    <row r="628" ht="15.75" customHeight="1">
      <c r="A628" s="8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</row>
    <row r="629" ht="15.75" customHeight="1">
      <c r="A629" s="8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</row>
    <row r="630" ht="15.75" customHeight="1">
      <c r="A630" s="8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</row>
    <row r="631" ht="15.75" customHeight="1">
      <c r="A631" s="8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</row>
    <row r="632" ht="15.75" customHeight="1">
      <c r="A632" s="8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</row>
    <row r="633" ht="15.75" customHeight="1">
      <c r="A633" s="8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</row>
    <row r="634" ht="15.75" customHeight="1">
      <c r="A634" s="8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</row>
    <row r="635" ht="15.75" customHeight="1">
      <c r="A635" s="8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</row>
    <row r="636" ht="15.75" customHeight="1">
      <c r="A636" s="8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</row>
    <row r="637" ht="15.75" customHeight="1">
      <c r="A637" s="8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</row>
    <row r="638" ht="15.75" customHeight="1">
      <c r="A638" s="8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</row>
    <row r="639" ht="15.75" customHeight="1">
      <c r="A639" s="8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</row>
    <row r="640" ht="15.75" customHeight="1">
      <c r="A640" s="8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</row>
    <row r="641" ht="15.75" customHeight="1">
      <c r="A641" s="8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</row>
    <row r="642" ht="15.75" customHeight="1">
      <c r="A642" s="8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</row>
    <row r="643" ht="15.75" customHeight="1">
      <c r="A643" s="8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</row>
    <row r="644" ht="15.75" customHeight="1">
      <c r="A644" s="8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</row>
    <row r="645" ht="15.75" customHeight="1">
      <c r="A645" s="8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</row>
    <row r="646" ht="15.75" customHeight="1">
      <c r="A646" s="8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</row>
    <row r="647" ht="15.75" customHeight="1">
      <c r="A647" s="8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</row>
    <row r="648" ht="15.75" customHeight="1">
      <c r="A648" s="8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</row>
    <row r="649" ht="15.75" customHeight="1">
      <c r="A649" s="8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</row>
    <row r="650" ht="15.75" customHeight="1">
      <c r="A650" s="8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</row>
    <row r="651" ht="15.75" customHeight="1">
      <c r="A651" s="8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</row>
    <row r="652" ht="15.75" customHeight="1">
      <c r="A652" s="8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</row>
    <row r="653" ht="15.75" customHeight="1">
      <c r="A653" s="8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</row>
    <row r="654" ht="15.75" customHeight="1">
      <c r="A654" s="8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</row>
    <row r="655" ht="15.75" customHeight="1">
      <c r="A655" s="8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</row>
    <row r="656" ht="15.75" customHeight="1">
      <c r="A656" s="8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</row>
    <row r="657" ht="15.75" customHeight="1">
      <c r="A657" s="8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</row>
    <row r="658" ht="15.75" customHeight="1">
      <c r="A658" s="8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</row>
    <row r="659" ht="15.75" customHeight="1">
      <c r="A659" s="8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</row>
    <row r="660" ht="15.75" customHeight="1">
      <c r="A660" s="8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</row>
    <row r="661" ht="15.75" customHeight="1">
      <c r="A661" s="8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</row>
    <row r="662" ht="15.75" customHeight="1">
      <c r="A662" s="8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</row>
    <row r="663" ht="15.75" customHeight="1">
      <c r="A663" s="8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</row>
    <row r="664" ht="15.75" customHeight="1">
      <c r="A664" s="8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</row>
    <row r="665" ht="15.75" customHeight="1">
      <c r="A665" s="8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</row>
    <row r="666" ht="15.75" customHeight="1">
      <c r="A666" s="8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</row>
    <row r="667" ht="15.75" customHeight="1">
      <c r="A667" s="8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</row>
    <row r="668" ht="15.75" customHeight="1">
      <c r="A668" s="8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</row>
    <row r="669" ht="15.75" customHeight="1">
      <c r="A669" s="8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</row>
    <row r="670" ht="15.75" customHeight="1">
      <c r="A670" s="8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</row>
    <row r="671" ht="15.75" customHeight="1">
      <c r="A671" s="8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</row>
    <row r="672" ht="15.75" customHeight="1">
      <c r="A672" s="8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</row>
    <row r="673" ht="15.75" customHeight="1">
      <c r="A673" s="8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</row>
    <row r="674" ht="15.75" customHeight="1">
      <c r="A674" s="8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</row>
    <row r="675" ht="15.75" customHeight="1">
      <c r="A675" s="8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</row>
    <row r="676" ht="15.75" customHeight="1">
      <c r="A676" s="8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</row>
    <row r="677" ht="15.75" customHeight="1">
      <c r="A677" s="8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</row>
    <row r="678" ht="15.75" customHeight="1">
      <c r="A678" s="8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</row>
    <row r="679" ht="15.75" customHeight="1">
      <c r="A679" s="8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</row>
    <row r="680" ht="15.75" customHeight="1">
      <c r="A680" s="8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</row>
    <row r="681" ht="15.75" customHeight="1">
      <c r="A681" s="8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</row>
    <row r="682" ht="15.75" customHeight="1">
      <c r="A682" s="8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</row>
    <row r="683" ht="15.75" customHeight="1">
      <c r="A683" s="8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</row>
    <row r="684" ht="15.75" customHeight="1">
      <c r="A684" s="8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</row>
    <row r="685" ht="15.75" customHeight="1">
      <c r="A685" s="8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</row>
    <row r="686" ht="15.75" customHeight="1">
      <c r="A686" s="8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</row>
    <row r="687" ht="15.75" customHeight="1">
      <c r="A687" s="8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</row>
    <row r="688" ht="15.75" customHeight="1">
      <c r="A688" s="8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</row>
    <row r="689" ht="15.75" customHeight="1">
      <c r="A689" s="8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</row>
    <row r="690" ht="15.75" customHeight="1">
      <c r="A690" s="8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</row>
    <row r="691" ht="15.75" customHeight="1">
      <c r="A691" s="8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</row>
    <row r="692" ht="15.75" customHeight="1">
      <c r="A692" s="8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</row>
    <row r="693" ht="15.75" customHeight="1">
      <c r="A693" s="8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</row>
    <row r="694" ht="15.75" customHeight="1">
      <c r="A694" s="8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</row>
    <row r="695" ht="15.75" customHeight="1">
      <c r="A695" s="8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</row>
    <row r="696" ht="15.75" customHeight="1">
      <c r="A696" s="8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</row>
    <row r="697" ht="15.75" customHeight="1">
      <c r="A697" s="8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</row>
    <row r="698" ht="15.75" customHeight="1">
      <c r="A698" s="8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</row>
    <row r="699" ht="15.75" customHeight="1">
      <c r="A699" s="8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</row>
    <row r="700" ht="15.75" customHeight="1">
      <c r="A700" s="8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</row>
    <row r="701" ht="15.75" customHeight="1">
      <c r="A701" s="8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</row>
    <row r="702" ht="15.75" customHeight="1">
      <c r="A702" s="8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</row>
    <row r="703" ht="15.75" customHeight="1">
      <c r="A703" s="8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</row>
    <row r="704" ht="15.75" customHeight="1">
      <c r="A704" s="8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</row>
    <row r="705" ht="15.75" customHeight="1">
      <c r="A705" s="8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</row>
    <row r="706" ht="15.75" customHeight="1">
      <c r="A706" s="8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</row>
    <row r="707" ht="15.75" customHeight="1">
      <c r="A707" s="8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</row>
    <row r="708" ht="15.75" customHeight="1">
      <c r="A708" s="8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</row>
    <row r="709" ht="15.75" customHeight="1">
      <c r="A709" s="8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</row>
    <row r="710" ht="15.75" customHeight="1">
      <c r="A710" s="8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</row>
    <row r="711" ht="15.75" customHeight="1">
      <c r="A711" s="8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</row>
    <row r="712" ht="15.75" customHeight="1">
      <c r="A712" s="8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</row>
    <row r="713" ht="15.75" customHeight="1">
      <c r="A713" s="8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</row>
    <row r="714" ht="15.75" customHeight="1">
      <c r="A714" s="8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</row>
    <row r="715" ht="15.75" customHeight="1">
      <c r="A715" s="8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</row>
    <row r="716" ht="15.75" customHeight="1">
      <c r="A716" s="8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</row>
    <row r="717" ht="15.75" customHeight="1">
      <c r="A717" s="8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</row>
    <row r="718" ht="15.75" customHeight="1">
      <c r="A718" s="8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</row>
    <row r="719" ht="15.75" customHeight="1">
      <c r="A719" s="8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</row>
    <row r="720" ht="15.75" customHeight="1">
      <c r="A720" s="8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</row>
    <row r="721" ht="15.75" customHeight="1">
      <c r="A721" s="8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</row>
    <row r="722" ht="15.75" customHeight="1">
      <c r="A722" s="8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</row>
    <row r="723" ht="15.75" customHeight="1">
      <c r="A723" s="8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</row>
    <row r="724" ht="15.75" customHeight="1">
      <c r="A724" s="8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</row>
    <row r="725" ht="15.75" customHeight="1">
      <c r="A725" s="8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</row>
    <row r="726" ht="15.75" customHeight="1">
      <c r="A726" s="8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</row>
    <row r="727" ht="15.75" customHeight="1">
      <c r="A727" s="8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</row>
    <row r="728" ht="15.75" customHeight="1">
      <c r="A728" s="8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</row>
    <row r="729" ht="15.75" customHeight="1">
      <c r="A729" s="8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</row>
    <row r="730" ht="15.75" customHeight="1">
      <c r="A730" s="8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</row>
    <row r="731" ht="15.75" customHeight="1">
      <c r="A731" s="8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</row>
    <row r="732" ht="15.75" customHeight="1">
      <c r="A732" s="8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</row>
    <row r="733" ht="15.75" customHeight="1">
      <c r="A733" s="8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</row>
    <row r="734" ht="15.75" customHeight="1">
      <c r="A734" s="8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</row>
    <row r="735" ht="15.75" customHeight="1">
      <c r="A735" s="8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</row>
    <row r="736" ht="15.75" customHeight="1">
      <c r="A736" s="8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</row>
    <row r="737" ht="15.75" customHeight="1">
      <c r="A737" s="8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</row>
    <row r="738" ht="15.75" customHeight="1">
      <c r="A738" s="8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</row>
    <row r="739" ht="15.75" customHeight="1">
      <c r="A739" s="8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</row>
    <row r="740" ht="15.75" customHeight="1">
      <c r="A740" s="8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</row>
    <row r="741" ht="15.75" customHeight="1">
      <c r="A741" s="8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</row>
    <row r="742" ht="15.75" customHeight="1">
      <c r="A742" s="8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</row>
    <row r="743" ht="15.75" customHeight="1">
      <c r="A743" s="8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</row>
    <row r="744" ht="15.75" customHeight="1">
      <c r="A744" s="8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</row>
    <row r="745" ht="15.75" customHeight="1">
      <c r="A745" s="8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</row>
    <row r="746" ht="15.75" customHeight="1">
      <c r="A746" s="8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</row>
    <row r="747" ht="15.75" customHeight="1">
      <c r="A747" s="8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</row>
    <row r="748" ht="15.75" customHeight="1">
      <c r="A748" s="8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</row>
    <row r="749" ht="15.75" customHeight="1">
      <c r="A749" s="8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</row>
    <row r="750" ht="15.75" customHeight="1">
      <c r="A750" s="8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</row>
    <row r="751" ht="15.75" customHeight="1">
      <c r="A751" s="8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</row>
    <row r="752" ht="15.75" customHeight="1">
      <c r="A752" s="8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</row>
    <row r="753" ht="15.75" customHeight="1">
      <c r="A753" s="8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</row>
    <row r="754" ht="15.75" customHeight="1">
      <c r="A754" s="8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</row>
    <row r="755" ht="15.75" customHeight="1">
      <c r="A755" s="8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</row>
    <row r="756" ht="15.75" customHeight="1">
      <c r="A756" s="8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</row>
    <row r="757" ht="15.75" customHeight="1">
      <c r="A757" s="8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</row>
    <row r="758" ht="15.75" customHeight="1">
      <c r="A758" s="8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</row>
    <row r="759" ht="15.75" customHeight="1">
      <c r="A759" s="8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</row>
    <row r="760" ht="15.75" customHeight="1">
      <c r="A760" s="8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</row>
    <row r="761" ht="15.75" customHeight="1">
      <c r="A761" s="8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</row>
    <row r="762" ht="15.75" customHeight="1">
      <c r="A762" s="8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</row>
    <row r="763" ht="15.75" customHeight="1">
      <c r="A763" s="8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</row>
    <row r="764" ht="15.75" customHeight="1">
      <c r="A764" s="8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</row>
    <row r="765" ht="15.75" customHeight="1">
      <c r="A765" s="8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</row>
    <row r="766" ht="15.75" customHeight="1">
      <c r="A766" s="8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</row>
    <row r="767" ht="15.75" customHeight="1">
      <c r="A767" s="8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</row>
    <row r="768" ht="15.75" customHeight="1">
      <c r="A768" s="8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</row>
    <row r="769" ht="15.75" customHeight="1">
      <c r="A769" s="8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</row>
    <row r="770" ht="15.75" customHeight="1">
      <c r="A770" s="8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</row>
    <row r="771" ht="15.75" customHeight="1">
      <c r="A771" s="8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</row>
    <row r="772" ht="15.75" customHeight="1">
      <c r="A772" s="8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</row>
    <row r="773" ht="15.75" customHeight="1">
      <c r="A773" s="8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</row>
    <row r="774" ht="15.75" customHeight="1">
      <c r="A774" s="8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</row>
    <row r="775" ht="15.75" customHeight="1">
      <c r="A775" s="8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</row>
    <row r="776" ht="15.75" customHeight="1">
      <c r="A776" s="8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</row>
    <row r="777" ht="15.75" customHeight="1">
      <c r="A777" s="8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</row>
    <row r="778" ht="15.75" customHeight="1">
      <c r="A778" s="8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</row>
    <row r="779" ht="15.75" customHeight="1">
      <c r="A779" s="8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</row>
    <row r="780" ht="15.75" customHeight="1">
      <c r="A780" s="8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</row>
    <row r="781" ht="15.75" customHeight="1">
      <c r="A781" s="8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</row>
    <row r="782" ht="15.75" customHeight="1">
      <c r="A782" s="8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</row>
    <row r="783" ht="15.75" customHeight="1">
      <c r="A783" s="8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</row>
    <row r="784" ht="15.75" customHeight="1">
      <c r="A784" s="8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</row>
    <row r="785" ht="15.75" customHeight="1">
      <c r="A785" s="8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</row>
    <row r="786" ht="15.75" customHeight="1">
      <c r="A786" s="8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</row>
    <row r="787" ht="15.75" customHeight="1">
      <c r="A787" s="8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</row>
    <row r="788" ht="15.75" customHeight="1">
      <c r="A788" s="8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</row>
    <row r="789" ht="15.75" customHeight="1">
      <c r="A789" s="8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</row>
    <row r="790" ht="15.75" customHeight="1">
      <c r="A790" s="8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</row>
    <row r="791" ht="15.75" customHeight="1">
      <c r="A791" s="8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</row>
    <row r="792" ht="15.75" customHeight="1">
      <c r="A792" s="8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</row>
    <row r="793" ht="15.75" customHeight="1">
      <c r="A793" s="8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</row>
    <row r="794" ht="15.75" customHeight="1">
      <c r="A794" s="8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</row>
    <row r="795" ht="15.75" customHeight="1">
      <c r="A795" s="8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</row>
    <row r="796" ht="15.75" customHeight="1">
      <c r="A796" s="8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</row>
    <row r="797" ht="15.75" customHeight="1">
      <c r="A797" s="8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</row>
    <row r="798" ht="15.75" customHeight="1">
      <c r="A798" s="8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</row>
    <row r="799" ht="15.75" customHeight="1">
      <c r="A799" s="8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</row>
    <row r="800" ht="15.75" customHeight="1">
      <c r="A800" s="8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</row>
    <row r="801" ht="15.75" customHeight="1">
      <c r="A801" s="8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</row>
    <row r="802" ht="15.75" customHeight="1">
      <c r="A802" s="8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</row>
    <row r="803" ht="15.75" customHeight="1">
      <c r="A803" s="8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</row>
    <row r="804" ht="15.75" customHeight="1">
      <c r="A804" s="8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</row>
    <row r="805" ht="15.75" customHeight="1">
      <c r="A805" s="8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</row>
    <row r="806" ht="15.75" customHeight="1">
      <c r="A806" s="8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</row>
    <row r="807" ht="15.75" customHeight="1">
      <c r="A807" s="8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</row>
    <row r="808" ht="15.75" customHeight="1">
      <c r="A808" s="8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</row>
    <row r="809" ht="15.75" customHeight="1">
      <c r="A809" s="8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</row>
    <row r="810" ht="15.75" customHeight="1">
      <c r="A810" s="8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</row>
    <row r="811" ht="15.75" customHeight="1">
      <c r="A811" s="8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</row>
    <row r="812" ht="15.75" customHeight="1">
      <c r="A812" s="8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</row>
    <row r="813" ht="15.75" customHeight="1">
      <c r="A813" s="8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</row>
    <row r="814" ht="15.75" customHeight="1">
      <c r="A814" s="8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</row>
    <row r="815" ht="15.75" customHeight="1">
      <c r="A815" s="8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</row>
    <row r="816" ht="15.75" customHeight="1">
      <c r="A816" s="8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</row>
    <row r="817" ht="15.75" customHeight="1">
      <c r="A817" s="8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</row>
    <row r="818" ht="15.75" customHeight="1">
      <c r="A818" s="8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</row>
    <row r="819" ht="15.75" customHeight="1">
      <c r="A819" s="8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</row>
    <row r="820" ht="15.75" customHeight="1">
      <c r="A820" s="8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</row>
    <row r="821" ht="15.75" customHeight="1">
      <c r="A821" s="8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</row>
    <row r="822" ht="15.75" customHeight="1">
      <c r="A822" s="8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</row>
    <row r="823" ht="15.75" customHeight="1">
      <c r="A823" s="8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</row>
    <row r="824" ht="15.75" customHeight="1">
      <c r="A824" s="8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</row>
    <row r="825" ht="15.75" customHeight="1">
      <c r="A825" s="8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</row>
    <row r="826" ht="15.75" customHeight="1">
      <c r="A826" s="8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</row>
    <row r="827" ht="15.75" customHeight="1">
      <c r="A827" s="8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</row>
    <row r="828" ht="15.75" customHeight="1">
      <c r="A828" s="8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</row>
    <row r="829" ht="15.75" customHeight="1">
      <c r="A829" s="8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</row>
    <row r="830" ht="15.75" customHeight="1">
      <c r="A830" s="8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</row>
    <row r="831" ht="15.75" customHeight="1">
      <c r="A831" s="8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</row>
    <row r="832" ht="15.75" customHeight="1">
      <c r="A832" s="8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</row>
    <row r="833" ht="15.75" customHeight="1">
      <c r="A833" s="8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</row>
    <row r="834" ht="15.75" customHeight="1">
      <c r="A834" s="8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</row>
    <row r="835" ht="15.75" customHeight="1">
      <c r="A835" s="8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</row>
    <row r="836" ht="15.75" customHeight="1">
      <c r="A836" s="8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</row>
    <row r="837" ht="15.75" customHeight="1">
      <c r="A837" s="8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</row>
    <row r="838" ht="15.75" customHeight="1">
      <c r="A838" s="8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</row>
    <row r="839" ht="15.75" customHeight="1">
      <c r="A839" s="8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</row>
    <row r="840" ht="15.75" customHeight="1">
      <c r="A840" s="8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</row>
    <row r="841" ht="15.75" customHeight="1">
      <c r="A841" s="8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</row>
    <row r="842" ht="15.75" customHeight="1">
      <c r="A842" s="8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</row>
    <row r="843" ht="15.75" customHeight="1">
      <c r="A843" s="8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</row>
    <row r="844" ht="15.75" customHeight="1">
      <c r="A844" s="8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</row>
    <row r="845" ht="15.75" customHeight="1">
      <c r="A845" s="8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</row>
    <row r="846" ht="15.75" customHeight="1">
      <c r="A846" s="8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</row>
    <row r="847" ht="15.75" customHeight="1">
      <c r="A847" s="8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</row>
    <row r="848" ht="15.75" customHeight="1">
      <c r="A848" s="8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</row>
    <row r="849" ht="15.75" customHeight="1">
      <c r="A849" s="8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</row>
    <row r="850" ht="15.75" customHeight="1">
      <c r="A850" s="8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</row>
    <row r="851" ht="15.75" customHeight="1">
      <c r="A851" s="8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</row>
    <row r="852" ht="15.75" customHeight="1">
      <c r="A852" s="8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</row>
    <row r="853" ht="15.75" customHeight="1">
      <c r="A853" s="8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</row>
    <row r="854" ht="15.75" customHeight="1">
      <c r="A854" s="8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</row>
    <row r="855" ht="15.75" customHeight="1">
      <c r="A855" s="8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</row>
    <row r="856" ht="15.75" customHeight="1">
      <c r="A856" s="8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</row>
    <row r="857" ht="15.75" customHeight="1">
      <c r="A857" s="8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</row>
    <row r="858" ht="15.75" customHeight="1">
      <c r="A858" s="8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</row>
    <row r="859" ht="15.75" customHeight="1">
      <c r="A859" s="8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</row>
    <row r="860" ht="15.75" customHeight="1">
      <c r="A860" s="8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</row>
    <row r="861" ht="15.75" customHeight="1">
      <c r="A861" s="8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</row>
    <row r="862" ht="15.75" customHeight="1">
      <c r="A862" s="8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</row>
    <row r="863" ht="15.75" customHeight="1">
      <c r="A863" s="8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</row>
    <row r="864" ht="15.75" customHeight="1">
      <c r="A864" s="8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</row>
    <row r="865" ht="15.75" customHeight="1">
      <c r="A865" s="8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</row>
    <row r="866" ht="15.75" customHeight="1">
      <c r="A866" s="8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</row>
    <row r="867" ht="15.75" customHeight="1">
      <c r="A867" s="8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</row>
    <row r="868" ht="15.75" customHeight="1">
      <c r="A868" s="8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</row>
    <row r="869" ht="15.75" customHeight="1">
      <c r="A869" s="8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</row>
    <row r="870" ht="15.75" customHeight="1">
      <c r="A870" s="8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</row>
    <row r="871" ht="15.75" customHeight="1">
      <c r="A871" s="8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</row>
    <row r="872" ht="15.75" customHeight="1">
      <c r="A872" s="8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</row>
    <row r="873" ht="15.75" customHeight="1">
      <c r="A873" s="8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</row>
    <row r="874" ht="15.75" customHeight="1">
      <c r="A874" s="8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</row>
    <row r="875" ht="15.75" customHeight="1">
      <c r="A875" s="8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</row>
    <row r="876" ht="15.75" customHeight="1">
      <c r="A876" s="8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</row>
    <row r="877" ht="15.75" customHeight="1">
      <c r="A877" s="8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</row>
    <row r="878" ht="15.75" customHeight="1">
      <c r="A878" s="8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</row>
    <row r="879" ht="15.75" customHeight="1">
      <c r="A879" s="8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</row>
    <row r="880" ht="15.75" customHeight="1">
      <c r="A880" s="8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</row>
    <row r="881" ht="15.75" customHeight="1">
      <c r="A881" s="8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</row>
    <row r="882" ht="15.75" customHeight="1">
      <c r="A882" s="8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</row>
    <row r="883" ht="15.75" customHeight="1">
      <c r="A883" s="8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</row>
    <row r="884" ht="15.75" customHeight="1">
      <c r="A884" s="8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</row>
    <row r="885" ht="15.75" customHeight="1">
      <c r="A885" s="8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</row>
    <row r="886" ht="15.75" customHeight="1">
      <c r="A886" s="8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</row>
    <row r="887" ht="15.75" customHeight="1">
      <c r="A887" s="8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</row>
    <row r="888" ht="15.75" customHeight="1">
      <c r="A888" s="8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</row>
    <row r="889" ht="15.75" customHeight="1">
      <c r="A889" s="8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</row>
    <row r="890" ht="15.75" customHeight="1">
      <c r="A890" s="8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</row>
    <row r="891" ht="15.75" customHeight="1">
      <c r="A891" s="8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</row>
    <row r="892" ht="15.75" customHeight="1">
      <c r="A892" s="8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</row>
    <row r="893" ht="15.75" customHeight="1">
      <c r="A893" s="8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</row>
    <row r="894" ht="15.75" customHeight="1">
      <c r="A894" s="8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</row>
    <row r="895" ht="15.75" customHeight="1">
      <c r="A895" s="8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</row>
    <row r="896" ht="15.75" customHeight="1">
      <c r="A896" s="8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</row>
    <row r="897" ht="15.75" customHeight="1">
      <c r="A897" s="8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</row>
    <row r="898" ht="15.75" customHeight="1">
      <c r="A898" s="8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</row>
    <row r="899" ht="15.75" customHeight="1">
      <c r="A899" s="8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</row>
    <row r="900" ht="15.75" customHeight="1">
      <c r="A900" s="8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</row>
    <row r="901" ht="15.75" customHeight="1">
      <c r="A901" s="8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</row>
    <row r="902" ht="15.75" customHeight="1">
      <c r="A902" s="8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</row>
    <row r="903" ht="15.75" customHeight="1">
      <c r="A903" s="8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</row>
    <row r="904" ht="15.75" customHeight="1">
      <c r="A904" s="8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</row>
    <row r="905" ht="15.75" customHeight="1">
      <c r="A905" s="8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</row>
    <row r="906" ht="15.75" customHeight="1">
      <c r="A906" s="8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</row>
    <row r="907" ht="15.75" customHeight="1">
      <c r="A907" s="8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</row>
    <row r="908" ht="15.75" customHeight="1">
      <c r="A908" s="8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</row>
    <row r="909" ht="15.75" customHeight="1">
      <c r="A909" s="8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</row>
    <row r="910" ht="15.75" customHeight="1">
      <c r="A910" s="8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</row>
    <row r="911" ht="15.75" customHeight="1">
      <c r="A911" s="8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</row>
    <row r="912" ht="15.75" customHeight="1">
      <c r="A912" s="8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</row>
    <row r="913" ht="15.75" customHeight="1">
      <c r="A913" s="8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</row>
    <row r="914" ht="15.75" customHeight="1">
      <c r="A914" s="8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</row>
    <row r="915" ht="15.75" customHeight="1">
      <c r="A915" s="8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</row>
    <row r="916" ht="15.75" customHeight="1">
      <c r="A916" s="8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</row>
    <row r="917" ht="15.75" customHeight="1">
      <c r="A917" s="8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</row>
    <row r="918" ht="15.75" customHeight="1">
      <c r="A918" s="8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</row>
    <row r="919" ht="15.75" customHeight="1">
      <c r="A919" s="8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</row>
    <row r="920" ht="15.75" customHeight="1">
      <c r="A920" s="8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</row>
    <row r="921" ht="15.75" customHeight="1">
      <c r="A921" s="8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</row>
    <row r="922" ht="15.75" customHeight="1">
      <c r="A922" s="8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</row>
    <row r="923" ht="15.75" customHeight="1">
      <c r="A923" s="8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</row>
    <row r="924" ht="15.75" customHeight="1">
      <c r="A924" s="8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</row>
    <row r="925" ht="15.75" customHeight="1">
      <c r="A925" s="8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</row>
    <row r="926" ht="15.75" customHeight="1">
      <c r="A926" s="8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</row>
    <row r="927" ht="15.75" customHeight="1">
      <c r="A927" s="8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</row>
    <row r="928" ht="15.75" customHeight="1">
      <c r="A928" s="8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</row>
    <row r="929" ht="15.75" customHeight="1">
      <c r="A929" s="8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</row>
    <row r="930" ht="15.75" customHeight="1">
      <c r="A930" s="8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</row>
    <row r="931" ht="15.75" customHeight="1">
      <c r="A931" s="8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</row>
    <row r="932" ht="15.75" customHeight="1">
      <c r="A932" s="8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</row>
    <row r="933" ht="15.75" customHeight="1">
      <c r="A933" s="8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</row>
    <row r="934" ht="15.75" customHeight="1">
      <c r="A934" s="8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</row>
    <row r="935" ht="15.75" customHeight="1">
      <c r="A935" s="8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</row>
    <row r="936" ht="15.75" customHeight="1">
      <c r="A936" s="8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</row>
    <row r="937" ht="15.75" customHeight="1">
      <c r="A937" s="8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</row>
    <row r="938" ht="15.75" customHeight="1">
      <c r="A938" s="8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</row>
    <row r="939" ht="15.75" customHeight="1">
      <c r="A939" s="8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</row>
    <row r="940" ht="15.75" customHeight="1">
      <c r="A940" s="8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</row>
    <row r="941" ht="15.75" customHeight="1">
      <c r="A941" s="8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</row>
    <row r="942" ht="15.75" customHeight="1">
      <c r="A942" s="8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</row>
    <row r="943" ht="15.75" customHeight="1">
      <c r="A943" s="8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</row>
    <row r="944" ht="15.75" customHeight="1">
      <c r="A944" s="8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</row>
    <row r="945" ht="15.75" customHeight="1">
      <c r="A945" s="8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</row>
    <row r="946" ht="15.75" customHeight="1">
      <c r="A946" s="8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</row>
    <row r="947" ht="15.75" customHeight="1">
      <c r="A947" s="8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</row>
    <row r="948" ht="15.75" customHeight="1">
      <c r="A948" s="8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</row>
    <row r="949" ht="15.75" customHeight="1">
      <c r="A949" s="8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</row>
    <row r="950" ht="15.75" customHeight="1">
      <c r="A950" s="8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</row>
    <row r="951" ht="15.75" customHeight="1">
      <c r="A951" s="8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</row>
    <row r="952" ht="15.75" customHeight="1">
      <c r="A952" s="8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</row>
    <row r="953" ht="15.75" customHeight="1">
      <c r="A953" s="8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</row>
    <row r="954" ht="15.75" customHeight="1">
      <c r="A954" s="8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</row>
    <row r="955" ht="15.75" customHeight="1">
      <c r="A955" s="8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</row>
    <row r="956" ht="15.75" customHeight="1">
      <c r="A956" s="8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</row>
    <row r="957" ht="15.75" customHeight="1">
      <c r="A957" s="8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</row>
    <row r="958" ht="15.75" customHeight="1">
      <c r="A958" s="8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</row>
    <row r="959" ht="15.75" customHeight="1">
      <c r="A959" s="8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</row>
    <row r="960" ht="15.75" customHeight="1">
      <c r="A960" s="8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</row>
    <row r="961" ht="15.75" customHeight="1">
      <c r="A961" s="8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</row>
    <row r="962" ht="15.75" customHeight="1">
      <c r="A962" s="8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</row>
    <row r="963" ht="15.75" customHeight="1">
      <c r="A963" s="8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</row>
    <row r="964" ht="15.75" customHeight="1">
      <c r="A964" s="8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</row>
    <row r="965" ht="15.75" customHeight="1">
      <c r="A965" s="8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</row>
    <row r="966" ht="15.75" customHeight="1">
      <c r="A966" s="8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</row>
    <row r="967" ht="15.75" customHeight="1">
      <c r="A967" s="8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</row>
    <row r="968" ht="15.75" customHeight="1">
      <c r="A968" s="8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</row>
    <row r="969" ht="15.75" customHeight="1">
      <c r="A969" s="8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</row>
    <row r="970" ht="15.75" customHeight="1">
      <c r="A970" s="8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</row>
    <row r="971" ht="15.75" customHeight="1">
      <c r="A971" s="8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</row>
    <row r="972" ht="15.75" customHeight="1">
      <c r="A972" s="8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</row>
    <row r="973" ht="15.75" customHeight="1">
      <c r="A973" s="8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</row>
    <row r="974" ht="15.75" customHeight="1">
      <c r="A974" s="8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</row>
    <row r="975" ht="15.75" customHeight="1">
      <c r="A975" s="8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</row>
    <row r="976" ht="15.75" customHeight="1">
      <c r="A976" s="8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</row>
    <row r="977" ht="15.75" customHeight="1">
      <c r="A977" s="8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</row>
    <row r="978" ht="15.75" customHeight="1">
      <c r="A978" s="8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</row>
    <row r="979" ht="15.75" customHeight="1">
      <c r="A979" s="8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</row>
    <row r="980" ht="15.75" customHeight="1">
      <c r="A980" s="8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</row>
    <row r="981" ht="15.75" customHeight="1">
      <c r="A981" s="8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</row>
    <row r="982" ht="15.75" customHeight="1">
      <c r="A982" s="8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</row>
    <row r="983" ht="15.75" customHeight="1">
      <c r="A983" s="8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</row>
    <row r="984" ht="15.75" customHeight="1">
      <c r="A984" s="8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</row>
    <row r="985" ht="15.75" customHeight="1">
      <c r="A985" s="8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</row>
    <row r="986" ht="15.75" customHeight="1">
      <c r="A986" s="8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</row>
    <row r="987" ht="15.75" customHeight="1">
      <c r="A987" s="8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</row>
    <row r="988" ht="15.75" customHeight="1">
      <c r="A988" s="8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</row>
    <row r="989" ht="15.75" customHeight="1">
      <c r="A989" s="8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</row>
    <row r="990" ht="15.75" customHeight="1">
      <c r="A990" s="8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</row>
    <row r="991" ht="15.75" customHeight="1">
      <c r="A991" s="8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</row>
    <row r="992" ht="15.75" customHeight="1">
      <c r="A992" s="8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</row>
    <row r="993" ht="15.75" customHeight="1">
      <c r="A993" s="8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</row>
    <row r="994" ht="15.75" customHeight="1">
      <c r="A994" s="8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</row>
    <row r="995" ht="15.75" customHeight="1">
      <c r="A995" s="8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</row>
    <row r="996" ht="15.75" customHeight="1">
      <c r="A996" s="8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</row>
    <row r="997" ht="15.75" customHeight="1">
      <c r="A997" s="8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</row>
    <row r="998" ht="15.75" customHeight="1">
      <c r="A998" s="8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</row>
    <row r="999" ht="15.75" customHeight="1">
      <c r="A999" s="8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2"/>
  <legacyDrawing r:id="rId3"/>
</worksheet>
</file>